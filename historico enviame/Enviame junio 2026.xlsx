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6\Facturación 2026-06 Junio\Detalles\"/>
    </mc:Choice>
  </mc:AlternateContent>
  <xr:revisionPtr revIDLastSave="0" documentId="8_{6C7344F2-B8DB-4189-986C-8C0CA5C111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Detalle!$A$1:$X$557725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2" l="1"/>
  <c r="D18" i="2"/>
  <c r="E15" i="2" l="1"/>
  <c r="D15" i="2"/>
  <c r="E11" i="2"/>
  <c r="D11" i="2"/>
  <c r="E17" i="2"/>
  <c r="D17" i="2"/>
  <c r="E16" i="2"/>
  <c r="D16" i="2"/>
  <c r="E14" i="2"/>
  <c r="D14" i="2"/>
  <c r="E13" i="2"/>
  <c r="D13" i="2"/>
  <c r="E12" i="2"/>
  <c r="D12" i="2"/>
  <c r="E10" i="2"/>
  <c r="D10" i="2"/>
  <c r="E9" i="2"/>
  <c r="D9" i="2"/>
  <c r="E8" i="2"/>
  <c r="D8" i="2"/>
  <c r="E7" i="2"/>
  <c r="D7" i="2"/>
  <c r="E6" i="2"/>
  <c r="D6" i="2"/>
  <c r="E5" i="2"/>
  <c r="D5" i="2"/>
  <c r="E20" i="2" l="1"/>
  <c r="E22" i="2" s="1"/>
  <c r="E23" i="2" s="1"/>
  <c r="D2" i="2"/>
</calcChain>
</file>

<file path=xl/sharedStrings.xml><?xml version="1.0" encoding="utf-8"?>
<sst xmlns="http://schemas.openxmlformats.org/spreadsheetml/2006/main" count="21628" uniqueCount="7058">
  <si>
    <t>IVA</t>
  </si>
  <si>
    <t>Total</t>
  </si>
  <si>
    <t>Envíos</t>
  </si>
  <si>
    <t>Facturación: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</si>
  <si>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</si>
  <si>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</si>
  <si>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</si>
  <si>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</si>
  <si>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</si>
  <si>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</si>
  <si>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</si>
  <si>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</si>
  <si>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</si>
  <si>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</si>
  <si>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</si>
  <si>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</si>
  <si>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</si>
  <si>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</si>
  <si>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</si>
  <si>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company_id</t>
  </si>
  <si>
    <t>precio</t>
  </si>
  <si>
    <t>total</t>
  </si>
  <si>
    <t>contract_type</t>
  </si>
  <si>
    <t>peso informado por carrier</t>
  </si>
  <si>
    <t>mkp</t>
  </si>
  <si>
    <t>carrier_service_name</t>
  </si>
  <si>
    <t>seguro</t>
  </si>
  <si>
    <t>Entregado</t>
  </si>
  <si>
    <t>STARKEN</t>
  </si>
  <si>
    <t>SKN</t>
  </si>
  <si>
    <t>Normal</t>
  </si>
  <si>
    <t>Ñuñoa</t>
  </si>
  <si>
    <t>Servicio Enviame Connect</t>
  </si>
  <si>
    <t>Servicio Enviame Connect Plus</t>
  </si>
  <si>
    <t>Servicio Enviame Distribucion</t>
  </si>
  <si>
    <t>Servicio Enviame Enviatrack</t>
  </si>
  <si>
    <t>Servicio Enviame Flex</t>
  </si>
  <si>
    <t>Servicio Enviame Marketcenter</t>
  </si>
  <si>
    <t>Servicio Enviame por Pagar</t>
  </si>
  <si>
    <t>Servicio Enviame Retiros</t>
  </si>
  <si>
    <t>Servicio Enviame Soporte Tecnico</t>
  </si>
  <si>
    <t>Valdivia</t>
  </si>
  <si>
    <t>Chillán</t>
  </si>
  <si>
    <t>Servicio</t>
  </si>
  <si>
    <t>Servicio Enviame Adicional</t>
  </si>
  <si>
    <t>Servicio Enviame Marketplace</t>
  </si>
  <si>
    <t>Servicio Enviame Notificaciones</t>
  </si>
  <si>
    <t>Servicio Enviame Modelo Cross Dock</t>
  </si>
  <si>
    <t xml:space="preserve">Servicio Enviame Logistica Inversa </t>
  </si>
  <si>
    <t>BLUEXPRESS</t>
  </si>
  <si>
    <t>BLX</t>
  </si>
  <si>
    <t>Priority</t>
  </si>
  <si>
    <t>ENTREGADO</t>
  </si>
  <si>
    <t>Pinchazo de evento</t>
  </si>
  <si>
    <t>La Reina</t>
  </si>
  <si>
    <t>2026-06-01 11:23</t>
  </si>
  <si>
    <t>CHILEXPRESS</t>
  </si>
  <si>
    <t>CHX</t>
  </si>
  <si>
    <t>Dia Hábil Siguiente (Express Aéreo)</t>
  </si>
  <si>
    <t>Penco</t>
  </si>
  <si>
    <t>En Reparto</t>
  </si>
  <si>
    <t>Talcahuano</t>
  </si>
  <si>
    <t>Talca</t>
  </si>
  <si>
    <t>Melipilla</t>
  </si>
  <si>
    <t>El Monte</t>
  </si>
  <si>
    <t>San Pedro de la Paz</t>
  </si>
  <si>
    <t>Peñaflor</t>
  </si>
  <si>
    <t>Curicó</t>
  </si>
  <si>
    <t>Arica</t>
  </si>
  <si>
    <t>Temuco</t>
  </si>
  <si>
    <t>Tomé</t>
  </si>
  <si>
    <t>Constitución</t>
  </si>
  <si>
    <t>Los Ángeles</t>
  </si>
  <si>
    <t>La Serena</t>
  </si>
  <si>
    <t>Buin</t>
  </si>
  <si>
    <t>2026-06-02 14:36</t>
  </si>
  <si>
    <t>2026-06-15 10:41</t>
  </si>
  <si>
    <t>2026-06-02 10:18</t>
  </si>
  <si>
    <t>Hualpén</t>
  </si>
  <si>
    <t>Aysén</t>
  </si>
  <si>
    <t>Quillota</t>
  </si>
  <si>
    <t>Copiapó</t>
  </si>
  <si>
    <t>Talagante</t>
  </si>
  <si>
    <t>Pelluhue</t>
  </si>
  <si>
    <t>Iquique</t>
  </si>
  <si>
    <t>Concepción</t>
  </si>
  <si>
    <t>Carlos Reyes</t>
  </si>
  <si>
    <t>2026-05-27 21:19</t>
  </si>
  <si>
    <t>Antofagasta</t>
  </si>
  <si>
    <t>San Antonio</t>
  </si>
  <si>
    <t>2026-06-05 17:05</t>
  </si>
  <si>
    <t>Olmué</t>
  </si>
  <si>
    <t>null</t>
  </si>
  <si>
    <t>Villa Alegre</t>
  </si>
  <si>
    <t>Vallenar</t>
  </si>
  <si>
    <t>2026-05-30 11:14</t>
  </si>
  <si>
    <t>Linares</t>
  </si>
  <si>
    <t>Coronel</t>
  </si>
  <si>
    <t>Lota</t>
  </si>
  <si>
    <t>Los Andes</t>
  </si>
  <si>
    <t>Concón</t>
  </si>
  <si>
    <t>Maule</t>
  </si>
  <si>
    <t>Osorno</t>
  </si>
  <si>
    <t>Limache</t>
  </si>
  <si>
    <t>Chiguayante</t>
  </si>
  <si>
    <t>Isla de Maipo</t>
  </si>
  <si>
    <t>Disponible para retiro</t>
  </si>
  <si>
    <t>San Esteban</t>
  </si>
  <si>
    <t>Quilpué</t>
  </si>
  <si>
    <t>Viña del Mar</t>
  </si>
  <si>
    <t>2026-06-01 18:53</t>
  </si>
  <si>
    <t>Taltal</t>
  </si>
  <si>
    <t>El Tabo</t>
  </si>
  <si>
    <t>Tocopilla</t>
  </si>
  <si>
    <t>Yungay</t>
  </si>
  <si>
    <t>San Felipe</t>
  </si>
  <si>
    <t>Cochrane</t>
  </si>
  <si>
    <t>Alto Hospicio</t>
  </si>
  <si>
    <t>Villarrica</t>
  </si>
  <si>
    <t>Puerto Montt</t>
  </si>
  <si>
    <t>Calama</t>
  </si>
  <si>
    <t>Collipulli</t>
  </si>
  <si>
    <t>Mulchén</t>
  </si>
  <si>
    <t>2026-06-02 16:25</t>
  </si>
  <si>
    <t>Pitrufquén</t>
  </si>
  <si>
    <t>Coquimbo</t>
  </si>
  <si>
    <t>Machalí</t>
  </si>
  <si>
    <t>2026-06-04 11:12</t>
  </si>
  <si>
    <t>2026-06-04 11:10</t>
  </si>
  <si>
    <t>2026-06-15 11:33</t>
  </si>
  <si>
    <t>Maria paz</t>
  </si>
  <si>
    <t>Devolucion entregada</t>
  </si>
  <si>
    <t>Padre las Casas</t>
  </si>
  <si>
    <t>Paillaco</t>
  </si>
  <si>
    <t>Lampa</t>
  </si>
  <si>
    <t>Rancagua</t>
  </si>
  <si>
    <t>Paine</t>
  </si>
  <si>
    <t>La Unión</t>
  </si>
  <si>
    <t>Rengo</t>
  </si>
  <si>
    <t>Hualqui</t>
  </si>
  <si>
    <t>Lebu</t>
  </si>
  <si>
    <t>Pucón</t>
  </si>
  <si>
    <t>Castro</t>
  </si>
  <si>
    <t>Villa Alemana</t>
  </si>
  <si>
    <t>Ovalle</t>
  </si>
  <si>
    <t>Calera de Tango</t>
  </si>
  <si>
    <t>Diego de Almagro</t>
  </si>
  <si>
    <t>2026-06-10 10:35</t>
  </si>
  <si>
    <t>Envío retenido</t>
  </si>
  <si>
    <t>2026-06-08 11:41</t>
  </si>
  <si>
    <t>E-Commerce</t>
  </si>
  <si>
    <t>Calera</t>
  </si>
  <si>
    <t>Vicuña</t>
  </si>
  <si>
    <t>Puchuncaví</t>
  </si>
  <si>
    <t>Puerto Varas</t>
  </si>
  <si>
    <t>Express</t>
  </si>
  <si>
    <t>San José de Maipo</t>
  </si>
  <si>
    <t>EN REPARTO</t>
  </si>
  <si>
    <t>2026-06-14 20:12</t>
  </si>
  <si>
    <t>Illapel</t>
  </si>
  <si>
    <t>Angol</t>
  </si>
  <si>
    <t>2026-06-19 14:13</t>
  </si>
  <si>
    <t>Santa Cruz</t>
  </si>
  <si>
    <t>Mejillones</t>
  </si>
  <si>
    <t>San Fernando</t>
  </si>
  <si>
    <t>Los Vilos</t>
  </si>
  <si>
    <t>2026-05-22 10:09</t>
  </si>
  <si>
    <t>Victoria</t>
  </si>
  <si>
    <t>San Carlos</t>
  </si>
  <si>
    <t>Quintero</t>
  </si>
  <si>
    <t>Nogales</t>
  </si>
  <si>
    <t>Valparaíso</t>
  </si>
  <si>
    <t>2026-06-19 15:59</t>
  </si>
  <si>
    <t>2026-06-19 13:24</t>
  </si>
  <si>
    <t>Andacollo</t>
  </si>
  <si>
    <t>Punta Arenas</t>
  </si>
  <si>
    <t>2026-06-12 12:18</t>
  </si>
  <si>
    <t>Tierra Amarilla</t>
  </si>
  <si>
    <t>Pirque</t>
  </si>
  <si>
    <t>2026-06-04 13:24</t>
  </si>
  <si>
    <t>2026-06-02 14:46</t>
  </si>
  <si>
    <t>Tiltil</t>
  </si>
  <si>
    <t>Coltauco</t>
  </si>
  <si>
    <t>Doñihue</t>
  </si>
  <si>
    <t>Molina</t>
  </si>
  <si>
    <t>Algarrobo</t>
  </si>
  <si>
    <t>Pinto</t>
  </si>
  <si>
    <t>El Quisco</t>
  </si>
  <si>
    <t>Santo Domingo</t>
  </si>
  <si>
    <t>Bulnes</t>
  </si>
  <si>
    <t>La Ligua</t>
  </si>
  <si>
    <t>Traiguén</t>
  </si>
  <si>
    <t>Chañaral</t>
  </si>
  <si>
    <t>Caldera</t>
  </si>
  <si>
    <t>Cañete</t>
  </si>
  <si>
    <t>Nueva Imperial</t>
  </si>
  <si>
    <t>Panguipulli</t>
  </si>
  <si>
    <t>Coyhaique</t>
  </si>
  <si>
    <t>Llaillay</t>
  </si>
  <si>
    <t>Cauquenes</t>
  </si>
  <si>
    <t>NOMBRE RETIRA: JOSE RIVAS . RUT RETIRA: 6667730-3</t>
  </si>
  <si>
    <t>La Cruz</t>
  </si>
  <si>
    <t>Los Álamos</t>
  </si>
  <si>
    <t>San Vicente</t>
  </si>
  <si>
    <t>Carolina Ostale</t>
  </si>
  <si>
    <t>2026-06-01 11:04</t>
  </si>
  <si>
    <t>Curacaví</t>
  </si>
  <si>
    <t>Galvarino</t>
  </si>
  <si>
    <t>Frutillar</t>
  </si>
  <si>
    <t>Calbuco</t>
  </si>
  <si>
    <t>2026-05-25 11:03</t>
  </si>
  <si>
    <t>Zapallar</t>
  </si>
  <si>
    <t>2026-06-01 23:00</t>
  </si>
  <si>
    <t>San Javier</t>
  </si>
  <si>
    <t>2026-06-01 11:16</t>
  </si>
  <si>
    <t>2026-06-21 21:42</t>
  </si>
  <si>
    <t>Teno</t>
  </si>
  <si>
    <t>Llanquihue</t>
  </si>
  <si>
    <t>Ancud</t>
  </si>
  <si>
    <t>Cobquecura</t>
  </si>
  <si>
    <t>Lolol</t>
  </si>
  <si>
    <t>2026-06-03 22:54</t>
  </si>
  <si>
    <t>2026-06-03 17:18</t>
  </si>
  <si>
    <t>Calle Larga</t>
  </si>
  <si>
    <t>Arauco</t>
  </si>
  <si>
    <t>2026-06-01 17:12</t>
  </si>
  <si>
    <t>2026-06-01 13:54</t>
  </si>
  <si>
    <t>Francisca Bravo</t>
  </si>
  <si>
    <t>Angela Salazar</t>
  </si>
  <si>
    <t>CARMEN GLORIA CUMSILLE PIDDO</t>
  </si>
  <si>
    <t>Constanza Contreras</t>
  </si>
  <si>
    <t>2026-06-23 23:09</t>
  </si>
  <si>
    <t>2026-06-18 18:15</t>
  </si>
  <si>
    <t>Requínoa</t>
  </si>
  <si>
    <t>Florida</t>
  </si>
  <si>
    <t>2026-06-16 10:52</t>
  </si>
  <si>
    <t>2026-06-11 20:27</t>
  </si>
  <si>
    <t>Curacautín</t>
  </si>
  <si>
    <t>Cartagena</t>
  </si>
  <si>
    <t>2026-06-05 11:51</t>
  </si>
  <si>
    <t>2026-06-03 20:40</t>
  </si>
  <si>
    <t>2026-06-03 14:19</t>
  </si>
  <si>
    <t>Lanco</t>
  </si>
  <si>
    <t>Renaico</t>
  </si>
  <si>
    <t>2026-06-06 11:24</t>
  </si>
  <si>
    <t>Vilcún</t>
  </si>
  <si>
    <t>Río Negro</t>
  </si>
  <si>
    <t>2026-06-04 21:15</t>
  </si>
  <si>
    <t>2026-06-04 10:57</t>
  </si>
  <si>
    <t>Chimbarongo</t>
  </si>
  <si>
    <t>Chillán Viejo</t>
  </si>
  <si>
    <t>Dalcahue</t>
  </si>
  <si>
    <t>Quellón</t>
  </si>
  <si>
    <t>2026-06-03 20:28</t>
  </si>
  <si>
    <t>2026-06-03 14:12</t>
  </si>
  <si>
    <t>2026-06-03 12:25</t>
  </si>
  <si>
    <t>Graneros</t>
  </si>
  <si>
    <t>Papudo</t>
  </si>
  <si>
    <t>2026-06-02 11:21</t>
  </si>
  <si>
    <t>Manuel Paredes</t>
  </si>
  <si>
    <t>2026-06-01 22:29</t>
  </si>
  <si>
    <t>2026-06-01 14:49</t>
  </si>
  <si>
    <t>2026-06-01 11:31</t>
  </si>
  <si>
    <t>Antuco</t>
  </si>
  <si>
    <t>Coihueco</t>
  </si>
  <si>
    <t>2026-05-31 08:57</t>
  </si>
  <si>
    <t>Felipe Urrutia</t>
  </si>
  <si>
    <t>Fernando Torres</t>
  </si>
  <si>
    <t>Carolina Toro</t>
  </si>
  <si>
    <t>2026-06-19 10:25</t>
  </si>
  <si>
    <t>2026-06-17 18:52</t>
  </si>
  <si>
    <t>2026-06-16 21:26</t>
  </si>
  <si>
    <t>2026-06-16 10:53</t>
  </si>
  <si>
    <t>2026-06-15 11:08</t>
  </si>
  <si>
    <t>2026-06-12 16:53</t>
  </si>
  <si>
    <t>2026-06-10 11:17</t>
  </si>
  <si>
    <t>2026-06-06 11:56</t>
  </si>
  <si>
    <t>2026-06-04 19:16</t>
  </si>
  <si>
    <t>2026-06-03 16:12</t>
  </si>
  <si>
    <t>2026-06-03 10:48</t>
  </si>
  <si>
    <t>Carolina Arriagada</t>
  </si>
  <si>
    <t>2026-06-02 21:18</t>
  </si>
  <si>
    <t>2026-06-02 14:15</t>
  </si>
  <si>
    <t>2026-06-01 14:40</t>
  </si>
  <si>
    <t>2026-05-31 20:04</t>
  </si>
  <si>
    <t>2026-05-31 11:58</t>
  </si>
  <si>
    <t>San Pedro de Atacama</t>
  </si>
  <si>
    <t>NOMBRE RETIRA: RICARDO GONZALEZ GONZALEZ RUT RETIRA: 53322683-3</t>
  </si>
  <si>
    <t>2026-06-02 16:26</t>
  </si>
  <si>
    <t>NOMBRE RETIRA: MIGUEL ARIAS . RUT RETIRA: 12070485-0</t>
  </si>
  <si>
    <t>2026-05-27 12:03</t>
  </si>
  <si>
    <t>NOMBRE RETIRA: RUBEN . . RUT RETIRA: 53310370-7</t>
  </si>
  <si>
    <t>Gabriela Alvear</t>
  </si>
  <si>
    <t>2026-06-17 20:26</t>
  </si>
  <si>
    <t>Casablanca</t>
  </si>
  <si>
    <t>DEVOLUCION ENTREGADA</t>
  </si>
  <si>
    <t>Yumbel</t>
  </si>
  <si>
    <t>2026-06-16 17:02</t>
  </si>
  <si>
    <t>NOMBRE RETIRA: MARIA RODRIGUEZ . RUT RETIRA: 65130888-7</t>
  </si>
  <si>
    <t>2026-06-04 14:05</t>
  </si>
  <si>
    <t>NOMBRE RETIRA: RUT RETIRA: 1-9</t>
  </si>
  <si>
    <t>2026-05-29 10:18</t>
  </si>
  <si>
    <t>Carolina Rodríguez</t>
  </si>
  <si>
    <t>Natales</t>
  </si>
  <si>
    <t>2026-06-01 17:41</t>
  </si>
  <si>
    <t>2026-06-01 01:04</t>
  </si>
  <si>
    <t>2026-06-01 00:57</t>
  </si>
  <si>
    <t>2026-05-29 10:14</t>
  </si>
  <si>
    <t>2026-06-03 20:41</t>
  </si>
  <si>
    <t>2026-06-03 23:46</t>
  </si>
  <si>
    <t>Carlos Pizarro</t>
  </si>
  <si>
    <t>2026-05-30 11:16</t>
  </si>
  <si>
    <t>Valentina Salazar</t>
  </si>
  <si>
    <t>Pichilemu</t>
  </si>
  <si>
    <t>Cristian Morales</t>
  </si>
  <si>
    <t>Petorca</t>
  </si>
  <si>
    <t>Marcos Garrido</t>
  </si>
  <si>
    <t>2026-06-01 11:32</t>
  </si>
  <si>
    <t>Sonia Muñoz</t>
  </si>
  <si>
    <t>2026-05-28 10:24</t>
  </si>
  <si>
    <t>Navidad</t>
  </si>
  <si>
    <t>Hijuelas</t>
  </si>
  <si>
    <t>2026-06-15 22:09</t>
  </si>
  <si>
    <t>2026-06-18 11:56</t>
  </si>
  <si>
    <t>2026-06-01 10:29</t>
  </si>
  <si>
    <t>Quinchao</t>
  </si>
  <si>
    <t>2026-06-06 16:45</t>
  </si>
  <si>
    <t>Javiera Espinoza</t>
  </si>
  <si>
    <t>Marcela Fuenzalida</t>
  </si>
  <si>
    <t>San Rosendo</t>
  </si>
  <si>
    <t>2026-06-03 12:22</t>
  </si>
  <si>
    <t>Marcelo Gonzalez</t>
  </si>
  <si>
    <t>Carolina Morales</t>
  </si>
  <si>
    <t>Claudia Torres</t>
  </si>
  <si>
    <t>2026-06-01 13:56</t>
  </si>
  <si>
    <t>2026-06-17 16:07</t>
  </si>
  <si>
    <t>Porvenir</t>
  </si>
  <si>
    <t>Purén</t>
  </si>
  <si>
    <t>Colbún</t>
  </si>
  <si>
    <t>San Fabián</t>
  </si>
  <si>
    <t>Curepto</t>
  </si>
  <si>
    <t>Carahue</t>
  </si>
  <si>
    <t>Hualaihué</t>
  </si>
  <si>
    <t>Coelemu</t>
  </si>
  <si>
    <t>Canela</t>
  </si>
  <si>
    <t>Malloa</t>
  </si>
  <si>
    <t>Pichidegua</t>
  </si>
  <si>
    <t>Chaitén</t>
  </si>
  <si>
    <t>Nicole Franco Aguilera</t>
  </si>
  <si>
    <t>2026-05-29 11:56</t>
  </si>
  <si>
    <t>2026-06-15 12:47</t>
  </si>
  <si>
    <t>2026-06-01 12:11</t>
  </si>
  <si>
    <t>2026-06-04 21:09</t>
  </si>
  <si>
    <t>Rodrigo Garcia</t>
  </si>
  <si>
    <t>2026-06-18 10:45</t>
  </si>
  <si>
    <t>2026-06-01 22:43</t>
  </si>
  <si>
    <t>2026-06-03 20:35</t>
  </si>
  <si>
    <t>2026-06-02 16:54</t>
  </si>
  <si>
    <t>2026-06-01 23:16</t>
  </si>
  <si>
    <t>Los Muermos</t>
  </si>
  <si>
    <t>2026-06-01 15:35</t>
  </si>
  <si>
    <t>Vanessa Trujillo González</t>
  </si>
  <si>
    <t>Paula jaraquemada 1327, población Manuel Rodríguez, Casa</t>
  </si>
  <si>
    <t>2026-05-22 22:28</t>
  </si>
  <si>
    <t>2026-05-26 10:17</t>
  </si>
  <si>
    <t>2026-06-09 20:16</t>
  </si>
  <si>
    <t>2026-05-29 10:16</t>
  </si>
  <si>
    <t>2026-05-31 20:03</t>
  </si>
  <si>
    <t>2026-06-01 09:58</t>
  </si>
  <si>
    <t>Luis Rivera</t>
  </si>
  <si>
    <t>2026-06-03 20:36</t>
  </si>
  <si>
    <t>2026-06-03 14:06</t>
  </si>
  <si>
    <t>2026-06-03 11:17</t>
  </si>
  <si>
    <t>2026-06-03 12:04</t>
  </si>
  <si>
    <t>2026-06-03 20:42</t>
  </si>
  <si>
    <t>2026-06-22 10:13</t>
  </si>
  <si>
    <t>2026-06-18 10:46</t>
  </si>
  <si>
    <t>2026-06-07 21:43</t>
  </si>
  <si>
    <t>Cecile Garreaud</t>
  </si>
  <si>
    <t>2026-05-24 10:15</t>
  </si>
  <si>
    <t>2026-06-10 10:40</t>
  </si>
  <si>
    <t>2026-06-23 10:45</t>
  </si>
  <si>
    <t>2026-06-01 22:24</t>
  </si>
  <si>
    <t>2026-06-03 20:29</t>
  </si>
  <si>
    <t>2026-06-02 16:56</t>
  </si>
  <si>
    <t>2026-06-18 11:55</t>
  </si>
  <si>
    <t>Andrea Arriagada</t>
  </si>
  <si>
    <t>2026-06-10 10:41</t>
  </si>
  <si>
    <t>2026-06-07 22:40</t>
  </si>
  <si>
    <t>2026-05-29 12:16</t>
  </si>
  <si>
    <t>2026-05-29 11:57</t>
  </si>
  <si>
    <t>2026-05-29 20:25</t>
  </si>
  <si>
    <t>2026-06-03 10:47</t>
  </si>
  <si>
    <t>2026-06-04 21:33</t>
  </si>
  <si>
    <t>2026-05-30 19:35</t>
  </si>
  <si>
    <t>Rodrigo Contreras</t>
  </si>
  <si>
    <t>2026-05-28 10:20</t>
  </si>
  <si>
    <t>Cabo de Hornos</t>
  </si>
  <si>
    <t>Daniela Olivares</t>
  </si>
  <si>
    <t>2026-06-02 14:35</t>
  </si>
  <si>
    <t>2026-06-03 14:58</t>
  </si>
  <si>
    <t>2026-06-17 11:53</t>
  </si>
  <si>
    <t>2026-06-16 12:53</t>
  </si>
  <si>
    <t>2026-05-27 21:10</t>
  </si>
  <si>
    <t>2026-05-22 19:03</t>
  </si>
  <si>
    <t>Perquenco</t>
  </si>
  <si>
    <t>Curarrehue</t>
  </si>
  <si>
    <t>Rodrigo Miranda</t>
  </si>
  <si>
    <t>2026-06-22 10:11</t>
  </si>
  <si>
    <t>2026-06-15 11:47</t>
  </si>
  <si>
    <t>2026-06-08 12:12</t>
  </si>
  <si>
    <t>2026-06-19 11:06</t>
  </si>
  <si>
    <t>2026-06-17 16:02</t>
  </si>
  <si>
    <t>2026-06-12 16:57</t>
  </si>
  <si>
    <t>2026-06-12 16:56</t>
  </si>
  <si>
    <t>2026-06-09 13:48</t>
  </si>
  <si>
    <t>2026-06-05 11:19</t>
  </si>
  <si>
    <t>2026-06-03 10:49</t>
  </si>
  <si>
    <t>Cristobal Flores</t>
  </si>
  <si>
    <t>2026-06-27 10:39</t>
  </si>
  <si>
    <t>2026-06-23 10:44</t>
  </si>
  <si>
    <t>2026-06-18 10:43</t>
  </si>
  <si>
    <t>2026-06-17 11:28</t>
  </si>
  <si>
    <t>2026-06-17 10:53</t>
  </si>
  <si>
    <t>2026-06-16 17:03</t>
  </si>
  <si>
    <t>2026-06-15 22:28</t>
  </si>
  <si>
    <t>2026-06-12 10:30</t>
  </si>
  <si>
    <t>2026-06-04 21:14</t>
  </si>
  <si>
    <t>Victor Gonzalez</t>
  </si>
  <si>
    <t>2026-06-03 15:16</t>
  </si>
  <si>
    <t>Carlos Alvarez</t>
  </si>
  <si>
    <t>2026-05-31 17:08</t>
  </si>
  <si>
    <t>2026-05-29 15:35</t>
  </si>
  <si>
    <t>2026-06-15 22:01</t>
  </si>
  <si>
    <t>NOMBRE RETIRA: MILTON SOTO . RUT RETIRA: 11111111-1</t>
  </si>
  <si>
    <t>2026-06-09 16:45</t>
  </si>
  <si>
    <t>NOMBRE RETIRA: DIEGO . . RUT RETIRA: 12345678-5</t>
  </si>
  <si>
    <t>Francisco Sepulveda</t>
  </si>
  <si>
    <t>2026-06-03 12:32</t>
  </si>
  <si>
    <t>2026-06-02 12:17</t>
  </si>
  <si>
    <t>NOMBRE RETIRA: JORGE . . RUT RETIRA: 53330390-0</t>
  </si>
  <si>
    <t>2026-06-19 09:22</t>
  </si>
  <si>
    <t>2026-06-16 10:48</t>
  </si>
  <si>
    <t>Sebastián Gonzalez</t>
  </si>
  <si>
    <t>2026-05-27 10:01</t>
  </si>
  <si>
    <t>2026-05-26 13:07</t>
  </si>
  <si>
    <t>2026-05-25 11:04</t>
  </si>
  <si>
    <t>2026-06-19 12:27</t>
  </si>
  <si>
    <t>2026-06-23 09:54</t>
  </si>
  <si>
    <t>2026-06-16 14:59</t>
  </si>
  <si>
    <t>2026-06-03 10:18</t>
  </si>
  <si>
    <t>2026-06-01 08:34</t>
  </si>
  <si>
    <t>Juan Carlos</t>
  </si>
  <si>
    <t>2026-05-30 13:10</t>
  </si>
  <si>
    <t>2026-05-31 20:02</t>
  </si>
  <si>
    <t>San Ignacio</t>
  </si>
  <si>
    <t>2026-06-11 10:36</t>
  </si>
  <si>
    <t>2026-06-16 11:06</t>
  </si>
  <si>
    <t>2026-06-16 11:07</t>
  </si>
  <si>
    <t>2026-06-02 14:16</t>
  </si>
  <si>
    <t>2026-06-08 11:34</t>
  </si>
  <si>
    <t>2026-06-16 11:33</t>
  </si>
  <si>
    <t>2026-05-27 10:33</t>
  </si>
  <si>
    <t>2026-06-09 12:39</t>
  </si>
  <si>
    <t>Luis Reyes</t>
  </si>
  <si>
    <t>NOMBRE RETIRA: RAQUEL SOTO . RUT RETIRA: 11218682-4</t>
  </si>
  <si>
    <t>2026-06-16 13:51</t>
  </si>
  <si>
    <t>2026-06-11 20:23</t>
  </si>
  <si>
    <t>2026-06-09 10:56</t>
  </si>
  <si>
    <t>2026-06-09 10:59</t>
  </si>
  <si>
    <t>2026-05-25 11:22</t>
  </si>
  <si>
    <t>2026-06-03 16:41</t>
  </si>
  <si>
    <t>2026-05-26 21:21</t>
  </si>
  <si>
    <t>NOMBRE RETIRA: BRENO ONETTO .. RUT RETIRA: 17547071-9</t>
  </si>
  <si>
    <t>Breno Onetto Muñoz</t>
  </si>
  <si>
    <t>2026-05-22 12:27</t>
  </si>
  <si>
    <t>José Luis Escobar Álvarez</t>
  </si>
  <si>
    <t>2026-06-09 15:20</t>
  </si>
  <si>
    <t>2026-06-12 17:00</t>
  </si>
  <si>
    <t>NOMBRE RETIRA: MAGDALENA CATALAN . RUT RETIRA: 11100298-3</t>
  </si>
  <si>
    <t>Ana María Fuentes Valdes</t>
  </si>
  <si>
    <t>Claudia Montenegro</t>
  </si>
  <si>
    <t>2026-05-23 13:44</t>
  </si>
  <si>
    <t>O'Higgins</t>
  </si>
  <si>
    <t>Carlos Contreras</t>
  </si>
  <si>
    <t>2026-06-16 11:38</t>
  </si>
  <si>
    <t>NOMBRE RETIRA: LORENA AMOLEF . RUT RETIRA: 14084960-K</t>
  </si>
  <si>
    <t>2026-06-01 12:12</t>
  </si>
  <si>
    <t>Daniel Soto</t>
  </si>
  <si>
    <t>2026-05-30 13:14</t>
  </si>
  <si>
    <t>2026-06-16 10:50</t>
  </si>
  <si>
    <t>Francisca Miranda</t>
  </si>
  <si>
    <t>2026-05-31 20:33</t>
  </si>
  <si>
    <t>Chile Chico</t>
  </si>
  <si>
    <t>NOMBRE RETIRA: RITA CIFUENTES . RUT RETIRA: 8840597-8</t>
  </si>
  <si>
    <t>NOMBRE RETIRA: ANA ROA J RUT RETIRA: 14618916-4</t>
  </si>
  <si>
    <t>NOMBRE RETIRA: CAMILO GUERRERO . RUT RETIRA: 8807417-3</t>
  </si>
  <si>
    <t>NOMBRE RETIRA: MARYORI VARGAS . RUT RETIRA: 14107020-7</t>
  </si>
  <si>
    <t>NOMBRE RETIRA: RODRIGO MELIN . RUT RETIRA: 17542197-1</t>
  </si>
  <si>
    <t>NOMBRE RETIRA: CONSERJERIA O O RUT RETIRA: 12345678-5</t>
  </si>
  <si>
    <t>NOMBRE RETIRA: MARIA MORA . RUT RETIRA: 27104633-2</t>
  </si>
  <si>
    <t>2026-05-29 10:59</t>
  </si>
  <si>
    <t>NOMBRE RETIRA: JESSICA CARMONA . RUT RETIRA: 14110979-0</t>
  </si>
  <si>
    <t>2026-05-27 10:03</t>
  </si>
  <si>
    <t>NOMBRE RETIRA: SERGIO BUENO A RUT RETIRA: 20137133-3</t>
  </si>
  <si>
    <t>2026-06-13 11:10</t>
  </si>
  <si>
    <t>2026-06-14 20:01</t>
  </si>
  <si>
    <t>NOMBRE RETIRA: JUAN . . RUT RETIRA: 53330390-0</t>
  </si>
  <si>
    <t>2026-05-27 12:00</t>
  </si>
  <si>
    <t>Camila Contreras</t>
  </si>
  <si>
    <t>NOMBRE RETIRA: CONCERJE K K RUT RETIRA: 12345678-5</t>
  </si>
  <si>
    <t>2026-06-18 11:41</t>
  </si>
  <si>
    <t>2026-06-02 16:00</t>
  </si>
  <si>
    <t>2026-06-10 22:20</t>
  </si>
  <si>
    <t>Pumanque</t>
  </si>
  <si>
    <t>NOMBRE RETIRA: MAURICIO SAAVEDRA SAAVEDRA RUT RETIRA: 12284410-2</t>
  </si>
  <si>
    <t>2026-06-16 15:10</t>
  </si>
  <si>
    <t>NOMBRE RETIRA: XIMENA CATALAN . RUT RETIRA: 13403735-0</t>
  </si>
  <si>
    <t>2026-06-15 11:41</t>
  </si>
  <si>
    <t>2026-06-15 10:26</t>
  </si>
  <si>
    <t>2026-06-11 16:05</t>
  </si>
  <si>
    <t>2026-06-08 20:49</t>
  </si>
  <si>
    <t>2026-06-05 14:21</t>
  </si>
  <si>
    <t>Brenda Oyarzún</t>
  </si>
  <si>
    <t>2026-06-06 18:42</t>
  </si>
  <si>
    <t>Lissette Yutronic</t>
  </si>
  <si>
    <t>Javier Molina</t>
  </si>
  <si>
    <t>NOMBRE RETIRA: JONATHAN BUSTOS . RUT RETIRA: 16904249-7</t>
  </si>
  <si>
    <t>2026-06-01 19:53</t>
  </si>
  <si>
    <t>NOMBRE RETIRA: CARLOS CORTEZ . RUT RETIRA: 53334225-6</t>
  </si>
  <si>
    <t>Claudia Vera</t>
  </si>
  <si>
    <t>NOMBRE RETIRA: MATIAS TRONCOSO . RUT RETIRA: 21767073-K</t>
  </si>
  <si>
    <t>NOMBRE RETIRA: LUIS PESO BELTRAN RUT RETIRA: 1111111-4</t>
  </si>
  <si>
    <t>Luis Peso Beltrán</t>
  </si>
  <si>
    <t>Calle Marinan 205</t>
  </si>
  <si>
    <t>2026-05-28 12:23</t>
  </si>
  <si>
    <t>ANDRES ESPINOZA</t>
  </si>
  <si>
    <t>NOMBRE RETIRA: FELIX CARRASCO CARRASCO RUT RETIRA: 8605174-5</t>
  </si>
  <si>
    <t>2026-05-25 21:11</t>
  </si>
  <si>
    <t>Natalia Rodríguez</t>
  </si>
  <si>
    <t>NOMBRE RETIRA: MONICA GALAN . RUT RETIRA: 28891547-4</t>
  </si>
  <si>
    <t>NOMBRE RETIRA: CONCERJE K J RUT RETIRA: 12345678-5</t>
  </si>
  <si>
    <t>angelica pinto pinto</t>
  </si>
  <si>
    <t>2026-06-02 18:58</t>
  </si>
  <si>
    <t>Javiera Aguirre</t>
  </si>
  <si>
    <t>NOMBRE RETIRA: ANGEL HIDALGO . RUT RETIRA: 65203087-4</t>
  </si>
  <si>
    <t>NOMBRE RETIRA: ALANIS GALDAMES . RUT RETIRA: 22297771-1</t>
  </si>
  <si>
    <t>2026-06-01 01:02</t>
  </si>
  <si>
    <t>2026-05-26 11:45</t>
  </si>
  <si>
    <t>Expirado</t>
  </si>
  <si>
    <t>Claudia Figueroa</t>
  </si>
  <si>
    <t>Jonathan Perez</t>
  </si>
  <si>
    <t>Marcela Garrido</t>
  </si>
  <si>
    <t>Francisco Leyton</t>
  </si>
  <si>
    <t>Silvia Vega</t>
  </si>
  <si>
    <t>Carlos Orellana</t>
  </si>
  <si>
    <t>Daniela Flores</t>
  </si>
  <si>
    <t>Rosario Galleguillos</t>
  </si>
  <si>
    <t>Constanza Sepúlveda</t>
  </si>
  <si>
    <t>Alejandra Armijo</t>
  </si>
  <si>
    <t>Diego Leon</t>
  </si>
  <si>
    <t>Carolina Godoy</t>
  </si>
  <si>
    <t>Francisco Gonzalez</t>
  </si>
  <si>
    <t>Juan Carlos Salazar</t>
  </si>
  <si>
    <t>Carlos Henríquez</t>
  </si>
  <si>
    <t>Cecilia Villalobos</t>
  </si>
  <si>
    <t>Carlos Fernández</t>
  </si>
  <si>
    <t>Avenida Isidoro del Solar 21</t>
  </si>
  <si>
    <t>Diego Soto</t>
  </si>
  <si>
    <t>Andrea Villalobos</t>
  </si>
  <si>
    <t>Marcela Hinrichs</t>
  </si>
  <si>
    <t>Laura Gonzalez</t>
  </si>
  <si>
    <t>Alejandra Hidalgo</t>
  </si>
  <si>
    <t>Jonathan Vega</t>
  </si>
  <si>
    <t>Patricia Sanchez</t>
  </si>
  <si>
    <t>Erick Hurtado</t>
  </si>
  <si>
    <t>Daniela Ortiz</t>
  </si>
  <si>
    <t>Ximena Romero</t>
  </si>
  <si>
    <t>Francisca Mella</t>
  </si>
  <si>
    <t>Pia Morales</t>
  </si>
  <si>
    <t>Macarena Araya</t>
  </si>
  <si>
    <t>Francisco Inostroza</t>
  </si>
  <si>
    <t>Felipe Poblete</t>
  </si>
  <si>
    <t>Marianela Valenzuela barra</t>
  </si>
  <si>
    <t>Camila Ibañez</t>
  </si>
  <si>
    <t>Soledad Saavedra</t>
  </si>
  <si>
    <t>Pilar Silva</t>
  </si>
  <si>
    <t>Pablo Gutiérrez</t>
  </si>
  <si>
    <t>Jose Gualaman</t>
  </si>
  <si>
    <t>Jessica Ruiz</t>
  </si>
  <si>
    <t>Daniel Figueroa</t>
  </si>
  <si>
    <t>Jorge Lagos</t>
  </si>
  <si>
    <t>rodrigo molina</t>
  </si>
  <si>
    <t>Paula Fuentes</t>
  </si>
  <si>
    <t>Diego Reyes</t>
  </si>
  <si>
    <t>Manuel Vallejos</t>
  </si>
  <si>
    <t>Claudia Mancilla</t>
  </si>
  <si>
    <t>Paulina Vasquez</t>
  </si>
  <si>
    <t>Jacqueline Soto</t>
  </si>
  <si>
    <t>Fernanda Herrera</t>
  </si>
  <si>
    <t>Rodrigo Fernandez</t>
  </si>
  <si>
    <t>macarena diaz</t>
  </si>
  <si>
    <t>Carolina Gutierrez</t>
  </si>
  <si>
    <t>Paola Escobar</t>
  </si>
  <si>
    <t>Javiera Canales</t>
  </si>
  <si>
    <t>Pablo Campillay</t>
  </si>
  <si>
    <t>Kevin Escobar</t>
  </si>
  <si>
    <t>Rocio Becerra</t>
  </si>
  <si>
    <t>Felipe Mendez</t>
  </si>
  <si>
    <t>Gonzalo Ojeda Tapia</t>
  </si>
  <si>
    <t>Marcelo Soto</t>
  </si>
  <si>
    <t>Patricio Sandoval</t>
  </si>
  <si>
    <t>Patricia Acuña</t>
  </si>
  <si>
    <t>Sebastian Hidalgo</t>
  </si>
  <si>
    <t>Constanza Fuentealba</t>
  </si>
  <si>
    <t>Nicolas Donoso</t>
  </si>
  <si>
    <t>Tamara Sepulveda</t>
  </si>
  <si>
    <t>Aaron Gaete</t>
  </si>
  <si>
    <t>Maria Ramirez</t>
  </si>
  <si>
    <t>Carlos Cortes</t>
  </si>
  <si>
    <t>Ximena Moraga</t>
  </si>
  <si>
    <t>Rodolfo Muñoz</t>
  </si>
  <si>
    <t>Alicia Lobos</t>
  </si>
  <si>
    <t>Evelyn Azócar</t>
  </si>
  <si>
    <t>Jacqueline Bustamante</t>
  </si>
  <si>
    <t>Tamara Vega</t>
  </si>
  <si>
    <t>Isamar Castillo</t>
  </si>
  <si>
    <t>Rodrigo Verdugo</t>
  </si>
  <si>
    <t>Lorena Vasquez</t>
  </si>
  <si>
    <t>Maira Manriquez</t>
  </si>
  <si>
    <t>Alejandra Moreira</t>
  </si>
  <si>
    <t>Elizabeth Rebolledo</t>
  </si>
  <si>
    <t>Alex Diaz</t>
  </si>
  <si>
    <t>Barbara Araya</t>
  </si>
  <si>
    <t>Francisca Larraín</t>
  </si>
  <si>
    <t>Mario Espinoza</t>
  </si>
  <si>
    <t>Marjorie Pereira</t>
  </si>
  <si>
    <t>Mariela Ramirez</t>
  </si>
  <si>
    <t>Gonzalo Osorio</t>
  </si>
  <si>
    <t>Juan Hernandez</t>
  </si>
  <si>
    <t>Marcela Ramírez</t>
  </si>
  <si>
    <t>Valeria Burgos</t>
  </si>
  <si>
    <t>Jose Espinoza</t>
  </si>
  <si>
    <t>Nicolas Mejias</t>
  </si>
  <si>
    <t>Jocelyn Jara</t>
  </si>
  <si>
    <t>Christian Alvarez</t>
  </si>
  <si>
    <t>Wilson Rojas</t>
  </si>
  <si>
    <t>Pedro Martinez</t>
  </si>
  <si>
    <t>Flavio Soto</t>
  </si>
  <si>
    <t>Carlos Araya</t>
  </si>
  <si>
    <t>Betzabe Aguilar</t>
  </si>
  <si>
    <t>Carolina Cid</t>
  </si>
  <si>
    <t>Silvana Vitali</t>
  </si>
  <si>
    <t>Isabel Henriquez</t>
  </si>
  <si>
    <t>Esteban San Martin</t>
  </si>
  <si>
    <t>Patricio Lynch 450</t>
  </si>
  <si>
    <t>Jorge Parra</t>
  </si>
  <si>
    <t>Nicole Guzman</t>
  </si>
  <si>
    <t>Claudia Abarca</t>
  </si>
  <si>
    <t>Daniela Gomez</t>
  </si>
  <si>
    <t>Carlos Arriagada</t>
  </si>
  <si>
    <t>Carlos Sánchez</t>
  </si>
  <si>
    <t>Daniela Fuenzalida</t>
  </si>
  <si>
    <t>Ximena Sanchez</t>
  </si>
  <si>
    <t>El Quisco 677</t>
  </si>
  <si>
    <t>Ivan Latorre</t>
  </si>
  <si>
    <t>karla mora</t>
  </si>
  <si>
    <t>Gisella Venegas</t>
  </si>
  <si>
    <t>Daniela Padilla</t>
  </si>
  <si>
    <t>ISABEL PRADENA</t>
  </si>
  <si>
    <t>Daniela Hormazabal</t>
  </si>
  <si>
    <t>Manuel Castro</t>
  </si>
  <si>
    <t>Cristian Ramírez</t>
  </si>
  <si>
    <t>Karen Alarcón</t>
  </si>
  <si>
    <t>Manuel Carvajal</t>
  </si>
  <si>
    <t>Mariana Carrasco</t>
  </si>
  <si>
    <t>Cesar Lara</t>
  </si>
  <si>
    <t>Camila Calderón</t>
  </si>
  <si>
    <t>Mauricio Alfaro</t>
  </si>
  <si>
    <t>Pamela Bernal</t>
  </si>
  <si>
    <t>Juan Cortés</t>
  </si>
  <si>
    <t>Alonso Venegas</t>
  </si>
  <si>
    <t>Javier Flores</t>
  </si>
  <si>
    <t>Pamela Mansilla</t>
  </si>
  <si>
    <t>Felipe Cárdenas</t>
  </si>
  <si>
    <t>Marcela Sánchez</t>
  </si>
  <si>
    <t>Viviana Hernandez</t>
  </si>
  <si>
    <t>Daniela Leiva</t>
  </si>
  <si>
    <t>MAGIC MAKEUP</t>
  </si>
  <si>
    <t>Alexis Contreras</t>
  </si>
  <si>
    <t>Ohiggins 470</t>
  </si>
  <si>
    <t>Pamela Rocha</t>
  </si>
  <si>
    <t>Francisca Carrera</t>
  </si>
  <si>
    <t>Julio Aravena</t>
  </si>
  <si>
    <t>Patricio Vallejos</t>
  </si>
  <si>
    <t>Manuel Guzman</t>
  </si>
  <si>
    <t>Viviana Sánchez</t>
  </si>
  <si>
    <t>Fernanda Álvarez</t>
  </si>
  <si>
    <t>Patricia Canales</t>
  </si>
  <si>
    <t>Paz Vargas</t>
  </si>
  <si>
    <t>Patricia Leyton</t>
  </si>
  <si>
    <t>Leonardo Molina</t>
  </si>
  <si>
    <t>Jose Tapia</t>
  </si>
  <si>
    <t>Pablo Diaz</t>
  </si>
  <si>
    <t>Valeria Soriano</t>
  </si>
  <si>
    <t>Sofía Vidal</t>
  </si>
  <si>
    <t>Lou ann Claveria Valdes</t>
  </si>
  <si>
    <t>Romina Toutin</t>
  </si>
  <si>
    <t>Juan Garrido Iglesias</t>
  </si>
  <si>
    <t>lorena miranda</t>
  </si>
  <si>
    <t>Lorena Gutierrez</t>
  </si>
  <si>
    <t>Marcela Aravena Garrido</t>
  </si>
  <si>
    <t>Daniela Guzmán</t>
  </si>
  <si>
    <t>Jorge Cancino</t>
  </si>
  <si>
    <t>2026-06-01 08:53</t>
  </si>
  <si>
    <t>2026-06-01 00:56</t>
  </si>
  <si>
    <t>2026-06-02 14:45</t>
  </si>
  <si>
    <t>2026-06-04 11:05</t>
  </si>
  <si>
    <t>2026-06-16 21:25</t>
  </si>
  <si>
    <t>2026-06-17 11:19</t>
  </si>
  <si>
    <t>2026-06-01 19:54</t>
  </si>
  <si>
    <t>2026-06-02 01:37</t>
  </si>
  <si>
    <t>2026-06-01 17:22</t>
  </si>
  <si>
    <t>2026-06-16 14:22</t>
  </si>
  <si>
    <t>2026-06-16 18:15</t>
  </si>
  <si>
    <t>Ariel Rivera</t>
  </si>
  <si>
    <t>Carolina Pasten</t>
  </si>
  <si>
    <t>Fernando Hoffmann 1743</t>
  </si>
  <si>
    <t>Esteban Bastidas</t>
  </si>
  <si>
    <t>Erika Silva</t>
  </si>
  <si>
    <t>Pedro Aguilar</t>
  </si>
  <si>
    <t>Ricardo Soto</t>
  </si>
  <si>
    <t>Elisa Paredes</t>
  </si>
  <si>
    <t>María Loreto Leiva Mella</t>
  </si>
  <si>
    <t>Daniel Hermosilla</t>
  </si>
  <si>
    <t>Francisca Araya Guzmán</t>
  </si>
  <si>
    <t>Silvia Romero</t>
  </si>
  <si>
    <t>17 oriente 13 norte 2360</t>
  </si>
  <si>
    <t>Cochamó</t>
  </si>
  <si>
    <t>2026-05-31 20:14</t>
  </si>
  <si>
    <t>pia martinez</t>
  </si>
  <si>
    <t>2026-05-28 12:09</t>
  </si>
  <si>
    <t>2026-05-27 15:21</t>
  </si>
  <si>
    <t>2026-06-04 10:19</t>
  </si>
  <si>
    <t>2026-06-09 13:00</t>
  </si>
  <si>
    <t>2026-05-29 10:17</t>
  </si>
  <si>
    <t>2026-05-30 16:03</t>
  </si>
  <si>
    <t>2026-06-11 15:19</t>
  </si>
  <si>
    <t>2026-05-29 20:22</t>
  </si>
  <si>
    <t>PIEZA REZAGADA EN UNIDAD (PROGRAMADO)</t>
  </si>
  <si>
    <t>DISPONIBLE EN SUCURSAL</t>
  </si>
  <si>
    <t>2026-06-07 21:59</t>
  </si>
  <si>
    <t>2026-06-16 11:08</t>
  </si>
  <si>
    <t>2026-06-17 10:56</t>
  </si>
  <si>
    <t>2026-06-12 11:54</t>
  </si>
  <si>
    <t>2026-06-09 08:55</t>
  </si>
  <si>
    <t>2026-06-10 12:20</t>
  </si>
  <si>
    <t>2026-06-09 10:57</t>
  </si>
  <si>
    <t>2026-06-09 12:03</t>
  </si>
  <si>
    <t>2026-06-15 16:50</t>
  </si>
  <si>
    <t>2026-06-17 17:14</t>
  </si>
  <si>
    <t>2026-06-12 11:55</t>
  </si>
  <si>
    <t>2026-06-12 12:35</t>
  </si>
  <si>
    <t>2026-05-27 11:42</t>
  </si>
  <si>
    <t>2026-06-07 21:48</t>
  </si>
  <si>
    <t>Corral</t>
  </si>
  <si>
    <t>2026-06-09 11:03</t>
  </si>
  <si>
    <t>BIT11045828</t>
  </si>
  <si>
    <t>272756024</t>
  </si>
  <si>
    <t>BACK IN TIME</t>
  </si>
  <si>
    <t>Stocka</t>
  </si>
  <si>
    <t>NOMBRE RETIRA: JUAN PARRA . RUT RETIRA: 10599384-6</t>
  </si>
  <si>
    <t>Alvaro Leal Godoy</t>
  </si>
  <si>
    <t>Av. Campos de Deportes 405</t>
  </si>
  <si>
    <t>Lagos 640, Oficina coopeuch horario de oficina</t>
  </si>
  <si>
    <t>2026-06-20 11:02</t>
  </si>
  <si>
    <t>BIT11045924</t>
  </si>
  <si>
    <t>272901341</t>
  </si>
  <si>
    <t>NOMBRE RETIRA: HAROLD TAPIA -- RUT RETIRA: 8258309-2</t>
  </si>
  <si>
    <t>Harold Tapia</t>
  </si>
  <si>
    <t>Barrio Las Torcazas, Calle Los Condores 1978 La Serena</t>
  </si>
  <si>
    <t>2026-06-24 11:03</t>
  </si>
  <si>
    <t>BIT11045880</t>
  </si>
  <si>
    <t>272827715</t>
  </si>
  <si>
    <t>NOMBRE RETIRA: CAROLINA GALLEGOA GALLESGOS RUT RETIRA: 22200278-8</t>
  </si>
  <si>
    <t>Carolina Gallegos maluenda</t>
  </si>
  <si>
    <t>Francisco De Aguirre 1, Casa 3, 3</t>
  </si>
  <si>
    <t>BIT11045908</t>
  </si>
  <si>
    <t>272901441</t>
  </si>
  <si>
    <t>NOMBRE RETIRA: GUILLERMO LEON L RUT RETIRA: 11451476-4</t>
  </si>
  <si>
    <t>Guillermo Leon Calleia</t>
  </si>
  <si>
    <t>Zenón Herrera 3525, Departamento 4B</t>
  </si>
  <si>
    <t>2026-06-23 23:38</t>
  </si>
  <si>
    <t>BIT11045921</t>
  </si>
  <si>
    <t>272901364</t>
  </si>
  <si>
    <t>Ernesto Pinto Lagarrigue, 2973</t>
  </si>
  <si>
    <t>BIT11045884</t>
  </si>
  <si>
    <t>272827684</t>
  </si>
  <si>
    <t>NOMBRE RETIRA: DANTE AVILES A RUT RETIRA: 53301990-0</t>
  </si>
  <si>
    <t>Mauricio Viñambres</t>
  </si>
  <si>
    <t>De veer 1369, 301</t>
  </si>
  <si>
    <t>BIT11045871</t>
  </si>
  <si>
    <t>272827730</t>
  </si>
  <si>
    <t>NOMBRE RETIRA: ANDRES GALLARDO .. RUT RETIRA: 11111111-1</t>
  </si>
  <si>
    <t>ANDRES GALLARDO DONOSO</t>
  </si>
  <si>
    <t>AV PANORAMICA 1204, VILLA LA FLORIDA, CASA ESQUINA</t>
  </si>
  <si>
    <t>BIT11045893</t>
  </si>
  <si>
    <t>272827637</t>
  </si>
  <si>
    <t>NOMBRE RETIRA: ANTONIO ARREDONDO . RUT RETIRA: 53333549-7</t>
  </si>
  <si>
    <t>Gerardo Blanco</t>
  </si>
  <si>
    <t>Avenida Edmundo Eluchans 2305, Depto 1110, Depto 1110</t>
  </si>
  <si>
    <t>BIT11045700</t>
  </si>
  <si>
    <t>272345713</t>
  </si>
  <si>
    <t>NOMBRE RETIRA: MARTA PELLE M RUT RETIRA: 11250964-K</t>
  </si>
  <si>
    <t>Marta Pelle</t>
  </si>
  <si>
    <t>Valle simson 227, Casa</t>
  </si>
  <si>
    <t>BIT11045846</t>
  </si>
  <si>
    <t>272755954</t>
  </si>
  <si>
    <t>NOMBRE RETIRA: VICTOR GARRIDO . RUT RETIRA: 9755072-7</t>
  </si>
  <si>
    <t>Víctor Garrido  López</t>
  </si>
  <si>
    <t>Freiré 673</t>
  </si>
  <si>
    <t>2026-06-21 21:38</t>
  </si>
  <si>
    <t>BIT11045823</t>
  </si>
  <si>
    <t>272756054</t>
  </si>
  <si>
    <t>NOMBRE RETIRA: SILVIA OLLARCE N RUT RETIRA: 53323962-5</t>
  </si>
  <si>
    <t>PATRICIO ENRIQUE SANHUEZA BECAR</t>
  </si>
  <si>
    <t>MANUEL RODRIGUEZ 1180, Depto 607</t>
  </si>
  <si>
    <t>BIT11045854</t>
  </si>
  <si>
    <t>272755898</t>
  </si>
  <si>
    <t>NOMBRE RETIRA: JUAN BUGUENO J RUT RETIRA: 9311816-2</t>
  </si>
  <si>
    <t>Marcela Daian</t>
  </si>
  <si>
    <t>Volcan dona ines 700, Condominio nueva colina casa 66</t>
  </si>
  <si>
    <t>BIT11045842</t>
  </si>
  <si>
    <t>272755943</t>
  </si>
  <si>
    <t>NOMBRE RETIRA: FELIPE MARDONEA SOLIS RUT RETIRA: 15803946-K</t>
  </si>
  <si>
    <t>Felipe Mardones Solis</t>
  </si>
  <si>
    <t>Madrid 733, Población Urmeneta</t>
  </si>
  <si>
    <t>BIT11045834</t>
  </si>
  <si>
    <t>272755987</t>
  </si>
  <si>
    <t>NOMBRE RETIRA: NANCY LOVERA .. RUT RETIRA: 13319421-5</t>
  </si>
  <si>
    <t>Max rodriguez Rodriguez gomez</t>
  </si>
  <si>
    <t>Avenida España 1020  valdivia, Frente hotel villa del rio</t>
  </si>
  <si>
    <t>BIT11045811</t>
  </si>
  <si>
    <t>272636269</t>
  </si>
  <si>
    <t>NOMBRE RETIRA: JONATHAN . . RUT RETIRA: 26209641-6</t>
  </si>
  <si>
    <t>Maestranza 105</t>
  </si>
  <si>
    <t>2026-06-18 21:01</t>
  </si>
  <si>
    <t>BIT11045868</t>
  </si>
  <si>
    <t>272755858</t>
  </si>
  <si>
    <t>NOMBRE RETIRA: CARLOS HENRIQUEZ P RUT RETIRA: 22099975-0</t>
  </si>
  <si>
    <t>Ciudad Copiapó - Avenida Diego de Almagro 91, Edifico Salvador 222, Condominio Diego de Almagro - Torre Salvador 222</t>
  </si>
  <si>
    <t>2026-06-22 11:50</t>
  </si>
  <si>
    <t>BIT11045827</t>
  </si>
  <si>
    <t>272756037</t>
  </si>
  <si>
    <t>NOMBRE RETIRA: RODRIGO BORNECK N RUT RETIRA: 16049588-K</t>
  </si>
  <si>
    <t>Rodrigo Borneck Currieco</t>
  </si>
  <si>
    <t>El Retiro 2, Las Azaleas, parcela 8.</t>
  </si>
  <si>
    <t>BIT11045863</t>
  </si>
  <si>
    <t>272755869</t>
  </si>
  <si>
    <t>NOMBRE RETIRA: CLAUDIO TEOCOSO .. RUT RETIRA: 12345678-5</t>
  </si>
  <si>
    <t>Claudio Troncoso Leyton</t>
  </si>
  <si>
    <t>Avenida Peñuelas Norte 191, Restaurante Pilla La Vaca</t>
  </si>
  <si>
    <t>BIT11045833</t>
  </si>
  <si>
    <t>272755949</t>
  </si>
  <si>
    <t>NOMBRE RETIRA: BASTIAN VEGA . RUT RETIRA: 19599082-4</t>
  </si>
  <si>
    <t>carlos varela</t>
  </si>
  <si>
    <t>Libertad 272, Casa24</t>
  </si>
  <si>
    <t>BIT11045865</t>
  </si>
  <si>
    <t>272755880</t>
  </si>
  <si>
    <t>NOMBRE RETIRA: VERONIC TILOZA F RUT RETIRA: 15855864-5</t>
  </si>
  <si>
    <t>Verónica Toloza Bravo</t>
  </si>
  <si>
    <t>Santo Tomas Becket 460</t>
  </si>
  <si>
    <t>BIT11045855</t>
  </si>
  <si>
    <t>272755920</t>
  </si>
  <si>
    <t>NOMBRE RETIRA: BERNARDO CASANGA . . RUT RETIRA: 13018322-0</t>
  </si>
  <si>
    <t>Avenida Juan Gutierrez 2090, Dpto 402A</t>
  </si>
  <si>
    <t>BIT11045832</t>
  </si>
  <si>
    <t>272755992</t>
  </si>
  <si>
    <t>NOMBRE RETIRA: PILAR BALBOA . RUT RETIRA: 19798281-0</t>
  </si>
  <si>
    <t>johnny jara ruiz</t>
  </si>
  <si>
    <t>avenida Argentina 75</t>
  </si>
  <si>
    <t>BIT11045831</t>
  </si>
  <si>
    <t>272755990</t>
  </si>
  <si>
    <t>NOMBRE RETIRA: MARIA PAZ MUNOZ .. RUT RETIRA: 15206622-8</t>
  </si>
  <si>
    <t>Marco antonio Muñoz matamala</t>
  </si>
  <si>
    <t>Punta arenas 1677, Casa</t>
  </si>
  <si>
    <t>BIT11045510</t>
  </si>
  <si>
    <t>271733294</t>
  </si>
  <si>
    <t>NOMBRE RETIRA: VANESSA MARTINIC . RUT RETIRA: 16636643-7</t>
  </si>
  <si>
    <t>Vanessa Martinic</t>
  </si>
  <si>
    <t>Julia Garay 469</t>
  </si>
  <si>
    <t>BIT11045803</t>
  </si>
  <si>
    <t>272573255</t>
  </si>
  <si>
    <t>NOMBRE RETIRA: DALIBOR SORE KESSRA RUT RETIRA: 24430144-4</t>
  </si>
  <si>
    <t>Dalibor Sore kessra</t>
  </si>
  <si>
    <t>Casa, Ohiggins 1368</t>
  </si>
  <si>
    <t>BIT11045816</t>
  </si>
  <si>
    <t>272636629</t>
  </si>
  <si>
    <t>NOMBRE RETIRA: KARINA AGURRE CORNEJO RUT RETIRA: 21177914-4</t>
  </si>
  <si>
    <t>Rafael Alberto Navarro Alvarez</t>
  </si>
  <si>
    <t>Diego Portales Palazuelos 81, Farmacia Cruz Verde</t>
  </si>
  <si>
    <t>BIT11045776</t>
  </si>
  <si>
    <t>272573297</t>
  </si>
  <si>
    <t>NOMBRE RETIRA: MARITZA VIZA . RUT RETIRA: 12097688-5</t>
  </si>
  <si>
    <t>Maritza Viza</t>
  </si>
  <si>
    <t>Clodomiro Rozas 1102</t>
  </si>
  <si>
    <t>2026-06-17 20:21</t>
  </si>
  <si>
    <t>BIT11045812</t>
  </si>
  <si>
    <t>272636293</t>
  </si>
  <si>
    <t>NOMBRE RETIRA: FERNANDO SPARSA E RUT RETIRA: 56049520-K</t>
  </si>
  <si>
    <t>Luisa Alejandra Cortez</t>
  </si>
  <si>
    <t>Las perlas norte 130, depto 301 Edificio Punta Pacifico, Reñaca</t>
  </si>
  <si>
    <t>BIT11045809</t>
  </si>
  <si>
    <t>272636300</t>
  </si>
  <si>
    <t>NOMBRE RETIRA: ELIANA SANCHEZ . RUT RETIRA: 7678711-5</t>
  </si>
  <si>
    <t>Ramón Picarte 2320, Casa 045</t>
  </si>
  <si>
    <t>BIT11045814</t>
  </si>
  <si>
    <t>272636262</t>
  </si>
  <si>
    <t>NOMBRE RETIRA: PEDRO SAGREFO S RUT RETIRA: 8853531-6</t>
  </si>
  <si>
    <t>Mauricio Keim Oyharçabal</t>
  </si>
  <si>
    <t>Manuel Antonio Matta 842, Departamento 31A</t>
  </si>
  <si>
    <t>BIT11045227</t>
  </si>
  <si>
    <t>271432486</t>
  </si>
  <si>
    <t>Esteban Arellano Donoso</t>
  </si>
  <si>
    <t>4 Oriente 1271 (entre 1 y 2 Norte), Depto. 806</t>
  </si>
  <si>
    <t>BIT11045821</t>
  </si>
  <si>
    <t>272636231</t>
  </si>
  <si>
    <t>NOMBRE RETIRA: FERNANDO ALIAGA A RUT RETIRA: 15830833-9</t>
  </si>
  <si>
    <t>Fernando Marcelo Aliaga Canales</t>
  </si>
  <si>
    <t>Avenida Los Carrera 180, 41b</t>
  </si>
  <si>
    <t>BIT11045793</t>
  </si>
  <si>
    <t>272573251</t>
  </si>
  <si>
    <t>NOMBRE RETIRA: CRISTINA MILLACAN . RUT RETIRA: 15258357-5</t>
  </si>
  <si>
    <t>PAULSEN ALFREDO</t>
  </si>
  <si>
    <t>Lago Hermoso 480,  Labranza</t>
  </si>
  <si>
    <t>BIT11045762</t>
  </si>
  <si>
    <t>272502797</t>
  </si>
  <si>
    <t>NOMBRE RETIRA: MARCELO . . RUT RETIRA: 23815488-K</t>
  </si>
  <si>
    <t>Los naranjos 79</t>
  </si>
  <si>
    <t>BIT11045767</t>
  </si>
  <si>
    <t>272502794</t>
  </si>
  <si>
    <t>NOMBRE RETIRA: KARENOREMP D D RUT RETIRA: 26577286-2</t>
  </si>
  <si>
    <t>Karen Ramirez Herrera</t>
  </si>
  <si>
    <t>Av. Jaime Guzmán Errázuriz 04824, Antofagasta, Chile, depto 801.</t>
  </si>
  <si>
    <t>BIT11045785</t>
  </si>
  <si>
    <t>272573271</t>
  </si>
  <si>
    <t>NOMBRE RETIRA: OSCAR ESPEJO . RUT RETIRA: 7977586-K</t>
  </si>
  <si>
    <t>Irene Gallardo alvarez</t>
  </si>
  <si>
    <t>Enrique Abbott380, La Serena, Chile, Departamento 101 Serena golf</t>
  </si>
  <si>
    <t>2026-06-17 20:22</t>
  </si>
  <si>
    <t>BIT11045760</t>
  </si>
  <si>
    <t>272502776</t>
  </si>
  <si>
    <t>NOMBRE RETIRA: WILSON ARDILES .. RUT RETIRA: 19101551-7</t>
  </si>
  <si>
    <t>Javiera Peñaloza Carvajal</t>
  </si>
  <si>
    <t>Av. Cerro Paranal 320, Departamento 63</t>
  </si>
  <si>
    <t>BIT11045772</t>
  </si>
  <si>
    <t>272502741</t>
  </si>
  <si>
    <t>NOMBRE RETIRA: MARIA CERDA X RUT RETIRA: 26263523-6</t>
  </si>
  <si>
    <t>María Angélica Cerda Farfán</t>
  </si>
  <si>
    <t>Juan Pablo Ll 602, Casa</t>
  </si>
  <si>
    <t>BIT11045414</t>
  </si>
  <si>
    <t>271635448</t>
  </si>
  <si>
    <t>NOMBRE RETIRA: ELIANA VALDERAS . RUT RETIRA: 14641942-9</t>
  </si>
  <si>
    <t>Paula Abello</t>
  </si>
  <si>
    <t>Roca 875</t>
  </si>
  <si>
    <t>BIT11045764</t>
  </si>
  <si>
    <t>272502767</t>
  </si>
  <si>
    <t>NOMBRE RETIRA: JUAN LATORRE . RUT RETIRA: 8256101-3</t>
  </si>
  <si>
    <t>Michelle Sills</t>
  </si>
  <si>
    <t>Bombero fuentes 27, depto 1504, 1504</t>
  </si>
  <si>
    <t>BIT11045375</t>
  </si>
  <si>
    <t>271635717</t>
  </si>
  <si>
    <t>NOMBRE RETIRA: COSTANZA FAM ENT RUT RETIRA: 25813158-4</t>
  </si>
  <si>
    <t>Mauricio Fontanilla González</t>
  </si>
  <si>
    <t>Los Coirones 2712, Casa</t>
  </si>
  <si>
    <t>BIT11045755</t>
  </si>
  <si>
    <t>272502791</t>
  </si>
  <si>
    <t>NOMBRE RETIRA: PATRICIA CAMPOS . RUT RETIRA: 17971129-K</t>
  </si>
  <si>
    <t>Sebastian Milla</t>
  </si>
  <si>
    <t>Volcan San Pablo, 171</t>
  </si>
  <si>
    <t>BIT11045763</t>
  </si>
  <si>
    <t>272502759</t>
  </si>
  <si>
    <t>NOMBRE RETIRA: RODRIGO ARAYA A RUT RETIRA: 53130190-0</t>
  </si>
  <si>
    <t>Franco Vattuone</t>
  </si>
  <si>
    <t>4 norte 290, departamento 151</t>
  </si>
  <si>
    <t>BIT11045769</t>
  </si>
  <si>
    <t>272502715</t>
  </si>
  <si>
    <t>NOMBRE RETIRA: CARLOA MENDEZ N RUT RETIRA: 53301181-0</t>
  </si>
  <si>
    <t>Danitza Meza Diaz</t>
  </si>
  <si>
    <t>Baquedano 1, 85</t>
  </si>
  <si>
    <t>BIT11045748</t>
  </si>
  <si>
    <t>272427870</t>
  </si>
  <si>
    <t>NOMBRE RETIRA: GERALDINE CASTILLO . RUT RETIRA: 17974288-8</t>
  </si>
  <si>
    <t>Armando Velez</t>
  </si>
  <si>
    <t>Genaro gallo 554 edificio portada oriente Torre B 94, Departamento</t>
  </si>
  <si>
    <t>BIT11045669</t>
  </si>
  <si>
    <t>272274215</t>
  </si>
  <si>
    <t>NOMBRE RETIRA: RUTH AVILA . RUT RETIRA: 9939648-2</t>
  </si>
  <si>
    <t>Ruth Avila Avila</t>
  </si>
  <si>
    <t>Local Comercial, Antonio Varas 756</t>
  </si>
  <si>
    <t>2026-06-13 11:07</t>
  </si>
  <si>
    <t>BIT11045716</t>
  </si>
  <si>
    <t>272345635</t>
  </si>
  <si>
    <t>NOMBRE RETIRA: JUAN URRA . RUT RETIRA: 10599384-6</t>
  </si>
  <si>
    <t>BIT11045222</t>
  </si>
  <si>
    <t>271432572</t>
  </si>
  <si>
    <t>NOMBRE RETIRA: ELOY FABRE . RUT RETIRA: 24547768-6</t>
  </si>
  <si>
    <t>Mauro Fabre</t>
  </si>
  <si>
    <t>Casa, Glaciar Nef 3237</t>
  </si>
  <si>
    <t>BIT11045743</t>
  </si>
  <si>
    <t>272427879</t>
  </si>
  <si>
    <t>NOMBRE RETIRA: RODRIGO VASQUEZ . RUT RETIRA: 53322584-5</t>
  </si>
  <si>
    <t>Rodrigo Vasquez</t>
  </si>
  <si>
    <t>Avenida Argentina 611, Distribuidora Los Amigos</t>
  </si>
  <si>
    <t>BIT11045706</t>
  </si>
  <si>
    <t>272345675</t>
  </si>
  <si>
    <t>NOMBRE RETIRA: MANURL JARA G V RUT RETIRA: 16875235-0</t>
  </si>
  <si>
    <t>Manuel Jara saldias</t>
  </si>
  <si>
    <t>Mario bahamondes silva 02851, 201</t>
  </si>
  <si>
    <t>BIT11045704</t>
  </si>
  <si>
    <t>272345688</t>
  </si>
  <si>
    <t>NOMBRE RETIRA: MARIA CAROLINA A RUT RETIRA: 12345678-5</t>
  </si>
  <si>
    <t>María carolina Fernandez Verges</t>
  </si>
  <si>
    <t>Santa Magdalena 867,coviefi, Casa</t>
  </si>
  <si>
    <t>BIT11045734</t>
  </si>
  <si>
    <t>272345584</t>
  </si>
  <si>
    <t>NOMBRE RETIRA: JANETTE GONZALEZ . . RUT RETIRA: 9557738-5</t>
  </si>
  <si>
    <t>Juan Ivan Marchant Peñas</t>
  </si>
  <si>
    <t>Tte. Arturo Perez Canto N° 59</t>
  </si>
  <si>
    <t>BIT11045735</t>
  </si>
  <si>
    <t>272345580</t>
  </si>
  <si>
    <t>NOMBRE RETIRA: NIBALDO PEREZ . RUT RETIRA: 7965357-8</t>
  </si>
  <si>
    <t>Mauricio Vega</t>
  </si>
  <si>
    <t>Las gaviotas poste 62, casa roja en la curva, Poste 62</t>
  </si>
  <si>
    <t>BIT11045736</t>
  </si>
  <si>
    <t>272345574</t>
  </si>
  <si>
    <t>NOMBRE RETIRA: ELOY GONZALEZ . RUT RETIRA: 17573448-1</t>
  </si>
  <si>
    <t>Eloy Gonzalez Navarrete</t>
  </si>
  <si>
    <t>Leufu 4161</t>
  </si>
  <si>
    <t>BIT11045721</t>
  </si>
  <si>
    <t>272345623</t>
  </si>
  <si>
    <t>NOMBRE RETIRA: OSCAR ALVAREZ . RUT RETIRA: 12345678-5</t>
  </si>
  <si>
    <t>Av la Tirana 3101, Casa</t>
  </si>
  <si>
    <t>BIT11045750</t>
  </si>
  <si>
    <t>272427863</t>
  </si>
  <si>
    <t>NOMBRE RETIRA: CONSTANZA FUENTEALBA X RUT RETIRA: 19917350-2</t>
  </si>
  <si>
    <t>Ohiggins 940, oficina 502</t>
  </si>
  <si>
    <t>BIT11045746</t>
  </si>
  <si>
    <t>272427842</t>
  </si>
  <si>
    <t>NOMBRE RETIRA: ANA CASANUEVA . RUT RETIRA: 11237415-9</t>
  </si>
  <si>
    <t>Esteban Bancalari</t>
  </si>
  <si>
    <t>Los Maquis 192, Schaub, casa</t>
  </si>
  <si>
    <t>BIT11045722</t>
  </si>
  <si>
    <t>272345618</t>
  </si>
  <si>
    <t>NOMBRE RETIRA: DANIELA LEIVA . RUT RETIRA: 15557774-6</t>
  </si>
  <si>
    <t>Calle principal s/n parcela 1lote 3 Rabuco Hijuelas</t>
  </si>
  <si>
    <t>BIT11045677</t>
  </si>
  <si>
    <t>272274198</t>
  </si>
  <si>
    <t>NOMBRE RETIRA: PERSY CARRION C RUT RETIRA: 19270565-7</t>
  </si>
  <si>
    <t>Bernardita Lizana Perez</t>
  </si>
  <si>
    <t>Veterinaria Freire Sur, RamÓn Freire 1250</t>
  </si>
  <si>
    <t>BIT11045681</t>
  </si>
  <si>
    <t>272274190</t>
  </si>
  <si>
    <t>NOMBRE RETIRA: GUSTAVO PAZ . RUT RETIRA: 13513301-9</t>
  </si>
  <si>
    <t>francisca mancilla barria</t>
  </si>
  <si>
    <t>nueva oriente 4, 5013 valle volcanes, 541</t>
  </si>
  <si>
    <t>BIT11045712</t>
  </si>
  <si>
    <t>272345638</t>
  </si>
  <si>
    <t>NOMBRE RETIRA: MARIA CARRASCO . RUT RETIRA: 13624443-4</t>
  </si>
  <si>
    <t>Maria Carrasco Palma</t>
  </si>
  <si>
    <t>Esperanza paje 1 casa 2800. Villa plazas del sol, 2800</t>
  </si>
  <si>
    <t>BIT11045690</t>
  </si>
  <si>
    <t>272274157</t>
  </si>
  <si>
    <t>NOMBRE RETIRA: TATIANA URIBE B RUT RETIRA: 13132455-3</t>
  </si>
  <si>
    <t>Wenceslao Gatica</t>
  </si>
  <si>
    <t>4 poniente 0403, Casa</t>
  </si>
  <si>
    <t>2026-06-13 11:08</t>
  </si>
  <si>
    <t>BIT11045488</t>
  </si>
  <si>
    <t>271733491</t>
  </si>
  <si>
    <t>NOMBRE RETIRA: SCKARLE ANDRADE . RUT RETIRA: 21160042-K</t>
  </si>
  <si>
    <t>JUAN CARLOS SCHILLER CLAVERIA</t>
  </si>
  <si>
    <t>AVENIDA PLAYA BRAVA 2156, OFICINA</t>
  </si>
  <si>
    <t>BIT11045683</t>
  </si>
  <si>
    <t>272274182</t>
  </si>
  <si>
    <t>NOMBRE RETIRA: XIMENA ANIOTZ B RUT RETIRA: 8244379-7</t>
  </si>
  <si>
    <t>DIEGO ANIOTZ</t>
  </si>
  <si>
    <t>Avenida republica 1105 villa huamachuco 1105, Apt. casa 119</t>
  </si>
  <si>
    <t>BIT11045688</t>
  </si>
  <si>
    <t>272274164</t>
  </si>
  <si>
    <t>NOMBRE RETIRA: MARCELA ALBORNOZ . RUT RETIRA: 10694064-9</t>
  </si>
  <si>
    <t>Marcela Albornoz Salazar</t>
  </si>
  <si>
    <t>Uno Ote. 159, Chillán</t>
  </si>
  <si>
    <t>BIT11045720</t>
  </si>
  <si>
    <t>272345633</t>
  </si>
  <si>
    <t>NOMBRE RETIRA: CARLOS VARGAS J RUT RETIRA: 12952466-9</t>
  </si>
  <si>
    <t>rodrigo ortiz</t>
  </si>
  <si>
    <t>General Cruz 222</t>
  </si>
  <si>
    <t>BIT11045686</t>
  </si>
  <si>
    <t>272274121</t>
  </si>
  <si>
    <t>NOMBRE RETIRA: SILVANA . . RUT RETIRA: 18109606-3</t>
  </si>
  <si>
    <t>Silvana Alejandra Cartes Domínguez</t>
  </si>
  <si>
    <t>Las Violetas 1678, Casa 11</t>
  </si>
  <si>
    <t>BIT11045695</t>
  </si>
  <si>
    <t>272274113</t>
  </si>
  <si>
    <t>NOMBRE RETIRA: LISETTE RIQUELME . RUT RETIRA: 15346299-2</t>
  </si>
  <si>
    <t>Lisette Riquelme Inguerzon</t>
  </si>
  <si>
    <t>Juan Budinich 3840</t>
  </si>
  <si>
    <t>BIT11045684</t>
  </si>
  <si>
    <t>272274179</t>
  </si>
  <si>
    <t>NOMBRE RETIRA: JUAN SONOAO GG RUT RETIRA: 7002546-9</t>
  </si>
  <si>
    <t>patricia huenul Mora</t>
  </si>
  <si>
    <t>Orella 8, Poblacion Caupolican CuricÓ, Dental Alameda</t>
  </si>
  <si>
    <t>BIT11045673</t>
  </si>
  <si>
    <t>272274204</t>
  </si>
  <si>
    <t>NOMBRE RETIRA: MIGUEL TESSAHUAC . RUT RETIRA: 53336133-1</t>
  </si>
  <si>
    <t>Miguel Tessahuac</t>
  </si>
  <si>
    <t>Antonio gaudi 4351, Casa</t>
  </si>
  <si>
    <t>BIT11045701</t>
  </si>
  <si>
    <t>272345680</t>
  </si>
  <si>
    <t>NOMBRE RETIRA: GUILLERMO AGUILAR .. RUT RETIRA: 12783803-8</t>
  </si>
  <si>
    <t>Nadia Aguilar</t>
  </si>
  <si>
    <t>Prat 564, Local 8</t>
  </si>
  <si>
    <t>BIT11045360</t>
  </si>
  <si>
    <t>271511538</t>
  </si>
  <si>
    <t>NOMBRE RETIRA: MARTIN VALDE . RUT RETIRA: 15302751-K</t>
  </si>
  <si>
    <t>Martín Vildósola</t>
  </si>
  <si>
    <t>Pedro Aguirre Cerda 77</t>
  </si>
  <si>
    <t>BIT11045314</t>
  </si>
  <si>
    <t>271511809</t>
  </si>
  <si>
    <t>NOMBRE RETIRA: CESAR MILLANAO . RUT RETIRA: 11111111-1</t>
  </si>
  <si>
    <t>cesar millanao</t>
  </si>
  <si>
    <t>Austria 01436, casa</t>
  </si>
  <si>
    <t>BIT11045225</t>
  </si>
  <si>
    <t>271432523</t>
  </si>
  <si>
    <t>NOMBRE RETIRA: DIEGO GONZALES . RUT RETIRA: 11111111-1</t>
  </si>
  <si>
    <t>Diego Gonzalez quilodran</t>
  </si>
  <si>
    <t>benjamin dibasson 935</t>
  </si>
  <si>
    <t>BIT11045696</t>
  </si>
  <si>
    <t>272274148</t>
  </si>
  <si>
    <t>NOMBRE RETIRA: ANA MARMOLEJO . RUT RETIRA: 7918301-6</t>
  </si>
  <si>
    <t>Primeracompra Madariaga</t>
  </si>
  <si>
    <t>A letelier 106</t>
  </si>
  <si>
    <t>BIT11045272</t>
  </si>
  <si>
    <t>271432108</t>
  </si>
  <si>
    <t>NOMBRE RETIRA: CLAUDIA OLVARES . RUT RETIRA: 11111111-1</t>
  </si>
  <si>
    <t>Avenida Presidente Manuel Bulnes 0309, Punta Arenas, 4° piso</t>
  </si>
  <si>
    <t>2026-06-02 14:17</t>
  </si>
  <si>
    <t>BIT11045492</t>
  </si>
  <si>
    <t>271733437</t>
  </si>
  <si>
    <t>NOMBRE RETIRA: ARIEL NAUTO . RUT RETIRA: 19972979-9</t>
  </si>
  <si>
    <t>Ariel Esteban Rebolledo</t>
  </si>
  <si>
    <t>Ramon Freire 834, Casa</t>
  </si>
  <si>
    <t>BIT11045153</t>
  </si>
  <si>
    <t>271433095</t>
  </si>
  <si>
    <t>NOMBRE RETIRA: CARLOS ORTEGA . RUT RETIRA: 8936800-6</t>
  </si>
  <si>
    <t>CARLOS ALBERTO ORTEGA TORRES</t>
  </si>
  <si>
    <t>Croacia 722, PISO 4</t>
  </si>
  <si>
    <t>2026-06-01 17:11</t>
  </si>
  <si>
    <t>BIT11045386</t>
  </si>
  <si>
    <t>271635661</t>
  </si>
  <si>
    <t>NOMBRE RETIRA: KATERINE REYES . RUT RETIRA: 11111111-1</t>
  </si>
  <si>
    <t>Gabriela Mistral N 310 Malalhue</t>
  </si>
  <si>
    <t>BIT11045645</t>
  </si>
  <si>
    <t>272149150</t>
  </si>
  <si>
    <t>NOMBRE RETIRA: LENIS DELGADO . RUT RETIRA: 12345678-5</t>
  </si>
  <si>
    <t>Alex Medina medina</t>
  </si>
  <si>
    <t>Robinson rojas 4352</t>
  </si>
  <si>
    <t>2026-06-10 22:15</t>
  </si>
  <si>
    <t>BIT11045664</t>
  </si>
  <si>
    <t>272218590</t>
  </si>
  <si>
    <t>NOMBRE RETIRA: EDITH PINEDA . RUT RETIRA: 27798266-8</t>
  </si>
  <si>
    <t>Adrián Quiñones</t>
  </si>
  <si>
    <t>Cerro Moreno 10550, Casa 50</t>
  </si>
  <si>
    <t>2026-06-11 20:21</t>
  </si>
  <si>
    <t>BIT11045595</t>
  </si>
  <si>
    <t>271992884</t>
  </si>
  <si>
    <t>NOMBRE RETIRA: ROXANA MENDEZ VALDERRAMA RUT RETIRA: 9515625-8</t>
  </si>
  <si>
    <t>Roxana Méndez</t>
  </si>
  <si>
    <t>El Roble 3747, Casa</t>
  </si>
  <si>
    <t>2026-06-08 20:47</t>
  </si>
  <si>
    <t>BIT11045643</t>
  </si>
  <si>
    <t>272149145</t>
  </si>
  <si>
    <t>NOMBRE RETIRA: PEDRO CRUZ B RUT RETIRA: 13422589-0</t>
  </si>
  <si>
    <t>Pedro Cruz</t>
  </si>
  <si>
    <t>enrique bondi garay 395, villa santa luisa</t>
  </si>
  <si>
    <t>BIT11045613</t>
  </si>
  <si>
    <t>271993447</t>
  </si>
  <si>
    <t>NOMBRE RETIRA: CARPLINA RUMINOT Z RUT RETIRA: 19494392-K</t>
  </si>
  <si>
    <t>Carolina Ruminot</t>
  </si>
  <si>
    <t>Pellehue#314 sector cerro la cruz, Casa roja</t>
  </si>
  <si>
    <t>BIT11045651</t>
  </si>
  <si>
    <t>272149133</t>
  </si>
  <si>
    <t>NOMBRE RETIRA: ANDREA GONZALES K RUT RETIRA: 28169503-7</t>
  </si>
  <si>
    <t>Patricio Maraboli</t>
  </si>
  <si>
    <t>Héroes de la Concepción 2370, 905 Torre C</t>
  </si>
  <si>
    <t>2026-06-11 10:34</t>
  </si>
  <si>
    <t>BIT11045624</t>
  </si>
  <si>
    <t>272075173</t>
  </si>
  <si>
    <t>Rudeger Vicuña</t>
  </si>
  <si>
    <t>Manuel Jesus Silva 2249, depto. 1104, 1104</t>
  </si>
  <si>
    <t>2026-06-09 20:11</t>
  </si>
  <si>
    <t>BIT11045584</t>
  </si>
  <si>
    <t>271899062</t>
  </si>
  <si>
    <t>NOMBRE RETIRA: SERGIO GALAZ L RUT RETIRA: 11111111-1</t>
  </si>
  <si>
    <t>Sergio Galaz-Leiva</t>
  </si>
  <si>
    <t>Rosa Lillo 2343</t>
  </si>
  <si>
    <t>2026-06-08 11:42</t>
  </si>
  <si>
    <t>BIT11045616</t>
  </si>
  <si>
    <t>272075188</t>
  </si>
  <si>
    <t>NOMBRE RETIRA: ROXANA BAUTISTA . RUT RETIRA: 25030821-3</t>
  </si>
  <si>
    <t>Karla Ruz varas</t>
  </si>
  <si>
    <t>Anibal pinto 1303, Depto 2201</t>
  </si>
  <si>
    <t>BIT11045660</t>
  </si>
  <si>
    <t>272218637</t>
  </si>
  <si>
    <t>NOMBRE RETIRA: KARINA MILLA . RUT RETIRA: 17971129-K</t>
  </si>
  <si>
    <t>BIT11045474</t>
  </si>
  <si>
    <t>271733614</t>
  </si>
  <si>
    <t>NOMBRE RETIRA: GABRIELA QUINTEROS OLIVARES RUT RETIRA: 19355252-8</t>
  </si>
  <si>
    <t>patricio ramirez</t>
  </si>
  <si>
    <t>SANTIAGO ARATA 4075, C41 COND. DOÑA MARGARITA</t>
  </si>
  <si>
    <t>BIT11045659</t>
  </si>
  <si>
    <t>272218655</t>
  </si>
  <si>
    <t>NOMBRE RETIRA: CLAUDIO ENCINAAS CONSERJERIA RUT RETIRA: 11639995-4</t>
  </si>
  <si>
    <t>Prisila Ortiz Duran</t>
  </si>
  <si>
    <t>Santiago de Apostol 4067, departamento Canelo 118, Condominio altos del milagro dos</t>
  </si>
  <si>
    <t>BIT11045656</t>
  </si>
  <si>
    <t>272218658</t>
  </si>
  <si>
    <t>NOMBRE RETIRA: MONICA . . RUT RETIRA: 13465010-9</t>
  </si>
  <si>
    <t>Monica Zúñiga Venegas</t>
  </si>
  <si>
    <t>Los boldos 150 llo lleoSan Antonio, Casa</t>
  </si>
  <si>
    <t>BIT11045668</t>
  </si>
  <si>
    <t>272218586</t>
  </si>
  <si>
    <t>NOMBRE RETIRA: SARA RODRIGUEZ B RUT RETIRA: 13511503-7</t>
  </si>
  <si>
    <t>Sara Rodriguez Rodríguez</t>
  </si>
  <si>
    <t>Torreones Oeste 1860, 1860</t>
  </si>
  <si>
    <t>BIT11045606</t>
  </si>
  <si>
    <t>271993463</t>
  </si>
  <si>
    <t>NOMBRE RETIRA: DEYCI A A RUT RETIRA: 10624660-2</t>
  </si>
  <si>
    <t>Alvaro alexis Panez jeria</t>
  </si>
  <si>
    <t>Laguna kalina 1473, Casa C-1</t>
  </si>
  <si>
    <t>BIT11045631</t>
  </si>
  <si>
    <t>272075131</t>
  </si>
  <si>
    <t>NOMBRE RETIRA: RAUL GODPY M RUT RETIRA: 14111824-2</t>
  </si>
  <si>
    <t>María Loreto Pacasse olcay</t>
  </si>
  <si>
    <t>Pasaje camino vecinal nulez casa 13C calama, Casa debe cruzar el puente y en la bifurcacion a la izquierda y sigue derecho</t>
  </si>
  <si>
    <t>BIT11045626</t>
  </si>
  <si>
    <t>272075143</t>
  </si>
  <si>
    <t>NOMBRE RETIRA: GABRIWL H J RUT RETIRA: 22572195-5</t>
  </si>
  <si>
    <t>Gabriel Cortes</t>
  </si>
  <si>
    <t>Pantaleón Cortés 630, Casa</t>
  </si>
  <si>
    <t>BIT11045532</t>
  </si>
  <si>
    <t>271805950</t>
  </si>
  <si>
    <t>NOMBRE RETIRA: ROSA . . RUT RETIRA: 9635719-2</t>
  </si>
  <si>
    <t>Andrea López Cisternas</t>
  </si>
  <si>
    <t>Oficina Anita 285, Dpto 51 C</t>
  </si>
  <si>
    <t>2026-06-05 17:19</t>
  </si>
  <si>
    <t>BIT11045522</t>
  </si>
  <si>
    <t>271805975</t>
  </si>
  <si>
    <t>NOMBRE RETIRA: CONDOMINIO NOGAL . RUT RETIRA: 65419140-9</t>
  </si>
  <si>
    <t>Rica aventura 10950, Casa 29  condominio El Nogal</t>
  </si>
  <si>
    <t>BIT11045539</t>
  </si>
  <si>
    <t>271805945</t>
  </si>
  <si>
    <t>NOMBRE RETIRA: ISBELDA CORTEZ . RUT RETIRA: 10008117-2</t>
  </si>
  <si>
    <t>Gissele Castillo Cortés</t>
  </si>
  <si>
    <t>Maullin 5568</t>
  </si>
  <si>
    <t>BIT11045652</t>
  </si>
  <si>
    <t>272149102</t>
  </si>
  <si>
    <t>NOMBRE RETIRA: VIRGINIA PARRA . RUT RETIRA: 17971129-K</t>
  </si>
  <si>
    <t>Andres Sandoval Parra</t>
  </si>
  <si>
    <t>Scouth Marco Echeverria 669, Casa</t>
  </si>
  <si>
    <t>BIT11045618</t>
  </si>
  <si>
    <t>272075205</t>
  </si>
  <si>
    <t>NOMBRE RETIRA: CONSTNZA SEPULVEDA A RUT RETIRA: 7377643-0</t>
  </si>
  <si>
    <t>Las Heras 226, Dpto 404, Dpto 404</t>
  </si>
  <si>
    <t>BIT11045620</t>
  </si>
  <si>
    <t>272075181</t>
  </si>
  <si>
    <t>NOMBRE RETIRA: HECTOR BERRON .CONSERJE RUT RETIRA: 5252433-4</t>
  </si>
  <si>
    <t>Fabián Mendoza</t>
  </si>
  <si>
    <t>Calle L 995, 403 D</t>
  </si>
  <si>
    <t>BIT11045533</t>
  </si>
  <si>
    <t>271805958</t>
  </si>
  <si>
    <t>NOMBRE RETIRA: DEVORA SUAREZ . RUT RETIRA: 12345678-5</t>
  </si>
  <si>
    <t>Devora Suarez Avilez</t>
  </si>
  <si>
    <t>calle nicolas tirado 90, 34B condominio parquemar</t>
  </si>
  <si>
    <t>BIT11045621</t>
  </si>
  <si>
    <t>272075196</t>
  </si>
  <si>
    <t>NOMBRE RETIRA: JONATHAN SEGUEL . RUT RETIRA: 14214637-1</t>
  </si>
  <si>
    <t>Jonathan Seguel</t>
  </si>
  <si>
    <t>Portal De San Pedro, Lago Maullin 624</t>
  </si>
  <si>
    <t>BIT11045542</t>
  </si>
  <si>
    <t>271805953</t>
  </si>
  <si>
    <t>NOMBRE RETIRA: OSVALDO VILLALOBOS VILLALOBOS RUT RETIRA: 20347854-2</t>
  </si>
  <si>
    <t>osvaldo corante</t>
  </si>
  <si>
    <t>Pasaje Americo Vespucio 2571, 2571</t>
  </si>
  <si>
    <t>2026-06-06 08:24</t>
  </si>
  <si>
    <t>BIT11045617</t>
  </si>
  <si>
    <t>272075186</t>
  </si>
  <si>
    <t>NOMBRE RETIRA: MABEL ROSALES R RUT RETIRA: 8757555-1</t>
  </si>
  <si>
    <t>Mabel Rosales</t>
  </si>
  <si>
    <t>Av San Miguel 3145</t>
  </si>
  <si>
    <t>BIT11045641</t>
  </si>
  <si>
    <t>272149156</t>
  </si>
  <si>
    <t>NOMBRE RETIRA: CARLOS MENDE N RUT RETIRA: 53301181-0</t>
  </si>
  <si>
    <t>paula delgado gonzalez</t>
  </si>
  <si>
    <t>baquedano 1 villa alemana, hacienda san isidro parcela 37</t>
  </si>
  <si>
    <t>BIT11045549</t>
  </si>
  <si>
    <t>271805896</t>
  </si>
  <si>
    <t>NOMBRE RETIRA: JORGE GALVEZ . RUT RETIRA: 17032725-K</t>
  </si>
  <si>
    <t>Joel Guzmán Araya</t>
  </si>
  <si>
    <t>Avenida Estadio 3812, 3812</t>
  </si>
  <si>
    <t>2026-06-06 10:43</t>
  </si>
  <si>
    <t>BIT11045494</t>
  </si>
  <si>
    <t>271733433</t>
  </si>
  <si>
    <t>NOMBRE RETIRA: PABLO DIAZ . RUT RETIRA: 12533484-9</t>
  </si>
  <si>
    <t>Los armiños 1645</t>
  </si>
  <si>
    <t>BIT11045521</t>
  </si>
  <si>
    <t>271805977</t>
  </si>
  <si>
    <t>NOMBRE RETIRA: FELIPE POBLETE P RUT RETIRA: 12470723-4</t>
  </si>
  <si>
    <t>Calle Cerro Morro Colorado 133, 133</t>
  </si>
  <si>
    <t>BIT11045417</t>
  </si>
  <si>
    <t>271635405</t>
  </si>
  <si>
    <t>NOMBRE RETIRA: CATALINA AVALOS A RUT RETIRA: 21370018-9</t>
  </si>
  <si>
    <t>Catalina Avalos Pezzuoli</t>
  </si>
  <si>
    <t>Jose Joaquin Vallejo 903, Casa 4</t>
  </si>
  <si>
    <t>BIT11045598</t>
  </si>
  <si>
    <t>271992866</t>
  </si>
  <si>
    <t>NOMBRE RETIRA: ANA LUENGO . RUT RETIRA: 8305104-3</t>
  </si>
  <si>
    <t>Hector Carvajal</t>
  </si>
  <si>
    <t>Pasaje el canelo 141, Curauma,  Valparaiso</t>
  </si>
  <si>
    <t>BIT11045525</t>
  </si>
  <si>
    <t>271805969</t>
  </si>
  <si>
    <t>NOMBRE RETIRA: YANKO LAGOS I RUT RETIRA: 18194820-5</t>
  </si>
  <si>
    <t>LUIS ALEJANDRO ZANETTI MUÑOZ</t>
  </si>
  <si>
    <t>AV MANUEL RECABARREN 0405, OFICINA</t>
  </si>
  <si>
    <t>BIT11045514</t>
  </si>
  <si>
    <t>271805984</t>
  </si>
  <si>
    <t>NOMBRE RETIRA: JUAN TORRES .. RUT RETIRA: 11931111-K</t>
  </si>
  <si>
    <t>Maria Jose Mouras Mendoza</t>
  </si>
  <si>
    <t>Casa, PoblaciÓn 21 De Mayo, Calle Venezuela 2949</t>
  </si>
  <si>
    <t>BIT11045519</t>
  </si>
  <si>
    <t>271805995</t>
  </si>
  <si>
    <t>NOMBRE RETIRA: LIZ CEBALLOS . RUT RETIRA: 44558749-4</t>
  </si>
  <si>
    <t>Avenida Cardenal Samore 1451, Casa D3 Condominio Trinares del Alba Curauma</t>
  </si>
  <si>
    <t>BIT11045471</t>
  </si>
  <si>
    <t>271733557</t>
  </si>
  <si>
    <t>Nicol Andrea Contreras Muñoz</t>
  </si>
  <si>
    <t>San Martín 03029, Casa esquina</t>
  </si>
  <si>
    <t>BIT11045464</t>
  </si>
  <si>
    <t>271733657</t>
  </si>
  <si>
    <t>NOMBRE RETIRA: DEBORA MENESES X RUT RETIRA: 21267863-5</t>
  </si>
  <si>
    <t>Cornelio Alcapan</t>
  </si>
  <si>
    <t>Bernardo O'Higgins 260</t>
  </si>
  <si>
    <t>BIT11045382</t>
  </si>
  <si>
    <t>271635669</t>
  </si>
  <si>
    <t>NOMBRE RETIRA: PATRICIA BARRIGA . RUT RETIRA: 25906223-3</t>
  </si>
  <si>
    <t>Emilio Fernandez Guzman</t>
  </si>
  <si>
    <t>Latorre 1521, Hotel Hosteria Calama</t>
  </si>
  <si>
    <t>BIT11045628</t>
  </si>
  <si>
    <t>272075153</t>
  </si>
  <si>
    <t>NOMBRE RETIRA: VERONICA MARDONES .. RUT RETIRA: 11075426-4</t>
  </si>
  <si>
    <t>Lizbeth Gutiérrez Chavarriga</t>
  </si>
  <si>
    <t>Montalbán 714, 714</t>
  </si>
  <si>
    <t>BIT11045608</t>
  </si>
  <si>
    <t>271993453</t>
  </si>
  <si>
    <t>NOMBRE RETIRA: MAURICIO LILLO . . RUT RETIRA: 13760610-0</t>
  </si>
  <si>
    <t>BIT11045625</t>
  </si>
  <si>
    <t>272075168</t>
  </si>
  <si>
    <t>NOMBRE RETIRA: SOLANGE REYES . RUT RETIRA: 9504344-5</t>
  </si>
  <si>
    <t>SERGIO PORTILLA</t>
  </si>
  <si>
    <t>AGUA SANTA 1400, DEPTO 802 EDIFICIO 6</t>
  </si>
  <si>
    <t>BIT11045543</t>
  </si>
  <si>
    <t>271805898</t>
  </si>
  <si>
    <t>NOMBRE RETIRA: FABIOLA AGUILAR A RUT RETIRA: 22067774-5</t>
  </si>
  <si>
    <t>Fabiola Aguilar</t>
  </si>
  <si>
    <t>Juan alvarado 1893</t>
  </si>
  <si>
    <t>BIT11045480</t>
  </si>
  <si>
    <t>271733502</t>
  </si>
  <si>
    <t>NOMBRE RETIRA: TIMOYEO K K RUT RETIRA: 12345678-5</t>
  </si>
  <si>
    <t>Timoteo Apeleo</t>
  </si>
  <si>
    <t>Manuel Rodríguez 472</t>
  </si>
  <si>
    <t>BIT11045269</t>
  </si>
  <si>
    <t>271432149</t>
  </si>
  <si>
    <t>NOMBRE RETIRA: LUIS PEREZ ... RUT RETIRA: 15874860-6</t>
  </si>
  <si>
    <t>LUIS MIGUEL PEREZ BARRIA</t>
  </si>
  <si>
    <t>CAIPULLI RURAL</t>
  </si>
  <si>
    <t>BIT11045546</t>
  </si>
  <si>
    <t>271805907</t>
  </si>
  <si>
    <t>NOMBRE RETIRA: BARBARA URTUBIA . RUT RETIRA: 15755536-7</t>
  </si>
  <si>
    <t>Barbara Urtubia</t>
  </si>
  <si>
    <t>freire 132, los andes, panificadora santa ana los andes</t>
  </si>
  <si>
    <t>BIT11045627</t>
  </si>
  <si>
    <t>272075159</t>
  </si>
  <si>
    <t>NOMBRE RETIRA: MARIA GONZALWZ . RUT RETIRA: 11111111-1</t>
  </si>
  <si>
    <t>Maria Fernanda Mendoza González</t>
  </si>
  <si>
    <t>Pasaje alto pangue, villa puertas del sur 156 156</t>
  </si>
  <si>
    <t>BIT11045562</t>
  </si>
  <si>
    <t>271899173</t>
  </si>
  <si>
    <t>NOMBRE RETIRA: ROXANA QUIROZ . RUT RETIRA: 9988671-4</t>
  </si>
  <si>
    <t>Marco Antonio Rojas Fuentes</t>
  </si>
  <si>
    <t>Los Pensamientos 2452</t>
  </si>
  <si>
    <t>2026-06-07 21:40</t>
  </si>
  <si>
    <t>BIT11045495</t>
  </si>
  <si>
    <t>271733425</t>
  </si>
  <si>
    <t>NOMBRE RETIRA: JUAN CORTES B RUT RETIRA: 18013476-K</t>
  </si>
  <si>
    <t>Raúl Cisterna 8654</t>
  </si>
  <si>
    <t>BIT11045478</t>
  </si>
  <si>
    <t>271733545</t>
  </si>
  <si>
    <t>NOMBRE RETIRA: GISSLLE DIAZ DIAZ RUT RETIRA: 12345678-5</t>
  </si>
  <si>
    <t>gisselle diaz</t>
  </si>
  <si>
    <t>av juan bolivar 326-A cotrasal, casa</t>
  </si>
  <si>
    <t>BIT11045556</t>
  </si>
  <si>
    <t>271899210</t>
  </si>
  <si>
    <t>NOMBRE RETIRA: FEDERICO RIEDEMAN . RUT RETIRA: 8394429-3</t>
  </si>
  <si>
    <t>Calle los castaños comunidad madesal, Casa 1823 pje1 (panadería Mariela)</t>
  </si>
  <si>
    <t>BIT11045513</t>
  </si>
  <si>
    <t>271733291</t>
  </si>
  <si>
    <t>NOMBRE RETIRA: SERGIO LARA . RUT RETIRA: 7330449-0</t>
  </si>
  <si>
    <t>Jorge Lara</t>
  </si>
  <si>
    <t>Lawrence 372, 1501</t>
  </si>
  <si>
    <t>BIT11045379</t>
  </si>
  <si>
    <t>271635684</t>
  </si>
  <si>
    <t>NOMBRE RETIRA: FANK TURPIE CACWRES RUT RETIRA: 11615548-6</t>
  </si>
  <si>
    <t>Frank Turpie Cáceres</t>
  </si>
  <si>
    <t>Collahuasi 1563, Villa Ayquina</t>
  </si>
  <si>
    <t>BIT11045451</t>
  </si>
  <si>
    <t>271733712</t>
  </si>
  <si>
    <t>NOMBRE RETIRA: GUILLERMO MUNOZ X RUT RETIRA: 9175545-9</t>
  </si>
  <si>
    <t>Guillermo Muñoz Castellón</t>
  </si>
  <si>
    <t>Camilo Henríquez 552, Depto. 202</t>
  </si>
  <si>
    <t>2026-06-04 21:08</t>
  </si>
  <si>
    <t>BIT11045322</t>
  </si>
  <si>
    <t>271511793</t>
  </si>
  <si>
    <t>NOMBRE RETIRA: KEVIN VEIDENBERGS MOSCOSO RUT RETIRA: 19770873-5</t>
  </si>
  <si>
    <t>BAUDILIA MOSCOSO</t>
  </si>
  <si>
    <t>LUIS SCHMIDT 614, CASA</t>
  </si>
  <si>
    <t>BIT11045563</t>
  </si>
  <si>
    <t>271899181</t>
  </si>
  <si>
    <t>NOMBRE RETIRA: RODRIGO TORRES . RUT RETIRA: 10208218-4</t>
  </si>
  <si>
    <t>Rodrigo Torres olmos</t>
  </si>
  <si>
    <t>Ca, Calle manuel antonio gaete 281 villa los lagos</t>
  </si>
  <si>
    <t>BIT11045460</t>
  </si>
  <si>
    <t>271733675</t>
  </si>
  <si>
    <t>NOMBRE RETIRA: SEBASTIAN OJEDA . RUT RETIRA: 19963696-0</t>
  </si>
  <si>
    <t>Ricardo Ampuero</t>
  </si>
  <si>
    <t>Avenida monseñor Ramón Munita 1553, Local 28</t>
  </si>
  <si>
    <t>BIT11045181</t>
  </si>
  <si>
    <t>271432919</t>
  </si>
  <si>
    <t>NOMBRE RETIRA: FERNANDA CARRAZCO . RUT RETIRA: 19461301-6</t>
  </si>
  <si>
    <t>Calle valle simson  227, Casa</t>
  </si>
  <si>
    <t>BIT11045239</t>
  </si>
  <si>
    <t>271432394</t>
  </si>
  <si>
    <t>NOMBRE RETIRA: IVONE GUERRERO .. RUT RETIRA: 15305192-5</t>
  </si>
  <si>
    <t>ivonne guerrero</t>
  </si>
  <si>
    <t>cañete 411 coyhaique, 411</t>
  </si>
  <si>
    <t>BIT11045568</t>
  </si>
  <si>
    <t>271899130</t>
  </si>
  <si>
    <t>NOMBRE RETIRA: CLAUDIO URREJOLA . RUT RETIRA: 5558001-4</t>
  </si>
  <si>
    <t>Paula Valderrama platz</t>
  </si>
  <si>
    <t>Tres norte 373, 72</t>
  </si>
  <si>
    <t>BIT11045445</t>
  </si>
  <si>
    <t>271733755</t>
  </si>
  <si>
    <t>NOMBRE RETIRA: JAIME LUNA . RUT RETIRA: 12533484-9</t>
  </si>
  <si>
    <t>jaime luna</t>
  </si>
  <si>
    <t>Laguna Azul 1821</t>
  </si>
  <si>
    <t>BIT11045389</t>
  </si>
  <si>
    <t>271635618</t>
  </si>
  <si>
    <t>NOMBRE RETIRA: RAUL POMAREDA H RUT RETIRA: 15679731-6</t>
  </si>
  <si>
    <t>Raúl Pomareda</t>
  </si>
  <si>
    <t>Matias rojas 1301, Casa esquina</t>
  </si>
  <si>
    <t>BIT11045575</t>
  </si>
  <si>
    <t>271899136</t>
  </si>
  <si>
    <t>NOMBRE RETIRA: JOAQUON MALDONADO . RUT RETIRA: 17971129-K</t>
  </si>
  <si>
    <t>BIT11045567</t>
  </si>
  <si>
    <t>271899148</t>
  </si>
  <si>
    <t>NOMBRE RETIRA: PATRICIA ARAYA E RUT RETIRA: 16249404-K</t>
  </si>
  <si>
    <t>Patricia Araya Elgueta</t>
  </si>
  <si>
    <t>Aldunate 398 Sector La Chimba</t>
  </si>
  <si>
    <t>BIT11045588</t>
  </si>
  <si>
    <t>271899054</t>
  </si>
  <si>
    <t>NOMBRE RETIRA: MATIAS ALVARE . RUT RETIRA: 13951536-6</t>
  </si>
  <si>
    <t>Matías Álvarez Huguez</t>
  </si>
  <si>
    <t>Las Margaritas 1945, 203</t>
  </si>
  <si>
    <t>BIT11045475</t>
  </si>
  <si>
    <t>271733572</t>
  </si>
  <si>
    <t>NOMBRE RETIRA: JORGE FERNANDEZ . RUT RETIRA: 7148084-4</t>
  </si>
  <si>
    <t>Felipe Oporto Palma</t>
  </si>
  <si>
    <t>Av chacabuco 1140, Depto 1009</t>
  </si>
  <si>
    <t>BIT11045579</t>
  </si>
  <si>
    <t>271899108</t>
  </si>
  <si>
    <t>NOMBRE RETIRA: FERNANDO URRUTIA . RUT RETIRA: 53321047-3</t>
  </si>
  <si>
    <t>Gustavo Escobar Vargas</t>
  </si>
  <si>
    <t>Las Monjas 670, 37</t>
  </si>
  <si>
    <t>BIT11045453</t>
  </si>
  <si>
    <t>271733688</t>
  </si>
  <si>
    <t>NOMBRE RETIRA: JULIO RODRIGUEZ . RUT RETIRA: 7967831-7</t>
  </si>
  <si>
    <t>Cristian Benavente Padilla</t>
  </si>
  <si>
    <t>Orompello 129, Depto 1508</t>
  </si>
  <si>
    <t>BIT11045399</t>
  </si>
  <si>
    <t>271635598</t>
  </si>
  <si>
    <t>NOMBRE RETIRA: CLAUDIA ABARCA . RUT RETIRA: 17194854-1</t>
  </si>
  <si>
    <t>Los Naranjos 436 Villa La Doñita, Casa</t>
  </si>
  <si>
    <t>BIT11045586</t>
  </si>
  <si>
    <t>271899061</t>
  </si>
  <si>
    <t>NOMBRE RETIRA: IGOR TORRES .. RUT RETIRA: 15206622-8</t>
  </si>
  <si>
    <t>Igor Torres</t>
  </si>
  <si>
    <t>Santa Marta 1354</t>
  </si>
  <si>
    <t>BIT11045580</t>
  </si>
  <si>
    <t>271899091</t>
  </si>
  <si>
    <t>NOMBRE RETIRA: JPAQUN SOTO . RUT RETIRA: 13951536-6</t>
  </si>
  <si>
    <t>Joaquin Joaquin Sotomayor</t>
  </si>
  <si>
    <t>Av Las Margaritas 1415, 317</t>
  </si>
  <si>
    <t>BIT11045477</t>
  </si>
  <si>
    <t>271733605</t>
  </si>
  <si>
    <t>NOMBRE RETIRA: FREDDY PERALTA D RUT RETIRA: 10854703-0</t>
  </si>
  <si>
    <t>Juliana Ardila</t>
  </si>
  <si>
    <t>Parcela Bb43, Ceres Sn, Condominio Estancia La Varilla</t>
  </si>
  <si>
    <t>BIT11045420</t>
  </si>
  <si>
    <t>271635364</t>
  </si>
  <si>
    <t>NOMBRE RETIRA: RODOLFO MUNOZ . RUT RETIRA: 8525164-3</t>
  </si>
  <si>
    <t>Linares 2254, Casa 3</t>
  </si>
  <si>
    <t>BIT11045517</t>
  </si>
  <si>
    <t>271805979</t>
  </si>
  <si>
    <t>NOMBRE RETIRA: CARLIS RIVER VECINO RUT RETIRA: 6096097-6</t>
  </si>
  <si>
    <t>Rodrigo Henriquez</t>
  </si>
  <si>
    <t>Sta. María del Mar 4021, casa</t>
  </si>
  <si>
    <t>BIT11045472</t>
  </si>
  <si>
    <t>271733623</t>
  </si>
  <si>
    <t>NOMBRE RETIRA: DELU NUNES .. RUT RETIRA: 10889627-2</t>
  </si>
  <si>
    <t>Guillermo Lara</t>
  </si>
  <si>
    <t>Juan De Dios CarreÑo Orostica 660, 660</t>
  </si>
  <si>
    <t>BIT11045503</t>
  </si>
  <si>
    <t>271733395</t>
  </si>
  <si>
    <t>NOMBRE RETIRA: GUILLERMO QUEZADA . RUT RETIRA: 53321450-9</t>
  </si>
  <si>
    <t>Rogelio Inostroza</t>
  </si>
  <si>
    <t>Avenida Andalue 1440 t2, 401</t>
  </si>
  <si>
    <t>BIT11045508</t>
  </si>
  <si>
    <t>271733320</t>
  </si>
  <si>
    <t>NOMBRE RETIRA: ERCILIA MORALES . RUT RETIRA: 53321450-9</t>
  </si>
  <si>
    <t>marco urra salgado</t>
  </si>
  <si>
    <t>dalcahue 1180, Depto 705</t>
  </si>
  <si>
    <t>BIT11045408</t>
  </si>
  <si>
    <t>271635512</t>
  </si>
  <si>
    <t>NOMBRE RETIRA: DELIA MORALEZ F F RUT RETIRA: 9730979-5</t>
  </si>
  <si>
    <t>Rafael Angulo Ovalles</t>
  </si>
  <si>
    <t>Jaime Guzmán errazuriz 5106, Depto 2202</t>
  </si>
  <si>
    <t>BIT11045411</t>
  </si>
  <si>
    <t>271635488</t>
  </si>
  <si>
    <t>NOMBRE RETIRA: ABEL HERNANDEZ HERNANDE RUT RETIRA: 22200278-8</t>
  </si>
  <si>
    <t>Abel Fernandez</t>
  </si>
  <si>
    <t>Inés de Suárez 453, Casa</t>
  </si>
  <si>
    <t>BIT11045516</t>
  </si>
  <si>
    <t>271806024</t>
  </si>
  <si>
    <t>NOMBRE RETIRA: CRISTIAN TORRES HH RUT RETIRA: 9220431-6</t>
  </si>
  <si>
    <t>Cristian Torres Flores</t>
  </si>
  <si>
    <t>Avenida las rosas, 230, Lota.</t>
  </si>
  <si>
    <t>BIT11045559</t>
  </si>
  <si>
    <t>271899207</t>
  </si>
  <si>
    <t>NOMBRE RETIRA: ESTEBAN ADONIS A RUT RETIRA: 20990768-2</t>
  </si>
  <si>
    <t>anuar alexis alee gonzalez</t>
  </si>
  <si>
    <t>Valle Grande 2420 San Pedro De La Paz, 15</t>
  </si>
  <si>
    <t>BIT11045462</t>
  </si>
  <si>
    <t>271733648</t>
  </si>
  <si>
    <t>Francisco Watt Alarcón</t>
  </si>
  <si>
    <t>Valle Grande 2420, Casa 42</t>
  </si>
  <si>
    <t>BIT11045436</t>
  </si>
  <si>
    <t>271635242</t>
  </si>
  <si>
    <t>NOMBRE RETIRA: JHANA MELLA M RUT RETIRA: 10337156-2</t>
  </si>
  <si>
    <t>Johana Mella</t>
  </si>
  <si>
    <t>Brasil 327, Local A</t>
  </si>
  <si>
    <t>BIT11045402</t>
  </si>
  <si>
    <t>271635562</t>
  </si>
  <si>
    <t>NOMBRE RETIRA: SERGIO JULIO AGUILERA RUT RETIRA: 20213437-8</t>
  </si>
  <si>
    <t>sergio julio aguilera</t>
  </si>
  <si>
    <t>Raúl Cisterna 9542, antofagasta, casa</t>
  </si>
  <si>
    <t>BIT11045236</t>
  </si>
  <si>
    <t>271432370</t>
  </si>
  <si>
    <t>NOMBRE RETIRA: PATRICIO VALLEJOS . RUT RETIRA: 20259393-3</t>
  </si>
  <si>
    <t>Pasaje cerro pedregal 9183</t>
  </si>
  <si>
    <t>BIT11045470</t>
  </si>
  <si>
    <t>271733591</t>
  </si>
  <si>
    <t>NOMBRE RETIRA: HELDY CARRASCO . RUT RETIRA: 18805117-0</t>
  </si>
  <si>
    <t>Heldy Carrasco</t>
  </si>
  <si>
    <t>Dc Manuel Rioseco 400 Casa 1, Condominio parque Los Avellanos</t>
  </si>
  <si>
    <t>BIT11045433</t>
  </si>
  <si>
    <t>271635299</t>
  </si>
  <si>
    <t>NOMBRE RETIRA: ISHLEEN MIRANDA . RUT RETIRA: 21395021-5</t>
  </si>
  <si>
    <t>Jose Apala Soria</t>
  </si>
  <si>
    <t>Balmaceda 3242 tienda Bata Mall plaza, Local 127</t>
  </si>
  <si>
    <t>BIT11045421</t>
  </si>
  <si>
    <t>271635359</t>
  </si>
  <si>
    <t>NOMBRE RETIRA: MAUREEN MILLER . RUT RETIRA: 13455492-4</t>
  </si>
  <si>
    <t>Calle Mantos Blancos 4128, Villa los Yacimientos</t>
  </si>
  <si>
    <t>BIT11045435</t>
  </si>
  <si>
    <t>271635273</t>
  </si>
  <si>
    <t>NOMBRE RETIRA: TAMARA VEGA A RUT RETIRA: 12345678-5</t>
  </si>
  <si>
    <t>Santa Magdalena 628, Casa</t>
  </si>
  <si>
    <t>BIT11045490</t>
  </si>
  <si>
    <t>271733486</t>
  </si>
  <si>
    <t>BIT11045246</t>
  </si>
  <si>
    <t>271432379</t>
  </si>
  <si>
    <t>NOMBRE RETIRA: GRECIA CARDENAS . RUT RETIRA: 18469950-8</t>
  </si>
  <si>
    <t>Grecia belen Cardenas barrientos</t>
  </si>
  <si>
    <t>La vara senda sur km 5.5, Al frente de pasaje artesanos de senda sur hacia arriba</t>
  </si>
  <si>
    <t>BIT11045424</t>
  </si>
  <si>
    <t>271635337</t>
  </si>
  <si>
    <t>NOMBRE RETIRA: LUCIANO ROMERO . RUT RETIRA: 78402351-6</t>
  </si>
  <si>
    <t>Jaime Repullo 3545, Araucaria 104, Torre araucaria 104</t>
  </si>
  <si>
    <t>BIT11045438</t>
  </si>
  <si>
    <t>271635226</t>
  </si>
  <si>
    <t>NOMBRE RETIRA: JOSE CESPEDES J RUT RETIRA: 10700050-K</t>
  </si>
  <si>
    <t>Avenida 21 de Mayo 1098, Quillota, Chile, casa 7</t>
  </si>
  <si>
    <t>BIT11045407</t>
  </si>
  <si>
    <t>271635534</t>
  </si>
  <si>
    <t>NOMBRE RETIRA: CRISTIAN HENRIQUEZ L RUT RETIRA: 14472022-9</t>
  </si>
  <si>
    <t>Cristian Henríquez Leal</t>
  </si>
  <si>
    <t>Alvaro Bombal, 020</t>
  </si>
  <si>
    <t>BIT11045294</t>
  </si>
  <si>
    <t>271511974</t>
  </si>
  <si>
    <t>NOMBRE RETIRA: RODRIGO VALENCIA SEVERINO FR RUT RETIRA: 13332481-K</t>
  </si>
  <si>
    <t>Rodrigo Valencia Severino</t>
  </si>
  <si>
    <t>Avda. Brasil Nº 121, RETIRA EN STARKEN sucursal ARICA</t>
  </si>
  <si>
    <t>BIT11045434</t>
  </si>
  <si>
    <t>271635269</t>
  </si>
  <si>
    <t>NOMBRE RETIRA: CARMEN CUMSILLE . RUT RETIRA: 17597377-K</t>
  </si>
  <si>
    <t>GIUSSEPPE BORTOLUZZI 1247, 1247</t>
  </si>
  <si>
    <t>BIT11045388</t>
  </si>
  <si>
    <t>271635650</t>
  </si>
  <si>
    <t>NOMBRE RETIRA: MARIA HANCKEA . RUT RETIRA: 16578807-9</t>
  </si>
  <si>
    <t>María Carolina Hanckes Arqueros</t>
  </si>
  <si>
    <t>Avenida cuatro esquinas 4500, casa 74., 74</t>
  </si>
  <si>
    <t>BIT11045437</t>
  </si>
  <si>
    <t>271635235</t>
  </si>
  <si>
    <t>Edif. El Mañío Depto 51 - Isla Teja, Avenida Los RaulÍes 430</t>
  </si>
  <si>
    <t>BIT11045403</t>
  </si>
  <si>
    <t>271635549</t>
  </si>
  <si>
    <t>NOMBRE RETIRA: DEMIAN CASTILLO . RUT RETIRA: 18683879-3</t>
  </si>
  <si>
    <t>Villarreal Oriente 194, Depto 503 Torre Valencia</t>
  </si>
  <si>
    <t>BIT11045380</t>
  </si>
  <si>
    <t>271635697</t>
  </si>
  <si>
    <t>NOMBRE RETIRA: MARITZA LAGOS L RUT RETIRA: 20977800-9</t>
  </si>
  <si>
    <t>Orlando Andrés Pinto Manquehual</t>
  </si>
  <si>
    <t>Juan Martínez de Rozas 677, Depto.411</t>
  </si>
  <si>
    <t>BIT11045432</t>
  </si>
  <si>
    <t>271635323</t>
  </si>
  <si>
    <t>NOMBRE RETIRA: MMARI NAIPIL LL RUT RETIRA: 16831804-9</t>
  </si>
  <si>
    <t>Elizabeth Rossana Espindola Salinas</t>
  </si>
  <si>
    <t>Avenida Alcalde Fuschlocher 958, Casa (Piscina Enki)</t>
  </si>
  <si>
    <t>BIT11045299</t>
  </si>
  <si>
    <t>271511940</t>
  </si>
  <si>
    <t>NOMBRE RETIRA: MARIELA BRAVO X RUT RETIRA: 20818648-5</t>
  </si>
  <si>
    <t>Mariela González Alarcón</t>
  </si>
  <si>
    <t>Condominio Afquintue, Parcela 12</t>
  </si>
  <si>
    <t>BIT11045067</t>
  </si>
  <si>
    <t>271318706</t>
  </si>
  <si>
    <t>NOMBRE RETIRA: IVON AGUILA . RUT RETIRA: 16975677-5</t>
  </si>
  <si>
    <t>Gloria Aguila</t>
  </si>
  <si>
    <t>Libertad 817, Población Arturo Prat</t>
  </si>
  <si>
    <t>BIT11045319</t>
  </si>
  <si>
    <t>271511797</t>
  </si>
  <si>
    <t>NOMBRE RETIRA: MARCELA DIAZ A RUT RETIRA: 12345678-5</t>
  </si>
  <si>
    <t>Marcela Diaz Herrera</t>
  </si>
  <si>
    <t>Pasaje La Chimba 775 Gran Vía, Entre Avenida Angamos y calle Blumell</t>
  </si>
  <si>
    <t>BIT11045440</t>
  </si>
  <si>
    <t>271733761</t>
  </si>
  <si>
    <t>NOMBRE RETIRA: ANDRES G . RUT RETIRA: 18868550-1</t>
  </si>
  <si>
    <t>BIT11045419</t>
  </si>
  <si>
    <t>271635398</t>
  </si>
  <si>
    <t>NOMBRE RETIRA: VIVIANA PARRA R RUT RETIRA: 15320631-7</t>
  </si>
  <si>
    <t>Viviana Parra Rojas</t>
  </si>
  <si>
    <t>9 1/2 norte A 3967, con 37 1/2 oriente , condominio casa numero 6, Casa 6</t>
  </si>
  <si>
    <t>BIT11045401</t>
  </si>
  <si>
    <t>271635592</t>
  </si>
  <si>
    <t>NOMBRE RETIRA: ALEXIS KROFF . RUT RETIRA: 7632641-K</t>
  </si>
  <si>
    <t>Edith Espejo</t>
  </si>
  <si>
    <t>Alejandro navarrete manzana C4, Casa12,  las Cañitas, Reñaca</t>
  </si>
  <si>
    <t>BIT11045313</t>
  </si>
  <si>
    <t>271511862</t>
  </si>
  <si>
    <t>NOMBRE RETIRA: MARIA CAROLINA A A RUT RETIRA: 12345678-5</t>
  </si>
  <si>
    <t>BIT11045450</t>
  </si>
  <si>
    <t>271733719</t>
  </si>
  <si>
    <t>NOMBRE RETIRA: REN VIDAL B RUT RETIRA: 13624643-7</t>
  </si>
  <si>
    <t>Cristhián Monasterio Montes</t>
  </si>
  <si>
    <t>Avenida Parques de Carriel 9431, Casa 36. Condominio Valle de Colchagua</t>
  </si>
  <si>
    <t>BIT11045226</t>
  </si>
  <si>
    <t>271432513</t>
  </si>
  <si>
    <t>NOMBRE RETIRA: OSCAR CARRENO MACIAS RUT RETIRA: 5464125-7</t>
  </si>
  <si>
    <t>Susana Carreño</t>
  </si>
  <si>
    <t>Casa, Pasaje Bandera 01167</t>
  </si>
  <si>
    <t>BIT11045343</t>
  </si>
  <si>
    <t>271511604</t>
  </si>
  <si>
    <t>NOMBRE RETIRA: FELIOE CARRASCO . RUT RETIRA: 22588842-6</t>
  </si>
  <si>
    <t>Felipe Carrasco Walker</t>
  </si>
  <si>
    <t>Fernando Hoffmann 1761, Casa</t>
  </si>
  <si>
    <t>BIT11045152</t>
  </si>
  <si>
    <t>271433133</t>
  </si>
  <si>
    <t>NOMBRE RETIRA: REINALDO NEIRA N RUT RETIRA: 14102409-4</t>
  </si>
  <si>
    <t>Félix Pinto Alcaino</t>
  </si>
  <si>
    <t>Marcos Maturana 2348, Casa</t>
  </si>
  <si>
    <t>BIT11045337</t>
  </si>
  <si>
    <t>271511672</t>
  </si>
  <si>
    <t>NOMBRE RETIRA: MARIBEL POZO . RUT RETIRA: 11144591-5</t>
  </si>
  <si>
    <t>Maribel Pozo Cueto</t>
  </si>
  <si>
    <t>Cartero Ciego 950 Villa Las Garzas</t>
  </si>
  <si>
    <t>BIT11045326</t>
  </si>
  <si>
    <t>271511770</t>
  </si>
  <si>
    <t>NOMBRE RETIRA: EDUARDI S G RUT RETIRA: 15416256-9</t>
  </si>
  <si>
    <t>Shirley Sophia Ruiz Bernal</t>
  </si>
  <si>
    <t>Rosita Renard 152, Casa esquina</t>
  </si>
  <si>
    <t>BIT11045026</t>
  </si>
  <si>
    <t>271318971</t>
  </si>
  <si>
    <t>NOMBRE RETIRA: EDUARDO COSTA . RUT RETIRA: 18585317-9</t>
  </si>
  <si>
    <t>Carolina VALENCIA</t>
  </si>
  <si>
    <t>Humberto Palza 3609, Casa 3 Cond. La Huayca</t>
  </si>
  <si>
    <t>BIT11045275</t>
  </si>
  <si>
    <t>271432090</t>
  </si>
  <si>
    <t>NOMBRE RETIRA: VALENTINA JIMENEZ . RUT RETIRA: 12345678-5</t>
  </si>
  <si>
    <t>Alejandro Rojas Ramos</t>
  </si>
  <si>
    <t>Cordillera 230, Casa</t>
  </si>
  <si>
    <t>BIT11045300</t>
  </si>
  <si>
    <t>271511913</t>
  </si>
  <si>
    <t>NOMBRE RETIRA: LORENA CAMUS . RUT RETIRA: 13054116-K</t>
  </si>
  <si>
    <t>Rodrigo Ernesto Díaz Paredes</t>
  </si>
  <si>
    <t>LAS HERAS 650, Oficina 506</t>
  </si>
  <si>
    <t>BIT11045308</t>
  </si>
  <si>
    <t>271511892</t>
  </si>
  <si>
    <t>Carrera 270, Casa</t>
  </si>
  <si>
    <t>BIT11045295</t>
  </si>
  <si>
    <t>271511948</t>
  </si>
  <si>
    <t>NOMBRE RETIRA: MARION VILLEGAS . RUT RETIRA: 12345678-5</t>
  </si>
  <si>
    <t>Marion Villegas</t>
  </si>
  <si>
    <t>Volcan quetrupillan 1514 mirador de puerto varas</t>
  </si>
  <si>
    <t>BIT11045288</t>
  </si>
  <si>
    <t>271512014</t>
  </si>
  <si>
    <t>BIT11045254</t>
  </si>
  <si>
    <t>271432296</t>
  </si>
  <si>
    <t>NOMBRE RETIRA: MARIA CHANG K RUT RETIRA: 10029883-K</t>
  </si>
  <si>
    <t>Luis Robles Santiago</t>
  </si>
  <si>
    <t>Caparrosa 461, Depto E11 Condominio Plaza Norte IV</t>
  </si>
  <si>
    <t>BIT11045369</t>
  </si>
  <si>
    <t>271511458</t>
  </si>
  <si>
    <t>NOMBRE RETIRA: NICOL MUNOZ . RUT RETIRA: 17212104-7</t>
  </si>
  <si>
    <t>EDUARDO ANTONIO QUIERO OPAZO</t>
  </si>
  <si>
    <t>32 ORIENTE 3412 VILLA BICENTENARIO, ESQUINA 22 NORTE</t>
  </si>
  <si>
    <t>BIT11045331</t>
  </si>
  <si>
    <t>271511689</t>
  </si>
  <si>
    <t>NOMBRE RETIRA: ALAN SEGOVIA O RUT RETIRA: 12345678-5</t>
  </si>
  <si>
    <t>Alan Segovia</t>
  </si>
  <si>
    <t>Pasaje Las Loicas # 754</t>
  </si>
  <si>
    <t>BIT11045357</t>
  </si>
  <si>
    <t>271511522</t>
  </si>
  <si>
    <t>NOMBRE RETIRA: CRISTINAPRADINES . . RUT RETIRA: 20255950-6</t>
  </si>
  <si>
    <t>Cristina Pradines</t>
  </si>
  <si>
    <t>avenida 101, 1383</t>
  </si>
  <si>
    <t>BIT11045063</t>
  </si>
  <si>
    <t>271318741</t>
  </si>
  <si>
    <t>NOMBRE RETIRA: MICHEL VERA . RUT RETIRA: 26440955-1</t>
  </si>
  <si>
    <t>JAIME BUSTOS</t>
  </si>
  <si>
    <t>AVDA ARTURO PRAT 1724, 1707</t>
  </si>
  <si>
    <t>BIT11045363</t>
  </si>
  <si>
    <t>271511483</t>
  </si>
  <si>
    <t>NOMBRE RETIRA: ALEJANDRO CASTILLO C RUT RETIRA: 13423383-4</t>
  </si>
  <si>
    <t>Esteban Adaro Nieto</t>
  </si>
  <si>
    <t>Callejon Jose Joaquin Vallejos 399, Casa 4, Condominio don Leonidas</t>
  </si>
  <si>
    <t>BIT11045216</t>
  </si>
  <si>
    <t>271432623</t>
  </si>
  <si>
    <t>NOMBRE RETIRA: YERKO . . RUT RETIRA: 21463496-1</t>
  </si>
  <si>
    <t>Yerko Ruz</t>
  </si>
  <si>
    <t>Pedro Lobos # 7558</t>
  </si>
  <si>
    <t>BIT11045283</t>
  </si>
  <si>
    <t>271512032</t>
  </si>
  <si>
    <t>NOMBRE RETIRA: MIRIAM TAPIA H RUT RETIRA: 5936215-1</t>
  </si>
  <si>
    <t>Alejandro Bordones</t>
  </si>
  <si>
    <t>El litre 2136, Casa</t>
  </si>
  <si>
    <t>BIT11045218</t>
  </si>
  <si>
    <t>271432601</t>
  </si>
  <si>
    <t>NOMBRE RETIRA: LESLY DONOSO H H RUT RETIRA: 13869926-9</t>
  </si>
  <si>
    <t>Eduardo Osorio Quezada</t>
  </si>
  <si>
    <t>Valle apacible 03750, Antofagasta, Casa 03750</t>
  </si>
  <si>
    <t>BIT11045349</t>
  </si>
  <si>
    <t>271511556</t>
  </si>
  <si>
    <t>NOMBRE RETIRA: ANDREA CARRASCI . RUT RETIRA: 18413955-3</t>
  </si>
  <si>
    <t>Andrea Accrpersonal5014</t>
  </si>
  <si>
    <t>Las azucenas 5014, Casa</t>
  </si>
  <si>
    <t>BIT11045123</t>
  </si>
  <si>
    <t>271433282</t>
  </si>
  <si>
    <t>NOMBRE RETIRA: PEDRO RAMIREZ . RUT RETIRA: 8237368-3</t>
  </si>
  <si>
    <t>teo ramirez lay</t>
  </si>
  <si>
    <t>Los Castaños 3278</t>
  </si>
  <si>
    <t>BIT11045114</t>
  </si>
  <si>
    <t>271318460</t>
  </si>
  <si>
    <t>MONICA BLANCO SANDOVAL</t>
  </si>
  <si>
    <t>PADRE HURTADO 2369, TORRE NORTE DEPTO 304</t>
  </si>
  <si>
    <t>BIT11045347</t>
  </si>
  <si>
    <t>271511597</t>
  </si>
  <si>
    <t>NOMBRE RETIRA: CONCERJE K I RUT RETIRA: 12345678-5</t>
  </si>
  <si>
    <t>Felipe Castillo Sierra</t>
  </si>
  <si>
    <t>ARAGON 125, 1203A</t>
  </si>
  <si>
    <t>BIT11045329</t>
  </si>
  <si>
    <t>271511732</t>
  </si>
  <si>
    <t>BIT11045366</t>
  </si>
  <si>
    <t>271511479</t>
  </si>
  <si>
    <t>NOMBRE RETIRA: MIGUEL ARANEDA . RUT RETIRA: 6013837-0</t>
  </si>
  <si>
    <t>Álvaro Belmar Mendoza</t>
  </si>
  <si>
    <t>Avenida las Golondrinas 1488 Talcahuano, Bodegas Blumar, camino a Lenga</t>
  </si>
  <si>
    <t>BIT11045243</t>
  </si>
  <si>
    <t>271432405</t>
  </si>
  <si>
    <t>NOMBRE RETIRA: REBECA ESCALA GE . RUT RETIRA: 27492634-1</t>
  </si>
  <si>
    <t>PAOLA CAMPANA O</t>
  </si>
  <si>
    <t>Av. Balmaceda 2705, Antofagasta, Depto 2002, 2002</t>
  </si>
  <si>
    <t>BIT11045175</t>
  </si>
  <si>
    <t>271432922</t>
  </si>
  <si>
    <t>Av. francisco bilbao 3713, Departamento 1902</t>
  </si>
  <si>
    <t>BIT11045279</t>
  </si>
  <si>
    <t>271512043</t>
  </si>
  <si>
    <t>NOMBRE RETIRA: JENUFER ANDIA . RUT RETIRA: 17170334-4</t>
  </si>
  <si>
    <t>Claudia Pampaloni</t>
  </si>
  <si>
    <t>Atahualpa 2209, Torre C depto 602</t>
  </si>
  <si>
    <t>BIT11045307</t>
  </si>
  <si>
    <t>271511905</t>
  </si>
  <si>
    <t>NOMBRE RETIRA: MARCO A A RUT RETIRA: 53130190-0</t>
  </si>
  <si>
    <t>BIT11045335</t>
  </si>
  <si>
    <t>271511671</t>
  </si>
  <si>
    <t>María Trinidad Abalos Barros</t>
  </si>
  <si>
    <t>Avenida Bombero Domingo Villalobos 764, B 1001, 1001 B</t>
  </si>
  <si>
    <t>BIT11045352</t>
  </si>
  <si>
    <t>271511528</t>
  </si>
  <si>
    <t>NOMBRE RETIRA: FABIAN GUERRERO . RUT RETIRA: 65142343-0</t>
  </si>
  <si>
    <t>Ricardo Barrientos</t>
  </si>
  <si>
    <t>Lonquimay 1195, Depto 501</t>
  </si>
  <si>
    <t>BIT11045267</t>
  </si>
  <si>
    <t>271432182</t>
  </si>
  <si>
    <t>NOMBRE RETIRA: ANDRES . . RUT RETIRA: 19508516-1</t>
  </si>
  <si>
    <t>Andrés Utz</t>
  </si>
  <si>
    <t>Maipú, 465</t>
  </si>
  <si>
    <t>BIT11045158</t>
  </si>
  <si>
    <t>271433042</t>
  </si>
  <si>
    <t>NOMBRE RETIRA: MARIA RODRIGUES RODRIGUES RUT RETIRA: 20303921-2</t>
  </si>
  <si>
    <t>Sergio Basualto Alfaro</t>
  </si>
  <si>
    <t>Democracia 64B, Pega</t>
  </si>
  <si>
    <t>BIT11045362</t>
  </si>
  <si>
    <t>271511511</t>
  </si>
  <si>
    <t>NOMBRE RETIRA: VICENTE M N RUT RETIRA: 53301181-0</t>
  </si>
  <si>
    <t>Cristian Morales Galvez</t>
  </si>
  <si>
    <t>Baquedano 1, Parcela 52</t>
  </si>
  <si>
    <t>BIT11045342</t>
  </si>
  <si>
    <t>271511652</t>
  </si>
  <si>
    <t>NOMBRE RETIRA: KATY BILLALOBOS . RUT RETIRA: 8377521-1</t>
  </si>
  <si>
    <t>Katy Villalobos callejas</t>
  </si>
  <si>
    <t>Pasaje juan francisco cifuentes 724(larrain alcalde)</t>
  </si>
  <si>
    <t>BIT11045198</t>
  </si>
  <si>
    <t>271432845</t>
  </si>
  <si>
    <t>NOMBRE RETIRA: ROBERTO POBLETE . RUT RETIRA: 5676581-6</t>
  </si>
  <si>
    <t>1 sur 865 oficina 41, Edificio torre talcs</t>
  </si>
  <si>
    <t>BIT11045287</t>
  </si>
  <si>
    <t>271511983</t>
  </si>
  <si>
    <t>NOMBRE RETIRA: JACK NUNS A RUT RETIRA: 13597786-1</t>
  </si>
  <si>
    <t>Bettina De la valle</t>
  </si>
  <si>
    <t>Malaga712</t>
  </si>
  <si>
    <t>BIT11045328</t>
  </si>
  <si>
    <t>271511755</t>
  </si>
  <si>
    <t>NOMBRE RETIRA: ERICSIN N N RUT RETIRA: 13226134-2</t>
  </si>
  <si>
    <t>Erickson Monsalve</t>
  </si>
  <si>
    <t>Rincon del Olivillo 1401</t>
  </si>
  <si>
    <t>BIT11045348</t>
  </si>
  <si>
    <t>271511564</t>
  </si>
  <si>
    <t>NOMBRE RETIRA: LUIS BAZAES . RUT RETIRA: 12345678-5</t>
  </si>
  <si>
    <t>Liis Saravia</t>
  </si>
  <si>
    <t>Pablo raab 752, Casa 51</t>
  </si>
  <si>
    <t>BIT11045253</t>
  </si>
  <si>
    <t>271432318</t>
  </si>
  <si>
    <t>NOMBRE RETIRA: LUCAS MARKIC . RUT RETIRA: 21086292-7</t>
  </si>
  <si>
    <t>Daniela Alejandra San Martín Fernández</t>
  </si>
  <si>
    <t>Pasaje Santiago de Compostela 1825, Mirador de la Bahía</t>
  </si>
  <si>
    <t>BIT11044942</t>
  </si>
  <si>
    <t>271274907</t>
  </si>
  <si>
    <t>NOMBRE RETIRA: KATHERINE CASAA Z RUT RETIRA: 19494392-K</t>
  </si>
  <si>
    <t>Katherine Casas-cordero</t>
  </si>
  <si>
    <t>Nana gutierrez 0315, Torre 1 depto 113</t>
  </si>
  <si>
    <t>BIT11044943</t>
  </si>
  <si>
    <t>271274895</t>
  </si>
  <si>
    <t>NOMBRE RETIRA: KATHERINE VASAS X RUT RETIRA: 19356083-0</t>
  </si>
  <si>
    <t>BIT11045176</t>
  </si>
  <si>
    <t>271432976</t>
  </si>
  <si>
    <t>NOMBRE RETIRA: CONSERJEDIA O O RUT RETIRA: 12345678-5</t>
  </si>
  <si>
    <t>Silvia Araya muñoz</t>
  </si>
  <si>
    <t>Salvador Reyes 1094, Depto 902</t>
  </si>
  <si>
    <t>BIT11045021</t>
  </si>
  <si>
    <t>271319005</t>
  </si>
  <si>
    <t>NOMBRE RETIRA: NATALI VALENCIA .PORTERIA RUT RETIRA: 44444444-4</t>
  </si>
  <si>
    <t>Andres Morales</t>
  </si>
  <si>
    <t>Mateo de toro y zambrano 2099, Innova</t>
  </si>
  <si>
    <t>BIT11045223</t>
  </si>
  <si>
    <t>271432561</t>
  </si>
  <si>
    <t>NOMBRE RETIRA: MIRNA ESPINOZA E RUT RETIRA: 8203605-9</t>
  </si>
  <si>
    <t>César Hernández Espinosa</t>
  </si>
  <si>
    <t>Calle Río Segre 2323, Casa 8</t>
  </si>
  <si>
    <t>BIT11045201</t>
  </si>
  <si>
    <t>271432809</t>
  </si>
  <si>
    <t>NOMBRE RETIRA: JAIME LWEMANDA X RUT RETIRA: 6105145-7</t>
  </si>
  <si>
    <t>nicolas Lermanda Riquelme</t>
  </si>
  <si>
    <t>Pedro Aguirre Cerda 041 Angol, Casa</t>
  </si>
  <si>
    <t>BIT11045268</t>
  </si>
  <si>
    <t>271432151</t>
  </si>
  <si>
    <t>NOMBRE RETIRA: CLAUDIO FUENTEANBA FUENTEALBA RUT RETIRA: 11985565-9</t>
  </si>
  <si>
    <t>Las Camelias 121, dpto 71, Quinta Junge, Pedro de Valdivia</t>
  </si>
  <si>
    <t>BIT11045251</t>
  </si>
  <si>
    <t>271432324</t>
  </si>
  <si>
    <t>NOMBRE RETIRA: HECYOR CARVAJAL M RUT RETIRA: 14504910-5</t>
  </si>
  <si>
    <t>HÉCTOR CARVAJAL</t>
  </si>
  <si>
    <t>Pasaje el Canelo 141, Curauma, Valparaiso, 141</t>
  </si>
  <si>
    <t>BIT11045017</t>
  </si>
  <si>
    <t>271319030</t>
  </si>
  <si>
    <t>NOMBRE RETIRA: JUAN M. MARCHANT . . RUT RETIRA: 13844061-3</t>
  </si>
  <si>
    <t>BIT11045264</t>
  </si>
  <si>
    <t>271432223</t>
  </si>
  <si>
    <t>NOMBRE RETIRA: MANUEL . . RUT RETIRA: 12345678-5</t>
  </si>
  <si>
    <t>Calle del agua 2220, C1 depto 44</t>
  </si>
  <si>
    <t>BIT11045211</t>
  </si>
  <si>
    <t>271432659</t>
  </si>
  <si>
    <t>NOMBRE RETIRA: JEAN SALOMON SALOMON RUT RETIRA: 26128151-1</t>
  </si>
  <si>
    <t>Juan Pablo Orellana Cádiz</t>
  </si>
  <si>
    <t>Av. el Cristo local 6 y 7, Hidroagro</t>
  </si>
  <si>
    <t>BIT11045262</t>
  </si>
  <si>
    <t>271432216</t>
  </si>
  <si>
    <t>NOMBRE RETIRA: IVAN SANDOVAL . RUT RETIRA: 8234643-0</t>
  </si>
  <si>
    <t>Michel Tilly</t>
  </si>
  <si>
    <t>Angol 144, Depto 44</t>
  </si>
  <si>
    <t>BIT11045249</t>
  </si>
  <si>
    <t>271432328</t>
  </si>
  <si>
    <t>NOMBRE RETIRA: NATALIA CABALLERO . RUT RETIRA: 17575914-K</t>
  </si>
  <si>
    <t>andres garrido</t>
  </si>
  <si>
    <t>Avenida Blanca Vergara, 1647</t>
  </si>
  <si>
    <t>BIT11045259</t>
  </si>
  <si>
    <t>271432259</t>
  </si>
  <si>
    <t>NOMBRE RETIRA: NELSON CARO N RUT RETIRA: 16749838-8</t>
  </si>
  <si>
    <t>Nelson Caro Medina</t>
  </si>
  <si>
    <t>POLARIS 717, Serena Golf</t>
  </si>
  <si>
    <t>BIT11045228</t>
  </si>
  <si>
    <t>271432474</t>
  </si>
  <si>
    <t>NOMBRE RETIRA: OMER MALDONADO . RUT RETIRA: 26611281-5</t>
  </si>
  <si>
    <t>Jhonny Valdivia Diaz</t>
  </si>
  <si>
    <t>Avda 21 De Mayo 5293 Casa 18, Casa 18</t>
  </si>
  <si>
    <t>BIT11045214</t>
  </si>
  <si>
    <t>271432631</t>
  </si>
  <si>
    <t>NOMBRE RETIRA: ALFREDO PONCE H RUT RETIRA: 15612072-3</t>
  </si>
  <si>
    <t>Alfredo Ponce Alfaro</t>
  </si>
  <si>
    <t>Cancha Rayada 678, Casa restaurant Chino</t>
  </si>
  <si>
    <t>BIT11045231</t>
  </si>
  <si>
    <t>271432444</t>
  </si>
  <si>
    <t>NOMBRE RETIRA: JIMENA BUSTOS . RUT RETIRA: 13509838-8</t>
  </si>
  <si>
    <t>Miguel Aliste</t>
  </si>
  <si>
    <t>Javiera carrera 6465. Lomas coloradas.</t>
  </si>
  <si>
    <t>BIT11045210</t>
  </si>
  <si>
    <t>271432683</t>
  </si>
  <si>
    <t>NOMBRE RETIRA: VICTOE GARCIA J RUT RETIRA: 10200620-8</t>
  </si>
  <si>
    <t>Victor Garcia Astete</t>
  </si>
  <si>
    <t>Hermano Juan cebrian Gonzalez 2170, Villa manantiales del inca</t>
  </si>
  <si>
    <t>BIT11045206</t>
  </si>
  <si>
    <t>271432751</t>
  </si>
  <si>
    <t>NOMBRE RETIRA: MARLENE BERRIOS M RUT RETIRA: 21499654-5</t>
  </si>
  <si>
    <t>Cesar Villanueva ponte</t>
  </si>
  <si>
    <t>Eleuterio ramirez 1429, Depto. 902</t>
  </si>
  <si>
    <t>BIT11045196</t>
  </si>
  <si>
    <t>271432879</t>
  </si>
  <si>
    <t>NOMBRE RETIRA: LILIAN ROJAS 0 RUT RETIRA: 17322755-8</t>
  </si>
  <si>
    <t>31 y media oriente 23 y media norte  3550, Villa Bicentenario</t>
  </si>
  <si>
    <t>BIT11045258</t>
  </si>
  <si>
    <t>271432288</t>
  </si>
  <si>
    <t>NOMBRE RETIRA: ELIANA QUEZADA . RUT RETIRA: 10201662-9</t>
  </si>
  <si>
    <t>Stefano Lueiza</t>
  </si>
  <si>
    <t>Villa las gardenias #979 calle 1 oriente</t>
  </si>
  <si>
    <t>BIT11045207</t>
  </si>
  <si>
    <t>271432707</t>
  </si>
  <si>
    <t>NOMBRE RETIRA: EINER SEPULVEDA . RUT RETIRA: 13922922-3</t>
  </si>
  <si>
    <t>Einer Sepulveda</t>
  </si>
  <si>
    <t>Lord Cochrane 599, Casa 35, pasaje travesia</t>
  </si>
  <si>
    <t>BIT11045220</t>
  </si>
  <si>
    <t>271432564</t>
  </si>
  <si>
    <t>BIT11045270</t>
  </si>
  <si>
    <t>271432141</t>
  </si>
  <si>
    <t>NOMBRE RETIRA: MATIKDE CORNATE . RUT RETIRA: 9990156-K</t>
  </si>
  <si>
    <t>Osvaldo Villalobos</t>
  </si>
  <si>
    <t>Pasaje Américo Vespucio 2571, 2571</t>
  </si>
  <si>
    <t>BIT11045058</t>
  </si>
  <si>
    <t>271318801</t>
  </si>
  <si>
    <t>NOMBRE RETIRA: NAYERLI OLIVARES . RUT RETIRA: 11111111-1</t>
  </si>
  <si>
    <t>gustavo yones</t>
  </si>
  <si>
    <t>Libertad 450</t>
  </si>
  <si>
    <t>BIT11045019</t>
  </si>
  <si>
    <t>271319044</t>
  </si>
  <si>
    <t>NOMBRE RETIRA: SIMON ORREGO Y RUT RETIRA: 15988892-4</t>
  </si>
  <si>
    <t>Simon Alonso Orrego Salazar</t>
  </si>
  <si>
    <t>Pedro de Valdivia 853</t>
  </si>
  <si>
    <t>BIT11045165</t>
  </si>
  <si>
    <t>271433019</t>
  </si>
  <si>
    <t>NOMBRE RETIRA: JORGE MEJIAS A RUT RETIRA: 16868310-3</t>
  </si>
  <si>
    <t>Av. Carlos Oviedo Cavada 3844, Casa al lado de tienda</t>
  </si>
  <si>
    <t>BIT11045051</t>
  </si>
  <si>
    <t>271318830</t>
  </si>
  <si>
    <t>NOMBRE RETIRA: MARIA GALINDO . RUT RETIRA: 23102322-4</t>
  </si>
  <si>
    <t>Vicuña Mackenna 2203, Dpto 804</t>
  </si>
  <si>
    <t>BIT11045155</t>
  </si>
  <si>
    <t>271433053</t>
  </si>
  <si>
    <t>NOMBRE RETIRA: NINIVET CANEO . RUT RETIRA: 12582301-7</t>
  </si>
  <si>
    <t>Sendero del sol 449, Casa 47</t>
  </si>
  <si>
    <t>BIT11045202</t>
  </si>
  <si>
    <t>271432794</t>
  </si>
  <si>
    <t>NOMBRE RETIRA: CRISTIAN ESPINOZA ESPINOZA RUT RETIRA: 12436985-1</t>
  </si>
  <si>
    <t>Cristian Espinoza Ossandon</t>
  </si>
  <si>
    <t>Los Lirios 140, Casa</t>
  </si>
  <si>
    <t>BIT11045020</t>
  </si>
  <si>
    <t>271318987</t>
  </si>
  <si>
    <t>NOMBRE RETIRA: NEOCY AGUDELO . RUT RETIRA: 8727709-7</t>
  </si>
  <si>
    <t>Georgina Rodríguez</t>
  </si>
  <si>
    <t>Avenida Cerro Paranal 270, Departamento 143 Puyehue</t>
  </si>
  <si>
    <t>BIT11045169</t>
  </si>
  <si>
    <t>271432982</t>
  </si>
  <si>
    <t>NOMBRE RETIRA: ALEXANDRA CONCHA . RUT RETIRA: 20803149-K</t>
  </si>
  <si>
    <t>José Hernán Soto Vera</t>
  </si>
  <si>
    <t>BIT11045117</t>
  </si>
  <si>
    <t>271433294</t>
  </si>
  <si>
    <t>NOMBRE RETIRA: PAOLA HERRERA . RUT RETIRA: 19101551-7</t>
  </si>
  <si>
    <t>Yasna Hormazabal</t>
  </si>
  <si>
    <t>Cerro Paranal 315 depto 151 Barlovento, Departamento</t>
  </si>
  <si>
    <t>BIT11045173</t>
  </si>
  <si>
    <t>271432957</t>
  </si>
  <si>
    <t>NOMBRE RETIRA: HUGO CORTES . RUT RETIRA: 15695593-0</t>
  </si>
  <si>
    <t>maritza olave</t>
  </si>
  <si>
    <t>Genaro Gallo 554, 62-B</t>
  </si>
  <si>
    <t>BIT11045271</t>
  </si>
  <si>
    <t>271432135</t>
  </si>
  <si>
    <t>NOMBRE RETIRA: YADINE CAMPILAY . RUT RETIRA: 19445330-2</t>
  </si>
  <si>
    <t>Pantaleon Cortes 760, Casa</t>
  </si>
  <si>
    <t>BIT11045142</t>
  </si>
  <si>
    <t>271433215</t>
  </si>
  <si>
    <t>NOMBRE RETIRA: MOSSY CHANG . RUT RETIRA: 9357710-8</t>
  </si>
  <si>
    <t>Miguel Araya silva</t>
  </si>
  <si>
    <t>Arenosa 848, Esquina los carrera</t>
  </si>
  <si>
    <t>BIT11045208</t>
  </si>
  <si>
    <t>271432719</t>
  </si>
  <si>
    <t>NOMBRE RETIRA: ALAN GUERR . RUT RETIRA: 18510121-5</t>
  </si>
  <si>
    <t>Alan Guerrero</t>
  </si>
  <si>
    <t>Casa, Yungay 03</t>
  </si>
  <si>
    <t>BIT11045127</t>
  </si>
  <si>
    <t>271433275</t>
  </si>
  <si>
    <t>NOMBRE RETIRA: MAURIVIO JONES J RUT RETIRA: 12470723-4</t>
  </si>
  <si>
    <t>Mauricio Jones</t>
  </si>
  <si>
    <t>Villa Maria Lucia, Pasaje 26 Casa 110 110, Apt. Casa</t>
  </si>
  <si>
    <t>BIT11045113</t>
  </si>
  <si>
    <t>271318427</t>
  </si>
  <si>
    <t>BIT11045112</t>
  </si>
  <si>
    <t>271318471</t>
  </si>
  <si>
    <t>NOMBRE RETIRA: LUIS CORTES H RUT RETIRA: 16526759-1</t>
  </si>
  <si>
    <t>Luis Cortes Alfaro</t>
  </si>
  <si>
    <t>Carlos Cossoro 202</t>
  </si>
  <si>
    <t>BIT11045151</t>
  </si>
  <si>
    <t>271433153</t>
  </si>
  <si>
    <t>NOMBRE RETIRA: HUMBERTO RIVERA O RUT RETIRA: 18068132-9</t>
  </si>
  <si>
    <t>Humberto Rivera Soto</t>
  </si>
  <si>
    <t>Martínez de Rozas 1145, Dpto 508</t>
  </si>
  <si>
    <t>BIT11045200</t>
  </si>
  <si>
    <t>271432855</t>
  </si>
  <si>
    <t>NOMBRE RETIRA: WILLIAMS HERRERA -- RUT RETIRA: 53323816-5</t>
  </si>
  <si>
    <t>William Herrera Rivera</t>
  </si>
  <si>
    <t>Avenida Guillermo Ulriksen 1700, Departamento G14, Departamento G14</t>
  </si>
  <si>
    <t>BIT11045203</t>
  </si>
  <si>
    <t>271432785</t>
  </si>
  <si>
    <t>NOMBRE RETIRA: WILLIAM HERRERA -- RUT RETIRA: 53323816-5</t>
  </si>
  <si>
    <t>BIT11045038</t>
  </si>
  <si>
    <t>271318922</t>
  </si>
  <si>
    <t>NOMBRE RETIRA: FRANCISCO VILLARROEL . RUT RETIRA: 16804374-0</t>
  </si>
  <si>
    <t>Francisco Villarroel Jara</t>
  </si>
  <si>
    <t>Alejandro Pizarro 214, Los Andes, Casa</t>
  </si>
  <si>
    <t>BIT11045156</t>
  </si>
  <si>
    <t>271433062</t>
  </si>
  <si>
    <t>NOMBRE RETIRA: PAMELA ROCHA . RUT RETIRA: 12533484-9</t>
  </si>
  <si>
    <t>Avenida pablo neruda 02111, Local imperio</t>
  </si>
  <si>
    <t>BIT11045138</t>
  </si>
  <si>
    <t>271433239</t>
  </si>
  <si>
    <t>NOMBRE RETIRA: JORGE DIAS . RUT RETIRA: 17575914-K</t>
  </si>
  <si>
    <t>Anselmo Avila Castro</t>
  </si>
  <si>
    <t>P makenna 798, edificio vista urbana departamento 46</t>
  </si>
  <si>
    <t>BIT11045276</t>
  </si>
  <si>
    <t>271432085</t>
  </si>
  <si>
    <t>NOMBRE RETIRA: VIXTORIA SALINAS . RUT RETIRA: 5838484-4</t>
  </si>
  <si>
    <t>STOJAN MILIVOJEVIC</t>
  </si>
  <si>
    <t>Los Girasoles 4973 Valle Volcanes</t>
  </si>
  <si>
    <t>BIT11045018</t>
  </si>
  <si>
    <t>271319061</t>
  </si>
  <si>
    <t>NOMBRE RETIRA: MARXEKO . . RUT RETIRA: 53310370-7</t>
  </si>
  <si>
    <t>Marcelo Stumfol</t>
  </si>
  <si>
    <t>Preston 01841</t>
  </si>
  <si>
    <t>BIT11045147</t>
  </si>
  <si>
    <t>271433173</t>
  </si>
  <si>
    <t>NOMBRE RETIRA: MARTA MEDINA J RUT RETIRA: 16120449-8</t>
  </si>
  <si>
    <t>maria Silva cordero</t>
  </si>
  <si>
    <t>Cavancha 1455 curico, villa apumanque</t>
  </si>
  <si>
    <t>BIT11044958</t>
  </si>
  <si>
    <t>271274763</t>
  </si>
  <si>
    <t>NOMBRE RETIRA: MANUEL MANDIOLA H RUT RETIRA: 7359690-4</t>
  </si>
  <si>
    <t>Alondra mujica</t>
  </si>
  <si>
    <t>Galleguillos Lorca 1693, 2506</t>
  </si>
  <si>
    <t>BIT11045103</t>
  </si>
  <si>
    <t>271318482</t>
  </si>
  <si>
    <t>NOMBRE RETIRA: GUILLERMO SILVA . RUT RETIRA: 8645689-3</t>
  </si>
  <si>
    <t>GUILLERMO SILVA ESTAY</t>
  </si>
  <si>
    <t>155, Bayamon esquina av Borinquen</t>
  </si>
  <si>
    <t>BIT11045168</t>
  </si>
  <si>
    <t>271432991</t>
  </si>
  <si>
    <t>NOMBRE RETIRA: FRANCISCO N N RUT RETIRA: 5333344-3</t>
  </si>
  <si>
    <t>Los treboles 210, 148</t>
  </si>
  <si>
    <t>BIT11045005</t>
  </si>
  <si>
    <t>271319098</t>
  </si>
  <si>
    <t>NOMBRE RETIRA: CO SERJERIA S D RUT RETIRA: 16402677-9</t>
  </si>
  <si>
    <t>Felipe Morales Garcia</t>
  </si>
  <si>
    <t>Décima 734, Depto 603</t>
  </si>
  <si>
    <t>BIT11044933</t>
  </si>
  <si>
    <t>271274980</t>
  </si>
  <si>
    <t>NOMBRE RETIRA: JUAN CORTEZ . RUT RETIRA: 20259393-3</t>
  </si>
  <si>
    <t>BIT11045042</t>
  </si>
  <si>
    <t>271318917</t>
  </si>
  <si>
    <t>NOMBRE RETIRA: FRANCISCO LEYTON . RUT RETIRA: 15825415-8</t>
  </si>
  <si>
    <t>Rene Pica Penjean 929</t>
  </si>
  <si>
    <t>BIT11045097</t>
  </si>
  <si>
    <t>271318529</t>
  </si>
  <si>
    <t>NOMBRE RETIRA: FABIAN CISTERNAS . RUT RETIRA: 16916947-0</t>
  </si>
  <si>
    <t>Fabian Cisternas</t>
  </si>
  <si>
    <t>Calle la Academia 1511, Casa</t>
  </si>
  <si>
    <t>BIT11044999</t>
  </si>
  <si>
    <t>271274533</t>
  </si>
  <si>
    <t>NOMBRE RETIRA: NENCY AGUDELO . RUT RETIRA: 8727709-7</t>
  </si>
  <si>
    <t>Estefanía Rojas</t>
  </si>
  <si>
    <t>Av cerro paranal, 270</t>
  </si>
  <si>
    <t>BIT11044955</t>
  </si>
  <si>
    <t>271274781</t>
  </si>
  <si>
    <t>NOMBRE RETIRA: NELCY AGUDELO . RUT RETIRA: 17736384-7</t>
  </si>
  <si>
    <t>av Cerro Paranal  270, depto. 128 Laja</t>
  </si>
  <si>
    <t>BIT11045090</t>
  </si>
  <si>
    <t>271318545</t>
  </si>
  <si>
    <t>NOMBRE RETIRA: CARMEN MAMANI . RUT RETIRA: 12345678-5</t>
  </si>
  <si>
    <t>Aldair Mamani Abasto</t>
  </si>
  <si>
    <t>Agustin marin 4274, Casa</t>
  </si>
  <si>
    <t>BIT11045061</t>
  </si>
  <si>
    <t>271318743</t>
  </si>
  <si>
    <t>NOMBRE RETIRA: IGNACIO GUTOERRES . RUT RETIRA: 65220686-7</t>
  </si>
  <si>
    <t>Calle F 992, 16</t>
  </si>
  <si>
    <t>BIT11045000</t>
  </si>
  <si>
    <t>271319109</t>
  </si>
  <si>
    <t>NOMBRE RETIRA: ALBERTO VERA . RUT RETIRA: 12345678-5</t>
  </si>
  <si>
    <t>Alberto Vera</t>
  </si>
  <si>
    <t>los misioneros 854</t>
  </si>
  <si>
    <t>BIT11045139</t>
  </si>
  <si>
    <t>271433200</t>
  </si>
  <si>
    <t>NOMBRE RETIRA: MARIA NAVARRO H RUT RETIRA: 10144274-8</t>
  </si>
  <si>
    <t>Viva Chile 50, Casa</t>
  </si>
  <si>
    <t>BIT11045048</t>
  </si>
  <si>
    <t>271318847</t>
  </si>
  <si>
    <t>NOMBRE RETIRA: JESSICA DONOSO . RUT RETIRA: 13537343-5</t>
  </si>
  <si>
    <t>Jessica Donoso Castillo</t>
  </si>
  <si>
    <t>Avenida mirador sur 3970 Altos del Rosario, Peñuelas Coquimbo, Casa</t>
  </si>
  <si>
    <t>BIT11045135</t>
  </si>
  <si>
    <t>271433248</t>
  </si>
  <si>
    <t>NOMBRE RETIRA: CONDOMINIO DON LORENZO .. RUT RETIRA: 53324271-5</t>
  </si>
  <si>
    <t>Cristóbal Soto</t>
  </si>
  <si>
    <t>Av Valparaiso 499, 301</t>
  </si>
  <si>
    <t>BIT11045277</t>
  </si>
  <si>
    <t>271432063</t>
  </si>
  <si>
    <t>NOMBRE RETIRA: JOSE SILVA .. RUT RETIRA: 53333549-7</t>
  </si>
  <si>
    <t>SEBASTIÁN PERALTA PAREDES</t>
  </si>
  <si>
    <t>las agatas 489, 201</t>
  </si>
  <si>
    <t>BIT11045047</t>
  </si>
  <si>
    <t>271318871</t>
  </si>
  <si>
    <t>NOMBRE RETIRA: RENE CONTRERAS . RUT RETIRA: 10386189-6</t>
  </si>
  <si>
    <t>Cristián Zapata</t>
  </si>
  <si>
    <t>Avenida San Sebastián 638, Condominio Don Manuel, 9</t>
  </si>
  <si>
    <t>BIT11045054</t>
  </si>
  <si>
    <t>271318815</t>
  </si>
  <si>
    <t>NOMBRE RETIRA: AXEL HENRIQUEZ . RUT RETIRA: 18772194-6</t>
  </si>
  <si>
    <t>Avenida Ohiggins 1490</t>
  </si>
  <si>
    <t>BIT11045197</t>
  </si>
  <si>
    <t>271432876</t>
  </si>
  <si>
    <t>NOMBRE RETIRA: GUILLERMO AGUILAR A RUT RETIRA: 12783803-8</t>
  </si>
  <si>
    <t>Marcos Peña</t>
  </si>
  <si>
    <t>Arturo Prat 564, Local 8</t>
  </si>
  <si>
    <t>BIT11044996</t>
  </si>
  <si>
    <t>271274542</t>
  </si>
  <si>
    <t>NOMBRE RETIRA: LUZ MARIA ROJA RUT RETIRA: 21248549-7</t>
  </si>
  <si>
    <t>Pasaje licancabur 2207, Casa</t>
  </si>
  <si>
    <t>BIT11045101</t>
  </si>
  <si>
    <t>271318502</t>
  </si>
  <si>
    <t>NOMBRE RETIRA: NICOLAS PLAZA .. RUT RETIRA: 19041203-2</t>
  </si>
  <si>
    <t>Nicolás Plaza</t>
  </si>
  <si>
    <t>CALETA CASCABELES 1790, Casa</t>
  </si>
  <si>
    <t>BIT11044932</t>
  </si>
  <si>
    <t>271274988</t>
  </si>
  <si>
    <t>NOMBRE RETIRA: BARBARA ORTIZ ORTIZ RUT RETIRA: 16301509-9</t>
  </si>
  <si>
    <t>Bárbara Ortiz Latud</t>
  </si>
  <si>
    <t>Av. Cipreses Norte, 303</t>
  </si>
  <si>
    <t>BIT11044962</t>
  </si>
  <si>
    <t>271274727</t>
  </si>
  <si>
    <t>NOMBRE RETIRA: PATRICIO CORNEJO C RUT RETIRA: 13005696-2</t>
  </si>
  <si>
    <t>Enzo Rivera Geywitz</t>
  </si>
  <si>
    <t>José Victorino Lastarria 220, Depto 606, Edificio Ticnamar</t>
  </si>
  <si>
    <t>BIT11045046</t>
  </si>
  <si>
    <t>271318885</t>
  </si>
  <si>
    <t>NOMBRE RETIRA: LUIS RIVAS . RUT RETIRA: 13380095-6</t>
  </si>
  <si>
    <t>Luis Rivas Urzúa</t>
  </si>
  <si>
    <t>General Velásquez 654</t>
  </si>
  <si>
    <t>BIT11044972</t>
  </si>
  <si>
    <t>271274702</t>
  </si>
  <si>
    <t>NOMBRE RETIRA: OLVALDO VILLALOBOS . RUT RETIRA: 14557227-4</t>
  </si>
  <si>
    <t>BIT11044990</t>
  </si>
  <si>
    <t>271274582</t>
  </si>
  <si>
    <t>NOMBRE RETIRA: MARIANELA GALLARDO . RUT RETIRA: 10684611-1</t>
  </si>
  <si>
    <t>Alejandra Rivera Gallardo</t>
  </si>
  <si>
    <t>Tambillo 3391, Casa</t>
  </si>
  <si>
    <t>BIT11044884</t>
  </si>
  <si>
    <t>271135174</t>
  </si>
  <si>
    <t>NOMBRE RETIRA: GIMENA COFRE . RUT RETIRA: 19881900-K</t>
  </si>
  <si>
    <t>loreto Kelly</t>
  </si>
  <si>
    <t>Capitán Roberto Pérez 2791, Dpto 1502 edificio nautilus</t>
  </si>
  <si>
    <t>2026-05-28 21:07</t>
  </si>
  <si>
    <t>BIT11044994</t>
  </si>
  <si>
    <t>271274558</t>
  </si>
  <si>
    <t>NOMBRE RETIRA: MAURICIO SEPULVEDA N RUT RETIRA: 12377006-4</t>
  </si>
  <si>
    <t>Reinaldo Letelier Contreras</t>
  </si>
  <si>
    <t>Maipón 255, 805</t>
  </si>
  <si>
    <t>BIT11044904</t>
  </si>
  <si>
    <t>271135078</t>
  </si>
  <si>
    <t>NOMBRE RETIRA: LUISA D G RUT RETIRA: 4389230-4</t>
  </si>
  <si>
    <t>HÉCTOR RODOLFO ZUÑIGA RIOS</t>
  </si>
  <si>
    <t>ZAPALLAR 681 PLAYA BLANCA</t>
  </si>
  <si>
    <t>2026-05-29 12:07</t>
  </si>
  <si>
    <t>BIT11044954</t>
  </si>
  <si>
    <t>271274809</t>
  </si>
  <si>
    <t>NOMBRE RETIRA: RAFAEL CHANDIA M RUT RETIRA: 12059354-4</t>
  </si>
  <si>
    <t>Hugo Vilchez</t>
  </si>
  <si>
    <t>Avenida Universidad 630, Casa 85</t>
  </si>
  <si>
    <t>BIT11044974</t>
  </si>
  <si>
    <t>271274694</t>
  </si>
  <si>
    <t>NOMBRE RETIRA: WLADIMIR GUZMAN ROJAS RUT RETIRA: 17605434-4</t>
  </si>
  <si>
    <t>Wladimir Guzmán Rojas</t>
  </si>
  <si>
    <t>Pasaje Llanos Sal de Atacama, 6120</t>
  </si>
  <si>
    <t>BIT11044952</t>
  </si>
  <si>
    <t>271274823</t>
  </si>
  <si>
    <t>NOMBRE RETIRA: CONDOMINIO ULRIKSEN .CONSERJE RUT RETIRA: 15955595-K</t>
  </si>
  <si>
    <t>Juan Francisco Moran</t>
  </si>
  <si>
    <t>Consuelo Aguirre Alvarez 1515, Depto 511</t>
  </si>
  <si>
    <t>BIT11044983</t>
  </si>
  <si>
    <t>271274614</t>
  </si>
  <si>
    <t>Chorrillos 12, Casa 10</t>
  </si>
  <si>
    <t>BIT11044949</t>
  </si>
  <si>
    <t>271274845</t>
  </si>
  <si>
    <t>NOMBRE RETIRA: JULIO SILVA . RUT RETIRA: 65042547-2</t>
  </si>
  <si>
    <t>Jose Regueiro Nuñez</t>
  </si>
  <si>
    <t>3 oriente 631, 114</t>
  </si>
  <si>
    <t>BIT11044977</t>
  </si>
  <si>
    <t>271274645</t>
  </si>
  <si>
    <t>3 Oriente 631, 141</t>
  </si>
  <si>
    <t>BIT11045068</t>
  </si>
  <si>
    <t>271318671</t>
  </si>
  <si>
    <t>NOMBRE RETIRA: DINELI PESOA . RUT RETIRA: 8277462-9</t>
  </si>
  <si>
    <t>Michel Decap</t>
  </si>
  <si>
    <t>Camino Cerro Colorado km 1,5 El Porvenir II, 56</t>
  </si>
  <si>
    <t>BIT11045085</t>
  </si>
  <si>
    <t>271318604</t>
  </si>
  <si>
    <t>NOMBRE RETIRA: ANGEL VALENCIA . RUT RETIRA: 20271694-6</t>
  </si>
  <si>
    <t>Nicole Saint Jean Cifuentes</t>
  </si>
  <si>
    <t>El Bosque 293, 59</t>
  </si>
  <si>
    <t>BIT11044947</t>
  </si>
  <si>
    <t>271274860</t>
  </si>
  <si>
    <t>NOMBRE RETIRA: VALESKA CASTILLO GUARDIA RUT RETIRA: 15066537-K</t>
  </si>
  <si>
    <t>Mario José Redlich Montiel</t>
  </si>
  <si>
    <t>Avenida pacifico 510 torre A, Departamento 407</t>
  </si>
  <si>
    <t>BIT11044966</t>
  </si>
  <si>
    <t>271274719</t>
  </si>
  <si>
    <t>NOMBRE RETIRA: LISSETTE BITTERLICH . RUT RETIRA: 11516417-1</t>
  </si>
  <si>
    <t>Lissette Bitterlich munoz</t>
  </si>
  <si>
    <t>Luis cruz Martínez 63, Población nueva esperanza</t>
  </si>
  <si>
    <t>BIT11044979</t>
  </si>
  <si>
    <t>271274633</t>
  </si>
  <si>
    <t>NOMBRE RETIRA: GABRILA LEIVA . RUT RETIRA: 16990115-5</t>
  </si>
  <si>
    <t>gabriela leiva</t>
  </si>
  <si>
    <t>Calle Diego de Almagro 1052, Depto d1, torre 6</t>
  </si>
  <si>
    <t>BIT11044940</t>
  </si>
  <si>
    <t>271274922</t>
  </si>
  <si>
    <t>NOMBRE RETIRA: BERNARDITA CASTRO . RUT RETIRA: 8876254-1</t>
  </si>
  <si>
    <t>Bernardita Castro Videla</t>
  </si>
  <si>
    <t>Av El Belloto 287 casa 1, Casa 1</t>
  </si>
  <si>
    <t>BIT11045078</t>
  </si>
  <si>
    <t>271318608</t>
  </si>
  <si>
    <t>NOMBRE RETIRA: PATRICIO TAPIA . RUT RETIRA: 8398346-9</t>
  </si>
  <si>
    <t>Paolo Tapia Aguirre</t>
  </si>
  <si>
    <t>Las orquídeas 624</t>
  </si>
  <si>
    <t>BIT11044890</t>
  </si>
  <si>
    <t>271135138</t>
  </si>
  <si>
    <t>NOMBRE RETIRA: FEDERICO ARENAS . RUT RETIRA: 7440808-7</t>
  </si>
  <si>
    <t>Federico Arenas</t>
  </si>
  <si>
    <t>Negocio, Calle Bulnes 199</t>
  </si>
  <si>
    <t>BIT11044982</t>
  </si>
  <si>
    <t>271274603</t>
  </si>
  <si>
    <t>NOMBRE RETIRA: YESICA VEGA . RUT RETIRA: 12766283-5</t>
  </si>
  <si>
    <t>Sebastian Manríquez Ramírez</t>
  </si>
  <si>
    <t>Esmeralda, 782</t>
  </si>
  <si>
    <t>BIT11044936</t>
  </si>
  <si>
    <t>271274972</t>
  </si>
  <si>
    <t>NOMBRE RETIRA: MATIAS ALVAR . RUT RETIRA: 13951536-6</t>
  </si>
  <si>
    <t>BIT11044953</t>
  </si>
  <si>
    <t>271274817</t>
  </si>
  <si>
    <t>NOMBRE RETIRA: MAURICIO VEGA . RUT RETIRA: 19554158-2</t>
  </si>
  <si>
    <t>BIT11044976</t>
  </si>
  <si>
    <t>271274668</t>
  </si>
  <si>
    <t>NOMBRE RETIRA: JAIME PELDOZA P RUT RETIRA: 20137133-3</t>
  </si>
  <si>
    <t>Jaime Peldoza</t>
  </si>
  <si>
    <t>Avenida Gran Bretaña 751</t>
  </si>
  <si>
    <t>BIT11044985</t>
  </si>
  <si>
    <t>271274587</t>
  </si>
  <si>
    <t>NOMBRE RETIRA: IGNACIO FUEN . RUT RETIRA: 13951536-6</t>
  </si>
  <si>
    <t>Ignacio Fuenzalida henriquez</t>
  </si>
  <si>
    <t>Las Margaritas 1677, Casa 10</t>
  </si>
  <si>
    <t>BIT11045084</t>
  </si>
  <si>
    <t>271318616</t>
  </si>
  <si>
    <t>NOMBRE RETIRA: SARA RODRIGUEZ J RUT RETIRA: 16895503-0</t>
  </si>
  <si>
    <t>BIT11044937</t>
  </si>
  <si>
    <t>271274940</t>
  </si>
  <si>
    <t>NOMBRE RETIRA: ROBINSON MUNOZ M RUT RETIRA: 15613251-9</t>
  </si>
  <si>
    <t>Robinson Muñoz</t>
  </si>
  <si>
    <t>Difor, Avenida PaicavÍ 1436</t>
  </si>
  <si>
    <t>BIT11045086</t>
  </si>
  <si>
    <t>271318566</t>
  </si>
  <si>
    <t>NOMBRE RETIRA: ISAAC RIOS . RUT RETIRA: 77159101-9</t>
  </si>
  <si>
    <t>Paulina Caro Opazo</t>
  </si>
  <si>
    <t>Valle las Monjas 710, casa 10, Condominio Sta Emilia</t>
  </si>
  <si>
    <t>BIT11045065</t>
  </si>
  <si>
    <t>271318733</t>
  </si>
  <si>
    <t>NOMBRE RETIRA: HUGO CARCAMO . RUT RETIRA: 15808213-6</t>
  </si>
  <si>
    <t>Hugo Cárcamo</t>
  </si>
  <si>
    <t>Llancamil 4984</t>
  </si>
  <si>
    <t>BIT11045069</t>
  </si>
  <si>
    <t>271318679</t>
  </si>
  <si>
    <t>NOMBRE RETIRA: EDWIN ORELLANA A RUT RETIRA: 20137133-3</t>
  </si>
  <si>
    <t>Ruben Corrotea</t>
  </si>
  <si>
    <t>O'ryan, O'ryan # 15</t>
  </si>
  <si>
    <t>BIT11044916</t>
  </si>
  <si>
    <t>271188418</t>
  </si>
  <si>
    <t>NOMBRE RETIRA: MARGARITA TIRADO . RUT RETIRA: 17736384-7</t>
  </si>
  <si>
    <t>Carolina Ovalle González</t>
  </si>
  <si>
    <t>Antofagasta, Chile, Cerro Paranal 271</t>
  </si>
  <si>
    <t>2026-05-30 11:12</t>
  </si>
  <si>
    <t>BIT11044895</t>
  </si>
  <si>
    <t>271135131</t>
  </si>
  <si>
    <t>NOMBRE RETIRA: MARCOS CORTES K RUT RETIRA: 12345678-5</t>
  </si>
  <si>
    <t>Sonia Villalobos Roullet</t>
  </si>
  <si>
    <t>Pasaje Poseck,0595, 301</t>
  </si>
  <si>
    <t>BIT11044915</t>
  </si>
  <si>
    <t>271188403</t>
  </si>
  <si>
    <t>NOMBRE RETIRA: MOISES CHAVEZ . RUT RETIRA: 8701800-8</t>
  </si>
  <si>
    <t>Jorge Aravena</t>
  </si>
  <si>
    <t>Ongolmo 31, Dpto 202, Of 506 torre A</t>
  </si>
  <si>
    <t>BIT11044911</t>
  </si>
  <si>
    <t>271188430</t>
  </si>
  <si>
    <t>NOMBRE RETIRA: MARCO GATICA A RUT RETIRA: 65175823-8</t>
  </si>
  <si>
    <t>Diego Avaria</t>
  </si>
  <si>
    <t>De Veer 1388, Dpto 604</t>
  </si>
  <si>
    <t>BIT11044910</t>
  </si>
  <si>
    <t>271188433</t>
  </si>
  <si>
    <t>NOMBRE RETIRA: KARINA LIRA . RUT RETIRA: 12448417-0</t>
  </si>
  <si>
    <t>Karina Lira Jara</t>
  </si>
  <si>
    <t>Teniente Merino 39 Av. El Golf Miraflores Alto</t>
  </si>
  <si>
    <t>BIT11044898</t>
  </si>
  <si>
    <t>271135099</t>
  </si>
  <si>
    <t>NOMBRE RETIRA: SILVIA AROSTICA A RUT RETIRA: 8890082-0</t>
  </si>
  <si>
    <t>Patricia Rojas Santibáñez</t>
  </si>
  <si>
    <t>Leonidas Perez 2937 Dpto 1107, depto 1107</t>
  </si>
  <si>
    <t>BIT11044912</t>
  </si>
  <si>
    <t>271188427</t>
  </si>
  <si>
    <t>NOMBRE RETIRA: MAGDALENA LLANCAVIL . RUT RETIRA: 22728466-8</t>
  </si>
  <si>
    <t>Nelson Ramos Bustos</t>
  </si>
  <si>
    <t>4 oriente 375, 208. Torre D</t>
  </si>
  <si>
    <t>BIT11044889</t>
  </si>
  <si>
    <t>271135156</t>
  </si>
  <si>
    <t>NOMBRE RETIRA: JAIME DIAZ . RUT RETIRA: 82281800-5</t>
  </si>
  <si>
    <t>Patricia Lorena Pasten Meneses</t>
  </si>
  <si>
    <t>Avenida Perú 640, depto 103. Viña del Mar, Departamento 103</t>
  </si>
  <si>
    <t>BIT11044896</t>
  </si>
  <si>
    <t>271135108</t>
  </si>
  <si>
    <t>NOMBRE RETIRA: CATALINA HERRERA . RUT RETIRA: 21330651-0</t>
  </si>
  <si>
    <t>Catalina Herrera Morales</t>
  </si>
  <si>
    <t>4 1/2 poniente C con 15 sur #217 Villa San Agustín</t>
  </si>
  <si>
    <t>BIT11044899</t>
  </si>
  <si>
    <t>271135115</t>
  </si>
  <si>
    <t>NOMBRE RETIRA: CARLA ASTIDILLO K RUT RETIRA: 16083207-K</t>
  </si>
  <si>
    <t>Ailyn Astudillo</t>
  </si>
  <si>
    <t>Reina Sofia 264, casa</t>
  </si>
  <si>
    <t>BIT11044901</t>
  </si>
  <si>
    <t>271135086</t>
  </si>
  <si>
    <t>NOMBRE RETIRA: JAVIER OETIZ OETIZ RUT RETIRA: 65197597-2</t>
  </si>
  <si>
    <t>Abdon yarra 863, 21B</t>
  </si>
  <si>
    <t>BIT11044881</t>
  </si>
  <si>
    <t>271069862</t>
  </si>
  <si>
    <t>NOMBRE RETIRA: JUAN RIQUELME X RUT RETIRA: 15696150-7</t>
  </si>
  <si>
    <t>Juan Riquelme Sepúlveda</t>
  </si>
  <si>
    <t>Condominio montesol II calle 4N 60, Block 3 depto 202</t>
  </si>
  <si>
    <t>BIT11044863</t>
  </si>
  <si>
    <t>271069896</t>
  </si>
  <si>
    <t>NOMBRE RETIRA: NICOLAS PENAILILLO CONSERJE RUT RETIRA: 5252433-4</t>
  </si>
  <si>
    <t>Carolina Jeria Peters</t>
  </si>
  <si>
    <t>Avenida Ifarle Oriente 6191, Departamento</t>
  </si>
  <si>
    <t>BIT11044860</t>
  </si>
  <si>
    <t>271069909</t>
  </si>
  <si>
    <t>NOMBRE RETIRA: CAROL TOREWS . RUT RETIRA: 8727709-7</t>
  </si>
  <si>
    <t>Robert Echeverría</t>
  </si>
  <si>
    <t>Alcalde Germán Miric Vega N° 376, 602</t>
  </si>
  <si>
    <t>BIT11044872</t>
  </si>
  <si>
    <t>271069848</t>
  </si>
  <si>
    <t>NOMBRE RETIRA: JORGE RIVAS . RUT RETIRA: 9174506-2</t>
  </si>
  <si>
    <t>Av prat 199 ⁠199, Of 506 torre A</t>
  </si>
  <si>
    <t>2026-05-28 10:19</t>
  </si>
  <si>
    <t>BIT11044869</t>
  </si>
  <si>
    <t>271069851</t>
  </si>
  <si>
    <t>NOMBRE RETIRA: SARWLYA HERRERA HERRERA RUT RETIRA: 12802569-3</t>
  </si>
  <si>
    <t>Karina Macaya</t>
  </si>
  <si>
    <t>Panamericana Norte 555 Salida Su/copec, Oficina</t>
  </si>
  <si>
    <t>BIT11044867</t>
  </si>
  <si>
    <t>271069902</t>
  </si>
  <si>
    <t>NOMBRE RETIRA: JUAN GALLARDO . RUT RETIRA: 26936721-0</t>
  </si>
  <si>
    <t>Juan Gallardo Salazar</t>
  </si>
  <si>
    <t>Los Andes, FroilÁn Ortega Molina # 1847 Villa El Encuentro</t>
  </si>
  <si>
    <t>BIT11044649</t>
  </si>
  <si>
    <t>270306471</t>
  </si>
  <si>
    <t>NOMBRE RETIRA: ALIANA VALDERA FAM ENT RUT RETIRA: 25813158-4</t>
  </si>
  <si>
    <t>Paula Alejandra Abello Harambour</t>
  </si>
  <si>
    <t>2026-05-16 10:35</t>
  </si>
  <si>
    <t>BIT11044801</t>
  </si>
  <si>
    <t>270809870</t>
  </si>
  <si>
    <t>NOMBRE RETIRA: ANTONIO PISARRO H RUT RETIRA: 12837605-4</t>
  </si>
  <si>
    <t>PATRICIA ÁLVAREZ</t>
  </si>
  <si>
    <t>Díaz Gana 32</t>
  </si>
  <si>
    <t>2026-05-24 20:30</t>
  </si>
  <si>
    <t>BIT11044846</t>
  </si>
  <si>
    <t>270975937</t>
  </si>
  <si>
    <t>NOMBRE RETIRA: TERESA FUENTES B RUT RETIRA: 23534188-3</t>
  </si>
  <si>
    <t>2026-05-26 20:34</t>
  </si>
  <si>
    <t>BIT11044848</t>
  </si>
  <si>
    <t>270975955</t>
  </si>
  <si>
    <t>NOMBRE RETIRA: MARGOT AGUAYO . RUT RETIRA: 13848696-6</t>
  </si>
  <si>
    <t>CLAUDIO URIBE OPORTO</t>
  </si>
  <si>
    <t>parque husamontt, parcela 51 camino tepual empresa SOLDASUR</t>
  </si>
  <si>
    <t>BIT11044809</t>
  </si>
  <si>
    <t>270809874</t>
  </si>
  <si>
    <t>NOMBRE RETIRA: MACARENA SANCHEZ . RUT RETIRA: 17200358-3</t>
  </si>
  <si>
    <t>Alvaro leiva salgado</t>
  </si>
  <si>
    <t>avenida arturo prat 1170 ,, oficina 714</t>
  </si>
  <si>
    <t>BIT11044839</t>
  </si>
  <si>
    <t>270906616</t>
  </si>
  <si>
    <t>NOMBRE RETIRA: GABRIEL BANEGAS PARADA RUT RETIRA: 28899356-4</t>
  </si>
  <si>
    <t>David Fritis</t>
  </si>
  <si>
    <t>Sgto. Aldea 315</t>
  </si>
  <si>
    <t>2026-05-26 10:15</t>
  </si>
  <si>
    <t>BIT11044831</t>
  </si>
  <si>
    <t>270906652</t>
  </si>
  <si>
    <t>NOMBRE RETIRA: LUZ BARRAZA A RUT RETIRA: 20352332-7</t>
  </si>
  <si>
    <t>Luz Barraza</t>
  </si>
  <si>
    <t>Pasaje Tesoro Del Loa 1225 Villa Las Leyendas (Peuco), Casa</t>
  </si>
  <si>
    <t>2026-05-25 21:08</t>
  </si>
  <si>
    <t>BIT11044842</t>
  </si>
  <si>
    <t>270906639</t>
  </si>
  <si>
    <t>NOMBRE RETIRA: MARIA CERDA X RUT RETIRA: 28907782-0</t>
  </si>
  <si>
    <t>BIT11044845</t>
  </si>
  <si>
    <t>270975961</t>
  </si>
  <si>
    <t>NOMBRE RETIRA: SOLANGE REYES . RUT RETIRA: 19555286-K</t>
  </si>
  <si>
    <t>BIT11044849</t>
  </si>
  <si>
    <t>270975929</t>
  </si>
  <si>
    <t>NOMBRE RETIRA: EDGAR MOLINA . RUT RETIRA: 53333228-5</t>
  </si>
  <si>
    <t>Bastián Garcés</t>
  </si>
  <si>
    <t>Las Perlas Norte 125, depto 205</t>
  </si>
  <si>
    <t>BIT11044853</t>
  </si>
  <si>
    <t>270975904</t>
  </si>
  <si>
    <t>NOMBRE RETIRA: CAMILA GAMBOA J RUT RETIRA: 16120449-8</t>
  </si>
  <si>
    <t>maria Silva Cordero</t>
  </si>
  <si>
    <t>Vil Aumanque, Cavancha 1455</t>
  </si>
  <si>
    <t>BIT11044852</t>
  </si>
  <si>
    <t>270975908</t>
  </si>
  <si>
    <t>NOMBRE RETIRA: JESUS . . RUT RETIRA: 19119187-0</t>
  </si>
  <si>
    <t>Ricardo Krakowiak tichauer</t>
  </si>
  <si>
    <t>Castellón 316, Of 701</t>
  </si>
  <si>
    <t>BIT11044840</t>
  </si>
  <si>
    <t>270906591</t>
  </si>
  <si>
    <t>NOMBRE RETIRA: JAQUELINE ESCOBAR .. RUT RETIRA: 12990216-7</t>
  </si>
  <si>
    <t>Leonardo Alberto Brito leal</t>
  </si>
  <si>
    <t>Blanco encalada 695 departamento 1509, Depto 1509</t>
  </si>
  <si>
    <t>BIT11044843</t>
  </si>
  <si>
    <t>270906614</t>
  </si>
  <si>
    <t>BIT11044818</t>
  </si>
  <si>
    <t>270809806</t>
  </si>
  <si>
    <t>NOMBRE RETIRA: VIVIANA GARRIDO . RUT RETIRA: 12453440-2</t>
  </si>
  <si>
    <t>Osvaldo Garay Coloma</t>
  </si>
  <si>
    <t>Manuel Rodriguez 1460 Recreo, Casa 2 cuadras Plaza Recreo</t>
  </si>
  <si>
    <t>2026-05-25 11:18</t>
  </si>
  <si>
    <t>BIT11044814</t>
  </si>
  <si>
    <t>270809853</t>
  </si>
  <si>
    <t>NOMBRE RETIRA: MARIA LORETO LEIVA RUT RETIRA: 78313783-6</t>
  </si>
  <si>
    <t>Avenida Alto Palermo 252 ⁠252</t>
  </si>
  <si>
    <t>BIT11044775</t>
  </si>
  <si>
    <t>270722009</t>
  </si>
  <si>
    <t>NOMBRE RETIRA: MONSERAT RIOS M RUT RETIRA: 23109364-8</t>
  </si>
  <si>
    <t>Juan Enrique Magna Castro</t>
  </si>
  <si>
    <t>Esmeralda 2212, Casa. Sector Centro</t>
  </si>
  <si>
    <t>2026-05-22 20:25</t>
  </si>
  <si>
    <t>BIT11044815</t>
  </si>
  <si>
    <t>270809817</t>
  </si>
  <si>
    <t>Francisco Leyton Arrieta</t>
  </si>
  <si>
    <t>Rene Pica Penjean 929, casa naranja grande</t>
  </si>
  <si>
    <t>BIT11044786</t>
  </si>
  <si>
    <t>270722000</t>
  </si>
  <si>
    <t>NOMBRE RETIRA: DANIEL FAUNDEZ .. RUT RETIRA: 18686873-0</t>
  </si>
  <si>
    <t>Daniel Faundez</t>
  </si>
  <si>
    <t>Covadonga  248, A</t>
  </si>
  <si>
    <t>2026-05-23 11:46</t>
  </si>
  <si>
    <t>BIT11044813</t>
  </si>
  <si>
    <t>270809843</t>
  </si>
  <si>
    <t>NOMBRE RETIRA: CONSTANZA AGUERO B RUT RETIRA: 18845596-4</t>
  </si>
  <si>
    <t>Alan Jara ponce</t>
  </si>
  <si>
    <t>Casa, Quebrada el castillo #451, villa pan de zucar</t>
  </si>
  <si>
    <t>BIT11044790</t>
  </si>
  <si>
    <t>270721980</t>
  </si>
  <si>
    <t>Sergio Avendaño Jara</t>
  </si>
  <si>
    <t>Vicuña Mackenna 658</t>
  </si>
  <si>
    <t>BIT11044795</t>
  </si>
  <si>
    <t>270809885</t>
  </si>
  <si>
    <t>NOMBRE RETIRA: MARI LOPEZ NANA RUT RETIRA: 26138553-8</t>
  </si>
  <si>
    <t>Luis Toledo Lepe</t>
  </si>
  <si>
    <t>Av. tuniche 2423 ⁠, Casa</t>
  </si>
  <si>
    <t>BIT11044785</t>
  </si>
  <si>
    <t>270722004</t>
  </si>
  <si>
    <t>NOMBRE RETIRA: VALERIE . . RUT RETIRA: 53330390-0</t>
  </si>
  <si>
    <t>Valerie Jamett valencia</t>
  </si>
  <si>
    <t>Javiera carrera 252</t>
  </si>
  <si>
    <t>BIT11044789</t>
  </si>
  <si>
    <t>270721976</t>
  </si>
  <si>
    <t>NOMBRE RETIRA: BRENDA OYARZUN .. RUT RETIRA: 8833974-6</t>
  </si>
  <si>
    <t>Pasaje Heidelberg 2707</t>
  </si>
  <si>
    <t>BIT11044782</t>
  </si>
  <si>
    <t>270722007</t>
  </si>
  <si>
    <t>NOMBRE RETIRA: VLAUIDA ESCALONA . RUT RETIRA: 12345678-5</t>
  </si>
  <si>
    <t>Claudia Escalona Lagos</t>
  </si>
  <si>
    <t>Las Islitas #3142, Casa</t>
  </si>
  <si>
    <t>BIT11044607</t>
  </si>
  <si>
    <t>270251659</t>
  </si>
  <si>
    <t>NOMBRE RETIRA: SERGIO BARRIA . RUT RETIRA: 11111111-1</t>
  </si>
  <si>
    <t>Sergio Barria Rivero</t>
  </si>
  <si>
    <t>Padre de agostini 01530-01536</t>
  </si>
  <si>
    <t>2026-05-15 10:09</t>
  </si>
  <si>
    <t>BIT11045849</t>
  </si>
  <si>
    <t>713095320486</t>
  </si>
  <si>
    <t>Nombre: Celia Alvarez Iriarte - Rut: 15026214</t>
  </si>
  <si>
    <t>Celia Álvarez Iriarte</t>
  </si>
  <si>
    <t>Óscar Bonilla 2247, Casa esquina</t>
  </si>
  <si>
    <t>BIT11045856</t>
  </si>
  <si>
    <t>713095320475</t>
  </si>
  <si>
    <t>Nombre: maria devia - Rut: 140105201</t>
  </si>
  <si>
    <t>Luis Urra</t>
  </si>
  <si>
    <t>Los Jazmines, Parcela 7</t>
  </si>
  <si>
    <t>BIT11045800</t>
  </si>
  <si>
    <t>713093974110</t>
  </si>
  <si>
    <t>Nombre: Luis - Rut: 165267591</t>
  </si>
  <si>
    <t>BIT11045802</t>
  </si>
  <si>
    <t>713093974106</t>
  </si>
  <si>
    <t>Nombre: francisco romero - Rut: 10827185</t>
  </si>
  <si>
    <t>Merced 2125</t>
  </si>
  <si>
    <t>BIT11045572</t>
  </si>
  <si>
    <t>713088601680</t>
  </si>
  <si>
    <t>Nombre: glady - Rut: 89955963</t>
  </si>
  <si>
    <t>Solange Villarroel Arriagada</t>
  </si>
  <si>
    <t>Los Muermos, Manuel montt 433 interior. Decima región, Manuel Montt 433</t>
  </si>
  <si>
    <t>BIT11045564</t>
  </si>
  <si>
    <t>713088602041</t>
  </si>
  <si>
    <t>Nombre: Estefania oses - Rut: 189837739</t>
  </si>
  <si>
    <t>Juan Osses Gómez</t>
  </si>
  <si>
    <t>Maipú #542</t>
  </si>
  <si>
    <t>BIT11045505</t>
  </si>
  <si>
    <t>713086720264</t>
  </si>
  <si>
    <t>Nombre: Gustavo navarro - Rut: 190753069</t>
  </si>
  <si>
    <t>Gustavo daniel Navarro sanzana</t>
  </si>
  <si>
    <t>Rio lontue 585, cajon, temuco</t>
  </si>
  <si>
    <t>BIT11045374</t>
  </si>
  <si>
    <t>713085506350</t>
  </si>
  <si>
    <t>Nombre: angelica - Rut: 0</t>
  </si>
  <si>
    <t>Eduardo rivera ibañez Rivera ibañez</t>
  </si>
  <si>
    <t>Lonquen Sur 5247, Condominio Santa Monica Parcela 3</t>
  </si>
  <si>
    <t>BIT11045396</t>
  </si>
  <si>
    <t>713085505112</t>
  </si>
  <si>
    <t>Nombre: claudio palma - Rut: 10061146</t>
  </si>
  <si>
    <t>Claudio Palma</t>
  </si>
  <si>
    <t>Independencia 624, Oficina chilexpress</t>
  </si>
  <si>
    <t>BIT11045506</t>
  </si>
  <si>
    <t>713086720430</t>
  </si>
  <si>
    <t>Nombre: Mauricio Inostroza - Rut: 109452106</t>
  </si>
  <si>
    <t>Norma Susana Inostroza Esprell</t>
  </si>
  <si>
    <t>Baltazar Zuleta 989, Casa</t>
  </si>
  <si>
    <t>BIT11045252</t>
  </si>
  <si>
    <t>713082326106</t>
  </si>
  <si>
    <t>Nombre: maria fuentes - Rut: 176627379</t>
  </si>
  <si>
    <t>Pablo Maturana</t>
  </si>
  <si>
    <t>Brasilia 575, Casa</t>
  </si>
  <si>
    <t>BIT11045006</t>
  </si>
  <si>
    <t>713080782116</t>
  </si>
  <si>
    <t>Belén Lasmar</t>
  </si>
  <si>
    <t>Las Araucarias 1079, Casa blanca dos pisos</t>
  </si>
  <si>
    <t>BIT11045037</t>
  </si>
  <si>
    <t>713080781302</t>
  </si>
  <si>
    <t>Nombre: Jared Larrain - Rut: 192851033</t>
  </si>
  <si>
    <t>Jared Larraín</t>
  </si>
  <si>
    <t>Camino El Sendero 33</t>
  </si>
  <si>
    <t>BIT11045116</t>
  </si>
  <si>
    <t>713080777522</t>
  </si>
  <si>
    <t>Nombre: Erika torres - Rut: 118192176</t>
  </si>
  <si>
    <t>Erika Torres Hernández</t>
  </si>
  <si>
    <t>Antonio Varas 192</t>
  </si>
  <si>
    <t>BIT11044944</t>
  </si>
  <si>
    <t>713080360204</t>
  </si>
  <si>
    <t>Nombre: Paulina Vera - Rut: 132134405</t>
  </si>
  <si>
    <t>Miguel Moreira 093, Casa 11 Condominio Mediterráneo</t>
  </si>
  <si>
    <t>BIT11045829</t>
  </si>
  <si>
    <t>2324507861</t>
  </si>
  <si>
    <t>georg andresen finch</t>
  </si>
  <si>
    <t>pinares 151</t>
  </si>
  <si>
    <t>BIT11045835</t>
  </si>
  <si>
    <t>2324507021</t>
  </si>
  <si>
    <t>San Cristobal 200</t>
  </si>
  <si>
    <t>BIT11045860</t>
  </si>
  <si>
    <t>2324506376</t>
  </si>
  <si>
    <t>Joaquín Ignacio Muñoz</t>
  </si>
  <si>
    <t>Errázuriz 693, Buin, Región metropolitana</t>
  </si>
  <si>
    <t>BIT11045862</t>
  </si>
  <si>
    <t>2324506310</t>
  </si>
  <si>
    <t>Alberto Simonetti T</t>
  </si>
  <si>
    <t>Av blanca estela 1055, Dpto 453</t>
  </si>
  <si>
    <t>BIT11045806</t>
  </si>
  <si>
    <t>2322539236</t>
  </si>
  <si>
    <t>Paola Villacura</t>
  </si>
  <si>
    <t>German saldoval miranda 730, 4</t>
  </si>
  <si>
    <t>BIT11045807</t>
  </si>
  <si>
    <t>2322539203</t>
  </si>
  <si>
    <t>Omar Hernández</t>
  </si>
  <si>
    <t>Calle 31 de enero , s/n.  Oficina de Barrick</t>
  </si>
  <si>
    <t>Alto del Carmen</t>
  </si>
  <si>
    <t>BIT11045778</t>
  </si>
  <si>
    <t>2321654252</t>
  </si>
  <si>
    <t>Claudio Hachim</t>
  </si>
  <si>
    <t>Camino El Arpa 1480, Casa 127</t>
  </si>
  <si>
    <t>BIT11045799</t>
  </si>
  <si>
    <t>2321654064</t>
  </si>
  <si>
    <t>Elia Gutierrez Montenegro</t>
  </si>
  <si>
    <t>Escriba de Balaguer 720, 1305</t>
  </si>
  <si>
    <t>BIT11045757</t>
  </si>
  <si>
    <t>2320646086</t>
  </si>
  <si>
    <t>El Cerrillo 2375 Condominio Tierra Buena, Parcela 29</t>
  </si>
  <si>
    <t>BIT11045770</t>
  </si>
  <si>
    <t>2320645563</t>
  </si>
  <si>
    <t>Josefina Maldonado Kopaitic</t>
  </si>
  <si>
    <t>JoseMaría Escriva de Balaguer 930 A, Depto 2302</t>
  </si>
  <si>
    <t>BIT11045771</t>
  </si>
  <si>
    <t>2320645176</t>
  </si>
  <si>
    <t>Alejandra Bravo Garces</t>
  </si>
  <si>
    <t>Rinconada San Vicente P68</t>
  </si>
  <si>
    <t>BIT11045726</t>
  </si>
  <si>
    <t>2318506396</t>
  </si>
  <si>
    <t>Felipe Pérez Herrera</t>
  </si>
  <si>
    <t>Camino los Maquis s/n. Condominio Valle los Olivos G24, G24</t>
  </si>
  <si>
    <t>BIT11045675</t>
  </si>
  <si>
    <t>2317105394</t>
  </si>
  <si>
    <t>Charles Valenzuela rojas</t>
  </si>
  <si>
    <t>Avenida  la hacienda 3008 casa 96 a</t>
  </si>
  <si>
    <t>BIT11045687</t>
  </si>
  <si>
    <t>2317105070</t>
  </si>
  <si>
    <t>Jorge Acevedo Munoz</t>
  </si>
  <si>
    <t>Avda El Parque 1641, Casa 69</t>
  </si>
  <si>
    <t>BIT11045649</t>
  </si>
  <si>
    <t>2315387200</t>
  </si>
  <si>
    <t>Cristian Torrealba Cordova</t>
  </si>
  <si>
    <t>Pasaje Amazonas 1256, Casa</t>
  </si>
  <si>
    <t>BIT11045630</t>
  </si>
  <si>
    <t>2314382383</t>
  </si>
  <si>
    <t>Eduardo Vera Cancino</t>
  </si>
  <si>
    <t>España 200, Casa</t>
  </si>
  <si>
    <t>BIT11045602</t>
  </si>
  <si>
    <t>2313270116</t>
  </si>
  <si>
    <t>Astrid Godoy</t>
  </si>
  <si>
    <t>SAN IGNACIO 325, DEPTO E43</t>
  </si>
  <si>
    <t>BIT11045544</t>
  </si>
  <si>
    <t>2310281326</t>
  </si>
  <si>
    <t>Ex Consejal Luis Aceiton 2020, Depto 1063</t>
  </si>
  <si>
    <t>BIT11045457</t>
  </si>
  <si>
    <t>2309313241</t>
  </si>
  <si>
    <t>MARCELA Valenzuela Correa</t>
  </si>
  <si>
    <t>Av Nilahue 006, Escuela</t>
  </si>
  <si>
    <t>BIT11045461</t>
  </si>
  <si>
    <t>2309312876</t>
  </si>
  <si>
    <t>Felipe Soto Oyarzun</t>
  </si>
  <si>
    <t>Av El Rodeo Norte 1613, Casa 47</t>
  </si>
  <si>
    <t>BIT11045486</t>
  </si>
  <si>
    <t>2309311992</t>
  </si>
  <si>
    <t>Lomas de Montemar 352</t>
  </si>
  <si>
    <t>BIT11045487</t>
  </si>
  <si>
    <t>2309311933</t>
  </si>
  <si>
    <t>Pamela Paulina Moreno Gothe</t>
  </si>
  <si>
    <t>Condominio Santa Maria de Los Lirios, 4b2</t>
  </si>
  <si>
    <t>BIT11045496</t>
  </si>
  <si>
    <t>2309311185</t>
  </si>
  <si>
    <t>Juan Carlos Veloso Latorre</t>
  </si>
  <si>
    <t>Av. Santa Rita 2705, Condominio Santa Margarita, Parcela 14, comuna de Pirque</t>
  </si>
  <si>
    <t>BIT11045500</t>
  </si>
  <si>
    <t>2309311130</t>
  </si>
  <si>
    <t>Yenny riffo Valderrama</t>
  </si>
  <si>
    <t>Comercio 139. Renaico, Supermercado estación 77</t>
  </si>
  <si>
    <t>BIT11045502</t>
  </si>
  <si>
    <t>2309311082</t>
  </si>
  <si>
    <t>hector sepulveda calquin</t>
  </si>
  <si>
    <t>pasaje los copihues n.2708, casa</t>
  </si>
  <si>
    <t>BIT11045377</t>
  </si>
  <si>
    <t>2307729001</t>
  </si>
  <si>
    <t>JUAN BOZO</t>
  </si>
  <si>
    <t>Los castaños 6B, Casa</t>
  </si>
  <si>
    <t>BIT11045390</t>
  </si>
  <si>
    <t>2307728194</t>
  </si>
  <si>
    <t>Carlos Isaac</t>
  </si>
  <si>
    <t>Av Cornisa 608, 93</t>
  </si>
  <si>
    <t>BIT11045397</t>
  </si>
  <si>
    <t>2307728010</t>
  </si>
  <si>
    <t>Debora Vergara</t>
  </si>
  <si>
    <t>Aeródromo poniente 176</t>
  </si>
  <si>
    <t>BIT11045412</t>
  </si>
  <si>
    <t>2307727041</t>
  </si>
  <si>
    <t>Patricia Valdivia</t>
  </si>
  <si>
    <t>San Luis 469 Alto Jahuel, Casa</t>
  </si>
  <si>
    <t>BIT11045415</t>
  </si>
  <si>
    <t>2307726960</t>
  </si>
  <si>
    <t>La palmilla sitio c4</t>
  </si>
  <si>
    <t>BIT11045416</t>
  </si>
  <si>
    <t>2307726746</t>
  </si>
  <si>
    <t>Rodrigo Bustos Garrido</t>
  </si>
  <si>
    <t>Pasaje Las Cascadas 1440, 1440</t>
  </si>
  <si>
    <t>BIT11045297</t>
  </si>
  <si>
    <t>2305365602</t>
  </si>
  <si>
    <t>BIT11045336</t>
  </si>
  <si>
    <t>2305362581</t>
  </si>
  <si>
    <t>Claudio Díaz Sandoval</t>
  </si>
  <si>
    <t>Avenida Kennedy 01325, Depto A 403 Condominio Terrados De Kennedy</t>
  </si>
  <si>
    <t>BIT11045344</t>
  </si>
  <si>
    <t>2305362124</t>
  </si>
  <si>
    <t>El Cerrillo 2375, Parcela 29 Condominio Tierra Buena, Linderos</t>
  </si>
  <si>
    <t>BIT11045361</t>
  </si>
  <si>
    <t>2305361063</t>
  </si>
  <si>
    <t>Rio maipo 261</t>
  </si>
  <si>
    <t>BIT11045162</t>
  </si>
  <si>
    <t>2303744133</t>
  </si>
  <si>
    <t>Ricardo Sagardia</t>
  </si>
  <si>
    <t>AV. VICTOR TRONCOSO MUÑOZ 1080, CASA 54</t>
  </si>
  <si>
    <t>BIT11045185</t>
  </si>
  <si>
    <t>2303742545</t>
  </si>
  <si>
    <t>Betzabeth Barros Pizarro</t>
  </si>
  <si>
    <t>Pasaje Villa Lourdes 43</t>
  </si>
  <si>
    <t>BIT11045189</t>
  </si>
  <si>
    <t>2303742442</t>
  </si>
  <si>
    <t>Lo Aguila 169</t>
  </si>
  <si>
    <t>BIT11045195</t>
  </si>
  <si>
    <t>2303742350</t>
  </si>
  <si>
    <t>Hugo Romero Garay</t>
  </si>
  <si>
    <t>Ambrosio Ohiggins 2173</t>
  </si>
  <si>
    <t>BIT11045204</t>
  </si>
  <si>
    <t>2303740003</t>
  </si>
  <si>
    <t>Eduardo Gallardo morales</t>
  </si>
  <si>
    <t>La campiña dos casa 2b, Casa porton negro en la entrada</t>
  </si>
  <si>
    <t>BIT11045224</t>
  </si>
  <si>
    <t>2303736411</t>
  </si>
  <si>
    <t>Roberto Toledo</t>
  </si>
  <si>
    <t>Constitucion 055, Departamento</t>
  </si>
  <si>
    <t>BIT11045242</t>
  </si>
  <si>
    <t>2303735464</t>
  </si>
  <si>
    <t>Calle del sol 85, 243B</t>
  </si>
  <si>
    <t>BIT11045244</t>
  </si>
  <si>
    <t>2303734333</t>
  </si>
  <si>
    <t>BIT11045016</t>
  </si>
  <si>
    <t>2301531352</t>
  </si>
  <si>
    <t>Ricardo Soto De Giorgis</t>
  </si>
  <si>
    <t>Av. Bosques de montemar oriente 2053, casa 53</t>
  </si>
  <si>
    <t>BIT11045023</t>
  </si>
  <si>
    <t>2301530011</t>
  </si>
  <si>
    <t>Carolina Cantillana Urra</t>
  </si>
  <si>
    <t>Avenida Almendro 1508, Supermercado Cantillana</t>
  </si>
  <si>
    <t>BIT11045035</t>
  </si>
  <si>
    <t>2301529764</t>
  </si>
  <si>
    <t>Elisa Peñaloza Martinez</t>
  </si>
  <si>
    <t>Avenida Santelices 1465, Casa 2 pisos</t>
  </si>
  <si>
    <t>BIT11045044</t>
  </si>
  <si>
    <t>2301529031</t>
  </si>
  <si>
    <t>Cecilia Andrade Rojas</t>
  </si>
  <si>
    <t>Vial 470 local 48, Local comercial</t>
  </si>
  <si>
    <t>BIT11045052</t>
  </si>
  <si>
    <t>2301528051</t>
  </si>
  <si>
    <t>jorge carmona</t>
  </si>
  <si>
    <t>victor troncoso muñoz 1157, 79</t>
  </si>
  <si>
    <t>BIT11045073</t>
  </si>
  <si>
    <t>2301526231</t>
  </si>
  <si>
    <t>Marcelo Body Pando</t>
  </si>
  <si>
    <t>Hacienda El Sauce l, calle el cameliano, parcela 23</t>
  </si>
  <si>
    <t>BIT11044957</t>
  </si>
  <si>
    <t>2300891412</t>
  </si>
  <si>
    <t>Avenida General San Martin Norte 111, Casa 116</t>
  </si>
  <si>
    <t>BIT11044960</t>
  </si>
  <si>
    <t>2300891095</t>
  </si>
  <si>
    <t>BIT11044971</t>
  </si>
  <si>
    <t>2300890314</t>
  </si>
  <si>
    <t>nicolas antonio escobar vasquez</t>
  </si>
  <si>
    <t>general bonilla 352</t>
  </si>
  <si>
    <t>BIT11044886</t>
  </si>
  <si>
    <t>2298106333</t>
  </si>
  <si>
    <t>Alejandro Fonseca</t>
  </si>
  <si>
    <t>Psje Gallardo Poniente Parcela 16, Parcela</t>
  </si>
  <si>
    <t>BIT11044859</t>
  </si>
  <si>
    <t>2297223762</t>
  </si>
  <si>
    <t>Marta Lopez</t>
  </si>
  <si>
    <t>Calle Arturo Prat 2302, Sucursal banco santander</t>
  </si>
  <si>
    <t>BIT11044879</t>
  </si>
  <si>
    <t>2297223062</t>
  </si>
  <si>
    <t>BIT11044875</t>
  </si>
  <si>
    <t>2297222992</t>
  </si>
  <si>
    <t>Katia Gallardo Souza</t>
  </si>
  <si>
    <t>21 De Mayo, 4530</t>
  </si>
  <si>
    <t>BNA1034</t>
  </si>
  <si>
    <t>271254624</t>
  </si>
  <si>
    <t>BE NATIVE</t>
  </si>
  <si>
    <t>NOMBRE RETIRA: GONZALO FUEZALIDA . RUT RETIRA: 12288037-0</t>
  </si>
  <si>
    <t>Gonzalo Fuenzalida</t>
  </si>
  <si>
    <t>Fresia 183</t>
  </si>
  <si>
    <t>DGORAL1332</t>
  </si>
  <si>
    <t>2291374024</t>
  </si>
  <si>
    <t>DG ORAL CARE</t>
  </si>
  <si>
    <t>Natalia Alarcón Zúñiga</t>
  </si>
  <si>
    <t>La montaña norte 3650, Casa 140 F</t>
  </si>
  <si>
    <t>2026-05-20 13:08</t>
  </si>
  <si>
    <t>DGORAL1422</t>
  </si>
  <si>
    <t>272040557</t>
  </si>
  <si>
    <t>NOMBRE RETIRA: FELIPE MEJIAJ. R RUT RETIRA: 26608148-0</t>
  </si>
  <si>
    <t>Felipe Mejias</t>
  </si>
  <si>
    <t>Curali 22, Casa</t>
  </si>
  <si>
    <t>2026-06-09 19:39</t>
  </si>
  <si>
    <t>DGORAL1357</t>
  </si>
  <si>
    <t>2293068492</t>
  </si>
  <si>
    <t>Rosa Rubio</t>
  </si>
  <si>
    <t>Violeta Parra 1700</t>
  </si>
  <si>
    <t>2026-05-22 23:54</t>
  </si>
  <si>
    <t>DGORAL1396</t>
  </si>
  <si>
    <t>271354704</t>
  </si>
  <si>
    <t>NOMBRE RETIRA: MAURICIO VIVANCO J RUT RETIRA: 19021712-4</t>
  </si>
  <si>
    <t>Mauricio Vivanco</t>
  </si>
  <si>
    <t>Oceano pacifico 504</t>
  </si>
  <si>
    <t>DGORAL1366</t>
  </si>
  <si>
    <t>270776015</t>
  </si>
  <si>
    <t>NOMBRE RETIRA: SONIA MUNOZ . RUT RETIRA: 53332615-3</t>
  </si>
  <si>
    <t>Maria cristina Moreno zambrano</t>
  </si>
  <si>
    <t>Avenida ValparaÍso 1367, Oficina 311, Oficina 311</t>
  </si>
  <si>
    <t>2026-05-24 20:52</t>
  </si>
  <si>
    <t>DGORAL1367</t>
  </si>
  <si>
    <t>270805474</t>
  </si>
  <si>
    <t>NOMBRE RETIRA: HERNAN . . RUT RETIRA: 53330390-0</t>
  </si>
  <si>
    <t>Mariana Arancibia</t>
  </si>
  <si>
    <t>Salinas 44</t>
  </si>
  <si>
    <t>2026-05-25 11:06</t>
  </si>
  <si>
    <t>DGORAL1377</t>
  </si>
  <si>
    <t>270967662</t>
  </si>
  <si>
    <t>NOMBRE RETIRA: VERONICA GODOY .. RUT RETIRA: 18868550-1</t>
  </si>
  <si>
    <t>Verónica Godoy Maya</t>
  </si>
  <si>
    <t>Alfalfares parcela 34, Sitio 24</t>
  </si>
  <si>
    <t>DGORAL1346</t>
  </si>
  <si>
    <t>270805694</t>
  </si>
  <si>
    <t>NOMBRE RETIRA: DANIELA ROTHMUND H RUT RETIRA: 17661494-3</t>
  </si>
  <si>
    <t>Daniela Rothmund</t>
  </si>
  <si>
    <t>El pomelo 420</t>
  </si>
  <si>
    <t>2026-05-19 08:53</t>
  </si>
  <si>
    <t>DGORAL1451</t>
  </si>
  <si>
    <t>2323181685</t>
  </si>
  <si>
    <t>Soledad Pugh</t>
  </si>
  <si>
    <t>Camino a la Barraca parcela 12</t>
  </si>
  <si>
    <t>2026-06-20 10:36</t>
  </si>
  <si>
    <t>DGORAL1443</t>
  </si>
  <si>
    <t>2320971472</t>
  </si>
  <si>
    <t>Alejandra Luco Vergara</t>
  </si>
  <si>
    <t>Av. Miraflores 1125, Casa H</t>
  </si>
  <si>
    <t>DGORAL1369</t>
  </si>
  <si>
    <t>2294761545</t>
  </si>
  <si>
    <t>Macarena Báez</t>
  </si>
  <si>
    <t>Oscar Castro 01412, Villa Pablo neruda</t>
  </si>
  <si>
    <t>2026-05-25 16:10</t>
  </si>
  <si>
    <t>DGORAL1393</t>
  </si>
  <si>
    <t>2299587161</t>
  </si>
  <si>
    <t>Daniela Gonzalez Nuñez</t>
  </si>
  <si>
    <t>Avda Cochamo sn, Restaurante Miramar Cochamo</t>
  </si>
  <si>
    <t>DOR55017182</t>
  </si>
  <si>
    <t>271760274</t>
  </si>
  <si>
    <t>DORMILONES</t>
  </si>
  <si>
    <t>NOMBRE RETIRA: LEONARDO VELIZ CONSERJERIA RUT RETIRA: 15955595-K - Cambio de ot 267551175 por ot 271760274</t>
  </si>
  <si>
    <t>Avenida Gabriela Mistral 3670, Departamento K22</t>
  </si>
  <si>
    <t>2026-04-02 14:07</t>
  </si>
  <si>
    <t>DOR55018211</t>
  </si>
  <si>
    <t>272903363</t>
  </si>
  <si>
    <t>NOMBRE RETIRA: FERNANDA HERRWRA . RUT RETIRA: 19532134-5</t>
  </si>
  <si>
    <t>Puyayán 288, Casa</t>
  </si>
  <si>
    <t>2026-06-23 23:41</t>
  </si>
  <si>
    <t>DOR55018213</t>
  </si>
  <si>
    <t>272903347</t>
  </si>
  <si>
    <t>NOMBRE RETIRA: JAQURELINE LUENGO R RUT RETIRA: 19311682-5</t>
  </si>
  <si>
    <t>Jaqueline Luengo</t>
  </si>
  <si>
    <t>Caracas #03995, Casa</t>
  </si>
  <si>
    <t>DOR55018207</t>
  </si>
  <si>
    <t>272828488</t>
  </si>
  <si>
    <t>NOMBRE RETIRA: MAIRA MANRIQUEZ ... RUT RETIRA: 17607945-2</t>
  </si>
  <si>
    <t>LOS ALERCES 183 SECTOR CENTRO LOS ALAMOS, casa</t>
  </si>
  <si>
    <t>2026-06-23 10:48</t>
  </si>
  <si>
    <t>DOR55018204</t>
  </si>
  <si>
    <t>272828516</t>
  </si>
  <si>
    <t>NOMBRE RETIRA: EVELYB AZOCAR . RUT RETIRA: 15895346-3</t>
  </si>
  <si>
    <t>Pisagua 1569</t>
  </si>
  <si>
    <t>DOR55018208</t>
  </si>
  <si>
    <t>272828480</t>
  </si>
  <si>
    <t>NOMBRE RETIRA: CLAUDIO . . RUT RETIRA: 12345678-5</t>
  </si>
  <si>
    <t>Nicolas Airola</t>
  </si>
  <si>
    <t>Hacienda 155, Depto 304</t>
  </si>
  <si>
    <t>DOR55018179</t>
  </si>
  <si>
    <t>272756730</t>
  </si>
  <si>
    <t>NOMBRE RETIRA: ISABEL PRADENA I P RUT RETIRA: 9178024-0</t>
  </si>
  <si>
    <t>Quiroga 202, casa</t>
  </si>
  <si>
    <t>DOR55018188</t>
  </si>
  <si>
    <t>272756694</t>
  </si>
  <si>
    <t>NOMBRE RETIRA: ROCIO ANSALDO ANSALDO RUT RETIRA: 21436239-2</t>
  </si>
  <si>
    <t>Rocio Ansaldo</t>
  </si>
  <si>
    <t>Santa Clara 36, Parcela 36</t>
  </si>
  <si>
    <t>2026-06-21 21:48</t>
  </si>
  <si>
    <t>DOR55018187</t>
  </si>
  <si>
    <t>272756716</t>
  </si>
  <si>
    <t>NOMBRE RETIRA: PAMLEA AOTO . RUT RETIRA: 13507815-8</t>
  </si>
  <si>
    <t>Parcelacion Santa Rosa calle las Bandurria 18, Nueva Braunau, Nueva Braunau</t>
  </si>
  <si>
    <t>DOR55018161</t>
  </si>
  <si>
    <t>272503823</t>
  </si>
  <si>
    <t>NOMBRE RETIRA: PAMRLA OSORIO . RUT RETIRA: 12715721-9</t>
  </si>
  <si>
    <t>camila torres</t>
  </si>
  <si>
    <t>baquedano 1890, 1890</t>
  </si>
  <si>
    <t>2026-06-16 21:29</t>
  </si>
  <si>
    <t>DOR55017773</t>
  </si>
  <si>
    <t>2289391145</t>
  </si>
  <si>
    <t>Nicole Cecilia Reyes Segovia</t>
  </si>
  <si>
    <t>Galvarino 17, Casa 17</t>
  </si>
  <si>
    <t>2026-05-17 21:15</t>
  </si>
  <si>
    <t>DOR55018196</t>
  </si>
  <si>
    <t>272756665</t>
  </si>
  <si>
    <t>NOMBRE RETIRA: VALERIA MOLOMA . RUT RETIRA: 18513376-1</t>
  </si>
  <si>
    <t>Valeria Molina Caceres</t>
  </si>
  <si>
    <t>Cristobal colon 571</t>
  </si>
  <si>
    <t>DOR55018181</t>
  </si>
  <si>
    <t>272756710</t>
  </si>
  <si>
    <t>NOMBRE RETIRA: BRANKO BAKULIC . RUT RETIRA: 12345678-5</t>
  </si>
  <si>
    <t>Branko Bakulic meneses</t>
  </si>
  <si>
    <t>Avenida Del Mar 5710, Apartamento 15</t>
  </si>
  <si>
    <t>DOR55018191</t>
  </si>
  <si>
    <t>272756677</t>
  </si>
  <si>
    <t>NOMBRE RETIRA: YEESICA ARANDA N RUT RETIRA: 10536609-4</t>
  </si>
  <si>
    <t>Felipe Gabriel España Castro</t>
  </si>
  <si>
    <t>Rubén Jiménez 10, San Juan, 10</t>
  </si>
  <si>
    <t>DOR55018100</t>
  </si>
  <si>
    <t>271993659</t>
  </si>
  <si>
    <t>NOMBRE RETIRA: STEPHANIE . . RUT RETIRA: 11111111-1</t>
  </si>
  <si>
    <t>Vapor amadeo 2859</t>
  </si>
  <si>
    <t>DOR55018166</t>
  </si>
  <si>
    <t>272574572</t>
  </si>
  <si>
    <t>NOMBRE RETIRA: NAYADETH LARRECHEA X RUT RETIRA: 19768967-6</t>
  </si>
  <si>
    <t>Nayadeth Larrachea</t>
  </si>
  <si>
    <t>Pasaje Los Pellines 1360, Casa</t>
  </si>
  <si>
    <t>DOR55018169</t>
  </si>
  <si>
    <t>272574541</t>
  </si>
  <si>
    <t>NOMBRE RETIRA: NELSON DIAZ . RUT RETIRA: 22626996-7</t>
  </si>
  <si>
    <t>Rossana Pizarro Berrios</t>
  </si>
  <si>
    <t>EdifÍcio Atalaya, Avenida Arturo Prat ChacÓn 889, Departamento 21</t>
  </si>
  <si>
    <t>DOR55018167</t>
  </si>
  <si>
    <t>272574546</t>
  </si>
  <si>
    <t>NOMBRE RETIRA: MARCELA GARRIDO . RUT RETIRA: 13213969-5</t>
  </si>
  <si>
    <t>Casa, Barros Arana 128</t>
  </si>
  <si>
    <t>DOR55018152</t>
  </si>
  <si>
    <t>272429261</t>
  </si>
  <si>
    <t>NOMBRE RETIRA: JORGE GUTIERREZ . RUT RETIRA: 8606658-0</t>
  </si>
  <si>
    <t>Mery Martínez Limache</t>
  </si>
  <si>
    <t>Diego Portales 2591, Casa</t>
  </si>
  <si>
    <t>DOR55018172</t>
  </si>
  <si>
    <t>272637226</t>
  </si>
  <si>
    <t>NOMBRE RETIRA: VANESSA FERNANDEZ . RUT RETIRA: 17538160-0</t>
  </si>
  <si>
    <t>vanessa fernandez</t>
  </si>
  <si>
    <t>Avenida tamarugal 1551 el olivar, 1551 casa azul cln serco</t>
  </si>
  <si>
    <t>2026-06-18 21:09</t>
  </si>
  <si>
    <t>DOR55018168</t>
  </si>
  <si>
    <t>272574537</t>
  </si>
  <si>
    <t>NOMBRE RETIRA: CAROLA CUICUI I RUT RETIRA: 6017145-9</t>
  </si>
  <si>
    <t>CAROLA CUICUI</t>
  </si>
  <si>
    <t>PEDRO PRADO 441, Casa</t>
  </si>
  <si>
    <t>DOR55018160</t>
  </si>
  <si>
    <t>272503835</t>
  </si>
  <si>
    <t>NOMBRE RETIRA: EVELYN MORALES . RUT RETIRA: 16785158-4</t>
  </si>
  <si>
    <t>Evelyn morales</t>
  </si>
  <si>
    <t>Duble Almeyda 981, Casa</t>
  </si>
  <si>
    <t>DOR55018164</t>
  </si>
  <si>
    <t>272503816</t>
  </si>
  <si>
    <t>NOMBRE RETIRA: SANDRA VALENCIA P RUT RETIRA: 15976234-3</t>
  </si>
  <si>
    <t>Sandra Valencia</t>
  </si>
  <si>
    <t>Calle Volcán Dona Ines 507, 26</t>
  </si>
  <si>
    <t>DOR55018158</t>
  </si>
  <si>
    <t>272429211</t>
  </si>
  <si>
    <t>ELENA CALABACERO</t>
  </si>
  <si>
    <t>GALLEGUILLOS LORCA, 1693 depto 1503</t>
  </si>
  <si>
    <t>DOR55017934</t>
  </si>
  <si>
    <t>271400122</t>
  </si>
  <si>
    <t>NOMBRE RETIRA: DANIELA MATUS . RUT RETIRA: 18118645-3</t>
  </si>
  <si>
    <t>Daniela Matus Walsen</t>
  </si>
  <si>
    <t>Juan McLean 245</t>
  </si>
  <si>
    <t>DOR55018165</t>
  </si>
  <si>
    <t>272503793</t>
  </si>
  <si>
    <t>NOMBRE RETIRA: XIMENA GARCES . RUT RETIRA: 16814407-5</t>
  </si>
  <si>
    <t>Ximena Garces</t>
  </si>
  <si>
    <t>Aerodromo Olmue</t>
  </si>
  <si>
    <t>DOR55018156</t>
  </si>
  <si>
    <t>272429226</t>
  </si>
  <si>
    <t>NOMBRE RETIRA: JESUS MARTINO . RUT RETIRA: 21930885-K</t>
  </si>
  <si>
    <t>JESUS MARTINO AGUILAR</t>
  </si>
  <si>
    <t>BERNARDO OHIGGINS 122</t>
  </si>
  <si>
    <t>DOR55018153</t>
  </si>
  <si>
    <t>272429277</t>
  </si>
  <si>
    <t>NOMBRE RETIRA: PATRICIA IZQUUERDO . RUT RETIRA: 19089657-9</t>
  </si>
  <si>
    <t>Patricia Izquierdo</t>
  </si>
  <si>
    <t>Casa, Portales 1467</t>
  </si>
  <si>
    <t>DOR55018154</t>
  </si>
  <si>
    <t>272429250</t>
  </si>
  <si>
    <t>NOMBRE RETIRA: JUAN MUNOZ . RUT RETIRA: 65063012-2</t>
  </si>
  <si>
    <t>Francisco Alioscha Henriquez Lopez</t>
  </si>
  <si>
    <t>MAC IVER 1720, 201</t>
  </si>
  <si>
    <t>DOR55018076</t>
  </si>
  <si>
    <t>271900030</t>
  </si>
  <si>
    <t>NOMBRE RETIRA: MARITZA VERA . RUT RETIRA: 11111111-1</t>
  </si>
  <si>
    <t>Maritza Vera Gomez</t>
  </si>
  <si>
    <t>Pje. Angela Magri Rabaglio 793, Lomas del Estrecho</t>
  </si>
  <si>
    <t>2026-06-06 08:32</t>
  </si>
  <si>
    <t>DOR55018146</t>
  </si>
  <si>
    <t>272347061</t>
  </si>
  <si>
    <t>NOMBRE RETIRA: CAROLINA PASTEN D RUT RETIRA: 7102066-5</t>
  </si>
  <si>
    <t>DOR55018151</t>
  </si>
  <si>
    <t>272429293</t>
  </si>
  <si>
    <t>NOMBRE RETIRA: KARLA FUENZALIDA . RUT RETIRA: 56049660-5</t>
  </si>
  <si>
    <t>Pamela Vivanco</t>
  </si>
  <si>
    <t>24 Norte 2879, Dpto 501, T5-501</t>
  </si>
  <si>
    <t>DOR55018134</t>
  </si>
  <si>
    <t>272347109</t>
  </si>
  <si>
    <t>NOMBRE RETIRA: JOSUE GAMARRA H RUT RETIRA: 27506702-4</t>
  </si>
  <si>
    <t>Galleguillos Lorca 1693, Depto 1301</t>
  </si>
  <si>
    <t>2026-06-13 11:13</t>
  </si>
  <si>
    <t>DOR55018157</t>
  </si>
  <si>
    <t>272429231</t>
  </si>
  <si>
    <t>NOMBRE RETIRA: CRISTOPHER NEIRA HENRIQUEZ RUT RETIRA: 20031070-5</t>
  </si>
  <si>
    <t>alfredo cam</t>
  </si>
  <si>
    <t>avenida el parronal 351, 65</t>
  </si>
  <si>
    <t>DOR55018143</t>
  </si>
  <si>
    <t>272347071</t>
  </si>
  <si>
    <t>NOMBRE RETIRA: JOSE HIDALGO . RUT RETIRA: 12345678-5</t>
  </si>
  <si>
    <t>Marcela Campusano</t>
  </si>
  <si>
    <t>Avenida el retiro 700, Quilpue, chile, Casa 11</t>
  </si>
  <si>
    <t>2026-06-14 20:13</t>
  </si>
  <si>
    <t>DOR55018062</t>
  </si>
  <si>
    <t>271735838</t>
  </si>
  <si>
    <t>NOMBRE RETIRA: RAMON MENA . RUT RETIRA: 6187603-0</t>
  </si>
  <si>
    <t>Freire 1463, Casa</t>
  </si>
  <si>
    <t>DOR55018137</t>
  </si>
  <si>
    <t>272347046</t>
  </si>
  <si>
    <t>NOMBRE RETIRA: MARIA TEYO . RUT RETIRA: 13030977-1</t>
  </si>
  <si>
    <t>Siomara tapia</t>
  </si>
  <si>
    <t>Rene Pienovi 717 Villa Padre Hurtado, Quillota</t>
  </si>
  <si>
    <t>DOR55018142</t>
  </si>
  <si>
    <t>272347077</t>
  </si>
  <si>
    <t>NOMBRE RETIRA: ANA GUZMAN . RUT RETIRA: 12733254-1</t>
  </si>
  <si>
    <t>Ana Guzmán</t>
  </si>
  <si>
    <t>Camino Antuco Km 2, Condominio El Refugio, Casa 8</t>
  </si>
  <si>
    <t>DOR55018130</t>
  </si>
  <si>
    <t>272347139</t>
  </si>
  <si>
    <t>NOMBRE RETIRA: EDUARSO CWPEDA . RUT RETIRA: 18510121-5</t>
  </si>
  <si>
    <t>Eduardo Cepeda</t>
  </si>
  <si>
    <t>Ohiggins 1338, Depto 12</t>
  </si>
  <si>
    <t>DOR55018135</t>
  </si>
  <si>
    <t>272347049</t>
  </si>
  <si>
    <t>NOMBRE RETIRA: FELIPE PINCHEIRA . RUT RETIRA: 16930980-9</t>
  </si>
  <si>
    <t>Felipe Pincheira</t>
  </si>
  <si>
    <t>Calle 6 poniente 295, Casa</t>
  </si>
  <si>
    <t>DOR55018118</t>
  </si>
  <si>
    <t>272219593</t>
  </si>
  <si>
    <t>NOMBRE RETIRA: JUAN PALOMINO . RUT RETIRA: 9323254-2</t>
  </si>
  <si>
    <t>Caterine Peña Aguilera</t>
  </si>
  <si>
    <t>Avenida teniente merino correa 2642, Sector villa Frei condominio Santa Maria casa 3</t>
  </si>
  <si>
    <t>DOR55018121</t>
  </si>
  <si>
    <t>272219547</t>
  </si>
  <si>
    <t>NOMBRE RETIRA: LEONIDA RIVAS B RUT RETIRA: 17571051-5</t>
  </si>
  <si>
    <t>San Andrés 202, Dpto 203</t>
  </si>
  <si>
    <t>2026-06-12 10:31</t>
  </si>
  <si>
    <t>DOR55018086</t>
  </si>
  <si>
    <t>271899943</t>
  </si>
  <si>
    <t>NOMBRE RETIRA: RODRIGO BLANCO . RUT RETIRA: 26058204-6</t>
  </si>
  <si>
    <t>Antonia Cofre</t>
  </si>
  <si>
    <t>Av Caracoles 195b, B Restaurante 195, B Restaurante 195, B Restaurante 195, B Restaurante 195, B Restaurante 195, 195b restaurante</t>
  </si>
  <si>
    <t>DOR55018117</t>
  </si>
  <si>
    <t>272219550</t>
  </si>
  <si>
    <t>NOMBRE RETIRA: MARIANA CARRASCI . RUT RETIRA: 18805117-0</t>
  </si>
  <si>
    <t>Pasaje Human 105, Villa 3 vientos</t>
  </si>
  <si>
    <t>DOR55018081</t>
  </si>
  <si>
    <t>271900025</t>
  </si>
  <si>
    <t>NOMBRE RETIRA: CAMILA CAMPUSANO TOLEDO RUT RETIRA: 18791867-7</t>
  </si>
  <si>
    <t>Camila Campusano Toledo</t>
  </si>
  <si>
    <t>Julio  Lamas 309</t>
  </si>
  <si>
    <t>DOR55018103</t>
  </si>
  <si>
    <t>272074491</t>
  </si>
  <si>
    <t>DOR55018063</t>
  </si>
  <si>
    <t>271735801</t>
  </si>
  <si>
    <t>NOMBRE RETIRA: PABLO FUENTEALBA J RUT RETIRA: 18194820-5</t>
  </si>
  <si>
    <t>Pablo Ili fuentealba</t>
  </si>
  <si>
    <t>Los leñadores 02081, Casa</t>
  </si>
  <si>
    <t>DOR55017820</t>
  </si>
  <si>
    <t>2292552765</t>
  </si>
  <si>
    <t>Aylinn Montenegro Veloso</t>
  </si>
  <si>
    <t>Pedro Sancho de La hoz</t>
  </si>
  <si>
    <t>2026-05-22 11:43</t>
  </si>
  <si>
    <t>DOR55017900</t>
  </si>
  <si>
    <t>271400487</t>
  </si>
  <si>
    <t>NOMBRE RETIRA: ARTURO PAVEZ M RUT RETIRA: 11111111-1</t>
  </si>
  <si>
    <t>Calle mirador del estrecho 01309, Depto 604-A</t>
  </si>
  <si>
    <t>DOR55018111</t>
  </si>
  <si>
    <t>272149630</t>
  </si>
  <si>
    <t>NOMBRE RETIRA: VANESA LUZARO , RUT RETIRA: 12345678-5</t>
  </si>
  <si>
    <t>Patricia Cortés Ortega</t>
  </si>
  <si>
    <t>Avenida Pacifico 3100, Departamento 324</t>
  </si>
  <si>
    <t>DOR55018112</t>
  </si>
  <si>
    <t>272149628</t>
  </si>
  <si>
    <t>NOMBRE RETIRA: FARA DREY M RUT RETIRA: 17399267-K</t>
  </si>
  <si>
    <t>Joaquin Correa</t>
  </si>
  <si>
    <t>Arauco 1257, Casa</t>
  </si>
  <si>
    <t>2026-06-11 10:35</t>
  </si>
  <si>
    <t>DOR55018102</t>
  </si>
  <si>
    <t>272074502</t>
  </si>
  <si>
    <t>NOMBRE RETIRA: VANESA SCHWERTER . RUT RETIRA: 22222222-2</t>
  </si>
  <si>
    <t>Vanessa schwerter</t>
  </si>
  <si>
    <t>Volcan Choshuenco 5015, Valle Volcanes Puerto Montt, Casa</t>
  </si>
  <si>
    <t>DOR55018104</t>
  </si>
  <si>
    <t>272074486</t>
  </si>
  <si>
    <t>NOMBRE RETIRA: NICOLE AGUILE . RUT RETIRA: 20440344-9</t>
  </si>
  <si>
    <t>Camino antiguo a maitencillo SN Condominio Lomas de Maitencillo casa 2, Condominio Lomas de Maitencillo casa 2</t>
  </si>
  <si>
    <t>DOR55018106</t>
  </si>
  <si>
    <t>272074472</t>
  </si>
  <si>
    <t>NOMBRE RETIRA: LUIS RAMIREZ CONSERJE RUT RETIRA: 17625970-1</t>
  </si>
  <si>
    <t>Cristobal Moya</t>
  </si>
  <si>
    <t>San Joaquin 2011, Depto 308</t>
  </si>
  <si>
    <t>DOR55018105</t>
  </si>
  <si>
    <t>272074465</t>
  </si>
  <si>
    <t>NOMBRE RETIRA: BETZABE AGUINAR AGUILAR RUT RETIRA: 15103844-1</t>
  </si>
  <si>
    <t>Av Salvador Allende 400 Rancagua, Dpto 806B condominio parque ciudadano 2</t>
  </si>
  <si>
    <t>DOR55018099</t>
  </si>
  <si>
    <t>271993665</t>
  </si>
  <si>
    <t>NOMBRE RETIRA: MARGARITA YANEZ . RUT RETIRA: 15180728-3</t>
  </si>
  <si>
    <t>Avenida padre hurtado 1832, Casa 45, condominio la campiña</t>
  </si>
  <si>
    <t>DOR55018072</t>
  </si>
  <si>
    <t>271900074</t>
  </si>
  <si>
    <t>NOMBRE RETIRA: NELI CUBILLOS SAAVEDRA RUT RETIRA: 8010455-3</t>
  </si>
  <si>
    <t>Carolina Contreras Cubillos</t>
  </si>
  <si>
    <t>Capitán Trizano 712</t>
  </si>
  <si>
    <t>DOR55018096</t>
  </si>
  <si>
    <t>271993713</t>
  </si>
  <si>
    <t>NOMBRE RETIRA: VANESA NIELSEN . RUT RETIRA: 18954494-4</t>
  </si>
  <si>
    <t>Alan Eastman</t>
  </si>
  <si>
    <t>Calafquen 119</t>
  </si>
  <si>
    <t>2026-06-08 20:51</t>
  </si>
  <si>
    <t>DOR55018084</t>
  </si>
  <si>
    <t>271900016</t>
  </si>
  <si>
    <t>Kimberly Pozo</t>
  </si>
  <si>
    <t>Ascotan 155, 508 A Faro Norte</t>
  </si>
  <si>
    <t>DOR55018095</t>
  </si>
  <si>
    <t>271993724</t>
  </si>
  <si>
    <t>NOMBRE RETIRA: MAIRA OBANDO . RUT RETIRA: 18100464-9</t>
  </si>
  <si>
    <t>Maira Ovando Lermanda</t>
  </si>
  <si>
    <t>Almagro 452, Optica</t>
  </si>
  <si>
    <t>DOR55018075</t>
  </si>
  <si>
    <t>271900062</t>
  </si>
  <si>
    <t>NOMBRE RETIRA: GLADIS VICENCIO . RUT RETIRA: 12345678-5</t>
  </si>
  <si>
    <t>GLADYS VILLAVICENCIO</t>
  </si>
  <si>
    <t>Pasaje Vicenza # 631, La Serena</t>
  </si>
  <si>
    <t>DOR55018088</t>
  </si>
  <si>
    <t>271899998</t>
  </si>
  <si>
    <t>NOMBRE RETIRA: JONATAN PALNA . RUT RETIRA: 18486096-1</t>
  </si>
  <si>
    <t>Jonatan Palma</t>
  </si>
  <si>
    <t>Rio Blanco 1235</t>
  </si>
  <si>
    <t>DOR55018085</t>
  </si>
  <si>
    <t>271899963</t>
  </si>
  <si>
    <t>NOMBRE RETIRA: LEONIDAS ARRAU . RUT RETIRA: 12182333-0</t>
  </si>
  <si>
    <t>Camino nonguén 547, Casa 39</t>
  </si>
  <si>
    <t>DOR55018087</t>
  </si>
  <si>
    <t>271899955</t>
  </si>
  <si>
    <t>NOMBRE RETIRA: MARCO PEREZ . RUT RETIRA: 53321155-0</t>
  </si>
  <si>
    <t>Carolina Pincheira</t>
  </si>
  <si>
    <t>Maipu Poniente 44, Departamento 505 Torre A</t>
  </si>
  <si>
    <t>DOR55017908</t>
  </si>
  <si>
    <t>271400287</t>
  </si>
  <si>
    <t>NOMBRE RETIRA: MARGARITAA BAHAMANONDE M RUT RETIRA: 7674386-K</t>
  </si>
  <si>
    <t>Carolina Santelices</t>
  </si>
  <si>
    <t>21 de mayo 24</t>
  </si>
  <si>
    <t>DOR55018038</t>
  </si>
  <si>
    <t>271656133</t>
  </si>
  <si>
    <t>NOMBRE RETIRA: CAROLINA CAMPOS R RUT RETIRA: 14472022-9</t>
  </si>
  <si>
    <t>Carolina Campos Ramos</t>
  </si>
  <si>
    <t>Pasaje 4, casa 561. Villa Don Max., Pasaje Cuatro B 561</t>
  </si>
  <si>
    <t>DOR55018053</t>
  </si>
  <si>
    <t>271735877</t>
  </si>
  <si>
    <t>NOMBRE RETIRA: BLADIMIR RIVERA . RUT RETIRA: 21997951-7</t>
  </si>
  <si>
    <t>Lorena Isabel Rivera Marchan</t>
  </si>
  <si>
    <t>Calle Juan XXIII N 868 Huertos Obreros, Calle Juan Xxiii N868 Huertos Obreros La Calera</t>
  </si>
  <si>
    <t>DOR55018050</t>
  </si>
  <si>
    <t>271735895</t>
  </si>
  <si>
    <t>NOMBRE RETIRA: NORMA MAMANI . RUT RETIRA: 24318299-9</t>
  </si>
  <si>
    <t>Ocurica y leonor 1891</t>
  </si>
  <si>
    <t>DOR55017841</t>
  </si>
  <si>
    <t>270811346</t>
  </si>
  <si>
    <t>NOMBRE RETIRA: ALICIA LOBOS . RUT RETIRA: 11111111-1</t>
  </si>
  <si>
    <t>Patagona 2966, poblacion Manuel bulnes</t>
  </si>
  <si>
    <t>2026-05-25 11:19</t>
  </si>
  <si>
    <t>DOR55018092</t>
  </si>
  <si>
    <t>271899924</t>
  </si>
  <si>
    <t>NOMBRE RETIRA: ELIZABETH GARRIDO . . RUT RETIRA: 15626742-2</t>
  </si>
  <si>
    <t>Elizabeth Garrido Garrido</t>
  </si>
  <si>
    <t>Johann Neumann 358, Casa</t>
  </si>
  <si>
    <t>DOR55018049</t>
  </si>
  <si>
    <t>271735882</t>
  </si>
  <si>
    <t>NOMBRE RETIRA: BREMDA MWEONO . RUT RETIRA: 18805117-0</t>
  </si>
  <si>
    <t>Brenda Meriño fernandez</t>
  </si>
  <si>
    <t>Calle las cruces 752, condominio los nogales, Casa 32</t>
  </si>
  <si>
    <t>DOR55018030</t>
  </si>
  <si>
    <t>271656158</t>
  </si>
  <si>
    <t>NOMBRE RETIRA: BARBARA CISTERNAS GAETE RUT RETIRA: 18273837-9</t>
  </si>
  <si>
    <t>Barbara Cisternas Gaete</t>
  </si>
  <si>
    <t>Condominio las lomas de Villarrica, Sta lucia P34</t>
  </si>
  <si>
    <t>DOR55018068</t>
  </si>
  <si>
    <t>271735784</t>
  </si>
  <si>
    <t>NOMBRE RETIRA: CLAUDIA VERA . RUT RETIRA: 23807074-0</t>
  </si>
  <si>
    <t>Laja 1050, Casa puerta negra al lado colegio Hans Christian Andersen</t>
  </si>
  <si>
    <t>DOR55018010</t>
  </si>
  <si>
    <t>271656312</t>
  </si>
  <si>
    <t>NOMBRE RETIRA: FRANCHEACA ULLOA X RUT RETIRA: 17438686-2</t>
  </si>
  <si>
    <t>Franchesca Ulloa toledo</t>
  </si>
  <si>
    <t>Sergio Ortega 506, Casa 24</t>
  </si>
  <si>
    <t>DOR55018034</t>
  </si>
  <si>
    <t>271656130</t>
  </si>
  <si>
    <t>NOMBRE RETIRA: PAMELA RAMIREZ CANTILLANA RUT RETIRA: 7768310-0</t>
  </si>
  <si>
    <t>Pamela Ramírez Cantillana</t>
  </si>
  <si>
    <t>Población capricornio pasaje 6 norte #203 calle teniente jimenez, Casa</t>
  </si>
  <si>
    <t>DOR55018029</t>
  </si>
  <si>
    <t>271656194</t>
  </si>
  <si>
    <t>NOMBRE RETIRA: MARCELO FAUNDEZ 0 RUT RETIRA: 12345678-5</t>
  </si>
  <si>
    <t>Av los sauces 2750 vallenar, Departamento 403 A</t>
  </si>
  <si>
    <t>DOR55018011</t>
  </si>
  <si>
    <t>271656265</t>
  </si>
  <si>
    <t>NOMBRE RETIRA: ALEJANDRA CAMPOS . RUT RETIRA: 16756389-9</t>
  </si>
  <si>
    <t>Orlando Beltran</t>
  </si>
  <si>
    <t>Pasaje Ichcai 3565</t>
  </si>
  <si>
    <t>DOR55018061</t>
  </si>
  <si>
    <t>271735856</t>
  </si>
  <si>
    <t>NOMBRE RETIRA: JULIANA M M RUT RETIRA: 20924306-7</t>
  </si>
  <si>
    <t>Roció Toro</t>
  </si>
  <si>
    <t>Clinica Dental Newen, Calle lautaro 485</t>
  </si>
  <si>
    <t>DOR55018058</t>
  </si>
  <si>
    <t>271735851</t>
  </si>
  <si>
    <t>NOMBRE RETIRA: MANUEL ORELLANA .. RUT RETIRA: 6987476-2</t>
  </si>
  <si>
    <t>Adriana Orellana</t>
  </si>
  <si>
    <t>El membrillo N2839, Block 5 depto 11</t>
  </si>
  <si>
    <t>DOR55018039</t>
  </si>
  <si>
    <t>271656117</t>
  </si>
  <si>
    <t>NOMBRE RETIRA: PAULINA TOLOZA . RUT RETIRA: 6602679-5</t>
  </si>
  <si>
    <t>Paulina Toloza</t>
  </si>
  <si>
    <t>Trapen sur 403</t>
  </si>
  <si>
    <t>DOR55018024</t>
  </si>
  <si>
    <t>271656212</t>
  </si>
  <si>
    <t>NOMBRE RETIRA: ALEJANDRA PATINO .. RUT RETIRA: 18868550-1</t>
  </si>
  <si>
    <t>Alejandra patiño</t>
  </si>
  <si>
    <t>Los Robles 868, 868</t>
  </si>
  <si>
    <t>DOR55018041</t>
  </si>
  <si>
    <t>271656074</t>
  </si>
  <si>
    <t>NOMBRE RETIRA: BARBARA MARABOLI . RUT RETIRA: 18970689-8</t>
  </si>
  <si>
    <t>Barbara Maraboli Molina</t>
  </si>
  <si>
    <t>Buque Aldea 1124. Lomas del Sauce</t>
  </si>
  <si>
    <t>DOR55018006</t>
  </si>
  <si>
    <t>271656323</t>
  </si>
  <si>
    <t>NOMBRE RETIRA: DANIELA GONZALEZ .W RUT RETIRA: 12240555-9</t>
  </si>
  <si>
    <t>Ximena Romero Hernández</t>
  </si>
  <si>
    <t>LOS FILTROS 326, Casa roja con portón Negro</t>
  </si>
  <si>
    <t>DOR55018065</t>
  </si>
  <si>
    <t>271735809</t>
  </si>
  <si>
    <t>NOMBRE RETIRA: ESTEBAN RUBIO SALVO RUT RETIRA: 6814145-1</t>
  </si>
  <si>
    <t>Esteban rubio</t>
  </si>
  <si>
    <t>Algarrobo 1 lircay 1062, 1062</t>
  </si>
  <si>
    <t>DOR55018028</t>
  </si>
  <si>
    <t>271656165</t>
  </si>
  <si>
    <t>Matías Gacitua</t>
  </si>
  <si>
    <t>Av italia 1900 puerto montt, Casino de suboficiales fach</t>
  </si>
  <si>
    <t>DOR55018066</t>
  </si>
  <si>
    <t>271735790</t>
  </si>
  <si>
    <t>NOMBRE RETIRA: VERONICA CANTILLANA A RUT RETIRA: 20137133-3</t>
  </si>
  <si>
    <t>Vicky Varela</t>
  </si>
  <si>
    <t>Navío San Martín 345, torre 2, Dpto 302</t>
  </si>
  <si>
    <t>DOR55018020</t>
  </si>
  <si>
    <t>271656255</t>
  </si>
  <si>
    <t>NOMBRE RETIRA: PABLO . . RUT RETIRA: 25512839-6</t>
  </si>
  <si>
    <t>Pablo Olivares López</t>
  </si>
  <si>
    <t>Merced 625, Casa</t>
  </si>
  <si>
    <t>DOR55018022</t>
  </si>
  <si>
    <t>271656239</t>
  </si>
  <si>
    <t>NOMBRE RETIRA: JAVIWRA CANEDO .. RUT RETIRA: 14298363-K</t>
  </si>
  <si>
    <t>Constanza Canedo</t>
  </si>
  <si>
    <t>Casa Esquina, Pasaje Cruz De Los Mares 1614</t>
  </si>
  <si>
    <t>DOR55017929</t>
  </si>
  <si>
    <t>271400138</t>
  </si>
  <si>
    <t>Marko Soudy</t>
  </si>
  <si>
    <t>Avenida Argentina 1665, Depto 1407A</t>
  </si>
  <si>
    <t>DOR55018042</t>
  </si>
  <si>
    <t>271656059</t>
  </si>
  <si>
    <t>NOMBRE RETIRA: DAJNIELA ALVAREZ . RUT RETIRA: 18163968-7</t>
  </si>
  <si>
    <t>Faro Quiriquina, 1238</t>
  </si>
  <si>
    <t>DOR55018002</t>
  </si>
  <si>
    <t>271656331</t>
  </si>
  <si>
    <t>NOMBRE RETIRA: SARAY VALLESTERO . RUT RETIRA: 27072249-0</t>
  </si>
  <si>
    <t>Cardonal, 31 A</t>
  </si>
  <si>
    <t>DOR55017969</t>
  </si>
  <si>
    <t>271517363</t>
  </si>
  <si>
    <t>NOMBRE RETIRA: JONATHAN LEMIS . RUT RETIRA: 16865560-6</t>
  </si>
  <si>
    <t>Avenida héroes de la concepción 2784, 41 torre A</t>
  </si>
  <si>
    <t>DOR55018014</t>
  </si>
  <si>
    <t>271656297</t>
  </si>
  <si>
    <t>NOMBRE RETIRA: FELIPE LOPEZ .CONSERJE RUT RETIRA: 20052271-0</t>
  </si>
  <si>
    <t>Jocelyne Encina Villanueva</t>
  </si>
  <si>
    <t>Avenida el milagro 5200, Dpto B209</t>
  </si>
  <si>
    <t>DOR55017935</t>
  </si>
  <si>
    <t>271400106</t>
  </si>
  <si>
    <t>NOMBRE RETIRA: MARIANA SALAZAR SALAZAR RUT RETIRA: 76669508-6</t>
  </si>
  <si>
    <t>Paqui, 676</t>
  </si>
  <si>
    <t>DOR55017983</t>
  </si>
  <si>
    <t>271517197</t>
  </si>
  <si>
    <t>NOMBRE RETIRA: JOHANNA FLORES .. RUT RETIRA: 19888771-4</t>
  </si>
  <si>
    <t>johanna Flores Berrios</t>
  </si>
  <si>
    <t>Forestal Sur #270, Los Vilos</t>
  </si>
  <si>
    <t>DOR55018001</t>
  </si>
  <si>
    <t>271656355</t>
  </si>
  <si>
    <t>NOMBRE RETIRA: LUCIA ESCOBAR . RUT RETIRA: 17194854-1</t>
  </si>
  <si>
    <t>Lucia Escobar contreras</t>
  </si>
  <si>
    <t>Avda Santa Teresa Valparaíso Comuna San Felipe Block b, Departamento 27</t>
  </si>
  <si>
    <t>DOR55017956</t>
  </si>
  <si>
    <t>271517407</t>
  </si>
  <si>
    <t>NOMBRE RETIRA: SEGUNDO DIAZ . RUT RETIRA: 17736384-7</t>
  </si>
  <si>
    <t>Beatriz Tupaz</t>
  </si>
  <si>
    <t>Avenida Cerro Paranal 380, Departamento 245 A</t>
  </si>
  <si>
    <t>DOR55017964</t>
  </si>
  <si>
    <t>271517375</t>
  </si>
  <si>
    <t>NOMBRE RETIRA: CANDY HUMERES . RUT RETIRA: 11616594-5</t>
  </si>
  <si>
    <t>Rodrigo Alejandro Herrera Cortés</t>
  </si>
  <si>
    <t>Pedro lobos 7452 casa, Casa</t>
  </si>
  <si>
    <t>DOR55017990</t>
  </si>
  <si>
    <t>271517121</t>
  </si>
  <si>
    <t>NOMBRE RETIRA: ERICK CAMPUSANO . RUT RETIRA: 6881433-2</t>
  </si>
  <si>
    <t>Erik Campusano</t>
  </si>
  <si>
    <t>Avenida pedro aguirre cerda 8480, Departamento 257</t>
  </si>
  <si>
    <t>DOR55017962</t>
  </si>
  <si>
    <t>271517386</t>
  </si>
  <si>
    <t>NOMBRE RETIRA: HERNAN SILVA .. RUT RETIRA: 9178152-2</t>
  </si>
  <si>
    <t>Coca Ñanco</t>
  </si>
  <si>
    <t>Arturo prat 717, 203</t>
  </si>
  <si>
    <t>DOR55017971</t>
  </si>
  <si>
    <t>271517320</t>
  </si>
  <si>
    <t>NOMBRE RETIRA: RENATA VERA X RUT RETIRA: 20773283-4</t>
  </si>
  <si>
    <t>Avenida concon reñaca 372, Local 2 PETSLIFE</t>
  </si>
  <si>
    <t>DOR55017950</t>
  </si>
  <si>
    <t>271400074</t>
  </si>
  <si>
    <t>Raul Torres</t>
  </si>
  <si>
    <t>Mercedes 461, 2403</t>
  </si>
  <si>
    <t>DOR55017912</t>
  </si>
  <si>
    <t>271400343</t>
  </si>
  <si>
    <t>NOMBRE RETIRA: PAMELA HASTAURUAGA . RUT RETIRA: 13509267-3</t>
  </si>
  <si>
    <t>Yara Gajardo Araya</t>
  </si>
  <si>
    <t>Eduardo abaroa 1691 A, Gym</t>
  </si>
  <si>
    <t>DOR55017991</t>
  </si>
  <si>
    <t>271517082</t>
  </si>
  <si>
    <t>NOMBRE RETIRA: RAMOM ARRUE A RUT RETIRA: 53130190-0</t>
  </si>
  <si>
    <t>Boris Alvarado</t>
  </si>
  <si>
    <t>1 oriente 622, 403</t>
  </si>
  <si>
    <t>DOR55017988</t>
  </si>
  <si>
    <t>271517141</t>
  </si>
  <si>
    <t>NOMBRE RETIRA: ADONEY GARRIDO . RUT RETIRA: 16510588-5</t>
  </si>
  <si>
    <t>Adoney Garrido</t>
  </si>
  <si>
    <t>Llolleo Alto, Las Perdices 1878</t>
  </si>
  <si>
    <t>DOR55017974</t>
  </si>
  <si>
    <t>271517261</t>
  </si>
  <si>
    <t>NOMBRE RETIRA: ARIEK . . RUT RETIRA: 53310370-7</t>
  </si>
  <si>
    <t>CARLA Tiznado Godoy</t>
  </si>
  <si>
    <t>Camino Botrolhue 1504, 73</t>
  </si>
  <si>
    <t>DOR55017970</t>
  </si>
  <si>
    <t>271517294</t>
  </si>
  <si>
    <t>NOMBRE RETIRA: ROXANA CALQUINO . RUT RETIRA: 11111111-1</t>
  </si>
  <si>
    <t>ROXANA Calquin O</t>
  </si>
  <si>
    <t>Calle Apostol Andres 1702, Casa</t>
  </si>
  <si>
    <t>DOR55017986</t>
  </si>
  <si>
    <t>271517174</t>
  </si>
  <si>
    <t>NOMBRE RETIRA: MAIRA CUEVAS . RUT RETIRA: 11111111-1</t>
  </si>
  <si>
    <t>Pedro Badilla</t>
  </si>
  <si>
    <t>Figueras 1996, Departamento E213</t>
  </si>
  <si>
    <t>DOR55017977</t>
  </si>
  <si>
    <t>271517258</t>
  </si>
  <si>
    <t>NOMBRE RETIRA: ERIKA PAREDES PAREDES RUT RETIRA: 7161055-1</t>
  </si>
  <si>
    <t>Lorena Godinez Paredes</t>
  </si>
  <si>
    <t>Paseo Agua de la vida 1025, Casa 1025</t>
  </si>
  <si>
    <t>DOR55017942</t>
  </si>
  <si>
    <t>271400083</t>
  </si>
  <si>
    <t>NOMBRE RETIRA: ZINGARA MACHUCA .. RUT RETIRA: 20587069-5</t>
  </si>
  <si>
    <t>Zingara Machuca Muñoz</t>
  </si>
  <si>
    <t>Pasaje uno 356, Boca sur viejo av venus</t>
  </si>
  <si>
    <t>DOR55017911</t>
  </si>
  <si>
    <t>271400420</t>
  </si>
  <si>
    <t>NOMBRE RETIRA: CAROLINA GONZALES A RUT RETIRA: 12345678-5</t>
  </si>
  <si>
    <t>Catalina González Vega</t>
  </si>
  <si>
    <t>Trumao 1100, Depto 112 torre 3</t>
  </si>
  <si>
    <t>DOR55017952</t>
  </si>
  <si>
    <t>271517495</t>
  </si>
  <si>
    <t>NOMBRE RETIRA: FRANCISCA URIBE .. RUT RETIRA: 17235346-0</t>
  </si>
  <si>
    <t>Francisca Uribe Marín</t>
  </si>
  <si>
    <t>1 poniente 244, 204</t>
  </si>
  <si>
    <t>DOR55017951</t>
  </si>
  <si>
    <t>271517450</t>
  </si>
  <si>
    <t>NOMBRE RETIRA: SIMON BELLIAZZI J RUT RETIRA: 19437689-8</t>
  </si>
  <si>
    <t>Simón Belliazzi</t>
  </si>
  <si>
    <t>Clemente holzapfel 691, Dep 33</t>
  </si>
  <si>
    <t>DOR55017993</t>
  </si>
  <si>
    <t>271517112</t>
  </si>
  <si>
    <t>NOMBRE RETIRA: CATALINA MENDEZ . RUT RETIRA: 21899414-8</t>
  </si>
  <si>
    <t>Elizabeth Urrea Vicencio</t>
  </si>
  <si>
    <t>Pasaje nueve 3475, Salinas</t>
  </si>
  <si>
    <t>DOR55017989</t>
  </si>
  <si>
    <t>271517148</t>
  </si>
  <si>
    <t>Pamela Andrade Yáñez</t>
  </si>
  <si>
    <t>Volcán Choshuenco 5111, 70</t>
  </si>
  <si>
    <t>DOR55017954</t>
  </si>
  <si>
    <t>271517455</t>
  </si>
  <si>
    <t>NOMBRE RETIRA: MONICA SANHUEZA S RUT RETIRA: 14472022-9</t>
  </si>
  <si>
    <t>Mónica Sanhueza Stuardo</t>
  </si>
  <si>
    <t>Punto Blue express Jara Rosa, Chacabuco s/n., Casa</t>
  </si>
  <si>
    <t>DOR55017972</t>
  </si>
  <si>
    <t>271517269</t>
  </si>
  <si>
    <t>NOMBRE RETIRA: PABLO MARTINEZ . RUT RETIRA: 56068190-9</t>
  </si>
  <si>
    <t>Las Heras 1664, Depto 609</t>
  </si>
  <si>
    <t>DOR55017914</t>
  </si>
  <si>
    <t>271400366</t>
  </si>
  <si>
    <t>NOMBRE RETIRA: YESSY . . RUT RETIRA: 16329728-0</t>
  </si>
  <si>
    <t>Manuel Camaño</t>
  </si>
  <si>
    <t>Caracol coroney O 300 km 3 interior, ubicación WhatsApp</t>
  </si>
  <si>
    <t>DOR55017890</t>
  </si>
  <si>
    <t>271284152</t>
  </si>
  <si>
    <t>NOMBRE RETIRA: MANUEL BURGOS . . RUT RETIRA: 8191573-3</t>
  </si>
  <si>
    <t>Claudio Leal cortés</t>
  </si>
  <si>
    <t>Caupolicán 178, Casa</t>
  </si>
  <si>
    <t>DOR55017927</t>
  </si>
  <si>
    <t>271400181</t>
  </si>
  <si>
    <t>NOMBRE RETIRA: IGNACIA ALFARO J RUT RETIRA: 21250122-0</t>
  </si>
  <si>
    <t>HERNAN MARTINEZ</t>
  </si>
  <si>
    <t>Avenida Edmundo Perez Zujovic 10890, Depto 191, Edificio Petra, Condominio Bahía Blanca</t>
  </si>
  <si>
    <t>DOR55017957</t>
  </si>
  <si>
    <t>271517430</t>
  </si>
  <si>
    <t>NOMBRE RETIRA: SILBANA VITI VITALI RUT RETIRA: 16532014-K</t>
  </si>
  <si>
    <t>Elizabeth Torres M 647</t>
  </si>
  <si>
    <t>DOR55017992</t>
  </si>
  <si>
    <t>271517065</t>
  </si>
  <si>
    <t>NOMBRE RETIRA: RAUL CALVO . RUT RETIRA: 18805117-0</t>
  </si>
  <si>
    <t>Raul calvo seguel</t>
  </si>
  <si>
    <t>avenida doctor manuel rioseco 1175, casa 15</t>
  </si>
  <si>
    <t>DOR55017984</t>
  </si>
  <si>
    <t>271517168</t>
  </si>
  <si>
    <t>NOMBRE RETIRA: CRISTOBAL GAETE MARTINEZ RUT RETIRA: 18173800-6</t>
  </si>
  <si>
    <t>Cristobal Gaete</t>
  </si>
  <si>
    <t>Camino Las Rosas 113, Casa 113</t>
  </si>
  <si>
    <t>DOR55017999</t>
  </si>
  <si>
    <t>271517005</t>
  </si>
  <si>
    <t>NOMBRE RETIRA: MIRIAN Z Z RUT RETIRA: 13625218-6</t>
  </si>
  <si>
    <t>PAOLA Pailamilla Muñoz</t>
  </si>
  <si>
    <t>Santa catalina de siena 185 departamento 23D Lomas san sebastian, 23D</t>
  </si>
  <si>
    <t>DOR55017939</t>
  </si>
  <si>
    <t>271400091</t>
  </si>
  <si>
    <t>NOMBRE RETIRA: DIEGO FWRNANDEZ . RUT RETIRA: 17972084-1</t>
  </si>
  <si>
    <t>Marcela Figueroa Cerda</t>
  </si>
  <si>
    <t>El Rincon N 8 Restaurante La Ruca, Casa, Casa</t>
  </si>
  <si>
    <t>DOR55017995</t>
  </si>
  <si>
    <t>271517047</t>
  </si>
  <si>
    <t>NOMBRE RETIRA: BEATRIZ VERA .. RUT RETIRA: 17359403-8</t>
  </si>
  <si>
    <t>Beatriz Vera</t>
  </si>
  <si>
    <t>Maria Graham 3 336</t>
  </si>
  <si>
    <t>DOR55017978</t>
  </si>
  <si>
    <t>271517232</t>
  </si>
  <si>
    <t>NOMBRE RETIRA: LUCY UTRERAS . RUT RETIRA: 13441186-4</t>
  </si>
  <si>
    <t>Lucy Utreras</t>
  </si>
  <si>
    <t>Rosa De Los Vientos 182</t>
  </si>
  <si>
    <t>DOR55017918</t>
  </si>
  <si>
    <t>271400273</t>
  </si>
  <si>
    <t>NOMBRE RETIRA: ITALO CARMIBACCI . RUT RETIRA: 56012420-1</t>
  </si>
  <si>
    <t>Jackson 490, 25</t>
  </si>
  <si>
    <t>DOR55017920</t>
  </si>
  <si>
    <t>271400215</t>
  </si>
  <si>
    <t>NOMBRE RETIRA: MARIO SOLIS FD RUT RETIRA: 8616964-9</t>
  </si>
  <si>
    <t>Consuelo Solís</t>
  </si>
  <si>
    <t>Av Chaguales, parcela 103, lote 7, el panul, coquimbo</t>
  </si>
  <si>
    <t>DOR55017923</t>
  </si>
  <si>
    <t>271400224</t>
  </si>
  <si>
    <t>NOMBRE RETIRA: LORENA PINO . RUT RETIRA: 6744799-9</t>
  </si>
  <si>
    <t>Lorena Pino Medina</t>
  </si>
  <si>
    <t>Lautaro Valderrama 034, Población Las Viñas</t>
  </si>
  <si>
    <t>DOR55017930</t>
  </si>
  <si>
    <t>271400146</t>
  </si>
  <si>
    <t>NOMBRE RETIRA: DANIELA SUAZO . RUT RETIRA: 18973575-8</t>
  </si>
  <si>
    <t>Nicolas Valenzuela V.</t>
  </si>
  <si>
    <t>Avenida Viña del Mar 2204</t>
  </si>
  <si>
    <t>DOR55017916</t>
  </si>
  <si>
    <t>271400324</t>
  </si>
  <si>
    <t>NOMBRE RETIRA: SEBASTIAN ARANCIBIA . RUT RETIRA: 16476549-0</t>
  </si>
  <si>
    <t>Sebastian Arancibia gazali</t>
  </si>
  <si>
    <t>Pasaje victoria 230 el belloto centro, quilpue, valparaIso</t>
  </si>
  <si>
    <t>DOR55017913</t>
  </si>
  <si>
    <t>271400414</t>
  </si>
  <si>
    <t>NOMBRE RETIRA: SERGIO BALTIERRA H RUT RETIRA: 16002468-2</t>
  </si>
  <si>
    <t>Trece Oriente 1735</t>
  </si>
  <si>
    <t>DOR55017924</t>
  </si>
  <si>
    <t>271400191</t>
  </si>
  <si>
    <t>NOMBRE RETIRA: EMILY CABEZAS .. RUT RETIRA: 18181010-6</t>
  </si>
  <si>
    <t>Yalith Rojas</t>
  </si>
  <si>
    <t>Colo colo 354, Farmacia SigFarma</t>
  </si>
  <si>
    <t>DOR55017905</t>
  </si>
  <si>
    <t>271400478</t>
  </si>
  <si>
    <t>NOMBRE RETIRA: GISELA VALDES . RUT RETIRA: 17988348-1</t>
  </si>
  <si>
    <t>Gisella Valdés</t>
  </si>
  <si>
    <t>Avenida libertad 282, Oficina 3</t>
  </si>
  <si>
    <t>DOR55017904</t>
  </si>
  <si>
    <t>271400468</t>
  </si>
  <si>
    <t>NOMBRE RETIRA: YERKO NUNEZ .. RUT RETIRA: 65235415-7</t>
  </si>
  <si>
    <t>Av. Lomas de la luz 1006, 4502</t>
  </si>
  <si>
    <t>DOR55017864</t>
  </si>
  <si>
    <t>271306547</t>
  </si>
  <si>
    <t>NOMBRE RETIRA: BASTIAN ANDRADE . RUT RETIRA: 18491682-7</t>
  </si>
  <si>
    <t>Luis Gabriel Romero Galvis</t>
  </si>
  <si>
    <t>Osorno, Santiago rosas 3000, Condominio San Mateo, Casa 41, Dentro del Condominio</t>
  </si>
  <si>
    <t>DOR55017906</t>
  </si>
  <si>
    <t>271400452</t>
  </si>
  <si>
    <t>NOMBRE RETIRA: KARIN PINO . RUT RETIRA: 20542437-7</t>
  </si>
  <si>
    <t>Karin Pino</t>
  </si>
  <si>
    <t>Calle Maipu Local Tostaduria Estero Verde 199 199 199 199 199 199, 199, 199</t>
  </si>
  <si>
    <t>DOR55017926</t>
  </si>
  <si>
    <t>271400151</t>
  </si>
  <si>
    <t>NOMBRE RETIRA: LUIS . . RUT RETIRA: 12345678-5</t>
  </si>
  <si>
    <t>Claudete De Sa Torres</t>
  </si>
  <si>
    <t>Calle Altos de Viña 295, Casa31</t>
  </si>
  <si>
    <t>DOR55017897</t>
  </si>
  <si>
    <t>271400514</t>
  </si>
  <si>
    <t>NOMBRE RETIRA: GINO STAY . RUT RETIRA: 12847476-5</t>
  </si>
  <si>
    <t>Gino Estay</t>
  </si>
  <si>
    <t>Av. Bernardo OHiggins 388 Placilla Oriente, Empresa DYC (solicitar ingreso a guardia)</t>
  </si>
  <si>
    <t>DOR55017875</t>
  </si>
  <si>
    <t>271284245</t>
  </si>
  <si>
    <t>NOMBRE RETIRA: JAVIWR ECHEVERIA . RUT RETIRA: 28564384-8</t>
  </si>
  <si>
    <t>Alejandra Zil</t>
  </si>
  <si>
    <t>Serena 77</t>
  </si>
  <si>
    <t>DOR55017867</t>
  </si>
  <si>
    <t>271284366</t>
  </si>
  <si>
    <t>NOMBRE RETIRA: PATRICOA CORTES .. RUT RETIRA: 12345678-5</t>
  </si>
  <si>
    <t>Patricia Cortes ortega</t>
  </si>
  <si>
    <t>Avenida pacifico 3100, 324</t>
  </si>
  <si>
    <t>DOR55017870</t>
  </si>
  <si>
    <t>271284318</t>
  </si>
  <si>
    <t>NOMBRE RETIRA: ELIANA BEKTRAN . RUT RETIRA: 12345678-5</t>
  </si>
  <si>
    <t>Volcan ollagüe 2655, Casa</t>
  </si>
  <si>
    <t>DOR55017871</t>
  </si>
  <si>
    <t>271284347</t>
  </si>
  <si>
    <t>NOMBRE RETIRA: PAMELA VALDES . RUT RETIRA: 11623122-0</t>
  </si>
  <si>
    <t>Pamela Valdes</t>
  </si>
  <si>
    <t>Hetnando de magallanes 1283 casa A, Casa A curauma</t>
  </si>
  <si>
    <t>DOR55017891</t>
  </si>
  <si>
    <t>271284085</t>
  </si>
  <si>
    <t>NOMBRE RETIRA: DIEGO FIGUEROA A RUT RETIRA: 20137133-3</t>
  </si>
  <si>
    <t>Katya Mejías</t>
  </si>
  <si>
    <t>Ramaditas 1420 B, Casa color damasco frente al jardín infantil</t>
  </si>
  <si>
    <t>DOR55017874</t>
  </si>
  <si>
    <t>271284279</t>
  </si>
  <si>
    <t>NOMBRE RETIRA: COM AMALFI . RUT RETIRA: 53309725-1</t>
  </si>
  <si>
    <t>2 sur 1285, 1313</t>
  </si>
  <si>
    <t>DOR55017873</t>
  </si>
  <si>
    <t>271284297</t>
  </si>
  <si>
    <t>NOMBRE RETIRA: VIRGINIA MONTENEGRO . RUT RETIRA: 20182879-1</t>
  </si>
  <si>
    <t>Virginia Montenegro</t>
  </si>
  <si>
    <t>Camino quilpue 947</t>
  </si>
  <si>
    <t>DOR55017885</t>
  </si>
  <si>
    <t>271284169</t>
  </si>
  <si>
    <t>NOMBRE RETIRA: CAROLINA CAMPOS R RUT RETIRA: 5828749-0</t>
  </si>
  <si>
    <t>DOR55017880</t>
  </si>
  <si>
    <t>271284230</t>
  </si>
  <si>
    <t>NOMBRE RETIRA: LORENQ AGUAYI . RUT RETIRA: 19414415-6</t>
  </si>
  <si>
    <t>Lorena Aguayo Valdés</t>
  </si>
  <si>
    <t>Los picunches 464, Villa magisterio</t>
  </si>
  <si>
    <t>DOR55017852</t>
  </si>
  <si>
    <t>271070671</t>
  </si>
  <si>
    <t>NOMBRE RETIRA: FRANCISCO TORO . RUT RETIRA: 14260470-1</t>
  </si>
  <si>
    <t>2026-05-27 21:16</t>
  </si>
  <si>
    <t>DOR55017861</t>
  </si>
  <si>
    <t>271136143</t>
  </si>
  <si>
    <t>NOMBRE RETIRA: CAROLIN RIVERO FJ GI RUT RETIRA: 9415392-1</t>
  </si>
  <si>
    <t>Caroline Rivero Acevedo</t>
  </si>
  <si>
    <t>Miraflores 794, Casa</t>
  </si>
  <si>
    <t>DOR55017859</t>
  </si>
  <si>
    <t>271136146</t>
  </si>
  <si>
    <t>NOMBRE RETIRA: TAMARA RONAS . RUT RETIRA: 20789080-4</t>
  </si>
  <si>
    <t>Támara Rojas Leiva</t>
  </si>
  <si>
    <t>Lomas del bosque #134, B1-201, Reñaca Alto., Departamento  b1, 201</t>
  </si>
  <si>
    <t>DOR55017855</t>
  </si>
  <si>
    <t>271070659</t>
  </si>
  <si>
    <t>NOMBRE RETIRA: MARCELA FUENZALIDA A RUT RETIRA: 17816659-K</t>
  </si>
  <si>
    <t>Km3,2 camino zapallar Ferreteria San Fernando , Curico</t>
  </si>
  <si>
    <t>DOR55017845</t>
  </si>
  <si>
    <t>270975619</t>
  </si>
  <si>
    <t>NOMBRE RETIRA: CADENIN VILLEGAS .. RUT RETIRA: 5562281-7</t>
  </si>
  <si>
    <t>Andrea belen Taucare orosco</t>
  </si>
  <si>
    <t>Genaro Gallo 2955, 1112519 Iquique, Tarapacá, Chile, 1704</t>
  </si>
  <si>
    <t>2026-05-26 20:35</t>
  </si>
  <si>
    <t>DOR55017854</t>
  </si>
  <si>
    <t>271070641</t>
  </si>
  <si>
    <t>NOMBRE RETIRA: IVAN GOMEZ . RUT RETIRA: 14281472-2</t>
  </si>
  <si>
    <t>Tania Valdés</t>
  </si>
  <si>
    <t>GarcÍa Reyes 212, 205</t>
  </si>
  <si>
    <t>DOR55017853</t>
  </si>
  <si>
    <t>271070680</t>
  </si>
  <si>
    <t>NOMBRE RETIRA: CATALIMA SALFATE SALFATE RUT RETIRA: 20661616-4</t>
  </si>
  <si>
    <t>Catalina Francisca Salfate Muñoz</t>
  </si>
  <si>
    <t>Tres Ríos 1567, Villa Galilea C</t>
  </si>
  <si>
    <t>DOR55017850</t>
  </si>
  <si>
    <t>270975605</t>
  </si>
  <si>
    <t>NOMBRE RETIRA: HUGO CASTRO . RUT RETIRA: 78402351-6</t>
  </si>
  <si>
    <t>Hugo Castro Tapia</t>
  </si>
  <si>
    <t>Tal Tal 198 Higueras, casa</t>
  </si>
  <si>
    <t>DOR55017849</t>
  </si>
  <si>
    <t>270975616</t>
  </si>
  <si>
    <t>NOMBRE RETIRA: MARIA VIEJO U RUT RETIRA: 12845220-6</t>
  </si>
  <si>
    <t>Maria Viejo</t>
  </si>
  <si>
    <t>R, Regalona 1555</t>
  </si>
  <si>
    <t>2026-05-26 20:36</t>
  </si>
  <si>
    <t>DOR55017843</t>
  </si>
  <si>
    <t>270907783</t>
  </si>
  <si>
    <t>NOMBRE RETIRA: RODRIGO OSORIOA . RUT RETIRA: 8727709-7</t>
  </si>
  <si>
    <t>JAVIERA RAMRIEZ</t>
  </si>
  <si>
    <t>AVENIDA CERRO PARANAL 271, EDIFICIO TOBAGO, DPTO. 125</t>
  </si>
  <si>
    <t>2026-05-25 21:10</t>
  </si>
  <si>
    <t>DOR55017776</t>
  </si>
  <si>
    <t>270411499</t>
  </si>
  <si>
    <t>NOMBRE RETIRA: MARGARITA YANYAN B RUT RETIRA: 15490668-1</t>
  </si>
  <si>
    <t>Fiorella Repetto Giavelli</t>
  </si>
  <si>
    <t>General Juan Salvo 0577</t>
  </si>
  <si>
    <t>DOR55017771</t>
  </si>
  <si>
    <t>270411569</t>
  </si>
  <si>
    <t>NOMBRE RETIRA: BORIS OPAZO . RUT RETIRA: 15304464-3</t>
  </si>
  <si>
    <t>Boris Opazo Flores</t>
  </si>
  <si>
    <t>Pasaje inter 2 #1189</t>
  </si>
  <si>
    <t>DOR55017844</t>
  </si>
  <si>
    <t>270907779</t>
  </si>
  <si>
    <t>NOMBRE RETIRA: ARTURO . . RUT RETIRA: 53310370-7</t>
  </si>
  <si>
    <t>Pablo Iturrieta</t>
  </si>
  <si>
    <t>Av los estudiantes 02320, Torre 2 depto 403</t>
  </si>
  <si>
    <t>DOR55017840</t>
  </si>
  <si>
    <t>2294426654</t>
  </si>
  <si>
    <t>Daniela Aranda Da Fonseca</t>
  </si>
  <si>
    <t>Avenida La Montaña Norte 3650, Casa 152b</t>
  </si>
  <si>
    <t>DOR55017830</t>
  </si>
  <si>
    <t>270811021</t>
  </si>
  <si>
    <t>NOMBRE RETIRA: EDUARD . . RUT RETIRA: 12345678-5</t>
  </si>
  <si>
    <t>Edward Gamboa</t>
  </si>
  <si>
    <t>Compania 2025, Población Torreblanca</t>
  </si>
  <si>
    <t>2026-05-23 11:49</t>
  </si>
  <si>
    <t>DOR55017834</t>
  </si>
  <si>
    <t>270810998</t>
  </si>
  <si>
    <t>NOMBRE RETIRA: LEONTINA ALVAREZ CORTEZ RUT RETIRA: 9420121-7</t>
  </si>
  <si>
    <t>Camila Palma Ojeda</t>
  </si>
  <si>
    <t>Pasaje los naranjos, 811</t>
  </si>
  <si>
    <t>2026-05-24 20:41</t>
  </si>
  <si>
    <t>DOR55017838</t>
  </si>
  <si>
    <t>270810980</t>
  </si>
  <si>
    <t>NOMBRE RETIRA: DIEGO ARIAS . RUT RETIRA: 20005786-4</t>
  </si>
  <si>
    <t>Diego Arias Cataldo</t>
  </si>
  <si>
    <t>Ohiggins, 13</t>
  </si>
  <si>
    <t>DOR55017757</t>
  </si>
  <si>
    <t>270306936</t>
  </si>
  <si>
    <t>NOMBRE RETIRA: JORGE PINO P RUT RETIRA: 56049520-K</t>
  </si>
  <si>
    <t>Boris Lopicich Catalan</t>
  </si>
  <si>
    <t>Borgoño 17720, 506</t>
  </si>
  <si>
    <t>2026-05-15 20:19</t>
  </si>
  <si>
    <t>DOR55017833</t>
  </si>
  <si>
    <t>270811004</t>
  </si>
  <si>
    <t>NOMBRE RETIRA: SANDRA MUNOZ . RUT RETIRA: 18510121-5</t>
  </si>
  <si>
    <t>Sandra Muñoz Ortiz</t>
  </si>
  <si>
    <t>Valdez 260 , Conjunto Habitacional San Isidro</t>
  </si>
  <si>
    <t>DOR55017831</t>
  </si>
  <si>
    <t>270811043</t>
  </si>
  <si>
    <t>NOMBRE RETIRA: GUSTAVO MARIN . RUT RETIRA: 6337336-2</t>
  </si>
  <si>
    <t>Loreto Marin Carcey</t>
  </si>
  <si>
    <t>José Francisco vergara 509</t>
  </si>
  <si>
    <t>DOR55017835</t>
  </si>
  <si>
    <t>270810985</t>
  </si>
  <si>
    <t>NOMBRE RETIRA: YOHANA FLORES V RUT RETIRA: 12009236-7</t>
  </si>
  <si>
    <t>Susan Ibacache</t>
  </si>
  <si>
    <t>Janequeo 564, Depto 1203</t>
  </si>
  <si>
    <t>DOR55017824</t>
  </si>
  <si>
    <t>270811073</t>
  </si>
  <si>
    <t>NOMBRE RETIRA: MIGURL QUISPER H RUT RETIRA: 17490704-8</t>
  </si>
  <si>
    <t>Mauricio Cisterna Concha</t>
  </si>
  <si>
    <t>Lientur 732, 507, edificio Novo urbano</t>
  </si>
  <si>
    <t>2026-05-22 20:27</t>
  </si>
  <si>
    <t>DOR55018230</t>
  </si>
  <si>
    <t>713097140486</t>
  </si>
  <si>
    <t>Nombre: Antonio carrasco - Rut: 177527408</t>
  </si>
  <si>
    <t>Antonio Carrasco Fierro</t>
  </si>
  <si>
    <t>Villa Unión, El Porvenir, Casa 22, casa 22</t>
  </si>
  <si>
    <t>2026-06-25 20:24</t>
  </si>
  <si>
    <t>DOR55018098</t>
  </si>
  <si>
    <t>713089439764</t>
  </si>
  <si>
    <t>Nombre: Rodrigo silva - Rut: 16576952</t>
  </si>
  <si>
    <t>Karinne Schramm</t>
  </si>
  <si>
    <t>Camino el oliveto 3136, Parcela f5</t>
  </si>
  <si>
    <t>DOR55018064</t>
  </si>
  <si>
    <t>713086740962</t>
  </si>
  <si>
    <t>Nombre: wladimiro burgos - Rut: 117031551</t>
  </si>
  <si>
    <t>Manuela Navarro</t>
  </si>
  <si>
    <t>Río Barcelo, 00</t>
  </si>
  <si>
    <t>DOR55017996</t>
  </si>
  <si>
    <t>713083673013</t>
  </si>
  <si>
    <t>Nombre: Repartidor Lorenzo - Rut: 210168648</t>
  </si>
  <si>
    <t>Pascual Jarpa</t>
  </si>
  <si>
    <t>5 Norte 3495, Torre 5 dpto 201</t>
  </si>
  <si>
    <t>DOR55017866</t>
  </si>
  <si>
    <t>713080436596</t>
  </si>
  <si>
    <t>Nombre: Katherine jofre - Rut: 184021544</t>
  </si>
  <si>
    <t>Katherinne Jofre peña</t>
  </si>
  <si>
    <t>Villa cataros de agua Pasaje uno casa 3289, Casa 3289</t>
  </si>
  <si>
    <t>DOR55017910</t>
  </si>
  <si>
    <t>713081973026</t>
  </si>
  <si>
    <t>Nombre: isidora cuevas - Rut: 214561816</t>
  </si>
  <si>
    <t>Edgardo Herrera</t>
  </si>
  <si>
    <t>Cerro toro villa las lomas, 2469</t>
  </si>
  <si>
    <t>DOR55018178</t>
  </si>
  <si>
    <t>2324514150</t>
  </si>
  <si>
    <t>Antonieta Sáez</t>
  </si>
  <si>
    <t>villa san andrés 3, calle las violetas., casa 12</t>
  </si>
  <si>
    <t>DOR55018170</t>
  </si>
  <si>
    <t>2321668510</t>
  </si>
  <si>
    <t>Andrea Eugenia Ramirez</t>
  </si>
  <si>
    <t>Carlos Vasallo #0638, Villa el molino. Maipo, Casa</t>
  </si>
  <si>
    <t>DOR55018140</t>
  </si>
  <si>
    <t>2318526394</t>
  </si>
  <si>
    <t>Karla Vera Osorio</t>
  </si>
  <si>
    <t>Casablanca V RegiÓn, Pedro Mayorga 346</t>
  </si>
  <si>
    <t>DOR55018148</t>
  </si>
  <si>
    <t>2318526195</t>
  </si>
  <si>
    <t>Siad Taleb castro</t>
  </si>
  <si>
    <t>Los kiwis 39, Parque residencial las araucarias</t>
  </si>
  <si>
    <t>DOR55018120</t>
  </si>
  <si>
    <t>2316382353</t>
  </si>
  <si>
    <t>Avda el parque 1641, Casa 69</t>
  </si>
  <si>
    <t>DOR55018122</t>
  </si>
  <si>
    <t>2316382235</t>
  </si>
  <si>
    <t>Cruce la loma camino constitucion km1 ruta L30M, Al lado del restaurant toro macho</t>
  </si>
  <si>
    <t>DOR55018107</t>
  </si>
  <si>
    <t>2314375512</t>
  </si>
  <si>
    <t>Jesus Jara</t>
  </si>
  <si>
    <t>Avenida El Parque 1363</t>
  </si>
  <si>
    <t>DOR55018097</t>
  </si>
  <si>
    <t>2313279043</t>
  </si>
  <si>
    <t>Felipe Tucca</t>
  </si>
  <si>
    <t>Los Arrayanes 94, Portal de molino viejo</t>
  </si>
  <si>
    <t>DOR55018054</t>
  </si>
  <si>
    <t>2309336890</t>
  </si>
  <si>
    <t>Marco Sepulveda</t>
  </si>
  <si>
    <t>Rio quepe 535, Negocio la familia</t>
  </si>
  <si>
    <t>DOR55018004</t>
  </si>
  <si>
    <t>2308008312</t>
  </si>
  <si>
    <t>Arturo Ramirez</t>
  </si>
  <si>
    <t>Calle larga 2094</t>
  </si>
  <si>
    <t>DOR55018008</t>
  </si>
  <si>
    <t>2308008146</t>
  </si>
  <si>
    <t>Paulina Cortes Perez</t>
  </si>
  <si>
    <t>Chapito 50, Casa 50</t>
  </si>
  <si>
    <t>DOR55018012</t>
  </si>
  <si>
    <t>2308007844</t>
  </si>
  <si>
    <t>Maria paz Canales sanhueza</t>
  </si>
  <si>
    <t>Queri 1539</t>
  </si>
  <si>
    <t>DOR55017961</t>
  </si>
  <si>
    <t>2305454255</t>
  </si>
  <si>
    <t>Isabella Klapperova</t>
  </si>
  <si>
    <t>Camino a reigolil km 9.2</t>
  </si>
  <si>
    <t>DOR55017994</t>
  </si>
  <si>
    <t>2305450000</t>
  </si>
  <si>
    <t>Avenida viento puelche 673, villa bosque mar, casa</t>
  </si>
  <si>
    <t>DOR55017948</t>
  </si>
  <si>
    <t>2303200966</t>
  </si>
  <si>
    <t>DOR55017872</t>
  </si>
  <si>
    <t>2301025904</t>
  </si>
  <si>
    <t>Wilson Carcamo</t>
  </si>
  <si>
    <t>Pablo luer 557, Casa</t>
  </si>
  <si>
    <t>DOR55017887</t>
  </si>
  <si>
    <t>2301024950</t>
  </si>
  <si>
    <t>Calle Independencia 667</t>
  </si>
  <si>
    <t>DOR55017892</t>
  </si>
  <si>
    <t>2301024445</t>
  </si>
  <si>
    <t>Alejandra Barrientos</t>
  </si>
  <si>
    <t>Condominio Parque Colonial 8, Parcela</t>
  </si>
  <si>
    <t>DOR55017842</t>
  </si>
  <si>
    <t>2295482140</t>
  </si>
  <si>
    <t>Camilo Henríquez 59, Casa</t>
  </si>
  <si>
    <t>FLA-6234</t>
  </si>
  <si>
    <t>270816257</t>
  </si>
  <si>
    <t>FLORACTIVE</t>
  </si>
  <si>
    <t>NOMBRE RETIRA: PATRICIA ESTEFANIA . RUT RETIRA: 21436520-0</t>
  </si>
  <si>
    <t>Pricila Estefanía Azocar Sepulveda pricilazoc</t>
  </si>
  <si>
    <t>Juan Parra Guzman Casa 332</t>
  </si>
  <si>
    <t>2026-05-15 11:55</t>
  </si>
  <si>
    <t>HIT1010</t>
  </si>
  <si>
    <t>272400186</t>
  </si>
  <si>
    <t>HIT GAMING</t>
  </si>
  <si>
    <t>NOMBRE RETIRA: MOIRA BARRIENTOS B RUT RETIRA: 19642101-7</t>
  </si>
  <si>
    <t>Bastian Azocar</t>
  </si>
  <si>
    <t>Baquedano 370</t>
  </si>
  <si>
    <t>2026-06-15 21:34</t>
  </si>
  <si>
    <t>GLS27503</t>
  </si>
  <si>
    <t>272875318</t>
  </si>
  <si>
    <t>JOYAS GLOSS</t>
  </si>
  <si>
    <t>NOMBRE RETIRA: ANA GOMEZ GOMEZ RUT RETIRA: 7904522-5</t>
  </si>
  <si>
    <t>Matias Caroca</t>
  </si>
  <si>
    <t>Pasaje Dublín 01556, Casa</t>
  </si>
  <si>
    <t>GLS27501</t>
  </si>
  <si>
    <t>272816678</t>
  </si>
  <si>
    <t>NOMBRE RETIRA: CAMILA DIAZ . RUT RETIRA: 10925110-0</t>
  </si>
  <si>
    <t>Camila Diaz Carvajal</t>
  </si>
  <si>
    <t>Volcán michimavida 301, Condominio palermo</t>
  </si>
  <si>
    <t>2026-06-23 08:51</t>
  </si>
  <si>
    <t>GLS27492</t>
  </si>
  <si>
    <t>272261056</t>
  </si>
  <si>
    <t>NOMBRE RETIRA: JOSE TAPIA Z RUT RETIRA: 19354374-K</t>
  </si>
  <si>
    <t>Calle dos 125</t>
  </si>
  <si>
    <t>2026-06-13 00:59</t>
  </si>
  <si>
    <t>GLS27481</t>
  </si>
  <si>
    <t>272006208</t>
  </si>
  <si>
    <t>NOMBRE RETIRA: MANUEL VALLEJOS . RUT RETIRA: 18465797-K</t>
  </si>
  <si>
    <t>Gladys abarca gonzalez 936 - Buin, Casa</t>
  </si>
  <si>
    <t>2026-06-08 12:48</t>
  </si>
  <si>
    <t>GLS27480</t>
  </si>
  <si>
    <t>271833783</t>
  </si>
  <si>
    <t>NOMBRE RETIRA: JORGE OSORIO X RUT RETIRA: 11576676-7</t>
  </si>
  <si>
    <t>rodrigo Lizana Beltran</t>
  </si>
  <si>
    <t>Condell 183, cañete</t>
  </si>
  <si>
    <t>2026-06-07 00:13</t>
  </si>
  <si>
    <t>GLS27484</t>
  </si>
  <si>
    <t>272006202</t>
  </si>
  <si>
    <t>NOMBRE RETIRA: JORGE BRUGOS . RUT RETIRA: 56041900-7</t>
  </si>
  <si>
    <t>Nevenka Yankovic</t>
  </si>
  <si>
    <t>Calle del Agua 1155, Depto 1601</t>
  </si>
  <si>
    <t>GLS27476</t>
  </si>
  <si>
    <t>271694801</t>
  </si>
  <si>
    <t>NOMBRE RETIRA: CARMEN ALBARRAN . RUT RETIRA: 65095111-5</t>
  </si>
  <si>
    <t>Calle Costa Montemar 50, Depto. 703, Edificio Miramar</t>
  </si>
  <si>
    <t>GLS27463</t>
  </si>
  <si>
    <t>271297236</t>
  </si>
  <si>
    <t>NOMBRE RETIRA: LORNA MUNOX . RUT RETIRA: 9369217-9</t>
  </si>
  <si>
    <t>Carolina Barría Muñoz</t>
  </si>
  <si>
    <t>Baguales 467, coyhaique</t>
  </si>
  <si>
    <t>GLS27479</t>
  </si>
  <si>
    <t>271777887</t>
  </si>
  <si>
    <t>NOMBRE RETIRA: PATRICIO ARIAA . RUT RETIRA: 10707828-2</t>
  </si>
  <si>
    <t>Ex ruta 5 sur 480</t>
  </si>
  <si>
    <t>2026-06-05 18:00</t>
  </si>
  <si>
    <t>GLS27473</t>
  </si>
  <si>
    <t>271545913</t>
  </si>
  <si>
    <t>NOMBRE RETIRA: GUILAUME SERANDOU U RUT RETIRA: 22958136-8</t>
  </si>
  <si>
    <t>Guillaume Serandour</t>
  </si>
  <si>
    <t>General Lagos, 2086, Campus Miraflores, Edif. 400</t>
  </si>
  <si>
    <t>GLS27471</t>
  </si>
  <si>
    <t>271523518</t>
  </si>
  <si>
    <t>NOMBRE RETIRA: JAKELIN GALARCE . . RUT RETIRA: 10789662-7</t>
  </si>
  <si>
    <t>Antonio Galarce</t>
  </si>
  <si>
    <t>Puertesito 21, Paradero 10 21 21 21, 21, 21</t>
  </si>
  <si>
    <t>GLS27466</t>
  </si>
  <si>
    <t>271403283</t>
  </si>
  <si>
    <t>NOMBRE RETIRA: LUIS LOPEZ . RUT RETIRA: 53333664-7</t>
  </si>
  <si>
    <t>Martin Rozas</t>
  </si>
  <si>
    <t>Avenida Las Lomas 476, Casa 10</t>
  </si>
  <si>
    <t>OPARD1712</t>
  </si>
  <si>
    <t>272821593</t>
  </si>
  <si>
    <t>KOS</t>
  </si>
  <si>
    <t>NOMBRE RETIRA: XIMENA ROMERO .. RUT RETIRA: 17547071-9</t>
  </si>
  <si>
    <t>Navarra 30, Silos de Torobayo</t>
  </si>
  <si>
    <t>OPARD1629</t>
  </si>
  <si>
    <t>270656164</t>
  </si>
  <si>
    <t>NOMBRE RETIRA: JOSEFINA MARTINEZ . RUT RETIRA: 20000504-K</t>
  </si>
  <si>
    <t>Josefina Martinez Gamé</t>
  </si>
  <si>
    <t>Av montemar 433, Departamento 1309</t>
  </si>
  <si>
    <t>2026-05-22 11:45</t>
  </si>
  <si>
    <t>#5138</t>
  </si>
  <si>
    <t>48074502</t>
  </si>
  <si>
    <t>LA MANTA CHILENA</t>
  </si>
  <si>
    <t>PENDIENTE ENTREGA - Cambio de ot 267537740 por ot 48074502</t>
  </si>
  <si>
    <t>Odette Marin</t>
  </si>
  <si>
    <t>6 norte 434</t>
  </si>
  <si>
    <t>2026-04-02 12:03</t>
  </si>
  <si>
    <t>#5277</t>
  </si>
  <si>
    <t>272712800</t>
  </si>
  <si>
    <t>NOMBRE RETIRA: PASCUAL OLIVAREZ CONSERJE RUT RETIRA: 17625970-1</t>
  </si>
  <si>
    <t>Yamal Slame</t>
  </si>
  <si>
    <t>Consuelo aguirre 1515</t>
  </si>
  <si>
    <t>2026-06-21 15:00</t>
  </si>
  <si>
    <t>#5275</t>
  </si>
  <si>
    <t>272608884</t>
  </si>
  <si>
    <t>NOMBRE RETIRA: MARIO TORREALBA . RUT RETIRA: 53310370-7</t>
  </si>
  <si>
    <t>MARIO TORREALBA</t>
  </si>
  <si>
    <t>Camino a botrolhue 1221</t>
  </si>
  <si>
    <t>2026-06-18 19:45</t>
  </si>
  <si>
    <t>#5272</t>
  </si>
  <si>
    <t>272529634</t>
  </si>
  <si>
    <t>NOMBRE RETIRA: JAIME ARIAS S RUT RETIRA: 13204841-K</t>
  </si>
  <si>
    <t>Flores Millán 1571</t>
  </si>
  <si>
    <t>#5269</t>
  </si>
  <si>
    <t>272452583</t>
  </si>
  <si>
    <t>NOMBRE RETIRA: CRISTIAN RIQUELME . RUT RETIRA: 14219962-9</t>
  </si>
  <si>
    <t>VIlbett Briones</t>
  </si>
  <si>
    <t>Avenida del Atardecer 4561, casa 68</t>
  </si>
  <si>
    <t>#5271</t>
  </si>
  <si>
    <t>272473666</t>
  </si>
  <si>
    <t>NOMBRE RETIRA: PILAR MENESES TORO RUT RETIRA: 8900857-3</t>
  </si>
  <si>
    <t>PILAR MENESES</t>
  </si>
  <si>
    <t>PARCELA 159 EL TAMBO</t>
  </si>
  <si>
    <t>#5264</t>
  </si>
  <si>
    <t>272381507</t>
  </si>
  <si>
    <t>NOMBRE RETIRA: VLADIMIR NUNEZ . RUT RETIRA: 9593959-7</t>
  </si>
  <si>
    <t>Las higueras 326</t>
  </si>
  <si>
    <t>#5260</t>
  </si>
  <si>
    <t>272352110</t>
  </si>
  <si>
    <t>NOMBRE RETIRA: PAULINA VAZQUES . RUT RETIRA: 12733254-1</t>
  </si>
  <si>
    <t>Club de Golf 7 Rios. Rucue 26. Los Angeles</t>
  </si>
  <si>
    <t>#5252</t>
  </si>
  <si>
    <t>272173812</t>
  </si>
  <si>
    <t>NOMBRE RETIRA: LAURA GONZALEZ N J RUT RETIRA: 14053616-4</t>
  </si>
  <si>
    <t>Villa don Sebastián pje 3 2466 lontue</t>
  </si>
  <si>
    <t>#5251</t>
  </si>
  <si>
    <t>272168998</t>
  </si>
  <si>
    <t>NOMBRE RETIRA: MARIA FLORES PORTERA RUT RETIRA: 15994024-1</t>
  </si>
  <si>
    <t>María Teresa Flores Zuloaga</t>
  </si>
  <si>
    <t>Avenida Kennedy 1325, depto 507 E</t>
  </si>
  <si>
    <t>#5247</t>
  </si>
  <si>
    <t>272144841</t>
  </si>
  <si>
    <t>NOMBRE RETIRA: ALFRED BONVALLER .. RUT RETIRA: 17547071-9</t>
  </si>
  <si>
    <t>Alfred Bonvallet Rivera</t>
  </si>
  <si>
    <t>Carlos Anwandter 330 Depto 103 Valdivia</t>
  </si>
  <si>
    <t>2026-06-11 10:50</t>
  </si>
  <si>
    <t>LMC#T0034</t>
  </si>
  <si>
    <t>271993802</t>
  </si>
  <si>
    <t>NOMBRE RETIRA: JUAN ZULLVAN MM RUT RETIRA: 9285235-0</t>
  </si>
  <si>
    <t>ZOKO- LA MANTA CHILENA</t>
  </si>
  <si>
    <t>La medialuna 222</t>
  </si>
  <si>
    <t>#5242</t>
  </si>
  <si>
    <t>271886247</t>
  </si>
  <si>
    <t>NOMBRE RETIRA: FELIPE PIZARRO . RUT RETIRA: 17597377-K</t>
  </si>
  <si>
    <t>Francisca Riveros Ramirez</t>
  </si>
  <si>
    <t>manuel rodriguez 620</t>
  </si>
  <si>
    <t>2026-06-08 10:17</t>
  </si>
  <si>
    <t>#5228</t>
  </si>
  <si>
    <t>270986477</t>
  </si>
  <si>
    <t>NOMBRE RETIRA: CARMEN ARAYA . RUT RETIRA: 15132534-3</t>
  </si>
  <si>
    <t>Avenida Errázuriz 145, ENTREGAR EN MUSEO</t>
  </si>
  <si>
    <t>2026-05-27 14:11</t>
  </si>
  <si>
    <t>#5220</t>
  </si>
  <si>
    <t>270661572</t>
  </si>
  <si>
    <t>NOMBRE RETIRA: JULIO ARAVENA ALISTE RUT RETIRA: 15113486-6</t>
  </si>
  <si>
    <t>Villa primavera tercera etapa pasaje Manuel poblete Quintanilla 1080</t>
  </si>
  <si>
    <t>#5223</t>
  </si>
  <si>
    <t>270697214</t>
  </si>
  <si>
    <t>NOMBRE RETIRA: LAURA CARO C RUT RETIRA: 9689161-K</t>
  </si>
  <si>
    <t>Laura Caro</t>
  </si>
  <si>
    <t>La Cascada 299</t>
  </si>
  <si>
    <t>#5226</t>
  </si>
  <si>
    <t>270864511</t>
  </si>
  <si>
    <t>NOMBRE RETIRA: JUAN SAEZ B RUT RETIRA: 6107381-7</t>
  </si>
  <si>
    <t>Gavin de la Rey</t>
  </si>
  <si>
    <t>Avda O'Higgins 1564</t>
  </si>
  <si>
    <t>2026-05-25 20:17</t>
  </si>
  <si>
    <t>LMCTAWAREFUFUGIO</t>
  </si>
  <si>
    <t>2319631160</t>
  </si>
  <si>
    <t>Carola Werchez</t>
  </si>
  <si>
    <t>Lago Rupanco 1331</t>
  </si>
  <si>
    <t>MAGMM875</t>
  </si>
  <si>
    <t>272026417</t>
  </si>
  <si>
    <t>NOMBRE RETIRA: JORGE URIBE B RUT RETIRA: 53324481-5</t>
  </si>
  <si>
    <t>DOMINGA ANTONIA MOEBIS ISAACSON</t>
  </si>
  <si>
    <t>AV. LIBERTADOR BERNARDO OHIGGINS 1142 DEPTO 908</t>
  </si>
  <si>
    <t>329</t>
  </si>
  <si>
    <t>271808869</t>
  </si>
  <si>
    <t>NOMBRE RETIRA: OMAR FERRWIRA . RUT RETIRA: 56041900-7</t>
  </si>
  <si>
    <t>Angelina Lippi</t>
  </si>
  <si>
    <t>Amunategui , 2500. Piso: Canelo 61</t>
  </si>
  <si>
    <t>2026-06-06 11:18</t>
  </si>
  <si>
    <t>328</t>
  </si>
  <si>
    <t>271942503</t>
  </si>
  <si>
    <t>NOMBRE RETIRA: ALEJANDRA JOFRE . RUT RETIRA: 18805117-0</t>
  </si>
  <si>
    <t>Alejandra Jofre</t>
  </si>
  <si>
    <t>Napoles 13131</t>
  </si>
  <si>
    <t>2026-06-08 17:21</t>
  </si>
  <si>
    <t>317</t>
  </si>
  <si>
    <t>271557972</t>
  </si>
  <si>
    <t>NOMBRE RETIRA: ALFREDO CABRERA . RUT RETIRA: 22666848-9</t>
  </si>
  <si>
    <t>Chépica #254 , 245</t>
  </si>
  <si>
    <t>318</t>
  </si>
  <si>
    <t>271562797</t>
  </si>
  <si>
    <t>NOMBRE RETIRA: WILDON PINO PINO RUT RETIRA: 9406363-9</t>
  </si>
  <si>
    <t>María Varas</t>
  </si>
  <si>
    <t>Avda Eusebio Lillo , 1574. Piso: Casa 13, Condominio los Parrones</t>
  </si>
  <si>
    <t>313</t>
  </si>
  <si>
    <t>271435245</t>
  </si>
  <si>
    <t>Yéssica Oyarzo Baldovino</t>
  </si>
  <si>
    <t>Pasaje Central 1121 Población Juan Costa, 1121</t>
  </si>
  <si>
    <t>314</t>
  </si>
  <si>
    <t>271460475</t>
  </si>
  <si>
    <t>NOMBRE RETIRA: NATALI OYARZUN . RUT RETIRA: 17994428-6</t>
  </si>
  <si>
    <t>Romina Oyarzún Olivares</t>
  </si>
  <si>
    <t>Padre René Pienovi , 45</t>
  </si>
  <si>
    <t>316</t>
  </si>
  <si>
    <t>271520524</t>
  </si>
  <si>
    <t>NOMBRE RETIRA: CNAUDIA FIGLIA CJ RUT RETIRA: 28542993-5</t>
  </si>
  <si>
    <t>Andrea Herrera Silva</t>
  </si>
  <si>
    <t>Aníbal Pinto , 2284. Piso: 307c</t>
  </si>
  <si>
    <t>312</t>
  </si>
  <si>
    <t>271439925</t>
  </si>
  <si>
    <t>NOMBRE RETIRA: ALEJANFRA JOFRE . RUT RETIRA: 18805117-0</t>
  </si>
  <si>
    <t>307</t>
  </si>
  <si>
    <t>271259251</t>
  </si>
  <si>
    <t>NOMBRE RETIRA: LUIS MAURICIO MAURICIO RUT RETIRA: 15731269-3</t>
  </si>
  <si>
    <t>Karen antonia Lagos Núñez</t>
  </si>
  <si>
    <t>Wichita 531 Villa Torino , 531. Piso: Casa</t>
  </si>
  <si>
    <t>302</t>
  </si>
  <si>
    <t>271028598</t>
  </si>
  <si>
    <t>NOMBRE RETIRA: ALEJANDRA COFRE . RUT RETIRA: 18805117-0</t>
  </si>
  <si>
    <t>Napoles , 131</t>
  </si>
  <si>
    <t>2026-05-27 23:29</t>
  </si>
  <si>
    <t>297</t>
  </si>
  <si>
    <t>270754337</t>
  </si>
  <si>
    <t>NOMBRE RETIRA: KELLY HURREA H RUT RETIRA: 27358890-6</t>
  </si>
  <si>
    <t>Jengfang.yap@gmail.com Jeng fang Yap</t>
  </si>
  <si>
    <t>Jose miguel carrera , 1821. Piso: 301</t>
  </si>
  <si>
    <t>2026-05-24 08:57</t>
  </si>
  <si>
    <t>303</t>
  </si>
  <si>
    <t>713079298982</t>
  </si>
  <si>
    <t>Nombre: Giovani zuniga - Rut: 115325507</t>
  </si>
  <si>
    <t>Ana Maria Campos García</t>
  </si>
  <si>
    <t>Colón 8956, 8956. Piso: Colegio Sagrados Corazones</t>
  </si>
  <si>
    <t>311</t>
  </si>
  <si>
    <t>2303834735</t>
  </si>
  <si>
    <t>Emili Rios</t>
  </si>
  <si>
    <t>Calle san luis s/n -camino lonquen sur paradero 21, frente al taller mecánico 1</t>
  </si>
  <si>
    <t>309</t>
  </si>
  <si>
    <t>2301325600</t>
  </si>
  <si>
    <t>Victoria Loyola Mena</t>
  </si>
  <si>
    <t>Victor Troncoso Muñoz 215 casa 43, 215. Piso: 43</t>
  </si>
  <si>
    <t>MVI-2849R3</t>
  </si>
  <si>
    <t>272648163</t>
  </si>
  <si>
    <t>MARINA VITAL</t>
  </si>
  <si>
    <t>NOMBRE RETIRA: ANA VERA J RUT RETIRA: 21185890-7</t>
  </si>
  <si>
    <t>Fabiana Vera vera</t>
  </si>
  <si>
    <t>Avenida central 132, VILLA LO CHACON</t>
  </si>
  <si>
    <t>MVI-2878</t>
  </si>
  <si>
    <t>272755593</t>
  </si>
  <si>
    <t>enrique potter</t>
  </si>
  <si>
    <t>Holandesa 0980 depto 302, depto 302</t>
  </si>
  <si>
    <t>2026-06-22 12:00</t>
  </si>
  <si>
    <t>MVI-2872</t>
  </si>
  <si>
    <t>272425301</t>
  </si>
  <si>
    <t>NOMBRE RETIRA: CLARA CHEUQUE . RUT RETIRA: 15230188-K</t>
  </si>
  <si>
    <t>General Aldunate 0505, A los pies del cerro Ñielol</t>
  </si>
  <si>
    <t>MVI-2848</t>
  </si>
  <si>
    <t>271268377</t>
  </si>
  <si>
    <t>NOMBRE RETIRA: FRANCO ALMONACID . RUT RETIRA: 19676395-3</t>
  </si>
  <si>
    <t>Las violetas 171, Coyhaique, Casino Inacap</t>
  </si>
  <si>
    <t>MVI-2853</t>
  </si>
  <si>
    <t>271355370</t>
  </si>
  <si>
    <t>NOMBRE RETIRA: CWCILIE GAREWUD . RUT RETIRA: 18805117-0</t>
  </si>
  <si>
    <t>Los Cristales 319 Villa Tres Vientos casa</t>
  </si>
  <si>
    <t>MVI-2847</t>
  </si>
  <si>
    <t>271268345</t>
  </si>
  <si>
    <t>NOMBRE RETIRA: ANIBAL ALARCON H RUT RETIRA: 16895503-0</t>
  </si>
  <si>
    <t>Johans Matus Acuña</t>
  </si>
  <si>
    <t>Condominio Newenkelen, Calle 4, Casa 14</t>
  </si>
  <si>
    <t>MVI-2841</t>
  </si>
  <si>
    <t>271063725</t>
  </si>
  <si>
    <t>Gabriela Baeza Monroy</t>
  </si>
  <si>
    <t>Paseo Los Maitenes #547 ⁠#547, Casa 68</t>
  </si>
  <si>
    <t>2026-05-28 11:19</t>
  </si>
  <si>
    <t>MVI-2833</t>
  </si>
  <si>
    <t>270724164</t>
  </si>
  <si>
    <t>NOMBRE RETIRA: WILLIAMS ROBLE . RUT RETIRA: 65042276-7</t>
  </si>
  <si>
    <t>Constanza Sáez Quiroga</t>
  </si>
  <si>
    <t>Prolongación 5 Oriente 0277, Departamento 1701</t>
  </si>
  <si>
    <t>2026-05-23 13:15</t>
  </si>
  <si>
    <t>MVI-2834</t>
  </si>
  <si>
    <t>270812340</t>
  </si>
  <si>
    <t>NOMBRE RETIRA: ROXANA VENEGAS VENEGAS RUT RETIRA: 11845978-4</t>
  </si>
  <si>
    <t>Roxana Beatriz Venegas  Venegas</t>
  </si>
  <si>
    <t>Calle Pimpinela 115, Los Portones de Machali</t>
  </si>
  <si>
    <t>2026-05-25 11:58</t>
  </si>
  <si>
    <t>MVI-2832</t>
  </si>
  <si>
    <t>270724169</t>
  </si>
  <si>
    <t>NOMBRE RETIRA: MARIA SILVIA . RUT RETIRA: 6155789-K</t>
  </si>
  <si>
    <t>Maria Silvia Henriquez Arias</t>
  </si>
  <si>
    <t>Calle Las Azaleas 1405 Vil Alborada, Casa</t>
  </si>
  <si>
    <t>2026-05-22 12:18</t>
  </si>
  <si>
    <t>MVI-2849r</t>
  </si>
  <si>
    <t>713091366013</t>
  </si>
  <si>
    <t>Nombre: pedro - Rut: 274137606</t>
  </si>
  <si>
    <t>ANIBAL PINTO - 156 -</t>
  </si>
  <si>
    <t>2026-06-12 13:19</t>
  </si>
  <si>
    <t>MVI-2849</t>
  </si>
  <si>
    <t>713080297613</t>
  </si>
  <si>
    <t>Nombre: Fernanda castro - Rut: 260215426</t>
  </si>
  <si>
    <t>Avenida los libertadores 298, Botilleria El Beto 12 a 18 hrs</t>
  </si>
  <si>
    <t>MVI-2871</t>
  </si>
  <si>
    <t>2318400781</t>
  </si>
  <si>
    <t>BRENDA VILLANUEVA</t>
  </si>
  <si>
    <t>teniente merino 340, Apt. 13</t>
  </si>
  <si>
    <t>MVI-2838</t>
  </si>
  <si>
    <t>2296336490</t>
  </si>
  <si>
    <t>Evelyn Bastias Maldonado</t>
  </si>
  <si>
    <t>Ruta N-31 km 40.5, Sector pichinal</t>
  </si>
  <si>
    <t>2026-05-27 12:11</t>
  </si>
  <si>
    <t>13560</t>
  </si>
  <si>
    <t>2291380501</t>
  </si>
  <si>
    <t>RCT CHILE</t>
  </si>
  <si>
    <t>Constanza Leiva Rivera</t>
  </si>
  <si>
    <t>Pedro Vega Gutierrez 940</t>
  </si>
  <si>
    <t>2026-05-19 23:39</t>
  </si>
  <si>
    <t>13571</t>
  </si>
  <si>
    <t>2293347070</t>
  </si>
  <si>
    <t>Camilo Pérez</t>
  </si>
  <si>
    <t>Parque nacional huerquehue 1114</t>
  </si>
  <si>
    <t>13570</t>
  </si>
  <si>
    <t>2293347125</t>
  </si>
  <si>
    <t>Franco Zuñiga Lizama</t>
  </si>
  <si>
    <t>Panamericana sur 1784</t>
  </si>
  <si>
    <t>2026-05-22 18:27</t>
  </si>
  <si>
    <t>13568</t>
  </si>
  <si>
    <t>2293347140</t>
  </si>
  <si>
    <t>Suecia 733 esquina manuel Jesús reviera</t>
  </si>
  <si>
    <t>13566</t>
  </si>
  <si>
    <t>2293347173</t>
  </si>
  <si>
    <t>Las Palmeras 45</t>
  </si>
  <si>
    <t>2026-05-21 15:35</t>
  </si>
  <si>
    <t>13565</t>
  </si>
  <si>
    <t>2293347206</t>
  </si>
  <si>
    <t>Liliana Flores Castro</t>
  </si>
  <si>
    <t>Avenida 18 De Octubre 901</t>
  </si>
  <si>
    <t>2026-05-21 12:08</t>
  </si>
  <si>
    <t>13563</t>
  </si>
  <si>
    <t>2293347232</t>
  </si>
  <si>
    <t>Camino a san antonio 0440 linares</t>
  </si>
  <si>
    <t>2026-05-20 17:24</t>
  </si>
  <si>
    <t>13562</t>
  </si>
  <si>
    <t>2293347265</t>
  </si>
  <si>
    <t>Maria Fernanda Henriquez Segovia</t>
  </si>
  <si>
    <t>Ohhigins 1764</t>
  </si>
  <si>
    <t>2026-05-20 14:31</t>
  </si>
  <si>
    <t>13844</t>
  </si>
  <si>
    <t>2324718513</t>
  </si>
  <si>
    <t>Patricio Ojeda Ortega</t>
  </si>
  <si>
    <t>Avenida Mar, 5720, departamento 77</t>
  </si>
  <si>
    <t>13845</t>
  </si>
  <si>
    <t>2324718476</t>
  </si>
  <si>
    <t>La Fisca km 3.5 ruta v-85 camino a Calbuco parcela 31</t>
  </si>
  <si>
    <t>2026-06-19 23:18</t>
  </si>
  <si>
    <t>13846</t>
  </si>
  <si>
    <t>2324718410</t>
  </si>
  <si>
    <t>Gabriela Morales hormazabal</t>
  </si>
  <si>
    <t>Avenida estacion 756</t>
  </si>
  <si>
    <t>2026-06-20 09:55</t>
  </si>
  <si>
    <t>13848</t>
  </si>
  <si>
    <t>2324718336</t>
  </si>
  <si>
    <t>JULIO CONCHA</t>
  </si>
  <si>
    <t>PINARES 377</t>
  </si>
  <si>
    <t>2026-06-20 17:15</t>
  </si>
  <si>
    <t>13677-2</t>
  </si>
  <si>
    <t>2324590494</t>
  </si>
  <si>
    <t>Los Migueles 228. Rengo</t>
  </si>
  <si>
    <t>2026-06-22 13:04</t>
  </si>
  <si>
    <t>13836</t>
  </si>
  <si>
    <t>2322727691</t>
  </si>
  <si>
    <t>Sergio López verdugo</t>
  </si>
  <si>
    <t>Frankfurt 1134 , departamento 1603</t>
  </si>
  <si>
    <t>13837</t>
  </si>
  <si>
    <t>2322727676</t>
  </si>
  <si>
    <t>jorge rojo</t>
  </si>
  <si>
    <t>javiera carrera 960 casa 1 cerro placeres</t>
  </si>
  <si>
    <t>2026-06-18 19:36</t>
  </si>
  <si>
    <t>13840</t>
  </si>
  <si>
    <t>2322727643</t>
  </si>
  <si>
    <t>Karla Morales astudillo</t>
  </si>
  <si>
    <t>San Juan 499</t>
  </si>
  <si>
    <t>13841</t>
  </si>
  <si>
    <t>2322727621</t>
  </si>
  <si>
    <t>Vanesa Rojas Parra</t>
  </si>
  <si>
    <t>Lago Villarica 55, departamento 7301, Mirador Reñaca</t>
  </si>
  <si>
    <t>13738-2</t>
  </si>
  <si>
    <t>2322636433</t>
  </si>
  <si>
    <t>Avenida Los Carrera 1131, apto 902</t>
  </si>
  <si>
    <t>2026-06-19 13:41</t>
  </si>
  <si>
    <t>RCT190626-1</t>
  </si>
  <si>
    <t>2322560962</t>
  </si>
  <si>
    <t>Nayerli varas Aguilar</t>
  </si>
  <si>
    <t>Pasaje Doñihue 3264</t>
  </si>
  <si>
    <t>RCT19062026</t>
  </si>
  <si>
    <t>2322511122</t>
  </si>
  <si>
    <t>ERICA GALLEGUILLOS VENEGAS</t>
  </si>
  <si>
    <t>Sierra navada 10464, Depto A45,  antofagasta</t>
  </si>
  <si>
    <t>2026-06-19 11:34</t>
  </si>
  <si>
    <t>RCT13726F</t>
  </si>
  <si>
    <t>2322507703</t>
  </si>
  <si>
    <t>Alejandra Hidalgo Riquelme</t>
  </si>
  <si>
    <t>La Vuelta de Córdoba, Pasaje 10, Sitio 118, Oro Verde, Chillan, Región de Ñuble</t>
  </si>
  <si>
    <t>2026-06-19 11:30</t>
  </si>
  <si>
    <t>13821</t>
  </si>
  <si>
    <t>2321763360</t>
  </si>
  <si>
    <t>Francisca Meneses</t>
  </si>
  <si>
    <t>psj ana specht knaut 546</t>
  </si>
  <si>
    <t>13824</t>
  </si>
  <si>
    <t>2321763334</t>
  </si>
  <si>
    <t>Barbara Cisternas contreras</t>
  </si>
  <si>
    <t>Calle Camilo Henríquez 1478</t>
  </si>
  <si>
    <t>13803</t>
  </si>
  <si>
    <t>2320973933</t>
  </si>
  <si>
    <t>Nicolas Medina</t>
  </si>
  <si>
    <t>el peumo 047</t>
  </si>
  <si>
    <t>13802</t>
  </si>
  <si>
    <t>2320973896</t>
  </si>
  <si>
    <t>Mario Fabian Maqueira Solar</t>
  </si>
  <si>
    <t>13805</t>
  </si>
  <si>
    <t>2320973793</t>
  </si>
  <si>
    <t>Gabriela Lastra rebolledo</t>
  </si>
  <si>
    <t>Avenida balmaceda 2059</t>
  </si>
  <si>
    <t>13811</t>
  </si>
  <si>
    <t>2320973690</t>
  </si>
  <si>
    <t>Magdalena Urra muñoz</t>
  </si>
  <si>
    <t>Urano 02005 galicia 1</t>
  </si>
  <si>
    <t>2026-06-16 16:55</t>
  </si>
  <si>
    <t>13819</t>
  </si>
  <si>
    <t>2320973550</t>
  </si>
  <si>
    <t>Belen Ramirez Dubo</t>
  </si>
  <si>
    <t>Eduardo de la Barra 560</t>
  </si>
  <si>
    <t>RCT13705DEV</t>
  </si>
  <si>
    <t>2320653661</t>
  </si>
  <si>
    <t>MATIAS ZEPEDA</t>
  </si>
  <si>
    <t>LAS ORIZAS 261</t>
  </si>
  <si>
    <t>13793</t>
  </si>
  <si>
    <t>2319836105</t>
  </si>
  <si>
    <t>Maiko flores Flores maldonado</t>
  </si>
  <si>
    <t>Gerónimo Mendez 1700</t>
  </si>
  <si>
    <t>2026-06-15 17:35</t>
  </si>
  <si>
    <t>13795</t>
  </si>
  <si>
    <t>2319836035</t>
  </si>
  <si>
    <t>Dalett Araya Araya</t>
  </si>
  <si>
    <t>Freire 237</t>
  </si>
  <si>
    <t>2026-06-15 18:21</t>
  </si>
  <si>
    <t>13798</t>
  </si>
  <si>
    <t>2319835991</t>
  </si>
  <si>
    <t>Avenida El Parque 1283</t>
  </si>
  <si>
    <t>13800</t>
  </si>
  <si>
    <t>2319835906</t>
  </si>
  <si>
    <t>Roberto Manuel Roa Ramirez</t>
  </si>
  <si>
    <t>Chanquico Sur 1737</t>
  </si>
  <si>
    <t>2026-06-15 23:55</t>
  </si>
  <si>
    <t>RCT13686</t>
  </si>
  <si>
    <t>2319729285</t>
  </si>
  <si>
    <t>David Vera</t>
  </si>
  <si>
    <t>Cinco pte. 6337</t>
  </si>
  <si>
    <t>13787</t>
  </si>
  <si>
    <t>2318901550</t>
  </si>
  <si>
    <t>CP: Actualizado</t>
  </si>
  <si>
    <t>Sebastian Miller</t>
  </si>
  <si>
    <t>Echaurren 515 , LIMACHE , LIMACHE , Valparaiso , CL</t>
  </si>
  <si>
    <t>2026-06-15 11:22</t>
  </si>
  <si>
    <t>13775</t>
  </si>
  <si>
    <t>2318895585</t>
  </si>
  <si>
    <t>Esteban Fischer Michaelis</t>
  </si>
  <si>
    <t>Av. Ramon Picarte 1568</t>
  </si>
  <si>
    <t>2026-06-12 16:01</t>
  </si>
  <si>
    <t>13778</t>
  </si>
  <si>
    <t>2318895552</t>
  </si>
  <si>
    <t>Teresita Rubio</t>
  </si>
  <si>
    <t>Los arrayanes 350 casa 24</t>
  </si>
  <si>
    <t>2026-06-13 00:25</t>
  </si>
  <si>
    <t>13783</t>
  </si>
  <si>
    <t>2318895482</t>
  </si>
  <si>
    <t>Jaime Bonilla</t>
  </si>
  <si>
    <t>Isla de Yaquil S/N</t>
  </si>
  <si>
    <t>2026-06-14 13:54</t>
  </si>
  <si>
    <t>13784</t>
  </si>
  <si>
    <t>2318895460</t>
  </si>
  <si>
    <t>Mauricio Gallardo Ribotta</t>
  </si>
  <si>
    <t>Esmeralda 0190</t>
  </si>
  <si>
    <t>2026-06-14 15:00</t>
  </si>
  <si>
    <t>13785</t>
  </si>
  <si>
    <t>2318895423</t>
  </si>
  <si>
    <t>Stefan Münzenmayer</t>
  </si>
  <si>
    <t>El Nogal Km 16</t>
  </si>
  <si>
    <t>2026-06-14 15:13</t>
  </si>
  <si>
    <t>13786</t>
  </si>
  <si>
    <t>2318895353</t>
  </si>
  <si>
    <t>Padre Alberto Hurtado 1952</t>
  </si>
  <si>
    <t>2026-06-14 15:20</t>
  </si>
  <si>
    <t>13790</t>
  </si>
  <si>
    <t>2318895261</t>
  </si>
  <si>
    <t>Paulina Andrea Santana Medel</t>
  </si>
  <si>
    <t>Calle caiquen 312</t>
  </si>
  <si>
    <t>RCT1206261</t>
  </si>
  <si>
    <t>2316415636</t>
  </si>
  <si>
    <t>Matias Zepeda</t>
  </si>
  <si>
    <t>las orizas 261</t>
  </si>
  <si>
    <t>13747</t>
  </si>
  <si>
    <t>2315666824</t>
  </si>
  <si>
    <t>Campiche 2270</t>
  </si>
  <si>
    <t>13749</t>
  </si>
  <si>
    <t>2315666754</t>
  </si>
  <si>
    <t>Lorenzo Barbachan Cordero</t>
  </si>
  <si>
    <t>Codpa #2865</t>
  </si>
  <si>
    <t>13752</t>
  </si>
  <si>
    <t>2315666651</t>
  </si>
  <si>
    <t>Vicente Miranda Sepúlveda</t>
  </si>
  <si>
    <t>Calle Uno 1722 Jardines del Mar</t>
  </si>
  <si>
    <t>2026-06-10 17:04</t>
  </si>
  <si>
    <t>13742</t>
  </si>
  <si>
    <t>2314558691</t>
  </si>
  <si>
    <t>marco duque Duque</t>
  </si>
  <si>
    <t>141 Capitán Juan de Cartagena 141</t>
  </si>
  <si>
    <t>2026-06-09 11:45</t>
  </si>
  <si>
    <t>13743</t>
  </si>
  <si>
    <t>2314558562</t>
  </si>
  <si>
    <t>Javiera Bernal Sánchez</t>
  </si>
  <si>
    <t>Avenida proyectada 2120, departamento 1801</t>
  </si>
  <si>
    <t>13746</t>
  </si>
  <si>
    <t>2314558105</t>
  </si>
  <si>
    <t>Angelina Gallardo</t>
  </si>
  <si>
    <t>Las verbenas 1127, coquimbo</t>
  </si>
  <si>
    <t>2026-06-09 22:00</t>
  </si>
  <si>
    <t>13573-2</t>
  </si>
  <si>
    <t>2313558505</t>
  </si>
  <si>
    <t>Marcelo Oro Briceño</t>
  </si>
  <si>
    <t>Calle llanca 818, paipote</t>
  </si>
  <si>
    <t>13738</t>
  </si>
  <si>
    <t>2313486416</t>
  </si>
  <si>
    <t>2026-06-08 20:30</t>
  </si>
  <si>
    <t>13715</t>
  </si>
  <si>
    <t>2312487962</t>
  </si>
  <si>
    <t>Arauco 1105</t>
  </si>
  <si>
    <t>13720</t>
  </si>
  <si>
    <t>2312487671</t>
  </si>
  <si>
    <t>Eduardo Cantillana Saavedra</t>
  </si>
  <si>
    <t>Comercio 595</t>
  </si>
  <si>
    <t>2026-06-06 09:42</t>
  </si>
  <si>
    <t>13727</t>
  </si>
  <si>
    <t>2312487380</t>
  </si>
  <si>
    <t>Álvaro Zúñiga Aravena</t>
  </si>
  <si>
    <t>Avenida san miguel 3425 oficina 1 Lureye</t>
  </si>
  <si>
    <t>2026-06-06 21:39</t>
  </si>
  <si>
    <t>13724</t>
  </si>
  <si>
    <t>2312487306</t>
  </si>
  <si>
    <t>Nicolas Morales arrue</t>
  </si>
  <si>
    <t>Av einstein 593 block 2 depto 32</t>
  </si>
  <si>
    <t>13722</t>
  </si>
  <si>
    <t>2312487273</t>
  </si>
  <si>
    <t>Patricio Arancibia Rojas</t>
  </si>
  <si>
    <t>Ruta 5 sur, km1025, megacentro 1, modulo 19</t>
  </si>
  <si>
    <t>13726</t>
  </si>
  <si>
    <t>2312487203</t>
  </si>
  <si>
    <t>13732</t>
  </si>
  <si>
    <t>2312487181</t>
  </si>
  <si>
    <t>Eduardo Hidalgo Gonzalez</t>
  </si>
  <si>
    <t>Villa los almendros, pasaje el romero #166</t>
  </si>
  <si>
    <t>13731</t>
  </si>
  <si>
    <t>2312486971</t>
  </si>
  <si>
    <t>Kerima Schichaschwili</t>
  </si>
  <si>
    <t>Rio Lauca 3973</t>
  </si>
  <si>
    <t>13701</t>
  </si>
  <si>
    <t>2309699700</t>
  </si>
  <si>
    <t>Simon Sierra</t>
  </si>
  <si>
    <t>Veintiuno de mayo 472</t>
  </si>
  <si>
    <t>13702</t>
  </si>
  <si>
    <t>2309699641</t>
  </si>
  <si>
    <t>Guillermo Ferrada</t>
  </si>
  <si>
    <t>Los arrayanes</t>
  </si>
  <si>
    <t>13707</t>
  </si>
  <si>
    <t>2309699534</t>
  </si>
  <si>
    <t>Av. Altamirano 1015</t>
  </si>
  <si>
    <t>2026-06-04 23:04</t>
  </si>
  <si>
    <t>13708</t>
  </si>
  <si>
    <t>2309699486</t>
  </si>
  <si>
    <t>Christian Suiter</t>
  </si>
  <si>
    <t>Monte Grande 604, 604</t>
  </si>
  <si>
    <t>2026-06-05 06:41</t>
  </si>
  <si>
    <t>13711</t>
  </si>
  <si>
    <t>2309699442</t>
  </si>
  <si>
    <t>Francisco Paz Vega</t>
  </si>
  <si>
    <t>Madariaga S/N</t>
  </si>
  <si>
    <t>2026-06-05 09:04</t>
  </si>
  <si>
    <t>13712</t>
  </si>
  <si>
    <t>2309699372</t>
  </si>
  <si>
    <t>Jose ignacio Silva herreros</t>
  </si>
  <si>
    <t>Agua santa 56</t>
  </si>
  <si>
    <t>2026-06-05 11:27</t>
  </si>
  <si>
    <t>13713</t>
  </si>
  <si>
    <t>2309699346</t>
  </si>
  <si>
    <t>Francisco Pincheira</t>
  </si>
  <si>
    <t>Calle los castaños 722 chiguayante bio bio</t>
  </si>
  <si>
    <t>13677</t>
  </si>
  <si>
    <t>2308279606</t>
  </si>
  <si>
    <t>Maria paz Álvarez</t>
  </si>
  <si>
    <t>13682</t>
  </si>
  <si>
    <t>2308279573</t>
  </si>
  <si>
    <t>Daniel Anuch</t>
  </si>
  <si>
    <t>thomson 213</t>
  </si>
  <si>
    <t>13683</t>
  </si>
  <si>
    <t>2308279536</t>
  </si>
  <si>
    <t>Mayerly Villalobos</t>
  </si>
  <si>
    <t>Av. Pacífico 3160</t>
  </si>
  <si>
    <t>13678</t>
  </si>
  <si>
    <t>2308279503</t>
  </si>
  <si>
    <t>GO Consultores Spa</t>
  </si>
  <si>
    <t>Cordillera 235</t>
  </si>
  <si>
    <t>13684</t>
  </si>
  <si>
    <t>2308279422</t>
  </si>
  <si>
    <t>RODRIGO GONZÁLEZ GAMBOA</t>
  </si>
  <si>
    <t>Pasaje E casa 514</t>
  </si>
  <si>
    <t>13686</t>
  </si>
  <si>
    <t>2308279293</t>
  </si>
  <si>
    <t>13689</t>
  </si>
  <si>
    <t>2308279190</t>
  </si>
  <si>
    <t>Leonardo Peralta Morales</t>
  </si>
  <si>
    <t>Parcelas Del Volcán n6</t>
  </si>
  <si>
    <t>13692</t>
  </si>
  <si>
    <t>2308279131</t>
  </si>
  <si>
    <t>Pablo Vargas vargas</t>
  </si>
  <si>
    <t>Avenida diego de almagro 460</t>
  </si>
  <si>
    <t>13695</t>
  </si>
  <si>
    <t>2308278906</t>
  </si>
  <si>
    <t>Emiliano Morales Rivera</t>
  </si>
  <si>
    <t>Miguel Ansorena 485 Oficina 8</t>
  </si>
  <si>
    <t>13696</t>
  </si>
  <si>
    <t>2308278792</t>
  </si>
  <si>
    <t>Claudio Huircan</t>
  </si>
  <si>
    <t>Thiers 811 Torre A depto 502 (A)</t>
  </si>
  <si>
    <t>13698</t>
  </si>
  <si>
    <t>2308278722</t>
  </si>
  <si>
    <t>Matias Becker</t>
  </si>
  <si>
    <t>Los Pablos 2160 dpto 1408</t>
  </si>
  <si>
    <t>13700</t>
  </si>
  <si>
    <t>2308278604</t>
  </si>
  <si>
    <t>Joaquin Santander Topali</t>
  </si>
  <si>
    <t>Frankfurt 1171</t>
  </si>
  <si>
    <t>13699</t>
  </si>
  <si>
    <t>2308278545</t>
  </si>
  <si>
    <t>Nicolas Carcamo</t>
  </si>
  <si>
    <t>La frontera 3348</t>
  </si>
  <si>
    <t>13669</t>
  </si>
  <si>
    <t>2305672143</t>
  </si>
  <si>
    <t>4 sur 4125</t>
  </si>
  <si>
    <t>13673</t>
  </si>
  <si>
    <t>2305671900</t>
  </si>
  <si>
    <t>Franco Zúñiga Lizama</t>
  </si>
  <si>
    <t>13675</t>
  </si>
  <si>
    <t>2305671756</t>
  </si>
  <si>
    <t>Bianca Santini Mier</t>
  </si>
  <si>
    <t>Mirador 45 , depto 42</t>
  </si>
  <si>
    <t>13555-2</t>
  </si>
  <si>
    <t>2303899010</t>
  </si>
  <si>
    <t>Rodrigo Díaz Molina</t>
  </si>
  <si>
    <t>Avenida los Sargazos 1855 local 7, jardín del Mar, Reñaca.</t>
  </si>
  <si>
    <t>13555-2-B</t>
  </si>
  <si>
    <t>2303898936</t>
  </si>
  <si>
    <t>Iván Manías</t>
  </si>
  <si>
    <t>13647</t>
  </si>
  <si>
    <t>2303842015</t>
  </si>
  <si>
    <t>Carlos palacio 740</t>
  </si>
  <si>
    <t>13648</t>
  </si>
  <si>
    <t>2303841912</t>
  </si>
  <si>
    <t>camino las guias parcela 4 llaveria</t>
  </si>
  <si>
    <t>13649</t>
  </si>
  <si>
    <t>2303841713</t>
  </si>
  <si>
    <t>HERNAN GONZALEZ GOMEZ</t>
  </si>
  <si>
    <t>PEDRO LEON GALLO 1133</t>
  </si>
  <si>
    <t>13650</t>
  </si>
  <si>
    <t>2303841606</t>
  </si>
  <si>
    <t>Francisco Ramirez oyanadel</t>
  </si>
  <si>
    <t>Uno oriente 107 pullally</t>
  </si>
  <si>
    <t>13651</t>
  </si>
  <si>
    <t>2303841562</t>
  </si>
  <si>
    <t>Hans Manriquez Espinoza</t>
  </si>
  <si>
    <t>Thompson 989</t>
  </si>
  <si>
    <t>13654</t>
  </si>
  <si>
    <t>2303841422</t>
  </si>
  <si>
    <t>Juan Rodríguez S.</t>
  </si>
  <si>
    <t>Linea Nueva Km 1 Alto Maullin Parcela</t>
  </si>
  <si>
    <t>13655</t>
  </si>
  <si>
    <t>2303841315</t>
  </si>
  <si>
    <t>Rodrigo Araya Riverod</t>
  </si>
  <si>
    <t>Simón Bolívar 548</t>
  </si>
  <si>
    <t>13656</t>
  </si>
  <si>
    <t>2303841175</t>
  </si>
  <si>
    <t>Rolando Rios Irigoyen</t>
  </si>
  <si>
    <t>Oficina Ausonia 120 casa 33</t>
  </si>
  <si>
    <t>13660</t>
  </si>
  <si>
    <t>2303841072</t>
  </si>
  <si>
    <t>Carolina Espinoza Robles</t>
  </si>
  <si>
    <t>23 Norte N°1580 Depto. J403, Portal Norte IV</t>
  </si>
  <si>
    <t>13662</t>
  </si>
  <si>
    <t>2303840851</t>
  </si>
  <si>
    <t>Roberto Fuentes altamirano</t>
  </si>
  <si>
    <t>Poblacion las lengas pasaje Silvia Ormeño B6</t>
  </si>
  <si>
    <t>13618</t>
  </si>
  <si>
    <t>2301562572</t>
  </si>
  <si>
    <t>Patricio Pérez Orellana</t>
  </si>
  <si>
    <t>13621</t>
  </si>
  <si>
    <t>2301562443</t>
  </si>
  <si>
    <t>Roberto Lopez ehlen</t>
  </si>
  <si>
    <t>Av. Las margaritas 1893 A, Huertos Familiares, San Pedro de la paz</t>
  </si>
  <si>
    <t>13622</t>
  </si>
  <si>
    <t>2301562373</t>
  </si>
  <si>
    <t>Carla Riveros</t>
  </si>
  <si>
    <t>Juan rusque 176</t>
  </si>
  <si>
    <t>13626</t>
  </si>
  <si>
    <t>2301562244</t>
  </si>
  <si>
    <t>Daniel García Alquinta</t>
  </si>
  <si>
    <t>Avenida torreones oeste 2067 condominio Zaragoza casa 10</t>
  </si>
  <si>
    <t>13644</t>
  </si>
  <si>
    <t>2301562174</t>
  </si>
  <si>
    <t>Calle bolivia 2210</t>
  </si>
  <si>
    <t>13643</t>
  </si>
  <si>
    <t>2301562082</t>
  </si>
  <si>
    <t>Volcán choshuenco 5111, casa 15</t>
  </si>
  <si>
    <t>13607</t>
  </si>
  <si>
    <t>2298828980</t>
  </si>
  <si>
    <t>Daniela González Martínez</t>
  </si>
  <si>
    <t>Capitan jorge oryan 2039</t>
  </si>
  <si>
    <t>2026-05-28 17:55</t>
  </si>
  <si>
    <t>13610</t>
  </si>
  <si>
    <t>2298828921</t>
  </si>
  <si>
    <t>GERONIMO MENDEZ 1851</t>
  </si>
  <si>
    <t>13611</t>
  </si>
  <si>
    <t>2298828910</t>
  </si>
  <si>
    <t>Macarena Romero</t>
  </si>
  <si>
    <t>Av San Juan 4375</t>
  </si>
  <si>
    <t>13613</t>
  </si>
  <si>
    <t>2298828825</t>
  </si>
  <si>
    <t>Veronica patricia Bravo Vásquez</t>
  </si>
  <si>
    <t>El peumo 43 pachacamita la calera</t>
  </si>
  <si>
    <t>13615</t>
  </si>
  <si>
    <t>2298828792</t>
  </si>
  <si>
    <t>Lisete Opazo flores</t>
  </si>
  <si>
    <t>Pje veinte 679 floresta 3 hualpen</t>
  </si>
  <si>
    <t>2026-05-29 19:19</t>
  </si>
  <si>
    <t>13598</t>
  </si>
  <si>
    <t>2297474491</t>
  </si>
  <si>
    <t>Raquel Cortés Cárdenas</t>
  </si>
  <si>
    <t>Condominio Polo Maitencillo casa 3B Maitencillo Puchuncaví</t>
  </si>
  <si>
    <t>13599</t>
  </si>
  <si>
    <t>2297474465</t>
  </si>
  <si>
    <t>Gerson LLancao Cabrera</t>
  </si>
  <si>
    <t>Avenida Gabriela Mistral 2252</t>
  </si>
  <si>
    <t>2026-05-27 15:40</t>
  </si>
  <si>
    <t>13603</t>
  </si>
  <si>
    <t>2297474410</t>
  </si>
  <si>
    <t>Avenida San Agustin 660 Casa 5 Concon</t>
  </si>
  <si>
    <t>13605</t>
  </si>
  <si>
    <t>2297474351</t>
  </si>
  <si>
    <t>Vicente Castro Uribe</t>
  </si>
  <si>
    <t>Av. Amsterdam 1624</t>
  </si>
  <si>
    <t>2026-05-27 22:39</t>
  </si>
  <si>
    <t>13587</t>
  </si>
  <si>
    <t>2296454506</t>
  </si>
  <si>
    <t>Avenida Diego De Almagro Norte 2550</t>
  </si>
  <si>
    <t>13596</t>
  </si>
  <si>
    <t>2296454440</t>
  </si>
  <si>
    <t>pablo ahumada f</t>
  </si>
  <si>
    <t>avenida balmaceda 1656 casa B</t>
  </si>
  <si>
    <t>2026-05-26 19:27</t>
  </si>
  <si>
    <t>13584</t>
  </si>
  <si>
    <t>2295734626</t>
  </si>
  <si>
    <t>Héctor Alejandro Bustamante Ampuero</t>
  </si>
  <si>
    <t>Quintanilla 1350</t>
  </si>
  <si>
    <t>2026-05-25 19:08</t>
  </si>
  <si>
    <t>13515-2</t>
  </si>
  <si>
    <t>2295734232</t>
  </si>
  <si>
    <t>Luis andres Salgado sanhueza</t>
  </si>
  <si>
    <t>Estambul 3591</t>
  </si>
  <si>
    <t>2026-05-26 16:27</t>
  </si>
  <si>
    <t>13573</t>
  </si>
  <si>
    <t>2294861940</t>
  </si>
  <si>
    <t>2026-05-23 17:01</t>
  </si>
  <si>
    <t>13575</t>
  </si>
  <si>
    <t>2294861903</t>
  </si>
  <si>
    <t>Katherine Schonherr casas</t>
  </si>
  <si>
    <t>Jose gonzalez 1555</t>
  </si>
  <si>
    <t>REL716348</t>
  </si>
  <si>
    <t>272902758</t>
  </si>
  <si>
    <t>RELAJARTE</t>
  </si>
  <si>
    <t>NOMBRE RETIRA: CAMILA RODRIGUEZ . RUT RETIRA: 53310370-7</t>
  </si>
  <si>
    <t>Camila Rodriguez Mieres</t>
  </si>
  <si>
    <t>Av. Alcalde Fernando Castillo Velasco 8146</t>
  </si>
  <si>
    <t>MARTIN LUTERO 02184 LOCAL 206, 206</t>
  </si>
  <si>
    <t>2026-06-23 23:42</t>
  </si>
  <si>
    <t>REL716225</t>
  </si>
  <si>
    <t>272428881</t>
  </si>
  <si>
    <t>Macarena Gallardo</t>
  </si>
  <si>
    <t>21 de mayo 2254, Departamento 101 bloque B</t>
  </si>
  <si>
    <t>2026-06-15 22:17</t>
  </si>
  <si>
    <t>REL716342</t>
  </si>
  <si>
    <t>272902761</t>
  </si>
  <si>
    <t>NOMBRE RETIRA: CLAUDIA HENRIQUEZ .. RUT RETIRA: 17547071-9</t>
  </si>
  <si>
    <t>claudia Henriquez</t>
  </si>
  <si>
    <t>AVDA. LOS ROBLES 925 ISLA TEJA, casa</t>
  </si>
  <si>
    <t>REL716354</t>
  </si>
  <si>
    <t>272902728</t>
  </si>
  <si>
    <t>NOMBRE RETIRA: OSCAR GUTIERRZ . RUT RETIRA: 10543496-0</t>
  </si>
  <si>
    <t>Oscar Gutierrez</t>
  </si>
  <si>
    <t>Ohiggins poniente 77, Oficina 1301</t>
  </si>
  <si>
    <t>2026-06-24 11:06</t>
  </si>
  <si>
    <t>REL716046</t>
  </si>
  <si>
    <t>271898533</t>
  </si>
  <si>
    <t>NOMBRE RETIRA: ROCIO BECERRA . RUT RETIRA: 11111111-1</t>
  </si>
  <si>
    <t>Eberhard 214</t>
  </si>
  <si>
    <t>2026-06-05 17:22</t>
  </si>
  <si>
    <t>REL716343</t>
  </si>
  <si>
    <t>272903168</t>
  </si>
  <si>
    <t>NOMBRE RETIRA: JORDAN ISAAC VERGARA RUT RETIRA: 6689982-9</t>
  </si>
  <si>
    <t>Jordan Isaac Vergara Sanchez</t>
  </si>
  <si>
    <t>Villa el manzano, Calle el manzanal n26, Casa</t>
  </si>
  <si>
    <t>REL716309</t>
  </si>
  <si>
    <t>272757658</t>
  </si>
  <si>
    <t>Iber Muñoz</t>
  </si>
  <si>
    <t>Avenida padre hurtado 2369, Departamento 2001 torre sur</t>
  </si>
  <si>
    <t>REL716339</t>
  </si>
  <si>
    <t>272828062</t>
  </si>
  <si>
    <t>NOMBRE RETIRA: MARIO MONTECINOS R RUT RETIRA: 13730421-K</t>
  </si>
  <si>
    <t>Loreto Cares</t>
  </si>
  <si>
    <t>Valle Del Traro 3031, Parque Costanera Dos</t>
  </si>
  <si>
    <t>2026-06-23 10:46</t>
  </si>
  <si>
    <t>REL716335</t>
  </si>
  <si>
    <t>272828095</t>
  </si>
  <si>
    <t>NOMBRE RETIRA: JAVIER ALVAREZ .. RUT RETIRA: 16483147-7</t>
  </si>
  <si>
    <t>Rebeca Morales Reyes</t>
  </si>
  <si>
    <t>Calle Santa Teresa 181. Playa Ancha, Alcalde Barrios</t>
  </si>
  <si>
    <t>REL716304</t>
  </si>
  <si>
    <t>272757665</t>
  </si>
  <si>
    <t>NOMBRE RETIRA: JENFOER DELGADO . RUT RETIRA: 26832282-5</t>
  </si>
  <si>
    <t>Bryan Heuser choque</t>
  </si>
  <si>
    <t>Carlos condell 2026, 2001</t>
  </si>
  <si>
    <t>REL716293</t>
  </si>
  <si>
    <t>272757703</t>
  </si>
  <si>
    <t>NOMBRE RETIRA: CECILIA ROMAN M RUT RETIRA: 9594451-5</t>
  </si>
  <si>
    <t>Cecilia Roman</t>
  </si>
  <si>
    <t>Los Alamos 899 Villa Los Castaños, Pucon</t>
  </si>
  <si>
    <t>REL716298</t>
  </si>
  <si>
    <t>272757729</t>
  </si>
  <si>
    <t>Hannelore Ortloff Haase</t>
  </si>
  <si>
    <t>Avenida Los Pablos 2031, Departamento 1305A</t>
  </si>
  <si>
    <t>REL716321</t>
  </si>
  <si>
    <t>272757612</t>
  </si>
  <si>
    <t>NOMBRE RETIRA: EDWIN N N RUT RETIRA: 53333344-3</t>
  </si>
  <si>
    <t>REL716305</t>
  </si>
  <si>
    <t>272757648</t>
  </si>
  <si>
    <t>Carla Villalobos</t>
  </si>
  <si>
    <t>Avenida Pedro de Valdivia 159, 901</t>
  </si>
  <si>
    <t>REL716301</t>
  </si>
  <si>
    <t>272757630</t>
  </si>
  <si>
    <t>NOMBRE RETIRA: GONZALO OSORIO . RUT RETIRA: 17387921-0</t>
  </si>
  <si>
    <t>La laguna, calle el boldal sitio 19</t>
  </si>
  <si>
    <t>REL716286</t>
  </si>
  <si>
    <t>272757767</t>
  </si>
  <si>
    <t>NOMBRE RETIRA: GONZALP ACEITUNO A RUT RETIRA: 10254663-6</t>
  </si>
  <si>
    <t>Paulina Monsalve Pinilla</t>
  </si>
  <si>
    <t>Pasaje Mauricio Rugenda # 056, Casa</t>
  </si>
  <si>
    <t>REL716327</t>
  </si>
  <si>
    <t>272757580</t>
  </si>
  <si>
    <t>NOMBRE RETIRA: CARLOS ORELLANA . RUT RETIRA: 65130888-7</t>
  </si>
  <si>
    <t>Pasaje 8 sur A #3617, Casa blanca</t>
  </si>
  <si>
    <t>2026-06-22 11:52</t>
  </si>
  <si>
    <t>REL716311</t>
  </si>
  <si>
    <t>272757623</t>
  </si>
  <si>
    <t>NOMBRE RETIRA: DANIELA MAEDONES .. RUT RETIRA: 11111111-1</t>
  </si>
  <si>
    <t>daniela Mardones Salgado</t>
  </si>
  <si>
    <t>Gualliguaica 1268, Casa</t>
  </si>
  <si>
    <t>REL716313</t>
  </si>
  <si>
    <t>272757609</t>
  </si>
  <si>
    <t>NOMBRE RETIRA: SIE FANG KONG HAUWAY RUT RETIRA: 17606006-9</t>
  </si>
  <si>
    <t>Sie-fang Kong Hauway</t>
  </si>
  <si>
    <t>Pedro de Valdivia 310, T1 D1105</t>
  </si>
  <si>
    <t>REL716291</t>
  </si>
  <si>
    <t>272757762</t>
  </si>
  <si>
    <t>NOMBRE RETIRA: ARCELO BADILLA . RUT RETIRA: 12755150-2</t>
  </si>
  <si>
    <t>Victoria Pailañir</t>
  </si>
  <si>
    <t>Isla de pascua 2850, E12</t>
  </si>
  <si>
    <t>REL716300</t>
  </si>
  <si>
    <t>272757717</t>
  </si>
  <si>
    <t>NOMBRE RETIRA: PIA MORALES .. RUT RETIRA: 12345678-5</t>
  </si>
  <si>
    <t>Avenida Pacifico 4891 709, 709</t>
  </si>
  <si>
    <t>REL716258</t>
  </si>
  <si>
    <t>272503050</t>
  </si>
  <si>
    <t>NOMBRE RETIRA: KARLA MORA . RUT RETIRA: 16683535-6</t>
  </si>
  <si>
    <t>Los Copihues, casa 10</t>
  </si>
  <si>
    <t>REL716287</t>
  </si>
  <si>
    <t>272757796</t>
  </si>
  <si>
    <t>NOMBRE RETIRA: PALOMA FLORES . RUT RETIRA: 19613657-6</t>
  </si>
  <si>
    <t>felipe Gatica</t>
  </si>
  <si>
    <t>Avenida industrial 1226, Bodega TVP</t>
  </si>
  <si>
    <t>REL716306</t>
  </si>
  <si>
    <t>272757681</t>
  </si>
  <si>
    <t>NOMBRE RETIRA: ALEJANDRO ESPEJO . RUT RETIRA: 10925264-6</t>
  </si>
  <si>
    <t>Monica Muñoz vargas</t>
  </si>
  <si>
    <t>Av. Vicente Méndez 421, C110</t>
  </si>
  <si>
    <t>REL716270</t>
  </si>
  <si>
    <t>272574133</t>
  </si>
  <si>
    <t>NOMBRE RETIRA: DANIELA HORMAZABAL X RUT RETIRA: 18818214-3</t>
  </si>
  <si>
    <t>Los hualles 1375 villarrica, Casa</t>
  </si>
  <si>
    <t>REL716276</t>
  </si>
  <si>
    <t>272636948</t>
  </si>
  <si>
    <t>NOMBRE RETIRA: NATALIA BERNA . RUT RETIRA: 19827270-1</t>
  </si>
  <si>
    <t>Empart 1 Dpto 4, esquina bannen con serrano, Dpto 4</t>
  </si>
  <si>
    <t>2026-06-18 21:03</t>
  </si>
  <si>
    <t>REL716278</t>
  </si>
  <si>
    <t>272636954</t>
  </si>
  <si>
    <t>NOMBRE RETIRA: RIGOBERTO .VALLEJOS .. RUT RETIRA: 13161406-3</t>
  </si>
  <si>
    <t>Andrea Espinoza Castro</t>
  </si>
  <si>
    <t>Población Elvira Werner pasaje 1 #611, casa</t>
  </si>
  <si>
    <t>REL716261</t>
  </si>
  <si>
    <t>272574172</t>
  </si>
  <si>
    <t>NOMBRE RETIRA: ADBER GUTIERES .. RUT RETIRA: 16772571-6</t>
  </si>
  <si>
    <t>Karla Barraza</t>
  </si>
  <si>
    <t>Ignacio Jalaf #845, Parque Ingles 2 Etapa, Ovalle, Parque Ingles 2 Etapa</t>
  </si>
  <si>
    <t>2026-06-17 20:24</t>
  </si>
  <si>
    <t>REL716260</t>
  </si>
  <si>
    <t>272574199</t>
  </si>
  <si>
    <t>NOMBRE RETIRA: EVELYN SCORIA . RUT RETIRA: 12840083-4</t>
  </si>
  <si>
    <t>Evelyn Escorcia cortes</t>
  </si>
  <si>
    <t>Avenida Antonio Rendic 5730, Avenida Antonio Rendic 5730</t>
  </si>
  <si>
    <t>REL716275</t>
  </si>
  <si>
    <t>272636937</t>
  </si>
  <si>
    <t>NOMBRE RETIRA: DAVID AHUMADA . RUT RETIRA: 56079100-3</t>
  </si>
  <si>
    <t>KAROLL LABRIN</t>
  </si>
  <si>
    <t>1 oriente 252 oficina 308, oficina 308</t>
  </si>
  <si>
    <t>REL716277</t>
  </si>
  <si>
    <t>272636925</t>
  </si>
  <si>
    <t>NOMBRE RETIRA: JAIME MELO . RUT RETIRA: 56017570-1</t>
  </si>
  <si>
    <t>Belén Contador</t>
  </si>
  <si>
    <t>Av San Martín 787, 203</t>
  </si>
  <si>
    <t>REL716273</t>
  </si>
  <si>
    <t>272574109</t>
  </si>
  <si>
    <t>NOMBRE RETIRA: BRENDA ORDENES . RUT RETIRA: 17130847-K</t>
  </si>
  <si>
    <t>Brenda Órdenes</t>
  </si>
  <si>
    <t>Tucapel # 1455, Tucapel # 1455, Casa verde Interior</t>
  </si>
  <si>
    <t>REL716271</t>
  </si>
  <si>
    <t>272574104</t>
  </si>
  <si>
    <t>NOMBRE RETIRA: XIMENA B H RUT RETIRA: 12345678-5</t>
  </si>
  <si>
    <t>Ximena Horta Araya</t>
  </si>
  <si>
    <t>Avda Manuel Peñafiel 1480, Edificio arenas sexto piso</t>
  </si>
  <si>
    <t>REL716268</t>
  </si>
  <si>
    <t>272574139</t>
  </si>
  <si>
    <t>NOMBRE RETIRA: CECILIA CERNA . RUT RETIRA: 11879938-0</t>
  </si>
  <si>
    <t>Marcos Corales</t>
  </si>
  <si>
    <t>garcia reyes 492, Centro dental Cerna</t>
  </si>
  <si>
    <t>REL716264</t>
  </si>
  <si>
    <t>272574144</t>
  </si>
  <si>
    <t>NOMBRE RETIRA: ADELA SANCHEA . RUT RETIRA: 13030977-1</t>
  </si>
  <si>
    <t>Adela Sánchez Jiménez Sanchez J</t>
  </si>
  <si>
    <t>Ariztia 228, Distribuidora</t>
  </si>
  <si>
    <t>REL715779</t>
  </si>
  <si>
    <t>271397333</t>
  </si>
  <si>
    <t>NOMBRE RETIRA: ANASOL CONTREAS S RUT RETIRA: 22302846-2</t>
  </si>
  <si>
    <t>Anasol Contreras toroco</t>
  </si>
  <si>
    <t>Copiapo 350, pueblo de toconao</t>
  </si>
  <si>
    <t>REL716255</t>
  </si>
  <si>
    <t>272503076</t>
  </si>
  <si>
    <t>NOMBRE RETIRA: KATHERINE NAWELCOIT . RUT RETIRA: 15222722-1</t>
  </si>
  <si>
    <t>Juan Pablo Vásquez</t>
  </si>
  <si>
    <t>Las Hortensias 175 Higueras Talcahuano, Casa</t>
  </si>
  <si>
    <t>REL716240</t>
  </si>
  <si>
    <t>272503102</t>
  </si>
  <si>
    <t>NOMBRE RETIRA: JAVIERA GAJARDO F RUT RETIRA: 12345678-5</t>
  </si>
  <si>
    <t>Javiera Gajardo flores</t>
  </si>
  <si>
    <t>Pasaje juan adolfo torres 2401, Negocio</t>
  </si>
  <si>
    <t>2026-06-16 21:27</t>
  </si>
  <si>
    <t>REL716239</t>
  </si>
  <si>
    <t>272503097</t>
  </si>
  <si>
    <t>NOMBRE RETIRA: PALOMA GONZALEZ . RUT RETIRA: 20524731-9</t>
  </si>
  <si>
    <t>evelyn pfeiffer</t>
  </si>
  <si>
    <t>volcán choshuenco 5111, 99, valle volcanes</t>
  </si>
  <si>
    <t>REL716224</t>
  </si>
  <si>
    <t>272428865</t>
  </si>
  <si>
    <t>NOMBRE RETIRA: REINA BUGUENO . RUT RETIRA: 15976091-K</t>
  </si>
  <si>
    <t>Melissa Torres</t>
  </si>
  <si>
    <t>Arturo Prat 1000, Hospital</t>
  </si>
  <si>
    <t>REL716259</t>
  </si>
  <si>
    <t>272503058</t>
  </si>
  <si>
    <t>NOMBRE RETIRA: JOVANA VERA . RUT RETIRA: 14250299-2</t>
  </si>
  <si>
    <t>Anabel Barrientos Vera</t>
  </si>
  <si>
    <t>Bernardo mayorga 1141</t>
  </si>
  <si>
    <t>REL716181</t>
  </si>
  <si>
    <t>272346633</t>
  </si>
  <si>
    <t>NOMBRE RETIRA: GUSTAVO DONOSL X RUT RETIRA: 65950450-2</t>
  </si>
  <si>
    <t>Constanza Arevalo diaz</t>
  </si>
  <si>
    <t>Av Alcalde Manuel Castillo Ibaceta 2925, 325</t>
  </si>
  <si>
    <t>REL716226</t>
  </si>
  <si>
    <t>272428861</t>
  </si>
  <si>
    <t>NOMBRE RETIRA: JUDITH GARRIDO . RUT RETIRA: 10324470-6</t>
  </si>
  <si>
    <t>Judith Garrido</t>
  </si>
  <si>
    <t>Gabriela Mistral, 715</t>
  </si>
  <si>
    <t>REL716251</t>
  </si>
  <si>
    <t>272503069</t>
  </si>
  <si>
    <t>NOMBRE RETIRA: LAURA PINO . RUT RETIRA: 16621447-5</t>
  </si>
  <si>
    <t>Francisca Vargas tobar</t>
  </si>
  <si>
    <t>Av diego portales 625, Consultorio antiguo, entrada por ismael valdes</t>
  </si>
  <si>
    <t>REL716246</t>
  </si>
  <si>
    <t>272503086</t>
  </si>
  <si>
    <t>NOMBRE RETIRA: DAVID SOTO . RUT RETIRA: 12549232-0</t>
  </si>
  <si>
    <t>Julian Pinto</t>
  </si>
  <si>
    <t>General Velasquez 1042, Casa</t>
  </si>
  <si>
    <t>REL716245</t>
  </si>
  <si>
    <t>272503112</t>
  </si>
  <si>
    <t>NOMBRE RETIRA: FRANCISCA FUENTES F RUT RETIRA: 17155859-K</t>
  </si>
  <si>
    <t>Julia Poblete</t>
  </si>
  <si>
    <t>Yungay 475, 201, Of 201, Of 201</t>
  </si>
  <si>
    <t>REL716252</t>
  </si>
  <si>
    <t>272503068</t>
  </si>
  <si>
    <t>NOMBRE RETIRA: DIEGO ARIAS O RUT RETIRA: 21304295-5</t>
  </si>
  <si>
    <t>Diego Arias</t>
  </si>
  <si>
    <t>Lastarria pasaje 2, Casa 1067</t>
  </si>
  <si>
    <t>REL716242</t>
  </si>
  <si>
    <t>272503117</t>
  </si>
  <si>
    <t>Nina Hormazabal Castro</t>
  </si>
  <si>
    <t>Frankfurt 1134, Depto 1203</t>
  </si>
  <si>
    <t>REL716244</t>
  </si>
  <si>
    <t>272503114</t>
  </si>
  <si>
    <t>NOMBRE RETIRA: KOW ZAPATA D RUT RETIRA: 18995925-7</t>
  </si>
  <si>
    <t>Carolina Buvinic</t>
  </si>
  <si>
    <t>Camino Troncal Antiguo 02150, Gimnasio Seven</t>
  </si>
  <si>
    <t>REL716207</t>
  </si>
  <si>
    <t>272346517</t>
  </si>
  <si>
    <t>NOMBRE RETIRA: PALMENIA CACERES . RUT RETIRA: 11977974-K</t>
  </si>
  <si>
    <t>lissette villarroel</t>
  </si>
  <si>
    <t>Casa, Cancha rayada 945</t>
  </si>
  <si>
    <t>2026-06-14 20:05</t>
  </si>
  <si>
    <t>REL716220</t>
  </si>
  <si>
    <t>272428894</t>
  </si>
  <si>
    <t>NOMBRE RETIRA: JENNIFER ALTAMIRANO R RUT RETIRA: 20645408-3</t>
  </si>
  <si>
    <t>Jenifer Altamirano Chávez</t>
  </si>
  <si>
    <t>Isla Juan Fernández 03640, Villa las tranqueras</t>
  </si>
  <si>
    <t>REL716183</t>
  </si>
  <si>
    <t>272346568</t>
  </si>
  <si>
    <t>NOMBRE RETIRA: FRANCISCA CARRERA . RUT RETIRA: 5639596-2</t>
  </si>
  <si>
    <t>José Miguel carrera 1263, Casa</t>
  </si>
  <si>
    <t>REL716212</t>
  </si>
  <si>
    <t>272428921</t>
  </si>
  <si>
    <t>NOMBRE RETIRA: LEONARDO CHAVEZ .. RUT RETIRA: 14082519-0</t>
  </si>
  <si>
    <t>Camino al arenal, parcelación el Remanso, parcela 13, 13</t>
  </si>
  <si>
    <t>REL716214</t>
  </si>
  <si>
    <t>272428900</t>
  </si>
  <si>
    <t>NOMBRE RETIRA: ELIABETH GOMEZ . . RUT RETIRA: 11111111-1</t>
  </si>
  <si>
    <t>Elisa Abaca Gómez</t>
  </si>
  <si>
    <t>27 sur 255, Casa</t>
  </si>
  <si>
    <t>REL716174</t>
  </si>
  <si>
    <t>272346640</t>
  </si>
  <si>
    <t>NOMBRE RETIRA: SUGEILY OVALLES . RUT RETIRA: 12288037-0</t>
  </si>
  <si>
    <t>Sugeily Ovalles</t>
  </si>
  <si>
    <t>Camino internacional 1605, Departamento 312 Vento</t>
  </si>
  <si>
    <t>REL716235</t>
  </si>
  <si>
    <t>272428840</t>
  </si>
  <si>
    <t>NOMBRE RETIRA: FRANCISCA DIAZ . RUT RETIRA: 11111111-1</t>
  </si>
  <si>
    <t>Francisca Díaz Rodríguez</t>
  </si>
  <si>
    <t>ViÑa Del Mar, 5 Norte 499</t>
  </si>
  <si>
    <t>REL716237</t>
  </si>
  <si>
    <t>272428820</t>
  </si>
  <si>
    <t>NOMBRE RETIRA: RICARDO CABEZAS . RUT RETIRA: 16880664-7</t>
  </si>
  <si>
    <t>Ricardo Angel Cabezas Pailahueque</t>
  </si>
  <si>
    <t>Lidice 771, Población Esperanza</t>
  </si>
  <si>
    <t>REL716190</t>
  </si>
  <si>
    <t>272346623</t>
  </si>
  <si>
    <t>NOMBRE RETIRA: CAMILA TRANGOLAO . RUT RETIRA: 20751014-9</t>
  </si>
  <si>
    <t>Camila Trangolao Stuardo</t>
  </si>
  <si>
    <t>Villa Las Araucarias calle 5 casa 268, Casa esquina</t>
  </si>
  <si>
    <t>REL716233</t>
  </si>
  <si>
    <t>272428844</t>
  </si>
  <si>
    <t>NOMBRE RETIRA: NORTON CUETO J RUT RETIRA: 6666860-6</t>
  </si>
  <si>
    <t>Las Rosas 1015, Casa 15</t>
  </si>
  <si>
    <t>REL716189</t>
  </si>
  <si>
    <t>272346595</t>
  </si>
  <si>
    <t>NOMBRE RETIRA: BENJAMIN PALAVEXINO U RUT RETIRA: 18194820-5</t>
  </si>
  <si>
    <t>Rosa Angelica Carrasco Gutierrez</t>
  </si>
  <si>
    <t>Brisas del maipo 2121, Condominio altos del maipo 4 casa59</t>
  </si>
  <si>
    <t>REL716171</t>
  </si>
  <si>
    <t>272346645</t>
  </si>
  <si>
    <t>NOMBRE RETIRA: PATRICIO MANSILLA . RUT RETIRA: 12345678-5</t>
  </si>
  <si>
    <t>Patricio Mansilla Mora</t>
  </si>
  <si>
    <t>Parque Licanrayen Viracocha C-3</t>
  </si>
  <si>
    <t>REL716206</t>
  </si>
  <si>
    <t>272346520</t>
  </si>
  <si>
    <t>NOMBRE RETIRA: ROSA ARMIJO . RUT RETIRA: 10700758-K</t>
  </si>
  <si>
    <t>Calle 5 Sur 3276, 3276</t>
  </si>
  <si>
    <t>REL716200</t>
  </si>
  <si>
    <t>272346547</t>
  </si>
  <si>
    <t>NOMBRE RETIRA: BERNARSA INZUNZA J RUT RETIRA: 18194820-5</t>
  </si>
  <si>
    <t>Danilo Ricardo Navarro Inzunza</t>
  </si>
  <si>
    <t>Cometa halley 1715, Casa</t>
  </si>
  <si>
    <t>REL716198</t>
  </si>
  <si>
    <t>272346574</t>
  </si>
  <si>
    <t>NOMBRE RETIRA: JORGE YACUP SOMANA RUT RETIRA: 26812517-5</t>
  </si>
  <si>
    <t>Yannareth Castro Oropeza</t>
  </si>
  <si>
    <t>Av lo castillo 113, Casa 113</t>
  </si>
  <si>
    <t>REL716060</t>
  </si>
  <si>
    <t>271898427</t>
  </si>
  <si>
    <t>NOMBRE RETIRA: ALEXIS DIAZ . RUT RETIRA: 12019157-8</t>
  </si>
  <si>
    <t>ALEXIS DIAZ ORSOLA</t>
  </si>
  <si>
    <t>TUCAPEL 624, CASA</t>
  </si>
  <si>
    <t>2026-06-06 08:28</t>
  </si>
  <si>
    <t>REL716202</t>
  </si>
  <si>
    <t>272346539</t>
  </si>
  <si>
    <t>NOMBRE RETIRA: RUT MONTECINOS .. RUT RETIRA: 11557900-2</t>
  </si>
  <si>
    <t>Karina Martinez Montecinos</t>
  </si>
  <si>
    <t>Poblacion mataquito, osvaldo Marquez 120</t>
  </si>
  <si>
    <t>REL716194</t>
  </si>
  <si>
    <t>272346618</t>
  </si>
  <si>
    <t>NOMBRE RETIRA: FAVIANA ARAOS A RUT RETIRA: 20137133-3</t>
  </si>
  <si>
    <t>Fabiana Araos valdivia</t>
  </si>
  <si>
    <t>Antonio varas 2, Empresa TPS</t>
  </si>
  <si>
    <t>REL716208</t>
  </si>
  <si>
    <t>272346495</t>
  </si>
  <si>
    <t>NOMBRE RETIRA: ROMINA FULGUERI . RUT RETIRA: 16850639-2</t>
  </si>
  <si>
    <t>ROMINA RENEE ANDREA FULGERI AVENDANO</t>
  </si>
  <si>
    <t>Coronel urrutia sin numero, Ex Regimiento-Omil</t>
  </si>
  <si>
    <t>REL716201</t>
  </si>
  <si>
    <t>272346545</t>
  </si>
  <si>
    <t>NOMBRE RETIRA: KAMRIN NUNEZ . RUT RETIRA: 14035425-2</t>
  </si>
  <si>
    <t>Karin Nuñez</t>
  </si>
  <si>
    <t>Calle tres, 5612 valle san eugenio</t>
  </si>
  <si>
    <t>REL716187</t>
  </si>
  <si>
    <t>272346611</t>
  </si>
  <si>
    <t>NOMBRE RETIRA: MARITZA CONTRERAS . RUT RETIRA: 11385889-3</t>
  </si>
  <si>
    <t>Maria Sánchez Donoso</t>
  </si>
  <si>
    <t>San Horacio 282</t>
  </si>
  <si>
    <t>REL716057</t>
  </si>
  <si>
    <t>271898455</t>
  </si>
  <si>
    <t>Romina Levrini</t>
  </si>
  <si>
    <t>Colón 50</t>
  </si>
  <si>
    <t>REL716211</t>
  </si>
  <si>
    <t>272346481</t>
  </si>
  <si>
    <t>NOMBRE RETIRA: DANIELA VALEENZUALA . RUT RETIRA: 12345678-5</t>
  </si>
  <si>
    <t>Daniela Valentina Palacios Pizarro</t>
  </si>
  <si>
    <t>Emilio apey 409, 438</t>
  </si>
  <si>
    <t>REL716138</t>
  </si>
  <si>
    <t>272074780</t>
  </si>
  <si>
    <t>NOMBRE RETIRA: FERNANDA VERA I RUT RETIRA: 18472092-2</t>
  </si>
  <si>
    <t>Fernanda Vera Catalán</t>
  </si>
  <si>
    <t>Volcán miño block 631 mirasol, 33</t>
  </si>
  <si>
    <t>REL716144</t>
  </si>
  <si>
    <t>272149414</t>
  </si>
  <si>
    <t>NOMBRE RETIRA: LUZ VELASQUEZ R. RUT RETIRA: 9365414-5</t>
  </si>
  <si>
    <t>Vanessa leal Leal muñoz</t>
  </si>
  <si>
    <t>Cobija 2457 condominio parques de cobija casa 67</t>
  </si>
  <si>
    <t>2026-06-10 22:18</t>
  </si>
  <si>
    <t>REL716169</t>
  </si>
  <si>
    <t>272218870</t>
  </si>
  <si>
    <t>NOMBRE RETIRA: SERGIO SAAVEDRA B RUT RETIRA: 65018133-6</t>
  </si>
  <si>
    <t>Maria Eugenia Arellano Chamorro</t>
  </si>
  <si>
    <t>Freire 1627, Depto 203</t>
  </si>
  <si>
    <t>REL716166</t>
  </si>
  <si>
    <t>272218916</t>
  </si>
  <si>
    <t>NOMBRE RETIRA: CAROLINA RODRIGUEZ . RUT RETIRA: 13126423-2</t>
  </si>
  <si>
    <t>Rapel 237</t>
  </si>
  <si>
    <t>REL715690</t>
  </si>
  <si>
    <t>271278785</t>
  </si>
  <si>
    <t>NOMBRE RETIRA: INES VIDAL . RUT RETIRA: 11111111-1</t>
  </si>
  <si>
    <t>Ines Vidal</t>
  </si>
  <si>
    <t>Alcalde Emilio Salles 0348</t>
  </si>
  <si>
    <t>REL715620</t>
  </si>
  <si>
    <t>271135859</t>
  </si>
  <si>
    <t>NOMBRE RETIRA: DAVID VALDIVIA . RUT RETIRA: 16380557-K</t>
  </si>
  <si>
    <t>david Valdivia</t>
  </si>
  <si>
    <t>Balmaceda 667, Casa</t>
  </si>
  <si>
    <t>2026-05-28 21:10</t>
  </si>
  <si>
    <t>REL716147</t>
  </si>
  <si>
    <t>272149400</t>
  </si>
  <si>
    <t>NOMBRE RETIRA: RICARDO TAPIA F RUT RETIRA: 14115590-3</t>
  </si>
  <si>
    <t>Keissy Malbrán</t>
  </si>
  <si>
    <t>Fray Gil San Nicolás 3385, Casa</t>
  </si>
  <si>
    <t>REL716022</t>
  </si>
  <si>
    <t>272082670</t>
  </si>
  <si>
    <t>NOMBRE RETIRA: ADRIANA SELIS . RUT RETIRA: 17736384-7</t>
  </si>
  <si>
    <t>Trumao 1153, 9</t>
  </si>
  <si>
    <t>REL716149</t>
  </si>
  <si>
    <t>272149388</t>
  </si>
  <si>
    <t>NOMBRE RETIRA: MARIA FERNANDA . RUT RETIRA: 18109606-3</t>
  </si>
  <si>
    <t>Maria Fernanda Alfaro Puelles</t>
  </si>
  <si>
    <t>Las violetas 1876 san pedro de la paz, Casa 1 huertos familiares</t>
  </si>
  <si>
    <t>REL716141</t>
  </si>
  <si>
    <t>272149433</t>
  </si>
  <si>
    <t>NOMBRE RETIRA: MELODY GANDIA GANDIA RUT RETIRA: 53331849-5</t>
  </si>
  <si>
    <t>Sebastián Vicencio Ortiz</t>
  </si>
  <si>
    <t>Kennedy 1325, Departamento 108 E</t>
  </si>
  <si>
    <t>REL715759</t>
  </si>
  <si>
    <t>271397471</t>
  </si>
  <si>
    <t>NOMBRE RETIRA: SOFIA TIT NT RUT RETIRA: 25813158-4</t>
  </si>
  <si>
    <t>Sofia Saldivia</t>
  </si>
  <si>
    <t>Paula Jaraquemada 1731</t>
  </si>
  <si>
    <t>REL716139</t>
  </si>
  <si>
    <t>272074783</t>
  </si>
  <si>
    <t>NOMBRE RETIRA: FERNANDA PONCE P RUT RETIRA: 17736182-8</t>
  </si>
  <si>
    <t>Fernanda Ponce Caroca</t>
  </si>
  <si>
    <t>Benito Ocampo 11640, Depto 801 Torre 4</t>
  </si>
  <si>
    <t>REL715772</t>
  </si>
  <si>
    <t>271397362</t>
  </si>
  <si>
    <t>NOMBRE RETIRA: KARLA ULLOA B RUT RETIRA: 20275040-0</t>
  </si>
  <si>
    <t>Karla Jimena Ulloa Barrientos</t>
  </si>
  <si>
    <t>Hornillas 465, Condominio Bulnes Dpto 105-C</t>
  </si>
  <si>
    <t>REL715761</t>
  </si>
  <si>
    <t>271397461</t>
  </si>
  <si>
    <t>NOMBRE RETIRA: ROMINA TIT ENT RUT RETIRA: 18551214-2</t>
  </si>
  <si>
    <t>Romina Mansilla Alvarado</t>
  </si>
  <si>
    <t>Isla de pascua 779</t>
  </si>
  <si>
    <t>REL716135</t>
  </si>
  <si>
    <t>272074818</t>
  </si>
  <si>
    <t>NOMBRE RETIRA: LORENA HERRERA S S RUT RETIRA: 26630140-5</t>
  </si>
  <si>
    <t>Angelo Enrico San Martin</t>
  </si>
  <si>
    <t>Avenida Jaime Guzman Errazuriz 04080, Departamento 2102, Palmas del sur 2</t>
  </si>
  <si>
    <t>REL716145</t>
  </si>
  <si>
    <t>272149419</t>
  </si>
  <si>
    <t>NOMBRE RETIRA: JAVIERA GUZMAN . RUT RETIRA: 19927067-2</t>
  </si>
  <si>
    <t>Rafael Redondo Gaete</t>
  </si>
  <si>
    <t>Avenida JosÉ TomÁs Urmeneta 755</t>
  </si>
  <si>
    <t>REL715789</t>
  </si>
  <si>
    <t>271511825</t>
  </si>
  <si>
    <t>NOMBRE RETIRA: PIA MARTINEZ . RUT RETIRA: 17855512-K</t>
  </si>
  <si>
    <t>ejercito 567</t>
  </si>
  <si>
    <t>REL716108</t>
  </si>
  <si>
    <t>271994258</t>
  </si>
  <si>
    <t>NOMBRE RETIRA: PAULINA CUFUENTWS . RUT RETIRA: 17826258-0</t>
  </si>
  <si>
    <t>Paulina Isabel Cifuentes Lagos</t>
  </si>
  <si>
    <t>Latorre 665, Trabajo</t>
  </si>
  <si>
    <t>REL716129</t>
  </si>
  <si>
    <t>272074846</t>
  </si>
  <si>
    <t>NOMBRE RETIRA: MARCELO LARRAIN . RUT RETIRA: 11252482-7</t>
  </si>
  <si>
    <t>Priscilla Winkler Alvarado</t>
  </si>
  <si>
    <t>Pasaje Huenuman 4959</t>
  </si>
  <si>
    <t>2026-06-09 20:15</t>
  </si>
  <si>
    <t>REL716123</t>
  </si>
  <si>
    <t>271995248</t>
  </si>
  <si>
    <t>NOMBRE RETIRA: DAVID TELLO . RUT RETIRA: 21930885-K</t>
  </si>
  <si>
    <t>David Tello</t>
  </si>
  <si>
    <t>Calle alonso de ercilla 540 Casa, Calle Alonso De Ercilla 540</t>
  </si>
  <si>
    <t>REL716087</t>
  </si>
  <si>
    <t>271898223</t>
  </si>
  <si>
    <t>Barbara Abaca Gomez</t>
  </si>
  <si>
    <t>5 sur 3915 Condominio Altos de San Miguel II, Depto 305 T1</t>
  </si>
  <si>
    <t>REL716126</t>
  </si>
  <si>
    <t>272074881</t>
  </si>
  <si>
    <t>NOMBRE RETIRA: MARCELA ALVAREZ A RUT RETIRA: 13894707-6</t>
  </si>
  <si>
    <t>Marcela Alvarez castelli</t>
  </si>
  <si>
    <t>Los Sargazos 1532</t>
  </si>
  <si>
    <t>REL716070</t>
  </si>
  <si>
    <t>271898378</t>
  </si>
  <si>
    <t>NOMBRE RETIRA: SILVIA MENDOZA . RUT RETIRA: 18802802-0</t>
  </si>
  <si>
    <t>Silvia Mendoza</t>
  </si>
  <si>
    <t>San Martín 416, Casa</t>
  </si>
  <si>
    <t>REL716120</t>
  </si>
  <si>
    <t>271995223</t>
  </si>
  <si>
    <t>NOMBRE RETIRA: CARLOS GUINE . RUT RETIRA: 8727709-7</t>
  </si>
  <si>
    <t>Audriett Rojas Cuello</t>
  </si>
  <si>
    <t>avenida cerro paranal 515, depto 55 torre gea</t>
  </si>
  <si>
    <t>REL716132</t>
  </si>
  <si>
    <t>272074836</t>
  </si>
  <si>
    <t>NOMBRE RETIRA: GRECIA BRAVO A RUT RETIRA: 12057994-0</t>
  </si>
  <si>
    <t>Grecia Bravo</t>
  </si>
  <si>
    <t>Rio petorca 1546</t>
  </si>
  <si>
    <t>REL716073</t>
  </si>
  <si>
    <t>271898357</t>
  </si>
  <si>
    <t>NOMBRE RETIRA: RUTH CRISOSTOMO . RUT RETIRA: 12394339-2</t>
  </si>
  <si>
    <t>Paula Siegmund</t>
  </si>
  <si>
    <t>Gerencia Casa Siegmund, Pisagua 1201</t>
  </si>
  <si>
    <t>REL716049</t>
  </si>
  <si>
    <t>271898499</t>
  </si>
  <si>
    <t>NOMBRE RETIRA: ALEJANDRA HIDALGO X RUT RETIRA: 19197264-3</t>
  </si>
  <si>
    <t>Avenida Nueva Villarrica 1420</t>
  </si>
  <si>
    <t>REL716115</t>
  </si>
  <si>
    <t>271995266</t>
  </si>
  <si>
    <t>NOMBRE RETIRA: EBOR OYARCE . RUT RETIRA: 13126423-2</t>
  </si>
  <si>
    <t>Francisca Oyarce cepeda</t>
  </si>
  <si>
    <t>Fobos 697 villa alemana, Casa esquina color damasco</t>
  </si>
  <si>
    <t>REL716096</t>
  </si>
  <si>
    <t>271898214</t>
  </si>
  <si>
    <t>NOMBRE RETIRA: CRISTOPHER USER . RUT RETIRA: 17799571-1</t>
  </si>
  <si>
    <t>christopher Heuser</t>
  </si>
  <si>
    <t>Pasaje Playa el saladero 3506, Casa</t>
  </si>
  <si>
    <t>REL716072</t>
  </si>
  <si>
    <t>271898365</t>
  </si>
  <si>
    <t>NOMBRE RETIRA: DEYANIRA ROJAS N RUT RETIRA: 20415690-5</t>
  </si>
  <si>
    <t>Michel Barahona Díaz</t>
  </si>
  <si>
    <t>Pirita 10455, Depto 1806</t>
  </si>
  <si>
    <t>REL716039</t>
  </si>
  <si>
    <t>271898573</t>
  </si>
  <si>
    <t>NOMBRE RETIRA: LORETO DIEZ MONTOYA RUT RETIRA: 18320499-8</t>
  </si>
  <si>
    <t>Ariel Burgos Aravena</t>
  </si>
  <si>
    <t>Olivia Galvarini #414, Casa</t>
  </si>
  <si>
    <t>REL716094</t>
  </si>
  <si>
    <t>271898208</t>
  </si>
  <si>
    <t>NOMBRE RETIRA: JUAN PADILLA R RUT RETIRA: 7963875-7</t>
  </si>
  <si>
    <t>Kevin Basly</t>
  </si>
  <si>
    <t>Rudecindo Ortega 4205, Depto 401 B</t>
  </si>
  <si>
    <t>REL716112</t>
  </si>
  <si>
    <t>271994238</t>
  </si>
  <si>
    <t>NOMBRE RETIRA: ERIKA CLAVIJO BUSTAMANTE RUT RETIRA: 11758828-9</t>
  </si>
  <si>
    <t>REL716081</t>
  </si>
  <si>
    <t>271898293</t>
  </si>
  <si>
    <t>NOMBRE RETIRA: ERNA CASTRO . RUT RETIRA: 7710779-7</t>
  </si>
  <si>
    <t>Krris Ovalle Leiva</t>
  </si>
  <si>
    <t>Pje. las grullas #9652, Casa #9652</t>
  </si>
  <si>
    <t>REL716034</t>
  </si>
  <si>
    <t>271732993</t>
  </si>
  <si>
    <t>NOMBRE RETIRA: LUIS DURAN Z RUT RETIRA: 17556581-7</t>
  </si>
  <si>
    <t>Roxana Camargo Varela</t>
  </si>
  <si>
    <t>Avenida Manuel Castillo Ibaceta 3015, 346</t>
  </si>
  <si>
    <t>2026-06-04 21:16</t>
  </si>
  <si>
    <t>REL716107</t>
  </si>
  <si>
    <t>271994224</t>
  </si>
  <si>
    <t>NOMBRE RETIRA: NICOLAS . . RUT RETIRA: 53330390-0</t>
  </si>
  <si>
    <t>Salinas 15, Casa</t>
  </si>
  <si>
    <t>REL716106</t>
  </si>
  <si>
    <t>271994276</t>
  </si>
  <si>
    <t>NOMBRE RETIRA: OACAR ESTAY . RUT RETIRA: 12345678-5</t>
  </si>
  <si>
    <t>Ester Fernandez</t>
  </si>
  <si>
    <t>Quintero 2127, Casa</t>
  </si>
  <si>
    <t>REL716121</t>
  </si>
  <si>
    <t>271995257</t>
  </si>
  <si>
    <t>NOMBRE RETIRA: FERNANDO SILVA . RUT RETIRA: 17575914-K</t>
  </si>
  <si>
    <t>Emilia Sabrina Silva Silva</t>
  </si>
  <si>
    <t>Pasaje Río Allipén #285, Las Palmas Chilenas, Forestal Alto, Casa</t>
  </si>
  <si>
    <t>REL716054</t>
  </si>
  <si>
    <t>271898463</t>
  </si>
  <si>
    <t>NOMBRE RETIRA: ERIK FLORES K RUT RETIRA: 53326151-5</t>
  </si>
  <si>
    <t>Melissa Turner</t>
  </si>
  <si>
    <t>Ongolmo 1386, Departamento 911</t>
  </si>
  <si>
    <t>REL715886</t>
  </si>
  <si>
    <t>271644322</t>
  </si>
  <si>
    <t>NOMBRE RETIRA: ELDIRA YANOS Y RUT RETIRA: 24326172-4</t>
  </si>
  <si>
    <t>Sofía Muñoz Pérez</t>
  </si>
  <si>
    <t>Alondo de ercilla 857, Casa</t>
  </si>
  <si>
    <t>REL716000</t>
  </si>
  <si>
    <t>271733170</t>
  </si>
  <si>
    <t>NOMBRE RETIRA: FERNANDA ALIAGA . RUT RETIRA: 20442735-6</t>
  </si>
  <si>
    <t>Fernanda Aliaga Blanco</t>
  </si>
  <si>
    <t>Gustavo Le Paige 377</t>
  </si>
  <si>
    <t>REL716053</t>
  </si>
  <si>
    <t>271898471</t>
  </si>
  <si>
    <t>NOMBRE RETIRA: FRANCISCO ARREY .. RUT RETIRA: 17547071-9</t>
  </si>
  <si>
    <t>francisco arrey perez</t>
  </si>
  <si>
    <t>los coigues 625, isla teja, Valdivia, casa esquina</t>
  </si>
  <si>
    <t>REL716084</t>
  </si>
  <si>
    <t>271898273</t>
  </si>
  <si>
    <t>NOMBRE RETIRA: CONCERJE J K RUT RETIRA: 12345678-5</t>
  </si>
  <si>
    <t>Caroline Olivares</t>
  </si>
  <si>
    <t>Hochstetter 599, Oficina 506</t>
  </si>
  <si>
    <t>REL715977</t>
  </si>
  <si>
    <t>271733389</t>
  </si>
  <si>
    <t>NOMBRE RETIRA: PAULA MUNOZ N RUT RETIRA: 18767607-K</t>
  </si>
  <si>
    <t>Paula Ignacia Muñoz Quijada</t>
  </si>
  <si>
    <t>Luis Aliaga Martinez 790</t>
  </si>
  <si>
    <t>REL716086</t>
  </si>
  <si>
    <t>271898257</t>
  </si>
  <si>
    <t>NOMBRE RETIRA: FERNANDA ALVAREZ . . RUT RETIRA: 16688506-K</t>
  </si>
  <si>
    <t>Pasaje Los andes 1021 , la serena, Casa</t>
  </si>
  <si>
    <t>REL716047</t>
  </si>
  <si>
    <t>271898506</t>
  </si>
  <si>
    <t>NOMBRE RETIRA: OSWALDO AGUIRRE AGUIRRE RUT RETIRA: 6842944-7</t>
  </si>
  <si>
    <t>Enrique Marcelo Díaz Contreras</t>
  </si>
  <si>
    <t>Ohiggins 830</t>
  </si>
  <si>
    <t>REL715979</t>
  </si>
  <si>
    <t>271733335</t>
  </si>
  <si>
    <t>NOMBRE RETIRA: MARIA ORELLLANA ORELLANA RUT RETIRA: 18039849-K</t>
  </si>
  <si>
    <t>Milan 926, población Recreo 2, Casa</t>
  </si>
  <si>
    <t>REL716074</t>
  </si>
  <si>
    <t>271898321</t>
  </si>
  <si>
    <t>NOMBRE RETIRA: CESAR CONCHA . RUT RETIRA: 53333331-1</t>
  </si>
  <si>
    <t>César CONCHA GALAZ</t>
  </si>
  <si>
    <t>Lago Villarrica 765</t>
  </si>
  <si>
    <t>REL716075</t>
  </si>
  <si>
    <t>271898349</t>
  </si>
  <si>
    <t>NOMBRE RETIRA: CROSTOBAL SALDANO . RUT RETIRA: 12533484-9</t>
  </si>
  <si>
    <t>Cristobal Saldaño Pinto</t>
  </si>
  <si>
    <t>Rume 1062</t>
  </si>
  <si>
    <t>REL716078</t>
  </si>
  <si>
    <t>271898306</t>
  </si>
  <si>
    <t>NOMBRE RETIRA: NANCY NAVARRETE . RUT RETIRA: 7663857-8</t>
  </si>
  <si>
    <t>Israel Tepihi</t>
  </si>
  <si>
    <t>Domingo Binimelis 1612, Casa</t>
  </si>
  <si>
    <t>REL716095</t>
  </si>
  <si>
    <t>271898187</t>
  </si>
  <si>
    <t>Ignacio Gil</t>
  </si>
  <si>
    <t>Las Rosas 518, Condominio Nuevo Lantaño, Torre 4, Depto 22</t>
  </si>
  <si>
    <t>REL716031</t>
  </si>
  <si>
    <t>271733016</t>
  </si>
  <si>
    <t>NOMBRE RETIRA: JORGUE CEPEDA . RUT RETIRA: 12345678-5</t>
  </si>
  <si>
    <t>Jorge Cepeda</t>
  </si>
  <si>
    <t>Pasaje 4 3304, Casa</t>
  </si>
  <si>
    <t>REL716061</t>
  </si>
  <si>
    <t>271898435</t>
  </si>
  <si>
    <t>NOMBRE RETIRA: CAROLINA GODOY DUARTE RUT RETIRA: 13931084-5</t>
  </si>
  <si>
    <t>Arcangel Zadkiel, 42</t>
  </si>
  <si>
    <t>REL715935</t>
  </si>
  <si>
    <t>271643943</t>
  </si>
  <si>
    <t>NOMBRE RETIRA: CLAUDIA ALARCON . RUT RETIRA: 16807076-4</t>
  </si>
  <si>
    <t>Delia Bahamondes</t>
  </si>
  <si>
    <t>Luis Saez Mora N 522, Liceo Caupolican</t>
  </si>
  <si>
    <t>REL716051</t>
  </si>
  <si>
    <t>271898496</t>
  </si>
  <si>
    <t>NOMBRE RETIRA: EVELYN OLIVARES OLIVARES RUT RETIRA: 13718658-6</t>
  </si>
  <si>
    <t>Evelyn Olivares</t>
  </si>
  <si>
    <t>Hermanos Amunategui 684, villa jardin oriente, Casa</t>
  </si>
  <si>
    <t>REL716067</t>
  </si>
  <si>
    <t>271898408</t>
  </si>
  <si>
    <t>NOMBRE RETIRA: MANU AROXA . RUT RETIRA: 18510121-5</t>
  </si>
  <si>
    <t>Manuel Aroca</t>
  </si>
  <si>
    <t>Los Ciruelos #415, Quillota., Departamento E 201</t>
  </si>
  <si>
    <t>REL716014</t>
  </si>
  <si>
    <t>271733107</t>
  </si>
  <si>
    <t>NOMBRE RETIRA: ANDRES PLAZA O RUT RETIRA: 12345678-5</t>
  </si>
  <si>
    <t>ANDRES PLAZA</t>
  </si>
  <si>
    <t>LAS TORCAZAS 596, DEPARTAMENTO 135</t>
  </si>
  <si>
    <t>REL715953</t>
  </si>
  <si>
    <t>271643790</t>
  </si>
  <si>
    <t>NOMBRE RETIRA: CRISTIAN CARVAJAL G. RUT RETIRA: 11930492-K</t>
  </si>
  <si>
    <t>Nicolás Rodrigo Carvajal Colque</t>
  </si>
  <si>
    <t>Oasis Toconce 915</t>
  </si>
  <si>
    <t>REL715893</t>
  </si>
  <si>
    <t>271644288</t>
  </si>
  <si>
    <t>NOMBRE RETIRA: PAOLA HIDALGO A RUT RETIRA: 13211134-0</t>
  </si>
  <si>
    <t>Paola Hidalgo Sofjer</t>
  </si>
  <si>
    <t>Avda Capitan Avalos  2895, Esquina Renato Rocca</t>
  </si>
  <si>
    <t>REL715895</t>
  </si>
  <si>
    <t>271644257</t>
  </si>
  <si>
    <t>REL716021</t>
  </si>
  <si>
    <t>271733062</t>
  </si>
  <si>
    <t>Carolina Donoso Erch</t>
  </si>
  <si>
    <t>Bueras 359 oficina 905</t>
  </si>
  <si>
    <t>REL715891</t>
  </si>
  <si>
    <t>271644300</t>
  </si>
  <si>
    <t>NOMBRE RETIRA: LEONARDO VASQUEZ .. RUT RETIRA: 20962665-9</t>
  </si>
  <si>
    <t>Prat 606</t>
  </si>
  <si>
    <t>REL715987</t>
  </si>
  <si>
    <t>271733264</t>
  </si>
  <si>
    <t>NOMBRE RETIRA: CONSTANZA PAVEZ PIZA RUT RETIRA: 18785997-2</t>
  </si>
  <si>
    <t>Constanza Pavez pizarro</t>
  </si>
  <si>
    <t>Villa los aromos pasaje los avellanos 748, Casa748</t>
  </si>
  <si>
    <t>REL715876</t>
  </si>
  <si>
    <t>271644381</t>
  </si>
  <si>
    <t>NOMBRE RETIRA: JAVIERA CANALES PIZARRO RUT RETIRA: 19357573-0</t>
  </si>
  <si>
    <t>Llacolen 775</t>
  </si>
  <si>
    <t>REL715982</t>
  </si>
  <si>
    <t>271733306</t>
  </si>
  <si>
    <t>NOMBRE RETIRA: DORIS GONZALEZ . RUT RETIRA: 9179015-7</t>
  </si>
  <si>
    <t>dorisveronicagonzalez@gmail.com Gonzalez</t>
  </si>
  <si>
    <t>Itata 8990, Casa</t>
  </si>
  <si>
    <t>REL715972</t>
  </si>
  <si>
    <t>271733404</t>
  </si>
  <si>
    <t>NOMBRE RETIRA: MARISELA MUNOZ . RUT RETIRA: 16847828-3</t>
  </si>
  <si>
    <t>Daniel Nauduan</t>
  </si>
  <si>
    <t>Loa 4756, 1607</t>
  </si>
  <si>
    <t>REL715997</t>
  </si>
  <si>
    <t>271733198</t>
  </si>
  <si>
    <t>NOMBRE RETIRA: LUIS ARCE A RUT RETIRA: 9621217-8</t>
  </si>
  <si>
    <t>Dámarys Lagunas</t>
  </si>
  <si>
    <t>Turi 2066, 323</t>
  </si>
  <si>
    <t>REL715996</t>
  </si>
  <si>
    <t>271733204</t>
  </si>
  <si>
    <t>NOMBRE RETIRA: YANET ROJAS . RUT RETIRA: 22814837-7</t>
  </si>
  <si>
    <t>karina Larrea Rodríguez</t>
  </si>
  <si>
    <t>EdifÍcio Costa Sur A, Avenida La Tirana # 4800, Depto 1904</t>
  </si>
  <si>
    <t>REL715971</t>
  </si>
  <si>
    <t>271733416</t>
  </si>
  <si>
    <t>NOMBRE RETIRA: DARWIN BARRIENTOS BARRIENTOS RUT RETIRA: 26572782-4</t>
  </si>
  <si>
    <t>Alejandra Morales Ormeño</t>
  </si>
  <si>
    <t>Calvo 679, Local Comercial Fredy Morales</t>
  </si>
  <si>
    <t>REL716032</t>
  </si>
  <si>
    <t>271733006</t>
  </si>
  <si>
    <t>NOMBRE RETIRA: VIVIANA CARTEA . RUT RETIRA: 20587069-5</t>
  </si>
  <si>
    <t>Viv Cartes</t>
  </si>
  <si>
    <t>Los Sauces 399 Concepcion</t>
  </si>
  <si>
    <t>REL716013</t>
  </si>
  <si>
    <t>271733116</t>
  </si>
  <si>
    <t>NOMBRE RETIRA: XIMENA SANCHEZ SALEH RUT RETIRA: 7173981-3</t>
  </si>
  <si>
    <t>El roble  032 Los Encinos de Santa Rosa</t>
  </si>
  <si>
    <t>REL716001</t>
  </si>
  <si>
    <t>271733176</t>
  </si>
  <si>
    <t>NOMBRE RETIRA: IGNACIA VIDELA . RUT RETIRA: 14525058-7</t>
  </si>
  <si>
    <t>Ignacia Videla</t>
  </si>
  <si>
    <t>Los Robles 5029</t>
  </si>
  <si>
    <t>REL716019</t>
  </si>
  <si>
    <t>271733082</t>
  </si>
  <si>
    <t>NOMBRE RETIRA: JUAN ORTIZ SOTO RUT RETIRA: 19538605-6</t>
  </si>
  <si>
    <t>Juan Ortiz Soto</t>
  </si>
  <si>
    <t>Avenida El Abra 4135, Casa esquina amarilla</t>
  </si>
  <si>
    <t>REL716024</t>
  </si>
  <si>
    <t>271733056</t>
  </si>
  <si>
    <t>NOMBRE RETIRA: MELODI GANDIA GANDIA RUT RETIRA: 53331849-5</t>
  </si>
  <si>
    <t>Javiera Peñaloza Contreras</t>
  </si>
  <si>
    <t>Kennedy 01325  Condominio Terrados de Kennedy, E206</t>
  </si>
  <si>
    <t>REL715988</t>
  </si>
  <si>
    <t>271733254</t>
  </si>
  <si>
    <t>NOMBRE RETIRA: VIVIANA IRRIBARRA .. RUT RETIRA: 13617463-0</t>
  </si>
  <si>
    <t>jocelyn aravena</t>
  </si>
  <si>
    <t>REL715688</t>
  </si>
  <si>
    <t>271278801</t>
  </si>
  <si>
    <t>NOMBRE RETIRA: BRIGIDA CARDENAS M RUT RETIRA: 8260275-5</t>
  </si>
  <si>
    <t>brigida cardenas</t>
  </si>
  <si>
    <t>Av baquedano 1235 interior, Casa</t>
  </si>
  <si>
    <t>REL715887</t>
  </si>
  <si>
    <t>271644312</t>
  </si>
  <si>
    <t>NOMBRE RETIRA: MAGDALENA PINCHERA . RUT RETIRA: 5337263-5</t>
  </si>
  <si>
    <t>Magdalena Pincheira</t>
  </si>
  <si>
    <t>Estación Caldera 1481</t>
  </si>
  <si>
    <t>REL716026</t>
  </si>
  <si>
    <t>271733032</t>
  </si>
  <si>
    <t>NOMBRE RETIRA: KATTY MORALES . RUT RETIRA: 14595959-4</t>
  </si>
  <si>
    <t>Katty Morales</t>
  </si>
  <si>
    <t>Toledo 2046</t>
  </si>
  <si>
    <t>REL715965</t>
  </si>
  <si>
    <t>271643723</t>
  </si>
  <si>
    <t>NOMBRE RETIRA: JAIME HENRRIQUE . RUT RETIRA: 17146009-3</t>
  </si>
  <si>
    <t>Jaime Henriquez</t>
  </si>
  <si>
    <t>San ignacio 265, Casa</t>
  </si>
  <si>
    <t>REL715900</t>
  </si>
  <si>
    <t>271644208</t>
  </si>
  <si>
    <t>NOMBRE RETIRA: PALOMA ROJAS... . RUT RETIRA: 19177308-K</t>
  </si>
  <si>
    <t>Paloma Natalia Rojas Barretas</t>
  </si>
  <si>
    <t>Los sambos 2977A, iquique, Chile, Casa 2977A</t>
  </si>
  <si>
    <t>REL715967</t>
  </si>
  <si>
    <t>271733453</t>
  </si>
  <si>
    <t>NOMBRE RETIRA: CRISTIBAL CONTTERAS J RUT RETIRA: 22294281-0</t>
  </si>
  <si>
    <t>Pablo Neira suazo</t>
  </si>
  <si>
    <t>Cocharcas 264, Casa</t>
  </si>
  <si>
    <t>REL715925</t>
  </si>
  <si>
    <t>271643986</t>
  </si>
  <si>
    <t>NOMBRE RETIRA: ROEBSON ESPINOZA F RUT RETIRA: 7184393-9</t>
  </si>
  <si>
    <t>Armando Moock 040, Departamento C2, conserjería edificio el curvo</t>
  </si>
  <si>
    <t>REL715808</t>
  </si>
  <si>
    <t>271511605</t>
  </si>
  <si>
    <t>Denis Tonconi Cruz</t>
  </si>
  <si>
    <t>Iglesia de La Merced 3881, Torre 27, dept 24</t>
  </si>
  <si>
    <t>REL715898</t>
  </si>
  <si>
    <t>271644236</t>
  </si>
  <si>
    <t>NOMBRE RETIRA: MARIA PERALTA . RUT RETIRA: 9752507-2</t>
  </si>
  <si>
    <t>Ruben Tapia</t>
  </si>
  <si>
    <t>Monjitas 819, Casa</t>
  </si>
  <si>
    <t>REL716017</t>
  </si>
  <si>
    <t>271733092</t>
  </si>
  <si>
    <t>NOMBRE RETIRA: PAJARITOS . . RUT RETIRA: 13465010-9</t>
  </si>
  <si>
    <t>Jonathan Lara Berrios</t>
  </si>
  <si>
    <t>El Arrayan 0, Escuela de Ingenieros</t>
  </si>
  <si>
    <t>REL715966</t>
  </si>
  <si>
    <t>271733438</t>
  </si>
  <si>
    <t>NOMBRE RETIRA: AYLLEN RIQUELME . RUT RETIRA: 13130388-2</t>
  </si>
  <si>
    <t>ayllen riquelme orellana</t>
  </si>
  <si>
    <t>Santa Catalina de Ricci 2052</t>
  </si>
  <si>
    <t>REL715958</t>
  </si>
  <si>
    <t>271643767</t>
  </si>
  <si>
    <t>NOMBRE RETIRA: SCOHT ROJAS MACAYA RUT RETIRA: 19238238-6</t>
  </si>
  <si>
    <t>Scot Rojas macaya</t>
  </si>
  <si>
    <t>Avenida Valdivia 440 local 305 307, Mall plaza los angeles tercer piso</t>
  </si>
  <si>
    <t>REL716028</t>
  </si>
  <si>
    <t>271733024</t>
  </si>
  <si>
    <t>Juan Carlos Cayul Sánchez</t>
  </si>
  <si>
    <t>24 Sur 105</t>
  </si>
  <si>
    <t>REL716006</t>
  </si>
  <si>
    <t>271733162</t>
  </si>
  <si>
    <t>NOMBRE RETIRA: SANDRA ESPINOZA .. RUT RETIRA: 11806892-0</t>
  </si>
  <si>
    <t>Lizhbet Melo</t>
  </si>
  <si>
    <t>Esmeralda 2381, las compañias, Local 1 (optica)</t>
  </si>
  <si>
    <t>REL716008</t>
  </si>
  <si>
    <t>271733141</t>
  </si>
  <si>
    <t>NOMBRE RETIRA: JORGE FLORES . RUT RETIRA: 16853575-9</t>
  </si>
  <si>
    <t>Valeria Benavente Marin</t>
  </si>
  <si>
    <t>Los Cipreces 368, Villa Cordillera</t>
  </si>
  <si>
    <t>REL716007</t>
  </si>
  <si>
    <t>271733151</t>
  </si>
  <si>
    <t>NOMBRE RETIRA: JOHANNA BEGAZO . RUT RETIRA: 10960679-0</t>
  </si>
  <si>
    <t>Scarlett Venegas Salas</t>
  </si>
  <si>
    <t>Tucapel 664, Depto 1702, Depto 1702</t>
  </si>
  <si>
    <t>REL715994</t>
  </si>
  <si>
    <t>271733245</t>
  </si>
  <si>
    <t>NOMBRE RETIRA: ERIM ROJAS . RUT RETIRA: 22602025-K</t>
  </si>
  <si>
    <t>Esteban Peñaloza</t>
  </si>
  <si>
    <t>Condel 436, Local A</t>
  </si>
  <si>
    <t>REL715995</t>
  </si>
  <si>
    <t>271733213</t>
  </si>
  <si>
    <t>Italo Diaz Candia</t>
  </si>
  <si>
    <t>Uno sur 51, 415 quebracho</t>
  </si>
  <si>
    <t>REL716033</t>
  </si>
  <si>
    <t>271732978</t>
  </si>
  <si>
    <t>NOMBRE RETIRA: ROSA OTAROLA N RUT RETIRA: 7887151-2</t>
  </si>
  <si>
    <t>Danilo Veliz</t>
  </si>
  <si>
    <t>Pasaje San pancracio 916, Poblacion beatita benavides</t>
  </si>
  <si>
    <t>REL715946</t>
  </si>
  <si>
    <t>271643844</t>
  </si>
  <si>
    <t>NOMBRE RETIRA: SILVIA VEGA O RUT RETIRA: 12345678-5</t>
  </si>
  <si>
    <t>San Ignacio de Loyola 688, Depto  407</t>
  </si>
  <si>
    <t>REL715941</t>
  </si>
  <si>
    <t>271643877</t>
  </si>
  <si>
    <t>NOMBRE RETIRA: JUAN ROERO R RUT RETIRA: 17761600-1</t>
  </si>
  <si>
    <t>Natalia Gutiérrez Núñez</t>
  </si>
  <si>
    <t>Jardín del este 2780 condominio Ildefonso casa 26</t>
  </si>
  <si>
    <t>REL715833</t>
  </si>
  <si>
    <t>271513241</t>
  </si>
  <si>
    <t>NOMBRE RETIRA: JAQUELINE . . RUT RETIRA: 19508516-1</t>
  </si>
  <si>
    <t>Calle 2, 86</t>
  </si>
  <si>
    <t>REL715923</t>
  </si>
  <si>
    <t>271644014</t>
  </si>
  <si>
    <t>NOMBRE RETIRA: MICHEL GARCES . RUT RETIRA: 53326945-1</t>
  </si>
  <si>
    <t>Bandera 940, 207A</t>
  </si>
  <si>
    <t>REL715885</t>
  </si>
  <si>
    <t>271644331</t>
  </si>
  <si>
    <t>NOMBRE RETIRA: CAROLINA MORALEA DROGUETT RUT RETIRA: 10756883-2</t>
  </si>
  <si>
    <t>Mery Ramirez Ramirez</t>
  </si>
  <si>
    <t>Tunca El Medio 170</t>
  </si>
  <si>
    <t>REL715914</t>
  </si>
  <si>
    <t>271644066</t>
  </si>
  <si>
    <t>NOMBRE RETIRA: NICOLAS VECINO ESCALONA . RUT RETIRA: 15140629-7</t>
  </si>
  <si>
    <t>Tatiana Alejandra Yañez Esparza</t>
  </si>
  <si>
    <t>camino publico los patos 378, casa blanca techo mediterraneo</t>
  </si>
  <si>
    <t>REL715877</t>
  </si>
  <si>
    <t>271644350</t>
  </si>
  <si>
    <t>NOMBRE RETIRA: MILANLLY HERNANDEZ . RUT RETIRA: 26813406-9</t>
  </si>
  <si>
    <t>Richar Rojas</t>
  </si>
  <si>
    <t>Los inciensos 1331</t>
  </si>
  <si>
    <t>REL715952</t>
  </si>
  <si>
    <t>271643800</t>
  </si>
  <si>
    <t>Felipe Eyzaguirre</t>
  </si>
  <si>
    <t>21 De Mayo 2030, 304 B</t>
  </si>
  <si>
    <t>REL715940</t>
  </si>
  <si>
    <t>271643890</t>
  </si>
  <si>
    <t>Amdrea Sepúlveda</t>
  </si>
  <si>
    <t>Holandesa 0460, 1204</t>
  </si>
  <si>
    <t>REL715902</t>
  </si>
  <si>
    <t>271644182</t>
  </si>
  <si>
    <t>NOMBRE RETIRA: MIXIE CONTRERAS CASTILLO RUT RETIRA: 16978887-1</t>
  </si>
  <si>
    <t>Mixie Contreras Castillo</t>
  </si>
  <si>
    <t>El huerto 385</t>
  </si>
  <si>
    <t>REL715683</t>
  </si>
  <si>
    <t>271278851</t>
  </si>
  <si>
    <t>NOMBRE RETIRA: MAURIXIO PAREDES . RUT RETIRA: 12345678-5</t>
  </si>
  <si>
    <t>Mauiricio Paredes</t>
  </si>
  <si>
    <t>Pasaje Nahuel 2036</t>
  </si>
  <si>
    <t>REL715942</t>
  </si>
  <si>
    <t>271643854</t>
  </si>
  <si>
    <t>NOMBRE RETIRA: JUANPABLO GAETE . RUT RETIRA: 18917620-1</t>
  </si>
  <si>
    <t>Camila Acosta</t>
  </si>
  <si>
    <t>Avenida Las Tablas 678, Casa 21</t>
  </si>
  <si>
    <t>REL715961</t>
  </si>
  <si>
    <t>271643759</t>
  </si>
  <si>
    <t>NOMBRE RETIRA: ANGEL SANCHEZ . RUT RETIRA: 53323380-5</t>
  </si>
  <si>
    <t>Avenida Camino Del Agua 1170, 27 Bosque Real 6</t>
  </si>
  <si>
    <t>REL715804</t>
  </si>
  <si>
    <t>271511669</t>
  </si>
  <si>
    <t>NOMBRE RETIRA: LISSETH YUTRONIC YUTRONIC RUT RETIRA: 20347854-2</t>
  </si>
  <si>
    <t>Colpa 413 Villa Caspana, Caspana 413</t>
  </si>
  <si>
    <t>REL715867</t>
  </si>
  <si>
    <t>271644424</t>
  </si>
  <si>
    <t>NOMBRE RETIRA: ANITA BRICENO BRICENO RUT RETIRA: 7980498-3</t>
  </si>
  <si>
    <t>Anita Briceño Muñoz</t>
  </si>
  <si>
    <t>Hipólito Utreras 02120, Casa</t>
  </si>
  <si>
    <t>REL715948</t>
  </si>
  <si>
    <t>271643811</t>
  </si>
  <si>
    <t>NOMBRE RETIRA: ELIZABET RIVERA MADRID RUT RETIRA: 12022001-2</t>
  </si>
  <si>
    <t>Elizabeth Rivera Madrid</t>
  </si>
  <si>
    <t>Monvoisin 3008, Casa</t>
  </si>
  <si>
    <t>REL715841</t>
  </si>
  <si>
    <t>271511396</t>
  </si>
  <si>
    <t>NOMBRE RETIRA: CONSERJERIA S C RUT RETIRA: 16402677-9</t>
  </si>
  <si>
    <t>Av los carrera 01074, Torre 1, depto 601</t>
  </si>
  <si>
    <t>REL715919</t>
  </si>
  <si>
    <t>271644029</t>
  </si>
  <si>
    <t>NOMBRE RETIRA: FRANCISCA BRAVO B RUT RETIRA: 12470723-4</t>
  </si>
  <si>
    <t>Calle Cerro San Juan 126, 126</t>
  </si>
  <si>
    <t>REL715827</t>
  </si>
  <si>
    <t>271511462</t>
  </si>
  <si>
    <t>NOMBRE RETIRA: LORENA MIRANDA . RUT RETIRA: 15802528-0</t>
  </si>
  <si>
    <t>hernan cortes 3651</t>
  </si>
  <si>
    <t>REL715936</t>
  </si>
  <si>
    <t>271643936</t>
  </si>
  <si>
    <t>NOMBRE RETIRA: FRANCISCA ZURITA ZURITA RUT RETIRA: 53319905-4</t>
  </si>
  <si>
    <t>Francisca Zurita</t>
  </si>
  <si>
    <t>Los Urbanistas 380, T3 Depto402</t>
  </si>
  <si>
    <t>REL715871</t>
  </si>
  <si>
    <t>271644387</t>
  </si>
  <si>
    <t>NOMBRE RETIRA: JOSUE ALVARES .. RUT RETIRA: 19041203-2</t>
  </si>
  <si>
    <t>Josué Ossandón Álvarez</t>
  </si>
  <si>
    <t>Parque Magallanes 1893, Casa</t>
  </si>
  <si>
    <t>REL715937</t>
  </si>
  <si>
    <t>271643909</t>
  </si>
  <si>
    <t>NOMBRE RETIRA: P V . RUT RETIRA: 19595135-7</t>
  </si>
  <si>
    <t>Paula Valenzuela Lagos</t>
  </si>
  <si>
    <t>Calle 1 casa 59 villa santo domingo</t>
  </si>
  <si>
    <t>REL715939</t>
  </si>
  <si>
    <t>271643901</t>
  </si>
  <si>
    <t>Monica Barrera Mora</t>
  </si>
  <si>
    <t>Doctor Guillermo Buhler 1756, Edificio mutual</t>
  </si>
  <si>
    <t>REL715903</t>
  </si>
  <si>
    <t>271644174</t>
  </si>
  <si>
    <t>NOMBRE RETIRA: LORENA . . RUT RETIRA: 53310370-7</t>
  </si>
  <si>
    <t>Casa, El estero 02633</t>
  </si>
  <si>
    <t>REL715916</t>
  </si>
  <si>
    <t>271644042</t>
  </si>
  <si>
    <t>NOMBRE RETIRA: LUIS ARAYA . RUT RETIRA: 12345678-5</t>
  </si>
  <si>
    <t>Avenida el belloto 291</t>
  </si>
  <si>
    <t>REL715934</t>
  </si>
  <si>
    <t>271643953</t>
  </si>
  <si>
    <t>NOMBRE RETIRA: VERONICA MARDONES . RUT RETIRA: 11075426-4</t>
  </si>
  <si>
    <t>Jaime Pezoa</t>
  </si>
  <si>
    <t>Pasaje montalaban 781, villa españa, Casa</t>
  </si>
  <si>
    <t>REL715929</t>
  </si>
  <si>
    <t>271643975</t>
  </si>
  <si>
    <t>NOMBRE RETIRA: NELSON PEREIRA . RUT RETIRA: 56049390-8</t>
  </si>
  <si>
    <t>Javiera Molina Alvial</t>
  </si>
  <si>
    <t>3 poniente 220, Depto 802</t>
  </si>
  <si>
    <t>REL715957</t>
  </si>
  <si>
    <t>271643777</t>
  </si>
  <si>
    <t>NOMBRE RETIRA: ELIZABET . . RUT RETIRA: 15169035-1</t>
  </si>
  <si>
    <t>Elizabeh Olivares</t>
  </si>
  <si>
    <t>Villa Shangrila Pasaje Cerro Tololo 554</t>
  </si>
  <si>
    <t>REL715910</t>
  </si>
  <si>
    <t>271644124</t>
  </si>
  <si>
    <t>NOMBRE RETIRA: PERLA ECHEVERRIA . RUT RETIRA: 12533484-9</t>
  </si>
  <si>
    <t>Perla Echeverria</t>
  </si>
  <si>
    <t>Santa margarita 925, Depto 1210</t>
  </si>
  <si>
    <t>REL715897</t>
  </si>
  <si>
    <t>271644243</t>
  </si>
  <si>
    <t>NOMBRE RETIRA: GUILLERMO MATURANA B RUT RETIRA: 12607161-2</t>
  </si>
  <si>
    <t>Paola Farias Plaza</t>
  </si>
  <si>
    <t>26 sur C entre 17 y 18 poniente Parque la florida 55, Depto 303-B</t>
  </si>
  <si>
    <t>REL715908</t>
  </si>
  <si>
    <t>271644132</t>
  </si>
  <si>
    <t>NOMBRE RETIRA: ABEL LEFIPAN . RUT RETIRA: 7394767-7</t>
  </si>
  <si>
    <t>José Lefipán</t>
  </si>
  <si>
    <t>Santa Julia 836, Casa</t>
  </si>
  <si>
    <t>REL715896</t>
  </si>
  <si>
    <t>271644272</t>
  </si>
  <si>
    <t>NOMBRE RETIRA: CECILIA VILLALOBOS V RUT RETIRA: 17989081-K</t>
  </si>
  <si>
    <t>Avenida Francia 330, Departamento 333</t>
  </si>
  <si>
    <t>REL715901</t>
  </si>
  <si>
    <t>271644192</t>
  </si>
  <si>
    <t>NOMBRE RETIRA: JORGE GARRIDO G RUT RETIRA: 56049520-K</t>
  </si>
  <si>
    <t>Constanza Mafalda Velasco Carreño</t>
  </si>
  <si>
    <t>Avenida jardin del mar 265, Depto 902</t>
  </si>
  <si>
    <t>REL715943</t>
  </si>
  <si>
    <t>271643865</t>
  </si>
  <si>
    <t>NOMBRE RETIRA: OSVALDO MATAMORA .CONSERJE RUT RETIRA: 15955595-K</t>
  </si>
  <si>
    <t>Sergio Valdebenito Maldonado</t>
  </si>
  <si>
    <t>Avenida Gabriela mistral 4219, Torre da vinci 31</t>
  </si>
  <si>
    <t>REL715904</t>
  </si>
  <si>
    <t>271644143</t>
  </si>
  <si>
    <t>NOMBRE RETIRA: YASNA ZUMELZU . RUT RETIRA: 9180292-9</t>
  </si>
  <si>
    <t>Yasna Zumelzu Letelier</t>
  </si>
  <si>
    <t>Las gaviotas poste 21, a la izquierda (ultimo sitio), sitio numero 8, poste 21 (izquierda), al lado del PGO.</t>
  </si>
  <si>
    <t>REL715714</t>
  </si>
  <si>
    <t>271397946</t>
  </si>
  <si>
    <t>NOMBRE RETIRA: AXEL DAZAROLA . RUT RETIRA: 20780641-2</t>
  </si>
  <si>
    <t>Axel Dazarola Ledezma</t>
  </si>
  <si>
    <t>Rio Limari 3030, Casa roja</t>
  </si>
  <si>
    <t>REL715822</t>
  </si>
  <si>
    <t>271511534</t>
  </si>
  <si>
    <t>NOMBRE RETIRA: JAVIER VERA . RUT RETIRA: 26648450-K</t>
  </si>
  <si>
    <t>Javier vera</t>
  </si>
  <si>
    <t>Los Álamos 5 La Palma Quillota, Casa</t>
  </si>
  <si>
    <t>REL715869</t>
  </si>
  <si>
    <t>271644416</t>
  </si>
  <si>
    <t>NOMBRE RETIRA: DENIS BURGOS . RUT RETIRA: 65200575-6</t>
  </si>
  <si>
    <t>ximena cortez</t>
  </si>
  <si>
    <t>Carlos Ibáñez del campo 2551, Villa alemana, 1001</t>
  </si>
  <si>
    <t>REL715795</t>
  </si>
  <si>
    <t>271511768</t>
  </si>
  <si>
    <t>NOMBRE RETIRA: LUZ VELASQUEZ F. RUT RETIRA: 9365414-5</t>
  </si>
  <si>
    <t>Vanessa Leal muñoz</t>
  </si>
  <si>
    <t>Cobija 2457, Condominio parques cobija casa 67</t>
  </si>
  <si>
    <t>REL715654</t>
  </si>
  <si>
    <t>271515289</t>
  </si>
  <si>
    <t>NOMBRE RETIRA: EUNICE CARRASCO . RUT RETIRA: 8844455-8</t>
  </si>
  <si>
    <t>Eunice Carrasco cuevas</t>
  </si>
  <si>
    <t>Francisco Coloane Villa Cayetano Letelier 81</t>
  </si>
  <si>
    <t>2026-05-31 20:07</t>
  </si>
  <si>
    <t>REL715815</t>
  </si>
  <si>
    <t>271511580</t>
  </si>
  <si>
    <t>claudia estay</t>
  </si>
  <si>
    <t>Libertad, 16482948-0</t>
  </si>
  <si>
    <t>REL715802</t>
  </si>
  <si>
    <t>271511711</t>
  </si>
  <si>
    <t>NOMBRE RETIRA: JOE FLORWA . RUT RETIRA: 7443848-2</t>
  </si>
  <si>
    <t>Maria José Flores</t>
  </si>
  <si>
    <t>Azapa 1651</t>
  </si>
  <si>
    <t>REL715756</t>
  </si>
  <si>
    <t>271397536</t>
  </si>
  <si>
    <t>Victor Viza calizaya</t>
  </si>
  <si>
    <t>Rosario Aguirre Bravo 4268, Casa</t>
  </si>
  <si>
    <t>REL715791</t>
  </si>
  <si>
    <t>271511812</t>
  </si>
  <si>
    <t>NOMBRE RETIRA: MARIO FICA J RUT RETIRA: 18194820-5</t>
  </si>
  <si>
    <t>Melissa Pinilla</t>
  </si>
  <si>
    <t>Brisas del maipo 2132, Casa 4 altos del maipo IVB</t>
  </si>
  <si>
    <t>REL715832</t>
  </si>
  <si>
    <t>271511423</t>
  </si>
  <si>
    <t>NOMBRE RETIRA: LUZ ANGEL . RUT RETIRA: 25214680-6</t>
  </si>
  <si>
    <t>Luz viviana Angel gallego</t>
  </si>
  <si>
    <t>Parcelacion colina la vara, Los boldos 101</t>
  </si>
  <si>
    <t>REL715805</t>
  </si>
  <si>
    <t>271511649</t>
  </si>
  <si>
    <t>NOMBRE RETIRA: RODOLFO CARDENAS . RUT RETIRA: 26962310-1</t>
  </si>
  <si>
    <t>Emanuel Escobar</t>
  </si>
  <si>
    <t>Manuel Rodríguez 1267, 1308</t>
  </si>
  <si>
    <t>REL715810</t>
  </si>
  <si>
    <t>271511571</t>
  </si>
  <si>
    <t>NOMBRE RETIRA: JUAN ZAMBRANO . RUT RETIRA: 10190636-1</t>
  </si>
  <si>
    <t>Nicole Zambrano Aviles</t>
  </si>
  <si>
    <t>Avenida las Torres 5195, Casa, Villa la posada escuadrón</t>
  </si>
  <si>
    <t>REL715786</t>
  </si>
  <si>
    <t>271397273</t>
  </si>
  <si>
    <t>NOMBRE RETIRA: CLAUDIA MALDONADO . RUT RETIRA: 15767899-K</t>
  </si>
  <si>
    <t>Franklin Yañez Nahuelhuaique</t>
  </si>
  <si>
    <t>Avenida brasil N° 065, Sector la vega</t>
  </si>
  <si>
    <t>REL715638</t>
  </si>
  <si>
    <t>271307189</t>
  </si>
  <si>
    <t>NOMBRE RETIRA: CERGUIO VARAS H RUT RETIRA: 7522273-4</t>
  </si>
  <si>
    <t>Claudia Tosetti</t>
  </si>
  <si>
    <t>Avenida Argentina 1665, 1106A</t>
  </si>
  <si>
    <t>2026-05-29 20:24</t>
  </si>
  <si>
    <t>REL715776</t>
  </si>
  <si>
    <t>271397347</t>
  </si>
  <si>
    <t>NOMBRE RETIRA: PRISCILLA CAMPOS . RUT RETIRA: 12345678-5</t>
  </si>
  <si>
    <t>Luis Uribe 100, 2002 torre capital</t>
  </si>
  <si>
    <t>REL715716</t>
  </si>
  <si>
    <t>271397850</t>
  </si>
  <si>
    <t>NOMBRE RETIRA: CRISTIAN BUSTAMANTE . RUT RETIRA: 26620554-6</t>
  </si>
  <si>
    <t>Franklin Juica Rojas</t>
  </si>
  <si>
    <t>Canada 2466, Casa</t>
  </si>
  <si>
    <t>REL715825</t>
  </si>
  <si>
    <t>271511496</t>
  </si>
  <si>
    <t>NOMBRE RETIRA: TATIANA .. . RUT RETIRA: 53330390-0</t>
  </si>
  <si>
    <t>Tatiana Beltrami</t>
  </si>
  <si>
    <t>Av. Matta 866 Placeres, Valparaíso, Casa</t>
  </si>
  <si>
    <t>REL715842</t>
  </si>
  <si>
    <t>271511400</t>
  </si>
  <si>
    <t>Carlos Neculman</t>
  </si>
  <si>
    <t>Los pinos 937 depto 308, 308</t>
  </si>
  <si>
    <t>REL715724</t>
  </si>
  <si>
    <t>271397836</t>
  </si>
  <si>
    <t>NOMBRE RETIRA: VALENTINA HOOK A RUT RETIRA: 12345678-5</t>
  </si>
  <si>
    <t>Valentina Huck</t>
  </si>
  <si>
    <t>Santa Magdalena 1188, Casa Esquina Verde(1186 O 1188, Casa Esquina Verde(1186 O 1188)</t>
  </si>
  <si>
    <t>REL715848</t>
  </si>
  <si>
    <t>271511332</t>
  </si>
  <si>
    <t>Avenida Chacabuco 111, Depto 2204</t>
  </si>
  <si>
    <t>REL715811</t>
  </si>
  <si>
    <t>271511599</t>
  </si>
  <si>
    <t>NOMBRE RETIRA: REINALDO SOFFGE SOFFGE RUT RETIRA: 14468566-0</t>
  </si>
  <si>
    <t>Patricia Güemes de Söffge</t>
  </si>
  <si>
    <t>ALTAMAR 347, 14523692-4</t>
  </si>
  <si>
    <t>REL715846</t>
  </si>
  <si>
    <t>271511340</t>
  </si>
  <si>
    <t>NOMBRE RETIRA: DANIELA SPLIS . RUT RETIRA: 19677802-0</t>
  </si>
  <si>
    <t>Daniela Solís</t>
  </si>
  <si>
    <t>Alcalde Gustavo Fuschlocher 1418, Casa</t>
  </si>
  <si>
    <t>REL715829</t>
  </si>
  <si>
    <t>271511448</t>
  </si>
  <si>
    <t>NOMBRE RETIRA: ALVARO BUSTO . RUT RETIRA: 16137572-1</t>
  </si>
  <si>
    <t>Jose miguel García 200, Depto 210 torre 3</t>
  </si>
  <si>
    <t>REL715754</t>
  </si>
  <si>
    <t>271397578</t>
  </si>
  <si>
    <t>NOMBRE RETIRA: KATERIN .. .. RUT RETIRA: 18070482-5</t>
  </si>
  <si>
    <t>Estefany Castro Gutiérrez</t>
  </si>
  <si>
    <t>Calle 1 casa 489 población vista hermosa, Talcahuano los cerros, 489</t>
  </si>
  <si>
    <t>REL715821</t>
  </si>
  <si>
    <t>271511551</t>
  </si>
  <si>
    <t>NOMBRE RETIRA: PATRICIA ACUNA . RUT RETIRA: 11781298-7</t>
  </si>
  <si>
    <t>Los robles 5067 valle volcanes, Casa 5067</t>
  </si>
  <si>
    <t>REL715718</t>
  </si>
  <si>
    <t>271397873</t>
  </si>
  <si>
    <t>NOMBRE RETIRA: GENESIS CENTELLA CENTELLA RUT RETIRA: 19493307-K</t>
  </si>
  <si>
    <t>Avenida Comandante San MartÍn 0320, 901B</t>
  </si>
  <si>
    <t>REL715834</t>
  </si>
  <si>
    <t>271511418</t>
  </si>
  <si>
    <t>NOMBRE RETIRA: EDUARDO SANDOVAL S RUT RETIRA: 56049520-K</t>
  </si>
  <si>
    <t>Los Sargazos 240, 602</t>
  </si>
  <si>
    <t>REL715722</t>
  </si>
  <si>
    <t>271397809</t>
  </si>
  <si>
    <t>NOMBRE RETIRA: JIMENA ANGULO CASTRO RUT RETIRA: 18090885-4</t>
  </si>
  <si>
    <t>Jimena Angulo Castro</t>
  </si>
  <si>
    <t>Pasaje silicio 8083, Casa</t>
  </si>
  <si>
    <t>REL715835</t>
  </si>
  <si>
    <t>271511391</t>
  </si>
  <si>
    <t>NOMBRE RETIRA: LESLIE MUJICA . RUT RETIRA: 65221533-5</t>
  </si>
  <si>
    <t>Isla melinka 220, 1004</t>
  </si>
  <si>
    <t>REL715826</t>
  </si>
  <si>
    <t>271511453</t>
  </si>
  <si>
    <t>NOMBRE RETIRA: LEONAL ASTUDILLO A RUT RETIRA: 56049520-K</t>
  </si>
  <si>
    <t>Lorena sanhueza Franco</t>
  </si>
  <si>
    <t>San Jorge 1680, Departamento 132, Entre 15 y 18 notte</t>
  </si>
  <si>
    <t>REL715823</t>
  </si>
  <si>
    <t>271511507</t>
  </si>
  <si>
    <t>NOMBRE RETIRA: MARCELA CARDENAS BALMACEDA RUT RETIRA: 13347610-5</t>
  </si>
  <si>
    <t>Marcela Cárdenas Balmaceda</t>
  </si>
  <si>
    <t>Las magnolias 38, Plaza los acantos</t>
  </si>
  <si>
    <t>REL715797</t>
  </si>
  <si>
    <t>271511738</t>
  </si>
  <si>
    <t>NOMBRE RETIRA: HUGO ROBECO A RUT RETIRA: 53330390-0</t>
  </si>
  <si>
    <t>1 norte 869, Dpto 306</t>
  </si>
  <si>
    <t>REL715843</t>
  </si>
  <si>
    <t>271511348</t>
  </si>
  <si>
    <t>NOMBRE RETIRA: PILAR ROMAN . RUT RETIRA: 18794897-5</t>
  </si>
  <si>
    <t>Hugo Santander</t>
  </si>
  <si>
    <t>Mujica 0149, Casa</t>
  </si>
  <si>
    <t>REL715807</t>
  </si>
  <si>
    <t>271511610</t>
  </si>
  <si>
    <t>NOMBRE RETIRA: YARITZA AHUMADA . RUT RETIRA: 17971129-K</t>
  </si>
  <si>
    <t>Av. Michimalongo 2354, D103 el porvenir 2</t>
  </si>
  <si>
    <t>REL715641</t>
  </si>
  <si>
    <t>271307206</t>
  </si>
  <si>
    <t>NOMBRE RETIRA: ARLETE . . RUT RETIRA: 19910261-3</t>
  </si>
  <si>
    <t>Paloma Díaz Romero</t>
  </si>
  <si>
    <t>Adrían Rivera Alfaro 1764, Casa</t>
  </si>
  <si>
    <t>REL715715</t>
  </si>
  <si>
    <t>271397933</t>
  </si>
  <si>
    <t>Llanten 2101, Casa 40</t>
  </si>
  <si>
    <t>REL715702</t>
  </si>
  <si>
    <t>271278695</t>
  </si>
  <si>
    <t>NOMBRE RETIRA: MARITZA BADILLA . RUT RETIRA: 16020525-3</t>
  </si>
  <si>
    <t>Maritza Badilla Castillo</t>
  </si>
  <si>
    <t>Taqui Kala #3552, Villa Lomas Huasi, Casa esquina</t>
  </si>
  <si>
    <t>REL715782</t>
  </si>
  <si>
    <t>271397314</t>
  </si>
  <si>
    <t>NOMBRE RETIRA: SERGIO MUNOZ A RUT RETIRA: 65084800-4</t>
  </si>
  <si>
    <t>Milena Rivillo Gálvez</t>
  </si>
  <si>
    <t>Los arrayanes 317, Condominio alto belloto</t>
  </si>
  <si>
    <t>REL715649</t>
  </si>
  <si>
    <t>271307144</t>
  </si>
  <si>
    <t>NOMBRE RETIRA: MANUEL PAREDES . RUT RETIRA: 12891004-2</t>
  </si>
  <si>
    <t>Quito 945</t>
  </si>
  <si>
    <t>REL715713</t>
  </si>
  <si>
    <t>271397925</t>
  </si>
  <si>
    <t>NOMBRE RETIRA: MARCELO TORREHON . RUT RETIRA: 17174448-2</t>
  </si>
  <si>
    <t>Yuliana Torrejon Varela</t>
  </si>
  <si>
    <t>Parcela 67 Las Tórtolas Norte Tongoy, Parcela</t>
  </si>
  <si>
    <t>REL715751</t>
  </si>
  <si>
    <t>271397592</t>
  </si>
  <si>
    <t>NOMBRE RETIRA: YASNA ALCAYAGA O RUT RETIRA: 12345678-5</t>
  </si>
  <si>
    <t>Yasna Alcayaga Salva</t>
  </si>
  <si>
    <t>Gladys egaña 718</t>
  </si>
  <si>
    <t>REL715644</t>
  </si>
  <si>
    <t>271307198</t>
  </si>
  <si>
    <t>NOMBRE RETIRA: MACARENA DIAZ . RUT RETIRA: 21575365-4</t>
  </si>
  <si>
    <t>Pasaje Los Chequenes 02175</t>
  </si>
  <si>
    <t>REL715725</t>
  </si>
  <si>
    <t>271397718</t>
  </si>
  <si>
    <t>NOMBRE RETIRA: DIEGO YANEZ R RUT RETIRA: 18437004-2</t>
  </si>
  <si>
    <t>Diego Yañez</t>
  </si>
  <si>
    <t>Valle de la luna 3260</t>
  </si>
  <si>
    <t>REL715720</t>
  </si>
  <si>
    <t>271397886</t>
  </si>
  <si>
    <t>NOMBRE RETIRA: LAURA LEON . RUT RETIRA: 8154028-4</t>
  </si>
  <si>
    <t>Camila Ortiz Leon</t>
  </si>
  <si>
    <t>Brasil 111</t>
  </si>
  <si>
    <t>REL715732</t>
  </si>
  <si>
    <t>271397666</t>
  </si>
  <si>
    <t>NOMBRE RETIRA: PATRICIA ORBENES . RUT RETIRA: 8652981-5</t>
  </si>
  <si>
    <t>Marcela Orbenes</t>
  </si>
  <si>
    <t>Avenida Brasil 1073</t>
  </si>
  <si>
    <t>REL715730</t>
  </si>
  <si>
    <t>271397750</t>
  </si>
  <si>
    <t>NOMBRE RETIRA: ALEJABDRO CID . RUT RETIRA: 7487739-7</t>
  </si>
  <si>
    <t>Rene Soriano 2162, 2162</t>
  </si>
  <si>
    <t>REL715757</t>
  </si>
  <si>
    <t>271397521</t>
  </si>
  <si>
    <t>NOMBRE RETIRA: DORIS FLANDES . RUT RETIRA: 8081537-9</t>
  </si>
  <si>
    <t>Doris Flandes Montalva</t>
  </si>
  <si>
    <t>Calle Pablo Neruda 8761, villa conavicoop, 8761</t>
  </si>
  <si>
    <t>REL715682</t>
  </si>
  <si>
    <t>271278895</t>
  </si>
  <si>
    <t>NOMBRE RETIRA: HERNAN VEGA . RUT RETIRA: 19831997-K</t>
  </si>
  <si>
    <t>Andrea Bravo Lee</t>
  </si>
  <si>
    <t>Las Torres 3350, Torre 11, Dpto. 54</t>
  </si>
  <si>
    <t>REL715762</t>
  </si>
  <si>
    <t>271397447</t>
  </si>
  <si>
    <t>NOMBRE RETIRA: ERIKA BUYONES . RUT RETIRA: 65051133-6</t>
  </si>
  <si>
    <t>PAULA ROZAS</t>
  </si>
  <si>
    <t>Casa 45 La Cruz, Avenida Veintiuno De Mayo 4895</t>
  </si>
  <si>
    <t>REL715755</t>
  </si>
  <si>
    <t>271397511</t>
  </si>
  <si>
    <t>NOMBRE RETIRA: MATIAS PORTALES . RUT RETIRA: 22100782-4</t>
  </si>
  <si>
    <t>Loreto Schonherr</t>
  </si>
  <si>
    <t>Aucuman 062, Villa Galilea</t>
  </si>
  <si>
    <t>REL715647</t>
  </si>
  <si>
    <t>271307176</t>
  </si>
  <si>
    <t>NOMBRE RETIRA: CECILIA VARGAS . RUT RETIRA: 17575914-K</t>
  </si>
  <si>
    <t>Fidel Ignacio Gonzalez</t>
  </si>
  <si>
    <t>Forestal, La paz 2355, Casa (Portón verde)</t>
  </si>
  <si>
    <t>REL715736</t>
  </si>
  <si>
    <t>271397672</t>
  </si>
  <si>
    <t>NOMBRE RETIRA: RICARDO ARAYA . RUT RETIRA: 65193574-1</t>
  </si>
  <si>
    <t>Francisca Rayen Coñuecar Puelles</t>
  </si>
  <si>
    <t>Ojos de agua 140, Apt. 301 B2</t>
  </si>
  <si>
    <t>REL715679</t>
  </si>
  <si>
    <t>271278903</t>
  </si>
  <si>
    <t>israel irarrazabal torres</t>
  </si>
  <si>
    <t>Ascotan Norte 155, D611A, Condominio Faro Norte</t>
  </si>
  <si>
    <t>REL715675</t>
  </si>
  <si>
    <t>271398230</t>
  </si>
  <si>
    <t>Maria de los Angeles Rosales</t>
  </si>
  <si>
    <t>Salas 245, 903</t>
  </si>
  <si>
    <t>REL715769</t>
  </si>
  <si>
    <t>271397396</t>
  </si>
  <si>
    <t>NOMBRE RETIRA: CARLOS MARTINEZ A RUT RETIRA: 7334539-1</t>
  </si>
  <si>
    <t>Carlos Martínez Erba</t>
  </si>
  <si>
    <t>Los Estanques 1374</t>
  </si>
  <si>
    <t>REL715742</t>
  </si>
  <si>
    <t>271397624</t>
  </si>
  <si>
    <t>NOMBRE RETIRA: FRANCISCO ORTUZAR . RUT RETIRA: 8323514-4</t>
  </si>
  <si>
    <t>Antonio Ortúzar Valdés</t>
  </si>
  <si>
    <t>Chacabuco 386</t>
  </si>
  <si>
    <t>REL715712</t>
  </si>
  <si>
    <t>271397960</t>
  </si>
  <si>
    <t>NOMBRE RETIRA: PATEICIO PAILLAN . RUT RETIRA: 13951536-6</t>
  </si>
  <si>
    <t>Patricio Rios Pailanca</t>
  </si>
  <si>
    <t>Avenida Las Rosas 1679, Dpto 310</t>
  </si>
  <si>
    <t>REL715763</t>
  </si>
  <si>
    <t>271397437</t>
  </si>
  <si>
    <t>NOMBRE RETIRA: MIGUEL SEPULVEDA CONSERJE RUT RETIRA: 4776256-1</t>
  </si>
  <si>
    <t>Margarita Gallardo Bravo</t>
  </si>
  <si>
    <t>Stela Alpina Oriente 358</t>
  </si>
  <si>
    <t>REL715780</t>
  </si>
  <si>
    <t>271397320</t>
  </si>
  <si>
    <t>NOMBRE RETIRA: DANIEL RIVAA . RUT RETIRA: 10329483-5</t>
  </si>
  <si>
    <t>Daniel Rivas Villarroel</t>
  </si>
  <si>
    <t>Calle Parque Nacional Torres Del Paine 7801, 7801</t>
  </si>
  <si>
    <t>REL715768</t>
  </si>
  <si>
    <t>271397407</t>
  </si>
  <si>
    <t>NOMBRE RETIRA: MAECELA GIONZALEZ . RUT RETIRA: 7999474-K</t>
  </si>
  <si>
    <t>Mariana Krauss</t>
  </si>
  <si>
    <t>Antamo 531, Casa</t>
  </si>
  <si>
    <t>REL715758</t>
  </si>
  <si>
    <t>271397496</t>
  </si>
  <si>
    <t>NOMBRE RETIRA: MARIA MUNOZ . RUT RETIRA: 53325330-K</t>
  </si>
  <si>
    <t>maricel pradenas  opazo</t>
  </si>
  <si>
    <t>Diagonal Oriente 2036</t>
  </si>
  <si>
    <t>REL715727</t>
  </si>
  <si>
    <t>271397766</t>
  </si>
  <si>
    <t>NOMBRE RETIRA: DANIELA VITA . . RUT RETIRA: 20908149-0</t>
  </si>
  <si>
    <t>Susana Sotomayor</t>
  </si>
  <si>
    <t>Casa, Maraton 215</t>
  </si>
  <si>
    <t>REL715723</t>
  </si>
  <si>
    <t>271397859</t>
  </si>
  <si>
    <t>NOMBRE RETIRA: LUKAS JIMENEZ . RUT RETIRA: 21754100-K</t>
  </si>
  <si>
    <t>ADRIANA ALVAREZ CARVAJAL</t>
  </si>
  <si>
    <t>PASAJE VENECIA  CON AVENIDA MILAN POBLACION LOURDES VIÑA DEL MAR ALTO, CASA 9</t>
  </si>
  <si>
    <t>REL715717</t>
  </si>
  <si>
    <t>271397823</t>
  </si>
  <si>
    <t>NOMBRE RETIRA: LORETO GUZMAN . RUT RETIRA: 18686443-3</t>
  </si>
  <si>
    <t>loreto Guzmán Vilchez</t>
  </si>
  <si>
    <t>el roble 162, casa 8</t>
  </si>
  <si>
    <t>REL715750</t>
  </si>
  <si>
    <t>271397612</t>
  </si>
  <si>
    <t>NOMBRE RETIRA: CLAUDIO ESPINIZO SALGADP RUT RETIRA: 10140694-6</t>
  </si>
  <si>
    <t>Miguel Álvarez</t>
  </si>
  <si>
    <t>Quilquihuenco 57, Población las tarrias</t>
  </si>
  <si>
    <t>REL715648</t>
  </si>
  <si>
    <t>271307151</t>
  </si>
  <si>
    <t>NOMBRE RETIRA: CARLA CASTILLO . RUT RETIRA: 20501807-7</t>
  </si>
  <si>
    <t>Castillo Castillo Alé</t>
  </si>
  <si>
    <t>Esmeralda 948</t>
  </si>
  <si>
    <t>REL715784</t>
  </si>
  <si>
    <t>271397278</t>
  </si>
  <si>
    <t>NOMBRE RETIRA: JUAN HERERRA , RUT RETIRA: 14398357-9</t>
  </si>
  <si>
    <t>alonso diaz</t>
  </si>
  <si>
    <t>Calle 6 Oriente 1790, Talca, Chile, Condominio parque las Heras Oriente departamento 310</t>
  </si>
  <si>
    <t>REL715731</t>
  </si>
  <si>
    <t>271397701</t>
  </si>
  <si>
    <t>NOMBRE RETIRA: HERNAN GODOYS D RUT RETIRA: 18490705-4</t>
  </si>
  <si>
    <t>Hernán Godoy</t>
  </si>
  <si>
    <t>Camino los carros 1955, MegaCentro TREEPOWER</t>
  </si>
  <si>
    <t>REL715680</t>
  </si>
  <si>
    <t>271398278</t>
  </si>
  <si>
    <t>NOMBRE RETIRA: CLAUDIO SEGURA SEGURA RUT RETIRA: 10570093-8</t>
  </si>
  <si>
    <t>Luz Pinilla</t>
  </si>
  <si>
    <t>Independencia 500</t>
  </si>
  <si>
    <t>REL715698</t>
  </si>
  <si>
    <t>271278687</t>
  </si>
  <si>
    <t>NOMBRE RETIRA: VANIA CORTES SEVERINO RUT RETIRA: 20624449-6</t>
  </si>
  <si>
    <t>Lucas Zegers</t>
  </si>
  <si>
    <t>Klenner348</t>
  </si>
  <si>
    <t>REL715703</t>
  </si>
  <si>
    <t>271278647</t>
  </si>
  <si>
    <t>NOMBRE RETIRA: LUCAS MONTOYA H RUT RETIRA: 20069021-4</t>
  </si>
  <si>
    <t>Lucas Diego Montoya Poblete</t>
  </si>
  <si>
    <t>2 y media Norte con 25 Oriente Villa Tabunco #3322, Casa</t>
  </si>
  <si>
    <t>REL715664</t>
  </si>
  <si>
    <t>271279009</t>
  </si>
  <si>
    <t>NOMBRE RETIRA: CONSERJERIA D G RUT RETIRA: 53332388-K</t>
  </si>
  <si>
    <t>Francisca Estrada raurich</t>
  </si>
  <si>
    <t>Condell sur 1234, Departamento 508</t>
  </si>
  <si>
    <t>REL715705</t>
  </si>
  <si>
    <t>271278640</t>
  </si>
  <si>
    <t>NOMBRE RETIRA: PABLO EACIBAR K RUT RETIRA: 12345678-5</t>
  </si>
  <si>
    <t>Alejandro Villagran</t>
  </si>
  <si>
    <t>aragon 375, departamento 402</t>
  </si>
  <si>
    <t>REL715706</t>
  </si>
  <si>
    <t>271278612</t>
  </si>
  <si>
    <t>Yasna Calabrano Fonseca</t>
  </si>
  <si>
    <t>Ejército 497, Depto 418 Torre E</t>
  </si>
  <si>
    <t>REL715685</t>
  </si>
  <si>
    <t>271278842</t>
  </si>
  <si>
    <t>NOMBRE RETIRA: PAULINA . . RUT RETIRA: 12345678-5</t>
  </si>
  <si>
    <t>Paulina Vargas Díaz</t>
  </si>
  <si>
    <t>Agua Santa 1400, Torre 5 dpto 203</t>
  </si>
  <si>
    <t>REL715662</t>
  </si>
  <si>
    <t>271279002</t>
  </si>
  <si>
    <t>NOMBRE RETIRA: CAROLINA HERNANDEZ . RUT RETIRA: 18374747-9</t>
  </si>
  <si>
    <t>Carolina Hernandez Marmolejo</t>
  </si>
  <si>
    <t>Membrillar 230, 1004</t>
  </si>
  <si>
    <t>REL715691</t>
  </si>
  <si>
    <t>271278767</t>
  </si>
  <si>
    <t>NOMBRE RETIRA: ROSA MENA .. RUT RETIRA: 19146817-1</t>
  </si>
  <si>
    <t>Sebastian eduardo Castillo barraza</t>
  </si>
  <si>
    <t>Los canelos 289, villa los naranjos, 289</t>
  </si>
  <si>
    <t>REL715668</t>
  </si>
  <si>
    <t>271278993</t>
  </si>
  <si>
    <t>NOMBRE RETIRA: LEONARDO SOTELLO . RUT RETIRA: 15125770-4</t>
  </si>
  <si>
    <t>wallis olivares celis</t>
  </si>
  <si>
    <t>Leonardo sotello 1842 los andes, Casa</t>
  </si>
  <si>
    <t>REL715666</t>
  </si>
  <si>
    <t>271278920</t>
  </si>
  <si>
    <t>NOMBRE RETIRA: PABLO SABEDRA LL RUT RETIRA: 11707004-2</t>
  </si>
  <si>
    <t>Pablo Saavedra Campos</t>
  </si>
  <si>
    <t>Peñuelas 870, osorno</t>
  </si>
  <si>
    <t>REL715707</t>
  </si>
  <si>
    <t>271278620</t>
  </si>
  <si>
    <t>NOMBRE RETIRA: ISRAEL PEREZ . RUT RETIRA: 25815128-3</t>
  </si>
  <si>
    <t>Matías Robles Herrera</t>
  </si>
  <si>
    <t>Camino el venado 284, Torre B depto 86</t>
  </si>
  <si>
    <t>REL715696</t>
  </si>
  <si>
    <t>271278731</t>
  </si>
  <si>
    <t>NOMBRE RETIRA: KEVIN GUTIERREZ A RUT RETIRA: 20990923-5</t>
  </si>
  <si>
    <t>Janett Jaque</t>
  </si>
  <si>
    <t>Avenida España 1191</t>
  </si>
  <si>
    <t>REL715633</t>
  </si>
  <si>
    <t>271135831</t>
  </si>
  <si>
    <t>NOMBRE RETIRA: BENJAMIN SEPULVEDA A RUT RETIRA: 12345678-5</t>
  </si>
  <si>
    <t>Benjamin Sepulveda turres</t>
  </si>
  <si>
    <t>Av ejército 1530, Dejar en la guardia</t>
  </si>
  <si>
    <t>REL715631</t>
  </si>
  <si>
    <t>271135852</t>
  </si>
  <si>
    <t>NOMBRE RETIRA: MARIO ESPINOZA . RUT RETIRA: 14072986-8</t>
  </si>
  <si>
    <t>Calle Nueva Uno 4981, Casa</t>
  </si>
  <si>
    <t>REL715594</t>
  </si>
  <si>
    <t>271070267</t>
  </si>
  <si>
    <t>NOMBRE RETIRA: ALEJANDRO HERRERA ZARAZA RUT RETIRA: 20093697-3</t>
  </si>
  <si>
    <t>María Fernanda Núñez Miranda</t>
  </si>
  <si>
    <t>Hernán Cortés 3651</t>
  </si>
  <si>
    <t>2026-05-27 21:13</t>
  </si>
  <si>
    <t>REL715621</t>
  </si>
  <si>
    <t>271135848</t>
  </si>
  <si>
    <t>NOMBRE RETIRA: VICTORIA SLIMING . RUT RETIRA: 12299725-1</t>
  </si>
  <si>
    <t>Victoria Slimming</t>
  </si>
  <si>
    <t>seis poniente 6917, casa</t>
  </si>
  <si>
    <t>REL715635</t>
  </si>
  <si>
    <t>271135823</t>
  </si>
  <si>
    <t>NOMBRE RETIRA: EVELYN SOBARZO H RUT RETIRA: 14028039-9</t>
  </si>
  <si>
    <t>Sebastián Fierro</t>
  </si>
  <si>
    <t>Vicesuperintendente Oscar Olivares Ojeda 481, Casa</t>
  </si>
  <si>
    <t>REL715612</t>
  </si>
  <si>
    <t>271135864</t>
  </si>
  <si>
    <t>NOMBRE RETIRA: JAQUELINE PAEZ N RUT RETIRA: 13634649-0</t>
  </si>
  <si>
    <t>Jacqueline Paez</t>
  </si>
  <si>
    <t>Vil Alemana, Pasaje Extremadura 0487</t>
  </si>
  <si>
    <t>REL715598</t>
  </si>
  <si>
    <t>271070259</t>
  </si>
  <si>
    <t>NOMBRE RETIRA: LUZ LONDONO H RUT RETIRA: 29117342-K</t>
  </si>
  <si>
    <t>SERGIO ANDRES MORALES MEDINA</t>
  </si>
  <si>
    <t>Manuel Verbal 1545, Departamento 701 Torre A</t>
  </si>
  <si>
    <t>REL715583</t>
  </si>
  <si>
    <t>270975403</t>
  </si>
  <si>
    <t>NOMBRE RETIRA: MAKARE NS N RUT RETIRA: 22572195-5</t>
  </si>
  <si>
    <t>Cristobal Sepulveda Jara</t>
  </si>
  <si>
    <t>Pasaje Bandera 7316, Depto 44</t>
  </si>
  <si>
    <t>2026-05-27 10:04</t>
  </si>
  <si>
    <t>REL715601</t>
  </si>
  <si>
    <t>271070225</t>
  </si>
  <si>
    <t>NOMBRE RETIRA: JULIO TAPIA . RUT RETIRA: 9483467-8</t>
  </si>
  <si>
    <t>Traumen, 1781</t>
  </si>
  <si>
    <t>2026-05-27 21:14</t>
  </si>
  <si>
    <t>REL715597</t>
  </si>
  <si>
    <t>271070246</t>
  </si>
  <si>
    <t>NOMBRE RETIRA: SUSANA RAMIREZ . RUT RETIRA: 9410943-4</t>
  </si>
  <si>
    <t>JOAQUIN SANCHEZ</t>
  </si>
  <si>
    <t>LOS EUCALIPTUS 3836</t>
  </si>
  <si>
    <t>REL715600</t>
  </si>
  <si>
    <t>271070209</t>
  </si>
  <si>
    <t>NOMBRE RETIRA: JORGE BRIONES . RUT RETIRA: 4773441-K</t>
  </si>
  <si>
    <t>Guillermo Maulen Herrera</t>
  </si>
  <si>
    <t>Calle Pinares 24, Casa 36, Condominio Alto Castaño 2, Chiguayante, Casa 36</t>
  </si>
  <si>
    <t>REL715573</t>
  </si>
  <si>
    <t>270975440</t>
  </si>
  <si>
    <t>NOMBRE RETIRA: JOSE OLIVA . RUT RETIRA: 7075110-0</t>
  </si>
  <si>
    <t>Maria jose Oliva puguin</t>
  </si>
  <si>
    <t>Oficina petronila 291, casa 38, sector norte, antofagasta, Condominio / marcar 038 y luego la campanita</t>
  </si>
  <si>
    <t>REL715603</t>
  </si>
  <si>
    <t>271070221</t>
  </si>
  <si>
    <t>NOMBRE RETIRA: RAFARL CHANDIA M RUT RETIRA: 12059354-4</t>
  </si>
  <si>
    <t>Natalia Sepulveda perez</t>
  </si>
  <si>
    <t>Avenida universidad 630, Casa 140</t>
  </si>
  <si>
    <t>REL715578</t>
  </si>
  <si>
    <t>270975435</t>
  </si>
  <si>
    <t>NOMBRE RETIRA: LORENA DIAZ P RUT RETIRA: 13742484-3</t>
  </si>
  <si>
    <t>Lorena Diaz Peña</t>
  </si>
  <si>
    <t>Pasaje Sucre 2986</t>
  </si>
  <si>
    <t>2026-05-26 20:37</t>
  </si>
  <si>
    <t>REL715605</t>
  </si>
  <si>
    <t>271070198</t>
  </si>
  <si>
    <t>NOMBRE RETIRA: MIGUEL URIBE . RUT RETIRA: 20294093-5</t>
  </si>
  <si>
    <t>Francisco Traillanca Gómez</t>
  </si>
  <si>
    <t>Dela salvador 750, Departamento torre A</t>
  </si>
  <si>
    <t>REL715611</t>
  </si>
  <si>
    <t>271070195</t>
  </si>
  <si>
    <t>NOMBRE RETIRA: LUIS COSTA GUARDIA RUT RETIRA: 27355158-1</t>
  </si>
  <si>
    <t>esteban Castillo Galleguillos</t>
  </si>
  <si>
    <t>Avenida costanera del Rio 213, depto 352, torre 13</t>
  </si>
  <si>
    <t>2026-05-28 12:10</t>
  </si>
  <si>
    <t>REL715593</t>
  </si>
  <si>
    <t>271070278</t>
  </si>
  <si>
    <t>NOMBRE RETIRA: NICOLE MEDINA B RUT RETIRA: 65168966-K</t>
  </si>
  <si>
    <t>Avenida Campos Deportivos 440, Torre H 101</t>
  </si>
  <si>
    <t>REL715599</t>
  </si>
  <si>
    <t>271070255</t>
  </si>
  <si>
    <t>NOMBRE RETIRA: VICTOR PONCE . RUT RETIRA: 19595099-7</t>
  </si>
  <si>
    <t>Victor Ponce</t>
  </si>
  <si>
    <t>rene schneider 76 michaihue, Casa</t>
  </si>
  <si>
    <t>REL715580</t>
  </si>
  <si>
    <t>270975417</t>
  </si>
  <si>
    <t>NOMBRE RETIRA: RANDI LOPRZ . RUT RETIRA: 29142147-4</t>
  </si>
  <si>
    <t>Natalia Villalon</t>
  </si>
  <si>
    <t>Maipu 501 depto 1604 torre 2, Condominio costa coquimbo</t>
  </si>
  <si>
    <t>REL715585</t>
  </si>
  <si>
    <t>270975387</t>
  </si>
  <si>
    <t>NOMBRE RETIRA: JULIA CORDERO . RUT RETIRA: 13951536-6</t>
  </si>
  <si>
    <t>julia CORDERO</t>
  </si>
  <si>
    <t>avenida las margaritas 1475, dpto 401</t>
  </si>
  <si>
    <t>REL715306</t>
  </si>
  <si>
    <t>270115987</t>
  </si>
  <si>
    <t>NOMBRE RETIRA: DELLANIRA VEGA K RUT RETIRA: 8053954-1</t>
  </si>
  <si>
    <t>Cristobal Bardales Rioseco</t>
  </si>
  <si>
    <t>Ogana 1345</t>
  </si>
  <si>
    <t>2026-05-12 21:32</t>
  </si>
  <si>
    <t>REL715570</t>
  </si>
  <si>
    <t>270907088</t>
  </si>
  <si>
    <t>NOMBRE RETIRA: PALOMA DIAZ . RUT RETIRA: 13420836-8</t>
  </si>
  <si>
    <t>Paloma Díaz</t>
  </si>
  <si>
    <t>Adrian Rivera Alfaro 1764, Casa</t>
  </si>
  <si>
    <t>REL715544</t>
  </si>
  <si>
    <t>270810264</t>
  </si>
  <si>
    <t>NOMBRE RETIRA: MARGARITA CARIMAN X RUT RETIRA: 16176219-9</t>
  </si>
  <si>
    <t>Gianina Elgueta</t>
  </si>
  <si>
    <t>Saturnino Epulef 955 ⁠955, Dpto 705 / D</t>
  </si>
  <si>
    <t>2026-05-24 20:38</t>
  </si>
  <si>
    <t>REL715555</t>
  </si>
  <si>
    <t>270810194</t>
  </si>
  <si>
    <t>NOMBRE RETIRA: RODRIGO QUEZADA . RUT RETIRA: 19854801-4</t>
  </si>
  <si>
    <t>REL715012</t>
  </si>
  <si>
    <t>269569810</t>
  </si>
  <si>
    <t>NOMBRE RETIRA: KRISHNA RODRIGUEZ . RUT RETIRA: 17575914-K</t>
  </si>
  <si>
    <t>Dinka Arce</t>
  </si>
  <si>
    <t>Calle Limache 3405, Oficina 127-128</t>
  </si>
  <si>
    <t>2026-05-04 20:41</t>
  </si>
  <si>
    <t>REL715571</t>
  </si>
  <si>
    <t>270907080</t>
  </si>
  <si>
    <t>NOMBRE RETIRA: LUISA MARTEK B RUT RETIRA: 10811169-0</t>
  </si>
  <si>
    <t>Cristian Monsalves Lagos</t>
  </si>
  <si>
    <t>Teofilo Grob 839</t>
  </si>
  <si>
    <t>REL715553</t>
  </si>
  <si>
    <t>2294419956</t>
  </si>
  <si>
    <t>Ignacio Palacios</t>
  </si>
  <si>
    <t>Avenida cornisa 750, 817</t>
  </si>
  <si>
    <t>REL715546</t>
  </si>
  <si>
    <t>270810233</t>
  </si>
  <si>
    <t>NOMBRE RETIRA: CAMILA NANCO . RUT RETIRA: 21149484-0</t>
  </si>
  <si>
    <t>Felipe San martin</t>
  </si>
  <si>
    <t>Bernardo ohiggins 318, Farmacia salcobrand</t>
  </si>
  <si>
    <t>REL715541</t>
  </si>
  <si>
    <t>270810249</t>
  </si>
  <si>
    <t>NOMBRE RETIRA: CINTIA ALVAREZ H RUT RETIRA: 12837605-4</t>
  </si>
  <si>
    <t>Manuel verbal 1545, Depto 2404 torre B</t>
  </si>
  <si>
    <t>REL715523</t>
  </si>
  <si>
    <t>2294421356</t>
  </si>
  <si>
    <t>VolcÁn Antuco 1137 ⁠, Casa</t>
  </si>
  <si>
    <t>2026-05-23 11:47</t>
  </si>
  <si>
    <t>REL715518</t>
  </si>
  <si>
    <t>2294421426</t>
  </si>
  <si>
    <t>Macarena Alvarez Rival</t>
  </si>
  <si>
    <t>2026-05-22 20:30</t>
  </si>
  <si>
    <t>REL715565</t>
  </si>
  <si>
    <t>270907097</t>
  </si>
  <si>
    <t>NOMBRE RETIRA: GISELLA GUERRERO J RUT RETIRA: 16120449-8</t>
  </si>
  <si>
    <t>Germán Meneses</t>
  </si>
  <si>
    <t>Av circunvalación norte 701, Dpto 207 B</t>
  </si>
  <si>
    <t>REL715560</t>
  </si>
  <si>
    <t>270907049</t>
  </si>
  <si>
    <t>NOMBRE RETIRA: FERNANDO MOREIRA . RUT RETIRA: 8520840-3</t>
  </si>
  <si>
    <t>Esteban Lopez Segura</t>
  </si>
  <si>
    <t>Camino del sur, 495 depto 402B</t>
  </si>
  <si>
    <t>REL715528</t>
  </si>
  <si>
    <t>270810305</t>
  </si>
  <si>
    <t>NOMBRE RETIRA: LUIS ESCOBAR . RUT RETIRA: 8875696-7</t>
  </si>
  <si>
    <t>natalia Muñoz</t>
  </si>
  <si>
    <t>Avenida francia 1790, condominio jardín los robles, D 52</t>
  </si>
  <si>
    <t>REL715540</t>
  </si>
  <si>
    <t>270810295</t>
  </si>
  <si>
    <t>NOMBRE RETIRA: LEONARDOLWOANTDO .. .. RUT RETIRA: 53310370-7</t>
  </si>
  <si>
    <t>Jocelyn Dufey Meynet</t>
  </si>
  <si>
    <t>Los pablos 2031 ⁠2031, 406A</t>
  </si>
  <si>
    <t>REL715530</t>
  </si>
  <si>
    <t>270810326</t>
  </si>
  <si>
    <t>NOMBRE RETIRA: CARLOS CAZANOVA C RUT RETIRA: 18773280-8</t>
  </si>
  <si>
    <t>Sebastian Contreras jofre</t>
  </si>
  <si>
    <t>Andres Bello 1577, Minimarket chañar</t>
  </si>
  <si>
    <t>REL715548</t>
  </si>
  <si>
    <t>270810202</t>
  </si>
  <si>
    <t>Gabriela Hitschfeld</t>
  </si>
  <si>
    <t>Santiago rosas 2401, Depto 301 torre 3</t>
  </si>
  <si>
    <t>REL715542</t>
  </si>
  <si>
    <t>270810272</t>
  </si>
  <si>
    <t>NOMBRE RETIRA: GUSTAVO OLIVARES . RUT RETIRA: 9525146-3</t>
  </si>
  <si>
    <t>Diannella Basic Isasi</t>
  </si>
  <si>
    <t>5 norte 169, 71</t>
  </si>
  <si>
    <t>REL715513</t>
  </si>
  <si>
    <t>270810398</t>
  </si>
  <si>
    <t>NOMBRE RETIRA: CKAUDIA MIRANDA . RUT RETIRA: 11161826-7</t>
  </si>
  <si>
    <t>alexis alfaro</t>
  </si>
  <si>
    <t>avenida cardenal jorge medina estevez 3700, depto 408, torre b (condominio talinay )</t>
  </si>
  <si>
    <t>REL715525</t>
  </si>
  <si>
    <t>270810336</t>
  </si>
  <si>
    <t>NOMBRE RETIRA: CAROLINA CID . RUT RETIRA: 19457462-2</t>
  </si>
  <si>
    <t>Vicuña Mackenna 0202, Temuco, Edificio aguas araucania</t>
  </si>
  <si>
    <t>REL715550</t>
  </si>
  <si>
    <t>270810214</t>
  </si>
  <si>
    <t>NOMBRE RETIRA: ALEJANDRA BARRA . RUT RETIRA: 19114005-2</t>
  </si>
  <si>
    <t>Alejandra Barra</t>
  </si>
  <si>
    <t>Undecima 1442</t>
  </si>
  <si>
    <t>REL715514</t>
  </si>
  <si>
    <t>270810367</t>
  </si>
  <si>
    <t>NOMBRE RETIRA: JUA HOTMAZABAN HOAZABN RUT RETIRA: 15103844-1</t>
  </si>
  <si>
    <t>Juan Hormazábal Pérez</t>
  </si>
  <si>
    <t>Pasaje Mauque 525, Condominio Vista Alameda, Depto 169</t>
  </si>
  <si>
    <t>REL716398</t>
  </si>
  <si>
    <t>713098501533</t>
  </si>
  <si>
    <t>Yanis Ferrada Polanco</t>
  </si>
  <si>
    <t>jose leiva rojas sur 2807, casa</t>
  </si>
  <si>
    <t>REL716419</t>
  </si>
  <si>
    <t>713098500940</t>
  </si>
  <si>
    <t>Pamela Wellmann</t>
  </si>
  <si>
    <t>Los Abedules 249, Casa</t>
  </si>
  <si>
    <t>2026-06-29 21:24</t>
  </si>
  <si>
    <t>REL716337</t>
  </si>
  <si>
    <t>713095778220</t>
  </si>
  <si>
    <t>Nombre: diego rivera - Rut: 20097557</t>
  </si>
  <si>
    <t>Diego Rivera Parra</t>
  </si>
  <si>
    <t>Luis BÁez 1042</t>
  </si>
  <si>
    <t>REL716329</t>
  </si>
  <si>
    <t>713095326495</t>
  </si>
  <si>
    <t>Nombre: constanza - Rut: 976051718</t>
  </si>
  <si>
    <t>Constanza Bruna Aguirre</t>
  </si>
  <si>
    <t>20 de agosto #808</t>
  </si>
  <si>
    <t>REL716229</t>
  </si>
  <si>
    <t>713092982136</t>
  </si>
  <si>
    <t>Nombre: maria saldias - Rut: 205891668</t>
  </si>
  <si>
    <t>María Saldias</t>
  </si>
  <si>
    <t>Manuel Rodriguez 999</t>
  </si>
  <si>
    <t>REL716179</t>
  </si>
  <si>
    <t>713092468266</t>
  </si>
  <si>
    <t>Nombre: Maria - Rut: 56090819</t>
  </si>
  <si>
    <t>Maria Cecilia Gallardo Herrera</t>
  </si>
  <si>
    <t>Vapor alondra 120, Casa</t>
  </si>
  <si>
    <t>REL716197</t>
  </si>
  <si>
    <t>713092467776</t>
  </si>
  <si>
    <t>Nombre: guadalupe tapia - Rut: 28944503</t>
  </si>
  <si>
    <t>Guadalupe Tapia</t>
  </si>
  <si>
    <t>Juan montes 00, Libreria Roxy</t>
  </si>
  <si>
    <t>REL716192</t>
  </si>
  <si>
    <t>713092468023</t>
  </si>
  <si>
    <t>Nombre: Rodrigo Molina - Rut: 189829930</t>
  </si>
  <si>
    <t>villa el arrayan, pasaje los copihues 1141, casa</t>
  </si>
  <si>
    <t>REL716184</t>
  </si>
  <si>
    <t>713092467721</t>
  </si>
  <si>
    <t>Nombre: javier hernandez - Rut: 138264203</t>
  </si>
  <si>
    <t>Karin Schulz</t>
  </si>
  <si>
    <t>Calle Lautaro 275, Chile chico</t>
  </si>
  <si>
    <t>REL716165</t>
  </si>
  <si>
    <t>713091329204</t>
  </si>
  <si>
    <t>Nombre: sergio parejas - Rut: 14615266</t>
  </si>
  <si>
    <t>Sergio Pareja Méndez</t>
  </si>
  <si>
    <t>Avenida Coronel Artilleria Luis Carrera 653, Villa Los Portones</t>
  </si>
  <si>
    <t>REL716154</t>
  </si>
  <si>
    <t>713090725395</t>
  </si>
  <si>
    <t>Nombre: nibaldo oyarzun - Rut: 45791890</t>
  </si>
  <si>
    <t>Consuelo Belen Duncker Oyarzun</t>
  </si>
  <si>
    <t>Ciro arredondo 428</t>
  </si>
  <si>
    <t>REL716130</t>
  </si>
  <si>
    <t>713090140000</t>
  </si>
  <si>
    <t>Nombre: paulina araya - Rut: 173021488</t>
  </si>
  <si>
    <t>Frank Vega Villegas</t>
  </si>
  <si>
    <t>Los Ángeles #213, población los héroes, casa</t>
  </si>
  <si>
    <t>REL716110</t>
  </si>
  <si>
    <t>713089443975</t>
  </si>
  <si>
    <t>Nombre: javiera maturana - Rut: 174221197</t>
  </si>
  <si>
    <t>Ale Montenegro</t>
  </si>
  <si>
    <t>Aviador Acevedo 1329</t>
  </si>
  <si>
    <t>REL716125</t>
  </si>
  <si>
    <t>713089449483</t>
  </si>
  <si>
    <t>Nombre: franco arasme - Rut: 10827185</t>
  </si>
  <si>
    <t>Michelle Rojas Tapia</t>
  </si>
  <si>
    <t>Av. Vicuña Mackena 649, Local comercial SERGO Melipilla</t>
  </si>
  <si>
    <t>REL715970</t>
  </si>
  <si>
    <t>713086720614</t>
  </si>
  <si>
    <t>Nombre: alejandra armijo - Rut: 10827185</t>
  </si>
  <si>
    <t>EL NOGAL  01988 ALTO EL MAITEN</t>
  </si>
  <si>
    <t>REL715978</t>
  </si>
  <si>
    <t>713086720312</t>
  </si>
  <si>
    <t>Nombre: Benjamin chacon - Rut: 181633409</t>
  </si>
  <si>
    <t>Benjamin Chacon</t>
  </si>
  <si>
    <t>Ruta G-714 3040, Casa (portón de lata)</t>
  </si>
  <si>
    <t>REL715986</t>
  </si>
  <si>
    <t>713086720010</t>
  </si>
  <si>
    <t>Nombre: Ronald Navarro - Rut: 162027786</t>
  </si>
  <si>
    <t>Lizette Vargas figueroa</t>
  </si>
  <si>
    <t>Pasaje Arturo Pérez canto 540, mejillones, Mejillones, ampliación casa máquina</t>
  </si>
  <si>
    <t>REL716004</t>
  </si>
  <si>
    <t>713086719030</t>
  </si>
  <si>
    <t>Nombre: rabin acuna - Rut: 145447577</t>
  </si>
  <si>
    <t>Viviana Iturriaga Becar</t>
  </si>
  <si>
    <t>Quinta AcuÑa, Calle ejercito 675</t>
  </si>
  <si>
    <t>REL715912</t>
  </si>
  <si>
    <t>713085591234</t>
  </si>
  <si>
    <t>Nombre: Molina - Rut: 153035105</t>
  </si>
  <si>
    <t>Sargento Aldea 1265A, Casilla 9</t>
  </si>
  <si>
    <t>REL716036</t>
  </si>
  <si>
    <t>713088598935</t>
  </si>
  <si>
    <t>Nombre: caobuqueo - Rut: 184267349</t>
  </si>
  <si>
    <t>Evelin Urrutia</t>
  </si>
  <si>
    <t>Merino jarpa 151, Casa</t>
  </si>
  <si>
    <t>REL716042</t>
  </si>
  <si>
    <t>713088598633</t>
  </si>
  <si>
    <t>Nombre: Miguel berrios - Rut: 162474529</t>
  </si>
  <si>
    <t>Camila Flores salinas</t>
  </si>
  <si>
    <t>Sargento Aldea 260, Pelluhue</t>
  </si>
  <si>
    <t>REL715962</t>
  </si>
  <si>
    <t>713085587200</t>
  </si>
  <si>
    <t>Nombre: claudia montenegro - Rut: 173456174</t>
  </si>
  <si>
    <t>Pardo 125</t>
  </si>
  <si>
    <t>REL715922</t>
  </si>
  <si>
    <t>713085590626</t>
  </si>
  <si>
    <t>Nombre: ruben cubillos - Rut: 183347373</t>
  </si>
  <si>
    <t>Rubén Cubillos Monroy</t>
  </si>
  <si>
    <t>Los Laureles 05</t>
  </si>
  <si>
    <t>REL715865</t>
  </si>
  <si>
    <t>713085594233</t>
  </si>
  <si>
    <t>Nombre: Monica Merino - Rut: 191697960</t>
  </si>
  <si>
    <t>Ana Montaña</t>
  </si>
  <si>
    <t>Los aromos 026</t>
  </si>
  <si>
    <t>REL716065</t>
  </si>
  <si>
    <t>713088598014</t>
  </si>
  <si>
    <t>Nombre: Maria Jose Henriquez - Rut: 171707692</t>
  </si>
  <si>
    <t>Maria jose Henriquez morales</t>
  </si>
  <si>
    <t>Independencia 515, 515</t>
  </si>
  <si>
    <t>2026-06-07 21:42</t>
  </si>
  <si>
    <t>REL715989</t>
  </si>
  <si>
    <t>713086719564</t>
  </si>
  <si>
    <t>Nombre: richard bustos - Rut: 70530589</t>
  </si>
  <si>
    <t>Avenida rucalhue 760, casa 22, Es un condominio</t>
  </si>
  <si>
    <t>REL715911</t>
  </si>
  <si>
    <t>713085591400</t>
  </si>
  <si>
    <t>Nombre: Rene Rivera Ramos - Rut: 9742262</t>
  </si>
  <si>
    <t>René Rivera Ramos</t>
  </si>
  <si>
    <t>Sector Hueñocoihue 1, Planta Sudmaris Chile SA</t>
  </si>
  <si>
    <t>REL715676</t>
  </si>
  <si>
    <t>713080397374</t>
  </si>
  <si>
    <t>Nombre: marcelo figueroa - Rut: 88961137</t>
  </si>
  <si>
    <t>Cristian Figueroa Abarca</t>
  </si>
  <si>
    <t>Villa esmeralda 54 zapallar, 54</t>
  </si>
  <si>
    <t>REL715792</t>
  </si>
  <si>
    <t>713083594300</t>
  </si>
  <si>
    <t>Nombre: Angela Salazar - Rut: 158136376</t>
  </si>
  <si>
    <t>Pasaje El Apero 0232</t>
  </si>
  <si>
    <t>REL715663</t>
  </si>
  <si>
    <t>713080398015</t>
  </si>
  <si>
    <t>Nombre: Silvia Barria - Rut: 127617945</t>
  </si>
  <si>
    <t>Paula Rodriguez Barria</t>
  </si>
  <si>
    <t>Libertad 1005, Quellon, Casa</t>
  </si>
  <si>
    <t>REL715700</t>
  </si>
  <si>
    <t>713080395683</t>
  </si>
  <si>
    <t>Nombre: Yovani Chavez - Rut: 165079361</t>
  </si>
  <si>
    <t>Caro Gonzalez</t>
  </si>
  <si>
    <t>Calle Centenario 218, Casa verde , poblacion el mirador</t>
  </si>
  <si>
    <t>REL715674</t>
  </si>
  <si>
    <t>713080397794</t>
  </si>
  <si>
    <t>Patricia Puchi Touret</t>
  </si>
  <si>
    <t>Carrera 1135</t>
  </si>
  <si>
    <t>REL715728</t>
  </si>
  <si>
    <t>713081949576</t>
  </si>
  <si>
    <t>Nombre: jazmin Eugenio - Rut: 172601340</t>
  </si>
  <si>
    <t>Jazmine Eugenin</t>
  </si>
  <si>
    <t>Pasaje 1 sur 939</t>
  </si>
  <si>
    <t>REL715645</t>
  </si>
  <si>
    <t>713080665010</t>
  </si>
  <si>
    <t>Nombre: Lilian idalgo - Rut: 127945268</t>
  </si>
  <si>
    <t>Liliana Hidalgo</t>
  </si>
  <si>
    <t>VicuÑa Mackenna 92</t>
  </si>
  <si>
    <t>REL715697</t>
  </si>
  <si>
    <t>713080395915</t>
  </si>
  <si>
    <t>Nombre: maria hernandez - Rut: 10827185</t>
  </si>
  <si>
    <t>María Hernandez Toledo</t>
  </si>
  <si>
    <t>Los Gorriones 1501 Altos del Parque Melipilla</t>
  </si>
  <si>
    <t>REL715695</t>
  </si>
  <si>
    <t>713080396195</t>
  </si>
  <si>
    <t>Nombre: Mabel vidal - Rut: 11360204</t>
  </si>
  <si>
    <t>Vinka Zaninovic Vargas</t>
  </si>
  <si>
    <t>San Agustín 310, Oficina</t>
  </si>
  <si>
    <t>REL715726</t>
  </si>
  <si>
    <t>713081949624</t>
  </si>
  <si>
    <t>Nombre: paula velasquez - Rut: 0</t>
  </si>
  <si>
    <t>Paula Fernández Paulsen</t>
  </si>
  <si>
    <t>Sotomayor 430</t>
  </si>
  <si>
    <t>REL715749</t>
  </si>
  <si>
    <t>713081948622</t>
  </si>
  <si>
    <t>Nombre: camila estrada - Rut: 19119716</t>
  </si>
  <si>
    <t>Camila Estrada Villarroel</t>
  </si>
  <si>
    <t>El Conquistador 937, Cas</t>
  </si>
  <si>
    <t>REL715741</t>
  </si>
  <si>
    <t>713081948692</t>
  </si>
  <si>
    <t>Nombre: Nora Fernandez - Rut: 129021616</t>
  </si>
  <si>
    <t>Progreso 35, Achao , Chiloé</t>
  </si>
  <si>
    <t>REL715589</t>
  </si>
  <si>
    <t>2296328344</t>
  </si>
  <si>
    <t>simon ocampo</t>
  </si>
  <si>
    <t>Las 3 Marías 340, Concón, Valparaíso, Chile, oficina</t>
  </si>
  <si>
    <t>REL716338</t>
  </si>
  <si>
    <t>2325454832</t>
  </si>
  <si>
    <t>Alexis Castañeda Ilabaca</t>
  </si>
  <si>
    <t>Pasaje yumbel, doña Antonia 3, 716</t>
  </si>
  <si>
    <t>REL716333</t>
  </si>
  <si>
    <t>2325454375</t>
  </si>
  <si>
    <t>Juan Palavecinos vergara</t>
  </si>
  <si>
    <t>Maule sur, 208</t>
  </si>
  <si>
    <t>REL716284</t>
  </si>
  <si>
    <t>2324524554</t>
  </si>
  <si>
    <t>Camila Cristensen</t>
  </si>
  <si>
    <t>Camino internacional 13255, Concón. Valparaiso, Coca Cola Embonor Concón</t>
  </si>
  <si>
    <t>REL716292</t>
  </si>
  <si>
    <t>2324523806</t>
  </si>
  <si>
    <t>Avda Victor Troncoso Muñoz 365, 365</t>
  </si>
  <si>
    <t>REL716297</t>
  </si>
  <si>
    <t>2324523574</t>
  </si>
  <si>
    <t>Diego Bravo Lecaros</t>
  </si>
  <si>
    <t>Los Olmos 11219, al lado del sauce, puerta con estatuas de madera</t>
  </si>
  <si>
    <t>REL716322</t>
  </si>
  <si>
    <t>2324522480</t>
  </si>
  <si>
    <t>Bárbara Ossandón</t>
  </si>
  <si>
    <t>Alto El Manzano, Las Lagunas 460</t>
  </si>
  <si>
    <t>REL716274</t>
  </si>
  <si>
    <t>2322545514</t>
  </si>
  <si>
    <t>Cynthia Leiva</t>
  </si>
  <si>
    <t>Calle ferroviario nº28 pedegua,</t>
  </si>
  <si>
    <t>REL716281</t>
  </si>
  <si>
    <t>2322545304</t>
  </si>
  <si>
    <t>Calle Laguna Querquel #379, 379</t>
  </si>
  <si>
    <t>REL716219</t>
  </si>
  <si>
    <t>2320649542</t>
  </si>
  <si>
    <t>REINALDO ISAAC ZAMUDIO MUÑOZ</t>
  </si>
  <si>
    <t>pasaje siete 3062 Poblacion El Manzanal</t>
  </si>
  <si>
    <t>REL716231</t>
  </si>
  <si>
    <t>2319610370</t>
  </si>
  <si>
    <t>Soledad Meynet</t>
  </si>
  <si>
    <t>Av. Concón Reñaca 4357 dep 1010 Torre A, Depto 1010 Torre A</t>
  </si>
  <si>
    <t>REL716205</t>
  </si>
  <si>
    <t>2318518602</t>
  </si>
  <si>
    <t>Ophelia Born Berhsing</t>
  </si>
  <si>
    <t>Avenida costa de montemar 460, Depto 123</t>
  </si>
  <si>
    <t>REL716163</t>
  </si>
  <si>
    <t>2316374922</t>
  </si>
  <si>
    <t>Karen Ferrer Mieres</t>
  </si>
  <si>
    <t>Liquidambar 757, Departamento 101</t>
  </si>
  <si>
    <t>REL716044</t>
  </si>
  <si>
    <t>2311995895</t>
  </si>
  <si>
    <t>Avenida arturo prat 29, 507D</t>
  </si>
  <si>
    <t>REL716068</t>
  </si>
  <si>
    <t>2311994554</t>
  </si>
  <si>
    <t>Elizabeth Herrera Gárate</t>
  </si>
  <si>
    <t>Avenida 18 de septiembre 1289 paine</t>
  </si>
  <si>
    <t>REL716082</t>
  </si>
  <si>
    <t>2311992056</t>
  </si>
  <si>
    <t>Carmen Gloria Torres Barahona</t>
  </si>
  <si>
    <t>Rehue 537, 537</t>
  </si>
  <si>
    <t>REL716098</t>
  </si>
  <si>
    <t>2311990553</t>
  </si>
  <si>
    <t>Beatriz Libreros Potes</t>
  </si>
  <si>
    <t>Entrelomas 365, 104</t>
  </si>
  <si>
    <t>REL716089</t>
  </si>
  <si>
    <t>2311989934</t>
  </si>
  <si>
    <t>Cristian Vargas Troncoso</t>
  </si>
  <si>
    <t>Francisca Ascencio Bustos 773, 773</t>
  </si>
  <si>
    <t>REL715968</t>
  </si>
  <si>
    <t>2309311255</t>
  </si>
  <si>
    <t>Tiare Romero Cancino</t>
  </si>
  <si>
    <t>Avenida Victor Troncoso Muñoz 375, Casa 68</t>
  </si>
  <si>
    <t>REL715985</t>
  </si>
  <si>
    <t>2309310500</t>
  </si>
  <si>
    <t>Fernanda García Vergara</t>
  </si>
  <si>
    <t>Avenida costa de montemar 433, Depto 1707</t>
  </si>
  <si>
    <t>REL715878</t>
  </si>
  <si>
    <t>2307852525</t>
  </si>
  <si>
    <t>Benjamin Plant</t>
  </si>
  <si>
    <t>El Acacio Y La Cruz, C2, Avenida Calera De Tango 18</t>
  </si>
  <si>
    <t>REL715882</t>
  </si>
  <si>
    <t>2307852212</t>
  </si>
  <si>
    <t>Maritza Valenzuela Pérez</t>
  </si>
  <si>
    <t>Arturo prat 298, Oficina entrega en horario de oficina hasta la 16:00 hrs</t>
  </si>
  <si>
    <t>REL715884</t>
  </si>
  <si>
    <t>2307852072</t>
  </si>
  <si>
    <t>carlos Abarzua</t>
  </si>
  <si>
    <t>Arturo prat 92, Supermercado El Campero</t>
  </si>
  <si>
    <t>REL715915</t>
  </si>
  <si>
    <t>2307848340</t>
  </si>
  <si>
    <t>Camila Rojas Ibacache</t>
  </si>
  <si>
    <t>Michio 69, Villa San rafael</t>
  </si>
  <si>
    <t>REL715928</t>
  </si>
  <si>
    <t>2307846811</t>
  </si>
  <si>
    <t>Arturo Prat, 66</t>
  </si>
  <si>
    <t>REL715932</t>
  </si>
  <si>
    <t>2307846111</t>
  </si>
  <si>
    <t>José Miguel Nathanael Caviedes Martínez</t>
  </si>
  <si>
    <t>Eliseo Lopez 102, Lo Miranda, 102</t>
  </si>
  <si>
    <t>REL715933</t>
  </si>
  <si>
    <t>2307845794</t>
  </si>
  <si>
    <t>Constanza Diaz Rivera</t>
  </si>
  <si>
    <t>Roma 945</t>
  </si>
  <si>
    <t>REL715803</t>
  </si>
  <si>
    <t>2305362861</t>
  </si>
  <si>
    <t>Gloria Caceres</t>
  </si>
  <si>
    <t>Calle DOS PC 23, PC 23</t>
  </si>
  <si>
    <t>REL715816</t>
  </si>
  <si>
    <t>2305361435</t>
  </si>
  <si>
    <t>Renatta Arancibia</t>
  </si>
  <si>
    <t>Cruceral 3, Parcela 3, Casa</t>
  </si>
  <si>
    <t>REL715708</t>
  </si>
  <si>
    <t>2303173235</t>
  </si>
  <si>
    <t>Verónica Rodriguez</t>
  </si>
  <si>
    <t>Membrillar  486, 441</t>
  </si>
  <si>
    <t>REL715709</t>
  </si>
  <si>
    <t>2303172406</t>
  </si>
  <si>
    <t>Domingo Fernández Concha 225</t>
  </si>
  <si>
    <t>REL715711</t>
  </si>
  <si>
    <t>2303172071</t>
  </si>
  <si>
    <t>Katherine Lopez Alderete</t>
  </si>
  <si>
    <t>Avenida el parque 1641, Casa 124</t>
  </si>
  <si>
    <t>REL715778</t>
  </si>
  <si>
    <t>2303165303</t>
  </si>
  <si>
    <t>LUIS FARIAS CACERES</t>
  </si>
  <si>
    <t>Sector Uno, Calle Dos parcela 23, Santo Domingo, Región de Valparaíso, 23</t>
  </si>
  <si>
    <t>REL715777</t>
  </si>
  <si>
    <t>2303165130</t>
  </si>
  <si>
    <t>Karin Johanna Sollich Blondet</t>
  </si>
  <si>
    <t>Saint Margaret 115, Depto 204A</t>
  </si>
  <si>
    <t>REL715671</t>
  </si>
  <si>
    <t>2300964820</t>
  </si>
  <si>
    <t>Calle Astaburuaga 1388, 3ra casa bajando por la escalera del lado izquierdo</t>
  </si>
  <si>
    <t>REL715673</t>
  </si>
  <si>
    <t>2300964400</t>
  </si>
  <si>
    <t>Veronica Avello Lagos</t>
  </si>
  <si>
    <t>DIEGO PORTALES 776 (Correos de Chile*)</t>
  </si>
  <si>
    <t>REL715687</t>
  </si>
  <si>
    <t>2300963696</t>
  </si>
  <si>
    <t>Paz ignacia Acevedo valdes</t>
  </si>
  <si>
    <t>Río Blanco 501, Casa C</t>
  </si>
  <si>
    <t>REL715613</t>
  </si>
  <si>
    <t>2298115260</t>
  </si>
  <si>
    <t>Carla Victoria González Matus</t>
  </si>
  <si>
    <t>Juan urbina escalante 924 los ciruelos, Casa (barrio los ciruelos)</t>
  </si>
  <si>
    <t>REL715618</t>
  </si>
  <si>
    <t>2298115072</t>
  </si>
  <si>
    <t>Miguel Lemus velasquez</t>
  </si>
  <si>
    <t>Ruta n-48-o parcela las tinajas puente 7, Vivero bello jardin</t>
  </si>
  <si>
    <t>REL715625</t>
  </si>
  <si>
    <t>2298114980</t>
  </si>
  <si>
    <t>Javiera Maraboli</t>
  </si>
  <si>
    <t>Lord cochrane con ohiggins parcela 7a, valle alegre, Valle alegre</t>
  </si>
  <si>
    <t>REL715559</t>
  </si>
  <si>
    <t>2295474624</t>
  </si>
  <si>
    <t>Francisco Galdames Santibáñez</t>
  </si>
  <si>
    <t>Camino la mina 128, Condominio  La Aurora</t>
  </si>
  <si>
    <t>#121729</t>
  </si>
  <si>
    <t>272245523</t>
  </si>
  <si>
    <t>SILVER FOX</t>
  </si>
  <si>
    <t>NOMBRE RETIRA: CRISTIAN MORALES . RUT RETIRA: 15885563-1</t>
  </si>
  <si>
    <t>Cristobal Colon 1166</t>
  </si>
  <si>
    <t>#121841</t>
  </si>
  <si>
    <t>272644162</t>
  </si>
  <si>
    <t>NOMBRE RETIRA: KATI DIAS DIAS RUT RETIRA: 14062928-6</t>
  </si>
  <si>
    <t>Mauricio Gajardo Plaza</t>
  </si>
  <si>
    <t>Av. Edmundo Pérez Zujovic, 10880, B201</t>
  </si>
  <si>
    <t>#121839</t>
  </si>
  <si>
    <t>272466214</t>
  </si>
  <si>
    <t>NOMBRE RETIRA: ALFREDI FERNANDEZ Z RUT RETIRA: 17557062-4</t>
  </si>
  <si>
    <t>Alfredo Fernadez Ramos</t>
  </si>
  <si>
    <t>Oscar belmar #063, Casa #063</t>
  </si>
  <si>
    <t>#121633</t>
  </si>
  <si>
    <t>2290519151</t>
  </si>
  <si>
    <t>Independencia 51 ⁠, Colegio Santa Teresa</t>
  </si>
  <si>
    <t>2026-05-18 13:28</t>
  </si>
  <si>
    <t>#121836</t>
  </si>
  <si>
    <t>272466208</t>
  </si>
  <si>
    <t>NOMBRE RETIRA: YANED UNOS FJ RUT RETIRA: 22572195-5</t>
  </si>
  <si>
    <t>GUILLERMO GALLARDO CAVIEDES</t>
  </si>
  <si>
    <t>radomiro tomic # 7849</t>
  </si>
  <si>
    <t>#121805</t>
  </si>
  <si>
    <t>272245846</t>
  </si>
  <si>
    <t>NOMBRE RETIRA: RODOLFP CALDERA CALDER RUT RETIRA: 20215443-3</t>
  </si>
  <si>
    <t>Andrés Coltters Palavecinos</t>
  </si>
  <si>
    <t>Abel Garibaldi 2229, Entre Pudahuel y río Gallegos</t>
  </si>
  <si>
    <t>#121823</t>
  </si>
  <si>
    <t>272245883</t>
  </si>
  <si>
    <t>NOMBRE RETIRA: PATRICIA . . RUT RETIRA: 15575312-9</t>
  </si>
  <si>
    <t>Aristia poniente 601, Casa esquina</t>
  </si>
  <si>
    <t>#121792</t>
  </si>
  <si>
    <t>272245836</t>
  </si>
  <si>
    <t>NOMBRE RETIRA: ENRIQUE RODTIGUEZ . RUT RETIRA: 15009275-2</t>
  </si>
  <si>
    <t>Enrique Rodriguez</t>
  </si>
  <si>
    <t>Caritaya 33, las palmas 1, Caritaya casa 33</t>
  </si>
  <si>
    <t>2026-06-12 16:59</t>
  </si>
  <si>
    <t>#121832</t>
  </si>
  <si>
    <t>272466186</t>
  </si>
  <si>
    <t>NOMBRE RETIRA: MARGARITA VALENZUELA . RUT RETIRA: 53324799-7</t>
  </si>
  <si>
    <t>Neldon Mellado</t>
  </si>
  <si>
    <t>Av 4 norte condominio los pinos 1 1020, Depto E 502</t>
  </si>
  <si>
    <t>#121838</t>
  </si>
  <si>
    <t>272466209</t>
  </si>
  <si>
    <t>NOMBRE RETIRA: MARIA ROBLES . RUT RETIRA: 9078323-8</t>
  </si>
  <si>
    <t>Rio claro 151</t>
  </si>
  <si>
    <t>#121837</t>
  </si>
  <si>
    <t>272466185</t>
  </si>
  <si>
    <t>NOMBRE RETIRA: VUXTOEA ALOZEMA Y RUT RETIRA: 21464515-7</t>
  </si>
  <si>
    <t>Miguel Godoy Ramos</t>
  </si>
  <si>
    <t>Pasaje flor de la estrella 2142, Casa</t>
  </si>
  <si>
    <t>#121815</t>
  </si>
  <si>
    <t>272245850</t>
  </si>
  <si>
    <t>#121752</t>
  </si>
  <si>
    <t>272245608</t>
  </si>
  <si>
    <t>NOMBRE RETIRA: FREDY RETAMAL . RUT RETIRA: 20751014-9</t>
  </si>
  <si>
    <t>Fredy Retamal</t>
  </si>
  <si>
    <t>Cochrane 1019, Cochrane 1019</t>
  </si>
  <si>
    <t>#121818</t>
  </si>
  <si>
    <t>272245864</t>
  </si>
  <si>
    <t>NOMBRE RETIRA: CESAR FLORES . RUT RETIRA: 14622163-7</t>
  </si>
  <si>
    <t>César flores mandiola</t>
  </si>
  <si>
    <t>Chala 2476 villa Caspana, Casa</t>
  </si>
  <si>
    <t>#121825</t>
  </si>
  <si>
    <t>272245878</t>
  </si>
  <si>
    <t>NOMBRE RETIRA: ALVARO CAMPUSANO . RUT RETIRA: 26648450-K</t>
  </si>
  <si>
    <t>Alvaro Campusano Aguilar</t>
  </si>
  <si>
    <t>Ava marathon 305, Block 5 depto 23</t>
  </si>
  <si>
    <t>#121833</t>
  </si>
  <si>
    <t>272466201</t>
  </si>
  <si>
    <t>NOMBRE RETIRA: SALVATORE ARANGUIZ .. RUT RETIRA: 12865247-7</t>
  </si>
  <si>
    <t>Salvatore Aránguiz J.</t>
  </si>
  <si>
    <t>Carlos Ibáñez del Campo 1943</t>
  </si>
  <si>
    <t>#121830</t>
  </si>
  <si>
    <t>272466178</t>
  </si>
  <si>
    <t>NOMBRE RETIRA: BENJAMIN CHAMORRO . RUT RETIRA: 19089673-0</t>
  </si>
  <si>
    <t>Hernan Morales</t>
  </si>
  <si>
    <t>Av. Los Cisnes 940, Casa 22, Casa 22</t>
  </si>
  <si>
    <t>#121689</t>
  </si>
  <si>
    <t>272245261</t>
  </si>
  <si>
    <t>NOMBRE RETIRA: ILMA HUMIRE U RUT RETIRA: 11111111-1</t>
  </si>
  <si>
    <t>Mauricio Avila</t>
  </si>
  <si>
    <t>Juan Noe 1214, Librería Diego o portón lateral con Irma</t>
  </si>
  <si>
    <t>#121775</t>
  </si>
  <si>
    <t>272245659</t>
  </si>
  <si>
    <t>NOMBRE RETIRA: CARLOA MORALEA MOLINA RUT RETIRA: 22200278-8</t>
  </si>
  <si>
    <t>Carlos Morales Molina</t>
  </si>
  <si>
    <t>Avenida Diego de Almagro 223, Departamento 1008, Torre A</t>
  </si>
  <si>
    <t>#121738</t>
  </si>
  <si>
    <t>272245604</t>
  </si>
  <si>
    <t>NOMBRE RETIRA: JACO PRETORIUS . RUT RETIRA: 20294093-5</t>
  </si>
  <si>
    <t>Jaco Pretorius</t>
  </si>
  <si>
    <t>#121725</t>
  </si>
  <si>
    <t>272245520</t>
  </si>
  <si>
    <t>NOMBRE RETIRA: JAIME LEPE . RUT RETIRA: 12533484-9</t>
  </si>
  <si>
    <t>JAIME LEPE SALDÍAS</t>
  </si>
  <si>
    <t>Alihuen 1195, Barrio Pehuen</t>
  </si>
  <si>
    <t>#121822</t>
  </si>
  <si>
    <t>272245873</t>
  </si>
  <si>
    <t>NOMBRE RETIRA: JOEL NOVOA . RUT RETIRA: 12085044-K</t>
  </si>
  <si>
    <t>Joel Novoa</t>
  </si>
  <si>
    <t>Los Nogales 257 B, Lomas coloradas, casa lila 2 pisos</t>
  </si>
  <si>
    <t>#121809</t>
  </si>
  <si>
    <t>272245858</t>
  </si>
  <si>
    <t>NOMBRE RETIRA: ISABEL LOPEZ . RUT RETIRA: 26603906-9</t>
  </si>
  <si>
    <t>Adan Ruminot Vallejos</t>
  </si>
  <si>
    <t>Avenida San Martín 924, oficina 605</t>
  </si>
  <si>
    <t>#121803</t>
  </si>
  <si>
    <t>272245840</t>
  </si>
  <si>
    <t>NOMBRE RETIRA: KIMOWENS M J RUT RETIRA: 22325512-4</t>
  </si>
  <si>
    <t>Sebastian Fontana</t>
  </si>
  <si>
    <t>Camino Del Bosque 4620,valparaíso, Valparaiso</t>
  </si>
  <si>
    <t>#121741</t>
  </si>
  <si>
    <t>272245625</t>
  </si>
  <si>
    <t>NOMBRE RETIRA: EDUARDO ARAGON . RUT RETIRA: 10973256-7</t>
  </si>
  <si>
    <t>Eduardo Aragon Rozas</t>
  </si>
  <si>
    <t>Calle Guillermo Montenegro, Casa #1759</t>
  </si>
  <si>
    <t>#121777</t>
  </si>
  <si>
    <t>272245661</t>
  </si>
  <si>
    <t>NOMBRE RETIRA: DEYSI CAMPBEL AGUILAR RUT RETIRA: 3793618-9</t>
  </si>
  <si>
    <t>Andres Lozano</t>
  </si>
  <si>
    <t>Atacama 871, Casa</t>
  </si>
  <si>
    <t>#121806</t>
  </si>
  <si>
    <t>272245841</t>
  </si>
  <si>
    <t>NOMBRE RETIRA: ANDRES LEIVA . RUT RETIRA: 12345678-5</t>
  </si>
  <si>
    <t>Av Francisco de aguirre 0405, Garita guardia sede universidad central de chile</t>
  </si>
  <si>
    <t>#121759</t>
  </si>
  <si>
    <t>272245635</t>
  </si>
  <si>
    <t>NOMBRE RETIRA: JON LIRA . RUT RETIRA: 9561096-K</t>
  </si>
  <si>
    <t>Felipe Melendez</t>
  </si>
  <si>
    <t>Calle lago maihue 631, Departamento 104 torre B</t>
  </si>
  <si>
    <t>#121799</t>
  </si>
  <si>
    <t>272245857</t>
  </si>
  <si>
    <t>NOMBRE RETIRA: BARBA CONTRERAS . RUT RETIRA: 13990168-1</t>
  </si>
  <si>
    <t>Rolando Correa Pesante</t>
  </si>
  <si>
    <t>Pasaje nueve y medio norte 279, Villa Jardines de Talca</t>
  </si>
  <si>
    <t>#121737</t>
  </si>
  <si>
    <t>272245603</t>
  </si>
  <si>
    <t>NOMBRE RETIRA: VICTOR PINOL . RUT RETIRA: 15687912-6</t>
  </si>
  <si>
    <t>Carlo Senn</t>
  </si>
  <si>
    <t>Avenida Francia 1740, Casa 30</t>
  </si>
  <si>
    <t>#121735</t>
  </si>
  <si>
    <t>272245530</t>
  </si>
  <si>
    <t>NOMBRE RETIRA: CRSTIAN GONZALEZ M RUT RETIRA: 20301600-K</t>
  </si>
  <si>
    <t>Cristian González Parra</t>
  </si>
  <si>
    <t>Villa Minera Andina, Santa Juana 105</t>
  </si>
  <si>
    <t>#121808</t>
  </si>
  <si>
    <t>272245843</t>
  </si>
  <si>
    <t>NOMBRE RETIRA: SEBASTIAN GONZALEZ GONZLEZ RUT RETIRA: 16252755-K</t>
  </si>
  <si>
    <t>La cañada 784, villas las cañadas 3, Casa (esquina)</t>
  </si>
  <si>
    <t>#121755</t>
  </si>
  <si>
    <t>272245611</t>
  </si>
  <si>
    <t>NOMBRE RETIRA: RODRIGO ESPINOZA . RUT RETIRA: 13196123-5</t>
  </si>
  <si>
    <t>Rodrigo Espinoza Perez</t>
  </si>
  <si>
    <t>Curva Corta # 1383, Barrancas</t>
  </si>
  <si>
    <t>#121718</t>
  </si>
  <si>
    <t>272245471</t>
  </si>
  <si>
    <t>NOMBRE RETIRA: JOSE GARCES X RUT RETIRA: 26498287-1</t>
  </si>
  <si>
    <t>Alejandro Martini Iriarte</t>
  </si>
  <si>
    <t>Maderas Martini KM 6, Villarrica A Freire Km 6</t>
  </si>
  <si>
    <t>#121790</t>
  </si>
  <si>
    <t>272245825</t>
  </si>
  <si>
    <t>NOMBRE RETIRA: FREDDY LOPEZ . RUT RETIRA: 12533484-9</t>
  </si>
  <si>
    <t>Freddy López Contreras</t>
  </si>
  <si>
    <t>Santa Teresa 945, Departamento 305</t>
  </si>
  <si>
    <t>#121694</t>
  </si>
  <si>
    <t>272245268</t>
  </si>
  <si>
    <t>NOMBRE RETIRA: HERNESTO CORONADO X RUT RETIRA: 11969704-2</t>
  </si>
  <si>
    <t>Rodrigo Abarzua</t>
  </si>
  <si>
    <t>Villarrica a freire / km 3 lomas de villarrica, Dejar con el conserje</t>
  </si>
  <si>
    <t>#121740</t>
  </si>
  <si>
    <t>272245605</t>
  </si>
  <si>
    <t>NOMBRE RETIRA: JOSE PARRAGYEZ .. RUT RETIRA: 12345678-5</t>
  </si>
  <si>
    <t>Jose parraguez Parraguez</t>
  </si>
  <si>
    <t>PeÑuelas Sur 101, Dpto 71 T3, PeÑuelas Sur 101</t>
  </si>
  <si>
    <t>#121817</t>
  </si>
  <si>
    <t>272245868</t>
  </si>
  <si>
    <t>NOMBRE RETIRA: CRISTIAN RODRIGUEZ . RUT RETIRA: 13878898-9</t>
  </si>
  <si>
    <t>Rodrigo Soto Gonzalez</t>
  </si>
  <si>
    <t>Avenida Industrial 1750, el Belloto, Quilpué, Oficinas de Corral Osorno (carnicería)</t>
  </si>
  <si>
    <t>#121719</t>
  </si>
  <si>
    <t>272245514</t>
  </si>
  <si>
    <t>NOMBRE RETIRA: FRANCO CAROCA . RUT RETIRA: 9956412-1</t>
  </si>
  <si>
    <t>Franco Caroca</t>
  </si>
  <si>
    <t>Anibal pinto 1045, 10</t>
  </si>
  <si>
    <t>#121657</t>
  </si>
  <si>
    <t>270782899</t>
  </si>
  <si>
    <t>NOMBRE RETIRA: DANIELA BUGUENO . RUT RETIRA: 18233826-5</t>
  </si>
  <si>
    <t>Oficina Petronila 10, Casa 10, Casa 10</t>
  </si>
  <si>
    <t>2026-05-25 01:22</t>
  </si>
  <si>
    <t>#121721</t>
  </si>
  <si>
    <t>272245516</t>
  </si>
  <si>
    <t>Javier Gonzalez Cuevas</t>
  </si>
  <si>
    <t>Galleguillos Lorca 1693, Departamento 1909, Depto 1909</t>
  </si>
  <si>
    <t>#121722</t>
  </si>
  <si>
    <t>272245518</t>
  </si>
  <si>
    <t>NOMBRE RETIRA: LHON PATINI H RUT RETIRA: 26428613-1</t>
  </si>
  <si>
    <t>Francisco Tapia Ubeda</t>
  </si>
  <si>
    <t>Salvador Reyes 940, Departamento 1606</t>
  </si>
  <si>
    <t>#121711</t>
  </si>
  <si>
    <t>272245299</t>
  </si>
  <si>
    <t>NOMBRE RETIRA: CQRLOS SEGOVIA A RUT RETIRA: 7630518-8</t>
  </si>
  <si>
    <t>Carlos Segovia</t>
  </si>
  <si>
    <t>Pasaje visviri # 1855</t>
  </si>
  <si>
    <t>#121675</t>
  </si>
  <si>
    <t>272245457</t>
  </si>
  <si>
    <t>NOMBRE RETIRA: BENJAMIN SALAZAR . RUT RETIRA: 22720767-1</t>
  </si>
  <si>
    <t>Yoni Salazar Ancapi</t>
  </si>
  <si>
    <t>Carlos IbÁÑez Del Campo # 342 ( Los Presidente ), Carlos IbÁÑez Del Campo # 342</t>
  </si>
  <si>
    <t>2026-06-12 16:55</t>
  </si>
  <si>
    <t>#121728</t>
  </si>
  <si>
    <t>272245539</t>
  </si>
  <si>
    <t>NOMBRE RETIRA: YANET GONZALES QUINTERO RUT RETIRA: 11821721-7</t>
  </si>
  <si>
    <t>Pedro pablo figueroa con pasaje san antonio 2636, Casa</t>
  </si>
  <si>
    <t>#121670</t>
  </si>
  <si>
    <t>272245454</t>
  </si>
  <si>
    <t>NOMBRE RETIRA: DPMINIK METZGER . RUT RETIRA: 20986933-0</t>
  </si>
  <si>
    <t>Hector Quiroz rosas</t>
  </si>
  <si>
    <t>Calle punta arenas 2308, Casa</t>
  </si>
  <si>
    <t>#121667</t>
  </si>
  <si>
    <t>272245474</t>
  </si>
  <si>
    <t>NOMBRE RETIRA: VIVIANA GALEB . RUT RETIRA: 7147959-5</t>
  </si>
  <si>
    <t>Avenida Estadio 3812</t>
  </si>
  <si>
    <t>#121685</t>
  </si>
  <si>
    <t>272245459</t>
  </si>
  <si>
    <t>NOMBRE RETIRA: JUAN RUMINOT . RUT RETIRA: 6132793-2</t>
  </si>
  <si>
    <t>sergio marshall</t>
  </si>
  <si>
    <t>avenida marina 72 depto 602, edificio mirador, 602</t>
  </si>
  <si>
    <t>#121681</t>
  </si>
  <si>
    <t>272245486</t>
  </si>
  <si>
    <t>NOMBRE RETIRA: CRISTIAN .. . RUT RETIRA: 53310370-7</t>
  </si>
  <si>
    <t>Pierangelo Fulgeri</t>
  </si>
  <si>
    <t>Los pablos 2031 torre A, Depto 401</t>
  </si>
  <si>
    <t>#121669</t>
  </si>
  <si>
    <t>272245478</t>
  </si>
  <si>
    <t>NOMBRE RETIRA: JASNA QUEVEDO QUEVEDO RUT RETIRA: 10349125-8</t>
  </si>
  <si>
    <t>Juan serapio lois 871, Centro</t>
  </si>
  <si>
    <t>#121666</t>
  </si>
  <si>
    <t>272245473</t>
  </si>
  <si>
    <t>NOMBRE RETIRA: BERTA HIDALGO . RUT RETIRA: 12399041-2</t>
  </si>
  <si>
    <t>Alfredo Cavada Palacios</t>
  </si>
  <si>
    <t>Pasaje Millalelmo 236</t>
  </si>
  <si>
    <t>#121662</t>
  </si>
  <si>
    <t>272245455</t>
  </si>
  <si>
    <t>NOMBRE RETIRA: DANIEL SANTANDER . RUT RETIRA: 18510916-K</t>
  </si>
  <si>
    <t>Ruta 5 norte km 190, Parcela 383 Condominio Rocas del Mar Los Molles</t>
  </si>
  <si>
    <t>#121716</t>
  </si>
  <si>
    <t>272245469</t>
  </si>
  <si>
    <t>NOMBRE RETIRA: DAVID FUENTES . RUT RETIRA: 13332526-3</t>
  </si>
  <si>
    <t>David Fuentes Venegas</t>
  </si>
  <si>
    <t>San Juan 1845, San Juan 1845</t>
  </si>
  <si>
    <t>#121668</t>
  </si>
  <si>
    <t>272245477</t>
  </si>
  <si>
    <t>NOMBRE RETIRA: JEDEON NIZARRO B RUT RETIRA: 53333480-6</t>
  </si>
  <si>
    <t>Sofia Aguilera</t>
  </si>
  <si>
    <t>BARROS ARANA 1672, DEPARTAMENTO 1903</t>
  </si>
  <si>
    <t>#121665</t>
  </si>
  <si>
    <t>272245481</t>
  </si>
  <si>
    <t>NOMBRE RETIRA: FRANCISCO CARRASCO . RUT RETIRA: 20224612-5</t>
  </si>
  <si>
    <t>Francisco carrasco</t>
  </si>
  <si>
    <t>Alcalde juan de Dios Aguirre 1991, Casa</t>
  </si>
  <si>
    <t>#121717</t>
  </si>
  <si>
    <t>272245470</t>
  </si>
  <si>
    <t>Diego Olguín Barraza</t>
  </si>
  <si>
    <t>Jose Vasquez Montenegro 153, Villa San Ambrosio</t>
  </si>
  <si>
    <t>#121682</t>
  </si>
  <si>
    <t>272245487</t>
  </si>
  <si>
    <t>NOMBRE RETIRA: LYIS RUMINO P RUT RETIRA: 16895442-5</t>
  </si>
  <si>
    <t>Gerardo Lacroix Alvarez</t>
  </si>
  <si>
    <t>Avenida laguna grande 533, 26</t>
  </si>
  <si>
    <t>#121663</t>
  </si>
  <si>
    <t>272245480</t>
  </si>
  <si>
    <t>NOMBRE RETIRA: REYES GALVEZ . RUT RETIRA: 5767229-3</t>
  </si>
  <si>
    <t>Reyes Galvez Luis</t>
  </si>
  <si>
    <t>Calle Montegrande 2692, Depto 104</t>
  </si>
  <si>
    <t>#121672</t>
  </si>
  <si>
    <t>272245458</t>
  </si>
  <si>
    <t>NOMBRE RETIRA: HANS OLMEDO . RUT RETIRA: 17575914-K</t>
  </si>
  <si>
    <t>Hans Olmedo</t>
  </si>
  <si>
    <t>Calle lago cóndor 58 población Puerto aysen forestal alto viña del mar, Casa</t>
  </si>
  <si>
    <t>#121732</t>
  </si>
  <si>
    <t>272245527</t>
  </si>
  <si>
    <t>NOMBRE RETIRA: MIGUEL IBANES . RUT RETIRA: 18805117-0</t>
  </si>
  <si>
    <t>MIGUEL Ibañez</t>
  </si>
  <si>
    <t>Helios 585, B203</t>
  </si>
  <si>
    <t>#121648</t>
  </si>
  <si>
    <t>2293335741</t>
  </si>
  <si>
    <t>Roberto Gutierrez Alvarez</t>
  </si>
  <si>
    <t>Calle España 373</t>
  </si>
  <si>
    <t>#121626</t>
  </si>
  <si>
    <t>270418202</t>
  </si>
  <si>
    <t>NOMBRE RETIRA: FRANCISCO GONZALWS . RUT RETIRA: 11111111-1</t>
  </si>
  <si>
    <t>Austria 01402, Casa</t>
  </si>
  <si>
    <t>#121583</t>
  </si>
  <si>
    <t>270291743</t>
  </si>
  <si>
    <t>NOMBRE RETIRA: LUIS OLMOS . RUT RETIRA: 11111111-1</t>
  </si>
  <si>
    <t>Luis Olmos Vidal</t>
  </si>
  <si>
    <t>Cruz Daniel Ramirez 0165, 0165</t>
  </si>
  <si>
    <t>2026-05-15 21:55</t>
  </si>
  <si>
    <t>#121647</t>
  </si>
  <si>
    <t>270724818</t>
  </si>
  <si>
    <t>NOMBRE RETIRA: VICTOR GONZALEZ _ RUT RETIRA: 12345678-5</t>
  </si>
  <si>
    <t>Avenida pacifico 2800, Condominio pacifico</t>
  </si>
  <si>
    <t>#121655</t>
  </si>
  <si>
    <t>270724807</t>
  </si>
  <si>
    <t>NOMBRE RETIRA: JUAN GONZALE Z A RUT RETIRA: 12230246-6</t>
  </si>
  <si>
    <t>Alexis Figueroa</t>
  </si>
  <si>
    <t>Esquina Doctor Salas, Marga Marga 1515</t>
  </si>
  <si>
    <t>#121651</t>
  </si>
  <si>
    <t>270724819</t>
  </si>
  <si>
    <t>NOMBRE RETIRA: AGISTINA MAYORINI . RUT RETIRA: 17971129-K</t>
  </si>
  <si>
    <t>Andrés Gazzolo Gómez</t>
  </si>
  <si>
    <t>Camino El Convento 2301, 019</t>
  </si>
  <si>
    <t>#121800</t>
  </si>
  <si>
    <t>713091463405</t>
  </si>
  <si>
    <t>Nombre: alvaro carrasco - Rut: 78393866</t>
  </si>
  <si>
    <t>Alvaro Carrasco Elgueta</t>
  </si>
  <si>
    <t>Teniente Serrano N° 355, Casa</t>
  </si>
  <si>
    <t>#121678</t>
  </si>
  <si>
    <t>713091459544</t>
  </si>
  <si>
    <t>Nombre: jonathan - Rut: 0</t>
  </si>
  <si>
    <t>Camino la palma 1100, Galpon 10</t>
  </si>
  <si>
    <t>#121714</t>
  </si>
  <si>
    <t>713091459872</t>
  </si>
  <si>
    <t>Nombre: Lilian rojas - Rut: 97050252</t>
  </si>
  <si>
    <t>Ramón Lara</t>
  </si>
  <si>
    <t>Rapallo 925, Casa</t>
  </si>
  <si>
    <t>#121296</t>
  </si>
  <si>
    <t>9460886481</t>
  </si>
  <si>
    <t>Carlos Martin agurto</t>
  </si>
  <si>
    <t>Cabo de hornos 37</t>
  </si>
  <si>
    <t>2026-05-05 12:35</t>
  </si>
  <si>
    <t>#121810</t>
  </si>
  <si>
    <t>2316672794</t>
  </si>
  <si>
    <t>MIGUEL GODOY</t>
  </si>
  <si>
    <t>AVENIDA VERGARA 1101 - ESQUINA CALLE 10, CASA CELESTE 2 PISOS</t>
  </si>
  <si>
    <t>#121782</t>
  </si>
  <si>
    <t>2316671070</t>
  </si>
  <si>
    <t>Avenida El Parque 1641, Casa 132</t>
  </si>
  <si>
    <t>#121661</t>
  </si>
  <si>
    <t>2316669401</t>
  </si>
  <si>
    <t>Cristian Tapia Cisternas</t>
  </si>
  <si>
    <t>Población porvenir pasaje chacalluta 8 ⁠8, Casa</t>
  </si>
  <si>
    <t>#121702</t>
  </si>
  <si>
    <t>2316667916</t>
  </si>
  <si>
    <t>Luis Cruz Martinez 1717, Hostal pucara</t>
  </si>
  <si>
    <t>#121701</t>
  </si>
  <si>
    <t>2316667872</t>
  </si>
  <si>
    <t>Cristóbal Cabrera</t>
  </si>
  <si>
    <t>General San MartÍn 347 Valle Grande.lampa, General San MartÍn 347</t>
  </si>
  <si>
    <t>#121688</t>
  </si>
  <si>
    <t>2316667776</t>
  </si>
  <si>
    <t>Osvaldo Ariel Astudillo Castro</t>
  </si>
  <si>
    <t>Avenida los parques 120, Condominio papudo laguna</t>
  </si>
  <si>
    <t>#121686</t>
  </si>
  <si>
    <t>2316667754</t>
  </si>
  <si>
    <t>Jose Miguel Castillo Carcamo</t>
  </si>
  <si>
    <t>Subida los lobos 0784, 10</t>
  </si>
  <si>
    <t>SIM3387</t>
  </si>
  <si>
    <t>271897783</t>
  </si>
  <si>
    <t>SIMPLEMENTE CAFE</t>
  </si>
  <si>
    <t>NOMBRE RETIRA: DAVID ULLOA Z RUT RETIRA: 14281005-0</t>
  </si>
  <si>
    <t>LUIS EDGARDO ROJAS LEMM</t>
  </si>
  <si>
    <t>LAS INDUSTRIAS 230, Apt. 603</t>
  </si>
  <si>
    <t>LVR-1173</t>
  </si>
  <si>
    <t>272571863</t>
  </si>
  <si>
    <t>Stocka - Logística Ecommerce</t>
  </si>
  <si>
    <t>Jerónimo Ferrer Durán</t>
  </si>
  <si>
    <t>Sanders 10, Dpto 1605</t>
  </si>
  <si>
    <t>MMD#1102</t>
  </si>
  <si>
    <t>272506454</t>
  </si>
  <si>
    <t>Daniel Mancilla</t>
  </si>
  <si>
    <t>Le Mans , 1760  Piso: B34</t>
  </si>
  <si>
    <t>LVR#1182</t>
  </si>
  <si>
    <t>272504100</t>
  </si>
  <si>
    <t>NOMBRE RETIRA: RENE MORALES . RUT RETIRA: 14399481-3</t>
  </si>
  <si>
    <t>11 Norte 5460 parcela viña esmeralda</t>
  </si>
  <si>
    <t>2026-06-17 11:27</t>
  </si>
  <si>
    <t>MSE#3429</t>
  </si>
  <si>
    <t>272339752</t>
  </si>
  <si>
    <t>NOMBRE RETIRA: FARAH LOPES L RUT RETIRA: 15007200-K</t>
  </si>
  <si>
    <t>Farah Lopez</t>
  </si>
  <si>
    <t>benjamin pinochet 1073</t>
  </si>
  <si>
    <t>MMD#1099</t>
  </si>
  <si>
    <t>272430290</t>
  </si>
  <si>
    <t>NOMBRE RETIRA: CONSTANZ CONTRERAS LAIRET RUT RETIRA: 7122246-2</t>
  </si>
  <si>
    <t>Fray Pedro Subercaseaux 1388</t>
  </si>
  <si>
    <t>LVR-1136</t>
  </si>
  <si>
    <t>271267340</t>
  </si>
  <si>
    <t>NOMBRE RETIRA: ELIANA SOTO . RUT RETIRA: 11111111-1</t>
  </si>
  <si>
    <t>Eliana Isabel Soto Aguila</t>
  </si>
  <si>
    <t>Guillermo Bloom 7</t>
  </si>
  <si>
    <t>MMD#1086</t>
  </si>
  <si>
    <t>272000273</t>
  </si>
  <si>
    <t>NOMBRE RETIRA: MARIA RAMOS I RUT RETIRA: 8411537-1</t>
  </si>
  <si>
    <t>Priscilla Blanco</t>
  </si>
  <si>
    <t>Calle uno, 374</t>
  </si>
  <si>
    <t>LVR-1160</t>
  </si>
  <si>
    <t>271896711</t>
  </si>
  <si>
    <t>NOMBRE RETIRA: JACQUELINE ACUNA ACUNA RUT RETIRA: 10863188-0</t>
  </si>
  <si>
    <t>Ana Acuña Acuña</t>
  </si>
  <si>
    <t>Tarragona 01996</t>
  </si>
  <si>
    <t>LAQ10864</t>
  </si>
  <si>
    <t>271728519</t>
  </si>
  <si>
    <t>Jorge Ross 975, T1D77</t>
  </si>
  <si>
    <t>LVR#1151</t>
  </si>
  <si>
    <t>271524937</t>
  </si>
  <si>
    <t>NOMBRE RETIRA: CAROLINA MORALES K RUT RETIRA: 33528865-3</t>
  </si>
  <si>
    <t>William Condon 3156, Casa</t>
  </si>
  <si>
    <t>LVR-1144</t>
  </si>
  <si>
    <t>271354528</t>
  </si>
  <si>
    <t>NOMBRE RETIRA: GERALDINA POBLETE . RUT RETIRA: 15256577-1</t>
  </si>
  <si>
    <t>Calle Arturo Prat 410,</t>
  </si>
  <si>
    <t>LVR1130</t>
  </si>
  <si>
    <t>271135662</t>
  </si>
  <si>
    <t>NOMBRE RETIRA: CLAUDIA SOLIS . RUT RETIRA: 77393481-9</t>
  </si>
  <si>
    <t>Claudia Arosali Solis Gómez</t>
  </si>
  <si>
    <t>santos vargas 295</t>
  </si>
  <si>
    <t>MMD#1079</t>
  </si>
  <si>
    <t>271275957</t>
  </si>
  <si>
    <t>NOMBRE RETIRA: CARLOS ALVAREZ . RUT RETIRA: 15711094-2</t>
  </si>
  <si>
    <t>Hualle, 374</t>
  </si>
  <si>
    <t>MMD#1080</t>
  </si>
  <si>
    <t>271275952</t>
  </si>
  <si>
    <t>NOMBRE RETIRA: ALBERTO TORRES GALLARDO RUT RETIRA: 17891219-4</t>
  </si>
  <si>
    <t>Renato Morchio Chavez</t>
  </si>
  <si>
    <t>San Ignacio, 1100 OFICINA</t>
  </si>
  <si>
    <t>MMD1082</t>
  </si>
  <si>
    <t>271265149</t>
  </si>
  <si>
    <t>NOMBRE RETIRA: YESSENIA SANCHEZ B RUT RETIRA: 14460837-2</t>
  </si>
  <si>
    <t>Avenida argentina , 3698</t>
  </si>
  <si>
    <t>LVR-1132</t>
  </si>
  <si>
    <t>271192831</t>
  </si>
  <si>
    <t>NOMBRE RETIRA: ROMINA CALDERON .. RUT RETIRA: 20012951-2</t>
  </si>
  <si>
    <t>Soledad Godoy</t>
  </si>
  <si>
    <t>Av gaston Hamel nieto 85</t>
  </si>
  <si>
    <t>2026-05-30 12:32</t>
  </si>
  <si>
    <t>MMD-1067</t>
  </si>
  <si>
    <t>271070877</t>
  </si>
  <si>
    <t>NOMBRE RETIRA: ISAAC PEREZ X RUT RETIRA: 15782081-8</t>
  </si>
  <si>
    <t>Lucas Uribe</t>
  </si>
  <si>
    <t>Valentin Letelier 609, Constructora Altius , CAUTIN</t>
  </si>
  <si>
    <t>MMD#1078</t>
  </si>
  <si>
    <t>270973704</t>
  </si>
  <si>
    <t>NOMBRE RETIRA: DANIELA P O RUT RETIRA: 12345678-5</t>
  </si>
  <si>
    <t>Valle del silencio , 03860</t>
  </si>
  <si>
    <t>2026-05-27 11:43</t>
  </si>
  <si>
    <t>LVR#1126</t>
  </si>
  <si>
    <t>270975229</t>
  </si>
  <si>
    <t>NOMBRE RETIRA: MANUEL CARENO A RUT RETIRA: 12372158-6</t>
  </si>
  <si>
    <t>Manuel Antonio Carreño Villaman</t>
  </si>
  <si>
    <t>Benito morales 4</t>
  </si>
  <si>
    <t>MSE#3401</t>
  </si>
  <si>
    <t>270984013</t>
  </si>
  <si>
    <t>NOMBRE RETIRA: PAULINA CASTILOO K RUT RETIRA: 15034848-K</t>
  </si>
  <si>
    <t>Paulina Castillo Espina</t>
  </si>
  <si>
    <t>Lircay 1747</t>
  </si>
  <si>
    <t>2026-05-27 13:46</t>
  </si>
  <si>
    <t>MSE-3400</t>
  </si>
  <si>
    <t>270949020</t>
  </si>
  <si>
    <t>NOMBRE RETIRA: LAURA PABON .. RUT RETIRA: 53332519-K</t>
  </si>
  <si>
    <t>Hecor Robles Fuentes</t>
  </si>
  <si>
    <t>capilla la esmeralda 16a , casa</t>
  </si>
  <si>
    <t>FLA-6352</t>
  </si>
  <si>
    <t>270564781</t>
  </si>
  <si>
    <t>NOMBRE RETIRA: ESTER FLORES . RUT RETIRA: 10143283-1</t>
  </si>
  <si>
    <t>Grilka Montoya Flores Peluqueriaflorescanela</t>
  </si>
  <si>
    <t>Juan Larrondo 620, canela baja, Canela ⁠620</t>
  </si>
  <si>
    <t>2026-05-20 12:29</t>
  </si>
  <si>
    <t>FLA#6356</t>
  </si>
  <si>
    <t>270870450</t>
  </si>
  <si>
    <t>NOMBRE RETIRA: ALINE CASTRO . RUT RETIRA: 19799587-4</t>
  </si>
  <si>
    <t>Aline Castro</t>
  </si>
  <si>
    <t>Enfermera A Pérez ⁠592</t>
  </si>
  <si>
    <t>2026-05-25 22:43</t>
  </si>
  <si>
    <t>MMD-1073</t>
  </si>
  <si>
    <t>270805239</t>
  </si>
  <si>
    <t>NOMBRE RETIRA: ESTEBAN CORONA . RUT RETIRA: 22485015-8</t>
  </si>
  <si>
    <t>Esteban Corona</t>
  </si>
  <si>
    <t>Osorno 1122</t>
  </si>
  <si>
    <t>SER3084</t>
  </si>
  <si>
    <t>270912417</t>
  </si>
  <si>
    <t>NOMBRE RETIRA: ALEJANDRO BWCERRA BECERRA RUT RETIRA: 19590509-6</t>
  </si>
  <si>
    <t>PELOS Y PULGAS SPA</t>
  </si>
  <si>
    <t>ARTURO PRAT 116 LOC 203</t>
  </si>
  <si>
    <t>MMD-1077</t>
  </si>
  <si>
    <t>270805233</t>
  </si>
  <si>
    <t>NOMBRE RETIRA: MARITZA CANCINO . RUT RETIRA: 11516911-4</t>
  </si>
  <si>
    <t>Felipe Ossa</t>
  </si>
  <si>
    <t>4 norte 1309, 705</t>
  </si>
  <si>
    <t>MMD1041</t>
  </si>
  <si>
    <t>270134117</t>
  </si>
  <si>
    <t>NOMBRE RETIRA: ARIANA MONTANO . RUT RETIRA: 18805117-0</t>
  </si>
  <si>
    <t>Ariana Montano</t>
  </si>
  <si>
    <t>Dr Pablo Murua, 220, 508, CONDOMNIO JARDINES DE AVELLANEDA 2</t>
  </si>
  <si>
    <t>2026-04-28 12:50</t>
  </si>
  <si>
    <t>RCT-DEVOLUCION2705</t>
  </si>
  <si>
    <t>2296305406</t>
  </si>
  <si>
    <t>Baldomero orrego 350, depto 410</t>
  </si>
  <si>
    <t>STG060620261</t>
  </si>
  <si>
    <t>271812506</t>
  </si>
  <si>
    <t>STREETGYM</t>
  </si>
  <si>
    <t>NOMBRE RETIRA: IVETTE BRITO . RUT RETIRA: 9087966-9</t>
  </si>
  <si>
    <t>Ivette Andre Brito</t>
  </si>
  <si>
    <t>Calle Pichichuy 635</t>
  </si>
  <si>
    <t>TSS1035</t>
  </si>
  <si>
    <t>272220484</t>
  </si>
  <si>
    <t>THE SKIN STORE</t>
  </si>
  <si>
    <t>NOMBRE RETIRA: ALEXANDRA RODRIGURZ A RUT RETIRA: 17530478-9</t>
  </si>
  <si>
    <t>alexandra Rodríguez</t>
  </si>
  <si>
    <t>Avenida la paz 1441, Casa 2</t>
  </si>
  <si>
    <t>TSS1034</t>
  </si>
  <si>
    <t>272124294</t>
  </si>
  <si>
    <t>NOMBRE RETIRA: JOSE NAGUOL G RUT RETIRA: 12101418-1</t>
  </si>
  <si>
    <t>Av. Siete Lagunas 939, Concepción, Bío Bío, Chile, 103 torre a</t>
  </si>
  <si>
    <t>2026-06-10 22:24</t>
  </si>
  <si>
    <t>TSS1032</t>
  </si>
  <si>
    <t>271998089</t>
  </si>
  <si>
    <t>NOMBRE RETIRA: KATHER D J RUT RETIRA: 15118584-3</t>
  </si>
  <si>
    <t>Katherine RAMIREZ</t>
  </si>
  <si>
    <t>Georgina Arduengo, 0475 villa parque poniente 3</t>
  </si>
  <si>
    <t>TSS1030</t>
  </si>
  <si>
    <t>271771098</t>
  </si>
  <si>
    <t>NOMBRE RETIRA: VALERISORIANO .DORIANO . RUT RETIRA: 17792789-9</t>
  </si>
  <si>
    <t>Calle B #40 villa santa julia, Casa</t>
  </si>
  <si>
    <t>TSS1026</t>
  </si>
  <si>
    <t>271221736</t>
  </si>
  <si>
    <t>NOMBRE RETIRA: SOLDAD POSO A RUT RETIRA: 11173437-2</t>
  </si>
  <si>
    <t>Soledad Pozo Nuñez</t>
  </si>
  <si>
    <t>Roberto Matta 441, Don Ambrosio</t>
  </si>
  <si>
    <t>TSS1025</t>
  </si>
  <si>
    <t>271195463</t>
  </si>
  <si>
    <t>NOMBRE RETIRA: CAMILA CORNEJO . RUT RETIRA: 18577969-6</t>
  </si>
  <si>
    <t>Aldo Vivaldi</t>
  </si>
  <si>
    <t>Antonio Varas 216, 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</si>
</sst>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6" applyNumberFormat="0" applyAlignment="0" applyProtection="0"/>
    <xf numFmtId="0" fontId="15" fillId="7" borderId="7" applyNumberFormat="0" applyAlignment="0" applyProtection="0"/>
    <xf numFmtId="0" fontId="16" fillId="7" borderId="6" applyNumberFormat="0" applyAlignment="0" applyProtection="0"/>
    <xf numFmtId="0" fontId="17" fillId="0" borderId="8" applyNumberFormat="0" applyFill="0" applyAlignment="0" applyProtection="0"/>
    <xf numFmtId="0" fontId="18" fillId="8" borderId="9" applyNumberFormat="0" applyAlignment="0" applyProtection="0"/>
    <xf numFmtId="0" fontId="19" fillId="0" borderId="0" applyNumberFormat="0" applyFill="0" applyBorder="0" applyAlignment="0" applyProtection="0"/>
    <xf numFmtId="0" fontId="6" fillId="9" borderId="10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4" fontId="6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2" fillId="0" borderId="13" xfId="0" applyFont="1" applyBorder="1"/>
    <xf numFmtId="1" fontId="0" fillId="0" borderId="0" xfId="0" applyNumberFormat="1"/>
    <xf numFmtId="164" fontId="0" fillId="0" borderId="0" xfId="42" applyNumberFormat="1" applyFont="1"/>
    <xf numFmtId="164" fontId="2" fillId="2" borderId="12" xfId="42" applyNumberFormat="1" applyFont="1" applyFill="1" applyBorder="1"/>
    <xf numFmtId="164" fontId="2" fillId="0" borderId="12" xfId="42" applyNumberFormat="1" applyFont="1" applyBorder="1"/>
    <xf numFmtId="164" fontId="4" fillId="0" borderId="12" xfId="42" applyNumberFormat="1" applyFont="1" applyBorder="1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5" fillId="0" borderId="12" xfId="42" applyNumberFormat="1" applyFont="1" applyBorder="1"/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2" fillId="0" borderId="15" xfId="42" applyNumberFormat="1" applyFont="1" applyBorder="1"/>
    <xf numFmtId="0" fontId="2" fillId="0" borderId="18" xfId="0" applyFont="1" applyBorder="1"/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/>
    <xf numFmtId="0" fontId="2" fillId="2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4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1082840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3"/>
  <sheetViews>
    <sheetView showGridLines="0" zoomScale="90" zoomScaleNormal="90" workbookViewId="0">
      <selection activeCell="R18" sqref="R18"/>
    </sheetView>
  </sheetViews>
  <sheetFormatPr baseColWidth="10" defaultRowHeight="14.4" x14ac:dyDescent="0.3"/>
  <cols>
    <col min="2" max="2" width="16.6640625" customWidth="1"/>
    <col min="3" max="3" width="34.5546875" bestFit="1" customWidth="1"/>
    <col min="4" max="4" width="44.109375" style="14" bestFit="1" customWidth="1"/>
    <col min="5" max="5" width="16.44140625" style="10" customWidth="1"/>
  </cols>
  <sheetData>
    <row r="2" spans="3:5" ht="21" x14ac:dyDescent="0.4">
      <c r="C2" s="1" t="s">
        <v>3</v>
      </c>
      <c r="D2" s="16" t="str">
        <f>IF(Detalle!F2="",Detalle!E2,Detalle!F2)</f>
        <v>Stocka</v>
      </c>
      <c r="E2" s="4">
        <v>46174</v>
      </c>
    </row>
    <row r="3" spans="3:5" x14ac:dyDescent="0.3">
      <c r="C3" s="5"/>
    </row>
    <row r="4" spans="3:5" ht="15.6" x14ac:dyDescent="0.3">
      <c r="C4" s="6" t="s">
        <v>43</v>
      </c>
      <c r="D4" s="24" t="s">
        <v>2</v>
      </c>
      <c r="E4" s="11"/>
    </row>
    <row r="5" spans="3:5" ht="15.6" x14ac:dyDescent="0.3">
      <c r="C5" s="7" t="s">
        <v>32</v>
      </c>
      <c r="D5" s="25">
        <f>COUNTIF(Detalle!I:I,"Servicio Enviame Connect")</f>
        <v>0</v>
      </c>
      <c r="E5" s="17">
        <f>SUMIF(Detalle!I:I,"Servicio Enviame Connect",Detalle!V:V)</f>
        <v>0</v>
      </c>
    </row>
    <row r="6" spans="3:5" ht="15.6" x14ac:dyDescent="0.3">
      <c r="C6" s="7" t="s">
        <v>33</v>
      </c>
      <c r="D6" s="25">
        <f>COUNTIF(Detalle!I:I,"Servicio Enviame Connect Plus")</f>
        <v>0</v>
      </c>
      <c r="E6" s="17">
        <f>SUMIF(Detalle!I:I,"Servicio Enviame Connect Plus",Detalle!V:V)</f>
        <v>0</v>
      </c>
    </row>
    <row r="7" spans="3:5" ht="15.6" x14ac:dyDescent="0.3">
      <c r="C7" s="7" t="s">
        <v>34</v>
      </c>
      <c r="D7" s="25">
        <f>COUNTIF(Detalle!I:I,"Servicio Enviame Distribucion")</f>
        <v>1349</v>
      </c>
      <c r="E7" s="17">
        <f>SUMIF(Detalle!I:I,"Servicio Enviame Distribucion",Detalle!V:V)</f>
        <v>7182155.9900000114</v>
      </c>
    </row>
    <row r="8" spans="3:5" ht="15.6" x14ac:dyDescent="0.3">
      <c r="C8" s="7" t="s">
        <v>35</v>
      </c>
      <c r="D8" s="25">
        <f>COUNTIF(Detalle!I:I,"Servicio Enviame Enviatrack")</f>
        <v>0</v>
      </c>
      <c r="E8" s="17">
        <f>SUMIF(Detalle!I:I,"Servicio Enviame Enviatrack",Detalle!V:V)</f>
        <v>0</v>
      </c>
    </row>
    <row r="9" spans="3:5" ht="15.6" x14ac:dyDescent="0.3">
      <c r="C9" s="7" t="s">
        <v>36</v>
      </c>
      <c r="D9" s="25">
        <f>COUNTIF(Detalle!I:I,"Servicio Enviame Flex")</f>
        <v>0</v>
      </c>
      <c r="E9" s="17">
        <f>SUMIF(Detalle!I:I,"Servicio Enviame Flex",Detalle!V:V)</f>
        <v>0</v>
      </c>
    </row>
    <row r="10" spans="3:5" ht="15.6" x14ac:dyDescent="0.3">
      <c r="C10" s="7" t="s">
        <v>37</v>
      </c>
      <c r="D10" s="25">
        <f>COUNTIF(Detalle!I:I,"Servicio Enviame Marketcenter")</f>
        <v>0</v>
      </c>
      <c r="E10" s="17">
        <f>SUMIF(Detalle!I:I,"Servicio Enviame Marketcenter",Detalle!V:V)</f>
        <v>0</v>
      </c>
    </row>
    <row r="11" spans="3:5" ht="15.6" x14ac:dyDescent="0.3">
      <c r="C11" s="7" t="s">
        <v>46</v>
      </c>
      <c r="D11" s="25">
        <f>COUNTIF(Detalle!I:I,"Servicio Enviame Notificaciones")</f>
        <v>0</v>
      </c>
      <c r="E11" s="17">
        <f>SUMIF(Detalle!I:I,"Servicio Enviame Notificaciones",Detalle!V:V)</f>
        <v>0</v>
      </c>
    </row>
    <row r="12" spans="3:5" ht="15.6" x14ac:dyDescent="0.3">
      <c r="C12" s="7" t="s">
        <v>38</v>
      </c>
      <c r="D12" s="25">
        <f>COUNTIF(Detalle!I:I,"Servicio Enviame por Pagar")</f>
        <v>0</v>
      </c>
      <c r="E12" s="17">
        <f>SUMIF(Detalle!I:I,"Servicio Enviame por Pagar",Detalle!V:V)</f>
        <v>0</v>
      </c>
    </row>
    <row r="13" spans="3:5" ht="15.6" x14ac:dyDescent="0.3">
      <c r="C13" s="7" t="s">
        <v>39</v>
      </c>
      <c r="D13" s="25">
        <f>COUNTIF(Detalle!I:I,"Servicio Enviame Retiros")</f>
        <v>0</v>
      </c>
      <c r="E13" s="17">
        <f>SUMIF(Detalle!I:I,"Servicio Enviame Retiros",Detalle!V:V)</f>
        <v>0</v>
      </c>
    </row>
    <row r="14" spans="3:5" ht="15.6" x14ac:dyDescent="0.3">
      <c r="C14" s="7" t="s">
        <v>40</v>
      </c>
      <c r="D14" s="25">
        <f>COUNTIF(Detalle!I:I,"Servicio Enviame Soporte Tecnico")</f>
        <v>0</v>
      </c>
      <c r="E14" s="17">
        <f>SUMIF(Detalle!I:I,"Servicio Enviame Soporte Tecnico",Detalle!V:V)</f>
        <v>0</v>
      </c>
    </row>
    <row r="15" spans="3:5" ht="15.6" x14ac:dyDescent="0.3">
      <c r="C15" s="7" t="s">
        <v>47</v>
      </c>
      <c r="D15" s="25">
        <f>COUNTIF(Detalle!I:I,"Servicio Enviame Modelo Cross Dock")</f>
        <v>0</v>
      </c>
      <c r="E15" s="17">
        <f>SUMIF(Detalle!I:I,"Servicio Enviame Modelo Cross Dock",Detalle!V:V)</f>
        <v>0</v>
      </c>
    </row>
    <row r="16" spans="3:5" ht="15.6" x14ac:dyDescent="0.3">
      <c r="C16" s="23" t="s">
        <v>44</v>
      </c>
      <c r="D16" s="25">
        <f>COUNTIF(Detalle!I:I,"Servicio Enviame Adicional")</f>
        <v>0</v>
      </c>
      <c r="E16" s="17">
        <f>SUMIF(Detalle!I:I,"Servicio Enviame Adicional",Detalle!V:V)</f>
        <v>0</v>
      </c>
    </row>
    <row r="17" spans="3:5" ht="15.6" x14ac:dyDescent="0.3">
      <c r="C17" s="23" t="s">
        <v>45</v>
      </c>
      <c r="D17" s="25">
        <f>COUNTIF(Detalle!I:I,"Servicio Enviame Marketplace")</f>
        <v>1</v>
      </c>
      <c r="E17" s="17">
        <f>SUMIF(Detalle!I:I,"Servicio Enviame Marketplace",Detalle!V:V)</f>
        <v>146300</v>
      </c>
    </row>
    <row r="18" spans="3:5" ht="15.6" x14ac:dyDescent="0.3">
      <c r="C18" s="23" t="s">
        <v>48</v>
      </c>
      <c r="D18" s="25">
        <f>COUNTIF(Detalle!I:I,"Servicio Enviame Logistica Inversa ")</f>
        <v>0</v>
      </c>
      <c r="E18" s="17">
        <f>SUMIF(Detalle!I:I,"Servicio Enviame Logistica Inversa ",Detalle!V:V)</f>
        <v>0</v>
      </c>
    </row>
    <row r="19" spans="3:5" ht="15.6" x14ac:dyDescent="0.3">
      <c r="C19" s="23"/>
      <c r="D19" s="22"/>
      <c r="E19" s="17"/>
    </row>
    <row r="20" spans="3:5" ht="15.6" x14ac:dyDescent="0.3">
      <c r="C20" s="21" t="s">
        <v>4</v>
      </c>
      <c r="D20" s="18"/>
      <c r="E20" s="12">
        <f>SUM(E5:E19)</f>
        <v>7328455.9900000114</v>
      </c>
    </row>
    <row r="21" spans="3:5" ht="17.25" customHeight="1" x14ac:dyDescent="0.3">
      <c r="C21" s="2"/>
      <c r="D21" s="15"/>
      <c r="E21" s="12"/>
    </row>
    <row r="22" spans="3:5" ht="15.6" x14ac:dyDescent="0.3">
      <c r="C22" s="8" t="s">
        <v>0</v>
      </c>
      <c r="D22" s="19"/>
      <c r="E22" s="20">
        <f>E20*0.19</f>
        <v>1392406.6381000022</v>
      </c>
    </row>
    <row r="23" spans="3:5" ht="15.6" x14ac:dyDescent="0.3">
      <c r="C23" s="3" t="s">
        <v>1</v>
      </c>
      <c r="D23" s="15"/>
      <c r="E23" s="13">
        <f>+E20+E22</f>
        <v>8720862.6281000134</v>
      </c>
    </row>
  </sheetData>
  <conditionalFormatting sqref="C5:E14 C15:C18 E15:E18 C19:E19">
    <cfRule type="expression" dxfId="2" priority="1">
      <formula>$E5=0</formula>
    </cfRule>
  </conditionalFormatting>
  <conditionalFormatting sqref="D2">
    <cfRule type="duplicateValues" dxfId="1" priority="3"/>
  </conditionalFormatting>
  <conditionalFormatting sqref="D15:D18">
    <cfRule type="expression" dxfId="0" priority="5">
      <formula>$E14=0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51"/>
  <sheetViews>
    <sheetView tabSelected="1" zoomScale="90" zoomScaleNormal="90" workbookViewId="0">
      <selection activeCell="F2" sqref="F2"/>
    </sheetView>
  </sheetViews>
  <sheetFormatPr baseColWidth="10" defaultColWidth="12.109375" defaultRowHeight="14.4" x14ac:dyDescent="0.3"/>
  <cols>
    <col min="2" max="2" width="11.109375" bestFit="1" customWidth="1"/>
    <col min="4" max="4" width="16.109375" style="9" bestFit="1" customWidth="1"/>
    <col min="5" max="5" width="18" bestFit="1" customWidth="1"/>
    <col min="9" max="9" width="26.6640625" bestFit="1" customWidth="1"/>
    <col min="18" max="18" width="12.109375" style="26"/>
    <col min="19" max="19" width="14.21875" customWidth="1"/>
  </cols>
  <sheetData>
    <row r="1" spans="1:22" x14ac:dyDescent="0.3">
      <c r="A1" t="s">
        <v>19</v>
      </c>
      <c r="B1" t="s">
        <v>18</v>
      </c>
      <c r="C1" t="s">
        <v>5</v>
      </c>
      <c r="D1" s="9" t="s">
        <v>6</v>
      </c>
      <c r="E1" t="s">
        <v>16</v>
      </c>
      <c r="F1" t="s">
        <v>24</v>
      </c>
      <c r="G1" t="s">
        <v>7</v>
      </c>
      <c r="H1" t="s">
        <v>8</v>
      </c>
      <c r="I1" t="s">
        <v>22</v>
      </c>
      <c r="J1" t="s">
        <v>25</v>
      </c>
      <c r="K1" t="s">
        <v>15</v>
      </c>
      <c r="L1" t="s">
        <v>9</v>
      </c>
      <c r="M1" t="s">
        <v>10</v>
      </c>
      <c r="N1" t="s">
        <v>17</v>
      </c>
      <c r="O1" t="s">
        <v>11</v>
      </c>
      <c r="P1" t="s">
        <v>12</v>
      </c>
      <c r="Q1" t="s">
        <v>13</v>
      </c>
      <c r="R1" s="26" t="s">
        <v>14</v>
      </c>
      <c r="S1" t="s">
        <v>23</v>
      </c>
      <c r="T1" t="s">
        <v>20</v>
      </c>
      <c r="U1" t="s">
        <v>26</v>
      </c>
      <c r="V1" t="s">
        <v>21</v>
      </c>
    </row>
    <row r="2" spans="1:22" x14ac:dyDescent="0.3">
      <c r="A2">
        <v>79452</v>
      </c>
      <c r="B2">
        <v>456909122</v>
      </c>
      <c r="C2" t="s">
        <v>767</v>
      </c>
      <c r="D2" s="9" t="s">
        <v>768</v>
      </c>
      <c r="E2" t="s">
        <v>769</v>
      </c>
      <c r="F2" t="s">
        <v>770</v>
      </c>
      <c r="G2" t="s">
        <v>28</v>
      </c>
      <c r="H2" t="s">
        <v>29</v>
      </c>
      <c r="I2" t="s">
        <v>34</v>
      </c>
      <c r="J2" t="s">
        <v>30</v>
      </c>
      <c r="K2" t="s">
        <v>27</v>
      </c>
      <c r="L2" t="s">
        <v>771</v>
      </c>
      <c r="M2" t="s">
        <v>772</v>
      </c>
      <c r="N2" t="s">
        <v>773</v>
      </c>
      <c r="O2" t="s">
        <v>31</v>
      </c>
      <c r="P2" t="s">
        <v>774</v>
      </c>
      <c r="Q2" t="s">
        <v>167</v>
      </c>
      <c r="R2" s="26" t="s">
        <v>775</v>
      </c>
      <c r="S2">
        <v>1.1000000000000001</v>
      </c>
      <c r="T2">
        <v>3935</v>
      </c>
      <c r="U2">
        <v>0</v>
      </c>
      <c r="V2">
        <v>3935</v>
      </c>
    </row>
    <row r="3" spans="1:22" x14ac:dyDescent="0.3">
      <c r="A3">
        <v>79452</v>
      </c>
      <c r="B3">
        <v>457023449</v>
      </c>
      <c r="C3" t="s">
        <v>776</v>
      </c>
      <c r="D3" s="9" t="s">
        <v>777</v>
      </c>
      <c r="E3" t="s">
        <v>769</v>
      </c>
      <c r="F3" t="s">
        <v>770</v>
      </c>
      <c r="G3" t="s">
        <v>28</v>
      </c>
      <c r="H3" t="s">
        <v>29</v>
      </c>
      <c r="I3" t="s">
        <v>34</v>
      </c>
      <c r="J3" t="s">
        <v>30</v>
      </c>
      <c r="K3" t="s">
        <v>27</v>
      </c>
      <c r="L3" t="s">
        <v>778</v>
      </c>
      <c r="M3" t="s">
        <v>779</v>
      </c>
      <c r="N3" t="s">
        <v>773</v>
      </c>
      <c r="O3" t="s">
        <v>31</v>
      </c>
      <c r="P3" t="s">
        <v>780</v>
      </c>
      <c r="Q3" t="s">
        <v>73</v>
      </c>
      <c r="R3" s="26" t="s">
        <v>781</v>
      </c>
      <c r="S3">
        <v>1</v>
      </c>
      <c r="T3">
        <v>3653</v>
      </c>
      <c r="U3">
        <v>0</v>
      </c>
      <c r="V3">
        <v>3653</v>
      </c>
    </row>
    <row r="4" spans="1:22" x14ac:dyDescent="0.3">
      <c r="A4">
        <v>79452</v>
      </c>
      <c r="B4">
        <v>456988361</v>
      </c>
      <c r="C4" t="s">
        <v>782</v>
      </c>
      <c r="D4" s="9" t="s">
        <v>783</v>
      </c>
      <c r="E4" t="s">
        <v>769</v>
      </c>
      <c r="F4" t="s">
        <v>770</v>
      </c>
      <c r="G4" t="s">
        <v>28</v>
      </c>
      <c r="H4" t="s">
        <v>29</v>
      </c>
      <c r="I4" t="s">
        <v>34</v>
      </c>
      <c r="J4" t="s">
        <v>30</v>
      </c>
      <c r="K4" t="s">
        <v>27</v>
      </c>
      <c r="L4" t="s">
        <v>784</v>
      </c>
      <c r="M4" t="s">
        <v>785</v>
      </c>
      <c r="N4" t="s">
        <v>773</v>
      </c>
      <c r="O4" t="s">
        <v>31</v>
      </c>
      <c r="P4" t="s">
        <v>786</v>
      </c>
      <c r="Q4" t="s">
        <v>81</v>
      </c>
      <c r="R4" s="26" t="s">
        <v>420</v>
      </c>
      <c r="S4">
        <v>1.1000000000000001</v>
      </c>
      <c r="T4">
        <v>3935</v>
      </c>
      <c r="U4">
        <v>0</v>
      </c>
      <c r="V4">
        <v>3935</v>
      </c>
    </row>
    <row r="5" spans="1:22" x14ac:dyDescent="0.3">
      <c r="A5">
        <v>79452</v>
      </c>
      <c r="B5">
        <v>457012762</v>
      </c>
      <c r="C5" t="s">
        <v>787</v>
      </c>
      <c r="D5" s="9" t="s">
        <v>788</v>
      </c>
      <c r="E5" t="s">
        <v>769</v>
      </c>
      <c r="F5" t="s">
        <v>770</v>
      </c>
      <c r="G5" t="s">
        <v>28</v>
      </c>
      <c r="H5" t="s">
        <v>29</v>
      </c>
      <c r="I5" t="s">
        <v>34</v>
      </c>
      <c r="J5" t="s">
        <v>30</v>
      </c>
      <c r="K5" t="s">
        <v>27</v>
      </c>
      <c r="L5" t="s">
        <v>789</v>
      </c>
      <c r="M5" t="s">
        <v>790</v>
      </c>
      <c r="N5" t="s">
        <v>773</v>
      </c>
      <c r="O5" t="s">
        <v>31</v>
      </c>
      <c r="P5" t="s">
        <v>791</v>
      </c>
      <c r="Q5" t="s">
        <v>104</v>
      </c>
      <c r="R5" s="26" t="s">
        <v>792</v>
      </c>
      <c r="S5">
        <v>1.3</v>
      </c>
      <c r="T5">
        <v>3631</v>
      </c>
      <c r="U5">
        <v>0</v>
      </c>
      <c r="V5">
        <v>3631</v>
      </c>
    </row>
    <row r="6" spans="1:22" x14ac:dyDescent="0.3">
      <c r="A6">
        <v>79452</v>
      </c>
      <c r="B6">
        <v>457023442</v>
      </c>
      <c r="C6" t="s">
        <v>793</v>
      </c>
      <c r="D6" s="9" t="s">
        <v>794</v>
      </c>
      <c r="E6" t="s">
        <v>769</v>
      </c>
      <c r="F6" t="s">
        <v>770</v>
      </c>
      <c r="G6" t="s">
        <v>28</v>
      </c>
      <c r="H6" t="s">
        <v>29</v>
      </c>
      <c r="I6" t="s">
        <v>34</v>
      </c>
      <c r="J6" t="s">
        <v>30</v>
      </c>
      <c r="K6" t="s">
        <v>27</v>
      </c>
      <c r="L6" t="s">
        <v>479</v>
      </c>
      <c r="M6" t="s">
        <v>480</v>
      </c>
      <c r="N6" t="s">
        <v>773</v>
      </c>
      <c r="O6" t="s">
        <v>31</v>
      </c>
      <c r="P6" t="s">
        <v>795</v>
      </c>
      <c r="Q6" t="s">
        <v>65</v>
      </c>
      <c r="R6" s="26" t="s">
        <v>781</v>
      </c>
      <c r="S6">
        <v>1.4</v>
      </c>
      <c r="T6">
        <v>3631</v>
      </c>
      <c r="U6">
        <v>0</v>
      </c>
      <c r="V6">
        <v>3631</v>
      </c>
    </row>
    <row r="7" spans="1:22" x14ac:dyDescent="0.3">
      <c r="A7">
        <v>79452</v>
      </c>
      <c r="B7">
        <v>456988365</v>
      </c>
      <c r="C7" t="s">
        <v>796</v>
      </c>
      <c r="D7" s="9" t="s">
        <v>797</v>
      </c>
      <c r="E7" t="s">
        <v>769</v>
      </c>
      <c r="F7" t="s">
        <v>770</v>
      </c>
      <c r="G7" t="s">
        <v>28</v>
      </c>
      <c r="H7" t="s">
        <v>29</v>
      </c>
      <c r="I7" t="s">
        <v>34</v>
      </c>
      <c r="J7" t="s">
        <v>30</v>
      </c>
      <c r="K7" t="s">
        <v>27</v>
      </c>
      <c r="L7" t="s">
        <v>798</v>
      </c>
      <c r="M7" t="s">
        <v>799</v>
      </c>
      <c r="N7" t="s">
        <v>773</v>
      </c>
      <c r="O7" t="s">
        <v>31</v>
      </c>
      <c r="P7" t="s">
        <v>800</v>
      </c>
      <c r="Q7" t="s">
        <v>108</v>
      </c>
      <c r="R7" s="26" t="s">
        <v>420</v>
      </c>
      <c r="S7">
        <v>1.3</v>
      </c>
      <c r="T7">
        <v>3250</v>
      </c>
      <c r="U7">
        <v>0</v>
      </c>
      <c r="V7">
        <v>3250</v>
      </c>
    </row>
    <row r="8" spans="1:22" x14ac:dyDescent="0.3">
      <c r="A8">
        <v>79452</v>
      </c>
      <c r="B8">
        <v>456988347</v>
      </c>
      <c r="C8" t="s">
        <v>801</v>
      </c>
      <c r="D8" s="9" t="s">
        <v>802</v>
      </c>
      <c r="E8" t="s">
        <v>769</v>
      </c>
      <c r="F8" t="s">
        <v>770</v>
      </c>
      <c r="G8" t="s">
        <v>28</v>
      </c>
      <c r="H8" t="s">
        <v>29</v>
      </c>
      <c r="I8" t="s">
        <v>34</v>
      </c>
      <c r="J8" t="s">
        <v>30</v>
      </c>
      <c r="K8" t="s">
        <v>27</v>
      </c>
      <c r="L8" t="s">
        <v>803</v>
      </c>
      <c r="M8" t="s">
        <v>804</v>
      </c>
      <c r="N8" t="s">
        <v>773</v>
      </c>
      <c r="O8" t="s">
        <v>31</v>
      </c>
      <c r="P8" t="s">
        <v>805</v>
      </c>
      <c r="Q8" t="s">
        <v>73</v>
      </c>
      <c r="R8" s="26" t="s">
        <v>420</v>
      </c>
      <c r="S8">
        <v>1.1000000000000001</v>
      </c>
      <c r="T8">
        <v>3653</v>
      </c>
      <c r="U8">
        <v>0</v>
      </c>
      <c r="V8">
        <v>3653</v>
      </c>
    </row>
    <row r="9" spans="1:22" x14ac:dyDescent="0.3">
      <c r="A9">
        <v>79452</v>
      </c>
      <c r="B9">
        <v>456988384</v>
      </c>
      <c r="C9" t="s">
        <v>806</v>
      </c>
      <c r="D9" s="9" t="s">
        <v>807</v>
      </c>
      <c r="E9" t="s">
        <v>769</v>
      </c>
      <c r="F9" t="s">
        <v>770</v>
      </c>
      <c r="G9" t="s">
        <v>28</v>
      </c>
      <c r="H9" t="s">
        <v>29</v>
      </c>
      <c r="I9" t="s">
        <v>34</v>
      </c>
      <c r="J9" t="s">
        <v>30</v>
      </c>
      <c r="K9" t="s">
        <v>27</v>
      </c>
      <c r="L9" t="s">
        <v>808</v>
      </c>
      <c r="M9" t="s">
        <v>809</v>
      </c>
      <c r="N9" t="s">
        <v>773</v>
      </c>
      <c r="O9" t="s">
        <v>31</v>
      </c>
      <c r="P9" t="s">
        <v>810</v>
      </c>
      <c r="Q9" t="s">
        <v>109</v>
      </c>
      <c r="R9" s="26" t="s">
        <v>381</v>
      </c>
      <c r="S9">
        <v>2.8</v>
      </c>
      <c r="T9">
        <v>3250</v>
      </c>
      <c r="U9">
        <v>0</v>
      </c>
      <c r="V9">
        <v>3250</v>
      </c>
    </row>
    <row r="10" spans="1:22" x14ac:dyDescent="0.3">
      <c r="A10">
        <v>79452</v>
      </c>
      <c r="B10">
        <v>456703369</v>
      </c>
      <c r="C10" t="s">
        <v>811</v>
      </c>
      <c r="D10" s="9" t="s">
        <v>812</v>
      </c>
      <c r="E10" t="s">
        <v>769</v>
      </c>
      <c r="F10" t="s">
        <v>770</v>
      </c>
      <c r="G10" t="s">
        <v>28</v>
      </c>
      <c r="H10" t="s">
        <v>29</v>
      </c>
      <c r="I10" t="s">
        <v>34</v>
      </c>
      <c r="J10" t="s">
        <v>30</v>
      </c>
      <c r="K10" t="s">
        <v>27</v>
      </c>
      <c r="L10" t="s">
        <v>813</v>
      </c>
      <c r="M10" t="s">
        <v>814</v>
      </c>
      <c r="N10" t="s">
        <v>773</v>
      </c>
      <c r="O10" t="s">
        <v>31</v>
      </c>
      <c r="P10" t="s">
        <v>815</v>
      </c>
      <c r="Q10" t="s">
        <v>197</v>
      </c>
      <c r="R10" s="26" t="s">
        <v>506</v>
      </c>
      <c r="S10">
        <v>1.2</v>
      </c>
      <c r="T10">
        <v>5564</v>
      </c>
      <c r="U10">
        <v>0</v>
      </c>
      <c r="V10">
        <v>5564</v>
      </c>
    </row>
    <row r="11" spans="1:22" x14ac:dyDescent="0.3">
      <c r="A11">
        <v>79452</v>
      </c>
      <c r="B11">
        <v>456933543</v>
      </c>
      <c r="C11" t="s">
        <v>816</v>
      </c>
      <c r="D11" s="9" t="s">
        <v>817</v>
      </c>
      <c r="E11" t="s">
        <v>769</v>
      </c>
      <c r="F11" t="s">
        <v>770</v>
      </c>
      <c r="G11" t="s">
        <v>28</v>
      </c>
      <c r="H11" t="s">
        <v>29</v>
      </c>
      <c r="I11" t="s">
        <v>34</v>
      </c>
      <c r="J11" t="s">
        <v>30</v>
      </c>
      <c r="K11" t="s">
        <v>27</v>
      </c>
      <c r="L11" t="s">
        <v>818</v>
      </c>
      <c r="M11" t="s">
        <v>819</v>
      </c>
      <c r="N11" t="s">
        <v>773</v>
      </c>
      <c r="O11" t="s">
        <v>31</v>
      </c>
      <c r="P11" t="s">
        <v>820</v>
      </c>
      <c r="Q11" t="s">
        <v>140</v>
      </c>
      <c r="R11" s="26" t="s">
        <v>821</v>
      </c>
      <c r="S11">
        <v>0.9</v>
      </c>
      <c r="T11">
        <v>3631</v>
      </c>
      <c r="U11">
        <v>0</v>
      </c>
      <c r="V11">
        <v>3631</v>
      </c>
    </row>
    <row r="12" spans="1:22" x14ac:dyDescent="0.3">
      <c r="A12">
        <v>79452</v>
      </c>
      <c r="B12">
        <v>456909120</v>
      </c>
      <c r="C12" t="s">
        <v>822</v>
      </c>
      <c r="D12" s="9" t="s">
        <v>823</v>
      </c>
      <c r="E12" t="s">
        <v>769</v>
      </c>
      <c r="F12" t="s">
        <v>770</v>
      </c>
      <c r="G12" t="s">
        <v>28</v>
      </c>
      <c r="H12" t="s">
        <v>29</v>
      </c>
      <c r="I12" t="s">
        <v>34</v>
      </c>
      <c r="J12" t="s">
        <v>30</v>
      </c>
      <c r="K12" t="s">
        <v>27</v>
      </c>
      <c r="L12" t="s">
        <v>824</v>
      </c>
      <c r="M12" t="s">
        <v>825</v>
      </c>
      <c r="N12" t="s">
        <v>773</v>
      </c>
      <c r="O12" t="s">
        <v>31</v>
      </c>
      <c r="P12" t="s">
        <v>826</v>
      </c>
      <c r="Q12" t="s">
        <v>85</v>
      </c>
      <c r="R12" s="26" t="s">
        <v>775</v>
      </c>
      <c r="S12">
        <v>1</v>
      </c>
      <c r="T12">
        <v>3631</v>
      </c>
      <c r="U12">
        <v>0</v>
      </c>
      <c r="V12">
        <v>3631</v>
      </c>
    </row>
    <row r="13" spans="1:22" x14ac:dyDescent="0.3">
      <c r="A13">
        <v>79452</v>
      </c>
      <c r="B13">
        <v>456933553</v>
      </c>
      <c r="C13" t="s">
        <v>827</v>
      </c>
      <c r="D13" s="9" t="s">
        <v>828</v>
      </c>
      <c r="E13" t="s">
        <v>769</v>
      </c>
      <c r="F13" t="s">
        <v>770</v>
      </c>
      <c r="G13" t="s">
        <v>28</v>
      </c>
      <c r="H13" t="s">
        <v>29</v>
      </c>
      <c r="I13" t="s">
        <v>34</v>
      </c>
      <c r="J13" t="s">
        <v>30</v>
      </c>
      <c r="K13" t="s">
        <v>27</v>
      </c>
      <c r="L13" t="s">
        <v>829</v>
      </c>
      <c r="M13" t="s">
        <v>830</v>
      </c>
      <c r="N13" t="s">
        <v>773</v>
      </c>
      <c r="O13" t="s">
        <v>31</v>
      </c>
      <c r="P13" t="s">
        <v>831</v>
      </c>
      <c r="Q13" t="s">
        <v>81</v>
      </c>
      <c r="R13" s="26" t="s">
        <v>821</v>
      </c>
      <c r="S13">
        <v>1</v>
      </c>
      <c r="T13">
        <v>3935</v>
      </c>
      <c r="U13">
        <v>0</v>
      </c>
      <c r="V13">
        <v>3935</v>
      </c>
    </row>
    <row r="14" spans="1:22" x14ac:dyDescent="0.3">
      <c r="A14">
        <v>79452</v>
      </c>
      <c r="B14">
        <v>456933539</v>
      </c>
      <c r="C14" t="s">
        <v>832</v>
      </c>
      <c r="D14" s="9" t="s">
        <v>833</v>
      </c>
      <c r="E14" t="s">
        <v>769</v>
      </c>
      <c r="F14" t="s">
        <v>770</v>
      </c>
      <c r="G14" t="s">
        <v>28</v>
      </c>
      <c r="H14" t="s">
        <v>29</v>
      </c>
      <c r="I14" t="s">
        <v>34</v>
      </c>
      <c r="J14" t="s">
        <v>30</v>
      </c>
      <c r="K14" t="s">
        <v>27</v>
      </c>
      <c r="L14" t="s">
        <v>834</v>
      </c>
      <c r="M14" t="s">
        <v>835</v>
      </c>
      <c r="N14" t="s">
        <v>773</v>
      </c>
      <c r="O14" t="s">
        <v>31</v>
      </c>
      <c r="P14" t="s">
        <v>836</v>
      </c>
      <c r="Q14" t="s">
        <v>135</v>
      </c>
      <c r="R14" s="26" t="s">
        <v>821</v>
      </c>
      <c r="S14">
        <v>1</v>
      </c>
      <c r="T14">
        <v>3250</v>
      </c>
      <c r="U14">
        <v>0</v>
      </c>
      <c r="V14">
        <v>3250</v>
      </c>
    </row>
    <row r="15" spans="1:22" x14ac:dyDescent="0.3">
      <c r="A15">
        <v>79452</v>
      </c>
      <c r="B15">
        <v>456909131</v>
      </c>
      <c r="C15" t="s">
        <v>837</v>
      </c>
      <c r="D15" s="9" t="s">
        <v>838</v>
      </c>
      <c r="E15" t="s">
        <v>769</v>
      </c>
      <c r="F15" t="s">
        <v>770</v>
      </c>
      <c r="G15" t="s">
        <v>28</v>
      </c>
      <c r="H15" t="s">
        <v>29</v>
      </c>
      <c r="I15" t="s">
        <v>34</v>
      </c>
      <c r="J15" t="s">
        <v>30</v>
      </c>
      <c r="K15" t="s">
        <v>27</v>
      </c>
      <c r="L15" t="s">
        <v>839</v>
      </c>
      <c r="M15" t="s">
        <v>840</v>
      </c>
      <c r="N15" t="s">
        <v>773</v>
      </c>
      <c r="O15" t="s">
        <v>31</v>
      </c>
      <c r="P15" t="s">
        <v>841</v>
      </c>
      <c r="Q15" t="s">
        <v>41</v>
      </c>
      <c r="R15" s="26" t="s">
        <v>775</v>
      </c>
      <c r="S15">
        <v>1</v>
      </c>
      <c r="T15">
        <v>3935</v>
      </c>
      <c r="U15">
        <v>0</v>
      </c>
      <c r="V15">
        <v>3935</v>
      </c>
    </row>
    <row r="16" spans="1:22" x14ac:dyDescent="0.3">
      <c r="A16">
        <v>79452</v>
      </c>
      <c r="B16">
        <v>456863855</v>
      </c>
      <c r="C16" t="s">
        <v>842</v>
      </c>
      <c r="D16" s="9" t="s">
        <v>843</v>
      </c>
      <c r="E16" t="s">
        <v>769</v>
      </c>
      <c r="F16" t="s">
        <v>770</v>
      </c>
      <c r="G16" t="s">
        <v>28</v>
      </c>
      <c r="H16" t="s">
        <v>29</v>
      </c>
      <c r="I16" t="s">
        <v>34</v>
      </c>
      <c r="J16" t="s">
        <v>30</v>
      </c>
      <c r="K16" t="s">
        <v>27</v>
      </c>
      <c r="L16" t="s">
        <v>844</v>
      </c>
      <c r="M16" t="s">
        <v>573</v>
      </c>
      <c r="N16" t="s">
        <v>773</v>
      </c>
      <c r="O16" t="s">
        <v>31</v>
      </c>
      <c r="P16" t="s">
        <v>845</v>
      </c>
      <c r="Q16" t="s">
        <v>144</v>
      </c>
      <c r="R16" s="26" t="s">
        <v>846</v>
      </c>
      <c r="S16">
        <v>1.2</v>
      </c>
      <c r="T16">
        <v>3653</v>
      </c>
      <c r="U16">
        <v>0</v>
      </c>
      <c r="V16">
        <v>3653</v>
      </c>
    </row>
    <row r="17" spans="1:22" x14ac:dyDescent="0.3">
      <c r="A17">
        <v>79452</v>
      </c>
      <c r="B17">
        <v>456953894</v>
      </c>
      <c r="C17" t="s">
        <v>847</v>
      </c>
      <c r="D17" s="9" t="s">
        <v>848</v>
      </c>
      <c r="E17" t="s">
        <v>769</v>
      </c>
      <c r="F17" t="s">
        <v>770</v>
      </c>
      <c r="G17" t="s">
        <v>28</v>
      </c>
      <c r="H17" t="s">
        <v>29</v>
      </c>
      <c r="I17" t="s">
        <v>34</v>
      </c>
      <c r="J17" t="s">
        <v>30</v>
      </c>
      <c r="K17" t="s">
        <v>27</v>
      </c>
      <c r="L17" t="s">
        <v>849</v>
      </c>
      <c r="M17" t="s">
        <v>564</v>
      </c>
      <c r="N17" t="s">
        <v>773</v>
      </c>
      <c r="O17" t="s">
        <v>31</v>
      </c>
      <c r="P17" t="s">
        <v>850</v>
      </c>
      <c r="Q17" t="s">
        <v>81</v>
      </c>
      <c r="R17" s="26" t="s">
        <v>851</v>
      </c>
      <c r="S17">
        <v>0.6</v>
      </c>
      <c r="T17">
        <v>3935</v>
      </c>
      <c r="U17">
        <v>0</v>
      </c>
      <c r="V17">
        <v>3935</v>
      </c>
    </row>
    <row r="18" spans="1:22" x14ac:dyDescent="0.3">
      <c r="A18">
        <v>79452</v>
      </c>
      <c r="B18">
        <v>456909124</v>
      </c>
      <c r="C18" t="s">
        <v>852</v>
      </c>
      <c r="D18" s="9" t="s">
        <v>853</v>
      </c>
      <c r="E18" t="s">
        <v>769</v>
      </c>
      <c r="F18" t="s">
        <v>770</v>
      </c>
      <c r="G18" t="s">
        <v>28</v>
      </c>
      <c r="H18" t="s">
        <v>29</v>
      </c>
      <c r="I18" t="s">
        <v>34</v>
      </c>
      <c r="J18" t="s">
        <v>30</v>
      </c>
      <c r="K18" t="s">
        <v>27</v>
      </c>
      <c r="L18" t="s">
        <v>854</v>
      </c>
      <c r="M18" t="s">
        <v>855</v>
      </c>
      <c r="N18" t="s">
        <v>773</v>
      </c>
      <c r="O18" t="s">
        <v>31</v>
      </c>
      <c r="P18" t="s">
        <v>856</v>
      </c>
      <c r="Q18" t="s">
        <v>41</v>
      </c>
      <c r="R18" s="26" t="s">
        <v>775</v>
      </c>
      <c r="S18">
        <v>1.2</v>
      </c>
      <c r="T18">
        <v>3935</v>
      </c>
      <c r="U18">
        <v>0</v>
      </c>
      <c r="V18">
        <v>3935</v>
      </c>
    </row>
    <row r="19" spans="1:22" x14ac:dyDescent="0.3">
      <c r="A19">
        <v>79452</v>
      </c>
      <c r="B19">
        <v>456946834</v>
      </c>
      <c r="C19" t="s">
        <v>857</v>
      </c>
      <c r="D19" s="9" t="s">
        <v>858</v>
      </c>
      <c r="E19" t="s">
        <v>769</v>
      </c>
      <c r="F19" t="s">
        <v>770</v>
      </c>
      <c r="G19" t="s">
        <v>28</v>
      </c>
      <c r="H19" t="s">
        <v>29</v>
      </c>
      <c r="I19" t="s">
        <v>34</v>
      </c>
      <c r="J19" t="s">
        <v>30</v>
      </c>
      <c r="K19" t="s">
        <v>27</v>
      </c>
      <c r="L19" t="s">
        <v>859</v>
      </c>
      <c r="M19" t="s">
        <v>860</v>
      </c>
      <c r="N19" t="s">
        <v>773</v>
      </c>
      <c r="O19" t="s">
        <v>31</v>
      </c>
      <c r="P19" t="s">
        <v>861</v>
      </c>
      <c r="Q19" t="s">
        <v>125</v>
      </c>
      <c r="R19" s="26" t="s">
        <v>408</v>
      </c>
      <c r="S19">
        <v>2.7</v>
      </c>
      <c r="T19">
        <v>3653</v>
      </c>
      <c r="U19">
        <v>0</v>
      </c>
      <c r="V19">
        <v>3653</v>
      </c>
    </row>
    <row r="20" spans="1:22" x14ac:dyDescent="0.3">
      <c r="A20">
        <v>79452</v>
      </c>
      <c r="B20">
        <v>456909129</v>
      </c>
      <c r="C20" t="s">
        <v>862</v>
      </c>
      <c r="D20" s="9" t="s">
        <v>863</v>
      </c>
      <c r="E20" t="s">
        <v>769</v>
      </c>
      <c r="F20" t="s">
        <v>770</v>
      </c>
      <c r="G20" t="s">
        <v>28</v>
      </c>
      <c r="H20" t="s">
        <v>29</v>
      </c>
      <c r="I20" t="s">
        <v>34</v>
      </c>
      <c r="J20" t="s">
        <v>30</v>
      </c>
      <c r="K20" t="s">
        <v>27</v>
      </c>
      <c r="L20" t="s">
        <v>864</v>
      </c>
      <c r="M20" t="s">
        <v>865</v>
      </c>
      <c r="N20" t="s">
        <v>773</v>
      </c>
      <c r="O20" t="s">
        <v>31</v>
      </c>
      <c r="P20" t="s">
        <v>866</v>
      </c>
      <c r="Q20" t="s">
        <v>104</v>
      </c>
      <c r="R20" s="26" t="s">
        <v>775</v>
      </c>
      <c r="S20">
        <v>2.2000000000000002</v>
      </c>
      <c r="T20">
        <v>3631</v>
      </c>
      <c r="U20">
        <v>0</v>
      </c>
      <c r="V20">
        <v>3631</v>
      </c>
    </row>
    <row r="21" spans="1:22" x14ac:dyDescent="0.3">
      <c r="A21">
        <v>79452</v>
      </c>
      <c r="B21">
        <v>456946841</v>
      </c>
      <c r="C21" t="s">
        <v>867</v>
      </c>
      <c r="D21" s="9" t="s">
        <v>868</v>
      </c>
      <c r="E21" t="s">
        <v>769</v>
      </c>
      <c r="F21" t="s">
        <v>770</v>
      </c>
      <c r="G21" t="s">
        <v>28</v>
      </c>
      <c r="H21" t="s">
        <v>29</v>
      </c>
      <c r="I21" t="s">
        <v>34</v>
      </c>
      <c r="J21" t="s">
        <v>30</v>
      </c>
      <c r="K21" t="s">
        <v>27</v>
      </c>
      <c r="L21" t="s">
        <v>869</v>
      </c>
      <c r="M21" t="s">
        <v>870</v>
      </c>
      <c r="N21" t="s">
        <v>773</v>
      </c>
      <c r="O21" t="s">
        <v>31</v>
      </c>
      <c r="P21" t="s">
        <v>871</v>
      </c>
      <c r="Q21" t="s">
        <v>85</v>
      </c>
      <c r="R21" s="26" t="s">
        <v>408</v>
      </c>
      <c r="S21">
        <v>1</v>
      </c>
      <c r="T21">
        <v>3631</v>
      </c>
      <c r="U21">
        <v>0</v>
      </c>
      <c r="V21">
        <v>3631</v>
      </c>
    </row>
    <row r="22" spans="1:22" x14ac:dyDescent="0.3">
      <c r="A22">
        <v>79452</v>
      </c>
      <c r="B22">
        <v>456933554</v>
      </c>
      <c r="C22" t="s">
        <v>872</v>
      </c>
      <c r="D22" s="9" t="s">
        <v>873</v>
      </c>
      <c r="E22" t="s">
        <v>769</v>
      </c>
      <c r="F22" t="s">
        <v>770</v>
      </c>
      <c r="G22" t="s">
        <v>28</v>
      </c>
      <c r="H22" t="s">
        <v>29</v>
      </c>
      <c r="I22" t="s">
        <v>34</v>
      </c>
      <c r="J22" t="s">
        <v>30</v>
      </c>
      <c r="K22" t="s">
        <v>27</v>
      </c>
      <c r="L22" t="s">
        <v>874</v>
      </c>
      <c r="M22" t="s">
        <v>575</v>
      </c>
      <c r="N22" t="s">
        <v>773</v>
      </c>
      <c r="O22" t="s">
        <v>31</v>
      </c>
      <c r="P22" t="s">
        <v>875</v>
      </c>
      <c r="Q22" t="s">
        <v>73</v>
      </c>
      <c r="R22" s="26" t="s">
        <v>821</v>
      </c>
      <c r="S22">
        <v>1.3</v>
      </c>
      <c r="T22">
        <v>3653</v>
      </c>
      <c r="U22">
        <v>0</v>
      </c>
      <c r="V22">
        <v>3653</v>
      </c>
    </row>
    <row r="23" spans="1:22" x14ac:dyDescent="0.3">
      <c r="A23">
        <v>79452</v>
      </c>
      <c r="B23">
        <v>456909130</v>
      </c>
      <c r="C23" t="s">
        <v>876</v>
      </c>
      <c r="D23" s="9" t="s">
        <v>877</v>
      </c>
      <c r="E23" t="s">
        <v>769</v>
      </c>
      <c r="F23" t="s">
        <v>770</v>
      </c>
      <c r="G23" t="s">
        <v>28</v>
      </c>
      <c r="H23" t="s">
        <v>29</v>
      </c>
      <c r="I23" t="s">
        <v>34</v>
      </c>
      <c r="J23" t="s">
        <v>30</v>
      </c>
      <c r="K23" t="s">
        <v>27</v>
      </c>
      <c r="L23" t="s">
        <v>878</v>
      </c>
      <c r="M23" t="s">
        <v>879</v>
      </c>
      <c r="N23" t="s">
        <v>773</v>
      </c>
      <c r="O23" t="s">
        <v>31</v>
      </c>
      <c r="P23" t="s">
        <v>880</v>
      </c>
      <c r="Q23" t="s">
        <v>42</v>
      </c>
      <c r="R23" s="26" t="s">
        <v>775</v>
      </c>
      <c r="S23">
        <v>1.1000000000000001</v>
      </c>
      <c r="T23">
        <v>3631</v>
      </c>
      <c r="U23">
        <v>0</v>
      </c>
      <c r="V23">
        <v>3631</v>
      </c>
    </row>
    <row r="24" spans="1:22" x14ac:dyDescent="0.3">
      <c r="A24">
        <v>79452</v>
      </c>
      <c r="B24">
        <v>456909126</v>
      </c>
      <c r="C24" t="s">
        <v>881</v>
      </c>
      <c r="D24" s="9" t="s">
        <v>882</v>
      </c>
      <c r="E24" t="s">
        <v>769</v>
      </c>
      <c r="F24" t="s">
        <v>770</v>
      </c>
      <c r="G24" t="s">
        <v>28</v>
      </c>
      <c r="H24" t="s">
        <v>29</v>
      </c>
      <c r="I24" t="s">
        <v>34</v>
      </c>
      <c r="J24" t="s">
        <v>30</v>
      </c>
      <c r="K24" t="s">
        <v>27</v>
      </c>
      <c r="L24" t="s">
        <v>883</v>
      </c>
      <c r="M24" t="s">
        <v>884</v>
      </c>
      <c r="N24" t="s">
        <v>773</v>
      </c>
      <c r="O24" t="s">
        <v>31</v>
      </c>
      <c r="P24" t="s">
        <v>885</v>
      </c>
      <c r="Q24" t="s">
        <v>72</v>
      </c>
      <c r="R24" s="26" t="s">
        <v>775</v>
      </c>
      <c r="S24">
        <v>1</v>
      </c>
      <c r="T24">
        <v>3653</v>
      </c>
      <c r="U24">
        <v>0</v>
      </c>
      <c r="V24">
        <v>3653</v>
      </c>
    </row>
    <row r="25" spans="1:22" x14ac:dyDescent="0.3">
      <c r="A25">
        <v>79452</v>
      </c>
      <c r="B25">
        <v>456271508</v>
      </c>
      <c r="C25" t="s">
        <v>886</v>
      </c>
      <c r="D25" s="9" t="s">
        <v>887</v>
      </c>
      <c r="E25" t="s">
        <v>769</v>
      </c>
      <c r="F25" t="s">
        <v>770</v>
      </c>
      <c r="G25" t="s">
        <v>28</v>
      </c>
      <c r="H25" t="s">
        <v>29</v>
      </c>
      <c r="I25" t="s">
        <v>34</v>
      </c>
      <c r="J25" t="s">
        <v>30</v>
      </c>
      <c r="K25" t="s">
        <v>27</v>
      </c>
      <c r="L25" t="s">
        <v>888</v>
      </c>
      <c r="M25" t="s">
        <v>889</v>
      </c>
      <c r="N25" t="s">
        <v>773</v>
      </c>
      <c r="O25" t="s">
        <v>31</v>
      </c>
      <c r="P25" t="s">
        <v>890</v>
      </c>
      <c r="Q25" t="s">
        <v>175</v>
      </c>
      <c r="R25" s="26" t="s">
        <v>352</v>
      </c>
      <c r="S25">
        <v>1</v>
      </c>
      <c r="T25">
        <v>5564</v>
      </c>
      <c r="U25">
        <v>0</v>
      </c>
      <c r="V25">
        <v>5564</v>
      </c>
    </row>
    <row r="26" spans="1:22" x14ac:dyDescent="0.3">
      <c r="A26">
        <v>79452</v>
      </c>
      <c r="B26">
        <v>456846255</v>
      </c>
      <c r="C26" t="s">
        <v>891</v>
      </c>
      <c r="D26" s="9" t="s">
        <v>892</v>
      </c>
      <c r="E26" t="s">
        <v>769</v>
      </c>
      <c r="F26" t="s">
        <v>770</v>
      </c>
      <c r="G26" t="s">
        <v>28</v>
      </c>
      <c r="H26" t="s">
        <v>29</v>
      </c>
      <c r="I26" t="s">
        <v>34</v>
      </c>
      <c r="J26" t="s">
        <v>30</v>
      </c>
      <c r="K26" t="s">
        <v>27</v>
      </c>
      <c r="L26" t="s">
        <v>893</v>
      </c>
      <c r="M26" t="s">
        <v>894</v>
      </c>
      <c r="N26" t="s">
        <v>773</v>
      </c>
      <c r="O26" t="s">
        <v>31</v>
      </c>
      <c r="P26" t="s">
        <v>895</v>
      </c>
      <c r="Q26" t="s">
        <v>113</v>
      </c>
      <c r="R26" s="26" t="s">
        <v>385</v>
      </c>
      <c r="S26">
        <v>1</v>
      </c>
      <c r="T26">
        <v>5024</v>
      </c>
      <c r="U26">
        <v>0</v>
      </c>
      <c r="V26">
        <v>5024</v>
      </c>
    </row>
    <row r="27" spans="1:22" x14ac:dyDescent="0.3">
      <c r="A27">
        <v>79452</v>
      </c>
      <c r="B27">
        <v>456878565</v>
      </c>
      <c r="C27" t="s">
        <v>896</v>
      </c>
      <c r="D27" s="9" t="s">
        <v>897</v>
      </c>
      <c r="E27" t="s">
        <v>769</v>
      </c>
      <c r="F27" t="s">
        <v>770</v>
      </c>
      <c r="G27" t="s">
        <v>28</v>
      </c>
      <c r="H27" t="s">
        <v>29</v>
      </c>
      <c r="I27" t="s">
        <v>34</v>
      </c>
      <c r="J27" t="s">
        <v>30</v>
      </c>
      <c r="K27" t="s">
        <v>27</v>
      </c>
      <c r="L27" t="s">
        <v>898</v>
      </c>
      <c r="M27" t="s">
        <v>899</v>
      </c>
      <c r="N27" t="s">
        <v>773</v>
      </c>
      <c r="O27" t="s">
        <v>31</v>
      </c>
      <c r="P27" t="s">
        <v>900</v>
      </c>
      <c r="Q27" t="s">
        <v>203</v>
      </c>
      <c r="R27" s="26" t="s">
        <v>411</v>
      </c>
      <c r="S27">
        <v>1.2</v>
      </c>
      <c r="T27">
        <v>4028</v>
      </c>
      <c r="U27">
        <v>0</v>
      </c>
      <c r="V27">
        <v>4028</v>
      </c>
    </row>
    <row r="28" spans="1:22" x14ac:dyDescent="0.3">
      <c r="A28">
        <v>79452</v>
      </c>
      <c r="B28">
        <v>456829095</v>
      </c>
      <c r="C28" t="s">
        <v>901</v>
      </c>
      <c r="D28" s="9" t="s">
        <v>902</v>
      </c>
      <c r="E28" t="s">
        <v>769</v>
      </c>
      <c r="F28" t="s">
        <v>770</v>
      </c>
      <c r="G28" t="s">
        <v>28</v>
      </c>
      <c r="H28" t="s">
        <v>29</v>
      </c>
      <c r="I28" t="s">
        <v>34</v>
      </c>
      <c r="J28" t="s">
        <v>30</v>
      </c>
      <c r="K28" t="s">
        <v>27</v>
      </c>
      <c r="L28" t="s">
        <v>903</v>
      </c>
      <c r="M28" t="s">
        <v>904</v>
      </c>
      <c r="N28" t="s">
        <v>773</v>
      </c>
      <c r="O28" t="s">
        <v>31</v>
      </c>
      <c r="P28" t="s">
        <v>905</v>
      </c>
      <c r="Q28" t="s">
        <v>88</v>
      </c>
      <c r="R28" s="26" t="s">
        <v>906</v>
      </c>
      <c r="S28">
        <v>1</v>
      </c>
      <c r="T28">
        <v>5024</v>
      </c>
      <c r="U28">
        <v>0</v>
      </c>
      <c r="V28">
        <v>5024</v>
      </c>
    </row>
    <row r="29" spans="1:22" x14ac:dyDescent="0.3">
      <c r="A29">
        <v>79452</v>
      </c>
      <c r="B29">
        <v>456863856</v>
      </c>
      <c r="C29" t="s">
        <v>907</v>
      </c>
      <c r="D29" s="9" t="s">
        <v>908</v>
      </c>
      <c r="E29" t="s">
        <v>769</v>
      </c>
      <c r="F29" t="s">
        <v>770</v>
      </c>
      <c r="G29" t="s">
        <v>28</v>
      </c>
      <c r="H29" t="s">
        <v>29</v>
      </c>
      <c r="I29" t="s">
        <v>34</v>
      </c>
      <c r="J29" t="s">
        <v>30</v>
      </c>
      <c r="K29" t="s">
        <v>27</v>
      </c>
      <c r="L29" t="s">
        <v>909</v>
      </c>
      <c r="M29" t="s">
        <v>910</v>
      </c>
      <c r="N29" t="s">
        <v>773</v>
      </c>
      <c r="O29" t="s">
        <v>31</v>
      </c>
      <c r="P29" t="s">
        <v>911</v>
      </c>
      <c r="Q29" t="s">
        <v>109</v>
      </c>
      <c r="R29" s="26" t="s">
        <v>846</v>
      </c>
      <c r="S29">
        <v>1.9</v>
      </c>
      <c r="T29">
        <v>3250</v>
      </c>
      <c r="U29">
        <v>0</v>
      </c>
      <c r="V29">
        <v>3250</v>
      </c>
    </row>
    <row r="30" spans="1:22" x14ac:dyDescent="0.3">
      <c r="A30">
        <v>79452</v>
      </c>
      <c r="B30">
        <v>456863853</v>
      </c>
      <c r="C30" t="s">
        <v>912</v>
      </c>
      <c r="D30" s="9" t="s">
        <v>913</v>
      </c>
      <c r="E30" t="s">
        <v>769</v>
      </c>
      <c r="F30" t="s">
        <v>770</v>
      </c>
      <c r="G30" t="s">
        <v>28</v>
      </c>
      <c r="H30" t="s">
        <v>29</v>
      </c>
      <c r="I30" t="s">
        <v>34</v>
      </c>
      <c r="J30" t="s">
        <v>30</v>
      </c>
      <c r="K30" t="s">
        <v>27</v>
      </c>
      <c r="L30" t="s">
        <v>914</v>
      </c>
      <c r="M30" t="s">
        <v>641</v>
      </c>
      <c r="N30" t="s">
        <v>773</v>
      </c>
      <c r="O30" t="s">
        <v>31</v>
      </c>
      <c r="P30" t="s">
        <v>915</v>
      </c>
      <c r="Q30" t="s">
        <v>41</v>
      </c>
      <c r="R30" s="26" t="s">
        <v>846</v>
      </c>
      <c r="S30">
        <v>1</v>
      </c>
      <c r="T30">
        <v>3935</v>
      </c>
      <c r="U30">
        <v>0</v>
      </c>
      <c r="V30">
        <v>3935</v>
      </c>
    </row>
    <row r="31" spans="1:22" x14ac:dyDescent="0.3">
      <c r="A31">
        <v>79452</v>
      </c>
      <c r="B31">
        <v>456878558</v>
      </c>
      <c r="C31" t="s">
        <v>916</v>
      </c>
      <c r="D31" s="9" t="s">
        <v>917</v>
      </c>
      <c r="E31" t="s">
        <v>769</v>
      </c>
      <c r="F31" t="s">
        <v>770</v>
      </c>
      <c r="G31" t="s">
        <v>28</v>
      </c>
      <c r="H31" t="s">
        <v>29</v>
      </c>
      <c r="I31" t="s">
        <v>34</v>
      </c>
      <c r="J31" t="s">
        <v>30</v>
      </c>
      <c r="K31" t="s">
        <v>27</v>
      </c>
      <c r="L31" t="s">
        <v>918</v>
      </c>
      <c r="M31" t="s">
        <v>919</v>
      </c>
      <c r="N31" t="s">
        <v>773</v>
      </c>
      <c r="O31" t="s">
        <v>31</v>
      </c>
      <c r="P31" t="s">
        <v>920</v>
      </c>
      <c r="Q31" t="s">
        <v>102</v>
      </c>
      <c r="R31" s="26" t="s">
        <v>411</v>
      </c>
      <c r="S31">
        <v>1</v>
      </c>
      <c r="T31">
        <v>3935</v>
      </c>
      <c r="U31">
        <v>0</v>
      </c>
      <c r="V31">
        <v>3935</v>
      </c>
    </row>
    <row r="32" spans="1:22" x14ac:dyDescent="0.3">
      <c r="A32">
        <v>79452</v>
      </c>
      <c r="B32">
        <v>455821808</v>
      </c>
      <c r="C32" t="s">
        <v>921</v>
      </c>
      <c r="D32" s="9" t="s">
        <v>922</v>
      </c>
      <c r="E32" t="s">
        <v>769</v>
      </c>
      <c r="F32" t="s">
        <v>770</v>
      </c>
      <c r="G32" t="s">
        <v>28</v>
      </c>
      <c r="H32" t="s">
        <v>29</v>
      </c>
      <c r="I32" t="s">
        <v>34</v>
      </c>
      <c r="J32" t="s">
        <v>30</v>
      </c>
      <c r="K32" t="s">
        <v>27</v>
      </c>
      <c r="L32" t="s">
        <v>527</v>
      </c>
      <c r="M32" t="s">
        <v>923</v>
      </c>
      <c r="N32" t="s">
        <v>773</v>
      </c>
      <c r="O32" t="s">
        <v>31</v>
      </c>
      <c r="P32" t="s">
        <v>924</v>
      </c>
      <c r="Q32" t="s">
        <v>62</v>
      </c>
      <c r="R32" s="26" t="s">
        <v>459</v>
      </c>
      <c r="S32">
        <v>2.1</v>
      </c>
      <c r="T32">
        <v>3384</v>
      </c>
      <c r="U32">
        <v>0</v>
      </c>
      <c r="V32">
        <v>3384</v>
      </c>
    </row>
    <row r="33" spans="1:22" x14ac:dyDescent="0.3">
      <c r="A33">
        <v>79452</v>
      </c>
      <c r="B33">
        <v>456878584</v>
      </c>
      <c r="C33" t="s">
        <v>925</v>
      </c>
      <c r="D33" s="9" t="s">
        <v>926</v>
      </c>
      <c r="E33" t="s">
        <v>769</v>
      </c>
      <c r="F33" t="s">
        <v>770</v>
      </c>
      <c r="G33" t="s">
        <v>28</v>
      </c>
      <c r="H33" t="s">
        <v>29</v>
      </c>
      <c r="I33" t="s">
        <v>34</v>
      </c>
      <c r="J33" t="s">
        <v>30</v>
      </c>
      <c r="K33" t="s">
        <v>27</v>
      </c>
      <c r="L33" t="s">
        <v>927</v>
      </c>
      <c r="M33" t="s">
        <v>928</v>
      </c>
      <c r="N33" t="s">
        <v>773</v>
      </c>
      <c r="O33" t="s">
        <v>31</v>
      </c>
      <c r="P33" t="s">
        <v>929</v>
      </c>
      <c r="Q33" t="s">
        <v>108</v>
      </c>
      <c r="R33" s="26" t="s">
        <v>411</v>
      </c>
      <c r="S33">
        <v>2.8</v>
      </c>
      <c r="T33">
        <v>3250</v>
      </c>
      <c r="U33">
        <v>0</v>
      </c>
      <c r="V33">
        <v>3250</v>
      </c>
    </row>
    <row r="34" spans="1:22" x14ac:dyDescent="0.3">
      <c r="A34">
        <v>79452</v>
      </c>
      <c r="B34">
        <v>456842673</v>
      </c>
      <c r="C34" t="s">
        <v>930</v>
      </c>
      <c r="D34" s="9" t="s">
        <v>931</v>
      </c>
      <c r="E34" t="s">
        <v>769</v>
      </c>
      <c r="F34" t="s">
        <v>770</v>
      </c>
      <c r="G34" t="s">
        <v>28</v>
      </c>
      <c r="H34" t="s">
        <v>29</v>
      </c>
      <c r="I34" t="s">
        <v>34</v>
      </c>
      <c r="J34" t="s">
        <v>30</v>
      </c>
      <c r="K34" t="s">
        <v>27</v>
      </c>
      <c r="L34" t="s">
        <v>932</v>
      </c>
      <c r="M34" t="s">
        <v>933</v>
      </c>
      <c r="N34" t="s">
        <v>773</v>
      </c>
      <c r="O34" t="s">
        <v>31</v>
      </c>
      <c r="P34" t="s">
        <v>934</v>
      </c>
      <c r="Q34" t="s">
        <v>69</v>
      </c>
      <c r="R34" s="26" t="s">
        <v>421</v>
      </c>
      <c r="S34">
        <v>1.1000000000000001</v>
      </c>
      <c r="T34">
        <v>3935</v>
      </c>
      <c r="U34">
        <v>0</v>
      </c>
      <c r="V34">
        <v>3935</v>
      </c>
    </row>
    <row r="35" spans="1:22" x14ac:dyDescent="0.3">
      <c r="A35">
        <v>79452</v>
      </c>
      <c r="B35">
        <v>456793266</v>
      </c>
      <c r="C35" t="s">
        <v>935</v>
      </c>
      <c r="D35" s="9" t="s">
        <v>936</v>
      </c>
      <c r="E35" t="s">
        <v>769</v>
      </c>
      <c r="F35" t="s">
        <v>770</v>
      </c>
      <c r="G35" t="s">
        <v>28</v>
      </c>
      <c r="H35" t="s">
        <v>29</v>
      </c>
      <c r="I35" t="s">
        <v>34</v>
      </c>
      <c r="J35" t="s">
        <v>30</v>
      </c>
      <c r="K35" t="s">
        <v>27</v>
      </c>
      <c r="L35" t="s">
        <v>937</v>
      </c>
      <c r="M35" t="s">
        <v>610</v>
      </c>
      <c r="N35" t="s">
        <v>773</v>
      </c>
      <c r="O35" t="s">
        <v>31</v>
      </c>
      <c r="P35" t="s">
        <v>938</v>
      </c>
      <c r="Q35" t="s">
        <v>209</v>
      </c>
      <c r="R35" s="26" t="s">
        <v>718</v>
      </c>
      <c r="S35">
        <v>1</v>
      </c>
      <c r="T35">
        <v>4205</v>
      </c>
      <c r="U35">
        <v>0</v>
      </c>
      <c r="V35">
        <v>4205</v>
      </c>
    </row>
    <row r="36" spans="1:22" x14ac:dyDescent="0.3">
      <c r="A36">
        <v>79452</v>
      </c>
      <c r="B36">
        <v>456793271</v>
      </c>
      <c r="C36" t="s">
        <v>939</v>
      </c>
      <c r="D36" s="9" t="s">
        <v>940</v>
      </c>
      <c r="E36" t="s">
        <v>769</v>
      </c>
      <c r="F36" t="s">
        <v>770</v>
      </c>
      <c r="G36" t="s">
        <v>28</v>
      </c>
      <c r="H36" t="s">
        <v>29</v>
      </c>
      <c r="I36" t="s">
        <v>34</v>
      </c>
      <c r="J36" t="s">
        <v>30</v>
      </c>
      <c r="K36" t="s">
        <v>27</v>
      </c>
      <c r="L36" t="s">
        <v>941</v>
      </c>
      <c r="M36" t="s">
        <v>942</v>
      </c>
      <c r="N36" t="s">
        <v>773</v>
      </c>
      <c r="O36" t="s">
        <v>31</v>
      </c>
      <c r="P36" t="s">
        <v>943</v>
      </c>
      <c r="Q36" t="s">
        <v>88</v>
      </c>
      <c r="R36" s="26" t="s">
        <v>718</v>
      </c>
      <c r="S36">
        <v>1.8</v>
      </c>
      <c r="T36">
        <v>5024</v>
      </c>
      <c r="U36">
        <v>0</v>
      </c>
      <c r="V36">
        <v>5024</v>
      </c>
    </row>
    <row r="37" spans="1:22" x14ac:dyDescent="0.3">
      <c r="A37">
        <v>79452</v>
      </c>
      <c r="B37">
        <v>456829101</v>
      </c>
      <c r="C37" t="s">
        <v>944</v>
      </c>
      <c r="D37" s="9" t="s">
        <v>945</v>
      </c>
      <c r="E37" t="s">
        <v>769</v>
      </c>
      <c r="F37" t="s">
        <v>770</v>
      </c>
      <c r="G37" t="s">
        <v>28</v>
      </c>
      <c r="H37" t="s">
        <v>29</v>
      </c>
      <c r="I37" t="s">
        <v>34</v>
      </c>
      <c r="J37" t="s">
        <v>30</v>
      </c>
      <c r="K37" t="s">
        <v>27</v>
      </c>
      <c r="L37" t="s">
        <v>946</v>
      </c>
      <c r="M37" t="s">
        <v>947</v>
      </c>
      <c r="N37" t="s">
        <v>773</v>
      </c>
      <c r="O37" t="s">
        <v>31</v>
      </c>
      <c r="P37" t="s">
        <v>948</v>
      </c>
      <c r="Q37" t="s">
        <v>73</v>
      </c>
      <c r="R37" s="26" t="s">
        <v>949</v>
      </c>
      <c r="S37">
        <v>0.7</v>
      </c>
      <c r="T37">
        <v>3653</v>
      </c>
      <c r="U37">
        <v>0</v>
      </c>
      <c r="V37">
        <v>3653</v>
      </c>
    </row>
    <row r="38" spans="1:22" x14ac:dyDescent="0.3">
      <c r="A38">
        <v>79452</v>
      </c>
      <c r="B38">
        <v>456793273</v>
      </c>
      <c r="C38" t="s">
        <v>950</v>
      </c>
      <c r="D38" s="9" t="s">
        <v>951</v>
      </c>
      <c r="E38" t="s">
        <v>769</v>
      </c>
      <c r="F38" t="s">
        <v>770</v>
      </c>
      <c r="G38" t="s">
        <v>28</v>
      </c>
      <c r="H38" t="s">
        <v>29</v>
      </c>
      <c r="I38" t="s">
        <v>34</v>
      </c>
      <c r="J38" t="s">
        <v>30</v>
      </c>
      <c r="K38" t="s">
        <v>27</v>
      </c>
      <c r="L38" t="s">
        <v>952</v>
      </c>
      <c r="M38" t="s">
        <v>953</v>
      </c>
      <c r="N38" t="s">
        <v>773</v>
      </c>
      <c r="O38" t="s">
        <v>31</v>
      </c>
      <c r="P38" t="s">
        <v>954</v>
      </c>
      <c r="Q38" t="s">
        <v>88</v>
      </c>
      <c r="R38" s="26" t="s">
        <v>718</v>
      </c>
      <c r="S38">
        <v>0.9</v>
      </c>
      <c r="T38">
        <v>5024</v>
      </c>
      <c r="U38">
        <v>0</v>
      </c>
      <c r="V38">
        <v>5024</v>
      </c>
    </row>
    <row r="39" spans="1:22" x14ac:dyDescent="0.3">
      <c r="A39">
        <v>79452</v>
      </c>
      <c r="B39">
        <v>456807623</v>
      </c>
      <c r="C39" t="s">
        <v>955</v>
      </c>
      <c r="D39" s="9" t="s">
        <v>956</v>
      </c>
      <c r="E39" t="s">
        <v>769</v>
      </c>
      <c r="F39" t="s">
        <v>770</v>
      </c>
      <c r="G39" t="s">
        <v>28</v>
      </c>
      <c r="H39" t="s">
        <v>29</v>
      </c>
      <c r="I39" t="s">
        <v>34</v>
      </c>
      <c r="J39" t="s">
        <v>30</v>
      </c>
      <c r="K39" t="s">
        <v>27</v>
      </c>
      <c r="L39" t="s">
        <v>957</v>
      </c>
      <c r="M39" t="s">
        <v>958</v>
      </c>
      <c r="N39" t="s">
        <v>773</v>
      </c>
      <c r="O39" t="s">
        <v>31</v>
      </c>
      <c r="P39" t="s">
        <v>959</v>
      </c>
      <c r="Q39" t="s">
        <v>88</v>
      </c>
      <c r="R39" s="26" t="s">
        <v>423</v>
      </c>
      <c r="S39">
        <v>1.6</v>
      </c>
      <c r="T39">
        <v>5024</v>
      </c>
      <c r="U39">
        <v>0</v>
      </c>
      <c r="V39">
        <v>5024</v>
      </c>
    </row>
    <row r="40" spans="1:22" x14ac:dyDescent="0.3">
      <c r="A40">
        <v>79452</v>
      </c>
      <c r="B40">
        <v>456090889</v>
      </c>
      <c r="C40" t="s">
        <v>960</v>
      </c>
      <c r="D40" s="9" t="s">
        <v>961</v>
      </c>
      <c r="E40" t="s">
        <v>769</v>
      </c>
      <c r="F40" t="s">
        <v>770</v>
      </c>
      <c r="G40" t="s">
        <v>28</v>
      </c>
      <c r="H40" t="s">
        <v>29</v>
      </c>
      <c r="I40" t="s">
        <v>34</v>
      </c>
      <c r="J40" t="s">
        <v>30</v>
      </c>
      <c r="K40" t="s">
        <v>27</v>
      </c>
      <c r="L40" t="s">
        <v>962</v>
      </c>
      <c r="M40" t="s">
        <v>963</v>
      </c>
      <c r="N40" t="s">
        <v>773</v>
      </c>
      <c r="O40" t="s">
        <v>31</v>
      </c>
      <c r="P40" t="s">
        <v>964</v>
      </c>
      <c r="Q40" t="s">
        <v>175</v>
      </c>
      <c r="R40" s="26" t="s">
        <v>383</v>
      </c>
      <c r="S40">
        <v>1.4</v>
      </c>
      <c r="T40">
        <v>5564</v>
      </c>
      <c r="U40">
        <v>0</v>
      </c>
      <c r="V40">
        <v>5564</v>
      </c>
    </row>
    <row r="41" spans="1:22" x14ac:dyDescent="0.3">
      <c r="A41">
        <v>79452</v>
      </c>
      <c r="B41">
        <v>456793270</v>
      </c>
      <c r="C41" t="s">
        <v>965</v>
      </c>
      <c r="D41" s="9" t="s">
        <v>966</v>
      </c>
      <c r="E41" t="s">
        <v>769</v>
      </c>
      <c r="F41" t="s">
        <v>770</v>
      </c>
      <c r="G41" t="s">
        <v>28</v>
      </c>
      <c r="H41" t="s">
        <v>29</v>
      </c>
      <c r="I41" t="s">
        <v>34</v>
      </c>
      <c r="J41" t="s">
        <v>30</v>
      </c>
      <c r="K41" t="s">
        <v>27</v>
      </c>
      <c r="L41" t="s">
        <v>967</v>
      </c>
      <c r="M41" t="s">
        <v>968</v>
      </c>
      <c r="N41" t="s">
        <v>773</v>
      </c>
      <c r="O41" t="s">
        <v>31</v>
      </c>
      <c r="P41" t="s">
        <v>969</v>
      </c>
      <c r="Q41" t="s">
        <v>85</v>
      </c>
      <c r="R41" s="26" t="s">
        <v>718</v>
      </c>
      <c r="S41">
        <v>1.9</v>
      </c>
      <c r="T41">
        <v>3631</v>
      </c>
      <c r="U41">
        <v>0</v>
      </c>
      <c r="V41">
        <v>3631</v>
      </c>
    </row>
    <row r="42" spans="1:22" x14ac:dyDescent="0.3">
      <c r="A42">
        <v>79452</v>
      </c>
      <c r="B42">
        <v>456090715</v>
      </c>
      <c r="C42" t="s">
        <v>970</v>
      </c>
      <c r="D42" s="9" t="s">
        <v>971</v>
      </c>
      <c r="E42" t="s">
        <v>769</v>
      </c>
      <c r="F42" t="s">
        <v>770</v>
      </c>
      <c r="G42" t="s">
        <v>28</v>
      </c>
      <c r="H42" t="s">
        <v>29</v>
      </c>
      <c r="I42" t="s">
        <v>34</v>
      </c>
      <c r="J42" t="s">
        <v>30</v>
      </c>
      <c r="K42" t="s">
        <v>27</v>
      </c>
      <c r="L42" t="s">
        <v>972</v>
      </c>
      <c r="M42" t="s">
        <v>973</v>
      </c>
      <c r="N42" t="s">
        <v>773</v>
      </c>
      <c r="O42" t="s">
        <v>31</v>
      </c>
      <c r="P42" t="s">
        <v>974</v>
      </c>
      <c r="Q42" t="s">
        <v>175</v>
      </c>
      <c r="R42" s="26" t="s">
        <v>253</v>
      </c>
      <c r="S42">
        <v>1</v>
      </c>
      <c r="T42">
        <v>5564</v>
      </c>
      <c r="U42">
        <v>0</v>
      </c>
      <c r="V42">
        <v>5564</v>
      </c>
    </row>
    <row r="43" spans="1:22" x14ac:dyDescent="0.3">
      <c r="A43">
        <v>79452</v>
      </c>
      <c r="B43">
        <v>456793260</v>
      </c>
      <c r="C43" t="s">
        <v>975</v>
      </c>
      <c r="D43" s="9" t="s">
        <v>976</v>
      </c>
      <c r="E43" t="s">
        <v>769</v>
      </c>
      <c r="F43" t="s">
        <v>770</v>
      </c>
      <c r="G43" t="s">
        <v>28</v>
      </c>
      <c r="H43" t="s">
        <v>29</v>
      </c>
      <c r="I43" t="s">
        <v>34</v>
      </c>
      <c r="J43" t="s">
        <v>30</v>
      </c>
      <c r="K43" t="s">
        <v>27</v>
      </c>
      <c r="L43" t="s">
        <v>977</v>
      </c>
      <c r="M43" t="s">
        <v>978</v>
      </c>
      <c r="N43" t="s">
        <v>773</v>
      </c>
      <c r="O43" t="s">
        <v>31</v>
      </c>
      <c r="P43" t="s">
        <v>979</v>
      </c>
      <c r="Q43" t="s">
        <v>115</v>
      </c>
      <c r="R43" s="26" t="s">
        <v>718</v>
      </c>
      <c r="S43">
        <v>0.9</v>
      </c>
      <c r="T43">
        <v>3250</v>
      </c>
      <c r="U43">
        <v>0</v>
      </c>
      <c r="V43">
        <v>3250</v>
      </c>
    </row>
    <row r="44" spans="1:22" x14ac:dyDescent="0.3">
      <c r="A44">
        <v>79452</v>
      </c>
      <c r="B44">
        <v>456793274</v>
      </c>
      <c r="C44" t="s">
        <v>980</v>
      </c>
      <c r="D44" s="9" t="s">
        <v>981</v>
      </c>
      <c r="E44" t="s">
        <v>769</v>
      </c>
      <c r="F44" t="s">
        <v>770</v>
      </c>
      <c r="G44" t="s">
        <v>28</v>
      </c>
      <c r="H44" t="s">
        <v>29</v>
      </c>
      <c r="I44" t="s">
        <v>34</v>
      </c>
      <c r="J44" t="s">
        <v>30</v>
      </c>
      <c r="K44" t="s">
        <v>27</v>
      </c>
      <c r="L44" t="s">
        <v>982</v>
      </c>
      <c r="M44" t="s">
        <v>983</v>
      </c>
      <c r="N44" t="s">
        <v>773</v>
      </c>
      <c r="O44" t="s">
        <v>31</v>
      </c>
      <c r="P44" t="s">
        <v>984</v>
      </c>
      <c r="Q44" t="s">
        <v>109</v>
      </c>
      <c r="R44" s="26" t="s">
        <v>271</v>
      </c>
      <c r="S44">
        <v>1.4</v>
      </c>
      <c r="T44">
        <v>3250</v>
      </c>
      <c r="U44">
        <v>0</v>
      </c>
      <c r="V44">
        <v>3250</v>
      </c>
    </row>
    <row r="45" spans="1:22" x14ac:dyDescent="0.3">
      <c r="A45">
        <v>79452</v>
      </c>
      <c r="B45">
        <v>456807624</v>
      </c>
      <c r="C45" t="s">
        <v>985</v>
      </c>
      <c r="D45" s="9" t="s">
        <v>986</v>
      </c>
      <c r="E45" t="s">
        <v>769</v>
      </c>
      <c r="F45" t="s">
        <v>770</v>
      </c>
      <c r="G45" t="s">
        <v>28</v>
      </c>
      <c r="H45" t="s">
        <v>29</v>
      </c>
      <c r="I45" t="s">
        <v>34</v>
      </c>
      <c r="J45" t="s">
        <v>30</v>
      </c>
      <c r="K45" t="s">
        <v>27</v>
      </c>
      <c r="L45" t="s">
        <v>987</v>
      </c>
      <c r="M45" t="s">
        <v>988</v>
      </c>
      <c r="N45" t="s">
        <v>773</v>
      </c>
      <c r="O45" t="s">
        <v>31</v>
      </c>
      <c r="P45" t="s">
        <v>989</v>
      </c>
      <c r="Q45" t="s">
        <v>143</v>
      </c>
      <c r="R45" s="26" t="s">
        <v>423</v>
      </c>
      <c r="S45">
        <v>1.4</v>
      </c>
      <c r="T45">
        <v>3250</v>
      </c>
      <c r="U45">
        <v>0</v>
      </c>
      <c r="V45">
        <v>3250</v>
      </c>
    </row>
    <row r="46" spans="1:22" x14ac:dyDescent="0.3">
      <c r="A46">
        <v>79452</v>
      </c>
      <c r="B46">
        <v>456766041</v>
      </c>
      <c r="C46" t="s">
        <v>990</v>
      </c>
      <c r="D46" s="9" t="s">
        <v>991</v>
      </c>
      <c r="E46" t="s">
        <v>769</v>
      </c>
      <c r="F46" t="s">
        <v>770</v>
      </c>
      <c r="G46" t="s">
        <v>28</v>
      </c>
      <c r="H46" t="s">
        <v>29</v>
      </c>
      <c r="I46" t="s">
        <v>34</v>
      </c>
      <c r="J46" t="s">
        <v>30</v>
      </c>
      <c r="K46" t="s">
        <v>27</v>
      </c>
      <c r="L46" t="s">
        <v>992</v>
      </c>
      <c r="M46" t="s">
        <v>993</v>
      </c>
      <c r="N46" t="s">
        <v>773</v>
      </c>
      <c r="O46" t="s">
        <v>31</v>
      </c>
      <c r="P46" t="s">
        <v>994</v>
      </c>
      <c r="Q46" t="s">
        <v>84</v>
      </c>
      <c r="R46" s="26" t="s">
        <v>442</v>
      </c>
      <c r="S46">
        <v>0.7</v>
      </c>
      <c r="T46">
        <v>5564</v>
      </c>
      <c r="U46">
        <v>0</v>
      </c>
      <c r="V46">
        <v>5564</v>
      </c>
    </row>
    <row r="47" spans="1:22" x14ac:dyDescent="0.3">
      <c r="A47">
        <v>79452</v>
      </c>
      <c r="B47">
        <v>456676295</v>
      </c>
      <c r="C47" t="s">
        <v>995</v>
      </c>
      <c r="D47" s="9" t="s">
        <v>996</v>
      </c>
      <c r="E47" t="s">
        <v>769</v>
      </c>
      <c r="F47" t="s">
        <v>770</v>
      </c>
      <c r="G47" t="s">
        <v>28</v>
      </c>
      <c r="H47" t="s">
        <v>29</v>
      </c>
      <c r="I47" t="s">
        <v>34</v>
      </c>
      <c r="J47" t="s">
        <v>30</v>
      </c>
      <c r="K47" t="s">
        <v>27</v>
      </c>
      <c r="L47" t="s">
        <v>997</v>
      </c>
      <c r="M47" t="s">
        <v>998</v>
      </c>
      <c r="N47" t="s">
        <v>773</v>
      </c>
      <c r="O47" t="s">
        <v>31</v>
      </c>
      <c r="P47" t="s">
        <v>999</v>
      </c>
      <c r="Q47" t="s">
        <v>199</v>
      </c>
      <c r="R47" s="26" t="s">
        <v>1000</v>
      </c>
      <c r="S47">
        <v>1.3</v>
      </c>
      <c r="T47">
        <v>3384</v>
      </c>
      <c r="U47">
        <v>0</v>
      </c>
      <c r="V47">
        <v>3384</v>
      </c>
    </row>
    <row r="48" spans="1:22" x14ac:dyDescent="0.3">
      <c r="A48">
        <v>79452</v>
      </c>
      <c r="B48">
        <v>456703389</v>
      </c>
      <c r="C48" t="s">
        <v>1001</v>
      </c>
      <c r="D48" s="9" t="s">
        <v>1002</v>
      </c>
      <c r="E48" t="s">
        <v>769</v>
      </c>
      <c r="F48" t="s">
        <v>770</v>
      </c>
      <c r="G48" t="s">
        <v>28</v>
      </c>
      <c r="H48" t="s">
        <v>29</v>
      </c>
      <c r="I48" t="s">
        <v>34</v>
      </c>
      <c r="J48" t="s">
        <v>30</v>
      </c>
      <c r="K48" t="s">
        <v>27</v>
      </c>
      <c r="L48" t="s">
        <v>1003</v>
      </c>
      <c r="M48" t="s">
        <v>772</v>
      </c>
      <c r="N48" t="s">
        <v>773</v>
      </c>
      <c r="O48" t="s">
        <v>31</v>
      </c>
      <c r="P48" t="s">
        <v>774</v>
      </c>
      <c r="Q48" t="s">
        <v>167</v>
      </c>
      <c r="R48" s="26" t="s">
        <v>506</v>
      </c>
      <c r="S48">
        <v>1.2</v>
      </c>
      <c r="T48">
        <v>3935</v>
      </c>
      <c r="U48">
        <v>0</v>
      </c>
      <c r="V48">
        <v>3935</v>
      </c>
    </row>
    <row r="49" spans="1:22" x14ac:dyDescent="0.3">
      <c r="A49">
        <v>79452</v>
      </c>
      <c r="B49">
        <v>455821778</v>
      </c>
      <c r="C49" t="s">
        <v>1004</v>
      </c>
      <c r="D49" s="9" t="s">
        <v>1005</v>
      </c>
      <c r="E49" t="s">
        <v>769</v>
      </c>
      <c r="F49" t="s">
        <v>770</v>
      </c>
      <c r="G49" t="s">
        <v>28</v>
      </c>
      <c r="H49" t="s">
        <v>29</v>
      </c>
      <c r="I49" t="s">
        <v>34</v>
      </c>
      <c r="J49" t="s">
        <v>30</v>
      </c>
      <c r="K49" t="s">
        <v>27</v>
      </c>
      <c r="L49" t="s">
        <v>1006</v>
      </c>
      <c r="M49" t="s">
        <v>1007</v>
      </c>
      <c r="N49" t="s">
        <v>773</v>
      </c>
      <c r="O49" t="s">
        <v>31</v>
      </c>
      <c r="P49" t="s">
        <v>1008</v>
      </c>
      <c r="Q49" t="s">
        <v>197</v>
      </c>
      <c r="R49" s="26" t="s">
        <v>459</v>
      </c>
      <c r="S49">
        <v>1</v>
      </c>
      <c r="T49">
        <v>5564</v>
      </c>
      <c r="U49">
        <v>0</v>
      </c>
      <c r="V49">
        <v>5564</v>
      </c>
    </row>
    <row r="50" spans="1:22" x14ac:dyDescent="0.3">
      <c r="A50">
        <v>79452</v>
      </c>
      <c r="B50">
        <v>456751029</v>
      </c>
      <c r="C50" t="s">
        <v>1009</v>
      </c>
      <c r="D50" s="9" t="s">
        <v>1010</v>
      </c>
      <c r="E50" t="s">
        <v>769</v>
      </c>
      <c r="F50" t="s">
        <v>770</v>
      </c>
      <c r="G50" t="s">
        <v>28</v>
      </c>
      <c r="H50" t="s">
        <v>29</v>
      </c>
      <c r="I50" t="s">
        <v>34</v>
      </c>
      <c r="J50" t="s">
        <v>30</v>
      </c>
      <c r="K50" t="s">
        <v>27</v>
      </c>
      <c r="L50" t="s">
        <v>1011</v>
      </c>
      <c r="M50" t="s">
        <v>1012</v>
      </c>
      <c r="N50" t="s">
        <v>773</v>
      </c>
      <c r="O50" t="s">
        <v>31</v>
      </c>
      <c r="P50" t="s">
        <v>1013</v>
      </c>
      <c r="Q50" t="s">
        <v>99</v>
      </c>
      <c r="R50" s="26" t="s">
        <v>322</v>
      </c>
      <c r="S50">
        <v>1.4</v>
      </c>
      <c r="T50">
        <v>3250</v>
      </c>
      <c r="U50">
        <v>0</v>
      </c>
      <c r="V50">
        <v>3250</v>
      </c>
    </row>
    <row r="51" spans="1:22" x14ac:dyDescent="0.3">
      <c r="A51">
        <v>79452</v>
      </c>
      <c r="B51">
        <v>456703382</v>
      </c>
      <c r="C51" t="s">
        <v>1014</v>
      </c>
      <c r="D51" s="9" t="s">
        <v>1015</v>
      </c>
      <c r="E51" t="s">
        <v>769</v>
      </c>
      <c r="F51" t="s">
        <v>770</v>
      </c>
      <c r="G51" t="s">
        <v>28</v>
      </c>
      <c r="H51" t="s">
        <v>29</v>
      </c>
      <c r="I51" t="s">
        <v>34</v>
      </c>
      <c r="J51" t="s">
        <v>30</v>
      </c>
      <c r="K51" t="s">
        <v>27</v>
      </c>
      <c r="L51" t="s">
        <v>1016</v>
      </c>
      <c r="M51" t="s">
        <v>1017</v>
      </c>
      <c r="N51" t="s">
        <v>773</v>
      </c>
      <c r="O51" t="s">
        <v>31</v>
      </c>
      <c r="P51" t="s">
        <v>1018</v>
      </c>
      <c r="Q51" t="s">
        <v>88</v>
      </c>
      <c r="R51" s="26" t="s">
        <v>506</v>
      </c>
      <c r="S51">
        <v>1.6</v>
      </c>
      <c r="T51">
        <v>5024</v>
      </c>
      <c r="U51">
        <v>0</v>
      </c>
      <c r="V51">
        <v>5024</v>
      </c>
    </row>
    <row r="52" spans="1:22" x14ac:dyDescent="0.3">
      <c r="A52">
        <v>79452</v>
      </c>
      <c r="B52">
        <v>456703372</v>
      </c>
      <c r="C52" t="s">
        <v>1019</v>
      </c>
      <c r="D52" s="9" t="s">
        <v>1020</v>
      </c>
      <c r="E52" t="s">
        <v>769</v>
      </c>
      <c r="F52" t="s">
        <v>770</v>
      </c>
      <c r="G52" t="s">
        <v>28</v>
      </c>
      <c r="H52" t="s">
        <v>29</v>
      </c>
      <c r="I52" t="s">
        <v>34</v>
      </c>
      <c r="J52" t="s">
        <v>30</v>
      </c>
      <c r="K52" t="s">
        <v>27</v>
      </c>
      <c r="L52" t="s">
        <v>1021</v>
      </c>
      <c r="M52" t="s">
        <v>1022</v>
      </c>
      <c r="N52" t="s">
        <v>773</v>
      </c>
      <c r="O52" t="s">
        <v>31</v>
      </c>
      <c r="P52" t="s">
        <v>1023</v>
      </c>
      <c r="Q52" t="s">
        <v>88</v>
      </c>
      <c r="R52" s="26" t="s">
        <v>506</v>
      </c>
      <c r="S52">
        <v>1.3</v>
      </c>
      <c r="T52">
        <v>5024</v>
      </c>
      <c r="U52">
        <v>0</v>
      </c>
      <c r="V52">
        <v>5024</v>
      </c>
    </row>
    <row r="53" spans="1:22" x14ac:dyDescent="0.3">
      <c r="A53">
        <v>79452</v>
      </c>
      <c r="B53">
        <v>456725424</v>
      </c>
      <c r="C53" t="s">
        <v>1024</v>
      </c>
      <c r="D53" s="9" t="s">
        <v>1025</v>
      </c>
      <c r="E53" t="s">
        <v>769</v>
      </c>
      <c r="F53" t="s">
        <v>770</v>
      </c>
      <c r="G53" t="s">
        <v>28</v>
      </c>
      <c r="H53" t="s">
        <v>29</v>
      </c>
      <c r="I53" t="s">
        <v>34</v>
      </c>
      <c r="J53" t="s">
        <v>30</v>
      </c>
      <c r="K53" t="s">
        <v>27</v>
      </c>
      <c r="L53" t="s">
        <v>1026</v>
      </c>
      <c r="M53" t="s">
        <v>1027</v>
      </c>
      <c r="N53" t="s">
        <v>773</v>
      </c>
      <c r="O53" t="s">
        <v>31</v>
      </c>
      <c r="P53" t="s">
        <v>1028</v>
      </c>
      <c r="Q53" t="s">
        <v>72</v>
      </c>
      <c r="R53" s="26" t="s">
        <v>129</v>
      </c>
      <c r="S53">
        <v>1.2</v>
      </c>
      <c r="T53">
        <v>3653</v>
      </c>
      <c r="U53">
        <v>0</v>
      </c>
      <c r="V53">
        <v>3653</v>
      </c>
    </row>
    <row r="54" spans="1:22" x14ac:dyDescent="0.3">
      <c r="A54">
        <v>79452</v>
      </c>
      <c r="B54">
        <v>456725423</v>
      </c>
      <c r="C54" t="s">
        <v>1029</v>
      </c>
      <c r="D54" s="9" t="s">
        <v>1030</v>
      </c>
      <c r="E54" t="s">
        <v>769</v>
      </c>
      <c r="F54" t="s">
        <v>770</v>
      </c>
      <c r="G54" t="s">
        <v>28</v>
      </c>
      <c r="H54" t="s">
        <v>29</v>
      </c>
      <c r="I54" t="s">
        <v>34</v>
      </c>
      <c r="J54" t="s">
        <v>30</v>
      </c>
      <c r="K54" t="s">
        <v>27</v>
      </c>
      <c r="L54" t="s">
        <v>1031</v>
      </c>
      <c r="M54" t="s">
        <v>1032</v>
      </c>
      <c r="N54" t="s">
        <v>773</v>
      </c>
      <c r="O54" t="s">
        <v>31</v>
      </c>
      <c r="P54" t="s">
        <v>1033</v>
      </c>
      <c r="Q54" t="s">
        <v>41</v>
      </c>
      <c r="R54" s="26" t="s">
        <v>129</v>
      </c>
      <c r="S54">
        <v>1.4</v>
      </c>
      <c r="T54">
        <v>3935</v>
      </c>
      <c r="U54">
        <v>0</v>
      </c>
      <c r="V54">
        <v>3935</v>
      </c>
    </row>
    <row r="55" spans="1:22" x14ac:dyDescent="0.3">
      <c r="A55">
        <v>79452</v>
      </c>
      <c r="B55">
        <v>456725429</v>
      </c>
      <c r="C55" t="s">
        <v>1034</v>
      </c>
      <c r="D55" s="9" t="s">
        <v>1035</v>
      </c>
      <c r="E55" t="s">
        <v>769</v>
      </c>
      <c r="F55" t="s">
        <v>770</v>
      </c>
      <c r="G55" t="s">
        <v>28</v>
      </c>
      <c r="H55" t="s">
        <v>29</v>
      </c>
      <c r="I55" t="s">
        <v>34</v>
      </c>
      <c r="J55" t="s">
        <v>30</v>
      </c>
      <c r="K55" t="s">
        <v>27</v>
      </c>
      <c r="L55" t="s">
        <v>1036</v>
      </c>
      <c r="M55" t="s">
        <v>1037</v>
      </c>
      <c r="N55" t="s">
        <v>773</v>
      </c>
      <c r="O55" t="s">
        <v>31</v>
      </c>
      <c r="P55" t="s">
        <v>1038</v>
      </c>
      <c r="Q55" t="s">
        <v>97</v>
      </c>
      <c r="R55" s="26" t="s">
        <v>129</v>
      </c>
      <c r="S55">
        <v>1.1000000000000001</v>
      </c>
      <c r="T55">
        <v>3631</v>
      </c>
      <c r="U55">
        <v>0</v>
      </c>
      <c r="V55">
        <v>3631</v>
      </c>
    </row>
    <row r="56" spans="1:22" x14ac:dyDescent="0.3">
      <c r="A56">
        <v>79452</v>
      </c>
      <c r="B56">
        <v>456703396</v>
      </c>
      <c r="C56" t="s">
        <v>1039</v>
      </c>
      <c r="D56" s="9" t="s">
        <v>1040</v>
      </c>
      <c r="E56" t="s">
        <v>769</v>
      </c>
      <c r="F56" t="s">
        <v>770</v>
      </c>
      <c r="G56" t="s">
        <v>28</v>
      </c>
      <c r="H56" t="s">
        <v>29</v>
      </c>
      <c r="I56" t="s">
        <v>34</v>
      </c>
      <c r="J56" t="s">
        <v>30</v>
      </c>
      <c r="K56" t="s">
        <v>27</v>
      </c>
      <c r="L56" t="s">
        <v>1041</v>
      </c>
      <c r="M56" t="s">
        <v>589</v>
      </c>
      <c r="N56" t="s">
        <v>773</v>
      </c>
      <c r="O56" t="s">
        <v>31</v>
      </c>
      <c r="P56" t="s">
        <v>1042</v>
      </c>
      <c r="Q56" t="s">
        <v>84</v>
      </c>
      <c r="R56" s="26" t="s">
        <v>506</v>
      </c>
      <c r="S56">
        <v>1.6</v>
      </c>
      <c r="T56">
        <v>5564</v>
      </c>
      <c r="U56">
        <v>0</v>
      </c>
      <c r="V56">
        <v>5564</v>
      </c>
    </row>
    <row r="57" spans="1:22" x14ac:dyDescent="0.3">
      <c r="A57">
        <v>79452</v>
      </c>
      <c r="B57">
        <v>456766043</v>
      </c>
      <c r="C57" t="s">
        <v>1043</v>
      </c>
      <c r="D57" s="9" t="s">
        <v>1044</v>
      </c>
      <c r="E57" t="s">
        <v>769</v>
      </c>
      <c r="F57" t="s">
        <v>770</v>
      </c>
      <c r="G57" t="s">
        <v>28</v>
      </c>
      <c r="H57" t="s">
        <v>29</v>
      </c>
      <c r="I57" t="s">
        <v>34</v>
      </c>
      <c r="J57" t="s">
        <v>30</v>
      </c>
      <c r="K57" t="s">
        <v>27</v>
      </c>
      <c r="L57" t="s">
        <v>1045</v>
      </c>
      <c r="M57" t="s">
        <v>614</v>
      </c>
      <c r="N57" t="s">
        <v>773</v>
      </c>
      <c r="O57" t="s">
        <v>31</v>
      </c>
      <c r="P57" t="s">
        <v>1046</v>
      </c>
      <c r="Q57" t="s">
        <v>85</v>
      </c>
      <c r="R57" s="26" t="s">
        <v>442</v>
      </c>
      <c r="S57">
        <v>3.5</v>
      </c>
      <c r="T57">
        <v>4305</v>
      </c>
      <c r="U57">
        <v>0</v>
      </c>
      <c r="V57">
        <v>4305</v>
      </c>
    </row>
    <row r="58" spans="1:22" x14ac:dyDescent="0.3">
      <c r="A58">
        <v>79452</v>
      </c>
      <c r="B58">
        <v>456751026</v>
      </c>
      <c r="C58" t="s">
        <v>1047</v>
      </c>
      <c r="D58" s="9" t="s">
        <v>1048</v>
      </c>
      <c r="E58" t="s">
        <v>769</v>
      </c>
      <c r="F58" t="s">
        <v>770</v>
      </c>
      <c r="G58" t="s">
        <v>28</v>
      </c>
      <c r="H58" t="s">
        <v>29</v>
      </c>
      <c r="I58" t="s">
        <v>34</v>
      </c>
      <c r="J58" t="s">
        <v>30</v>
      </c>
      <c r="K58" t="s">
        <v>27</v>
      </c>
      <c r="L58" t="s">
        <v>1049</v>
      </c>
      <c r="M58" t="s">
        <v>1050</v>
      </c>
      <c r="N58" t="s">
        <v>773</v>
      </c>
      <c r="O58" t="s">
        <v>31</v>
      </c>
      <c r="P58" t="s">
        <v>1051</v>
      </c>
      <c r="Q58" t="s">
        <v>104</v>
      </c>
      <c r="R58" s="26" t="s">
        <v>322</v>
      </c>
      <c r="S58">
        <v>1.4</v>
      </c>
      <c r="T58">
        <v>3631</v>
      </c>
      <c r="U58">
        <v>0</v>
      </c>
      <c r="V58">
        <v>3631</v>
      </c>
    </row>
    <row r="59" spans="1:22" x14ac:dyDescent="0.3">
      <c r="A59">
        <v>79452</v>
      </c>
      <c r="B59">
        <v>456725389</v>
      </c>
      <c r="C59" t="s">
        <v>1052</v>
      </c>
      <c r="D59" s="9" t="s">
        <v>1053</v>
      </c>
      <c r="E59" t="s">
        <v>769</v>
      </c>
      <c r="F59" t="s">
        <v>770</v>
      </c>
      <c r="G59" t="s">
        <v>28</v>
      </c>
      <c r="H59" t="s">
        <v>29</v>
      </c>
      <c r="I59" t="s">
        <v>34</v>
      </c>
      <c r="J59" t="s">
        <v>30</v>
      </c>
      <c r="K59" t="s">
        <v>27</v>
      </c>
      <c r="L59" t="s">
        <v>1054</v>
      </c>
      <c r="M59" t="s">
        <v>687</v>
      </c>
      <c r="N59" t="s">
        <v>773</v>
      </c>
      <c r="O59" t="s">
        <v>31</v>
      </c>
      <c r="P59" t="s">
        <v>1055</v>
      </c>
      <c r="Q59" t="s">
        <v>321</v>
      </c>
      <c r="R59" s="26" t="s">
        <v>129</v>
      </c>
      <c r="S59">
        <v>1.3</v>
      </c>
      <c r="T59">
        <v>3250</v>
      </c>
      <c r="U59">
        <v>0</v>
      </c>
      <c r="V59">
        <v>3250</v>
      </c>
    </row>
    <row r="60" spans="1:22" x14ac:dyDescent="0.3">
      <c r="A60">
        <v>79452</v>
      </c>
      <c r="B60">
        <v>456676301</v>
      </c>
      <c r="C60" t="s">
        <v>1056</v>
      </c>
      <c r="D60" s="9" t="s">
        <v>1057</v>
      </c>
      <c r="E60" t="s">
        <v>769</v>
      </c>
      <c r="F60" t="s">
        <v>770</v>
      </c>
      <c r="G60" t="s">
        <v>28</v>
      </c>
      <c r="H60" t="s">
        <v>29</v>
      </c>
      <c r="I60" t="s">
        <v>34</v>
      </c>
      <c r="J60" t="s">
        <v>30</v>
      </c>
      <c r="K60" t="s">
        <v>27</v>
      </c>
      <c r="L60" t="s">
        <v>1058</v>
      </c>
      <c r="M60" t="s">
        <v>1059</v>
      </c>
      <c r="N60" t="s">
        <v>773</v>
      </c>
      <c r="O60" t="s">
        <v>31</v>
      </c>
      <c r="P60" t="s">
        <v>1060</v>
      </c>
      <c r="Q60" t="s">
        <v>102</v>
      </c>
      <c r="R60" s="26" t="s">
        <v>1000</v>
      </c>
      <c r="S60">
        <v>1</v>
      </c>
      <c r="T60">
        <v>3935</v>
      </c>
      <c r="U60">
        <v>0</v>
      </c>
      <c r="V60">
        <v>3935</v>
      </c>
    </row>
    <row r="61" spans="1:22" x14ac:dyDescent="0.3">
      <c r="A61">
        <v>79452</v>
      </c>
      <c r="B61">
        <v>456676305</v>
      </c>
      <c r="C61" t="s">
        <v>1061</v>
      </c>
      <c r="D61" s="9" t="s">
        <v>1062</v>
      </c>
      <c r="E61" t="s">
        <v>769</v>
      </c>
      <c r="F61" t="s">
        <v>770</v>
      </c>
      <c r="G61" t="s">
        <v>28</v>
      </c>
      <c r="H61" t="s">
        <v>29</v>
      </c>
      <c r="I61" t="s">
        <v>34</v>
      </c>
      <c r="J61" t="s">
        <v>30</v>
      </c>
      <c r="K61" t="s">
        <v>27</v>
      </c>
      <c r="L61" t="s">
        <v>1063</v>
      </c>
      <c r="M61" t="s">
        <v>1064</v>
      </c>
      <c r="N61" t="s">
        <v>773</v>
      </c>
      <c r="O61" t="s">
        <v>31</v>
      </c>
      <c r="P61" t="s">
        <v>1065</v>
      </c>
      <c r="Q61" t="s">
        <v>119</v>
      </c>
      <c r="R61" s="26" t="s">
        <v>1000</v>
      </c>
      <c r="S61">
        <v>1</v>
      </c>
      <c r="T61">
        <v>4205</v>
      </c>
      <c r="U61">
        <v>0</v>
      </c>
      <c r="V61">
        <v>4205</v>
      </c>
    </row>
    <row r="62" spans="1:22" x14ac:dyDescent="0.3">
      <c r="A62">
        <v>79452</v>
      </c>
      <c r="B62">
        <v>456703385</v>
      </c>
      <c r="C62" t="s">
        <v>1066</v>
      </c>
      <c r="D62" s="9" t="s">
        <v>1067</v>
      </c>
      <c r="E62" t="s">
        <v>769</v>
      </c>
      <c r="F62" t="s">
        <v>770</v>
      </c>
      <c r="G62" t="s">
        <v>28</v>
      </c>
      <c r="H62" t="s">
        <v>29</v>
      </c>
      <c r="I62" t="s">
        <v>34</v>
      </c>
      <c r="J62" t="s">
        <v>30</v>
      </c>
      <c r="K62" t="s">
        <v>27</v>
      </c>
      <c r="L62" t="s">
        <v>1068</v>
      </c>
      <c r="M62" t="s">
        <v>1069</v>
      </c>
      <c r="N62" t="s">
        <v>773</v>
      </c>
      <c r="O62" t="s">
        <v>31</v>
      </c>
      <c r="P62" t="s">
        <v>1070</v>
      </c>
      <c r="Q62" t="s">
        <v>104</v>
      </c>
      <c r="R62" s="26" t="s">
        <v>506</v>
      </c>
      <c r="S62">
        <v>1.1000000000000001</v>
      </c>
      <c r="T62">
        <v>3631</v>
      </c>
      <c r="U62">
        <v>0</v>
      </c>
      <c r="V62">
        <v>3631</v>
      </c>
    </row>
    <row r="63" spans="1:22" x14ac:dyDescent="0.3">
      <c r="A63">
        <v>79452</v>
      </c>
      <c r="B63">
        <v>456676319</v>
      </c>
      <c r="C63" t="s">
        <v>1071</v>
      </c>
      <c r="D63" s="9" t="s">
        <v>1072</v>
      </c>
      <c r="E63" t="s">
        <v>769</v>
      </c>
      <c r="F63" t="s">
        <v>770</v>
      </c>
      <c r="G63" t="s">
        <v>28</v>
      </c>
      <c r="H63" t="s">
        <v>29</v>
      </c>
      <c r="I63" t="s">
        <v>34</v>
      </c>
      <c r="J63" t="s">
        <v>30</v>
      </c>
      <c r="K63" t="s">
        <v>27</v>
      </c>
      <c r="L63" t="s">
        <v>1073</v>
      </c>
      <c r="M63" t="s">
        <v>1074</v>
      </c>
      <c r="N63" t="s">
        <v>773</v>
      </c>
      <c r="O63" t="s">
        <v>31</v>
      </c>
      <c r="P63" t="s">
        <v>1075</v>
      </c>
      <c r="Q63" t="s">
        <v>62</v>
      </c>
      <c r="R63" s="26" t="s">
        <v>1076</v>
      </c>
      <c r="S63">
        <v>1.1000000000000001</v>
      </c>
      <c r="T63">
        <v>3384</v>
      </c>
      <c r="U63">
        <v>0</v>
      </c>
      <c r="V63">
        <v>3384</v>
      </c>
    </row>
    <row r="64" spans="1:22" x14ac:dyDescent="0.3">
      <c r="A64">
        <v>79452</v>
      </c>
      <c r="B64">
        <v>456271478</v>
      </c>
      <c r="C64" t="s">
        <v>1077</v>
      </c>
      <c r="D64" s="9" t="s">
        <v>1078</v>
      </c>
      <c r="E64" t="s">
        <v>769</v>
      </c>
      <c r="F64" t="s">
        <v>770</v>
      </c>
      <c r="G64" t="s">
        <v>28</v>
      </c>
      <c r="H64" t="s">
        <v>29</v>
      </c>
      <c r="I64" t="s">
        <v>34</v>
      </c>
      <c r="J64" t="s">
        <v>30</v>
      </c>
      <c r="K64" t="s">
        <v>27</v>
      </c>
      <c r="L64" t="s">
        <v>1079</v>
      </c>
      <c r="M64" t="s">
        <v>1080</v>
      </c>
      <c r="N64" t="s">
        <v>773</v>
      </c>
      <c r="O64" t="s">
        <v>31</v>
      </c>
      <c r="P64" t="s">
        <v>1081</v>
      </c>
      <c r="Q64" t="s">
        <v>84</v>
      </c>
      <c r="R64" s="26" t="s">
        <v>352</v>
      </c>
      <c r="S64">
        <v>2.2000000000000002</v>
      </c>
      <c r="T64">
        <v>5564</v>
      </c>
      <c r="U64">
        <v>0</v>
      </c>
      <c r="V64">
        <v>5564</v>
      </c>
    </row>
    <row r="65" spans="1:22" x14ac:dyDescent="0.3">
      <c r="A65">
        <v>79452</v>
      </c>
      <c r="B65">
        <v>456676308</v>
      </c>
      <c r="C65" t="s">
        <v>1082</v>
      </c>
      <c r="D65" s="9" t="s">
        <v>1083</v>
      </c>
      <c r="E65" t="s">
        <v>769</v>
      </c>
      <c r="F65" t="s">
        <v>770</v>
      </c>
      <c r="G65" t="s">
        <v>28</v>
      </c>
      <c r="H65" t="s">
        <v>29</v>
      </c>
      <c r="I65" t="s">
        <v>34</v>
      </c>
      <c r="J65" t="s">
        <v>30</v>
      </c>
      <c r="K65" t="s">
        <v>27</v>
      </c>
      <c r="L65" t="s">
        <v>1084</v>
      </c>
      <c r="M65" t="s">
        <v>1085</v>
      </c>
      <c r="N65" t="s">
        <v>773</v>
      </c>
      <c r="O65" t="s">
        <v>31</v>
      </c>
      <c r="P65" t="s">
        <v>1086</v>
      </c>
      <c r="Q65" t="s">
        <v>103</v>
      </c>
      <c r="R65" s="26" t="s">
        <v>1000</v>
      </c>
      <c r="S65">
        <v>1.5</v>
      </c>
      <c r="T65">
        <v>3737</v>
      </c>
      <c r="U65">
        <v>0</v>
      </c>
      <c r="V65">
        <v>3737</v>
      </c>
    </row>
    <row r="66" spans="1:22" x14ac:dyDescent="0.3">
      <c r="A66">
        <v>79452</v>
      </c>
      <c r="B66">
        <v>456676321</v>
      </c>
      <c r="C66" t="s">
        <v>1087</v>
      </c>
      <c r="D66" s="9" t="s">
        <v>1088</v>
      </c>
      <c r="E66" t="s">
        <v>769</v>
      </c>
      <c r="F66" t="s">
        <v>770</v>
      </c>
      <c r="G66" t="s">
        <v>28</v>
      </c>
      <c r="H66" t="s">
        <v>29</v>
      </c>
      <c r="I66" t="s">
        <v>34</v>
      </c>
      <c r="J66" t="s">
        <v>30</v>
      </c>
      <c r="K66" t="s">
        <v>27</v>
      </c>
      <c r="L66" t="s">
        <v>1089</v>
      </c>
      <c r="M66" t="s">
        <v>1090</v>
      </c>
      <c r="N66" t="s">
        <v>773</v>
      </c>
      <c r="O66" t="s">
        <v>31</v>
      </c>
      <c r="P66" t="s">
        <v>1091</v>
      </c>
      <c r="Q66" t="s">
        <v>42</v>
      </c>
      <c r="R66" s="26" t="s">
        <v>1076</v>
      </c>
      <c r="S66">
        <v>1</v>
      </c>
      <c r="T66">
        <v>3631</v>
      </c>
      <c r="U66">
        <v>0</v>
      </c>
      <c r="V66">
        <v>3631</v>
      </c>
    </row>
    <row r="67" spans="1:22" x14ac:dyDescent="0.3">
      <c r="A67">
        <v>79452</v>
      </c>
      <c r="B67">
        <v>456703394</v>
      </c>
      <c r="C67" t="s">
        <v>1092</v>
      </c>
      <c r="D67" s="9" t="s">
        <v>1093</v>
      </c>
      <c r="E67" t="s">
        <v>769</v>
      </c>
      <c r="F67" t="s">
        <v>770</v>
      </c>
      <c r="G67" t="s">
        <v>28</v>
      </c>
      <c r="H67" t="s">
        <v>29</v>
      </c>
      <c r="I67" t="s">
        <v>34</v>
      </c>
      <c r="J67" t="s">
        <v>30</v>
      </c>
      <c r="K67" t="s">
        <v>27</v>
      </c>
      <c r="L67" t="s">
        <v>1094</v>
      </c>
      <c r="M67" t="s">
        <v>1095</v>
      </c>
      <c r="N67" t="s">
        <v>773</v>
      </c>
      <c r="O67" t="s">
        <v>31</v>
      </c>
      <c r="P67" t="s">
        <v>1096</v>
      </c>
      <c r="Q67" t="s">
        <v>171</v>
      </c>
      <c r="R67" s="26" t="s">
        <v>506</v>
      </c>
      <c r="S67">
        <v>1</v>
      </c>
      <c r="T67">
        <v>3250</v>
      </c>
      <c r="U67">
        <v>0</v>
      </c>
      <c r="V67">
        <v>3250</v>
      </c>
    </row>
    <row r="68" spans="1:22" x14ac:dyDescent="0.3">
      <c r="A68">
        <v>79452</v>
      </c>
      <c r="B68">
        <v>456676314</v>
      </c>
      <c r="C68" t="s">
        <v>1097</v>
      </c>
      <c r="D68" s="9" t="s">
        <v>1098</v>
      </c>
      <c r="E68" t="s">
        <v>769</v>
      </c>
      <c r="F68" t="s">
        <v>770</v>
      </c>
      <c r="G68" t="s">
        <v>28</v>
      </c>
      <c r="H68" t="s">
        <v>29</v>
      </c>
      <c r="I68" t="s">
        <v>34</v>
      </c>
      <c r="J68" t="s">
        <v>30</v>
      </c>
      <c r="K68" t="s">
        <v>27</v>
      </c>
      <c r="L68" t="s">
        <v>1099</v>
      </c>
      <c r="M68" t="s">
        <v>1100</v>
      </c>
      <c r="N68" t="s">
        <v>773</v>
      </c>
      <c r="O68" t="s">
        <v>31</v>
      </c>
      <c r="P68" t="s">
        <v>1101</v>
      </c>
      <c r="Q68" t="s">
        <v>65</v>
      </c>
      <c r="R68" s="26" t="s">
        <v>1000</v>
      </c>
      <c r="S68">
        <v>1.2</v>
      </c>
      <c r="T68">
        <v>3631</v>
      </c>
      <c r="U68">
        <v>0</v>
      </c>
      <c r="V68">
        <v>3631</v>
      </c>
    </row>
    <row r="69" spans="1:22" x14ac:dyDescent="0.3">
      <c r="A69">
        <v>79452</v>
      </c>
      <c r="B69">
        <v>456676324</v>
      </c>
      <c r="C69" t="s">
        <v>1102</v>
      </c>
      <c r="D69" s="9" t="s">
        <v>1103</v>
      </c>
      <c r="E69" t="s">
        <v>769</v>
      </c>
      <c r="F69" t="s">
        <v>770</v>
      </c>
      <c r="G69" t="s">
        <v>28</v>
      </c>
      <c r="H69" t="s">
        <v>29</v>
      </c>
      <c r="I69" t="s">
        <v>34</v>
      </c>
      <c r="J69" t="s">
        <v>30</v>
      </c>
      <c r="K69" t="s">
        <v>27</v>
      </c>
      <c r="L69" t="s">
        <v>1104</v>
      </c>
      <c r="M69" t="s">
        <v>1105</v>
      </c>
      <c r="N69" t="s">
        <v>773</v>
      </c>
      <c r="O69" t="s">
        <v>31</v>
      </c>
      <c r="P69" t="s">
        <v>1106</v>
      </c>
      <c r="Q69" t="s">
        <v>125</v>
      </c>
      <c r="R69" s="26" t="s">
        <v>1076</v>
      </c>
      <c r="S69">
        <v>1.5</v>
      </c>
      <c r="T69">
        <v>3653</v>
      </c>
      <c r="U69">
        <v>0</v>
      </c>
      <c r="V69">
        <v>3653</v>
      </c>
    </row>
    <row r="70" spans="1:22" x14ac:dyDescent="0.3">
      <c r="A70">
        <v>79452</v>
      </c>
      <c r="B70">
        <v>456676311</v>
      </c>
      <c r="C70" t="s">
        <v>1107</v>
      </c>
      <c r="D70" s="9" t="s">
        <v>1108</v>
      </c>
      <c r="E70" t="s">
        <v>769</v>
      </c>
      <c r="F70" t="s">
        <v>770</v>
      </c>
      <c r="G70" t="s">
        <v>28</v>
      </c>
      <c r="H70" t="s">
        <v>29</v>
      </c>
      <c r="I70" t="s">
        <v>34</v>
      </c>
      <c r="J70" t="s">
        <v>30</v>
      </c>
      <c r="K70" t="s">
        <v>27</v>
      </c>
      <c r="L70" t="s">
        <v>1109</v>
      </c>
      <c r="M70" t="s">
        <v>1110</v>
      </c>
      <c r="N70" t="s">
        <v>773</v>
      </c>
      <c r="O70" t="s">
        <v>31</v>
      </c>
      <c r="P70" t="s">
        <v>1111</v>
      </c>
      <c r="Q70" t="s">
        <v>67</v>
      </c>
      <c r="R70" s="26" t="s">
        <v>1000</v>
      </c>
      <c r="S70">
        <v>1.4</v>
      </c>
      <c r="T70">
        <v>3384</v>
      </c>
      <c r="U70">
        <v>0</v>
      </c>
      <c r="V70">
        <v>3384</v>
      </c>
    </row>
    <row r="71" spans="1:22" x14ac:dyDescent="0.3">
      <c r="A71">
        <v>79452</v>
      </c>
      <c r="B71">
        <v>456676299</v>
      </c>
      <c r="C71" t="s">
        <v>1112</v>
      </c>
      <c r="D71" s="9" t="s">
        <v>1113</v>
      </c>
      <c r="E71" t="s">
        <v>769</v>
      </c>
      <c r="F71" t="s">
        <v>770</v>
      </c>
      <c r="G71" t="s">
        <v>28</v>
      </c>
      <c r="H71" t="s">
        <v>29</v>
      </c>
      <c r="I71" t="s">
        <v>34</v>
      </c>
      <c r="J71" t="s">
        <v>30</v>
      </c>
      <c r="K71" t="s">
        <v>27</v>
      </c>
      <c r="L71" t="s">
        <v>1114</v>
      </c>
      <c r="M71" t="s">
        <v>1115</v>
      </c>
      <c r="N71" t="s">
        <v>773</v>
      </c>
      <c r="O71" t="s">
        <v>31</v>
      </c>
      <c r="P71" t="s">
        <v>1116</v>
      </c>
      <c r="Q71" t="s">
        <v>69</v>
      </c>
      <c r="R71" s="26" t="s">
        <v>1000</v>
      </c>
      <c r="S71">
        <v>1</v>
      </c>
      <c r="T71">
        <v>3935</v>
      </c>
      <c r="U71">
        <v>0</v>
      </c>
      <c r="V71">
        <v>3935</v>
      </c>
    </row>
    <row r="72" spans="1:22" x14ac:dyDescent="0.3">
      <c r="A72">
        <v>79452</v>
      </c>
      <c r="B72">
        <v>456703376</v>
      </c>
      <c r="C72" t="s">
        <v>1117</v>
      </c>
      <c r="D72" s="9" t="s">
        <v>1118</v>
      </c>
      <c r="E72" t="s">
        <v>769</v>
      </c>
      <c r="F72" t="s">
        <v>770</v>
      </c>
      <c r="G72" t="s">
        <v>28</v>
      </c>
      <c r="H72" t="s">
        <v>29</v>
      </c>
      <c r="I72" t="s">
        <v>34</v>
      </c>
      <c r="J72" t="s">
        <v>30</v>
      </c>
      <c r="K72" t="s">
        <v>27</v>
      </c>
      <c r="L72" t="s">
        <v>1119</v>
      </c>
      <c r="M72" t="s">
        <v>1120</v>
      </c>
      <c r="N72" t="s">
        <v>773</v>
      </c>
      <c r="O72" t="s">
        <v>31</v>
      </c>
      <c r="P72" t="s">
        <v>1121</v>
      </c>
      <c r="Q72" t="s">
        <v>67</v>
      </c>
      <c r="R72" s="26" t="s">
        <v>506</v>
      </c>
      <c r="S72">
        <v>1</v>
      </c>
      <c r="T72">
        <v>3384</v>
      </c>
      <c r="U72">
        <v>0</v>
      </c>
      <c r="V72">
        <v>3384</v>
      </c>
    </row>
    <row r="73" spans="1:22" x14ac:dyDescent="0.3">
      <c r="A73">
        <v>79452</v>
      </c>
      <c r="B73">
        <v>455973521</v>
      </c>
      <c r="C73" t="s">
        <v>1122</v>
      </c>
      <c r="D73" s="9" t="s">
        <v>1123</v>
      </c>
      <c r="E73" t="s">
        <v>769</v>
      </c>
      <c r="F73" t="s">
        <v>770</v>
      </c>
      <c r="G73" t="s">
        <v>28</v>
      </c>
      <c r="H73" t="s">
        <v>29</v>
      </c>
      <c r="I73" t="s">
        <v>34</v>
      </c>
      <c r="J73" t="s">
        <v>30</v>
      </c>
      <c r="K73" t="s">
        <v>27</v>
      </c>
      <c r="L73" t="s">
        <v>1124</v>
      </c>
      <c r="M73" t="s">
        <v>1125</v>
      </c>
      <c r="N73" t="s">
        <v>773</v>
      </c>
      <c r="O73" t="s">
        <v>31</v>
      </c>
      <c r="P73" t="s">
        <v>1126</v>
      </c>
      <c r="Q73" t="s">
        <v>197</v>
      </c>
      <c r="R73" s="26" t="s">
        <v>417</v>
      </c>
      <c r="S73">
        <v>1.4</v>
      </c>
      <c r="T73">
        <v>5564</v>
      </c>
      <c r="U73">
        <v>0</v>
      </c>
      <c r="V73">
        <v>5564</v>
      </c>
    </row>
    <row r="74" spans="1:22" x14ac:dyDescent="0.3">
      <c r="A74">
        <v>79452</v>
      </c>
      <c r="B74">
        <v>455973297</v>
      </c>
      <c r="C74" t="s">
        <v>1127</v>
      </c>
      <c r="D74" s="9" t="s">
        <v>1128</v>
      </c>
      <c r="E74" t="s">
        <v>769</v>
      </c>
      <c r="F74" t="s">
        <v>770</v>
      </c>
      <c r="G74" t="s">
        <v>28</v>
      </c>
      <c r="H74" t="s">
        <v>29</v>
      </c>
      <c r="I74" t="s">
        <v>34</v>
      </c>
      <c r="J74" t="s">
        <v>30</v>
      </c>
      <c r="K74" t="s">
        <v>27</v>
      </c>
      <c r="L74" t="s">
        <v>1129</v>
      </c>
      <c r="M74" t="s">
        <v>1130</v>
      </c>
      <c r="N74" t="s">
        <v>773</v>
      </c>
      <c r="O74" t="s">
        <v>31</v>
      </c>
      <c r="P74" t="s">
        <v>1131</v>
      </c>
      <c r="Q74" t="s">
        <v>175</v>
      </c>
      <c r="R74" s="26" t="s">
        <v>279</v>
      </c>
      <c r="S74">
        <v>1</v>
      </c>
      <c r="T74">
        <v>5564</v>
      </c>
      <c r="U74">
        <v>0</v>
      </c>
      <c r="V74">
        <v>5564</v>
      </c>
    </row>
    <row r="75" spans="1:22" x14ac:dyDescent="0.3">
      <c r="A75">
        <v>79452</v>
      </c>
      <c r="B75">
        <v>455821789</v>
      </c>
      <c r="C75" t="s">
        <v>1132</v>
      </c>
      <c r="D75" s="9" t="s">
        <v>1133</v>
      </c>
      <c r="E75" t="s">
        <v>769</v>
      </c>
      <c r="F75" t="s">
        <v>770</v>
      </c>
      <c r="G75" t="s">
        <v>28</v>
      </c>
      <c r="H75" t="s">
        <v>29</v>
      </c>
      <c r="I75" t="s">
        <v>34</v>
      </c>
      <c r="J75" t="s">
        <v>30</v>
      </c>
      <c r="K75" t="s">
        <v>27</v>
      </c>
      <c r="L75" t="s">
        <v>1134</v>
      </c>
      <c r="M75" t="s">
        <v>1135</v>
      </c>
      <c r="N75" t="s">
        <v>773</v>
      </c>
      <c r="O75" t="s">
        <v>31</v>
      </c>
      <c r="P75" t="s">
        <v>1136</v>
      </c>
      <c r="Q75" t="s">
        <v>175</v>
      </c>
      <c r="R75" s="26" t="s">
        <v>459</v>
      </c>
      <c r="S75">
        <v>2.4</v>
      </c>
      <c r="T75">
        <v>5564</v>
      </c>
      <c r="U75">
        <v>0</v>
      </c>
      <c r="V75">
        <v>5564</v>
      </c>
    </row>
    <row r="76" spans="1:22" x14ac:dyDescent="0.3">
      <c r="A76">
        <v>79452</v>
      </c>
      <c r="B76">
        <v>456676326</v>
      </c>
      <c r="C76" t="s">
        <v>1137</v>
      </c>
      <c r="D76" s="9" t="s">
        <v>1138</v>
      </c>
      <c r="E76" t="s">
        <v>769</v>
      </c>
      <c r="F76" t="s">
        <v>770</v>
      </c>
      <c r="G76" t="s">
        <v>28</v>
      </c>
      <c r="H76" t="s">
        <v>29</v>
      </c>
      <c r="I76" t="s">
        <v>34</v>
      </c>
      <c r="J76" t="s">
        <v>30</v>
      </c>
      <c r="K76" t="s">
        <v>27</v>
      </c>
      <c r="L76" t="s">
        <v>1139</v>
      </c>
      <c r="M76" t="s">
        <v>1140</v>
      </c>
      <c r="N76" t="s">
        <v>773</v>
      </c>
      <c r="O76" t="s">
        <v>31</v>
      </c>
      <c r="P76" t="s">
        <v>1141</v>
      </c>
      <c r="Q76" t="s">
        <v>135</v>
      </c>
      <c r="R76" s="26" t="s">
        <v>1076</v>
      </c>
      <c r="S76">
        <v>1</v>
      </c>
      <c r="T76">
        <v>3250</v>
      </c>
      <c r="U76">
        <v>0</v>
      </c>
      <c r="V76">
        <v>3250</v>
      </c>
    </row>
    <row r="77" spans="1:22" x14ac:dyDescent="0.3">
      <c r="A77">
        <v>79452</v>
      </c>
      <c r="B77">
        <v>455822067</v>
      </c>
      <c r="C77" t="s">
        <v>1142</v>
      </c>
      <c r="D77" s="9" t="s">
        <v>1143</v>
      </c>
      <c r="E77" t="s">
        <v>769</v>
      </c>
      <c r="F77" t="s">
        <v>770</v>
      </c>
      <c r="G77" t="s">
        <v>28</v>
      </c>
      <c r="H77" t="s">
        <v>29</v>
      </c>
      <c r="I77" t="s">
        <v>34</v>
      </c>
      <c r="J77" t="s">
        <v>30</v>
      </c>
      <c r="K77" t="s">
        <v>27</v>
      </c>
      <c r="L77" t="s">
        <v>1144</v>
      </c>
      <c r="M77" t="s">
        <v>536</v>
      </c>
      <c r="N77" t="s">
        <v>773</v>
      </c>
      <c r="O77" t="s">
        <v>31</v>
      </c>
      <c r="P77" t="s">
        <v>1145</v>
      </c>
      <c r="Q77" t="s">
        <v>175</v>
      </c>
      <c r="R77" s="26" t="s">
        <v>1146</v>
      </c>
      <c r="S77">
        <v>1</v>
      </c>
      <c r="T77">
        <v>5564</v>
      </c>
      <c r="U77">
        <v>0</v>
      </c>
      <c r="V77">
        <v>5564</v>
      </c>
    </row>
    <row r="78" spans="1:22" x14ac:dyDescent="0.3">
      <c r="A78">
        <v>79452</v>
      </c>
      <c r="B78">
        <v>456271484</v>
      </c>
      <c r="C78" t="s">
        <v>1147</v>
      </c>
      <c r="D78" s="9" t="s">
        <v>1148</v>
      </c>
      <c r="E78" t="s">
        <v>769</v>
      </c>
      <c r="F78" t="s">
        <v>770</v>
      </c>
      <c r="G78" t="s">
        <v>28</v>
      </c>
      <c r="H78" t="s">
        <v>29</v>
      </c>
      <c r="I78" t="s">
        <v>34</v>
      </c>
      <c r="J78" t="s">
        <v>30</v>
      </c>
      <c r="K78" t="s">
        <v>27</v>
      </c>
      <c r="L78" t="s">
        <v>1149</v>
      </c>
      <c r="M78" t="s">
        <v>1150</v>
      </c>
      <c r="N78" t="s">
        <v>773</v>
      </c>
      <c r="O78" t="s">
        <v>31</v>
      </c>
      <c r="P78" t="s">
        <v>1151</v>
      </c>
      <c r="Q78" t="s">
        <v>197</v>
      </c>
      <c r="R78" s="26" t="s">
        <v>352</v>
      </c>
      <c r="S78">
        <v>1.8</v>
      </c>
      <c r="T78">
        <v>5564</v>
      </c>
      <c r="U78">
        <v>0</v>
      </c>
      <c r="V78">
        <v>5564</v>
      </c>
    </row>
    <row r="79" spans="1:22" x14ac:dyDescent="0.3">
      <c r="A79">
        <v>79452</v>
      </c>
      <c r="B79">
        <v>455657023</v>
      </c>
      <c r="C79" t="s">
        <v>1152</v>
      </c>
      <c r="D79" s="9" t="s">
        <v>1153</v>
      </c>
      <c r="E79" t="s">
        <v>769</v>
      </c>
      <c r="F79" t="s">
        <v>770</v>
      </c>
      <c r="G79" t="s">
        <v>28</v>
      </c>
      <c r="H79" t="s">
        <v>29</v>
      </c>
      <c r="I79" t="s">
        <v>34</v>
      </c>
      <c r="J79" t="s">
        <v>30</v>
      </c>
      <c r="K79" t="s">
        <v>27</v>
      </c>
      <c r="L79" t="s">
        <v>1154</v>
      </c>
      <c r="M79" t="s">
        <v>1155</v>
      </c>
      <c r="N79" t="s">
        <v>773</v>
      </c>
      <c r="O79" t="s">
        <v>31</v>
      </c>
      <c r="P79" t="s">
        <v>1156</v>
      </c>
      <c r="Q79" t="s">
        <v>175</v>
      </c>
      <c r="R79" s="26" t="s">
        <v>1157</v>
      </c>
      <c r="S79">
        <v>2.2000000000000002</v>
      </c>
      <c r="T79">
        <v>5564</v>
      </c>
      <c r="U79">
        <v>0</v>
      </c>
      <c r="V79">
        <v>5564</v>
      </c>
    </row>
    <row r="80" spans="1:22" x14ac:dyDescent="0.3">
      <c r="A80">
        <v>79452</v>
      </c>
      <c r="B80">
        <v>456090758</v>
      </c>
      <c r="C80" t="s">
        <v>1158</v>
      </c>
      <c r="D80" s="9" t="s">
        <v>1159</v>
      </c>
      <c r="E80" t="s">
        <v>769</v>
      </c>
      <c r="F80" t="s">
        <v>770</v>
      </c>
      <c r="G80" t="s">
        <v>28</v>
      </c>
      <c r="H80" t="s">
        <v>29</v>
      </c>
      <c r="I80" t="s">
        <v>34</v>
      </c>
      <c r="J80" t="s">
        <v>30</v>
      </c>
      <c r="K80" t="s">
        <v>27</v>
      </c>
      <c r="L80" t="s">
        <v>1160</v>
      </c>
      <c r="M80" t="s">
        <v>353</v>
      </c>
      <c r="N80" t="s">
        <v>773</v>
      </c>
      <c r="O80" t="s">
        <v>31</v>
      </c>
      <c r="P80" t="s">
        <v>1161</v>
      </c>
      <c r="Q80" t="s">
        <v>242</v>
      </c>
      <c r="R80" s="26" t="s">
        <v>253</v>
      </c>
      <c r="S80">
        <v>1</v>
      </c>
      <c r="T80">
        <v>3935</v>
      </c>
      <c r="U80">
        <v>0</v>
      </c>
      <c r="V80">
        <v>3935</v>
      </c>
    </row>
    <row r="81" spans="1:22" x14ac:dyDescent="0.3">
      <c r="A81">
        <v>79452</v>
      </c>
      <c r="B81">
        <v>456587142</v>
      </c>
      <c r="C81" t="s">
        <v>1162</v>
      </c>
      <c r="D81" s="9" t="s">
        <v>1163</v>
      </c>
      <c r="E81" t="s">
        <v>769</v>
      </c>
      <c r="F81" t="s">
        <v>770</v>
      </c>
      <c r="G81" t="s">
        <v>28</v>
      </c>
      <c r="H81" t="s">
        <v>29</v>
      </c>
      <c r="I81" t="s">
        <v>34</v>
      </c>
      <c r="J81" t="s">
        <v>30</v>
      </c>
      <c r="K81" t="s">
        <v>27</v>
      </c>
      <c r="L81" t="s">
        <v>1164</v>
      </c>
      <c r="M81" t="s">
        <v>1165</v>
      </c>
      <c r="N81" t="s">
        <v>773</v>
      </c>
      <c r="O81" t="s">
        <v>31</v>
      </c>
      <c r="P81" t="s">
        <v>1166</v>
      </c>
      <c r="Q81" t="s">
        <v>68</v>
      </c>
      <c r="R81" s="26" t="s">
        <v>1167</v>
      </c>
      <c r="S81">
        <v>1</v>
      </c>
      <c r="T81">
        <v>5564</v>
      </c>
      <c r="U81">
        <v>0</v>
      </c>
      <c r="V81">
        <v>5564</v>
      </c>
    </row>
    <row r="82" spans="1:22" x14ac:dyDescent="0.3">
      <c r="A82">
        <v>79452</v>
      </c>
      <c r="B82">
        <v>456631225</v>
      </c>
      <c r="C82" t="s">
        <v>1168</v>
      </c>
      <c r="D82" s="9" t="s">
        <v>1169</v>
      </c>
      <c r="E82" t="s">
        <v>769</v>
      </c>
      <c r="F82" t="s">
        <v>770</v>
      </c>
      <c r="G82" t="s">
        <v>28</v>
      </c>
      <c r="H82" t="s">
        <v>29</v>
      </c>
      <c r="I82" t="s">
        <v>34</v>
      </c>
      <c r="J82" t="s">
        <v>30</v>
      </c>
      <c r="K82" t="s">
        <v>27</v>
      </c>
      <c r="L82" t="s">
        <v>1170</v>
      </c>
      <c r="M82" t="s">
        <v>1171</v>
      </c>
      <c r="N82" t="s">
        <v>773</v>
      </c>
      <c r="O82" t="s">
        <v>31</v>
      </c>
      <c r="P82" t="s">
        <v>1172</v>
      </c>
      <c r="Q82" t="s">
        <v>88</v>
      </c>
      <c r="R82" s="26" t="s">
        <v>1173</v>
      </c>
      <c r="S82">
        <v>1</v>
      </c>
      <c r="T82">
        <v>5024</v>
      </c>
      <c r="U82">
        <v>0</v>
      </c>
      <c r="V82">
        <v>5024</v>
      </c>
    </row>
    <row r="83" spans="1:22" x14ac:dyDescent="0.3">
      <c r="A83">
        <v>79452</v>
      </c>
      <c r="B83">
        <v>456474831</v>
      </c>
      <c r="C83" t="s">
        <v>1174</v>
      </c>
      <c r="D83" s="9" t="s">
        <v>1175</v>
      </c>
      <c r="E83" t="s">
        <v>769</v>
      </c>
      <c r="F83" t="s">
        <v>770</v>
      </c>
      <c r="G83" t="s">
        <v>28</v>
      </c>
      <c r="H83" t="s">
        <v>29</v>
      </c>
      <c r="I83" t="s">
        <v>34</v>
      </c>
      <c r="J83" t="s">
        <v>30</v>
      </c>
      <c r="K83" t="s">
        <v>27</v>
      </c>
      <c r="L83" t="s">
        <v>1176</v>
      </c>
      <c r="M83" t="s">
        <v>1177</v>
      </c>
      <c r="N83" t="s">
        <v>773</v>
      </c>
      <c r="O83" t="s">
        <v>31</v>
      </c>
      <c r="P83" t="s">
        <v>1178</v>
      </c>
      <c r="Q83" t="s">
        <v>68</v>
      </c>
      <c r="R83" s="26" t="s">
        <v>1179</v>
      </c>
      <c r="S83">
        <v>0.9</v>
      </c>
      <c r="T83">
        <v>5564</v>
      </c>
      <c r="U83">
        <v>0</v>
      </c>
      <c r="V83">
        <v>5564</v>
      </c>
    </row>
    <row r="84" spans="1:22" x14ac:dyDescent="0.3">
      <c r="A84">
        <v>79452</v>
      </c>
      <c r="B84">
        <v>456587143</v>
      </c>
      <c r="C84" t="s">
        <v>1180</v>
      </c>
      <c r="D84" s="9" t="s">
        <v>1181</v>
      </c>
      <c r="E84" t="s">
        <v>769</v>
      </c>
      <c r="F84" t="s">
        <v>770</v>
      </c>
      <c r="G84" t="s">
        <v>28</v>
      </c>
      <c r="H84" t="s">
        <v>29</v>
      </c>
      <c r="I84" t="s">
        <v>34</v>
      </c>
      <c r="J84" t="s">
        <v>30</v>
      </c>
      <c r="K84" t="s">
        <v>27</v>
      </c>
      <c r="L84" t="s">
        <v>1182</v>
      </c>
      <c r="M84" t="s">
        <v>1183</v>
      </c>
      <c r="N84" t="s">
        <v>773</v>
      </c>
      <c r="O84" t="s">
        <v>31</v>
      </c>
      <c r="P84" t="s">
        <v>1184</v>
      </c>
      <c r="Q84" t="s">
        <v>81</v>
      </c>
      <c r="R84" s="26" t="s">
        <v>1167</v>
      </c>
      <c r="S84">
        <v>0.7</v>
      </c>
      <c r="T84">
        <v>3935</v>
      </c>
      <c r="U84">
        <v>0</v>
      </c>
      <c r="V84">
        <v>3935</v>
      </c>
    </row>
    <row r="85" spans="1:22" x14ac:dyDescent="0.3">
      <c r="A85">
        <v>79452</v>
      </c>
      <c r="B85">
        <v>456497243</v>
      </c>
      <c r="C85" t="s">
        <v>1185</v>
      </c>
      <c r="D85" s="9" t="s">
        <v>1186</v>
      </c>
      <c r="E85" t="s">
        <v>769</v>
      </c>
      <c r="F85" t="s">
        <v>770</v>
      </c>
      <c r="G85" t="s">
        <v>28</v>
      </c>
      <c r="H85" t="s">
        <v>29</v>
      </c>
      <c r="I85" t="s">
        <v>34</v>
      </c>
      <c r="J85" t="s">
        <v>30</v>
      </c>
      <c r="K85" t="s">
        <v>27</v>
      </c>
      <c r="L85" t="s">
        <v>1187</v>
      </c>
      <c r="M85" t="s">
        <v>1188</v>
      </c>
      <c r="N85" t="s">
        <v>773</v>
      </c>
      <c r="O85" t="s">
        <v>31</v>
      </c>
      <c r="P85" t="s">
        <v>1189</v>
      </c>
      <c r="Q85" t="s">
        <v>68</v>
      </c>
      <c r="R85" s="26" t="s">
        <v>757</v>
      </c>
      <c r="S85">
        <v>1</v>
      </c>
      <c r="T85">
        <v>5564</v>
      </c>
      <c r="U85">
        <v>0</v>
      </c>
      <c r="V85">
        <v>5564</v>
      </c>
    </row>
    <row r="86" spans="1:22" x14ac:dyDescent="0.3">
      <c r="A86">
        <v>79452</v>
      </c>
      <c r="B86">
        <v>456603196</v>
      </c>
      <c r="C86" t="s">
        <v>1190</v>
      </c>
      <c r="D86" s="9" t="s">
        <v>1191</v>
      </c>
      <c r="E86" t="s">
        <v>769</v>
      </c>
      <c r="F86" t="s">
        <v>770</v>
      </c>
      <c r="G86" t="s">
        <v>28</v>
      </c>
      <c r="H86" t="s">
        <v>29</v>
      </c>
      <c r="I86" t="s">
        <v>34</v>
      </c>
      <c r="J86" t="s">
        <v>30</v>
      </c>
      <c r="K86" t="s">
        <v>27</v>
      </c>
      <c r="L86" t="s">
        <v>1192</v>
      </c>
      <c r="M86" t="s">
        <v>1193</v>
      </c>
      <c r="N86" t="s">
        <v>773</v>
      </c>
      <c r="O86" t="s">
        <v>31</v>
      </c>
      <c r="P86" t="s">
        <v>1194</v>
      </c>
      <c r="Q86" t="s">
        <v>84</v>
      </c>
      <c r="R86" s="26" t="s">
        <v>1195</v>
      </c>
      <c r="S86">
        <v>1.3</v>
      </c>
      <c r="T86">
        <v>5564</v>
      </c>
      <c r="U86">
        <v>0</v>
      </c>
      <c r="V86">
        <v>5564</v>
      </c>
    </row>
    <row r="87" spans="1:22" x14ac:dyDescent="0.3">
      <c r="A87">
        <v>79452</v>
      </c>
      <c r="B87">
        <v>456532505</v>
      </c>
      <c r="C87" t="s">
        <v>1196</v>
      </c>
      <c r="D87" s="9" t="s">
        <v>1197</v>
      </c>
      <c r="E87" t="s">
        <v>769</v>
      </c>
      <c r="F87" t="s">
        <v>770</v>
      </c>
      <c r="G87" t="s">
        <v>28</v>
      </c>
      <c r="H87" t="s">
        <v>29</v>
      </c>
      <c r="I87" t="s">
        <v>34</v>
      </c>
      <c r="J87" t="s">
        <v>30</v>
      </c>
      <c r="K87" t="s">
        <v>27</v>
      </c>
      <c r="L87" t="s">
        <v>497</v>
      </c>
      <c r="M87" t="s">
        <v>1198</v>
      </c>
      <c r="N87" t="s">
        <v>773</v>
      </c>
      <c r="O87" t="s">
        <v>31</v>
      </c>
      <c r="P87" t="s">
        <v>1199</v>
      </c>
      <c r="Q87" t="s">
        <v>84</v>
      </c>
      <c r="R87" s="26" t="s">
        <v>1200</v>
      </c>
      <c r="S87">
        <v>2.4</v>
      </c>
      <c r="T87">
        <v>5564</v>
      </c>
      <c r="U87">
        <v>0</v>
      </c>
      <c r="V87">
        <v>5564</v>
      </c>
    </row>
    <row r="88" spans="1:22" x14ac:dyDescent="0.3">
      <c r="A88">
        <v>79452</v>
      </c>
      <c r="B88">
        <v>456441374</v>
      </c>
      <c r="C88" t="s">
        <v>1201</v>
      </c>
      <c r="D88" s="9" t="s">
        <v>1202</v>
      </c>
      <c r="E88" t="s">
        <v>769</v>
      </c>
      <c r="F88" t="s">
        <v>770</v>
      </c>
      <c r="G88" t="s">
        <v>28</v>
      </c>
      <c r="H88" t="s">
        <v>29</v>
      </c>
      <c r="I88" t="s">
        <v>34</v>
      </c>
      <c r="J88" t="s">
        <v>30</v>
      </c>
      <c r="K88" t="s">
        <v>27</v>
      </c>
      <c r="L88" t="s">
        <v>1203</v>
      </c>
      <c r="M88" t="s">
        <v>1204</v>
      </c>
      <c r="N88" t="s">
        <v>773</v>
      </c>
      <c r="O88" t="s">
        <v>31</v>
      </c>
      <c r="P88" t="s">
        <v>1205</v>
      </c>
      <c r="Q88" t="s">
        <v>68</v>
      </c>
      <c r="R88" s="26" t="s">
        <v>1206</v>
      </c>
      <c r="S88">
        <v>0.8</v>
      </c>
      <c r="T88">
        <v>5564</v>
      </c>
      <c r="U88">
        <v>0</v>
      </c>
      <c r="V88">
        <v>5564</v>
      </c>
    </row>
    <row r="89" spans="1:22" x14ac:dyDescent="0.3">
      <c r="A89">
        <v>79452</v>
      </c>
      <c r="B89">
        <v>456532488</v>
      </c>
      <c r="C89" t="s">
        <v>1207</v>
      </c>
      <c r="D89" s="9" t="s">
        <v>1208</v>
      </c>
      <c r="E89" t="s">
        <v>769</v>
      </c>
      <c r="F89" t="s">
        <v>770</v>
      </c>
      <c r="G89" t="s">
        <v>28</v>
      </c>
      <c r="H89" t="s">
        <v>29</v>
      </c>
      <c r="I89" t="s">
        <v>34</v>
      </c>
      <c r="J89" t="s">
        <v>30</v>
      </c>
      <c r="K89" t="s">
        <v>27</v>
      </c>
      <c r="L89" t="s">
        <v>1209</v>
      </c>
      <c r="M89" t="s">
        <v>1210</v>
      </c>
      <c r="N89" t="s">
        <v>773</v>
      </c>
      <c r="O89" t="s">
        <v>31</v>
      </c>
      <c r="P89" t="s">
        <v>1211</v>
      </c>
      <c r="Q89" t="s">
        <v>84</v>
      </c>
      <c r="R89" s="26" t="s">
        <v>1200</v>
      </c>
      <c r="S89">
        <v>1.7</v>
      </c>
      <c r="T89">
        <v>5564</v>
      </c>
      <c r="U89">
        <v>0</v>
      </c>
      <c r="V89">
        <v>5564</v>
      </c>
    </row>
    <row r="90" spans="1:22" x14ac:dyDescent="0.3">
      <c r="A90">
        <v>79452</v>
      </c>
      <c r="B90">
        <v>456631227</v>
      </c>
      <c r="C90" t="s">
        <v>1212</v>
      </c>
      <c r="D90" s="9" t="s">
        <v>1213</v>
      </c>
      <c r="E90" t="s">
        <v>769</v>
      </c>
      <c r="F90" t="s">
        <v>770</v>
      </c>
      <c r="G90" t="s">
        <v>28</v>
      </c>
      <c r="H90" t="s">
        <v>29</v>
      </c>
      <c r="I90" t="s">
        <v>34</v>
      </c>
      <c r="J90" t="s">
        <v>30</v>
      </c>
      <c r="K90" t="s">
        <v>27</v>
      </c>
      <c r="L90" t="s">
        <v>1214</v>
      </c>
      <c r="M90" t="s">
        <v>978</v>
      </c>
      <c r="N90" t="s">
        <v>773</v>
      </c>
      <c r="O90" t="s">
        <v>31</v>
      </c>
      <c r="P90" t="s">
        <v>979</v>
      </c>
      <c r="Q90" t="s">
        <v>115</v>
      </c>
      <c r="R90" s="26" t="s">
        <v>1173</v>
      </c>
      <c r="S90">
        <v>1</v>
      </c>
      <c r="T90">
        <v>3250</v>
      </c>
      <c r="U90">
        <v>0</v>
      </c>
      <c r="V90">
        <v>3250</v>
      </c>
    </row>
    <row r="91" spans="1:22" x14ac:dyDescent="0.3">
      <c r="A91">
        <v>79452</v>
      </c>
      <c r="B91">
        <v>456271454</v>
      </c>
      <c r="C91" t="s">
        <v>1215</v>
      </c>
      <c r="D91" s="9" t="s">
        <v>1216</v>
      </c>
      <c r="E91" t="s">
        <v>769</v>
      </c>
      <c r="F91" t="s">
        <v>770</v>
      </c>
      <c r="G91" t="s">
        <v>28</v>
      </c>
      <c r="H91" t="s">
        <v>29</v>
      </c>
      <c r="I91" t="s">
        <v>34</v>
      </c>
      <c r="J91" t="s">
        <v>30</v>
      </c>
      <c r="K91" t="s">
        <v>27</v>
      </c>
      <c r="L91" t="s">
        <v>1217</v>
      </c>
      <c r="M91" t="s">
        <v>1218</v>
      </c>
      <c r="N91" t="s">
        <v>773</v>
      </c>
      <c r="O91" t="s">
        <v>31</v>
      </c>
      <c r="P91" t="s">
        <v>1219</v>
      </c>
      <c r="Q91" t="s">
        <v>68</v>
      </c>
      <c r="R91" s="26" t="s">
        <v>352</v>
      </c>
      <c r="S91">
        <v>1</v>
      </c>
      <c r="T91">
        <v>5564</v>
      </c>
      <c r="U91">
        <v>0</v>
      </c>
      <c r="V91">
        <v>5564</v>
      </c>
    </row>
    <row r="92" spans="1:22" x14ac:dyDescent="0.3">
      <c r="A92">
        <v>79452</v>
      </c>
      <c r="B92">
        <v>456631220</v>
      </c>
      <c r="C92" t="s">
        <v>1220</v>
      </c>
      <c r="D92" s="9" t="s">
        <v>1221</v>
      </c>
      <c r="E92" t="s">
        <v>769</v>
      </c>
      <c r="F92" t="s">
        <v>770</v>
      </c>
      <c r="G92" t="s">
        <v>28</v>
      </c>
      <c r="H92" t="s">
        <v>29</v>
      </c>
      <c r="I92" t="s">
        <v>34</v>
      </c>
      <c r="J92" t="s">
        <v>30</v>
      </c>
      <c r="K92" t="s">
        <v>27</v>
      </c>
      <c r="L92" t="s">
        <v>1222</v>
      </c>
      <c r="M92" t="s">
        <v>1223</v>
      </c>
      <c r="N92" t="s">
        <v>773</v>
      </c>
      <c r="O92" t="s">
        <v>31</v>
      </c>
      <c r="P92" t="s">
        <v>1224</v>
      </c>
      <c r="Q92" t="s">
        <v>73</v>
      </c>
      <c r="R92" s="26" t="s">
        <v>1173</v>
      </c>
      <c r="S92">
        <v>1</v>
      </c>
      <c r="T92">
        <v>3653</v>
      </c>
      <c r="U92">
        <v>0</v>
      </c>
      <c r="V92">
        <v>3653</v>
      </c>
    </row>
    <row r="93" spans="1:22" x14ac:dyDescent="0.3">
      <c r="A93">
        <v>79452</v>
      </c>
      <c r="B93">
        <v>456631219</v>
      </c>
      <c r="C93" t="s">
        <v>1225</v>
      </c>
      <c r="D93" s="9" t="s">
        <v>1226</v>
      </c>
      <c r="E93" t="s">
        <v>769</v>
      </c>
      <c r="F93" t="s">
        <v>770</v>
      </c>
      <c r="G93" t="s">
        <v>28</v>
      </c>
      <c r="H93" t="s">
        <v>29</v>
      </c>
      <c r="I93" t="s">
        <v>34</v>
      </c>
      <c r="J93" t="s">
        <v>30</v>
      </c>
      <c r="K93" t="s">
        <v>27</v>
      </c>
      <c r="L93" t="s">
        <v>1227</v>
      </c>
      <c r="M93" t="s">
        <v>1228</v>
      </c>
      <c r="N93" t="s">
        <v>773</v>
      </c>
      <c r="O93" t="s">
        <v>31</v>
      </c>
      <c r="P93" t="s">
        <v>1229</v>
      </c>
      <c r="Q93" t="s">
        <v>89</v>
      </c>
      <c r="R93" s="26" t="s">
        <v>1173</v>
      </c>
      <c r="S93">
        <v>1</v>
      </c>
      <c r="T93">
        <v>3250</v>
      </c>
      <c r="U93">
        <v>0</v>
      </c>
      <c r="V93">
        <v>3250</v>
      </c>
    </row>
    <row r="94" spans="1:22" x14ac:dyDescent="0.3">
      <c r="A94">
        <v>79452</v>
      </c>
      <c r="B94">
        <v>456651557</v>
      </c>
      <c r="C94" t="s">
        <v>1230</v>
      </c>
      <c r="D94" s="9" t="s">
        <v>1231</v>
      </c>
      <c r="E94" t="s">
        <v>769</v>
      </c>
      <c r="F94" t="s">
        <v>770</v>
      </c>
      <c r="G94" t="s">
        <v>28</v>
      </c>
      <c r="H94" t="s">
        <v>29</v>
      </c>
      <c r="I94" t="s">
        <v>34</v>
      </c>
      <c r="J94" t="s">
        <v>30</v>
      </c>
      <c r="K94" t="s">
        <v>27</v>
      </c>
      <c r="L94" t="s">
        <v>1232</v>
      </c>
      <c r="M94" t="s">
        <v>1233</v>
      </c>
      <c r="N94" t="s">
        <v>773</v>
      </c>
      <c r="O94" t="s">
        <v>31</v>
      </c>
      <c r="P94" t="s">
        <v>1234</v>
      </c>
      <c r="Q94" t="s">
        <v>85</v>
      </c>
      <c r="R94" s="26" t="s">
        <v>754</v>
      </c>
      <c r="S94">
        <v>1</v>
      </c>
      <c r="T94">
        <v>3631</v>
      </c>
      <c r="U94">
        <v>0</v>
      </c>
      <c r="V94">
        <v>3631</v>
      </c>
    </row>
    <row r="95" spans="1:22" x14ac:dyDescent="0.3">
      <c r="A95">
        <v>79452</v>
      </c>
      <c r="B95">
        <v>456497234</v>
      </c>
      <c r="C95" t="s">
        <v>1235</v>
      </c>
      <c r="D95" s="9" t="s">
        <v>1236</v>
      </c>
      <c r="E95" t="s">
        <v>769</v>
      </c>
      <c r="F95" t="s">
        <v>770</v>
      </c>
      <c r="G95" t="s">
        <v>28</v>
      </c>
      <c r="H95" t="s">
        <v>29</v>
      </c>
      <c r="I95" t="s">
        <v>34</v>
      </c>
      <c r="J95" t="s">
        <v>30</v>
      </c>
      <c r="K95" t="s">
        <v>27</v>
      </c>
      <c r="L95" t="s">
        <v>1237</v>
      </c>
      <c r="M95" t="s">
        <v>1238</v>
      </c>
      <c r="N95" t="s">
        <v>773</v>
      </c>
      <c r="O95" t="s">
        <v>31</v>
      </c>
      <c r="P95" t="s">
        <v>1239</v>
      </c>
      <c r="Q95" t="s">
        <v>120</v>
      </c>
      <c r="R95" s="26" t="s">
        <v>468</v>
      </c>
      <c r="S95">
        <v>1</v>
      </c>
      <c r="T95">
        <v>5295</v>
      </c>
      <c r="U95">
        <v>0</v>
      </c>
      <c r="V95">
        <v>5295</v>
      </c>
    </row>
    <row r="96" spans="1:22" x14ac:dyDescent="0.3">
      <c r="A96">
        <v>79452</v>
      </c>
      <c r="B96">
        <v>456551119</v>
      </c>
      <c r="C96" t="s">
        <v>1240</v>
      </c>
      <c r="D96" s="9" t="s">
        <v>1241</v>
      </c>
      <c r="E96" t="s">
        <v>769</v>
      </c>
      <c r="F96" t="s">
        <v>770</v>
      </c>
      <c r="G96" t="s">
        <v>28</v>
      </c>
      <c r="H96" t="s">
        <v>29</v>
      </c>
      <c r="I96" t="s">
        <v>34</v>
      </c>
      <c r="J96" t="s">
        <v>30</v>
      </c>
      <c r="K96" t="s">
        <v>27</v>
      </c>
      <c r="L96" t="s">
        <v>1242</v>
      </c>
      <c r="M96" t="s">
        <v>1243</v>
      </c>
      <c r="N96" t="s">
        <v>773</v>
      </c>
      <c r="O96" t="s">
        <v>31</v>
      </c>
      <c r="P96" t="s">
        <v>1244</v>
      </c>
      <c r="Q96" t="s">
        <v>120</v>
      </c>
      <c r="R96" s="26" t="s">
        <v>147</v>
      </c>
      <c r="S96">
        <v>1</v>
      </c>
      <c r="T96">
        <v>5295</v>
      </c>
      <c r="U96">
        <v>0</v>
      </c>
      <c r="V96">
        <v>5295</v>
      </c>
    </row>
    <row r="97" spans="1:22" x14ac:dyDescent="0.3">
      <c r="A97">
        <v>79452</v>
      </c>
      <c r="B97">
        <v>456551111</v>
      </c>
      <c r="C97" t="s">
        <v>1245</v>
      </c>
      <c r="D97" s="9" t="s">
        <v>1246</v>
      </c>
      <c r="E97" t="s">
        <v>769</v>
      </c>
      <c r="F97" t="s">
        <v>770</v>
      </c>
      <c r="G97" t="s">
        <v>28</v>
      </c>
      <c r="H97" t="s">
        <v>29</v>
      </c>
      <c r="I97" t="s">
        <v>34</v>
      </c>
      <c r="J97" t="s">
        <v>30</v>
      </c>
      <c r="K97" t="s">
        <v>27</v>
      </c>
      <c r="L97" t="s">
        <v>1247</v>
      </c>
      <c r="M97" t="s">
        <v>1248</v>
      </c>
      <c r="N97" t="s">
        <v>773</v>
      </c>
      <c r="O97" t="s">
        <v>31</v>
      </c>
      <c r="P97" t="s">
        <v>1249</v>
      </c>
      <c r="Q97" t="s">
        <v>88</v>
      </c>
      <c r="R97" s="26" t="s">
        <v>147</v>
      </c>
      <c r="S97">
        <v>1</v>
      </c>
      <c r="T97">
        <v>5024</v>
      </c>
      <c r="U97">
        <v>0</v>
      </c>
      <c r="V97">
        <v>5024</v>
      </c>
    </row>
    <row r="98" spans="1:22" x14ac:dyDescent="0.3">
      <c r="A98">
        <v>79452</v>
      </c>
      <c r="B98">
        <v>456334767</v>
      </c>
      <c r="C98" t="s">
        <v>1250</v>
      </c>
      <c r="D98" s="9" t="s">
        <v>1251</v>
      </c>
      <c r="E98" t="s">
        <v>769</v>
      </c>
      <c r="F98" t="s">
        <v>770</v>
      </c>
      <c r="G98" t="s">
        <v>28</v>
      </c>
      <c r="H98" t="s">
        <v>29</v>
      </c>
      <c r="I98" t="s">
        <v>34</v>
      </c>
      <c r="J98" t="s">
        <v>30</v>
      </c>
      <c r="K98" t="s">
        <v>27</v>
      </c>
      <c r="L98" t="s">
        <v>1252</v>
      </c>
      <c r="M98" t="s">
        <v>1253</v>
      </c>
      <c r="N98" t="s">
        <v>773</v>
      </c>
      <c r="O98" t="s">
        <v>31</v>
      </c>
      <c r="P98" t="s">
        <v>1254</v>
      </c>
      <c r="Q98" t="s">
        <v>88</v>
      </c>
      <c r="R98" s="26" t="s">
        <v>1255</v>
      </c>
      <c r="S98">
        <v>1.2</v>
      </c>
      <c r="T98">
        <v>5024</v>
      </c>
      <c r="U98">
        <v>0</v>
      </c>
      <c r="V98">
        <v>5024</v>
      </c>
    </row>
    <row r="99" spans="1:22" x14ac:dyDescent="0.3">
      <c r="A99">
        <v>79452</v>
      </c>
      <c r="B99">
        <v>456334747</v>
      </c>
      <c r="C99" t="s">
        <v>1256</v>
      </c>
      <c r="D99" s="9" t="s">
        <v>1257</v>
      </c>
      <c r="E99" t="s">
        <v>769</v>
      </c>
      <c r="F99" t="s">
        <v>770</v>
      </c>
      <c r="G99" t="s">
        <v>28</v>
      </c>
      <c r="H99" t="s">
        <v>29</v>
      </c>
      <c r="I99" t="s">
        <v>34</v>
      </c>
      <c r="J99" t="s">
        <v>30</v>
      </c>
      <c r="K99" t="s">
        <v>27</v>
      </c>
      <c r="L99" t="s">
        <v>1258</v>
      </c>
      <c r="M99" t="s">
        <v>609</v>
      </c>
      <c r="N99" t="s">
        <v>773</v>
      </c>
      <c r="O99" t="s">
        <v>31</v>
      </c>
      <c r="P99" t="s">
        <v>1259</v>
      </c>
      <c r="Q99" t="s">
        <v>88</v>
      </c>
      <c r="R99" s="26" t="s">
        <v>1255</v>
      </c>
      <c r="S99">
        <v>1</v>
      </c>
      <c r="T99">
        <v>5024</v>
      </c>
      <c r="U99">
        <v>0</v>
      </c>
      <c r="V99">
        <v>5024</v>
      </c>
    </row>
    <row r="100" spans="1:22" x14ac:dyDescent="0.3">
      <c r="A100">
        <v>79452</v>
      </c>
      <c r="B100">
        <v>456334786</v>
      </c>
      <c r="C100" t="s">
        <v>1260</v>
      </c>
      <c r="D100" s="9" t="s">
        <v>1261</v>
      </c>
      <c r="E100" t="s">
        <v>769</v>
      </c>
      <c r="F100" t="s">
        <v>770</v>
      </c>
      <c r="G100" t="s">
        <v>28</v>
      </c>
      <c r="H100" t="s">
        <v>29</v>
      </c>
      <c r="I100" t="s">
        <v>34</v>
      </c>
      <c r="J100" t="s">
        <v>30</v>
      </c>
      <c r="K100" t="s">
        <v>27</v>
      </c>
      <c r="L100" t="s">
        <v>1262</v>
      </c>
      <c r="M100" t="s">
        <v>1263</v>
      </c>
      <c r="N100" t="s">
        <v>773</v>
      </c>
      <c r="O100" t="s">
        <v>31</v>
      </c>
      <c r="P100" t="s">
        <v>1264</v>
      </c>
      <c r="Q100" t="s">
        <v>88</v>
      </c>
      <c r="R100" s="26" t="s">
        <v>1255</v>
      </c>
      <c r="S100">
        <v>1</v>
      </c>
      <c r="T100">
        <v>5024</v>
      </c>
      <c r="U100">
        <v>0</v>
      </c>
      <c r="V100">
        <v>5024</v>
      </c>
    </row>
    <row r="101" spans="1:22" x14ac:dyDescent="0.3">
      <c r="A101">
        <v>79452</v>
      </c>
      <c r="B101">
        <v>456603199</v>
      </c>
      <c r="C101" t="s">
        <v>1265</v>
      </c>
      <c r="D101" s="9" t="s">
        <v>1266</v>
      </c>
      <c r="E101" t="s">
        <v>769</v>
      </c>
      <c r="F101" t="s">
        <v>770</v>
      </c>
      <c r="G101" t="s">
        <v>28</v>
      </c>
      <c r="H101" t="s">
        <v>29</v>
      </c>
      <c r="I101" t="s">
        <v>34</v>
      </c>
      <c r="J101" t="s">
        <v>30</v>
      </c>
      <c r="K101" t="s">
        <v>27</v>
      </c>
      <c r="L101" t="s">
        <v>1267</v>
      </c>
      <c r="M101" t="s">
        <v>1268</v>
      </c>
      <c r="N101" t="s">
        <v>773</v>
      </c>
      <c r="O101" t="s">
        <v>31</v>
      </c>
      <c r="P101" t="s">
        <v>1269</v>
      </c>
      <c r="Q101" t="s">
        <v>115</v>
      </c>
      <c r="R101" s="26" t="s">
        <v>1195</v>
      </c>
      <c r="S101">
        <v>1</v>
      </c>
      <c r="T101">
        <v>3250</v>
      </c>
      <c r="U101">
        <v>0</v>
      </c>
      <c r="V101">
        <v>3250</v>
      </c>
    </row>
    <row r="102" spans="1:22" x14ac:dyDescent="0.3">
      <c r="A102">
        <v>79452</v>
      </c>
      <c r="B102">
        <v>456532489</v>
      </c>
      <c r="C102" t="s">
        <v>1270</v>
      </c>
      <c r="D102" s="9" t="s">
        <v>1271</v>
      </c>
      <c r="E102" t="s">
        <v>769</v>
      </c>
      <c r="F102" t="s">
        <v>770</v>
      </c>
      <c r="G102" t="s">
        <v>28</v>
      </c>
      <c r="H102" t="s">
        <v>29</v>
      </c>
      <c r="I102" t="s">
        <v>34</v>
      </c>
      <c r="J102" t="s">
        <v>30</v>
      </c>
      <c r="K102" t="s">
        <v>27</v>
      </c>
      <c r="L102" t="s">
        <v>1272</v>
      </c>
      <c r="M102" t="s">
        <v>558</v>
      </c>
      <c r="N102" t="s">
        <v>773</v>
      </c>
      <c r="O102" t="s">
        <v>31</v>
      </c>
      <c r="P102" t="s">
        <v>1273</v>
      </c>
      <c r="Q102" t="s">
        <v>67</v>
      </c>
      <c r="R102" s="26" t="s">
        <v>1200</v>
      </c>
      <c r="S102">
        <v>1</v>
      </c>
      <c r="T102">
        <v>3384</v>
      </c>
      <c r="U102">
        <v>0</v>
      </c>
      <c r="V102">
        <v>3384</v>
      </c>
    </row>
    <row r="103" spans="1:22" x14ac:dyDescent="0.3">
      <c r="A103">
        <v>79452</v>
      </c>
      <c r="B103">
        <v>456532490</v>
      </c>
      <c r="C103" t="s">
        <v>1274</v>
      </c>
      <c r="D103" s="9" t="s">
        <v>1275</v>
      </c>
      <c r="E103" t="s">
        <v>769</v>
      </c>
      <c r="F103" t="s">
        <v>770</v>
      </c>
      <c r="G103" t="s">
        <v>28</v>
      </c>
      <c r="H103" t="s">
        <v>29</v>
      </c>
      <c r="I103" t="s">
        <v>34</v>
      </c>
      <c r="J103" t="s">
        <v>30</v>
      </c>
      <c r="K103" t="s">
        <v>27</v>
      </c>
      <c r="L103" t="s">
        <v>1276</v>
      </c>
      <c r="M103" t="s">
        <v>1277</v>
      </c>
      <c r="N103" t="s">
        <v>773</v>
      </c>
      <c r="O103" t="s">
        <v>31</v>
      </c>
      <c r="P103" t="s">
        <v>1278</v>
      </c>
      <c r="Q103" t="s">
        <v>61</v>
      </c>
      <c r="R103" s="26" t="s">
        <v>1200</v>
      </c>
      <c r="S103">
        <v>1</v>
      </c>
      <c r="T103">
        <v>3631</v>
      </c>
      <c r="U103">
        <v>0</v>
      </c>
      <c r="V103">
        <v>3631</v>
      </c>
    </row>
    <row r="104" spans="1:22" x14ac:dyDescent="0.3">
      <c r="A104">
        <v>79452</v>
      </c>
      <c r="B104">
        <v>456334772</v>
      </c>
      <c r="C104" t="s">
        <v>1279</v>
      </c>
      <c r="D104" s="9" t="s">
        <v>1280</v>
      </c>
      <c r="E104" t="s">
        <v>769</v>
      </c>
      <c r="F104" t="s">
        <v>770</v>
      </c>
      <c r="G104" t="s">
        <v>28</v>
      </c>
      <c r="H104" t="s">
        <v>29</v>
      </c>
      <c r="I104" t="s">
        <v>34</v>
      </c>
      <c r="J104" t="s">
        <v>30</v>
      </c>
      <c r="K104" t="s">
        <v>27</v>
      </c>
      <c r="L104" t="s">
        <v>1281</v>
      </c>
      <c r="M104" t="s">
        <v>1282</v>
      </c>
      <c r="N104" t="s">
        <v>773</v>
      </c>
      <c r="O104" t="s">
        <v>31</v>
      </c>
      <c r="P104" t="s">
        <v>1283</v>
      </c>
      <c r="Q104" t="s">
        <v>88</v>
      </c>
      <c r="R104" s="26" t="s">
        <v>1255</v>
      </c>
      <c r="S104">
        <v>1</v>
      </c>
      <c r="T104">
        <v>5024</v>
      </c>
      <c r="U104">
        <v>0</v>
      </c>
      <c r="V104">
        <v>5024</v>
      </c>
    </row>
    <row r="105" spans="1:22" x14ac:dyDescent="0.3">
      <c r="A105">
        <v>79452</v>
      </c>
      <c r="B105">
        <v>456532491</v>
      </c>
      <c r="C105" t="s">
        <v>1284</v>
      </c>
      <c r="D105" s="9" t="s">
        <v>1285</v>
      </c>
      <c r="E105" t="s">
        <v>769</v>
      </c>
      <c r="F105" t="s">
        <v>770</v>
      </c>
      <c r="G105" t="s">
        <v>28</v>
      </c>
      <c r="H105" t="s">
        <v>29</v>
      </c>
      <c r="I105" t="s">
        <v>34</v>
      </c>
      <c r="J105" t="s">
        <v>30</v>
      </c>
      <c r="K105" t="s">
        <v>27</v>
      </c>
      <c r="L105" t="s">
        <v>1286</v>
      </c>
      <c r="M105" t="s">
        <v>1287</v>
      </c>
      <c r="N105" t="s">
        <v>773</v>
      </c>
      <c r="O105" t="s">
        <v>31</v>
      </c>
      <c r="P105" t="s">
        <v>1288</v>
      </c>
      <c r="Q105" t="s">
        <v>65</v>
      </c>
      <c r="R105" s="26" t="s">
        <v>1200</v>
      </c>
      <c r="S105">
        <v>1</v>
      </c>
      <c r="T105">
        <v>3631</v>
      </c>
      <c r="U105">
        <v>0</v>
      </c>
      <c r="V105">
        <v>3631</v>
      </c>
    </row>
    <row r="106" spans="1:22" x14ac:dyDescent="0.3">
      <c r="A106">
        <v>79452</v>
      </c>
      <c r="B106">
        <v>456351687</v>
      </c>
      <c r="C106" t="s">
        <v>1289</v>
      </c>
      <c r="D106" s="9" t="s">
        <v>1290</v>
      </c>
      <c r="E106" t="s">
        <v>769</v>
      </c>
      <c r="F106" t="s">
        <v>770</v>
      </c>
      <c r="G106" t="s">
        <v>28</v>
      </c>
      <c r="H106" t="s">
        <v>29</v>
      </c>
      <c r="I106" t="s">
        <v>34</v>
      </c>
      <c r="J106" t="s">
        <v>30</v>
      </c>
      <c r="K106" t="s">
        <v>27</v>
      </c>
      <c r="L106" t="s">
        <v>1291</v>
      </c>
      <c r="M106" t="s">
        <v>1292</v>
      </c>
      <c r="N106" t="s">
        <v>773</v>
      </c>
      <c r="O106" t="s">
        <v>31</v>
      </c>
      <c r="P106" t="s">
        <v>1293</v>
      </c>
      <c r="Q106" t="s">
        <v>120</v>
      </c>
      <c r="R106" s="26" t="s">
        <v>1294</v>
      </c>
      <c r="S106">
        <v>1</v>
      </c>
      <c r="T106">
        <v>5295</v>
      </c>
      <c r="U106">
        <v>0</v>
      </c>
      <c r="V106">
        <v>5295</v>
      </c>
    </row>
    <row r="107" spans="1:22" x14ac:dyDescent="0.3">
      <c r="A107">
        <v>79452</v>
      </c>
      <c r="B107">
        <v>456532487</v>
      </c>
      <c r="C107" t="s">
        <v>1295</v>
      </c>
      <c r="D107" s="9" t="s">
        <v>1296</v>
      </c>
      <c r="E107" t="s">
        <v>769</v>
      </c>
      <c r="F107" t="s">
        <v>770</v>
      </c>
      <c r="G107" t="s">
        <v>28</v>
      </c>
      <c r="H107" t="s">
        <v>29</v>
      </c>
      <c r="I107" t="s">
        <v>34</v>
      </c>
      <c r="J107" t="s">
        <v>30</v>
      </c>
      <c r="K107" t="s">
        <v>27</v>
      </c>
      <c r="L107" t="s">
        <v>1297</v>
      </c>
      <c r="M107" t="s">
        <v>1298</v>
      </c>
      <c r="N107" t="s">
        <v>773</v>
      </c>
      <c r="O107" t="s">
        <v>31</v>
      </c>
      <c r="P107" t="s">
        <v>1299</v>
      </c>
      <c r="Q107" t="s">
        <v>62</v>
      </c>
      <c r="R107" s="26" t="s">
        <v>1200</v>
      </c>
      <c r="S107">
        <v>1</v>
      </c>
      <c r="T107">
        <v>3384</v>
      </c>
      <c r="U107">
        <v>0</v>
      </c>
      <c r="V107">
        <v>3384</v>
      </c>
    </row>
    <row r="108" spans="1:22" x14ac:dyDescent="0.3">
      <c r="A108">
        <v>79452</v>
      </c>
      <c r="B108">
        <v>456587136</v>
      </c>
      <c r="C108" t="s">
        <v>1300</v>
      </c>
      <c r="D108" s="9" t="s">
        <v>1301</v>
      </c>
      <c r="E108" t="s">
        <v>769</v>
      </c>
      <c r="F108" t="s">
        <v>770</v>
      </c>
      <c r="G108" t="s">
        <v>28</v>
      </c>
      <c r="H108" t="s">
        <v>29</v>
      </c>
      <c r="I108" t="s">
        <v>34</v>
      </c>
      <c r="J108" t="s">
        <v>30</v>
      </c>
      <c r="K108" t="s">
        <v>27</v>
      </c>
      <c r="L108" t="s">
        <v>1302</v>
      </c>
      <c r="M108" t="s">
        <v>1303</v>
      </c>
      <c r="N108" t="s">
        <v>773</v>
      </c>
      <c r="O108" t="s">
        <v>31</v>
      </c>
      <c r="P108" t="s">
        <v>1304</v>
      </c>
      <c r="Q108" t="s">
        <v>171</v>
      </c>
      <c r="R108" s="26" t="s">
        <v>1167</v>
      </c>
      <c r="S108">
        <v>1</v>
      </c>
      <c r="T108">
        <v>3250</v>
      </c>
      <c r="U108">
        <v>0</v>
      </c>
      <c r="V108">
        <v>3250</v>
      </c>
    </row>
    <row r="109" spans="1:22" x14ac:dyDescent="0.3">
      <c r="A109">
        <v>79452</v>
      </c>
      <c r="B109">
        <v>456358240</v>
      </c>
      <c r="C109" t="s">
        <v>1305</v>
      </c>
      <c r="D109" s="9" t="s">
        <v>1306</v>
      </c>
      <c r="E109" t="s">
        <v>769</v>
      </c>
      <c r="F109" t="s">
        <v>770</v>
      </c>
      <c r="G109" t="s">
        <v>28</v>
      </c>
      <c r="H109" t="s">
        <v>29</v>
      </c>
      <c r="I109" t="s">
        <v>34</v>
      </c>
      <c r="J109" t="s">
        <v>30</v>
      </c>
      <c r="K109" t="s">
        <v>27</v>
      </c>
      <c r="L109" t="s">
        <v>1307</v>
      </c>
      <c r="M109" t="s">
        <v>1308</v>
      </c>
      <c r="N109" t="s">
        <v>773</v>
      </c>
      <c r="O109" t="s">
        <v>31</v>
      </c>
      <c r="P109" t="s">
        <v>1309</v>
      </c>
      <c r="Q109" t="s">
        <v>73</v>
      </c>
      <c r="R109" s="26" t="s">
        <v>1310</v>
      </c>
      <c r="S109">
        <v>1</v>
      </c>
      <c r="T109">
        <v>3653</v>
      </c>
      <c r="U109">
        <v>0</v>
      </c>
      <c r="V109">
        <v>3653</v>
      </c>
    </row>
    <row r="110" spans="1:22" x14ac:dyDescent="0.3">
      <c r="A110">
        <v>79452</v>
      </c>
      <c r="B110">
        <v>456271487</v>
      </c>
      <c r="C110" t="s">
        <v>1311</v>
      </c>
      <c r="D110" s="9" t="s">
        <v>1312</v>
      </c>
      <c r="E110" t="s">
        <v>769</v>
      </c>
      <c r="F110" t="s">
        <v>770</v>
      </c>
      <c r="G110" t="s">
        <v>28</v>
      </c>
      <c r="H110" t="s">
        <v>29</v>
      </c>
      <c r="I110" t="s">
        <v>34</v>
      </c>
      <c r="J110" t="s">
        <v>30</v>
      </c>
      <c r="K110" t="s">
        <v>27</v>
      </c>
      <c r="L110" t="s">
        <v>1313</v>
      </c>
      <c r="M110" t="s">
        <v>703</v>
      </c>
      <c r="N110" t="s">
        <v>773</v>
      </c>
      <c r="O110" t="s">
        <v>31</v>
      </c>
      <c r="P110" t="s">
        <v>1314</v>
      </c>
      <c r="Q110" t="s">
        <v>69</v>
      </c>
      <c r="R110" s="26" t="s">
        <v>352</v>
      </c>
      <c r="S110">
        <v>1</v>
      </c>
      <c r="T110">
        <v>3935</v>
      </c>
      <c r="U110">
        <v>0</v>
      </c>
      <c r="V110">
        <v>3935</v>
      </c>
    </row>
    <row r="111" spans="1:22" x14ac:dyDescent="0.3">
      <c r="A111">
        <v>79452</v>
      </c>
      <c r="B111">
        <v>456334746</v>
      </c>
      <c r="C111" t="s">
        <v>1315</v>
      </c>
      <c r="D111" s="9" t="s">
        <v>1316</v>
      </c>
      <c r="E111" t="s">
        <v>769</v>
      </c>
      <c r="F111" t="s">
        <v>770</v>
      </c>
      <c r="G111" t="s">
        <v>28</v>
      </c>
      <c r="H111" t="s">
        <v>29</v>
      </c>
      <c r="I111" t="s">
        <v>34</v>
      </c>
      <c r="J111" t="s">
        <v>30</v>
      </c>
      <c r="K111" t="s">
        <v>27</v>
      </c>
      <c r="L111" t="s">
        <v>1317</v>
      </c>
      <c r="M111" t="s">
        <v>582</v>
      </c>
      <c r="N111" t="s">
        <v>773</v>
      </c>
      <c r="O111" t="s">
        <v>31</v>
      </c>
      <c r="P111" t="s">
        <v>1318</v>
      </c>
      <c r="Q111" t="s">
        <v>126</v>
      </c>
      <c r="R111" s="26" t="s">
        <v>1255</v>
      </c>
      <c r="S111">
        <v>1.3</v>
      </c>
      <c r="T111">
        <v>3737</v>
      </c>
      <c r="U111">
        <v>0</v>
      </c>
      <c r="V111">
        <v>3737</v>
      </c>
    </row>
    <row r="112" spans="1:22" x14ac:dyDescent="0.3">
      <c r="A112">
        <v>79452</v>
      </c>
      <c r="B112">
        <v>456090894</v>
      </c>
      <c r="C112" t="s">
        <v>1319</v>
      </c>
      <c r="D112" s="9" t="s">
        <v>1320</v>
      </c>
      <c r="E112" t="s">
        <v>769</v>
      </c>
      <c r="F112" t="s">
        <v>770</v>
      </c>
      <c r="G112" t="s">
        <v>28</v>
      </c>
      <c r="H112" t="s">
        <v>29</v>
      </c>
      <c r="I112" t="s">
        <v>34</v>
      </c>
      <c r="J112" t="s">
        <v>30</v>
      </c>
      <c r="K112" t="s">
        <v>27</v>
      </c>
      <c r="L112" t="s">
        <v>1321</v>
      </c>
      <c r="M112" t="s">
        <v>1322</v>
      </c>
      <c r="N112" t="s">
        <v>773</v>
      </c>
      <c r="O112" t="s">
        <v>31</v>
      </c>
      <c r="P112" t="s">
        <v>1323</v>
      </c>
      <c r="Q112" t="s">
        <v>81</v>
      </c>
      <c r="R112" s="26" t="s">
        <v>383</v>
      </c>
      <c r="S112">
        <v>1.1000000000000001</v>
      </c>
      <c r="T112">
        <v>3935</v>
      </c>
      <c r="U112">
        <v>0</v>
      </c>
      <c r="V112">
        <v>3935</v>
      </c>
    </row>
    <row r="113" spans="1:22" x14ac:dyDescent="0.3">
      <c r="A113">
        <v>79452</v>
      </c>
      <c r="B113">
        <v>456474832</v>
      </c>
      <c r="C113" t="s">
        <v>1324</v>
      </c>
      <c r="D113" s="9" t="s">
        <v>1325</v>
      </c>
      <c r="E113" t="s">
        <v>769</v>
      </c>
      <c r="F113" t="s">
        <v>770</v>
      </c>
      <c r="G113" t="s">
        <v>28</v>
      </c>
      <c r="H113" t="s">
        <v>29</v>
      </c>
      <c r="I113" t="s">
        <v>34</v>
      </c>
      <c r="J113" t="s">
        <v>30</v>
      </c>
      <c r="K113" t="s">
        <v>27</v>
      </c>
      <c r="L113" t="s">
        <v>1326</v>
      </c>
      <c r="M113" t="s">
        <v>1327</v>
      </c>
      <c r="N113" t="s">
        <v>773</v>
      </c>
      <c r="O113" t="s">
        <v>31</v>
      </c>
      <c r="P113" t="s">
        <v>1328</v>
      </c>
      <c r="Q113" t="s">
        <v>171</v>
      </c>
      <c r="R113" s="26" t="s">
        <v>1179</v>
      </c>
      <c r="S113">
        <v>1</v>
      </c>
      <c r="T113">
        <v>3250</v>
      </c>
      <c r="U113">
        <v>0</v>
      </c>
      <c r="V113">
        <v>3250</v>
      </c>
    </row>
    <row r="114" spans="1:22" x14ac:dyDescent="0.3">
      <c r="A114">
        <v>79452</v>
      </c>
      <c r="B114">
        <v>456334752</v>
      </c>
      <c r="C114" t="s">
        <v>1329</v>
      </c>
      <c r="D114" s="9" t="s">
        <v>1330</v>
      </c>
      <c r="E114" t="s">
        <v>769</v>
      </c>
      <c r="F114" t="s">
        <v>770</v>
      </c>
      <c r="G114" t="s">
        <v>28</v>
      </c>
      <c r="H114" t="s">
        <v>29</v>
      </c>
      <c r="I114" t="s">
        <v>34</v>
      </c>
      <c r="J114" t="s">
        <v>30</v>
      </c>
      <c r="K114" t="s">
        <v>27</v>
      </c>
      <c r="L114" t="s">
        <v>1331</v>
      </c>
      <c r="M114" t="s">
        <v>1332</v>
      </c>
      <c r="N114" t="s">
        <v>773</v>
      </c>
      <c r="O114" t="s">
        <v>31</v>
      </c>
      <c r="P114" t="s">
        <v>1333</v>
      </c>
      <c r="Q114" t="s">
        <v>69</v>
      </c>
      <c r="R114" s="26" t="s">
        <v>1255</v>
      </c>
      <c r="S114">
        <v>1</v>
      </c>
      <c r="T114">
        <v>3935</v>
      </c>
      <c r="U114">
        <v>0</v>
      </c>
      <c r="V114">
        <v>3935</v>
      </c>
    </row>
    <row r="115" spans="1:22" x14ac:dyDescent="0.3">
      <c r="A115">
        <v>79452</v>
      </c>
      <c r="B115">
        <v>456334734</v>
      </c>
      <c r="C115" t="s">
        <v>1334</v>
      </c>
      <c r="D115" s="9" t="s">
        <v>1335</v>
      </c>
      <c r="E115" t="s">
        <v>769</v>
      </c>
      <c r="F115" t="s">
        <v>770</v>
      </c>
      <c r="G115" t="s">
        <v>28</v>
      </c>
      <c r="H115" t="s">
        <v>29</v>
      </c>
      <c r="I115" t="s">
        <v>34</v>
      </c>
      <c r="J115" t="s">
        <v>30</v>
      </c>
      <c r="K115" t="s">
        <v>27</v>
      </c>
      <c r="L115" t="s">
        <v>1336</v>
      </c>
      <c r="M115" t="s">
        <v>1337</v>
      </c>
      <c r="N115" t="s">
        <v>773</v>
      </c>
      <c r="O115" t="s">
        <v>31</v>
      </c>
      <c r="P115" t="s">
        <v>1338</v>
      </c>
      <c r="Q115" t="s">
        <v>120</v>
      </c>
      <c r="R115" s="26" t="s">
        <v>1255</v>
      </c>
      <c r="S115">
        <v>1.7</v>
      </c>
      <c r="T115">
        <v>5295</v>
      </c>
      <c r="U115">
        <v>0</v>
      </c>
      <c r="V115">
        <v>5295</v>
      </c>
    </row>
    <row r="116" spans="1:22" x14ac:dyDescent="0.3">
      <c r="A116">
        <v>79452</v>
      </c>
      <c r="B116">
        <v>456334745</v>
      </c>
      <c r="C116" t="s">
        <v>1339</v>
      </c>
      <c r="D116" s="9" t="s">
        <v>1340</v>
      </c>
      <c r="E116" t="s">
        <v>769</v>
      </c>
      <c r="F116" t="s">
        <v>770</v>
      </c>
      <c r="G116" t="s">
        <v>28</v>
      </c>
      <c r="H116" t="s">
        <v>29</v>
      </c>
      <c r="I116" t="s">
        <v>34</v>
      </c>
      <c r="J116" t="s">
        <v>30</v>
      </c>
      <c r="K116" t="s">
        <v>27</v>
      </c>
      <c r="L116" t="s">
        <v>1341</v>
      </c>
      <c r="M116" t="s">
        <v>654</v>
      </c>
      <c r="N116" t="s">
        <v>773</v>
      </c>
      <c r="O116" t="s">
        <v>31</v>
      </c>
      <c r="P116" t="s">
        <v>1342</v>
      </c>
      <c r="Q116" t="s">
        <v>171</v>
      </c>
      <c r="R116" s="26" t="s">
        <v>1255</v>
      </c>
      <c r="S116">
        <v>1</v>
      </c>
      <c r="T116">
        <v>3250</v>
      </c>
      <c r="U116">
        <v>0</v>
      </c>
      <c r="V116">
        <v>3250</v>
      </c>
    </row>
    <row r="117" spans="1:22" x14ac:dyDescent="0.3">
      <c r="A117">
        <v>79452</v>
      </c>
      <c r="B117">
        <v>456271458</v>
      </c>
      <c r="C117" t="s">
        <v>1343</v>
      </c>
      <c r="D117" s="9" t="s">
        <v>1344</v>
      </c>
      <c r="E117" t="s">
        <v>769</v>
      </c>
      <c r="F117" t="s">
        <v>770</v>
      </c>
      <c r="G117" t="s">
        <v>28</v>
      </c>
      <c r="H117" t="s">
        <v>29</v>
      </c>
      <c r="I117" t="s">
        <v>34</v>
      </c>
      <c r="J117" t="s">
        <v>30</v>
      </c>
      <c r="K117" t="s">
        <v>60</v>
      </c>
      <c r="L117" t="s">
        <v>157</v>
      </c>
      <c r="M117" t="s">
        <v>1345</v>
      </c>
      <c r="N117" t="s">
        <v>773</v>
      </c>
      <c r="O117" t="s">
        <v>31</v>
      </c>
      <c r="P117" t="s">
        <v>1346</v>
      </c>
      <c r="Q117" t="s">
        <v>69</v>
      </c>
      <c r="R117" s="26" t="s">
        <v>352</v>
      </c>
      <c r="S117">
        <v>1.6</v>
      </c>
      <c r="T117">
        <v>3935</v>
      </c>
      <c r="U117">
        <v>0</v>
      </c>
      <c r="V117">
        <v>3935</v>
      </c>
    </row>
    <row r="118" spans="1:22" x14ac:dyDescent="0.3">
      <c r="A118">
        <v>79452</v>
      </c>
      <c r="B118">
        <v>456271434</v>
      </c>
      <c r="C118" t="s">
        <v>1347</v>
      </c>
      <c r="D118" s="9" t="s">
        <v>1348</v>
      </c>
      <c r="E118" t="s">
        <v>769</v>
      </c>
      <c r="F118" t="s">
        <v>770</v>
      </c>
      <c r="G118" t="s">
        <v>28</v>
      </c>
      <c r="H118" t="s">
        <v>29</v>
      </c>
      <c r="I118" t="s">
        <v>34</v>
      </c>
      <c r="J118" t="s">
        <v>30</v>
      </c>
      <c r="K118" t="s">
        <v>27</v>
      </c>
      <c r="L118" t="s">
        <v>1349</v>
      </c>
      <c r="M118" t="s">
        <v>1350</v>
      </c>
      <c r="N118" t="s">
        <v>773</v>
      </c>
      <c r="O118" t="s">
        <v>31</v>
      </c>
      <c r="P118" t="s">
        <v>1351</v>
      </c>
      <c r="Q118" t="s">
        <v>196</v>
      </c>
      <c r="R118" s="26" t="s">
        <v>352</v>
      </c>
      <c r="S118">
        <v>1</v>
      </c>
      <c r="T118">
        <v>3935</v>
      </c>
      <c r="U118">
        <v>0</v>
      </c>
      <c r="V118">
        <v>3935</v>
      </c>
    </row>
    <row r="119" spans="1:22" x14ac:dyDescent="0.3">
      <c r="A119">
        <v>79452</v>
      </c>
      <c r="B119">
        <v>456090750</v>
      </c>
      <c r="C119" t="s">
        <v>1352</v>
      </c>
      <c r="D119" s="9" t="s">
        <v>1353</v>
      </c>
      <c r="E119" t="s">
        <v>769</v>
      </c>
      <c r="F119" t="s">
        <v>770</v>
      </c>
      <c r="G119" t="s">
        <v>28</v>
      </c>
      <c r="H119" t="s">
        <v>29</v>
      </c>
      <c r="I119" t="s">
        <v>34</v>
      </c>
      <c r="J119" t="s">
        <v>30</v>
      </c>
      <c r="K119" t="s">
        <v>27</v>
      </c>
      <c r="L119" t="s">
        <v>1354</v>
      </c>
      <c r="M119" t="s">
        <v>1355</v>
      </c>
      <c r="N119" t="s">
        <v>773</v>
      </c>
      <c r="O119" t="s">
        <v>31</v>
      </c>
      <c r="P119" t="s">
        <v>1356</v>
      </c>
      <c r="Q119" t="s">
        <v>120</v>
      </c>
      <c r="R119" s="26" t="s">
        <v>253</v>
      </c>
      <c r="S119">
        <v>1</v>
      </c>
      <c r="T119">
        <v>5295</v>
      </c>
      <c r="U119">
        <v>0</v>
      </c>
      <c r="V119">
        <v>5295</v>
      </c>
    </row>
    <row r="120" spans="1:22" x14ac:dyDescent="0.3">
      <c r="A120">
        <v>79452</v>
      </c>
      <c r="B120">
        <v>456551117</v>
      </c>
      <c r="C120" t="s">
        <v>1357</v>
      </c>
      <c r="D120" s="9" t="s">
        <v>1358</v>
      </c>
      <c r="E120" t="s">
        <v>769</v>
      </c>
      <c r="F120" t="s">
        <v>770</v>
      </c>
      <c r="G120" t="s">
        <v>28</v>
      </c>
      <c r="H120" t="s">
        <v>29</v>
      </c>
      <c r="I120" t="s">
        <v>34</v>
      </c>
      <c r="J120" t="s">
        <v>30</v>
      </c>
      <c r="K120" t="s">
        <v>27</v>
      </c>
      <c r="L120" t="s">
        <v>1359</v>
      </c>
      <c r="M120" t="s">
        <v>1360</v>
      </c>
      <c r="N120" t="s">
        <v>773</v>
      </c>
      <c r="O120" t="s">
        <v>31</v>
      </c>
      <c r="P120" t="s">
        <v>1361</v>
      </c>
      <c r="Q120" t="s">
        <v>72</v>
      </c>
      <c r="R120" s="26" t="s">
        <v>147</v>
      </c>
      <c r="S120">
        <v>1.6</v>
      </c>
      <c r="T120">
        <v>3653</v>
      </c>
      <c r="U120">
        <v>0</v>
      </c>
      <c r="V120">
        <v>3653</v>
      </c>
    </row>
    <row r="121" spans="1:22" x14ac:dyDescent="0.3">
      <c r="A121">
        <v>79452</v>
      </c>
      <c r="B121">
        <v>456497235</v>
      </c>
      <c r="C121" t="s">
        <v>1362</v>
      </c>
      <c r="D121" s="9" t="s">
        <v>1363</v>
      </c>
      <c r="E121" t="s">
        <v>769</v>
      </c>
      <c r="F121" t="s">
        <v>770</v>
      </c>
      <c r="G121" t="s">
        <v>28</v>
      </c>
      <c r="H121" t="s">
        <v>29</v>
      </c>
      <c r="I121" t="s">
        <v>34</v>
      </c>
      <c r="J121" t="s">
        <v>30</v>
      </c>
      <c r="K121" t="s">
        <v>27</v>
      </c>
      <c r="L121" t="s">
        <v>1364</v>
      </c>
      <c r="M121" t="s">
        <v>575</v>
      </c>
      <c r="N121" t="s">
        <v>773</v>
      </c>
      <c r="O121" t="s">
        <v>31</v>
      </c>
      <c r="P121" t="s">
        <v>875</v>
      </c>
      <c r="Q121" t="s">
        <v>73</v>
      </c>
      <c r="R121" s="26" t="s">
        <v>468</v>
      </c>
      <c r="S121">
        <v>1</v>
      </c>
      <c r="T121">
        <v>3653</v>
      </c>
      <c r="U121">
        <v>0</v>
      </c>
      <c r="V121">
        <v>3653</v>
      </c>
    </row>
    <row r="122" spans="1:22" x14ac:dyDescent="0.3">
      <c r="A122">
        <v>79452</v>
      </c>
      <c r="B122">
        <v>456532506</v>
      </c>
      <c r="C122" t="s">
        <v>1365</v>
      </c>
      <c r="D122" s="9" t="s">
        <v>1366</v>
      </c>
      <c r="E122" t="s">
        <v>769</v>
      </c>
      <c r="F122" t="s">
        <v>770</v>
      </c>
      <c r="G122" t="s">
        <v>28</v>
      </c>
      <c r="H122" t="s">
        <v>29</v>
      </c>
      <c r="I122" t="s">
        <v>34</v>
      </c>
      <c r="J122" t="s">
        <v>30</v>
      </c>
      <c r="K122" t="s">
        <v>27</v>
      </c>
      <c r="L122" t="s">
        <v>1367</v>
      </c>
      <c r="M122" t="s">
        <v>1368</v>
      </c>
      <c r="N122" t="s">
        <v>773</v>
      </c>
      <c r="O122" t="s">
        <v>31</v>
      </c>
      <c r="P122" t="s">
        <v>1369</v>
      </c>
      <c r="Q122" t="s">
        <v>109</v>
      </c>
      <c r="R122" s="26" t="s">
        <v>1200</v>
      </c>
      <c r="S122">
        <v>1</v>
      </c>
      <c r="T122">
        <v>3250</v>
      </c>
      <c r="U122">
        <v>0</v>
      </c>
      <c r="V122">
        <v>3250</v>
      </c>
    </row>
    <row r="123" spans="1:22" x14ac:dyDescent="0.3">
      <c r="A123">
        <v>79452</v>
      </c>
      <c r="B123">
        <v>456351690</v>
      </c>
      <c r="C123" t="s">
        <v>1370</v>
      </c>
      <c r="D123" s="9" t="s">
        <v>1371</v>
      </c>
      <c r="E123" t="s">
        <v>769</v>
      </c>
      <c r="F123" t="s">
        <v>770</v>
      </c>
      <c r="G123" t="s">
        <v>28</v>
      </c>
      <c r="H123" t="s">
        <v>29</v>
      </c>
      <c r="I123" t="s">
        <v>34</v>
      </c>
      <c r="J123" t="s">
        <v>30</v>
      </c>
      <c r="K123" t="s">
        <v>27</v>
      </c>
      <c r="L123" t="s">
        <v>1372</v>
      </c>
      <c r="M123" t="s">
        <v>1373</v>
      </c>
      <c r="N123" t="s">
        <v>773</v>
      </c>
      <c r="O123" t="s">
        <v>31</v>
      </c>
      <c r="P123" t="s">
        <v>1374</v>
      </c>
      <c r="Q123" t="s">
        <v>108</v>
      </c>
      <c r="R123" s="26" t="s">
        <v>1294</v>
      </c>
      <c r="S123">
        <v>1</v>
      </c>
      <c r="T123">
        <v>3250</v>
      </c>
      <c r="U123">
        <v>0</v>
      </c>
      <c r="V123">
        <v>3250</v>
      </c>
    </row>
    <row r="124" spans="1:22" x14ac:dyDescent="0.3">
      <c r="A124">
        <v>79452</v>
      </c>
      <c r="B124">
        <v>456271462</v>
      </c>
      <c r="C124" t="s">
        <v>1375</v>
      </c>
      <c r="D124" s="9" t="s">
        <v>1376</v>
      </c>
      <c r="E124" t="s">
        <v>769</v>
      </c>
      <c r="F124" t="s">
        <v>770</v>
      </c>
      <c r="G124" t="s">
        <v>28</v>
      </c>
      <c r="H124" t="s">
        <v>29</v>
      </c>
      <c r="I124" t="s">
        <v>34</v>
      </c>
      <c r="J124" t="s">
        <v>30</v>
      </c>
      <c r="K124" t="s">
        <v>27</v>
      </c>
      <c r="L124" t="s">
        <v>1377</v>
      </c>
      <c r="M124" t="s">
        <v>1378</v>
      </c>
      <c r="N124" t="s">
        <v>773</v>
      </c>
      <c r="O124" t="s">
        <v>31</v>
      </c>
      <c r="P124" t="s">
        <v>1379</v>
      </c>
      <c r="Q124" t="s">
        <v>69</v>
      </c>
      <c r="R124" s="26" t="s">
        <v>352</v>
      </c>
      <c r="S124">
        <v>1.2</v>
      </c>
      <c r="T124">
        <v>3935</v>
      </c>
      <c r="U124">
        <v>0</v>
      </c>
      <c r="V124">
        <v>3935</v>
      </c>
    </row>
    <row r="125" spans="1:22" x14ac:dyDescent="0.3">
      <c r="A125">
        <v>79452</v>
      </c>
      <c r="B125">
        <v>455822045</v>
      </c>
      <c r="C125" t="s">
        <v>1380</v>
      </c>
      <c r="D125" s="9" t="s">
        <v>1381</v>
      </c>
      <c r="E125" t="s">
        <v>769</v>
      </c>
      <c r="F125" t="s">
        <v>770</v>
      </c>
      <c r="G125" t="s">
        <v>28</v>
      </c>
      <c r="H125" t="s">
        <v>29</v>
      </c>
      <c r="I125" t="s">
        <v>34</v>
      </c>
      <c r="J125" t="s">
        <v>30</v>
      </c>
      <c r="K125" t="s">
        <v>27</v>
      </c>
      <c r="L125" t="s">
        <v>1382</v>
      </c>
      <c r="M125" t="s">
        <v>1383</v>
      </c>
      <c r="N125" t="s">
        <v>773</v>
      </c>
      <c r="O125" t="s">
        <v>31</v>
      </c>
      <c r="P125" t="s">
        <v>1384</v>
      </c>
      <c r="Q125" t="s">
        <v>218</v>
      </c>
      <c r="R125" s="26" t="s">
        <v>1146</v>
      </c>
      <c r="S125">
        <v>1.2</v>
      </c>
      <c r="T125">
        <v>4205</v>
      </c>
      <c r="U125">
        <v>0</v>
      </c>
      <c r="V125">
        <v>4205</v>
      </c>
    </row>
    <row r="126" spans="1:22" x14ac:dyDescent="0.3">
      <c r="A126">
        <v>79452</v>
      </c>
      <c r="B126">
        <v>456351689</v>
      </c>
      <c r="C126" t="s">
        <v>1385</v>
      </c>
      <c r="D126" s="9" t="s">
        <v>1386</v>
      </c>
      <c r="E126" t="s">
        <v>769</v>
      </c>
      <c r="F126" t="s">
        <v>770</v>
      </c>
      <c r="G126" t="s">
        <v>28</v>
      </c>
      <c r="H126" t="s">
        <v>29</v>
      </c>
      <c r="I126" t="s">
        <v>34</v>
      </c>
      <c r="J126" t="s">
        <v>30</v>
      </c>
      <c r="K126" t="s">
        <v>27</v>
      </c>
      <c r="L126" t="s">
        <v>1387</v>
      </c>
      <c r="M126" t="s">
        <v>1388</v>
      </c>
      <c r="N126" t="s">
        <v>773</v>
      </c>
      <c r="O126" t="s">
        <v>31</v>
      </c>
      <c r="P126" t="s">
        <v>1389</v>
      </c>
      <c r="Q126" t="s">
        <v>99</v>
      </c>
      <c r="R126" s="26" t="s">
        <v>1294</v>
      </c>
      <c r="S126">
        <v>0.9</v>
      </c>
      <c r="T126">
        <v>3250</v>
      </c>
      <c r="U126">
        <v>0</v>
      </c>
      <c r="V126">
        <v>3250</v>
      </c>
    </row>
    <row r="127" spans="1:22" x14ac:dyDescent="0.3">
      <c r="A127">
        <v>79452</v>
      </c>
      <c r="B127">
        <v>456551113</v>
      </c>
      <c r="C127" t="s">
        <v>1390</v>
      </c>
      <c r="D127" s="9" t="s">
        <v>1391</v>
      </c>
      <c r="E127" t="s">
        <v>769</v>
      </c>
      <c r="F127" t="s">
        <v>770</v>
      </c>
      <c r="G127" t="s">
        <v>28</v>
      </c>
      <c r="H127" t="s">
        <v>29</v>
      </c>
      <c r="I127" t="s">
        <v>34</v>
      </c>
      <c r="J127" t="s">
        <v>30</v>
      </c>
      <c r="K127" t="s">
        <v>27</v>
      </c>
      <c r="L127" t="s">
        <v>1392</v>
      </c>
      <c r="M127" t="s">
        <v>1393</v>
      </c>
      <c r="N127" t="s">
        <v>773</v>
      </c>
      <c r="O127" t="s">
        <v>31</v>
      </c>
      <c r="P127" t="s">
        <v>1394</v>
      </c>
      <c r="Q127" t="s">
        <v>62</v>
      </c>
      <c r="R127" s="26" t="s">
        <v>147</v>
      </c>
      <c r="S127">
        <v>1</v>
      </c>
      <c r="T127">
        <v>3384</v>
      </c>
      <c r="U127">
        <v>0</v>
      </c>
      <c r="V127">
        <v>3384</v>
      </c>
    </row>
    <row r="128" spans="1:22" x14ac:dyDescent="0.3">
      <c r="A128">
        <v>79452</v>
      </c>
      <c r="B128">
        <v>456409220</v>
      </c>
      <c r="C128" t="s">
        <v>1395</v>
      </c>
      <c r="D128" s="9" t="s">
        <v>1396</v>
      </c>
      <c r="E128" t="s">
        <v>769</v>
      </c>
      <c r="F128" t="s">
        <v>770</v>
      </c>
      <c r="G128" t="s">
        <v>28</v>
      </c>
      <c r="H128" t="s">
        <v>29</v>
      </c>
      <c r="I128" t="s">
        <v>34</v>
      </c>
      <c r="J128" t="s">
        <v>30</v>
      </c>
      <c r="K128" t="s">
        <v>27</v>
      </c>
      <c r="L128" t="s">
        <v>1397</v>
      </c>
      <c r="M128" t="s">
        <v>1398</v>
      </c>
      <c r="N128" t="s">
        <v>773</v>
      </c>
      <c r="O128" t="s">
        <v>31</v>
      </c>
      <c r="P128" t="s">
        <v>1399</v>
      </c>
      <c r="Q128" t="s">
        <v>160</v>
      </c>
      <c r="R128" s="26" t="s">
        <v>1400</v>
      </c>
      <c r="S128">
        <v>1</v>
      </c>
      <c r="T128">
        <v>3653</v>
      </c>
      <c r="U128">
        <v>0</v>
      </c>
      <c r="V128">
        <v>3653</v>
      </c>
    </row>
    <row r="129" spans="1:22" x14ac:dyDescent="0.3">
      <c r="A129">
        <v>79452</v>
      </c>
      <c r="B129">
        <v>456271488</v>
      </c>
      <c r="C129" t="s">
        <v>1401</v>
      </c>
      <c r="D129" s="9" t="s">
        <v>1402</v>
      </c>
      <c r="E129" t="s">
        <v>769</v>
      </c>
      <c r="F129" t="s">
        <v>770</v>
      </c>
      <c r="G129" t="s">
        <v>28</v>
      </c>
      <c r="H129" t="s">
        <v>29</v>
      </c>
      <c r="I129" t="s">
        <v>34</v>
      </c>
      <c r="J129" t="s">
        <v>30</v>
      </c>
      <c r="K129" t="s">
        <v>27</v>
      </c>
      <c r="L129" t="s">
        <v>1403</v>
      </c>
      <c r="M129" t="s">
        <v>680</v>
      </c>
      <c r="N129" t="s">
        <v>773</v>
      </c>
      <c r="O129" t="s">
        <v>31</v>
      </c>
      <c r="P129" t="s">
        <v>1404</v>
      </c>
      <c r="Q129" t="s">
        <v>88</v>
      </c>
      <c r="R129" s="26" t="s">
        <v>352</v>
      </c>
      <c r="S129">
        <v>2</v>
      </c>
      <c r="T129">
        <v>5024</v>
      </c>
      <c r="U129">
        <v>0</v>
      </c>
      <c r="V129">
        <v>5024</v>
      </c>
    </row>
    <row r="130" spans="1:22" x14ac:dyDescent="0.3">
      <c r="A130">
        <v>79452</v>
      </c>
      <c r="B130">
        <v>456271459</v>
      </c>
      <c r="C130" t="s">
        <v>1405</v>
      </c>
      <c r="D130" s="9" t="s">
        <v>1406</v>
      </c>
      <c r="E130" t="s">
        <v>769</v>
      </c>
      <c r="F130" t="s">
        <v>770</v>
      </c>
      <c r="G130" t="s">
        <v>28</v>
      </c>
      <c r="H130" t="s">
        <v>29</v>
      </c>
      <c r="I130" t="s">
        <v>34</v>
      </c>
      <c r="J130" t="s">
        <v>30</v>
      </c>
      <c r="K130" t="s">
        <v>27</v>
      </c>
      <c r="L130" t="s">
        <v>1407</v>
      </c>
      <c r="M130" t="s">
        <v>1408</v>
      </c>
      <c r="N130" t="s">
        <v>773</v>
      </c>
      <c r="O130" t="s">
        <v>31</v>
      </c>
      <c r="P130" t="s">
        <v>1409</v>
      </c>
      <c r="Q130" t="s">
        <v>88</v>
      </c>
      <c r="R130" s="26" t="s">
        <v>352</v>
      </c>
      <c r="S130">
        <v>1.4</v>
      </c>
      <c r="T130">
        <v>5024</v>
      </c>
      <c r="U130">
        <v>0</v>
      </c>
      <c r="V130">
        <v>5024</v>
      </c>
    </row>
    <row r="131" spans="1:22" x14ac:dyDescent="0.3">
      <c r="A131">
        <v>79452</v>
      </c>
      <c r="B131">
        <v>456409203</v>
      </c>
      <c r="C131" t="s">
        <v>1410</v>
      </c>
      <c r="D131" s="9" t="s">
        <v>1411</v>
      </c>
      <c r="E131" t="s">
        <v>769</v>
      </c>
      <c r="F131" t="s">
        <v>770</v>
      </c>
      <c r="G131" t="s">
        <v>28</v>
      </c>
      <c r="H131" t="s">
        <v>29</v>
      </c>
      <c r="I131" t="s">
        <v>34</v>
      </c>
      <c r="J131" t="s">
        <v>30</v>
      </c>
      <c r="K131" t="s">
        <v>27</v>
      </c>
      <c r="L131" t="s">
        <v>1412</v>
      </c>
      <c r="M131" t="s">
        <v>637</v>
      </c>
      <c r="N131" t="s">
        <v>773</v>
      </c>
      <c r="O131" t="s">
        <v>31</v>
      </c>
      <c r="P131" t="s">
        <v>1413</v>
      </c>
      <c r="Q131" t="s">
        <v>104</v>
      </c>
      <c r="R131" s="26" t="s">
        <v>1400</v>
      </c>
      <c r="S131">
        <v>1.7</v>
      </c>
      <c r="T131">
        <v>3631</v>
      </c>
      <c r="U131">
        <v>0</v>
      </c>
      <c r="V131">
        <v>3631</v>
      </c>
    </row>
    <row r="132" spans="1:22" x14ac:dyDescent="0.3">
      <c r="A132">
        <v>79452</v>
      </c>
      <c r="B132">
        <v>456271506</v>
      </c>
      <c r="C132" t="s">
        <v>1414</v>
      </c>
      <c r="D132" s="9" t="s">
        <v>1415</v>
      </c>
      <c r="E132" t="s">
        <v>769</v>
      </c>
      <c r="F132" t="s">
        <v>770</v>
      </c>
      <c r="G132" t="s">
        <v>28</v>
      </c>
      <c r="H132" t="s">
        <v>29</v>
      </c>
      <c r="I132" t="s">
        <v>34</v>
      </c>
      <c r="J132" t="s">
        <v>30</v>
      </c>
      <c r="K132" t="s">
        <v>27</v>
      </c>
      <c r="L132" t="s">
        <v>1416</v>
      </c>
      <c r="M132" t="s">
        <v>1417</v>
      </c>
      <c r="N132" t="s">
        <v>773</v>
      </c>
      <c r="O132" t="s">
        <v>31</v>
      </c>
      <c r="P132" t="s">
        <v>1418</v>
      </c>
      <c r="Q132" t="s">
        <v>119</v>
      </c>
      <c r="R132" s="26" t="s">
        <v>352</v>
      </c>
      <c r="S132">
        <v>1.6</v>
      </c>
      <c r="T132">
        <v>4205</v>
      </c>
      <c r="U132">
        <v>0</v>
      </c>
      <c r="V132">
        <v>4205</v>
      </c>
    </row>
    <row r="133" spans="1:22" x14ac:dyDescent="0.3">
      <c r="A133">
        <v>79452</v>
      </c>
      <c r="B133">
        <v>456090732</v>
      </c>
      <c r="C133" t="s">
        <v>1419</v>
      </c>
      <c r="D133" s="9" t="s">
        <v>1420</v>
      </c>
      <c r="E133" t="s">
        <v>769</v>
      </c>
      <c r="F133" t="s">
        <v>770</v>
      </c>
      <c r="G133" t="s">
        <v>28</v>
      </c>
      <c r="H133" t="s">
        <v>29</v>
      </c>
      <c r="I133" t="s">
        <v>34</v>
      </c>
      <c r="J133" t="s">
        <v>30</v>
      </c>
      <c r="K133" t="s">
        <v>27</v>
      </c>
      <c r="L133" t="s">
        <v>1421</v>
      </c>
      <c r="M133" t="s">
        <v>1422</v>
      </c>
      <c r="N133" t="s">
        <v>773</v>
      </c>
      <c r="O133" t="s">
        <v>31</v>
      </c>
      <c r="P133" t="s">
        <v>1423</v>
      </c>
      <c r="Q133" t="s">
        <v>120</v>
      </c>
      <c r="R133" s="26" t="s">
        <v>253</v>
      </c>
      <c r="S133">
        <v>1</v>
      </c>
      <c r="T133">
        <v>5295</v>
      </c>
      <c r="U133">
        <v>0</v>
      </c>
      <c r="V133">
        <v>5295</v>
      </c>
    </row>
    <row r="134" spans="1:22" x14ac:dyDescent="0.3">
      <c r="A134">
        <v>79452</v>
      </c>
      <c r="B134">
        <v>456271416</v>
      </c>
      <c r="C134" t="s">
        <v>1424</v>
      </c>
      <c r="D134" s="9" t="s">
        <v>1425</v>
      </c>
      <c r="E134" t="s">
        <v>769</v>
      </c>
      <c r="F134" t="s">
        <v>770</v>
      </c>
      <c r="G134" t="s">
        <v>28</v>
      </c>
      <c r="H134" t="s">
        <v>29</v>
      </c>
      <c r="I134" t="s">
        <v>34</v>
      </c>
      <c r="J134" t="s">
        <v>30</v>
      </c>
      <c r="K134" t="s">
        <v>27</v>
      </c>
      <c r="L134" t="s">
        <v>1426</v>
      </c>
      <c r="M134" t="s">
        <v>1427</v>
      </c>
      <c r="N134" t="s">
        <v>773</v>
      </c>
      <c r="O134" t="s">
        <v>31</v>
      </c>
      <c r="P134" t="s">
        <v>1428</v>
      </c>
      <c r="Q134" t="s">
        <v>118</v>
      </c>
      <c r="R134" s="26" t="s">
        <v>1429</v>
      </c>
      <c r="S134">
        <v>1</v>
      </c>
      <c r="T134">
        <v>3935</v>
      </c>
      <c r="U134">
        <v>0</v>
      </c>
      <c r="V134">
        <v>3935</v>
      </c>
    </row>
    <row r="135" spans="1:22" x14ac:dyDescent="0.3">
      <c r="A135">
        <v>79452</v>
      </c>
      <c r="B135">
        <v>455973328</v>
      </c>
      <c r="C135" t="s">
        <v>1430</v>
      </c>
      <c r="D135" s="9" t="s">
        <v>1431</v>
      </c>
      <c r="E135" t="s">
        <v>769</v>
      </c>
      <c r="F135" t="s">
        <v>770</v>
      </c>
      <c r="G135" t="s">
        <v>28</v>
      </c>
      <c r="H135" t="s">
        <v>29</v>
      </c>
      <c r="I135" t="s">
        <v>34</v>
      </c>
      <c r="J135" t="s">
        <v>30</v>
      </c>
      <c r="K135" t="s">
        <v>27</v>
      </c>
      <c r="L135" t="s">
        <v>1432</v>
      </c>
      <c r="M135" t="s">
        <v>1433</v>
      </c>
      <c r="N135" t="s">
        <v>773</v>
      </c>
      <c r="O135" t="s">
        <v>31</v>
      </c>
      <c r="P135" t="s">
        <v>1434</v>
      </c>
      <c r="Q135" t="s">
        <v>68</v>
      </c>
      <c r="R135" s="26" t="s">
        <v>279</v>
      </c>
      <c r="S135">
        <v>1</v>
      </c>
      <c r="T135">
        <v>5564</v>
      </c>
      <c r="U135">
        <v>0</v>
      </c>
      <c r="V135">
        <v>5564</v>
      </c>
    </row>
    <row r="136" spans="1:22" x14ac:dyDescent="0.3">
      <c r="A136">
        <v>79452</v>
      </c>
      <c r="B136">
        <v>456409210</v>
      </c>
      <c r="C136" t="s">
        <v>1435</v>
      </c>
      <c r="D136" s="9" t="s">
        <v>1436</v>
      </c>
      <c r="E136" t="s">
        <v>769</v>
      </c>
      <c r="F136" t="s">
        <v>770</v>
      </c>
      <c r="G136" t="s">
        <v>28</v>
      </c>
      <c r="H136" t="s">
        <v>29</v>
      </c>
      <c r="I136" t="s">
        <v>34</v>
      </c>
      <c r="J136" t="s">
        <v>30</v>
      </c>
      <c r="K136" t="s">
        <v>27</v>
      </c>
      <c r="L136" t="s">
        <v>1437</v>
      </c>
      <c r="M136" t="s">
        <v>1438</v>
      </c>
      <c r="N136" t="s">
        <v>773</v>
      </c>
      <c r="O136" t="s">
        <v>31</v>
      </c>
      <c r="P136" t="s">
        <v>1439</v>
      </c>
      <c r="Q136" t="s">
        <v>190</v>
      </c>
      <c r="R136" s="26" t="s">
        <v>1400</v>
      </c>
      <c r="S136">
        <v>1.3</v>
      </c>
      <c r="T136">
        <v>3250</v>
      </c>
      <c r="U136">
        <v>0</v>
      </c>
      <c r="V136">
        <v>3250</v>
      </c>
    </row>
    <row r="137" spans="1:22" x14ac:dyDescent="0.3">
      <c r="A137">
        <v>79452</v>
      </c>
      <c r="B137">
        <v>456271428</v>
      </c>
      <c r="C137" t="s">
        <v>1440</v>
      </c>
      <c r="D137" s="9" t="s">
        <v>1441</v>
      </c>
      <c r="E137" t="s">
        <v>769</v>
      </c>
      <c r="F137" t="s">
        <v>770</v>
      </c>
      <c r="G137" t="s">
        <v>28</v>
      </c>
      <c r="H137" t="s">
        <v>29</v>
      </c>
      <c r="I137" t="s">
        <v>34</v>
      </c>
      <c r="J137" t="s">
        <v>30</v>
      </c>
      <c r="K137" t="s">
        <v>27</v>
      </c>
      <c r="L137" t="s">
        <v>1442</v>
      </c>
      <c r="M137" t="s">
        <v>1443</v>
      </c>
      <c r="N137" t="s">
        <v>773</v>
      </c>
      <c r="O137" t="s">
        <v>31</v>
      </c>
      <c r="P137" t="s">
        <v>1444</v>
      </c>
      <c r="Q137" t="s">
        <v>119</v>
      </c>
      <c r="R137" s="26" t="s">
        <v>352</v>
      </c>
      <c r="S137">
        <v>1</v>
      </c>
      <c r="T137">
        <v>4205</v>
      </c>
      <c r="U137">
        <v>0</v>
      </c>
      <c r="V137">
        <v>4205</v>
      </c>
    </row>
    <row r="138" spans="1:22" x14ac:dyDescent="0.3">
      <c r="A138">
        <v>79452</v>
      </c>
      <c r="B138">
        <v>455821576</v>
      </c>
      <c r="C138" t="s">
        <v>1445</v>
      </c>
      <c r="D138" s="9" t="s">
        <v>1446</v>
      </c>
      <c r="E138" t="s">
        <v>769</v>
      </c>
      <c r="F138" t="s">
        <v>770</v>
      </c>
      <c r="G138" t="s">
        <v>28</v>
      </c>
      <c r="H138" t="s">
        <v>29</v>
      </c>
      <c r="I138" t="s">
        <v>34</v>
      </c>
      <c r="J138" t="s">
        <v>30</v>
      </c>
      <c r="K138" t="s">
        <v>27</v>
      </c>
      <c r="L138" t="s">
        <v>1447</v>
      </c>
      <c r="M138" t="s">
        <v>814</v>
      </c>
      <c r="N138" t="s">
        <v>773</v>
      </c>
      <c r="O138" t="s">
        <v>31</v>
      </c>
      <c r="P138" t="s">
        <v>1448</v>
      </c>
      <c r="Q138" t="s">
        <v>197</v>
      </c>
      <c r="R138" s="26" t="s">
        <v>282</v>
      </c>
      <c r="S138">
        <v>1</v>
      </c>
      <c r="T138">
        <v>5564</v>
      </c>
      <c r="U138">
        <v>0</v>
      </c>
      <c r="V138">
        <v>5564</v>
      </c>
    </row>
    <row r="139" spans="1:22" x14ac:dyDescent="0.3">
      <c r="A139">
        <v>79452</v>
      </c>
      <c r="B139">
        <v>455821908</v>
      </c>
      <c r="C139" t="s">
        <v>1449</v>
      </c>
      <c r="D139" s="9" t="s">
        <v>1450</v>
      </c>
      <c r="E139" t="s">
        <v>769</v>
      </c>
      <c r="F139" t="s">
        <v>770</v>
      </c>
      <c r="G139" t="s">
        <v>28</v>
      </c>
      <c r="H139" t="s">
        <v>29</v>
      </c>
      <c r="I139" t="s">
        <v>34</v>
      </c>
      <c r="J139" t="s">
        <v>30</v>
      </c>
      <c r="K139" t="s">
        <v>27</v>
      </c>
      <c r="L139" t="s">
        <v>1451</v>
      </c>
      <c r="M139" t="s">
        <v>1452</v>
      </c>
      <c r="N139" t="s">
        <v>773</v>
      </c>
      <c r="O139" t="s">
        <v>31</v>
      </c>
      <c r="P139" t="s">
        <v>1453</v>
      </c>
      <c r="Q139" t="s">
        <v>197</v>
      </c>
      <c r="R139" s="26" t="s">
        <v>459</v>
      </c>
      <c r="S139">
        <v>1</v>
      </c>
      <c r="T139">
        <v>5564</v>
      </c>
      <c r="U139">
        <v>0</v>
      </c>
      <c r="V139">
        <v>5564</v>
      </c>
    </row>
    <row r="140" spans="1:22" x14ac:dyDescent="0.3">
      <c r="A140">
        <v>79452</v>
      </c>
      <c r="B140">
        <v>456409222</v>
      </c>
      <c r="C140" t="s">
        <v>1454</v>
      </c>
      <c r="D140" s="9" t="s">
        <v>1455</v>
      </c>
      <c r="E140" t="s">
        <v>769</v>
      </c>
      <c r="F140" t="s">
        <v>770</v>
      </c>
      <c r="G140" t="s">
        <v>28</v>
      </c>
      <c r="H140" t="s">
        <v>29</v>
      </c>
      <c r="I140" t="s">
        <v>34</v>
      </c>
      <c r="J140" t="s">
        <v>30</v>
      </c>
      <c r="K140" t="s">
        <v>27</v>
      </c>
      <c r="L140" t="s">
        <v>1456</v>
      </c>
      <c r="M140" t="s">
        <v>1457</v>
      </c>
      <c r="N140" t="s">
        <v>773</v>
      </c>
      <c r="O140" t="s">
        <v>31</v>
      </c>
      <c r="P140" t="s">
        <v>1458</v>
      </c>
      <c r="Q140" t="s">
        <v>109</v>
      </c>
      <c r="R140" s="26" t="s">
        <v>1400</v>
      </c>
      <c r="S140">
        <v>1.2</v>
      </c>
      <c r="T140">
        <v>3250</v>
      </c>
      <c r="U140">
        <v>0</v>
      </c>
      <c r="V140">
        <v>3250</v>
      </c>
    </row>
    <row r="141" spans="1:22" x14ac:dyDescent="0.3">
      <c r="A141">
        <v>79452</v>
      </c>
      <c r="B141">
        <v>456271402</v>
      </c>
      <c r="C141" t="s">
        <v>1459</v>
      </c>
      <c r="D141" s="9" t="s">
        <v>1460</v>
      </c>
      <c r="E141" t="s">
        <v>769</v>
      </c>
      <c r="F141" t="s">
        <v>770</v>
      </c>
      <c r="G141" t="s">
        <v>28</v>
      </c>
      <c r="H141" t="s">
        <v>29</v>
      </c>
      <c r="I141" t="s">
        <v>34</v>
      </c>
      <c r="J141" t="s">
        <v>30</v>
      </c>
      <c r="K141" t="s">
        <v>27</v>
      </c>
      <c r="L141" t="s">
        <v>1461</v>
      </c>
      <c r="M141" t="s">
        <v>1462</v>
      </c>
      <c r="N141" t="s">
        <v>773</v>
      </c>
      <c r="O141" t="s">
        <v>31</v>
      </c>
      <c r="P141" t="s">
        <v>1463</v>
      </c>
      <c r="Q141" t="s">
        <v>69</v>
      </c>
      <c r="R141" s="26" t="s">
        <v>1429</v>
      </c>
      <c r="S141">
        <v>1</v>
      </c>
      <c r="T141">
        <v>3935</v>
      </c>
      <c r="U141">
        <v>0</v>
      </c>
      <c r="V141">
        <v>3935</v>
      </c>
    </row>
    <row r="142" spans="1:22" x14ac:dyDescent="0.3">
      <c r="A142">
        <v>79452</v>
      </c>
      <c r="B142">
        <v>456090769</v>
      </c>
      <c r="C142" t="s">
        <v>1464</v>
      </c>
      <c r="D142" s="9" t="s">
        <v>1465</v>
      </c>
      <c r="E142" t="s">
        <v>769</v>
      </c>
      <c r="F142" t="s">
        <v>770</v>
      </c>
      <c r="G142" t="s">
        <v>28</v>
      </c>
      <c r="H142" t="s">
        <v>29</v>
      </c>
      <c r="I142" t="s">
        <v>34</v>
      </c>
      <c r="J142" t="s">
        <v>30</v>
      </c>
      <c r="K142" t="s">
        <v>27</v>
      </c>
      <c r="L142" t="s">
        <v>1466</v>
      </c>
      <c r="M142" t="s">
        <v>1467</v>
      </c>
      <c r="N142" t="s">
        <v>773</v>
      </c>
      <c r="O142" t="s">
        <v>31</v>
      </c>
      <c r="P142" t="s">
        <v>1468</v>
      </c>
      <c r="Q142" t="s">
        <v>88</v>
      </c>
      <c r="R142" s="26" t="s">
        <v>253</v>
      </c>
      <c r="S142">
        <v>1</v>
      </c>
      <c r="T142">
        <v>5024</v>
      </c>
      <c r="U142">
        <v>0</v>
      </c>
      <c r="V142">
        <v>5024</v>
      </c>
    </row>
    <row r="143" spans="1:22" x14ac:dyDescent="0.3">
      <c r="A143">
        <v>79452</v>
      </c>
      <c r="B143">
        <v>456409227</v>
      </c>
      <c r="C143" t="s">
        <v>1469</v>
      </c>
      <c r="D143" s="9" t="s">
        <v>1470</v>
      </c>
      <c r="E143" t="s">
        <v>769</v>
      </c>
      <c r="F143" t="s">
        <v>770</v>
      </c>
      <c r="G143" t="s">
        <v>28</v>
      </c>
      <c r="H143" t="s">
        <v>29</v>
      </c>
      <c r="I143" t="s">
        <v>34</v>
      </c>
      <c r="J143" t="s">
        <v>30</v>
      </c>
      <c r="K143" t="s">
        <v>27</v>
      </c>
      <c r="L143" t="s">
        <v>1471</v>
      </c>
      <c r="M143" t="s">
        <v>978</v>
      </c>
      <c r="N143" t="s">
        <v>773</v>
      </c>
      <c r="O143" t="s">
        <v>31</v>
      </c>
      <c r="P143" t="s">
        <v>979</v>
      </c>
      <c r="Q143" t="s">
        <v>115</v>
      </c>
      <c r="R143" s="26" t="s">
        <v>1400</v>
      </c>
      <c r="S143">
        <v>1.3</v>
      </c>
      <c r="T143">
        <v>3250</v>
      </c>
      <c r="U143">
        <v>0</v>
      </c>
      <c r="V143">
        <v>3250</v>
      </c>
    </row>
    <row r="144" spans="1:22" x14ac:dyDescent="0.3">
      <c r="A144">
        <v>79452</v>
      </c>
      <c r="B144">
        <v>456409219</v>
      </c>
      <c r="C144" t="s">
        <v>1472</v>
      </c>
      <c r="D144" s="9" t="s">
        <v>1473</v>
      </c>
      <c r="E144" t="s">
        <v>769</v>
      </c>
      <c r="F144" t="s">
        <v>770</v>
      </c>
      <c r="G144" t="s">
        <v>28</v>
      </c>
      <c r="H144" t="s">
        <v>29</v>
      </c>
      <c r="I144" t="s">
        <v>34</v>
      </c>
      <c r="J144" t="s">
        <v>30</v>
      </c>
      <c r="K144" t="s">
        <v>27</v>
      </c>
      <c r="L144" t="s">
        <v>1474</v>
      </c>
      <c r="M144" t="s">
        <v>1475</v>
      </c>
      <c r="N144" t="s">
        <v>773</v>
      </c>
      <c r="O144" t="s">
        <v>31</v>
      </c>
      <c r="P144" t="s">
        <v>1476</v>
      </c>
      <c r="Q144" t="s">
        <v>81</v>
      </c>
      <c r="R144" s="26" t="s">
        <v>1400</v>
      </c>
      <c r="S144">
        <v>0.6</v>
      </c>
      <c r="T144">
        <v>3935</v>
      </c>
      <c r="U144">
        <v>0</v>
      </c>
      <c r="V144">
        <v>3935</v>
      </c>
    </row>
    <row r="145" spans="1:22" x14ac:dyDescent="0.3">
      <c r="A145">
        <v>79452</v>
      </c>
      <c r="B145">
        <v>456441385</v>
      </c>
      <c r="C145" t="s">
        <v>1477</v>
      </c>
      <c r="D145" s="9" t="s">
        <v>1478</v>
      </c>
      <c r="E145" t="s">
        <v>769</v>
      </c>
      <c r="F145" t="s">
        <v>770</v>
      </c>
      <c r="G145" t="s">
        <v>28</v>
      </c>
      <c r="H145" t="s">
        <v>29</v>
      </c>
      <c r="I145" t="s">
        <v>34</v>
      </c>
      <c r="J145" t="s">
        <v>30</v>
      </c>
      <c r="K145" t="s">
        <v>27</v>
      </c>
      <c r="L145" t="s">
        <v>1479</v>
      </c>
      <c r="M145" t="s">
        <v>1480</v>
      </c>
      <c r="N145" t="s">
        <v>773</v>
      </c>
      <c r="O145" t="s">
        <v>31</v>
      </c>
      <c r="P145" t="s">
        <v>1481</v>
      </c>
      <c r="Q145" t="s">
        <v>65</v>
      </c>
      <c r="R145" s="26" t="s">
        <v>1206</v>
      </c>
      <c r="S145">
        <v>1.4</v>
      </c>
      <c r="T145">
        <v>3631</v>
      </c>
      <c r="U145">
        <v>0</v>
      </c>
      <c r="V145">
        <v>3631</v>
      </c>
    </row>
    <row r="146" spans="1:22" x14ac:dyDescent="0.3">
      <c r="A146">
        <v>79452</v>
      </c>
      <c r="B146">
        <v>456271455</v>
      </c>
      <c r="C146" t="s">
        <v>1482</v>
      </c>
      <c r="D146" s="9" t="s">
        <v>1483</v>
      </c>
      <c r="E146" t="s">
        <v>769</v>
      </c>
      <c r="F146" t="s">
        <v>770</v>
      </c>
      <c r="G146" t="s">
        <v>28</v>
      </c>
      <c r="H146" t="s">
        <v>29</v>
      </c>
      <c r="I146" t="s">
        <v>34</v>
      </c>
      <c r="J146" t="s">
        <v>30</v>
      </c>
      <c r="K146" t="s">
        <v>27</v>
      </c>
      <c r="L146" t="s">
        <v>1484</v>
      </c>
      <c r="M146" t="s">
        <v>1485</v>
      </c>
      <c r="N146" t="s">
        <v>773</v>
      </c>
      <c r="O146" t="s">
        <v>31</v>
      </c>
      <c r="P146" t="s">
        <v>1486</v>
      </c>
      <c r="Q146" t="s">
        <v>85</v>
      </c>
      <c r="R146" s="26" t="s">
        <v>352</v>
      </c>
      <c r="S146">
        <v>1</v>
      </c>
      <c r="T146">
        <v>3631</v>
      </c>
      <c r="U146">
        <v>0</v>
      </c>
      <c r="V146">
        <v>3631</v>
      </c>
    </row>
    <row r="147" spans="1:22" x14ac:dyDescent="0.3">
      <c r="A147">
        <v>79452</v>
      </c>
      <c r="B147">
        <v>456441364</v>
      </c>
      <c r="C147" t="s">
        <v>1487</v>
      </c>
      <c r="D147" s="9" t="s">
        <v>1488</v>
      </c>
      <c r="E147" t="s">
        <v>769</v>
      </c>
      <c r="F147" t="s">
        <v>770</v>
      </c>
      <c r="G147" t="s">
        <v>28</v>
      </c>
      <c r="H147" t="s">
        <v>29</v>
      </c>
      <c r="I147" t="s">
        <v>34</v>
      </c>
      <c r="J147" t="s">
        <v>30</v>
      </c>
      <c r="K147" t="s">
        <v>27</v>
      </c>
      <c r="L147" t="s">
        <v>1489</v>
      </c>
      <c r="M147" t="s">
        <v>1490</v>
      </c>
      <c r="N147" t="s">
        <v>773</v>
      </c>
      <c r="O147" t="s">
        <v>31</v>
      </c>
      <c r="P147" t="s">
        <v>1491</v>
      </c>
      <c r="Q147" t="s">
        <v>85</v>
      </c>
      <c r="R147" s="26" t="s">
        <v>1206</v>
      </c>
      <c r="S147">
        <v>1.4</v>
      </c>
      <c r="T147">
        <v>3631</v>
      </c>
      <c r="U147">
        <v>0</v>
      </c>
      <c r="V147">
        <v>3631</v>
      </c>
    </row>
    <row r="148" spans="1:22" x14ac:dyDescent="0.3">
      <c r="A148">
        <v>79452</v>
      </c>
      <c r="B148">
        <v>456271424</v>
      </c>
      <c r="C148" t="s">
        <v>1492</v>
      </c>
      <c r="D148" s="9" t="s">
        <v>1493</v>
      </c>
      <c r="E148" t="s">
        <v>769</v>
      </c>
      <c r="F148" t="s">
        <v>770</v>
      </c>
      <c r="G148" t="s">
        <v>28</v>
      </c>
      <c r="H148" t="s">
        <v>29</v>
      </c>
      <c r="I148" t="s">
        <v>34</v>
      </c>
      <c r="J148" t="s">
        <v>30</v>
      </c>
      <c r="K148" t="s">
        <v>27</v>
      </c>
      <c r="L148" t="s">
        <v>1494</v>
      </c>
      <c r="M148" t="s">
        <v>1495</v>
      </c>
      <c r="N148" t="s">
        <v>773</v>
      </c>
      <c r="O148" t="s">
        <v>31</v>
      </c>
      <c r="P148" t="s">
        <v>1496</v>
      </c>
      <c r="Q148" t="s">
        <v>85</v>
      </c>
      <c r="R148" s="26" t="s">
        <v>352</v>
      </c>
      <c r="S148">
        <v>1</v>
      </c>
      <c r="T148">
        <v>3631</v>
      </c>
      <c r="U148">
        <v>0</v>
      </c>
      <c r="V148">
        <v>3631</v>
      </c>
    </row>
    <row r="149" spans="1:22" x14ac:dyDescent="0.3">
      <c r="A149">
        <v>79452</v>
      </c>
      <c r="B149">
        <v>456090818</v>
      </c>
      <c r="C149" t="s">
        <v>1497</v>
      </c>
      <c r="D149" s="9" t="s">
        <v>1498</v>
      </c>
      <c r="E149" t="s">
        <v>769</v>
      </c>
      <c r="F149" t="s">
        <v>770</v>
      </c>
      <c r="G149" t="s">
        <v>28</v>
      </c>
      <c r="H149" t="s">
        <v>29</v>
      </c>
      <c r="I149" t="s">
        <v>34</v>
      </c>
      <c r="J149" t="s">
        <v>30</v>
      </c>
      <c r="K149" t="s">
        <v>27</v>
      </c>
      <c r="L149" t="s">
        <v>1499</v>
      </c>
      <c r="M149" t="s">
        <v>658</v>
      </c>
      <c r="N149" t="s">
        <v>773</v>
      </c>
      <c r="O149" t="s">
        <v>31</v>
      </c>
      <c r="P149" t="s">
        <v>1500</v>
      </c>
      <c r="Q149" t="s">
        <v>115</v>
      </c>
      <c r="R149" s="26" t="s">
        <v>383</v>
      </c>
      <c r="S149">
        <v>1</v>
      </c>
      <c r="T149">
        <v>3250</v>
      </c>
      <c r="U149">
        <v>0</v>
      </c>
      <c r="V149">
        <v>3250</v>
      </c>
    </row>
    <row r="150" spans="1:22" x14ac:dyDescent="0.3">
      <c r="A150">
        <v>79452</v>
      </c>
      <c r="B150">
        <v>456441378</v>
      </c>
      <c r="C150" t="s">
        <v>1501</v>
      </c>
      <c r="D150" s="9" t="s">
        <v>1502</v>
      </c>
      <c r="E150" t="s">
        <v>769</v>
      </c>
      <c r="F150" t="s">
        <v>770</v>
      </c>
      <c r="G150" t="s">
        <v>28</v>
      </c>
      <c r="H150" t="s">
        <v>29</v>
      </c>
      <c r="I150" t="s">
        <v>34</v>
      </c>
      <c r="J150" t="s">
        <v>30</v>
      </c>
      <c r="K150" t="s">
        <v>27</v>
      </c>
      <c r="L150" t="s">
        <v>1503</v>
      </c>
      <c r="M150" t="s">
        <v>1504</v>
      </c>
      <c r="N150" t="s">
        <v>773</v>
      </c>
      <c r="O150" t="s">
        <v>31</v>
      </c>
      <c r="P150" t="s">
        <v>1505</v>
      </c>
      <c r="Q150" t="s">
        <v>72</v>
      </c>
      <c r="R150" s="26" t="s">
        <v>1206</v>
      </c>
      <c r="S150">
        <v>1.4</v>
      </c>
      <c r="T150">
        <v>3653</v>
      </c>
      <c r="U150">
        <v>0</v>
      </c>
      <c r="V150">
        <v>3653</v>
      </c>
    </row>
    <row r="151" spans="1:22" x14ac:dyDescent="0.3">
      <c r="A151">
        <v>79452</v>
      </c>
      <c r="B151">
        <v>456441361</v>
      </c>
      <c r="C151" t="s">
        <v>1506</v>
      </c>
      <c r="D151" s="9" t="s">
        <v>1507</v>
      </c>
      <c r="E151" t="s">
        <v>769</v>
      </c>
      <c r="F151" t="s">
        <v>770</v>
      </c>
      <c r="G151" t="s">
        <v>28</v>
      </c>
      <c r="H151" t="s">
        <v>29</v>
      </c>
      <c r="I151" t="s">
        <v>34</v>
      </c>
      <c r="J151" t="s">
        <v>30</v>
      </c>
      <c r="K151" t="s">
        <v>27</v>
      </c>
      <c r="L151" t="s">
        <v>1508</v>
      </c>
      <c r="M151" t="s">
        <v>1509</v>
      </c>
      <c r="N151" t="s">
        <v>773</v>
      </c>
      <c r="O151" t="s">
        <v>31</v>
      </c>
      <c r="P151" t="s">
        <v>1510</v>
      </c>
      <c r="Q151" t="s">
        <v>65</v>
      </c>
      <c r="R151" s="26" t="s">
        <v>1206</v>
      </c>
      <c r="S151">
        <v>1.1000000000000001</v>
      </c>
      <c r="T151">
        <v>3631</v>
      </c>
      <c r="U151">
        <v>0</v>
      </c>
      <c r="V151">
        <v>3631</v>
      </c>
    </row>
    <row r="152" spans="1:22" x14ac:dyDescent="0.3">
      <c r="A152">
        <v>79452</v>
      </c>
      <c r="B152">
        <v>456271456</v>
      </c>
      <c r="C152" t="s">
        <v>1511</v>
      </c>
      <c r="D152" s="9" t="s">
        <v>1512</v>
      </c>
      <c r="E152" t="s">
        <v>769</v>
      </c>
      <c r="F152" t="s">
        <v>770</v>
      </c>
      <c r="G152" t="s">
        <v>28</v>
      </c>
      <c r="H152" t="s">
        <v>29</v>
      </c>
      <c r="I152" t="s">
        <v>34</v>
      </c>
      <c r="J152" t="s">
        <v>30</v>
      </c>
      <c r="K152" t="s">
        <v>27</v>
      </c>
      <c r="L152" t="s">
        <v>1513</v>
      </c>
      <c r="M152" t="s">
        <v>1514</v>
      </c>
      <c r="N152" t="s">
        <v>773</v>
      </c>
      <c r="O152" t="s">
        <v>31</v>
      </c>
      <c r="P152" t="s">
        <v>1515</v>
      </c>
      <c r="Q152" t="s">
        <v>73</v>
      </c>
      <c r="R152" s="26" t="s">
        <v>352</v>
      </c>
      <c r="S152">
        <v>1</v>
      </c>
      <c r="T152">
        <v>3653</v>
      </c>
      <c r="U152">
        <v>0</v>
      </c>
      <c r="V152">
        <v>3653</v>
      </c>
    </row>
    <row r="153" spans="1:22" x14ac:dyDescent="0.3">
      <c r="A153">
        <v>79452</v>
      </c>
      <c r="B153">
        <v>456090915</v>
      </c>
      <c r="C153" t="s">
        <v>1516</v>
      </c>
      <c r="D153" s="9" t="s">
        <v>1517</v>
      </c>
      <c r="E153" t="s">
        <v>769</v>
      </c>
      <c r="F153" t="s">
        <v>770</v>
      </c>
      <c r="G153" t="s">
        <v>28</v>
      </c>
      <c r="H153" t="s">
        <v>29</v>
      </c>
      <c r="I153" t="s">
        <v>34</v>
      </c>
      <c r="J153" t="s">
        <v>30</v>
      </c>
      <c r="K153" t="s">
        <v>27</v>
      </c>
      <c r="L153" t="s">
        <v>1518</v>
      </c>
      <c r="M153" t="s">
        <v>621</v>
      </c>
      <c r="N153" t="s">
        <v>773</v>
      </c>
      <c r="O153" t="s">
        <v>31</v>
      </c>
      <c r="P153" t="s">
        <v>1519</v>
      </c>
      <c r="Q153" t="s">
        <v>88</v>
      </c>
      <c r="R153" s="26" t="s">
        <v>383</v>
      </c>
      <c r="S153">
        <v>1</v>
      </c>
      <c r="T153">
        <v>5024</v>
      </c>
      <c r="U153">
        <v>0</v>
      </c>
      <c r="V153">
        <v>5024</v>
      </c>
    </row>
    <row r="154" spans="1:22" x14ac:dyDescent="0.3">
      <c r="A154">
        <v>79452</v>
      </c>
      <c r="B154">
        <v>456334740</v>
      </c>
      <c r="C154" t="s">
        <v>1520</v>
      </c>
      <c r="D154" s="9" t="s">
        <v>1521</v>
      </c>
      <c r="E154" t="s">
        <v>769</v>
      </c>
      <c r="F154" t="s">
        <v>770</v>
      </c>
      <c r="G154" t="s">
        <v>28</v>
      </c>
      <c r="H154" t="s">
        <v>29</v>
      </c>
      <c r="I154" t="s">
        <v>34</v>
      </c>
      <c r="J154" t="s">
        <v>30</v>
      </c>
      <c r="K154" t="s">
        <v>27</v>
      </c>
      <c r="L154" t="s">
        <v>1522</v>
      </c>
      <c r="M154" t="s">
        <v>1523</v>
      </c>
      <c r="N154" t="s">
        <v>773</v>
      </c>
      <c r="O154" t="s">
        <v>31</v>
      </c>
      <c r="P154" t="s">
        <v>1524</v>
      </c>
      <c r="Q154" t="s">
        <v>125</v>
      </c>
      <c r="R154" s="26" t="s">
        <v>1255</v>
      </c>
      <c r="S154">
        <v>2.2000000000000002</v>
      </c>
      <c r="T154">
        <v>3653</v>
      </c>
      <c r="U154">
        <v>0</v>
      </c>
      <c r="V154">
        <v>3653</v>
      </c>
    </row>
    <row r="155" spans="1:22" x14ac:dyDescent="0.3">
      <c r="A155">
        <v>79452</v>
      </c>
      <c r="B155">
        <v>456271451</v>
      </c>
      <c r="C155" t="s">
        <v>1525</v>
      </c>
      <c r="D155" s="9" t="s">
        <v>1526</v>
      </c>
      <c r="E155" t="s">
        <v>769</v>
      </c>
      <c r="F155" t="s">
        <v>770</v>
      </c>
      <c r="G155" t="s">
        <v>28</v>
      </c>
      <c r="H155" t="s">
        <v>29</v>
      </c>
      <c r="I155" t="s">
        <v>34</v>
      </c>
      <c r="J155" t="s">
        <v>30</v>
      </c>
      <c r="K155" t="s">
        <v>27</v>
      </c>
      <c r="L155" t="s">
        <v>1527</v>
      </c>
      <c r="M155" t="s">
        <v>1528</v>
      </c>
      <c r="N155" t="s">
        <v>773</v>
      </c>
      <c r="O155" t="s">
        <v>31</v>
      </c>
      <c r="P155" t="s">
        <v>1529</v>
      </c>
      <c r="Q155" t="s">
        <v>144</v>
      </c>
      <c r="R155" s="26" t="s">
        <v>352</v>
      </c>
      <c r="S155">
        <v>1</v>
      </c>
      <c r="T155">
        <v>3653</v>
      </c>
      <c r="U155">
        <v>0</v>
      </c>
      <c r="V155">
        <v>3653</v>
      </c>
    </row>
    <row r="156" spans="1:22" x14ac:dyDescent="0.3">
      <c r="A156">
        <v>79452</v>
      </c>
      <c r="B156">
        <v>456271497</v>
      </c>
      <c r="C156" t="s">
        <v>1530</v>
      </c>
      <c r="D156" s="9" t="s">
        <v>1531</v>
      </c>
      <c r="E156" t="s">
        <v>769</v>
      </c>
      <c r="F156" t="s">
        <v>770</v>
      </c>
      <c r="G156" t="s">
        <v>28</v>
      </c>
      <c r="H156" t="s">
        <v>29</v>
      </c>
      <c r="I156" t="s">
        <v>34</v>
      </c>
      <c r="J156" t="s">
        <v>30</v>
      </c>
      <c r="K156" t="s">
        <v>27</v>
      </c>
      <c r="L156" t="s">
        <v>1532</v>
      </c>
      <c r="M156" t="s">
        <v>1533</v>
      </c>
      <c r="N156" t="s">
        <v>773</v>
      </c>
      <c r="O156" t="s">
        <v>31</v>
      </c>
      <c r="P156" t="s">
        <v>1534</v>
      </c>
      <c r="Q156" t="s">
        <v>65</v>
      </c>
      <c r="R156" s="26" t="s">
        <v>352</v>
      </c>
      <c r="S156">
        <v>1</v>
      </c>
      <c r="T156">
        <v>3631</v>
      </c>
      <c r="U156">
        <v>0</v>
      </c>
      <c r="V156">
        <v>3631</v>
      </c>
    </row>
    <row r="157" spans="1:22" x14ac:dyDescent="0.3">
      <c r="A157">
        <v>79452</v>
      </c>
      <c r="B157">
        <v>456271504</v>
      </c>
      <c r="C157" t="s">
        <v>1535</v>
      </c>
      <c r="D157" s="9" t="s">
        <v>1536</v>
      </c>
      <c r="E157" t="s">
        <v>769</v>
      </c>
      <c r="F157" t="s">
        <v>770</v>
      </c>
      <c r="G157" t="s">
        <v>28</v>
      </c>
      <c r="H157" t="s">
        <v>29</v>
      </c>
      <c r="I157" t="s">
        <v>34</v>
      </c>
      <c r="J157" t="s">
        <v>30</v>
      </c>
      <c r="K157" t="s">
        <v>27</v>
      </c>
      <c r="L157" t="s">
        <v>1537</v>
      </c>
      <c r="M157" t="s">
        <v>1538</v>
      </c>
      <c r="N157" t="s">
        <v>773</v>
      </c>
      <c r="O157" t="s">
        <v>31</v>
      </c>
      <c r="P157" t="s">
        <v>1539</v>
      </c>
      <c r="Q157" t="s">
        <v>65</v>
      </c>
      <c r="R157" s="26" t="s">
        <v>352</v>
      </c>
      <c r="S157">
        <v>2.4</v>
      </c>
      <c r="T157">
        <v>3631</v>
      </c>
      <c r="U157">
        <v>0</v>
      </c>
      <c r="V157">
        <v>3631</v>
      </c>
    </row>
    <row r="158" spans="1:22" x14ac:dyDescent="0.3">
      <c r="A158">
        <v>79452</v>
      </c>
      <c r="B158">
        <v>456090868</v>
      </c>
      <c r="C158" t="s">
        <v>1540</v>
      </c>
      <c r="D158" s="9" t="s">
        <v>1541</v>
      </c>
      <c r="E158" t="s">
        <v>769</v>
      </c>
      <c r="F158" t="s">
        <v>770</v>
      </c>
      <c r="G158" t="s">
        <v>28</v>
      </c>
      <c r="H158" t="s">
        <v>29</v>
      </c>
      <c r="I158" t="s">
        <v>34</v>
      </c>
      <c r="J158" t="s">
        <v>30</v>
      </c>
      <c r="K158" t="s">
        <v>27</v>
      </c>
      <c r="L158" t="s">
        <v>1542</v>
      </c>
      <c r="M158" t="s">
        <v>1543</v>
      </c>
      <c r="N158" t="s">
        <v>773</v>
      </c>
      <c r="O158" t="s">
        <v>31</v>
      </c>
      <c r="P158" t="s">
        <v>1544</v>
      </c>
      <c r="Q158" t="s">
        <v>88</v>
      </c>
      <c r="R158" s="26" t="s">
        <v>383</v>
      </c>
      <c r="S158">
        <v>1.6</v>
      </c>
      <c r="T158">
        <v>5024</v>
      </c>
      <c r="U158">
        <v>0</v>
      </c>
      <c r="V158">
        <v>5024</v>
      </c>
    </row>
    <row r="159" spans="1:22" x14ac:dyDescent="0.3">
      <c r="A159">
        <v>79452</v>
      </c>
      <c r="B159">
        <v>456090877</v>
      </c>
      <c r="C159" t="s">
        <v>1545</v>
      </c>
      <c r="D159" s="9" t="s">
        <v>1546</v>
      </c>
      <c r="E159" t="s">
        <v>769</v>
      </c>
      <c r="F159" t="s">
        <v>770</v>
      </c>
      <c r="G159" t="s">
        <v>28</v>
      </c>
      <c r="H159" t="s">
        <v>29</v>
      </c>
      <c r="I159" t="s">
        <v>34</v>
      </c>
      <c r="J159" t="s">
        <v>30</v>
      </c>
      <c r="K159" t="s">
        <v>27</v>
      </c>
      <c r="L159" t="s">
        <v>1547</v>
      </c>
      <c r="M159" t="s">
        <v>1548</v>
      </c>
      <c r="N159" t="s">
        <v>773</v>
      </c>
      <c r="O159" t="s">
        <v>31</v>
      </c>
      <c r="P159" t="s">
        <v>1549</v>
      </c>
      <c r="Q159" t="s">
        <v>81</v>
      </c>
      <c r="R159" s="26" t="s">
        <v>383</v>
      </c>
      <c r="S159">
        <v>1</v>
      </c>
      <c r="T159">
        <v>3935</v>
      </c>
      <c r="U159">
        <v>0</v>
      </c>
      <c r="V159">
        <v>3935</v>
      </c>
    </row>
    <row r="160" spans="1:22" x14ac:dyDescent="0.3">
      <c r="A160">
        <v>79452</v>
      </c>
      <c r="B160">
        <v>456334738</v>
      </c>
      <c r="C160" t="s">
        <v>1550</v>
      </c>
      <c r="D160" s="9" t="s">
        <v>1551</v>
      </c>
      <c r="E160" t="s">
        <v>769</v>
      </c>
      <c r="F160" t="s">
        <v>770</v>
      </c>
      <c r="G160" t="s">
        <v>28</v>
      </c>
      <c r="H160" t="s">
        <v>29</v>
      </c>
      <c r="I160" t="s">
        <v>34</v>
      </c>
      <c r="J160" t="s">
        <v>30</v>
      </c>
      <c r="K160" t="s">
        <v>27</v>
      </c>
      <c r="L160" t="s">
        <v>1552</v>
      </c>
      <c r="M160" t="s">
        <v>1553</v>
      </c>
      <c r="N160" t="s">
        <v>773</v>
      </c>
      <c r="O160" t="s">
        <v>31</v>
      </c>
      <c r="P160" t="s">
        <v>1554</v>
      </c>
      <c r="Q160" t="s">
        <v>98</v>
      </c>
      <c r="R160" s="26" t="s">
        <v>1255</v>
      </c>
      <c r="S160">
        <v>2.2000000000000002</v>
      </c>
      <c r="T160">
        <v>3631</v>
      </c>
      <c r="U160">
        <v>0</v>
      </c>
      <c r="V160">
        <v>3631</v>
      </c>
    </row>
    <row r="161" spans="1:22" x14ac:dyDescent="0.3">
      <c r="A161">
        <v>79452</v>
      </c>
      <c r="B161">
        <v>456409206</v>
      </c>
      <c r="C161" t="s">
        <v>1555</v>
      </c>
      <c r="D161" s="9" t="s">
        <v>1556</v>
      </c>
      <c r="E161" t="s">
        <v>769</v>
      </c>
      <c r="F161" t="s">
        <v>770</v>
      </c>
      <c r="G161" t="s">
        <v>28</v>
      </c>
      <c r="H161" t="s">
        <v>29</v>
      </c>
      <c r="I161" t="s">
        <v>34</v>
      </c>
      <c r="J161" t="s">
        <v>30</v>
      </c>
      <c r="K161" t="s">
        <v>27</v>
      </c>
      <c r="L161" t="s">
        <v>1557</v>
      </c>
      <c r="M161" t="s">
        <v>1558</v>
      </c>
      <c r="N161" t="s">
        <v>773</v>
      </c>
      <c r="O161" t="s">
        <v>31</v>
      </c>
      <c r="P161" t="s">
        <v>1559</v>
      </c>
      <c r="Q161" t="s">
        <v>65</v>
      </c>
      <c r="R161" s="26" t="s">
        <v>1400</v>
      </c>
      <c r="S161">
        <v>1.4</v>
      </c>
      <c r="T161">
        <v>3631</v>
      </c>
      <c r="U161">
        <v>0</v>
      </c>
      <c r="V161">
        <v>3631</v>
      </c>
    </row>
    <row r="162" spans="1:22" x14ac:dyDescent="0.3">
      <c r="A162">
        <v>79452</v>
      </c>
      <c r="B162">
        <v>456271430</v>
      </c>
      <c r="C162" t="s">
        <v>1560</v>
      </c>
      <c r="D162" s="9" t="s">
        <v>1561</v>
      </c>
      <c r="E162" t="s">
        <v>769</v>
      </c>
      <c r="F162" t="s">
        <v>770</v>
      </c>
      <c r="G162" t="s">
        <v>28</v>
      </c>
      <c r="H162" t="s">
        <v>29</v>
      </c>
      <c r="I162" t="s">
        <v>34</v>
      </c>
      <c r="J162" t="s">
        <v>30</v>
      </c>
      <c r="K162" t="s">
        <v>27</v>
      </c>
      <c r="L162" t="s">
        <v>1557</v>
      </c>
      <c r="M162" t="s">
        <v>1562</v>
      </c>
      <c r="N162" t="s">
        <v>773</v>
      </c>
      <c r="O162" t="s">
        <v>31</v>
      </c>
      <c r="P162" t="s">
        <v>1563</v>
      </c>
      <c r="Q162" t="s">
        <v>65</v>
      </c>
      <c r="R162" s="26" t="s">
        <v>352</v>
      </c>
      <c r="S162">
        <v>1</v>
      </c>
      <c r="T162">
        <v>3631</v>
      </c>
      <c r="U162">
        <v>0</v>
      </c>
      <c r="V162">
        <v>3631</v>
      </c>
    </row>
    <row r="163" spans="1:22" x14ac:dyDescent="0.3">
      <c r="A163">
        <v>79452</v>
      </c>
      <c r="B163">
        <v>456090962</v>
      </c>
      <c r="C163" t="s">
        <v>1564</v>
      </c>
      <c r="D163" s="9" t="s">
        <v>1565</v>
      </c>
      <c r="E163" t="s">
        <v>769</v>
      </c>
      <c r="F163" t="s">
        <v>770</v>
      </c>
      <c r="G163" t="s">
        <v>28</v>
      </c>
      <c r="H163" t="s">
        <v>29</v>
      </c>
      <c r="I163" t="s">
        <v>34</v>
      </c>
      <c r="J163" t="s">
        <v>30</v>
      </c>
      <c r="K163" t="s">
        <v>27</v>
      </c>
      <c r="L163" t="s">
        <v>1566</v>
      </c>
      <c r="M163" t="s">
        <v>1567</v>
      </c>
      <c r="N163" t="s">
        <v>773</v>
      </c>
      <c r="O163" t="s">
        <v>31</v>
      </c>
      <c r="P163" t="s">
        <v>1568</v>
      </c>
      <c r="Q163" t="s">
        <v>141</v>
      </c>
      <c r="R163" s="26" t="s">
        <v>383</v>
      </c>
      <c r="S163">
        <v>1</v>
      </c>
      <c r="T163">
        <v>3935</v>
      </c>
      <c r="U163">
        <v>0</v>
      </c>
      <c r="V163">
        <v>3935</v>
      </c>
    </row>
    <row r="164" spans="1:22" x14ac:dyDescent="0.3">
      <c r="A164">
        <v>79452</v>
      </c>
      <c r="B164">
        <v>456090828</v>
      </c>
      <c r="C164" t="s">
        <v>1569</v>
      </c>
      <c r="D164" s="9" t="s">
        <v>1570</v>
      </c>
      <c r="E164" t="s">
        <v>769</v>
      </c>
      <c r="F164" t="s">
        <v>770</v>
      </c>
      <c r="G164" t="s">
        <v>28</v>
      </c>
      <c r="H164" t="s">
        <v>29</v>
      </c>
      <c r="I164" t="s">
        <v>34</v>
      </c>
      <c r="J164" t="s">
        <v>30</v>
      </c>
      <c r="K164" t="s">
        <v>27</v>
      </c>
      <c r="L164" t="s">
        <v>1571</v>
      </c>
      <c r="M164" t="s">
        <v>1572</v>
      </c>
      <c r="N164" t="s">
        <v>773</v>
      </c>
      <c r="O164" t="s">
        <v>31</v>
      </c>
      <c r="P164" t="s">
        <v>1573</v>
      </c>
      <c r="Q164" t="s">
        <v>88</v>
      </c>
      <c r="R164" s="26" t="s">
        <v>383</v>
      </c>
      <c r="S164">
        <v>1</v>
      </c>
      <c r="T164">
        <v>5024</v>
      </c>
      <c r="U164">
        <v>0</v>
      </c>
      <c r="V164">
        <v>5024</v>
      </c>
    </row>
    <row r="165" spans="1:22" x14ac:dyDescent="0.3">
      <c r="A165">
        <v>79452</v>
      </c>
      <c r="B165">
        <v>455821921</v>
      </c>
      <c r="C165" t="s">
        <v>1574</v>
      </c>
      <c r="D165" s="9" t="s">
        <v>1575</v>
      </c>
      <c r="E165" t="s">
        <v>769</v>
      </c>
      <c r="F165" t="s">
        <v>770</v>
      </c>
      <c r="G165" t="s">
        <v>28</v>
      </c>
      <c r="H165" t="s">
        <v>29</v>
      </c>
      <c r="I165" t="s">
        <v>34</v>
      </c>
      <c r="J165" t="s">
        <v>30</v>
      </c>
      <c r="K165" t="s">
        <v>27</v>
      </c>
      <c r="L165" t="s">
        <v>1576</v>
      </c>
      <c r="M165" t="s">
        <v>694</v>
      </c>
      <c r="N165" t="s">
        <v>773</v>
      </c>
      <c r="O165" t="s">
        <v>31</v>
      </c>
      <c r="P165" t="s">
        <v>1577</v>
      </c>
      <c r="Q165" t="s">
        <v>88</v>
      </c>
      <c r="R165" s="26" t="s">
        <v>459</v>
      </c>
      <c r="S165">
        <v>1</v>
      </c>
      <c r="T165">
        <v>5024</v>
      </c>
      <c r="U165">
        <v>0</v>
      </c>
      <c r="V165">
        <v>5024</v>
      </c>
    </row>
    <row r="166" spans="1:22" x14ac:dyDescent="0.3">
      <c r="A166">
        <v>79452</v>
      </c>
      <c r="B166">
        <v>456271449</v>
      </c>
      <c r="C166" t="s">
        <v>1578</v>
      </c>
      <c r="D166" s="9" t="s">
        <v>1579</v>
      </c>
      <c r="E166" t="s">
        <v>769</v>
      </c>
      <c r="F166" t="s">
        <v>770</v>
      </c>
      <c r="G166" t="s">
        <v>28</v>
      </c>
      <c r="H166" t="s">
        <v>29</v>
      </c>
      <c r="I166" t="s">
        <v>34</v>
      </c>
      <c r="J166" t="s">
        <v>30</v>
      </c>
      <c r="K166" t="s">
        <v>27</v>
      </c>
      <c r="L166" t="s">
        <v>1580</v>
      </c>
      <c r="M166" t="s">
        <v>1581</v>
      </c>
      <c r="N166" t="s">
        <v>773</v>
      </c>
      <c r="O166" t="s">
        <v>31</v>
      </c>
      <c r="P166" t="s">
        <v>1582</v>
      </c>
      <c r="Q166" t="s">
        <v>72</v>
      </c>
      <c r="R166" s="26" t="s">
        <v>352</v>
      </c>
      <c r="S166">
        <v>1.8</v>
      </c>
      <c r="T166">
        <v>3653</v>
      </c>
      <c r="U166">
        <v>0</v>
      </c>
      <c r="V166">
        <v>3653</v>
      </c>
    </row>
    <row r="167" spans="1:22" x14ac:dyDescent="0.3">
      <c r="A167">
        <v>79452</v>
      </c>
      <c r="B167">
        <v>456090958</v>
      </c>
      <c r="C167" t="s">
        <v>1583</v>
      </c>
      <c r="D167" s="9" t="s">
        <v>1584</v>
      </c>
      <c r="E167" t="s">
        <v>769</v>
      </c>
      <c r="F167" t="s">
        <v>770</v>
      </c>
      <c r="G167" t="s">
        <v>28</v>
      </c>
      <c r="H167" t="s">
        <v>29</v>
      </c>
      <c r="I167" t="s">
        <v>34</v>
      </c>
      <c r="J167" t="s">
        <v>30</v>
      </c>
      <c r="K167" t="s">
        <v>27</v>
      </c>
      <c r="L167" t="s">
        <v>1585</v>
      </c>
      <c r="M167" t="s">
        <v>1586</v>
      </c>
      <c r="N167" t="s">
        <v>773</v>
      </c>
      <c r="O167" t="s">
        <v>31</v>
      </c>
      <c r="P167" t="s">
        <v>1587</v>
      </c>
      <c r="Q167" t="s">
        <v>120</v>
      </c>
      <c r="R167" s="26" t="s">
        <v>383</v>
      </c>
      <c r="S167">
        <v>1</v>
      </c>
      <c r="T167">
        <v>5295</v>
      </c>
      <c r="U167">
        <v>0</v>
      </c>
      <c r="V167">
        <v>5295</v>
      </c>
    </row>
    <row r="168" spans="1:22" x14ac:dyDescent="0.3">
      <c r="A168">
        <v>79452</v>
      </c>
      <c r="B168">
        <v>456090918</v>
      </c>
      <c r="C168" t="s">
        <v>1588</v>
      </c>
      <c r="D168" s="9" t="s">
        <v>1589</v>
      </c>
      <c r="E168" t="s">
        <v>769</v>
      </c>
      <c r="F168" t="s">
        <v>770</v>
      </c>
      <c r="G168" t="s">
        <v>28</v>
      </c>
      <c r="H168" t="s">
        <v>29</v>
      </c>
      <c r="I168" t="s">
        <v>34</v>
      </c>
      <c r="J168" t="s">
        <v>30</v>
      </c>
      <c r="K168" t="s">
        <v>27</v>
      </c>
      <c r="L168" t="s">
        <v>1590</v>
      </c>
      <c r="M168" t="s">
        <v>730</v>
      </c>
      <c r="N168" t="s">
        <v>773</v>
      </c>
      <c r="O168" t="s">
        <v>31</v>
      </c>
      <c r="P168" t="s">
        <v>1591</v>
      </c>
      <c r="Q168" t="s">
        <v>120</v>
      </c>
      <c r="R168" s="26" t="s">
        <v>383</v>
      </c>
      <c r="S168">
        <v>1.2</v>
      </c>
      <c r="T168">
        <v>5295</v>
      </c>
      <c r="U168">
        <v>0</v>
      </c>
      <c r="V168">
        <v>5295</v>
      </c>
    </row>
    <row r="169" spans="1:22" x14ac:dyDescent="0.3">
      <c r="A169">
        <v>79452</v>
      </c>
      <c r="B169">
        <v>456090961</v>
      </c>
      <c r="C169" t="s">
        <v>1592</v>
      </c>
      <c r="D169" s="9" t="s">
        <v>1593</v>
      </c>
      <c r="E169" t="s">
        <v>769</v>
      </c>
      <c r="F169" t="s">
        <v>770</v>
      </c>
      <c r="G169" t="s">
        <v>28</v>
      </c>
      <c r="H169" t="s">
        <v>29</v>
      </c>
      <c r="I169" t="s">
        <v>34</v>
      </c>
      <c r="J169" t="s">
        <v>30</v>
      </c>
      <c r="K169" t="s">
        <v>27</v>
      </c>
      <c r="L169" t="s">
        <v>1594</v>
      </c>
      <c r="M169" t="s">
        <v>625</v>
      </c>
      <c r="N169" t="s">
        <v>773</v>
      </c>
      <c r="O169" t="s">
        <v>31</v>
      </c>
      <c r="P169" t="s">
        <v>1595</v>
      </c>
      <c r="Q169" t="s">
        <v>88</v>
      </c>
      <c r="R169" s="26" t="s">
        <v>383</v>
      </c>
      <c r="S169">
        <v>1</v>
      </c>
      <c r="T169">
        <v>5024</v>
      </c>
      <c r="U169">
        <v>0</v>
      </c>
      <c r="V169">
        <v>5024</v>
      </c>
    </row>
    <row r="170" spans="1:22" x14ac:dyDescent="0.3">
      <c r="A170">
        <v>79452</v>
      </c>
      <c r="B170">
        <v>456271480</v>
      </c>
      <c r="C170" t="s">
        <v>1596</v>
      </c>
      <c r="D170" s="9" t="s">
        <v>1597</v>
      </c>
      <c r="E170" t="s">
        <v>769</v>
      </c>
      <c r="F170" t="s">
        <v>770</v>
      </c>
      <c r="G170" t="s">
        <v>28</v>
      </c>
      <c r="H170" t="s">
        <v>29</v>
      </c>
      <c r="I170" t="s">
        <v>34</v>
      </c>
      <c r="J170" t="s">
        <v>30</v>
      </c>
      <c r="K170" t="s">
        <v>27</v>
      </c>
      <c r="L170" t="s">
        <v>927</v>
      </c>
      <c r="M170" t="s">
        <v>928</v>
      </c>
      <c r="N170" t="s">
        <v>773</v>
      </c>
      <c r="O170" t="s">
        <v>31</v>
      </c>
      <c r="P170" t="s">
        <v>929</v>
      </c>
      <c r="Q170" t="s">
        <v>108</v>
      </c>
      <c r="R170" s="26" t="s">
        <v>352</v>
      </c>
      <c r="S170">
        <v>1</v>
      </c>
      <c r="T170">
        <v>3250</v>
      </c>
      <c r="U170">
        <v>0</v>
      </c>
      <c r="V170">
        <v>3250</v>
      </c>
    </row>
    <row r="171" spans="1:22" x14ac:dyDescent="0.3">
      <c r="A171">
        <v>79452</v>
      </c>
      <c r="B171">
        <v>455821932</v>
      </c>
      <c r="C171" t="s">
        <v>1598</v>
      </c>
      <c r="D171" s="9" t="s">
        <v>1599</v>
      </c>
      <c r="E171" t="s">
        <v>769</v>
      </c>
      <c r="F171" t="s">
        <v>770</v>
      </c>
      <c r="G171" t="s">
        <v>28</v>
      </c>
      <c r="H171" t="s">
        <v>29</v>
      </c>
      <c r="I171" t="s">
        <v>34</v>
      </c>
      <c r="J171" t="s">
        <v>30</v>
      </c>
      <c r="K171" t="s">
        <v>27</v>
      </c>
      <c r="L171" t="s">
        <v>1600</v>
      </c>
      <c r="M171" t="s">
        <v>1601</v>
      </c>
      <c r="N171" t="s">
        <v>773</v>
      </c>
      <c r="O171" t="s">
        <v>31</v>
      </c>
      <c r="P171" t="s">
        <v>1602</v>
      </c>
      <c r="Q171" t="s">
        <v>119</v>
      </c>
      <c r="R171" s="26" t="s">
        <v>459</v>
      </c>
      <c r="S171">
        <v>0.9</v>
      </c>
      <c r="T171">
        <v>4205</v>
      </c>
      <c r="U171">
        <v>0</v>
      </c>
      <c r="V171">
        <v>4205</v>
      </c>
    </row>
    <row r="172" spans="1:22" x14ac:dyDescent="0.3">
      <c r="A172">
        <v>79452</v>
      </c>
      <c r="B172">
        <v>456090929</v>
      </c>
      <c r="C172" t="s">
        <v>1603</v>
      </c>
      <c r="D172" s="9" t="s">
        <v>1604</v>
      </c>
      <c r="E172" t="s">
        <v>769</v>
      </c>
      <c r="F172" t="s">
        <v>770</v>
      </c>
      <c r="G172" t="s">
        <v>28</v>
      </c>
      <c r="H172" t="s">
        <v>29</v>
      </c>
      <c r="I172" t="s">
        <v>34</v>
      </c>
      <c r="J172" t="s">
        <v>30</v>
      </c>
      <c r="K172" t="s">
        <v>27</v>
      </c>
      <c r="L172" t="s">
        <v>1605</v>
      </c>
      <c r="M172" t="s">
        <v>464</v>
      </c>
      <c r="N172" t="s">
        <v>773</v>
      </c>
      <c r="O172" t="s">
        <v>31</v>
      </c>
      <c r="P172" t="s">
        <v>1606</v>
      </c>
      <c r="Q172" t="s">
        <v>61</v>
      </c>
      <c r="R172" s="26" t="s">
        <v>383</v>
      </c>
      <c r="S172">
        <v>1.6</v>
      </c>
      <c r="T172">
        <v>3631</v>
      </c>
      <c r="U172">
        <v>0</v>
      </c>
      <c r="V172">
        <v>3631</v>
      </c>
    </row>
    <row r="173" spans="1:22" x14ac:dyDescent="0.3">
      <c r="A173">
        <v>79452</v>
      </c>
      <c r="B173">
        <v>456090972</v>
      </c>
      <c r="C173" t="s">
        <v>1607</v>
      </c>
      <c r="D173" s="9" t="s">
        <v>1608</v>
      </c>
      <c r="E173" t="s">
        <v>769</v>
      </c>
      <c r="F173" t="s">
        <v>770</v>
      </c>
      <c r="G173" t="s">
        <v>28</v>
      </c>
      <c r="H173" t="s">
        <v>29</v>
      </c>
      <c r="I173" t="s">
        <v>34</v>
      </c>
      <c r="J173" t="s">
        <v>30</v>
      </c>
      <c r="K173" t="s">
        <v>27</v>
      </c>
      <c r="L173" t="s">
        <v>1609</v>
      </c>
      <c r="M173" t="s">
        <v>476</v>
      </c>
      <c r="N173" t="s">
        <v>773</v>
      </c>
      <c r="O173" t="s">
        <v>31</v>
      </c>
      <c r="P173" t="s">
        <v>1610</v>
      </c>
      <c r="Q173" t="s">
        <v>80</v>
      </c>
      <c r="R173" s="26" t="s">
        <v>383</v>
      </c>
      <c r="S173">
        <v>1</v>
      </c>
      <c r="T173">
        <v>3250</v>
      </c>
      <c r="U173">
        <v>0</v>
      </c>
      <c r="V173">
        <v>3250</v>
      </c>
    </row>
    <row r="174" spans="1:22" x14ac:dyDescent="0.3">
      <c r="A174">
        <v>79452</v>
      </c>
      <c r="B174">
        <v>456090867</v>
      </c>
      <c r="C174" t="s">
        <v>1611</v>
      </c>
      <c r="D174" s="9" t="s">
        <v>1612</v>
      </c>
      <c r="E174" t="s">
        <v>769</v>
      </c>
      <c r="F174" t="s">
        <v>770</v>
      </c>
      <c r="G174" t="s">
        <v>28</v>
      </c>
      <c r="H174" t="s">
        <v>29</v>
      </c>
      <c r="I174" t="s">
        <v>34</v>
      </c>
      <c r="J174" t="s">
        <v>30</v>
      </c>
      <c r="K174" t="s">
        <v>27</v>
      </c>
      <c r="L174" t="s">
        <v>1613</v>
      </c>
      <c r="M174" t="s">
        <v>1614</v>
      </c>
      <c r="N174" t="s">
        <v>773</v>
      </c>
      <c r="O174" t="s">
        <v>31</v>
      </c>
      <c r="P174" t="s">
        <v>1615</v>
      </c>
      <c r="Q174" t="s">
        <v>41</v>
      </c>
      <c r="R174" s="26" t="s">
        <v>383</v>
      </c>
      <c r="S174">
        <v>1.5</v>
      </c>
      <c r="T174">
        <v>3935</v>
      </c>
      <c r="U174">
        <v>0</v>
      </c>
      <c r="V174">
        <v>3935</v>
      </c>
    </row>
    <row r="175" spans="1:22" x14ac:dyDescent="0.3">
      <c r="A175">
        <v>79452</v>
      </c>
      <c r="B175">
        <v>455973203</v>
      </c>
      <c r="C175" t="s">
        <v>1616</v>
      </c>
      <c r="D175" s="9" t="s">
        <v>1617</v>
      </c>
      <c r="E175" t="s">
        <v>769</v>
      </c>
      <c r="F175" t="s">
        <v>770</v>
      </c>
      <c r="G175" t="s">
        <v>28</v>
      </c>
      <c r="H175" t="s">
        <v>29</v>
      </c>
      <c r="I175" t="s">
        <v>34</v>
      </c>
      <c r="J175" t="s">
        <v>30</v>
      </c>
      <c r="K175" t="s">
        <v>27</v>
      </c>
      <c r="L175" t="s">
        <v>1618</v>
      </c>
      <c r="M175" t="s">
        <v>1619</v>
      </c>
      <c r="N175" t="s">
        <v>773</v>
      </c>
      <c r="O175" t="s">
        <v>31</v>
      </c>
      <c r="P175" t="s">
        <v>1620</v>
      </c>
      <c r="Q175" t="s">
        <v>68</v>
      </c>
      <c r="R175" s="26" t="s">
        <v>392</v>
      </c>
      <c r="S175">
        <v>1</v>
      </c>
      <c r="T175">
        <v>5564</v>
      </c>
      <c r="U175">
        <v>0</v>
      </c>
      <c r="V175">
        <v>5564</v>
      </c>
    </row>
    <row r="176" spans="1:22" x14ac:dyDescent="0.3">
      <c r="A176">
        <v>79452</v>
      </c>
      <c r="B176">
        <v>456090959</v>
      </c>
      <c r="C176" t="s">
        <v>1621</v>
      </c>
      <c r="D176" s="9" t="s">
        <v>1622</v>
      </c>
      <c r="E176" t="s">
        <v>769</v>
      </c>
      <c r="F176" t="s">
        <v>770</v>
      </c>
      <c r="G176" t="s">
        <v>28</v>
      </c>
      <c r="H176" t="s">
        <v>29</v>
      </c>
      <c r="I176" t="s">
        <v>34</v>
      </c>
      <c r="J176" t="s">
        <v>30</v>
      </c>
      <c r="K176" t="s">
        <v>27</v>
      </c>
      <c r="L176" t="s">
        <v>1623</v>
      </c>
      <c r="M176" t="s">
        <v>229</v>
      </c>
      <c r="N176" t="s">
        <v>773</v>
      </c>
      <c r="O176" t="s">
        <v>31</v>
      </c>
      <c r="P176" t="s">
        <v>1624</v>
      </c>
      <c r="Q176" t="s">
        <v>164</v>
      </c>
      <c r="R176" s="26" t="s">
        <v>383</v>
      </c>
      <c r="S176">
        <v>1.5</v>
      </c>
      <c r="T176">
        <v>3250</v>
      </c>
      <c r="U176">
        <v>0</v>
      </c>
      <c r="V176">
        <v>3250</v>
      </c>
    </row>
    <row r="177" spans="1:22" x14ac:dyDescent="0.3">
      <c r="A177">
        <v>79452</v>
      </c>
      <c r="B177">
        <v>456090763</v>
      </c>
      <c r="C177" t="s">
        <v>1625</v>
      </c>
      <c r="D177" s="9" t="s">
        <v>1626</v>
      </c>
      <c r="E177" t="s">
        <v>769</v>
      </c>
      <c r="F177" t="s">
        <v>770</v>
      </c>
      <c r="G177" t="s">
        <v>28</v>
      </c>
      <c r="H177" t="s">
        <v>29</v>
      </c>
      <c r="I177" t="s">
        <v>34</v>
      </c>
      <c r="J177" t="s">
        <v>30</v>
      </c>
      <c r="K177" t="s">
        <v>27</v>
      </c>
      <c r="L177" t="s">
        <v>1627</v>
      </c>
      <c r="M177" t="s">
        <v>1628</v>
      </c>
      <c r="N177" t="s">
        <v>773</v>
      </c>
      <c r="O177" t="s">
        <v>31</v>
      </c>
      <c r="P177" t="s">
        <v>1629</v>
      </c>
      <c r="Q177" t="s">
        <v>73</v>
      </c>
      <c r="R177" s="26" t="s">
        <v>253</v>
      </c>
      <c r="S177">
        <v>1</v>
      </c>
      <c r="T177">
        <v>3653</v>
      </c>
      <c r="U177">
        <v>0</v>
      </c>
      <c r="V177">
        <v>3653</v>
      </c>
    </row>
    <row r="178" spans="1:22" x14ac:dyDescent="0.3">
      <c r="A178">
        <v>79452</v>
      </c>
      <c r="B178">
        <v>456090965</v>
      </c>
      <c r="C178" t="s">
        <v>1630</v>
      </c>
      <c r="D178" s="9" t="s">
        <v>1631</v>
      </c>
      <c r="E178" t="s">
        <v>769</v>
      </c>
      <c r="F178" t="s">
        <v>770</v>
      </c>
      <c r="G178" t="s">
        <v>28</v>
      </c>
      <c r="H178" t="s">
        <v>29</v>
      </c>
      <c r="I178" t="s">
        <v>34</v>
      </c>
      <c r="J178" t="s">
        <v>30</v>
      </c>
      <c r="K178" t="s">
        <v>27</v>
      </c>
      <c r="L178" t="s">
        <v>473</v>
      </c>
      <c r="M178" t="s">
        <v>474</v>
      </c>
      <c r="N178" t="s">
        <v>773</v>
      </c>
      <c r="O178" t="s">
        <v>31</v>
      </c>
      <c r="P178" t="s">
        <v>1632</v>
      </c>
      <c r="Q178" t="s">
        <v>41</v>
      </c>
      <c r="R178" s="26" t="s">
        <v>383</v>
      </c>
      <c r="S178">
        <v>1.8</v>
      </c>
      <c r="T178">
        <v>3935</v>
      </c>
      <c r="U178">
        <v>0</v>
      </c>
      <c r="V178">
        <v>3935</v>
      </c>
    </row>
    <row r="179" spans="1:22" x14ac:dyDescent="0.3">
      <c r="A179">
        <v>79452</v>
      </c>
      <c r="B179">
        <v>456090845</v>
      </c>
      <c r="C179" t="s">
        <v>1633</v>
      </c>
      <c r="D179" s="9" t="s">
        <v>1634</v>
      </c>
      <c r="E179" t="s">
        <v>769</v>
      </c>
      <c r="F179" t="s">
        <v>770</v>
      </c>
      <c r="G179" t="s">
        <v>28</v>
      </c>
      <c r="H179" t="s">
        <v>29</v>
      </c>
      <c r="I179" t="s">
        <v>34</v>
      </c>
      <c r="J179" t="s">
        <v>30</v>
      </c>
      <c r="K179" t="s">
        <v>27</v>
      </c>
      <c r="L179" t="s">
        <v>1635</v>
      </c>
      <c r="M179" t="s">
        <v>267</v>
      </c>
      <c r="N179" t="s">
        <v>773</v>
      </c>
      <c r="O179" t="s">
        <v>31</v>
      </c>
      <c r="P179" t="s">
        <v>1636</v>
      </c>
      <c r="Q179" t="s">
        <v>85</v>
      </c>
      <c r="R179" s="26" t="s">
        <v>383</v>
      </c>
      <c r="S179">
        <v>1</v>
      </c>
      <c r="T179">
        <v>3631</v>
      </c>
      <c r="U179">
        <v>0</v>
      </c>
      <c r="V179">
        <v>3631</v>
      </c>
    </row>
    <row r="180" spans="1:22" x14ac:dyDescent="0.3">
      <c r="A180">
        <v>79452</v>
      </c>
      <c r="B180">
        <v>456090735</v>
      </c>
      <c r="C180" t="s">
        <v>1637</v>
      </c>
      <c r="D180" s="9" t="s">
        <v>1638</v>
      </c>
      <c r="E180" t="s">
        <v>769</v>
      </c>
      <c r="F180" t="s">
        <v>770</v>
      </c>
      <c r="G180" t="s">
        <v>28</v>
      </c>
      <c r="H180" t="s">
        <v>29</v>
      </c>
      <c r="I180" t="s">
        <v>34</v>
      </c>
      <c r="J180" t="s">
        <v>30</v>
      </c>
      <c r="K180" t="s">
        <v>27</v>
      </c>
      <c r="L180" t="s">
        <v>1639</v>
      </c>
      <c r="M180" t="s">
        <v>1640</v>
      </c>
      <c r="N180" t="s">
        <v>773</v>
      </c>
      <c r="O180" t="s">
        <v>31</v>
      </c>
      <c r="P180" t="s">
        <v>1641</v>
      </c>
      <c r="Q180" t="s">
        <v>85</v>
      </c>
      <c r="R180" s="26" t="s">
        <v>253</v>
      </c>
      <c r="S180">
        <v>1</v>
      </c>
      <c r="T180">
        <v>3631</v>
      </c>
      <c r="U180">
        <v>0</v>
      </c>
      <c r="V180">
        <v>3631</v>
      </c>
    </row>
    <row r="181" spans="1:22" x14ac:dyDescent="0.3">
      <c r="A181">
        <v>79452</v>
      </c>
      <c r="B181">
        <v>456090955</v>
      </c>
      <c r="C181" t="s">
        <v>1642</v>
      </c>
      <c r="D181" s="9" t="s">
        <v>1643</v>
      </c>
      <c r="E181" t="s">
        <v>769</v>
      </c>
      <c r="F181" t="s">
        <v>770</v>
      </c>
      <c r="G181" t="s">
        <v>28</v>
      </c>
      <c r="H181" t="s">
        <v>29</v>
      </c>
      <c r="I181" t="s">
        <v>34</v>
      </c>
      <c r="J181" t="s">
        <v>30</v>
      </c>
      <c r="K181" t="s">
        <v>27</v>
      </c>
      <c r="L181" t="s">
        <v>1644</v>
      </c>
      <c r="M181" t="s">
        <v>1645</v>
      </c>
      <c r="N181" t="s">
        <v>773</v>
      </c>
      <c r="O181" t="s">
        <v>31</v>
      </c>
      <c r="P181" t="s">
        <v>1646</v>
      </c>
      <c r="Q181" t="s">
        <v>102</v>
      </c>
      <c r="R181" s="26" t="s">
        <v>383</v>
      </c>
      <c r="S181">
        <v>1</v>
      </c>
      <c r="T181">
        <v>3935</v>
      </c>
      <c r="U181">
        <v>0</v>
      </c>
      <c r="V181">
        <v>3935</v>
      </c>
    </row>
    <row r="182" spans="1:22" x14ac:dyDescent="0.3">
      <c r="A182">
        <v>79452</v>
      </c>
      <c r="B182">
        <v>455973232</v>
      </c>
      <c r="C182" t="s">
        <v>1647</v>
      </c>
      <c r="D182" s="9" t="s">
        <v>1648</v>
      </c>
      <c r="E182" t="s">
        <v>769</v>
      </c>
      <c r="F182" t="s">
        <v>770</v>
      </c>
      <c r="G182" t="s">
        <v>28</v>
      </c>
      <c r="H182" t="s">
        <v>29</v>
      </c>
      <c r="I182" t="s">
        <v>34</v>
      </c>
      <c r="J182" t="s">
        <v>30</v>
      </c>
      <c r="K182" t="s">
        <v>27</v>
      </c>
      <c r="L182" t="s">
        <v>1649</v>
      </c>
      <c r="M182" t="s">
        <v>1650</v>
      </c>
      <c r="N182" t="s">
        <v>773</v>
      </c>
      <c r="O182" t="s">
        <v>31</v>
      </c>
      <c r="P182" t="s">
        <v>1651</v>
      </c>
      <c r="Q182" t="s">
        <v>118</v>
      </c>
      <c r="R182" s="26" t="s">
        <v>279</v>
      </c>
      <c r="S182">
        <v>1</v>
      </c>
      <c r="T182">
        <v>3935</v>
      </c>
      <c r="U182">
        <v>0</v>
      </c>
      <c r="V182">
        <v>3935</v>
      </c>
    </row>
    <row r="183" spans="1:22" x14ac:dyDescent="0.3">
      <c r="A183">
        <v>79452</v>
      </c>
      <c r="B183">
        <v>455584813</v>
      </c>
      <c r="C183" t="s">
        <v>1652</v>
      </c>
      <c r="D183" s="9" t="s">
        <v>1653</v>
      </c>
      <c r="E183" t="s">
        <v>769</v>
      </c>
      <c r="F183" t="s">
        <v>770</v>
      </c>
      <c r="G183" t="s">
        <v>28</v>
      </c>
      <c r="H183" t="s">
        <v>29</v>
      </c>
      <c r="I183" t="s">
        <v>34</v>
      </c>
      <c r="J183" t="s">
        <v>30</v>
      </c>
      <c r="K183" t="s">
        <v>27</v>
      </c>
      <c r="L183" t="s">
        <v>1654</v>
      </c>
      <c r="M183" t="s">
        <v>1655</v>
      </c>
      <c r="N183" t="s">
        <v>773</v>
      </c>
      <c r="O183" t="s">
        <v>31</v>
      </c>
      <c r="P183" t="s">
        <v>1656</v>
      </c>
      <c r="Q183" t="s">
        <v>197</v>
      </c>
      <c r="R183" s="26" t="s">
        <v>317</v>
      </c>
      <c r="S183">
        <v>1.2</v>
      </c>
      <c r="T183">
        <v>5564</v>
      </c>
      <c r="U183">
        <v>0</v>
      </c>
      <c r="V183">
        <v>5564</v>
      </c>
    </row>
    <row r="184" spans="1:22" x14ac:dyDescent="0.3">
      <c r="A184">
        <v>79452</v>
      </c>
      <c r="B184">
        <v>455973310</v>
      </c>
      <c r="C184" t="s">
        <v>1657</v>
      </c>
      <c r="D184" s="9" t="s">
        <v>1658</v>
      </c>
      <c r="E184" t="s">
        <v>769</v>
      </c>
      <c r="F184" t="s">
        <v>770</v>
      </c>
      <c r="G184" t="s">
        <v>28</v>
      </c>
      <c r="H184" t="s">
        <v>29</v>
      </c>
      <c r="I184" t="s">
        <v>34</v>
      </c>
      <c r="J184" t="s">
        <v>30</v>
      </c>
      <c r="K184" t="s">
        <v>27</v>
      </c>
      <c r="L184" t="s">
        <v>1659</v>
      </c>
      <c r="M184" t="s">
        <v>1660</v>
      </c>
      <c r="N184" t="s">
        <v>773</v>
      </c>
      <c r="O184" t="s">
        <v>31</v>
      </c>
      <c r="P184" t="s">
        <v>1661</v>
      </c>
      <c r="Q184" t="s">
        <v>88</v>
      </c>
      <c r="R184" s="26" t="s">
        <v>279</v>
      </c>
      <c r="S184">
        <v>1</v>
      </c>
      <c r="T184">
        <v>5024</v>
      </c>
      <c r="U184">
        <v>0</v>
      </c>
      <c r="V184">
        <v>5024</v>
      </c>
    </row>
    <row r="185" spans="1:22" x14ac:dyDescent="0.3">
      <c r="A185">
        <v>79452</v>
      </c>
      <c r="B185">
        <v>456271400</v>
      </c>
      <c r="C185" t="s">
        <v>1662</v>
      </c>
      <c r="D185" s="9" t="s">
        <v>1663</v>
      </c>
      <c r="E185" t="s">
        <v>769</v>
      </c>
      <c r="F185" t="s">
        <v>770</v>
      </c>
      <c r="G185" t="s">
        <v>28</v>
      </c>
      <c r="H185" t="s">
        <v>29</v>
      </c>
      <c r="I185" t="s">
        <v>34</v>
      </c>
      <c r="J185" t="s">
        <v>30</v>
      </c>
      <c r="K185" t="s">
        <v>27</v>
      </c>
      <c r="L185" t="s">
        <v>1664</v>
      </c>
      <c r="M185" t="s">
        <v>804</v>
      </c>
      <c r="N185" t="s">
        <v>773</v>
      </c>
      <c r="O185" t="s">
        <v>31</v>
      </c>
      <c r="P185" t="s">
        <v>805</v>
      </c>
      <c r="Q185" t="s">
        <v>73</v>
      </c>
      <c r="R185" s="26" t="s">
        <v>1429</v>
      </c>
      <c r="S185">
        <v>1</v>
      </c>
      <c r="T185">
        <v>3653</v>
      </c>
      <c r="U185">
        <v>0</v>
      </c>
      <c r="V185">
        <v>3653</v>
      </c>
    </row>
    <row r="186" spans="1:22" x14ac:dyDescent="0.3">
      <c r="A186">
        <v>79452</v>
      </c>
      <c r="B186">
        <v>456090901</v>
      </c>
      <c r="C186" t="s">
        <v>1665</v>
      </c>
      <c r="D186" s="9" t="s">
        <v>1666</v>
      </c>
      <c r="E186" t="s">
        <v>769</v>
      </c>
      <c r="F186" t="s">
        <v>770</v>
      </c>
      <c r="G186" t="s">
        <v>28</v>
      </c>
      <c r="H186" t="s">
        <v>29</v>
      </c>
      <c r="I186" t="s">
        <v>34</v>
      </c>
      <c r="J186" t="s">
        <v>30</v>
      </c>
      <c r="K186" t="s">
        <v>27</v>
      </c>
      <c r="L186" t="s">
        <v>1667</v>
      </c>
      <c r="M186" t="s">
        <v>1668</v>
      </c>
      <c r="N186" t="s">
        <v>773</v>
      </c>
      <c r="O186" t="s">
        <v>31</v>
      </c>
      <c r="P186" t="s">
        <v>1669</v>
      </c>
      <c r="Q186" t="s">
        <v>62</v>
      </c>
      <c r="R186" s="26" t="s">
        <v>383</v>
      </c>
      <c r="S186">
        <v>1</v>
      </c>
      <c r="T186">
        <v>3384</v>
      </c>
      <c r="U186">
        <v>0</v>
      </c>
      <c r="V186">
        <v>3384</v>
      </c>
    </row>
    <row r="187" spans="1:22" x14ac:dyDescent="0.3">
      <c r="A187">
        <v>79452</v>
      </c>
      <c r="B187">
        <v>456090823</v>
      </c>
      <c r="C187" t="s">
        <v>1670</v>
      </c>
      <c r="D187" s="9" t="s">
        <v>1671</v>
      </c>
      <c r="E187" t="s">
        <v>769</v>
      </c>
      <c r="F187" t="s">
        <v>770</v>
      </c>
      <c r="G187" t="s">
        <v>28</v>
      </c>
      <c r="H187" t="s">
        <v>29</v>
      </c>
      <c r="I187" t="s">
        <v>34</v>
      </c>
      <c r="J187" t="s">
        <v>30</v>
      </c>
      <c r="K187" t="s">
        <v>27</v>
      </c>
      <c r="L187" t="s">
        <v>1672</v>
      </c>
      <c r="M187" t="s">
        <v>1673</v>
      </c>
      <c r="N187" t="s">
        <v>773</v>
      </c>
      <c r="O187" t="s">
        <v>31</v>
      </c>
      <c r="P187" t="s">
        <v>1674</v>
      </c>
      <c r="Q187" t="s">
        <v>109</v>
      </c>
      <c r="R187" s="26" t="s">
        <v>383</v>
      </c>
      <c r="S187">
        <v>1</v>
      </c>
      <c r="T187">
        <v>3250</v>
      </c>
      <c r="U187">
        <v>0</v>
      </c>
      <c r="V187">
        <v>3250</v>
      </c>
    </row>
    <row r="188" spans="1:22" x14ac:dyDescent="0.3">
      <c r="A188">
        <v>79452</v>
      </c>
      <c r="B188">
        <v>455973280</v>
      </c>
      <c r="C188" t="s">
        <v>1675</v>
      </c>
      <c r="D188" s="9" t="s">
        <v>1676</v>
      </c>
      <c r="E188" t="s">
        <v>769</v>
      </c>
      <c r="F188" t="s">
        <v>770</v>
      </c>
      <c r="G188" t="s">
        <v>28</v>
      </c>
      <c r="H188" t="s">
        <v>29</v>
      </c>
      <c r="I188" t="s">
        <v>34</v>
      </c>
      <c r="J188" t="s">
        <v>30</v>
      </c>
      <c r="K188" t="s">
        <v>27</v>
      </c>
      <c r="L188" t="s">
        <v>1677</v>
      </c>
      <c r="M188" t="s">
        <v>1022</v>
      </c>
      <c r="N188" t="s">
        <v>773</v>
      </c>
      <c r="O188" t="s">
        <v>31</v>
      </c>
      <c r="P188" t="s">
        <v>1023</v>
      </c>
      <c r="Q188" t="s">
        <v>88</v>
      </c>
      <c r="R188" s="26" t="s">
        <v>279</v>
      </c>
      <c r="S188">
        <v>1</v>
      </c>
      <c r="T188">
        <v>5024</v>
      </c>
      <c r="U188">
        <v>0</v>
      </c>
      <c r="V188">
        <v>5024</v>
      </c>
    </row>
    <row r="189" spans="1:22" x14ac:dyDescent="0.3">
      <c r="A189">
        <v>79452</v>
      </c>
      <c r="B189">
        <v>456271414</v>
      </c>
      <c r="C189" t="s">
        <v>1678</v>
      </c>
      <c r="D189" s="9" t="s">
        <v>1679</v>
      </c>
      <c r="E189" t="s">
        <v>769</v>
      </c>
      <c r="F189" t="s">
        <v>770</v>
      </c>
      <c r="G189" t="s">
        <v>28</v>
      </c>
      <c r="H189" t="s">
        <v>29</v>
      </c>
      <c r="I189" t="s">
        <v>34</v>
      </c>
      <c r="J189" t="s">
        <v>30</v>
      </c>
      <c r="K189" t="s">
        <v>27</v>
      </c>
      <c r="L189" t="s">
        <v>1680</v>
      </c>
      <c r="M189" t="s">
        <v>1681</v>
      </c>
      <c r="N189" t="s">
        <v>773</v>
      </c>
      <c r="O189" t="s">
        <v>31</v>
      </c>
      <c r="P189" t="s">
        <v>1682</v>
      </c>
      <c r="Q189" t="s">
        <v>61</v>
      </c>
      <c r="R189" s="26" t="s">
        <v>1429</v>
      </c>
      <c r="S189">
        <v>1</v>
      </c>
      <c r="T189">
        <v>3631</v>
      </c>
      <c r="U189">
        <v>0</v>
      </c>
      <c r="V189">
        <v>3631</v>
      </c>
    </row>
    <row r="190" spans="1:22" x14ac:dyDescent="0.3">
      <c r="A190">
        <v>79452</v>
      </c>
      <c r="B190">
        <v>455821796</v>
      </c>
      <c r="C190" t="s">
        <v>1683</v>
      </c>
      <c r="D190" s="9" t="s">
        <v>1684</v>
      </c>
      <c r="E190" t="s">
        <v>769</v>
      </c>
      <c r="F190" t="s">
        <v>770</v>
      </c>
      <c r="G190" t="s">
        <v>28</v>
      </c>
      <c r="H190" t="s">
        <v>29</v>
      </c>
      <c r="I190" t="s">
        <v>34</v>
      </c>
      <c r="J190" t="s">
        <v>30</v>
      </c>
      <c r="K190" t="s">
        <v>27</v>
      </c>
      <c r="L190" t="s">
        <v>1685</v>
      </c>
      <c r="M190" t="s">
        <v>1686</v>
      </c>
      <c r="N190" t="s">
        <v>773</v>
      </c>
      <c r="O190" t="s">
        <v>31</v>
      </c>
      <c r="P190" t="s">
        <v>1687</v>
      </c>
      <c r="Q190" t="s">
        <v>135</v>
      </c>
      <c r="R190" s="26" t="s">
        <v>459</v>
      </c>
      <c r="S190">
        <v>1.6</v>
      </c>
      <c r="T190">
        <v>3250</v>
      </c>
      <c r="U190">
        <v>0</v>
      </c>
      <c r="V190">
        <v>3250</v>
      </c>
    </row>
    <row r="191" spans="1:22" x14ac:dyDescent="0.3">
      <c r="A191">
        <v>79452</v>
      </c>
      <c r="B191">
        <v>455973457</v>
      </c>
      <c r="C191" t="s">
        <v>1688</v>
      </c>
      <c r="D191" s="9" t="s">
        <v>1689</v>
      </c>
      <c r="E191" t="s">
        <v>769</v>
      </c>
      <c r="F191" t="s">
        <v>770</v>
      </c>
      <c r="G191" t="s">
        <v>28</v>
      </c>
      <c r="H191" t="s">
        <v>29</v>
      </c>
      <c r="I191" t="s">
        <v>34</v>
      </c>
      <c r="J191" t="s">
        <v>30</v>
      </c>
      <c r="K191" t="s">
        <v>27</v>
      </c>
      <c r="L191" t="s">
        <v>1690</v>
      </c>
      <c r="M191" t="s">
        <v>1691</v>
      </c>
      <c r="N191" t="s">
        <v>773</v>
      </c>
      <c r="O191" t="s">
        <v>31</v>
      </c>
      <c r="P191" t="s">
        <v>1692</v>
      </c>
      <c r="Q191" t="s">
        <v>154</v>
      </c>
      <c r="R191" s="26" t="s">
        <v>279</v>
      </c>
      <c r="S191">
        <v>1</v>
      </c>
      <c r="T191">
        <v>4205</v>
      </c>
      <c r="U191">
        <v>0</v>
      </c>
      <c r="V191">
        <v>4205</v>
      </c>
    </row>
    <row r="192" spans="1:22" x14ac:dyDescent="0.3">
      <c r="A192">
        <v>79452</v>
      </c>
      <c r="B192">
        <v>455657013</v>
      </c>
      <c r="C192" t="s">
        <v>1693</v>
      </c>
      <c r="D192" s="9" t="s">
        <v>1694</v>
      </c>
      <c r="E192" t="s">
        <v>769</v>
      </c>
      <c r="F192" t="s">
        <v>770</v>
      </c>
      <c r="G192" t="s">
        <v>28</v>
      </c>
      <c r="H192" t="s">
        <v>29</v>
      </c>
      <c r="I192" t="s">
        <v>34</v>
      </c>
      <c r="J192" t="s">
        <v>30</v>
      </c>
      <c r="K192" t="s">
        <v>27</v>
      </c>
      <c r="L192" t="s">
        <v>1695</v>
      </c>
      <c r="M192" t="s">
        <v>1696</v>
      </c>
      <c r="N192" t="s">
        <v>773</v>
      </c>
      <c r="O192" t="s">
        <v>31</v>
      </c>
      <c r="P192" t="s">
        <v>1697</v>
      </c>
      <c r="Q192" t="s">
        <v>68</v>
      </c>
      <c r="R192" s="26" t="s">
        <v>1157</v>
      </c>
      <c r="S192">
        <v>2</v>
      </c>
      <c r="T192">
        <v>5564</v>
      </c>
      <c r="U192">
        <v>0</v>
      </c>
      <c r="V192">
        <v>5564</v>
      </c>
    </row>
    <row r="193" spans="1:22" x14ac:dyDescent="0.3">
      <c r="A193">
        <v>79452</v>
      </c>
      <c r="B193">
        <v>455973431</v>
      </c>
      <c r="C193" t="s">
        <v>1698</v>
      </c>
      <c r="D193" s="9" t="s">
        <v>1699</v>
      </c>
      <c r="E193" t="s">
        <v>769</v>
      </c>
      <c r="F193" t="s">
        <v>770</v>
      </c>
      <c r="G193" t="s">
        <v>28</v>
      </c>
      <c r="H193" t="s">
        <v>29</v>
      </c>
      <c r="I193" t="s">
        <v>34</v>
      </c>
      <c r="J193" t="s">
        <v>30</v>
      </c>
      <c r="K193" t="s">
        <v>27</v>
      </c>
      <c r="L193" t="s">
        <v>1700</v>
      </c>
      <c r="M193" t="s">
        <v>1701</v>
      </c>
      <c r="N193" t="s">
        <v>773</v>
      </c>
      <c r="O193" t="s">
        <v>31</v>
      </c>
      <c r="P193" t="s">
        <v>1702</v>
      </c>
      <c r="Q193" t="s">
        <v>162</v>
      </c>
      <c r="R193" s="26" t="s">
        <v>279</v>
      </c>
      <c r="S193">
        <v>1</v>
      </c>
      <c r="T193">
        <v>3737</v>
      </c>
      <c r="U193">
        <v>0</v>
      </c>
      <c r="V193">
        <v>3737</v>
      </c>
    </row>
    <row r="194" spans="1:22" x14ac:dyDescent="0.3">
      <c r="A194">
        <v>79452</v>
      </c>
      <c r="B194">
        <v>455973357</v>
      </c>
      <c r="C194" t="s">
        <v>1703</v>
      </c>
      <c r="D194" s="9" t="s">
        <v>1704</v>
      </c>
      <c r="E194" t="s">
        <v>769</v>
      </c>
      <c r="F194" t="s">
        <v>770</v>
      </c>
      <c r="G194" t="s">
        <v>28</v>
      </c>
      <c r="H194" t="s">
        <v>29</v>
      </c>
      <c r="I194" t="s">
        <v>34</v>
      </c>
      <c r="J194" t="s">
        <v>30</v>
      </c>
      <c r="K194" t="s">
        <v>27</v>
      </c>
      <c r="L194" t="s">
        <v>1705</v>
      </c>
      <c r="M194" t="s">
        <v>1706</v>
      </c>
      <c r="N194" t="s">
        <v>773</v>
      </c>
      <c r="O194" t="s">
        <v>31</v>
      </c>
      <c r="P194" t="s">
        <v>1707</v>
      </c>
      <c r="Q194" t="s">
        <v>88</v>
      </c>
      <c r="R194" s="26" t="s">
        <v>279</v>
      </c>
      <c r="S194">
        <v>1</v>
      </c>
      <c r="T194">
        <v>5024</v>
      </c>
      <c r="U194">
        <v>0</v>
      </c>
      <c r="V194">
        <v>5024</v>
      </c>
    </row>
    <row r="195" spans="1:22" x14ac:dyDescent="0.3">
      <c r="A195">
        <v>79452</v>
      </c>
      <c r="B195">
        <v>455584612</v>
      </c>
      <c r="C195" t="s">
        <v>1708</v>
      </c>
      <c r="D195" s="9" t="s">
        <v>1709</v>
      </c>
      <c r="E195" t="s">
        <v>769</v>
      </c>
      <c r="F195" t="s">
        <v>770</v>
      </c>
      <c r="G195" t="s">
        <v>28</v>
      </c>
      <c r="H195" t="s">
        <v>29</v>
      </c>
      <c r="I195" t="s">
        <v>34</v>
      </c>
      <c r="J195" t="s">
        <v>30</v>
      </c>
      <c r="K195" t="s">
        <v>27</v>
      </c>
      <c r="L195" t="s">
        <v>1710</v>
      </c>
      <c r="M195" t="s">
        <v>1711</v>
      </c>
      <c r="N195" t="s">
        <v>773</v>
      </c>
      <c r="O195" t="s">
        <v>31</v>
      </c>
      <c r="P195" t="s">
        <v>1712</v>
      </c>
      <c r="Q195" t="s">
        <v>68</v>
      </c>
      <c r="R195" s="26" t="s">
        <v>262</v>
      </c>
      <c r="S195">
        <v>1.5</v>
      </c>
      <c r="T195">
        <v>5564</v>
      </c>
      <c r="U195">
        <v>0</v>
      </c>
      <c r="V195">
        <v>5564</v>
      </c>
    </row>
    <row r="196" spans="1:22" x14ac:dyDescent="0.3">
      <c r="A196">
        <v>79452</v>
      </c>
      <c r="B196">
        <v>455822084</v>
      </c>
      <c r="C196" t="s">
        <v>1713</v>
      </c>
      <c r="D196" s="9" t="s">
        <v>1714</v>
      </c>
      <c r="E196" t="s">
        <v>769</v>
      </c>
      <c r="F196" t="s">
        <v>770</v>
      </c>
      <c r="G196" t="s">
        <v>28</v>
      </c>
      <c r="H196" t="s">
        <v>29</v>
      </c>
      <c r="I196" t="s">
        <v>34</v>
      </c>
      <c r="J196" t="s">
        <v>30</v>
      </c>
      <c r="K196" t="s">
        <v>27</v>
      </c>
      <c r="L196" t="s">
        <v>1715</v>
      </c>
      <c r="M196" t="s">
        <v>1716</v>
      </c>
      <c r="N196" t="s">
        <v>773</v>
      </c>
      <c r="O196" t="s">
        <v>31</v>
      </c>
      <c r="P196" t="s">
        <v>1717</v>
      </c>
      <c r="Q196" t="s">
        <v>84</v>
      </c>
      <c r="R196" s="26" t="s">
        <v>1146</v>
      </c>
      <c r="S196">
        <v>1</v>
      </c>
      <c r="T196">
        <v>5564</v>
      </c>
      <c r="U196">
        <v>0</v>
      </c>
      <c r="V196">
        <v>5564</v>
      </c>
    </row>
    <row r="197" spans="1:22" x14ac:dyDescent="0.3">
      <c r="A197">
        <v>79452</v>
      </c>
      <c r="B197">
        <v>455973234</v>
      </c>
      <c r="C197" t="s">
        <v>1718</v>
      </c>
      <c r="D197" s="9" t="s">
        <v>1719</v>
      </c>
      <c r="E197" t="s">
        <v>769</v>
      </c>
      <c r="F197" t="s">
        <v>770</v>
      </c>
      <c r="G197" t="s">
        <v>28</v>
      </c>
      <c r="H197" t="s">
        <v>29</v>
      </c>
      <c r="I197" t="s">
        <v>34</v>
      </c>
      <c r="J197" t="s">
        <v>30</v>
      </c>
      <c r="K197" t="s">
        <v>27</v>
      </c>
      <c r="L197" t="s">
        <v>1720</v>
      </c>
      <c r="M197" t="s">
        <v>1721</v>
      </c>
      <c r="N197" t="s">
        <v>773</v>
      </c>
      <c r="O197" t="s">
        <v>31</v>
      </c>
      <c r="P197" t="s">
        <v>1722</v>
      </c>
      <c r="Q197" t="s">
        <v>99</v>
      </c>
      <c r="R197" s="26" t="s">
        <v>279</v>
      </c>
      <c r="S197">
        <v>1</v>
      </c>
      <c r="T197">
        <v>3250</v>
      </c>
      <c r="U197">
        <v>0</v>
      </c>
      <c r="V197">
        <v>3250</v>
      </c>
    </row>
    <row r="198" spans="1:22" x14ac:dyDescent="0.3">
      <c r="A198">
        <v>79452</v>
      </c>
      <c r="B198">
        <v>455973267</v>
      </c>
      <c r="C198" t="s">
        <v>1723</v>
      </c>
      <c r="D198" s="9" t="s">
        <v>1724</v>
      </c>
      <c r="E198" t="s">
        <v>769</v>
      </c>
      <c r="F198" t="s">
        <v>770</v>
      </c>
      <c r="G198" t="s">
        <v>28</v>
      </c>
      <c r="H198" t="s">
        <v>29</v>
      </c>
      <c r="I198" t="s">
        <v>34</v>
      </c>
      <c r="J198" t="s">
        <v>30</v>
      </c>
      <c r="K198" t="s">
        <v>60</v>
      </c>
      <c r="L198" t="s">
        <v>157</v>
      </c>
      <c r="M198" t="s">
        <v>701</v>
      </c>
      <c r="N198" t="s">
        <v>773</v>
      </c>
      <c r="O198" t="s">
        <v>31</v>
      </c>
      <c r="P198" t="s">
        <v>1725</v>
      </c>
      <c r="Q198" t="s">
        <v>341</v>
      </c>
      <c r="R198" s="26" t="s">
        <v>279</v>
      </c>
      <c r="S198">
        <v>2.6</v>
      </c>
      <c r="T198">
        <v>3935</v>
      </c>
      <c r="U198">
        <v>0</v>
      </c>
      <c r="V198">
        <v>3935</v>
      </c>
    </row>
    <row r="199" spans="1:22" x14ac:dyDescent="0.3">
      <c r="A199">
        <v>79452</v>
      </c>
      <c r="B199">
        <v>455973215</v>
      </c>
      <c r="C199" t="s">
        <v>1726</v>
      </c>
      <c r="D199" s="9" t="s">
        <v>1727</v>
      </c>
      <c r="E199" t="s">
        <v>769</v>
      </c>
      <c r="F199" t="s">
        <v>770</v>
      </c>
      <c r="G199" t="s">
        <v>28</v>
      </c>
      <c r="H199" t="s">
        <v>29</v>
      </c>
      <c r="I199" t="s">
        <v>34</v>
      </c>
      <c r="J199" t="s">
        <v>30</v>
      </c>
      <c r="K199" t="s">
        <v>27</v>
      </c>
      <c r="L199" t="s">
        <v>1728</v>
      </c>
      <c r="M199" t="s">
        <v>1729</v>
      </c>
      <c r="N199" t="s">
        <v>773</v>
      </c>
      <c r="O199" t="s">
        <v>31</v>
      </c>
      <c r="P199" t="s">
        <v>1730</v>
      </c>
      <c r="Q199" t="s">
        <v>154</v>
      </c>
      <c r="R199" s="26" t="s">
        <v>392</v>
      </c>
      <c r="S199">
        <v>1</v>
      </c>
      <c r="T199">
        <v>4205</v>
      </c>
      <c r="U199">
        <v>0</v>
      </c>
      <c r="V199">
        <v>4205</v>
      </c>
    </row>
    <row r="200" spans="1:22" x14ac:dyDescent="0.3">
      <c r="A200">
        <v>79452</v>
      </c>
      <c r="B200">
        <v>455973168</v>
      </c>
      <c r="C200" t="s">
        <v>1731</v>
      </c>
      <c r="D200" s="9" t="s">
        <v>1732</v>
      </c>
      <c r="E200" t="s">
        <v>769</v>
      </c>
      <c r="F200" t="s">
        <v>770</v>
      </c>
      <c r="G200" t="s">
        <v>28</v>
      </c>
      <c r="H200" t="s">
        <v>29</v>
      </c>
      <c r="I200" t="s">
        <v>34</v>
      </c>
      <c r="J200" t="s">
        <v>30</v>
      </c>
      <c r="K200" t="s">
        <v>27</v>
      </c>
      <c r="L200" t="s">
        <v>1114</v>
      </c>
      <c r="M200" t="s">
        <v>1115</v>
      </c>
      <c r="N200" t="s">
        <v>773</v>
      </c>
      <c r="O200" t="s">
        <v>31</v>
      </c>
      <c r="P200" t="s">
        <v>1116</v>
      </c>
      <c r="Q200" t="s">
        <v>69</v>
      </c>
      <c r="R200" s="26" t="s">
        <v>392</v>
      </c>
      <c r="S200">
        <v>1</v>
      </c>
      <c r="T200">
        <v>3935</v>
      </c>
      <c r="U200">
        <v>0</v>
      </c>
      <c r="V200">
        <v>3935</v>
      </c>
    </row>
    <row r="201" spans="1:22" x14ac:dyDescent="0.3">
      <c r="A201">
        <v>79452</v>
      </c>
      <c r="B201">
        <v>455821981</v>
      </c>
      <c r="C201" t="s">
        <v>1733</v>
      </c>
      <c r="D201" s="9" t="s">
        <v>1734</v>
      </c>
      <c r="E201" t="s">
        <v>769</v>
      </c>
      <c r="F201" t="s">
        <v>770</v>
      </c>
      <c r="G201" t="s">
        <v>28</v>
      </c>
      <c r="H201" t="s">
        <v>29</v>
      </c>
      <c r="I201" t="s">
        <v>34</v>
      </c>
      <c r="J201" t="s">
        <v>30</v>
      </c>
      <c r="K201" t="s">
        <v>27</v>
      </c>
      <c r="L201" t="s">
        <v>1735</v>
      </c>
      <c r="M201" t="s">
        <v>1736</v>
      </c>
      <c r="N201" t="s">
        <v>773</v>
      </c>
      <c r="O201" t="s">
        <v>31</v>
      </c>
      <c r="P201" t="s">
        <v>1737</v>
      </c>
      <c r="Q201" t="s">
        <v>88</v>
      </c>
      <c r="R201" s="26" t="s">
        <v>1146</v>
      </c>
      <c r="S201">
        <v>1</v>
      </c>
      <c r="T201">
        <v>5024</v>
      </c>
      <c r="U201">
        <v>0</v>
      </c>
      <c r="V201">
        <v>5024</v>
      </c>
    </row>
    <row r="202" spans="1:22" x14ac:dyDescent="0.3">
      <c r="A202">
        <v>79452</v>
      </c>
      <c r="B202">
        <v>455973563</v>
      </c>
      <c r="C202" t="s">
        <v>1738</v>
      </c>
      <c r="D202" s="9" t="s">
        <v>1739</v>
      </c>
      <c r="E202" t="s">
        <v>769</v>
      </c>
      <c r="F202" t="s">
        <v>770</v>
      </c>
      <c r="G202" t="s">
        <v>28</v>
      </c>
      <c r="H202" t="s">
        <v>29</v>
      </c>
      <c r="I202" t="s">
        <v>34</v>
      </c>
      <c r="J202" t="s">
        <v>30</v>
      </c>
      <c r="K202" t="s">
        <v>27</v>
      </c>
      <c r="L202" t="s">
        <v>1740</v>
      </c>
      <c r="M202" t="s">
        <v>1741</v>
      </c>
      <c r="N202" t="s">
        <v>773</v>
      </c>
      <c r="O202" t="s">
        <v>31</v>
      </c>
      <c r="P202" t="s">
        <v>1742</v>
      </c>
      <c r="Q202" t="s">
        <v>62</v>
      </c>
      <c r="R202" s="26" t="s">
        <v>417</v>
      </c>
      <c r="S202">
        <v>1</v>
      </c>
      <c r="T202">
        <v>3384</v>
      </c>
      <c r="U202">
        <v>0</v>
      </c>
      <c r="V202">
        <v>3384</v>
      </c>
    </row>
    <row r="203" spans="1:22" x14ac:dyDescent="0.3">
      <c r="A203">
        <v>79452</v>
      </c>
      <c r="B203">
        <v>455973389</v>
      </c>
      <c r="C203" t="s">
        <v>1743</v>
      </c>
      <c r="D203" s="9" t="s">
        <v>1744</v>
      </c>
      <c r="E203" t="s">
        <v>769</v>
      </c>
      <c r="F203" t="s">
        <v>770</v>
      </c>
      <c r="G203" t="s">
        <v>28</v>
      </c>
      <c r="H203" t="s">
        <v>29</v>
      </c>
      <c r="I203" t="s">
        <v>34</v>
      </c>
      <c r="J203" t="s">
        <v>30</v>
      </c>
      <c r="K203" t="s">
        <v>27</v>
      </c>
      <c r="L203" t="s">
        <v>1745</v>
      </c>
      <c r="M203" t="s">
        <v>1746</v>
      </c>
      <c r="N203" t="s">
        <v>773</v>
      </c>
      <c r="O203" t="s">
        <v>31</v>
      </c>
      <c r="P203" t="s">
        <v>1747</v>
      </c>
      <c r="Q203" t="s">
        <v>144</v>
      </c>
      <c r="R203" s="26" t="s">
        <v>279</v>
      </c>
      <c r="S203">
        <v>1</v>
      </c>
      <c r="T203">
        <v>3653</v>
      </c>
      <c r="U203">
        <v>0</v>
      </c>
      <c r="V203">
        <v>3653</v>
      </c>
    </row>
    <row r="204" spans="1:22" x14ac:dyDescent="0.3">
      <c r="A204">
        <v>79452</v>
      </c>
      <c r="B204">
        <v>455973510</v>
      </c>
      <c r="C204" t="s">
        <v>1748</v>
      </c>
      <c r="D204" s="9" t="s">
        <v>1749</v>
      </c>
      <c r="E204" t="s">
        <v>769</v>
      </c>
      <c r="F204" t="s">
        <v>770</v>
      </c>
      <c r="G204" t="s">
        <v>28</v>
      </c>
      <c r="H204" t="s">
        <v>29</v>
      </c>
      <c r="I204" t="s">
        <v>34</v>
      </c>
      <c r="J204" t="s">
        <v>30</v>
      </c>
      <c r="K204" t="s">
        <v>27</v>
      </c>
      <c r="L204" t="s">
        <v>1750</v>
      </c>
      <c r="M204" t="s">
        <v>1751</v>
      </c>
      <c r="N204" t="s">
        <v>773</v>
      </c>
      <c r="O204" t="s">
        <v>31</v>
      </c>
      <c r="P204" t="s">
        <v>1752</v>
      </c>
      <c r="Q204" t="s">
        <v>104</v>
      </c>
      <c r="R204" s="26" t="s">
        <v>417</v>
      </c>
      <c r="S204">
        <v>1</v>
      </c>
      <c r="T204">
        <v>3631</v>
      </c>
      <c r="U204">
        <v>0</v>
      </c>
      <c r="V204">
        <v>3631</v>
      </c>
    </row>
    <row r="205" spans="1:22" x14ac:dyDescent="0.3">
      <c r="A205">
        <v>79452</v>
      </c>
      <c r="B205">
        <v>455584801</v>
      </c>
      <c r="C205" t="s">
        <v>1753</v>
      </c>
      <c r="D205" s="9" t="s">
        <v>1754</v>
      </c>
      <c r="E205" t="s">
        <v>769</v>
      </c>
      <c r="F205" t="s">
        <v>770</v>
      </c>
      <c r="G205" t="s">
        <v>28</v>
      </c>
      <c r="H205" t="s">
        <v>29</v>
      </c>
      <c r="I205" t="s">
        <v>34</v>
      </c>
      <c r="J205" t="s">
        <v>30</v>
      </c>
      <c r="K205" t="s">
        <v>27</v>
      </c>
      <c r="L205" t="s">
        <v>1755</v>
      </c>
      <c r="M205" t="s">
        <v>1756</v>
      </c>
      <c r="N205" t="s">
        <v>773</v>
      </c>
      <c r="O205" t="s">
        <v>31</v>
      </c>
      <c r="P205" t="s">
        <v>1757</v>
      </c>
      <c r="Q205" t="s">
        <v>84</v>
      </c>
      <c r="R205" s="26" t="s">
        <v>317</v>
      </c>
      <c r="S205">
        <v>1</v>
      </c>
      <c r="T205">
        <v>5564</v>
      </c>
      <c r="U205">
        <v>0</v>
      </c>
      <c r="V205">
        <v>5564</v>
      </c>
    </row>
    <row r="206" spans="1:22" x14ac:dyDescent="0.3">
      <c r="A206">
        <v>79452</v>
      </c>
      <c r="B206">
        <v>455973533</v>
      </c>
      <c r="C206" t="s">
        <v>1758</v>
      </c>
      <c r="D206" s="9" t="s">
        <v>1759</v>
      </c>
      <c r="E206" t="s">
        <v>769</v>
      </c>
      <c r="F206" t="s">
        <v>770</v>
      </c>
      <c r="G206" t="s">
        <v>28</v>
      </c>
      <c r="H206" t="s">
        <v>29</v>
      </c>
      <c r="I206" t="s">
        <v>34</v>
      </c>
      <c r="J206" t="s">
        <v>30</v>
      </c>
      <c r="K206" t="s">
        <v>27</v>
      </c>
      <c r="L206" t="s">
        <v>1760</v>
      </c>
      <c r="M206" t="s">
        <v>1761</v>
      </c>
      <c r="N206" t="s">
        <v>773</v>
      </c>
      <c r="O206" t="s">
        <v>31</v>
      </c>
      <c r="P206" t="s">
        <v>1762</v>
      </c>
      <c r="Q206" t="s">
        <v>81</v>
      </c>
      <c r="R206" s="26" t="s">
        <v>417</v>
      </c>
      <c r="S206">
        <v>1</v>
      </c>
      <c r="T206">
        <v>3935</v>
      </c>
      <c r="U206">
        <v>0</v>
      </c>
      <c r="V206">
        <v>3935</v>
      </c>
    </row>
    <row r="207" spans="1:22" x14ac:dyDescent="0.3">
      <c r="A207">
        <v>79452</v>
      </c>
      <c r="B207">
        <v>455821748</v>
      </c>
      <c r="C207" t="s">
        <v>1763</v>
      </c>
      <c r="D207" s="9" t="s">
        <v>1764</v>
      </c>
      <c r="E207" t="s">
        <v>769</v>
      </c>
      <c r="F207" t="s">
        <v>770</v>
      </c>
      <c r="G207" t="s">
        <v>28</v>
      </c>
      <c r="H207" t="s">
        <v>29</v>
      </c>
      <c r="I207" t="s">
        <v>34</v>
      </c>
      <c r="J207" t="s">
        <v>30</v>
      </c>
      <c r="K207" t="s">
        <v>27</v>
      </c>
      <c r="L207" t="s">
        <v>1765</v>
      </c>
      <c r="M207" t="s">
        <v>1766</v>
      </c>
      <c r="N207" t="s">
        <v>773</v>
      </c>
      <c r="O207" t="s">
        <v>31</v>
      </c>
      <c r="P207" t="s">
        <v>1767</v>
      </c>
      <c r="Q207" t="s">
        <v>88</v>
      </c>
      <c r="R207" s="26" t="s">
        <v>459</v>
      </c>
      <c r="S207">
        <v>1</v>
      </c>
      <c r="T207">
        <v>5024</v>
      </c>
      <c r="U207">
        <v>0</v>
      </c>
      <c r="V207">
        <v>5024</v>
      </c>
    </row>
    <row r="208" spans="1:22" x14ac:dyDescent="0.3">
      <c r="A208">
        <v>79452</v>
      </c>
      <c r="B208">
        <v>455973139</v>
      </c>
      <c r="C208" t="s">
        <v>1768</v>
      </c>
      <c r="D208" s="9" t="s">
        <v>1769</v>
      </c>
      <c r="E208" t="s">
        <v>769</v>
      </c>
      <c r="F208" t="s">
        <v>770</v>
      </c>
      <c r="G208" t="s">
        <v>28</v>
      </c>
      <c r="H208" t="s">
        <v>29</v>
      </c>
      <c r="I208" t="s">
        <v>34</v>
      </c>
      <c r="J208" t="s">
        <v>30</v>
      </c>
      <c r="K208" t="s">
        <v>27</v>
      </c>
      <c r="L208" t="s">
        <v>1770</v>
      </c>
      <c r="M208" t="s">
        <v>1771</v>
      </c>
      <c r="N208" t="s">
        <v>773</v>
      </c>
      <c r="O208" t="s">
        <v>31</v>
      </c>
      <c r="P208" t="s">
        <v>1772</v>
      </c>
      <c r="Q208" t="s">
        <v>73</v>
      </c>
      <c r="R208" s="26" t="s">
        <v>392</v>
      </c>
      <c r="S208">
        <v>1</v>
      </c>
      <c r="T208">
        <v>3653</v>
      </c>
      <c r="U208">
        <v>0</v>
      </c>
      <c r="V208">
        <v>3653</v>
      </c>
    </row>
    <row r="209" spans="1:22" x14ac:dyDescent="0.3">
      <c r="A209">
        <v>79452</v>
      </c>
      <c r="B209">
        <v>455821755</v>
      </c>
      <c r="C209" t="s">
        <v>1773</v>
      </c>
      <c r="D209" s="9" t="s">
        <v>1774</v>
      </c>
      <c r="E209" t="s">
        <v>769</v>
      </c>
      <c r="F209" t="s">
        <v>770</v>
      </c>
      <c r="G209" t="s">
        <v>28</v>
      </c>
      <c r="H209" t="s">
        <v>29</v>
      </c>
      <c r="I209" t="s">
        <v>34</v>
      </c>
      <c r="J209" t="s">
        <v>30</v>
      </c>
      <c r="K209" t="s">
        <v>27</v>
      </c>
      <c r="L209" t="s">
        <v>1775</v>
      </c>
      <c r="M209" t="s">
        <v>1776</v>
      </c>
      <c r="N209" t="s">
        <v>773</v>
      </c>
      <c r="O209" t="s">
        <v>31</v>
      </c>
      <c r="P209" t="s">
        <v>1777</v>
      </c>
      <c r="Q209" t="s">
        <v>88</v>
      </c>
      <c r="R209" s="26" t="s">
        <v>459</v>
      </c>
      <c r="S209">
        <v>1</v>
      </c>
      <c r="T209">
        <v>5024</v>
      </c>
      <c r="U209">
        <v>0</v>
      </c>
      <c r="V209">
        <v>5024</v>
      </c>
    </row>
    <row r="210" spans="1:22" x14ac:dyDescent="0.3">
      <c r="A210">
        <v>79452</v>
      </c>
      <c r="B210">
        <v>455973476</v>
      </c>
      <c r="C210" t="s">
        <v>1778</v>
      </c>
      <c r="D210" s="9" t="s">
        <v>1779</v>
      </c>
      <c r="E210" t="s">
        <v>769</v>
      </c>
      <c r="F210" t="s">
        <v>770</v>
      </c>
      <c r="G210" t="s">
        <v>28</v>
      </c>
      <c r="H210" t="s">
        <v>29</v>
      </c>
      <c r="I210" t="s">
        <v>34</v>
      </c>
      <c r="J210" t="s">
        <v>30</v>
      </c>
      <c r="K210" t="s">
        <v>27</v>
      </c>
      <c r="L210" t="s">
        <v>1780</v>
      </c>
      <c r="M210" t="s">
        <v>1781</v>
      </c>
      <c r="N210" t="s">
        <v>773</v>
      </c>
      <c r="O210" t="s">
        <v>31</v>
      </c>
      <c r="P210" t="s">
        <v>1782</v>
      </c>
      <c r="Q210" t="s">
        <v>61</v>
      </c>
      <c r="R210" s="26" t="s">
        <v>279</v>
      </c>
      <c r="S210">
        <v>1</v>
      </c>
      <c r="T210">
        <v>3631</v>
      </c>
      <c r="U210">
        <v>0</v>
      </c>
      <c r="V210">
        <v>3631</v>
      </c>
    </row>
    <row r="211" spans="1:22" x14ac:dyDescent="0.3">
      <c r="A211">
        <v>79452</v>
      </c>
      <c r="B211">
        <v>455656884</v>
      </c>
      <c r="C211" t="s">
        <v>1783</v>
      </c>
      <c r="D211" s="9" t="s">
        <v>1784</v>
      </c>
      <c r="E211" t="s">
        <v>769</v>
      </c>
      <c r="F211" t="s">
        <v>770</v>
      </c>
      <c r="G211" t="s">
        <v>28</v>
      </c>
      <c r="H211" t="s">
        <v>29</v>
      </c>
      <c r="I211" t="s">
        <v>34</v>
      </c>
      <c r="J211" t="s">
        <v>30</v>
      </c>
      <c r="K211" t="s">
        <v>27</v>
      </c>
      <c r="L211" t="s">
        <v>1785</v>
      </c>
      <c r="M211" t="s">
        <v>1786</v>
      </c>
      <c r="N211" t="s">
        <v>773</v>
      </c>
      <c r="O211" t="s">
        <v>31</v>
      </c>
      <c r="P211" t="s">
        <v>1787</v>
      </c>
      <c r="Q211" t="s">
        <v>117</v>
      </c>
      <c r="R211" s="26" t="s">
        <v>1157</v>
      </c>
      <c r="S211">
        <v>2.5</v>
      </c>
      <c r="T211">
        <v>5564</v>
      </c>
      <c r="U211">
        <v>0</v>
      </c>
      <c r="V211">
        <v>5564</v>
      </c>
    </row>
    <row r="212" spans="1:22" x14ac:dyDescent="0.3">
      <c r="A212">
        <v>79452</v>
      </c>
      <c r="B212">
        <v>455584996</v>
      </c>
      <c r="C212" t="s">
        <v>1788</v>
      </c>
      <c r="D212" s="9" t="s">
        <v>1789</v>
      </c>
      <c r="E212" t="s">
        <v>769</v>
      </c>
      <c r="F212" t="s">
        <v>770</v>
      </c>
      <c r="G212" t="s">
        <v>28</v>
      </c>
      <c r="H212" t="s">
        <v>29</v>
      </c>
      <c r="I212" t="s">
        <v>34</v>
      </c>
      <c r="J212" t="s">
        <v>30</v>
      </c>
      <c r="K212" t="s">
        <v>27</v>
      </c>
      <c r="L212" t="s">
        <v>540</v>
      </c>
      <c r="M212" t="s">
        <v>1790</v>
      </c>
      <c r="N212" t="s">
        <v>773</v>
      </c>
      <c r="O212" t="s">
        <v>31</v>
      </c>
      <c r="P212" t="s">
        <v>1791</v>
      </c>
      <c r="Q212" t="s">
        <v>84</v>
      </c>
      <c r="R212" s="26" t="s">
        <v>317</v>
      </c>
      <c r="S212">
        <v>1</v>
      </c>
      <c r="T212">
        <v>5564</v>
      </c>
      <c r="U212">
        <v>0</v>
      </c>
      <c r="V212">
        <v>5564</v>
      </c>
    </row>
    <row r="213" spans="1:22" x14ac:dyDescent="0.3">
      <c r="A213">
        <v>79452</v>
      </c>
      <c r="B213">
        <v>455973468</v>
      </c>
      <c r="C213" t="s">
        <v>1792</v>
      </c>
      <c r="D213" s="9" t="s">
        <v>1793</v>
      </c>
      <c r="E213" t="s">
        <v>769</v>
      </c>
      <c r="F213" t="s">
        <v>770</v>
      </c>
      <c r="G213" t="s">
        <v>28</v>
      </c>
      <c r="H213" t="s">
        <v>29</v>
      </c>
      <c r="I213" t="s">
        <v>34</v>
      </c>
      <c r="J213" t="s">
        <v>30</v>
      </c>
      <c r="K213" t="s">
        <v>27</v>
      </c>
      <c r="L213" t="s">
        <v>1794</v>
      </c>
      <c r="M213" t="s">
        <v>1795</v>
      </c>
      <c r="N213" t="s">
        <v>773</v>
      </c>
      <c r="O213" t="s">
        <v>31</v>
      </c>
      <c r="P213" t="s">
        <v>1796</v>
      </c>
      <c r="Q213" t="s">
        <v>69</v>
      </c>
      <c r="R213" s="26" t="s">
        <v>279</v>
      </c>
      <c r="S213">
        <v>1</v>
      </c>
      <c r="T213">
        <v>3935</v>
      </c>
      <c r="U213">
        <v>0</v>
      </c>
      <c r="V213">
        <v>3935</v>
      </c>
    </row>
    <row r="214" spans="1:22" x14ac:dyDescent="0.3">
      <c r="A214">
        <v>79452</v>
      </c>
      <c r="B214">
        <v>455973383</v>
      </c>
      <c r="C214" t="s">
        <v>1797</v>
      </c>
      <c r="D214" s="9" t="s">
        <v>1798</v>
      </c>
      <c r="E214" t="s">
        <v>769</v>
      </c>
      <c r="F214" t="s">
        <v>770</v>
      </c>
      <c r="G214" t="s">
        <v>28</v>
      </c>
      <c r="H214" t="s">
        <v>29</v>
      </c>
      <c r="I214" t="s">
        <v>34</v>
      </c>
      <c r="J214" t="s">
        <v>30</v>
      </c>
      <c r="K214" t="s">
        <v>60</v>
      </c>
      <c r="L214" t="s">
        <v>157</v>
      </c>
      <c r="M214" t="s">
        <v>1558</v>
      </c>
      <c r="N214" t="s">
        <v>773</v>
      </c>
      <c r="O214" t="s">
        <v>31</v>
      </c>
      <c r="P214" t="s">
        <v>1559</v>
      </c>
      <c r="Q214" t="s">
        <v>65</v>
      </c>
      <c r="R214" s="26" t="s">
        <v>279</v>
      </c>
      <c r="S214">
        <v>1</v>
      </c>
      <c r="T214">
        <v>3631</v>
      </c>
      <c r="U214">
        <v>0</v>
      </c>
      <c r="V214">
        <v>3631</v>
      </c>
    </row>
    <row r="215" spans="1:22" x14ac:dyDescent="0.3">
      <c r="A215">
        <v>79452</v>
      </c>
      <c r="B215">
        <v>455973552</v>
      </c>
      <c r="C215" t="s">
        <v>1799</v>
      </c>
      <c r="D215" s="9" t="s">
        <v>1800</v>
      </c>
      <c r="E215" t="s">
        <v>769</v>
      </c>
      <c r="F215" t="s">
        <v>770</v>
      </c>
      <c r="G215" t="s">
        <v>28</v>
      </c>
      <c r="H215" t="s">
        <v>29</v>
      </c>
      <c r="I215" t="s">
        <v>34</v>
      </c>
      <c r="J215" t="s">
        <v>30</v>
      </c>
      <c r="K215" t="s">
        <v>27</v>
      </c>
      <c r="L215" t="s">
        <v>1801</v>
      </c>
      <c r="M215" t="s">
        <v>1802</v>
      </c>
      <c r="N215" t="s">
        <v>773</v>
      </c>
      <c r="O215" t="s">
        <v>31</v>
      </c>
      <c r="P215" t="s">
        <v>1803</v>
      </c>
      <c r="Q215" t="s">
        <v>61</v>
      </c>
      <c r="R215" s="26" t="s">
        <v>417</v>
      </c>
      <c r="S215">
        <v>1</v>
      </c>
      <c r="T215">
        <v>3631</v>
      </c>
      <c r="U215">
        <v>0</v>
      </c>
      <c r="V215">
        <v>3631</v>
      </c>
    </row>
    <row r="216" spans="1:22" x14ac:dyDescent="0.3">
      <c r="A216">
        <v>79452</v>
      </c>
      <c r="B216">
        <v>455821902</v>
      </c>
      <c r="C216" t="s">
        <v>1804</v>
      </c>
      <c r="D216" s="9" t="s">
        <v>1805</v>
      </c>
      <c r="E216" t="s">
        <v>769</v>
      </c>
      <c r="F216" t="s">
        <v>770</v>
      </c>
      <c r="G216" t="s">
        <v>28</v>
      </c>
      <c r="H216" t="s">
        <v>29</v>
      </c>
      <c r="I216" t="s">
        <v>34</v>
      </c>
      <c r="J216" t="s">
        <v>30</v>
      </c>
      <c r="K216" t="s">
        <v>27</v>
      </c>
      <c r="L216" t="s">
        <v>1806</v>
      </c>
      <c r="M216" t="s">
        <v>1807</v>
      </c>
      <c r="N216" t="s">
        <v>773</v>
      </c>
      <c r="O216" t="s">
        <v>31</v>
      </c>
      <c r="P216" t="s">
        <v>1808</v>
      </c>
      <c r="Q216" t="s">
        <v>88</v>
      </c>
      <c r="R216" s="26" t="s">
        <v>459</v>
      </c>
      <c r="S216">
        <v>1</v>
      </c>
      <c r="T216">
        <v>5024</v>
      </c>
      <c r="U216">
        <v>0</v>
      </c>
      <c r="V216">
        <v>5024</v>
      </c>
    </row>
    <row r="217" spans="1:22" x14ac:dyDescent="0.3">
      <c r="A217">
        <v>79452</v>
      </c>
      <c r="B217">
        <v>455821572</v>
      </c>
      <c r="C217" t="s">
        <v>1809</v>
      </c>
      <c r="D217" s="9" t="s">
        <v>1810</v>
      </c>
      <c r="E217" t="s">
        <v>769</v>
      </c>
      <c r="F217" t="s">
        <v>770</v>
      </c>
      <c r="G217" t="s">
        <v>28</v>
      </c>
      <c r="H217" t="s">
        <v>29</v>
      </c>
      <c r="I217" t="s">
        <v>34</v>
      </c>
      <c r="J217" t="s">
        <v>30</v>
      </c>
      <c r="K217" t="s">
        <v>27</v>
      </c>
      <c r="L217" t="s">
        <v>498</v>
      </c>
      <c r="M217" t="s">
        <v>86</v>
      </c>
      <c r="N217" t="s">
        <v>773</v>
      </c>
      <c r="O217" t="s">
        <v>31</v>
      </c>
      <c r="P217" t="s">
        <v>1811</v>
      </c>
      <c r="Q217" t="s">
        <v>84</v>
      </c>
      <c r="R217" s="26" t="s">
        <v>282</v>
      </c>
      <c r="S217">
        <v>1</v>
      </c>
      <c r="T217">
        <v>5564</v>
      </c>
      <c r="U217">
        <v>0</v>
      </c>
      <c r="V217">
        <v>5564</v>
      </c>
    </row>
    <row r="218" spans="1:22" x14ac:dyDescent="0.3">
      <c r="A218">
        <v>79452</v>
      </c>
      <c r="B218">
        <v>455973108</v>
      </c>
      <c r="C218" t="s">
        <v>1812</v>
      </c>
      <c r="D218" s="9" t="s">
        <v>1813</v>
      </c>
      <c r="E218" t="s">
        <v>769</v>
      </c>
      <c r="F218" t="s">
        <v>770</v>
      </c>
      <c r="G218" t="s">
        <v>28</v>
      </c>
      <c r="H218" t="s">
        <v>29</v>
      </c>
      <c r="I218" t="s">
        <v>34</v>
      </c>
      <c r="J218" t="s">
        <v>30</v>
      </c>
      <c r="K218" t="s">
        <v>27</v>
      </c>
      <c r="L218" t="s">
        <v>1814</v>
      </c>
      <c r="M218" t="s">
        <v>1815</v>
      </c>
      <c r="N218" t="s">
        <v>773</v>
      </c>
      <c r="O218" t="s">
        <v>31</v>
      </c>
      <c r="P218" t="s">
        <v>1816</v>
      </c>
      <c r="Q218" t="s">
        <v>85</v>
      </c>
      <c r="R218" s="26" t="s">
        <v>392</v>
      </c>
      <c r="S218">
        <v>1</v>
      </c>
      <c r="T218">
        <v>3631</v>
      </c>
      <c r="U218">
        <v>0</v>
      </c>
      <c r="V218">
        <v>3631</v>
      </c>
    </row>
    <row r="219" spans="1:22" x14ac:dyDescent="0.3">
      <c r="A219">
        <v>79452</v>
      </c>
      <c r="B219">
        <v>455973263</v>
      </c>
      <c r="C219" t="s">
        <v>1817</v>
      </c>
      <c r="D219" s="9" t="s">
        <v>1818</v>
      </c>
      <c r="E219" t="s">
        <v>769</v>
      </c>
      <c r="F219" t="s">
        <v>770</v>
      </c>
      <c r="G219" t="s">
        <v>28</v>
      </c>
      <c r="H219" t="s">
        <v>29</v>
      </c>
      <c r="I219" t="s">
        <v>34</v>
      </c>
      <c r="J219" t="s">
        <v>30</v>
      </c>
      <c r="K219" t="s">
        <v>27</v>
      </c>
      <c r="L219" t="s">
        <v>1819</v>
      </c>
      <c r="M219" t="s">
        <v>983</v>
      </c>
      <c r="N219" t="s">
        <v>773</v>
      </c>
      <c r="O219" t="s">
        <v>31</v>
      </c>
      <c r="P219" t="s">
        <v>984</v>
      </c>
      <c r="Q219" t="s">
        <v>109</v>
      </c>
      <c r="R219" s="26" t="s">
        <v>279</v>
      </c>
      <c r="S219">
        <v>1</v>
      </c>
      <c r="T219">
        <v>3250</v>
      </c>
      <c r="U219">
        <v>0</v>
      </c>
      <c r="V219">
        <v>3250</v>
      </c>
    </row>
    <row r="220" spans="1:22" x14ac:dyDescent="0.3">
      <c r="A220">
        <v>79452</v>
      </c>
      <c r="B220">
        <v>455973415</v>
      </c>
      <c r="C220" t="s">
        <v>1820</v>
      </c>
      <c r="D220" s="9" t="s">
        <v>1821</v>
      </c>
      <c r="E220" t="s">
        <v>769</v>
      </c>
      <c r="F220" t="s">
        <v>770</v>
      </c>
      <c r="G220" t="s">
        <v>28</v>
      </c>
      <c r="H220" t="s">
        <v>29</v>
      </c>
      <c r="I220" t="s">
        <v>34</v>
      </c>
      <c r="J220" t="s">
        <v>30</v>
      </c>
      <c r="K220" t="s">
        <v>27</v>
      </c>
      <c r="L220" t="s">
        <v>287</v>
      </c>
      <c r="M220" t="s">
        <v>1822</v>
      </c>
      <c r="N220" t="s">
        <v>773</v>
      </c>
      <c r="O220" t="s">
        <v>31</v>
      </c>
      <c r="P220" t="s">
        <v>1823</v>
      </c>
      <c r="Q220" t="s">
        <v>135</v>
      </c>
      <c r="R220" s="26" t="s">
        <v>279</v>
      </c>
      <c r="S220">
        <v>1</v>
      </c>
      <c r="T220">
        <v>3250</v>
      </c>
      <c r="U220">
        <v>0</v>
      </c>
      <c r="V220">
        <v>3250</v>
      </c>
    </row>
    <row r="221" spans="1:22" x14ac:dyDescent="0.3">
      <c r="A221">
        <v>79452</v>
      </c>
      <c r="B221">
        <v>455973484</v>
      </c>
      <c r="C221" t="s">
        <v>1824</v>
      </c>
      <c r="D221" s="9" t="s">
        <v>1825</v>
      </c>
      <c r="E221" t="s">
        <v>769</v>
      </c>
      <c r="F221" t="s">
        <v>770</v>
      </c>
      <c r="G221" t="s">
        <v>28</v>
      </c>
      <c r="H221" t="s">
        <v>29</v>
      </c>
      <c r="I221" t="s">
        <v>34</v>
      </c>
      <c r="J221" t="s">
        <v>30</v>
      </c>
      <c r="K221" t="s">
        <v>27</v>
      </c>
      <c r="L221" t="s">
        <v>1826</v>
      </c>
      <c r="M221" t="s">
        <v>1827</v>
      </c>
      <c r="N221" t="s">
        <v>773</v>
      </c>
      <c r="O221" t="s">
        <v>31</v>
      </c>
      <c r="P221" t="s">
        <v>1828</v>
      </c>
      <c r="Q221" t="s">
        <v>65</v>
      </c>
      <c r="R221" s="26" t="s">
        <v>417</v>
      </c>
      <c r="S221">
        <v>1</v>
      </c>
      <c r="T221">
        <v>3631</v>
      </c>
      <c r="U221">
        <v>0</v>
      </c>
      <c r="V221">
        <v>3631</v>
      </c>
    </row>
    <row r="222" spans="1:22" x14ac:dyDescent="0.3">
      <c r="A222">
        <v>79452</v>
      </c>
      <c r="B222">
        <v>455822032</v>
      </c>
      <c r="C222" t="s">
        <v>1829</v>
      </c>
      <c r="D222" s="9" t="s">
        <v>1830</v>
      </c>
      <c r="E222" t="s">
        <v>769</v>
      </c>
      <c r="F222" t="s">
        <v>770</v>
      </c>
      <c r="G222" t="s">
        <v>28</v>
      </c>
      <c r="H222" t="s">
        <v>29</v>
      </c>
      <c r="I222" t="s">
        <v>34</v>
      </c>
      <c r="J222" t="s">
        <v>30</v>
      </c>
      <c r="K222" t="s">
        <v>27</v>
      </c>
      <c r="L222" t="s">
        <v>1831</v>
      </c>
      <c r="M222" t="s">
        <v>1832</v>
      </c>
      <c r="N222" t="s">
        <v>773</v>
      </c>
      <c r="O222" t="s">
        <v>31</v>
      </c>
      <c r="P222" t="s">
        <v>1833</v>
      </c>
      <c r="Q222" t="s">
        <v>59</v>
      </c>
      <c r="R222" s="26" t="s">
        <v>1146</v>
      </c>
      <c r="S222">
        <v>1</v>
      </c>
      <c r="T222">
        <v>3631</v>
      </c>
      <c r="U222">
        <v>0</v>
      </c>
      <c r="V222">
        <v>3631</v>
      </c>
    </row>
    <row r="223" spans="1:22" x14ac:dyDescent="0.3">
      <c r="A223">
        <v>79452</v>
      </c>
      <c r="B223">
        <v>455657052</v>
      </c>
      <c r="C223" t="s">
        <v>1834</v>
      </c>
      <c r="D223" s="9" t="s">
        <v>1835</v>
      </c>
      <c r="E223" t="s">
        <v>769</v>
      </c>
      <c r="F223" t="s">
        <v>770</v>
      </c>
      <c r="G223" t="s">
        <v>28</v>
      </c>
      <c r="H223" t="s">
        <v>29</v>
      </c>
      <c r="I223" t="s">
        <v>34</v>
      </c>
      <c r="J223" t="s">
        <v>30</v>
      </c>
      <c r="K223" t="s">
        <v>27</v>
      </c>
      <c r="L223" t="s">
        <v>1836</v>
      </c>
      <c r="M223" t="s">
        <v>1837</v>
      </c>
      <c r="N223" t="s">
        <v>773</v>
      </c>
      <c r="O223" t="s">
        <v>31</v>
      </c>
      <c r="P223" t="s">
        <v>1838</v>
      </c>
      <c r="Q223" t="s">
        <v>138</v>
      </c>
      <c r="R223" s="26" t="s">
        <v>225</v>
      </c>
      <c r="S223">
        <v>1</v>
      </c>
      <c r="T223">
        <v>3250</v>
      </c>
      <c r="U223">
        <v>0</v>
      </c>
      <c r="V223">
        <v>3250</v>
      </c>
    </row>
    <row r="224" spans="1:22" x14ac:dyDescent="0.3">
      <c r="A224">
        <v>79452</v>
      </c>
      <c r="B224">
        <v>455973527</v>
      </c>
      <c r="C224" t="s">
        <v>1839</v>
      </c>
      <c r="D224" s="9" t="s">
        <v>1840</v>
      </c>
      <c r="E224" t="s">
        <v>769</v>
      </c>
      <c r="F224" t="s">
        <v>770</v>
      </c>
      <c r="G224" t="s">
        <v>28</v>
      </c>
      <c r="H224" t="s">
        <v>29</v>
      </c>
      <c r="I224" t="s">
        <v>34</v>
      </c>
      <c r="J224" t="s">
        <v>30</v>
      </c>
      <c r="K224" t="s">
        <v>27</v>
      </c>
      <c r="L224" t="s">
        <v>1841</v>
      </c>
      <c r="M224" t="s">
        <v>1842</v>
      </c>
      <c r="N224" t="s">
        <v>773</v>
      </c>
      <c r="O224" t="s">
        <v>31</v>
      </c>
      <c r="P224" t="s">
        <v>1843</v>
      </c>
      <c r="Q224" t="s">
        <v>143</v>
      </c>
      <c r="R224" s="26" t="s">
        <v>417</v>
      </c>
      <c r="S224">
        <v>1</v>
      </c>
      <c r="T224">
        <v>3250</v>
      </c>
      <c r="U224">
        <v>0</v>
      </c>
      <c r="V224">
        <v>3250</v>
      </c>
    </row>
    <row r="225" spans="1:22" x14ac:dyDescent="0.3">
      <c r="A225">
        <v>79452</v>
      </c>
      <c r="B225">
        <v>455973448</v>
      </c>
      <c r="C225" t="s">
        <v>1844</v>
      </c>
      <c r="D225" s="9" t="s">
        <v>1845</v>
      </c>
      <c r="E225" t="s">
        <v>769</v>
      </c>
      <c r="F225" t="s">
        <v>770</v>
      </c>
      <c r="G225" t="s">
        <v>28</v>
      </c>
      <c r="H225" t="s">
        <v>29</v>
      </c>
      <c r="I225" t="s">
        <v>34</v>
      </c>
      <c r="J225" t="s">
        <v>30</v>
      </c>
      <c r="K225" t="s">
        <v>27</v>
      </c>
      <c r="L225" t="s">
        <v>1846</v>
      </c>
      <c r="M225" t="s">
        <v>1847</v>
      </c>
      <c r="N225" t="s">
        <v>773</v>
      </c>
      <c r="O225" t="s">
        <v>31</v>
      </c>
      <c r="P225" t="s">
        <v>1848</v>
      </c>
      <c r="Q225" t="s">
        <v>73</v>
      </c>
      <c r="R225" s="26" t="s">
        <v>279</v>
      </c>
      <c r="S225">
        <v>1</v>
      </c>
      <c r="T225">
        <v>3653</v>
      </c>
      <c r="U225">
        <v>0</v>
      </c>
      <c r="V225">
        <v>3653</v>
      </c>
    </row>
    <row r="226" spans="1:22" x14ac:dyDescent="0.3">
      <c r="A226">
        <v>79452</v>
      </c>
      <c r="B226">
        <v>455821650</v>
      </c>
      <c r="C226" t="s">
        <v>1849</v>
      </c>
      <c r="D226" s="9" t="s">
        <v>1850</v>
      </c>
      <c r="E226" t="s">
        <v>769</v>
      </c>
      <c r="F226" t="s">
        <v>770</v>
      </c>
      <c r="G226" t="s">
        <v>28</v>
      </c>
      <c r="H226" t="s">
        <v>29</v>
      </c>
      <c r="I226" t="s">
        <v>34</v>
      </c>
      <c r="J226" t="s">
        <v>30</v>
      </c>
      <c r="K226" t="s">
        <v>27</v>
      </c>
      <c r="L226" t="s">
        <v>1851</v>
      </c>
      <c r="M226" t="s">
        <v>620</v>
      </c>
      <c r="N226" t="s">
        <v>773</v>
      </c>
      <c r="O226" t="s">
        <v>31</v>
      </c>
      <c r="P226" t="s">
        <v>1852</v>
      </c>
      <c r="Q226" t="s">
        <v>62</v>
      </c>
      <c r="R226" s="26" t="s">
        <v>459</v>
      </c>
      <c r="S226">
        <v>1.8</v>
      </c>
      <c r="T226">
        <v>3384</v>
      </c>
      <c r="U226">
        <v>0</v>
      </c>
      <c r="V226">
        <v>3384</v>
      </c>
    </row>
    <row r="227" spans="1:22" x14ac:dyDescent="0.3">
      <c r="A227">
        <v>79452</v>
      </c>
      <c r="B227">
        <v>455973172</v>
      </c>
      <c r="C227" t="s">
        <v>1853</v>
      </c>
      <c r="D227" s="9" t="s">
        <v>1854</v>
      </c>
      <c r="E227" t="s">
        <v>769</v>
      </c>
      <c r="F227" t="s">
        <v>770</v>
      </c>
      <c r="G227" t="s">
        <v>28</v>
      </c>
      <c r="H227" t="s">
        <v>29</v>
      </c>
      <c r="I227" t="s">
        <v>34</v>
      </c>
      <c r="J227" t="s">
        <v>30</v>
      </c>
      <c r="K227" t="s">
        <v>27</v>
      </c>
      <c r="L227" t="s">
        <v>1855</v>
      </c>
      <c r="M227" t="s">
        <v>1856</v>
      </c>
      <c r="N227" t="s">
        <v>773</v>
      </c>
      <c r="O227" t="s">
        <v>31</v>
      </c>
      <c r="P227" t="s">
        <v>1857</v>
      </c>
      <c r="Q227" t="s">
        <v>67</v>
      </c>
      <c r="R227" s="26" t="s">
        <v>392</v>
      </c>
      <c r="S227">
        <v>1</v>
      </c>
      <c r="T227">
        <v>3384</v>
      </c>
      <c r="U227">
        <v>0</v>
      </c>
      <c r="V227">
        <v>3384</v>
      </c>
    </row>
    <row r="228" spans="1:22" x14ac:dyDescent="0.3">
      <c r="A228">
        <v>79452</v>
      </c>
      <c r="B228">
        <v>455973371</v>
      </c>
      <c r="C228" t="s">
        <v>1858</v>
      </c>
      <c r="D228" s="9" t="s">
        <v>1859</v>
      </c>
      <c r="E228" t="s">
        <v>769</v>
      </c>
      <c r="F228" t="s">
        <v>770</v>
      </c>
      <c r="G228" t="s">
        <v>28</v>
      </c>
      <c r="H228" t="s">
        <v>29</v>
      </c>
      <c r="I228" t="s">
        <v>34</v>
      </c>
      <c r="J228" t="s">
        <v>30</v>
      </c>
      <c r="K228" t="s">
        <v>27</v>
      </c>
      <c r="L228" t="s">
        <v>1860</v>
      </c>
      <c r="M228" t="s">
        <v>1861</v>
      </c>
      <c r="N228" t="s">
        <v>773</v>
      </c>
      <c r="O228" t="s">
        <v>31</v>
      </c>
      <c r="P228" t="s">
        <v>1862</v>
      </c>
      <c r="Q228" t="s">
        <v>143</v>
      </c>
      <c r="R228" s="26" t="s">
        <v>279</v>
      </c>
      <c r="S228">
        <v>1</v>
      </c>
      <c r="T228">
        <v>3250</v>
      </c>
      <c r="U228">
        <v>0</v>
      </c>
      <c r="V228">
        <v>3250</v>
      </c>
    </row>
    <row r="229" spans="1:22" x14ac:dyDescent="0.3">
      <c r="A229">
        <v>79452</v>
      </c>
      <c r="B229">
        <v>455973470</v>
      </c>
      <c r="C229" t="s">
        <v>1863</v>
      </c>
      <c r="D229" s="9" t="s">
        <v>1864</v>
      </c>
      <c r="E229" t="s">
        <v>769</v>
      </c>
      <c r="F229" t="s">
        <v>770</v>
      </c>
      <c r="G229" t="s">
        <v>28</v>
      </c>
      <c r="H229" t="s">
        <v>29</v>
      </c>
      <c r="I229" t="s">
        <v>34</v>
      </c>
      <c r="J229" t="s">
        <v>30</v>
      </c>
      <c r="K229" t="s">
        <v>27</v>
      </c>
      <c r="L229" t="s">
        <v>1865</v>
      </c>
      <c r="M229" t="s">
        <v>1866</v>
      </c>
      <c r="N229" t="s">
        <v>773</v>
      </c>
      <c r="O229" t="s">
        <v>31</v>
      </c>
      <c r="P229" t="s">
        <v>1867</v>
      </c>
      <c r="Q229" t="s">
        <v>108</v>
      </c>
      <c r="R229" s="26" t="s">
        <v>279</v>
      </c>
      <c r="S229">
        <v>1</v>
      </c>
      <c r="T229">
        <v>3250</v>
      </c>
      <c r="U229">
        <v>0</v>
      </c>
      <c r="V229">
        <v>3250</v>
      </c>
    </row>
    <row r="230" spans="1:22" x14ac:dyDescent="0.3">
      <c r="A230">
        <v>79452</v>
      </c>
      <c r="B230">
        <v>455821980</v>
      </c>
      <c r="C230" t="s">
        <v>1868</v>
      </c>
      <c r="D230" s="9" t="s">
        <v>1869</v>
      </c>
      <c r="E230" t="s">
        <v>769</v>
      </c>
      <c r="F230" t="s">
        <v>770</v>
      </c>
      <c r="G230" t="s">
        <v>28</v>
      </c>
      <c r="H230" t="s">
        <v>29</v>
      </c>
      <c r="I230" t="s">
        <v>34</v>
      </c>
      <c r="J230" t="s">
        <v>30</v>
      </c>
      <c r="K230" t="s">
        <v>27</v>
      </c>
      <c r="L230" t="s">
        <v>1870</v>
      </c>
      <c r="M230" t="s">
        <v>1871</v>
      </c>
      <c r="N230" t="s">
        <v>773</v>
      </c>
      <c r="O230" t="s">
        <v>31</v>
      </c>
      <c r="P230" t="s">
        <v>1872</v>
      </c>
      <c r="Q230" t="s">
        <v>119</v>
      </c>
      <c r="R230" s="26" t="s">
        <v>1146</v>
      </c>
      <c r="S230">
        <v>6.7</v>
      </c>
      <c r="T230">
        <v>6655</v>
      </c>
      <c r="U230">
        <v>0</v>
      </c>
      <c r="V230">
        <v>6655</v>
      </c>
    </row>
    <row r="231" spans="1:22" x14ac:dyDescent="0.3">
      <c r="A231">
        <v>79452</v>
      </c>
      <c r="B231">
        <v>455493159</v>
      </c>
      <c r="C231" t="s">
        <v>1873</v>
      </c>
      <c r="D231" s="9" t="s">
        <v>1874</v>
      </c>
      <c r="E231" t="s">
        <v>769</v>
      </c>
      <c r="F231" t="s">
        <v>770</v>
      </c>
      <c r="G231" t="s">
        <v>28</v>
      </c>
      <c r="H231" t="s">
        <v>29</v>
      </c>
      <c r="I231" t="s">
        <v>34</v>
      </c>
      <c r="J231" t="s">
        <v>30</v>
      </c>
      <c r="K231" t="s">
        <v>27</v>
      </c>
      <c r="L231" t="s">
        <v>1875</v>
      </c>
      <c r="M231" t="s">
        <v>1876</v>
      </c>
      <c r="N231" t="s">
        <v>773</v>
      </c>
      <c r="O231" t="s">
        <v>31</v>
      </c>
      <c r="P231" t="s">
        <v>1877</v>
      </c>
      <c r="Q231" t="s">
        <v>68</v>
      </c>
      <c r="R231" s="26" t="s">
        <v>454</v>
      </c>
      <c r="S231">
        <v>0.6</v>
      </c>
      <c r="T231">
        <v>5564</v>
      </c>
      <c r="U231">
        <v>0</v>
      </c>
      <c r="V231">
        <v>5564</v>
      </c>
    </row>
    <row r="232" spans="1:22" x14ac:dyDescent="0.3">
      <c r="A232">
        <v>79452</v>
      </c>
      <c r="B232">
        <v>455493160</v>
      </c>
      <c r="C232" t="s">
        <v>1878</v>
      </c>
      <c r="D232" s="9" t="s">
        <v>1879</v>
      </c>
      <c r="E232" t="s">
        <v>769</v>
      </c>
      <c r="F232" t="s">
        <v>770</v>
      </c>
      <c r="G232" t="s">
        <v>28</v>
      </c>
      <c r="H232" t="s">
        <v>29</v>
      </c>
      <c r="I232" t="s">
        <v>34</v>
      </c>
      <c r="J232" t="s">
        <v>30</v>
      </c>
      <c r="K232" t="s">
        <v>27</v>
      </c>
      <c r="L232" t="s">
        <v>1880</v>
      </c>
      <c r="M232" t="s">
        <v>1876</v>
      </c>
      <c r="N232" t="s">
        <v>773</v>
      </c>
      <c r="O232" t="s">
        <v>31</v>
      </c>
      <c r="P232" t="s">
        <v>1877</v>
      </c>
      <c r="Q232" t="s">
        <v>68</v>
      </c>
      <c r="R232" s="26" t="s">
        <v>454</v>
      </c>
      <c r="S232">
        <v>1</v>
      </c>
      <c r="T232">
        <v>5564</v>
      </c>
      <c r="U232">
        <v>0</v>
      </c>
      <c r="V232">
        <v>5564</v>
      </c>
    </row>
    <row r="233" spans="1:22" x14ac:dyDescent="0.3">
      <c r="A233">
        <v>79452</v>
      </c>
      <c r="B233">
        <v>455821561</v>
      </c>
      <c r="C233" t="s">
        <v>1881</v>
      </c>
      <c r="D233" s="9" t="s">
        <v>1882</v>
      </c>
      <c r="E233" t="s">
        <v>769</v>
      </c>
      <c r="F233" t="s">
        <v>770</v>
      </c>
      <c r="G233" t="s">
        <v>28</v>
      </c>
      <c r="H233" t="s">
        <v>29</v>
      </c>
      <c r="I233" t="s">
        <v>34</v>
      </c>
      <c r="J233" t="s">
        <v>30</v>
      </c>
      <c r="K233" t="s">
        <v>27</v>
      </c>
      <c r="L233" t="s">
        <v>1883</v>
      </c>
      <c r="M233" t="s">
        <v>1884</v>
      </c>
      <c r="N233" t="s">
        <v>773</v>
      </c>
      <c r="O233" t="s">
        <v>31</v>
      </c>
      <c r="P233" t="s">
        <v>1885</v>
      </c>
      <c r="Q233" t="s">
        <v>88</v>
      </c>
      <c r="R233" s="26" t="s">
        <v>282</v>
      </c>
      <c r="S233">
        <v>2</v>
      </c>
      <c r="T233">
        <v>5024</v>
      </c>
      <c r="U233">
        <v>0</v>
      </c>
      <c r="V233">
        <v>5024</v>
      </c>
    </row>
    <row r="234" spans="1:22" x14ac:dyDescent="0.3">
      <c r="A234">
        <v>79452</v>
      </c>
      <c r="B234">
        <v>455584592</v>
      </c>
      <c r="C234" t="s">
        <v>1886</v>
      </c>
      <c r="D234" s="9" t="s">
        <v>1887</v>
      </c>
      <c r="E234" t="s">
        <v>769</v>
      </c>
      <c r="F234" t="s">
        <v>770</v>
      </c>
      <c r="G234" t="s">
        <v>28</v>
      </c>
      <c r="H234" t="s">
        <v>29</v>
      </c>
      <c r="I234" t="s">
        <v>34</v>
      </c>
      <c r="J234" t="s">
        <v>30</v>
      </c>
      <c r="K234" t="s">
        <v>27</v>
      </c>
      <c r="L234" t="s">
        <v>1888</v>
      </c>
      <c r="M234" t="s">
        <v>1889</v>
      </c>
      <c r="N234" t="s">
        <v>773</v>
      </c>
      <c r="O234" t="s">
        <v>31</v>
      </c>
      <c r="P234" t="s">
        <v>1890</v>
      </c>
      <c r="Q234" t="s">
        <v>125</v>
      </c>
      <c r="R234" s="26" t="s">
        <v>262</v>
      </c>
      <c r="S234">
        <v>2.4</v>
      </c>
      <c r="T234">
        <v>3653</v>
      </c>
      <c r="U234">
        <v>0</v>
      </c>
      <c r="V234">
        <v>3653</v>
      </c>
    </row>
    <row r="235" spans="1:22" x14ac:dyDescent="0.3">
      <c r="A235">
        <v>79452</v>
      </c>
      <c r="B235">
        <v>455821777</v>
      </c>
      <c r="C235" t="s">
        <v>1891</v>
      </c>
      <c r="D235" s="9" t="s">
        <v>1892</v>
      </c>
      <c r="E235" t="s">
        <v>769</v>
      </c>
      <c r="F235" t="s">
        <v>770</v>
      </c>
      <c r="G235" t="s">
        <v>28</v>
      </c>
      <c r="H235" t="s">
        <v>29</v>
      </c>
      <c r="I235" t="s">
        <v>34</v>
      </c>
      <c r="J235" t="s">
        <v>30</v>
      </c>
      <c r="K235" t="s">
        <v>27</v>
      </c>
      <c r="L235" t="s">
        <v>1893</v>
      </c>
      <c r="M235" t="s">
        <v>1894</v>
      </c>
      <c r="N235" t="s">
        <v>773</v>
      </c>
      <c r="O235" t="s">
        <v>31</v>
      </c>
      <c r="P235" t="s">
        <v>1895</v>
      </c>
      <c r="Q235" t="s">
        <v>42</v>
      </c>
      <c r="R235" s="26" t="s">
        <v>459</v>
      </c>
      <c r="S235">
        <v>1</v>
      </c>
      <c r="T235">
        <v>3631</v>
      </c>
      <c r="U235">
        <v>0</v>
      </c>
      <c r="V235">
        <v>3631</v>
      </c>
    </row>
    <row r="236" spans="1:22" x14ac:dyDescent="0.3">
      <c r="A236">
        <v>79452</v>
      </c>
      <c r="B236">
        <v>455821661</v>
      </c>
      <c r="C236" t="s">
        <v>1896</v>
      </c>
      <c r="D236" s="9" t="s">
        <v>1897</v>
      </c>
      <c r="E236" t="s">
        <v>769</v>
      </c>
      <c r="F236" t="s">
        <v>770</v>
      </c>
      <c r="G236" t="s">
        <v>28</v>
      </c>
      <c r="H236" t="s">
        <v>29</v>
      </c>
      <c r="I236" t="s">
        <v>34</v>
      </c>
      <c r="J236" t="s">
        <v>30</v>
      </c>
      <c r="K236" t="s">
        <v>27</v>
      </c>
      <c r="L236" t="s">
        <v>1898</v>
      </c>
      <c r="M236" t="s">
        <v>1899</v>
      </c>
      <c r="N236" t="s">
        <v>773</v>
      </c>
      <c r="O236" t="s">
        <v>31</v>
      </c>
      <c r="P236" t="s">
        <v>1900</v>
      </c>
      <c r="Q236" t="s">
        <v>160</v>
      </c>
      <c r="R236" s="26" t="s">
        <v>459</v>
      </c>
      <c r="S236">
        <v>1.4</v>
      </c>
      <c r="T236">
        <v>3653</v>
      </c>
      <c r="U236">
        <v>0</v>
      </c>
      <c r="V236">
        <v>3653</v>
      </c>
    </row>
    <row r="237" spans="1:22" x14ac:dyDescent="0.3">
      <c r="A237">
        <v>79452</v>
      </c>
      <c r="B237">
        <v>455822041</v>
      </c>
      <c r="C237" t="s">
        <v>1901</v>
      </c>
      <c r="D237" s="9" t="s">
        <v>1902</v>
      </c>
      <c r="E237" t="s">
        <v>769</v>
      </c>
      <c r="F237" t="s">
        <v>770</v>
      </c>
      <c r="G237" t="s">
        <v>28</v>
      </c>
      <c r="H237" t="s">
        <v>29</v>
      </c>
      <c r="I237" t="s">
        <v>34</v>
      </c>
      <c r="J237" t="s">
        <v>30</v>
      </c>
      <c r="K237" t="s">
        <v>27</v>
      </c>
      <c r="L237" t="s">
        <v>1903</v>
      </c>
      <c r="M237" t="s">
        <v>570</v>
      </c>
      <c r="N237" t="s">
        <v>773</v>
      </c>
      <c r="O237" t="s">
        <v>31</v>
      </c>
      <c r="P237" t="s">
        <v>1904</v>
      </c>
      <c r="Q237" t="s">
        <v>85</v>
      </c>
      <c r="R237" s="26" t="s">
        <v>1146</v>
      </c>
      <c r="S237">
        <v>1</v>
      </c>
      <c r="T237">
        <v>3631</v>
      </c>
      <c r="U237">
        <v>0</v>
      </c>
      <c r="V237">
        <v>3631</v>
      </c>
    </row>
    <row r="238" spans="1:22" x14ac:dyDescent="0.3">
      <c r="A238">
        <v>79452</v>
      </c>
      <c r="B238">
        <v>455821969</v>
      </c>
      <c r="C238" t="s">
        <v>1905</v>
      </c>
      <c r="D238" s="9" t="s">
        <v>1906</v>
      </c>
      <c r="E238" t="s">
        <v>769</v>
      </c>
      <c r="F238" t="s">
        <v>770</v>
      </c>
      <c r="G238" t="s">
        <v>28</v>
      </c>
      <c r="H238" t="s">
        <v>29</v>
      </c>
      <c r="I238" t="s">
        <v>34</v>
      </c>
      <c r="J238" t="s">
        <v>30</v>
      </c>
      <c r="K238" t="s">
        <v>27</v>
      </c>
      <c r="L238" t="s">
        <v>1907</v>
      </c>
      <c r="M238" t="s">
        <v>1908</v>
      </c>
      <c r="N238" t="s">
        <v>773</v>
      </c>
      <c r="O238" t="s">
        <v>31</v>
      </c>
      <c r="P238" t="s">
        <v>1909</v>
      </c>
      <c r="Q238" t="s">
        <v>171</v>
      </c>
      <c r="R238" s="26" t="s">
        <v>1146</v>
      </c>
      <c r="S238">
        <v>1</v>
      </c>
      <c r="T238">
        <v>3250</v>
      </c>
      <c r="U238">
        <v>0</v>
      </c>
      <c r="V238">
        <v>3250</v>
      </c>
    </row>
    <row r="239" spans="1:22" x14ac:dyDescent="0.3">
      <c r="A239">
        <v>79452</v>
      </c>
      <c r="B239">
        <v>455584584</v>
      </c>
      <c r="C239" t="s">
        <v>1910</v>
      </c>
      <c r="D239" s="9" t="s">
        <v>1911</v>
      </c>
      <c r="E239" t="s">
        <v>769</v>
      </c>
      <c r="F239" t="s">
        <v>770</v>
      </c>
      <c r="G239" t="s">
        <v>28</v>
      </c>
      <c r="H239" t="s">
        <v>29</v>
      </c>
      <c r="I239" t="s">
        <v>34</v>
      </c>
      <c r="J239" t="s">
        <v>30</v>
      </c>
      <c r="K239" t="s">
        <v>27</v>
      </c>
      <c r="L239" t="s">
        <v>1912</v>
      </c>
      <c r="M239" t="s">
        <v>1027</v>
      </c>
      <c r="N239" t="s">
        <v>773</v>
      </c>
      <c r="O239" t="s">
        <v>31</v>
      </c>
      <c r="P239" t="s">
        <v>1028</v>
      </c>
      <c r="Q239" t="s">
        <v>72</v>
      </c>
      <c r="R239" s="26" t="s">
        <v>262</v>
      </c>
      <c r="S239">
        <v>1</v>
      </c>
      <c r="T239">
        <v>3653</v>
      </c>
      <c r="U239">
        <v>0</v>
      </c>
      <c r="V239">
        <v>3653</v>
      </c>
    </row>
    <row r="240" spans="1:22" x14ac:dyDescent="0.3">
      <c r="A240">
        <v>79452</v>
      </c>
      <c r="B240">
        <v>455822023</v>
      </c>
      <c r="C240" t="s">
        <v>1913</v>
      </c>
      <c r="D240" s="9" t="s">
        <v>1914</v>
      </c>
      <c r="E240" t="s">
        <v>769</v>
      </c>
      <c r="F240" t="s">
        <v>770</v>
      </c>
      <c r="G240" t="s">
        <v>28</v>
      </c>
      <c r="H240" t="s">
        <v>29</v>
      </c>
      <c r="I240" t="s">
        <v>34</v>
      </c>
      <c r="J240" t="s">
        <v>30</v>
      </c>
      <c r="K240" t="s">
        <v>27</v>
      </c>
      <c r="L240" t="s">
        <v>1915</v>
      </c>
      <c r="M240" t="s">
        <v>674</v>
      </c>
      <c r="N240" t="s">
        <v>773</v>
      </c>
      <c r="O240" t="s">
        <v>31</v>
      </c>
      <c r="P240" t="s">
        <v>1916</v>
      </c>
      <c r="Q240" t="s">
        <v>109</v>
      </c>
      <c r="R240" s="26" t="s">
        <v>1146</v>
      </c>
      <c r="S240">
        <v>1</v>
      </c>
      <c r="T240">
        <v>3250</v>
      </c>
      <c r="U240">
        <v>0</v>
      </c>
      <c r="V240">
        <v>3250</v>
      </c>
    </row>
    <row r="241" spans="1:22" x14ac:dyDescent="0.3">
      <c r="A241">
        <v>79452</v>
      </c>
      <c r="B241">
        <v>455821718</v>
      </c>
      <c r="C241" t="s">
        <v>1917</v>
      </c>
      <c r="D241" s="9" t="s">
        <v>1918</v>
      </c>
      <c r="E241" t="s">
        <v>769</v>
      </c>
      <c r="F241" t="s">
        <v>770</v>
      </c>
      <c r="G241" t="s">
        <v>28</v>
      </c>
      <c r="H241" t="s">
        <v>29</v>
      </c>
      <c r="I241" t="s">
        <v>34</v>
      </c>
      <c r="J241" t="s">
        <v>30</v>
      </c>
      <c r="K241" t="s">
        <v>27</v>
      </c>
      <c r="L241" t="s">
        <v>1919</v>
      </c>
      <c r="M241" t="s">
        <v>1920</v>
      </c>
      <c r="N241" t="s">
        <v>773</v>
      </c>
      <c r="O241" t="s">
        <v>31</v>
      </c>
      <c r="P241" t="s">
        <v>1921</v>
      </c>
      <c r="Q241" t="s">
        <v>203</v>
      </c>
      <c r="R241" s="26" t="s">
        <v>459</v>
      </c>
      <c r="S241">
        <v>1</v>
      </c>
      <c r="T241">
        <v>4028</v>
      </c>
      <c r="U241">
        <v>0</v>
      </c>
      <c r="V241">
        <v>4028</v>
      </c>
    </row>
    <row r="242" spans="1:22" x14ac:dyDescent="0.3">
      <c r="A242">
        <v>79452</v>
      </c>
      <c r="B242">
        <v>455822025</v>
      </c>
      <c r="C242" t="s">
        <v>1922</v>
      </c>
      <c r="D242" s="9" t="s">
        <v>1923</v>
      </c>
      <c r="E242" t="s">
        <v>769</v>
      </c>
      <c r="F242" t="s">
        <v>770</v>
      </c>
      <c r="G242" t="s">
        <v>28</v>
      </c>
      <c r="H242" t="s">
        <v>29</v>
      </c>
      <c r="I242" t="s">
        <v>34</v>
      </c>
      <c r="J242" t="s">
        <v>30</v>
      </c>
      <c r="K242" t="s">
        <v>27</v>
      </c>
      <c r="L242" t="s">
        <v>1924</v>
      </c>
      <c r="M242" t="s">
        <v>1925</v>
      </c>
      <c r="N242" t="s">
        <v>773</v>
      </c>
      <c r="O242" t="s">
        <v>31</v>
      </c>
      <c r="P242" t="s">
        <v>1926</v>
      </c>
      <c r="Q242" t="s">
        <v>85</v>
      </c>
      <c r="R242" s="26" t="s">
        <v>1146</v>
      </c>
      <c r="S242">
        <v>1.8</v>
      </c>
      <c r="T242">
        <v>3631</v>
      </c>
      <c r="U242">
        <v>0</v>
      </c>
      <c r="V242">
        <v>3631</v>
      </c>
    </row>
    <row r="243" spans="1:22" x14ac:dyDescent="0.3">
      <c r="A243">
        <v>79452</v>
      </c>
      <c r="B243">
        <v>455821963</v>
      </c>
      <c r="C243" t="s">
        <v>1927</v>
      </c>
      <c r="D243" s="9" t="s">
        <v>1928</v>
      </c>
      <c r="E243" t="s">
        <v>769</v>
      </c>
      <c r="F243" t="s">
        <v>770</v>
      </c>
      <c r="G243" t="s">
        <v>28</v>
      </c>
      <c r="H243" t="s">
        <v>29</v>
      </c>
      <c r="I243" t="s">
        <v>34</v>
      </c>
      <c r="J243" t="s">
        <v>30</v>
      </c>
      <c r="K243" t="s">
        <v>27</v>
      </c>
      <c r="L243" t="s">
        <v>1929</v>
      </c>
      <c r="M243" t="s">
        <v>1930</v>
      </c>
      <c r="N243" t="s">
        <v>773</v>
      </c>
      <c r="O243" t="s">
        <v>31</v>
      </c>
      <c r="P243" t="s">
        <v>1931</v>
      </c>
      <c r="Q243" t="s">
        <v>109</v>
      </c>
      <c r="R243" s="26" t="s">
        <v>1146</v>
      </c>
      <c r="S243">
        <v>1</v>
      </c>
      <c r="T243">
        <v>3250</v>
      </c>
      <c r="U243">
        <v>0</v>
      </c>
      <c r="V243">
        <v>3250</v>
      </c>
    </row>
    <row r="244" spans="1:22" x14ac:dyDescent="0.3">
      <c r="A244">
        <v>79452</v>
      </c>
      <c r="B244">
        <v>455821998</v>
      </c>
      <c r="C244" t="s">
        <v>1932</v>
      </c>
      <c r="D244" s="9" t="s">
        <v>1933</v>
      </c>
      <c r="E244" t="s">
        <v>769</v>
      </c>
      <c r="F244" t="s">
        <v>770</v>
      </c>
      <c r="G244" t="s">
        <v>28</v>
      </c>
      <c r="H244" t="s">
        <v>29</v>
      </c>
      <c r="I244" t="s">
        <v>34</v>
      </c>
      <c r="J244" t="s">
        <v>30</v>
      </c>
      <c r="K244" t="s">
        <v>27</v>
      </c>
      <c r="L244" t="s">
        <v>1934</v>
      </c>
      <c r="M244" t="s">
        <v>1935</v>
      </c>
      <c r="N244" t="s">
        <v>773</v>
      </c>
      <c r="O244" t="s">
        <v>31</v>
      </c>
      <c r="P244" t="s">
        <v>1936</v>
      </c>
      <c r="Q244" t="s">
        <v>73</v>
      </c>
      <c r="R244" s="26" t="s">
        <v>1146</v>
      </c>
      <c r="S244">
        <v>1.5</v>
      </c>
      <c r="T244">
        <v>3653</v>
      </c>
      <c r="U244">
        <v>0</v>
      </c>
      <c r="V244">
        <v>3653</v>
      </c>
    </row>
    <row r="245" spans="1:22" x14ac:dyDescent="0.3">
      <c r="A245">
        <v>79452</v>
      </c>
      <c r="B245">
        <v>455821809</v>
      </c>
      <c r="C245" t="s">
        <v>1937</v>
      </c>
      <c r="D245" s="9" t="s">
        <v>1938</v>
      </c>
      <c r="E245" t="s">
        <v>769</v>
      </c>
      <c r="F245" t="s">
        <v>770</v>
      </c>
      <c r="G245" t="s">
        <v>28</v>
      </c>
      <c r="H245" t="s">
        <v>29</v>
      </c>
      <c r="I245" t="s">
        <v>34</v>
      </c>
      <c r="J245" t="s">
        <v>30</v>
      </c>
      <c r="K245" t="s">
        <v>27</v>
      </c>
      <c r="L245" t="s">
        <v>1939</v>
      </c>
      <c r="M245" t="s">
        <v>1940</v>
      </c>
      <c r="N245" t="s">
        <v>773</v>
      </c>
      <c r="O245" t="s">
        <v>31</v>
      </c>
      <c r="P245" t="s">
        <v>1941</v>
      </c>
      <c r="Q245" t="s">
        <v>201</v>
      </c>
      <c r="R245" s="26" t="s">
        <v>459</v>
      </c>
      <c r="S245">
        <v>1</v>
      </c>
      <c r="T245">
        <v>3250</v>
      </c>
      <c r="U245">
        <v>0</v>
      </c>
      <c r="V245">
        <v>3250</v>
      </c>
    </row>
    <row r="246" spans="1:22" x14ac:dyDescent="0.3">
      <c r="A246">
        <v>79452</v>
      </c>
      <c r="B246">
        <v>455821739</v>
      </c>
      <c r="C246" t="s">
        <v>1942</v>
      </c>
      <c r="D246" s="9" t="s">
        <v>1943</v>
      </c>
      <c r="E246" t="s">
        <v>769</v>
      </c>
      <c r="F246" t="s">
        <v>770</v>
      </c>
      <c r="G246" t="s">
        <v>28</v>
      </c>
      <c r="H246" t="s">
        <v>29</v>
      </c>
      <c r="I246" t="s">
        <v>34</v>
      </c>
      <c r="J246" t="s">
        <v>30</v>
      </c>
      <c r="K246" t="s">
        <v>27</v>
      </c>
      <c r="L246" t="s">
        <v>1944</v>
      </c>
      <c r="M246" t="s">
        <v>1945</v>
      </c>
      <c r="N246" t="s">
        <v>773</v>
      </c>
      <c r="O246" t="s">
        <v>31</v>
      </c>
      <c r="P246" t="s">
        <v>1946</v>
      </c>
      <c r="Q246" t="s">
        <v>81</v>
      </c>
      <c r="R246" s="26" t="s">
        <v>459</v>
      </c>
      <c r="S246">
        <v>1</v>
      </c>
      <c r="T246">
        <v>3935</v>
      </c>
      <c r="U246">
        <v>0</v>
      </c>
      <c r="V246">
        <v>3935</v>
      </c>
    </row>
    <row r="247" spans="1:22" x14ac:dyDescent="0.3">
      <c r="A247">
        <v>79452</v>
      </c>
      <c r="B247">
        <v>455821819</v>
      </c>
      <c r="C247" t="s">
        <v>1947</v>
      </c>
      <c r="D247" s="9" t="s">
        <v>1948</v>
      </c>
      <c r="E247" t="s">
        <v>769</v>
      </c>
      <c r="F247" t="s">
        <v>770</v>
      </c>
      <c r="G247" t="s">
        <v>28</v>
      </c>
      <c r="H247" t="s">
        <v>29</v>
      </c>
      <c r="I247" t="s">
        <v>34</v>
      </c>
      <c r="J247" t="s">
        <v>30</v>
      </c>
      <c r="K247" t="s">
        <v>27</v>
      </c>
      <c r="L247" t="s">
        <v>1949</v>
      </c>
      <c r="M247" t="s">
        <v>1950</v>
      </c>
      <c r="N247" t="s">
        <v>773</v>
      </c>
      <c r="O247" t="s">
        <v>31</v>
      </c>
      <c r="P247" t="s">
        <v>1951</v>
      </c>
      <c r="Q247" t="s">
        <v>65</v>
      </c>
      <c r="R247" s="26" t="s">
        <v>459</v>
      </c>
      <c r="S247">
        <v>1</v>
      </c>
      <c r="T247">
        <v>3631</v>
      </c>
      <c r="U247">
        <v>0</v>
      </c>
      <c r="V247">
        <v>3631</v>
      </c>
    </row>
    <row r="248" spans="1:22" x14ac:dyDescent="0.3">
      <c r="A248">
        <v>79452</v>
      </c>
      <c r="B248">
        <v>455821712</v>
      </c>
      <c r="C248" t="s">
        <v>1952</v>
      </c>
      <c r="D248" s="9" t="s">
        <v>1953</v>
      </c>
      <c r="E248" t="s">
        <v>769</v>
      </c>
      <c r="F248" t="s">
        <v>770</v>
      </c>
      <c r="G248" t="s">
        <v>28</v>
      </c>
      <c r="H248" t="s">
        <v>29</v>
      </c>
      <c r="I248" t="s">
        <v>34</v>
      </c>
      <c r="J248" t="s">
        <v>30</v>
      </c>
      <c r="K248" t="s">
        <v>27</v>
      </c>
      <c r="L248" t="s">
        <v>1954</v>
      </c>
      <c r="M248" t="s">
        <v>1955</v>
      </c>
      <c r="N248" t="s">
        <v>773</v>
      </c>
      <c r="O248" t="s">
        <v>31</v>
      </c>
      <c r="P248" t="s">
        <v>1956</v>
      </c>
      <c r="Q248" t="s">
        <v>80</v>
      </c>
      <c r="R248" s="26" t="s">
        <v>459</v>
      </c>
      <c r="S248">
        <v>1</v>
      </c>
      <c r="T248">
        <v>3250</v>
      </c>
      <c r="U248">
        <v>0</v>
      </c>
      <c r="V248">
        <v>3250</v>
      </c>
    </row>
    <row r="249" spans="1:22" x14ac:dyDescent="0.3">
      <c r="A249">
        <v>79452</v>
      </c>
      <c r="B249">
        <v>455821697</v>
      </c>
      <c r="C249" t="s">
        <v>1957</v>
      </c>
      <c r="D249" s="9" t="s">
        <v>1958</v>
      </c>
      <c r="E249" t="s">
        <v>769</v>
      </c>
      <c r="F249" t="s">
        <v>770</v>
      </c>
      <c r="G249" t="s">
        <v>28</v>
      </c>
      <c r="H249" t="s">
        <v>29</v>
      </c>
      <c r="I249" t="s">
        <v>34</v>
      </c>
      <c r="J249" t="s">
        <v>30</v>
      </c>
      <c r="K249" t="s">
        <v>27</v>
      </c>
      <c r="L249" t="s">
        <v>1959</v>
      </c>
      <c r="M249" t="s">
        <v>1960</v>
      </c>
      <c r="N249" t="s">
        <v>773</v>
      </c>
      <c r="O249" t="s">
        <v>31</v>
      </c>
      <c r="P249" t="s">
        <v>1961</v>
      </c>
      <c r="Q249" t="s">
        <v>84</v>
      </c>
      <c r="R249" s="26" t="s">
        <v>459</v>
      </c>
      <c r="S249">
        <v>1.4</v>
      </c>
      <c r="T249">
        <v>5564</v>
      </c>
      <c r="U249">
        <v>0</v>
      </c>
      <c r="V249">
        <v>5564</v>
      </c>
    </row>
    <row r="250" spans="1:22" x14ac:dyDescent="0.3">
      <c r="A250">
        <v>79452</v>
      </c>
      <c r="B250">
        <v>455821631</v>
      </c>
      <c r="C250" t="s">
        <v>1962</v>
      </c>
      <c r="D250" s="9" t="s">
        <v>1963</v>
      </c>
      <c r="E250" t="s">
        <v>769</v>
      </c>
      <c r="F250" t="s">
        <v>770</v>
      </c>
      <c r="G250" t="s">
        <v>28</v>
      </c>
      <c r="H250" t="s">
        <v>29</v>
      </c>
      <c r="I250" t="s">
        <v>34</v>
      </c>
      <c r="J250" t="s">
        <v>30</v>
      </c>
      <c r="K250" t="s">
        <v>27</v>
      </c>
      <c r="L250" t="s">
        <v>1964</v>
      </c>
      <c r="M250" t="s">
        <v>484</v>
      </c>
      <c r="N250" t="s">
        <v>773</v>
      </c>
      <c r="O250" t="s">
        <v>31</v>
      </c>
      <c r="P250" t="s">
        <v>1965</v>
      </c>
      <c r="Q250" t="s">
        <v>62</v>
      </c>
      <c r="R250" s="26" t="s">
        <v>459</v>
      </c>
      <c r="S250">
        <v>1.8</v>
      </c>
      <c r="T250">
        <v>3384</v>
      </c>
      <c r="U250">
        <v>0</v>
      </c>
      <c r="V250">
        <v>3384</v>
      </c>
    </row>
    <row r="251" spans="1:22" x14ac:dyDescent="0.3">
      <c r="A251">
        <v>79452</v>
      </c>
      <c r="B251">
        <v>455821997</v>
      </c>
      <c r="C251" t="s">
        <v>1966</v>
      </c>
      <c r="D251" s="9" t="s">
        <v>1967</v>
      </c>
      <c r="E251" t="s">
        <v>769</v>
      </c>
      <c r="F251" t="s">
        <v>770</v>
      </c>
      <c r="G251" t="s">
        <v>28</v>
      </c>
      <c r="H251" t="s">
        <v>29</v>
      </c>
      <c r="I251" t="s">
        <v>34</v>
      </c>
      <c r="J251" t="s">
        <v>30</v>
      </c>
      <c r="K251" t="s">
        <v>27</v>
      </c>
      <c r="L251" t="s">
        <v>1968</v>
      </c>
      <c r="M251" t="s">
        <v>1969</v>
      </c>
      <c r="N251" t="s">
        <v>773</v>
      </c>
      <c r="O251" t="s">
        <v>31</v>
      </c>
      <c r="P251" t="s">
        <v>1970</v>
      </c>
      <c r="Q251" t="s">
        <v>115</v>
      </c>
      <c r="R251" s="26" t="s">
        <v>1146</v>
      </c>
      <c r="S251">
        <v>1.7</v>
      </c>
      <c r="T251">
        <v>3250</v>
      </c>
      <c r="U251">
        <v>0</v>
      </c>
      <c r="V251">
        <v>3250</v>
      </c>
    </row>
    <row r="252" spans="1:22" x14ac:dyDescent="0.3">
      <c r="A252">
        <v>79452</v>
      </c>
      <c r="B252">
        <v>455821704</v>
      </c>
      <c r="C252" t="s">
        <v>1971</v>
      </c>
      <c r="D252" s="9" t="s">
        <v>1972</v>
      </c>
      <c r="E252" t="s">
        <v>769</v>
      </c>
      <c r="F252" t="s">
        <v>770</v>
      </c>
      <c r="G252" t="s">
        <v>28</v>
      </c>
      <c r="H252" t="s">
        <v>29</v>
      </c>
      <c r="I252" t="s">
        <v>34</v>
      </c>
      <c r="J252" t="s">
        <v>30</v>
      </c>
      <c r="K252" t="s">
        <v>27</v>
      </c>
      <c r="L252" t="s">
        <v>1973</v>
      </c>
      <c r="M252" t="s">
        <v>1974</v>
      </c>
      <c r="N252" t="s">
        <v>773</v>
      </c>
      <c r="O252" t="s">
        <v>31</v>
      </c>
      <c r="P252" t="s">
        <v>1975</v>
      </c>
      <c r="Q252" t="s">
        <v>72</v>
      </c>
      <c r="R252" s="26" t="s">
        <v>459</v>
      </c>
      <c r="S252">
        <v>1.8</v>
      </c>
      <c r="T252">
        <v>3653</v>
      </c>
      <c r="U252">
        <v>0</v>
      </c>
      <c r="V252">
        <v>3653</v>
      </c>
    </row>
    <row r="253" spans="1:22" x14ac:dyDescent="0.3">
      <c r="A253">
        <v>79452</v>
      </c>
      <c r="B253">
        <v>455821763</v>
      </c>
      <c r="C253" t="s">
        <v>1976</v>
      </c>
      <c r="D253" s="9" t="s">
        <v>1977</v>
      </c>
      <c r="E253" t="s">
        <v>769</v>
      </c>
      <c r="F253" t="s">
        <v>770</v>
      </c>
      <c r="G253" t="s">
        <v>28</v>
      </c>
      <c r="H253" t="s">
        <v>29</v>
      </c>
      <c r="I253" t="s">
        <v>34</v>
      </c>
      <c r="J253" t="s">
        <v>30</v>
      </c>
      <c r="K253" t="s">
        <v>27</v>
      </c>
      <c r="L253" t="s">
        <v>1036</v>
      </c>
      <c r="M253" t="s">
        <v>1037</v>
      </c>
      <c r="N253" t="s">
        <v>773</v>
      </c>
      <c r="O253" t="s">
        <v>31</v>
      </c>
      <c r="P253" t="s">
        <v>1038</v>
      </c>
      <c r="Q253" t="s">
        <v>97</v>
      </c>
      <c r="R253" s="26" t="s">
        <v>459</v>
      </c>
      <c r="S253">
        <v>1.2</v>
      </c>
      <c r="T253">
        <v>3631</v>
      </c>
      <c r="U253">
        <v>0</v>
      </c>
      <c r="V253">
        <v>3631</v>
      </c>
    </row>
    <row r="254" spans="1:22" x14ac:dyDescent="0.3">
      <c r="A254">
        <v>79452</v>
      </c>
      <c r="B254">
        <v>455822051</v>
      </c>
      <c r="C254" t="s">
        <v>1978</v>
      </c>
      <c r="D254" s="9" t="s">
        <v>1979</v>
      </c>
      <c r="E254" t="s">
        <v>769</v>
      </c>
      <c r="F254" t="s">
        <v>770</v>
      </c>
      <c r="G254" t="s">
        <v>28</v>
      </c>
      <c r="H254" t="s">
        <v>29</v>
      </c>
      <c r="I254" t="s">
        <v>34</v>
      </c>
      <c r="J254" t="s">
        <v>30</v>
      </c>
      <c r="K254" t="s">
        <v>27</v>
      </c>
      <c r="L254" t="s">
        <v>1980</v>
      </c>
      <c r="M254" t="s">
        <v>1981</v>
      </c>
      <c r="N254" t="s">
        <v>773</v>
      </c>
      <c r="O254" t="s">
        <v>31</v>
      </c>
      <c r="P254" t="s">
        <v>1982</v>
      </c>
      <c r="Q254" t="s">
        <v>120</v>
      </c>
      <c r="R254" s="26" t="s">
        <v>1146</v>
      </c>
      <c r="S254">
        <v>1</v>
      </c>
      <c r="T254">
        <v>5295</v>
      </c>
      <c r="U254">
        <v>0</v>
      </c>
      <c r="V254">
        <v>5295</v>
      </c>
    </row>
    <row r="255" spans="1:22" x14ac:dyDescent="0.3">
      <c r="A255">
        <v>79452</v>
      </c>
      <c r="B255">
        <v>455584776</v>
      </c>
      <c r="C255" t="s">
        <v>1983</v>
      </c>
      <c r="D255" s="9" t="s">
        <v>1984</v>
      </c>
      <c r="E255" t="s">
        <v>769</v>
      </c>
      <c r="F255" t="s">
        <v>770</v>
      </c>
      <c r="G255" t="s">
        <v>28</v>
      </c>
      <c r="H255" t="s">
        <v>29</v>
      </c>
      <c r="I255" t="s">
        <v>34</v>
      </c>
      <c r="J255" t="s">
        <v>30</v>
      </c>
      <c r="K255" t="s">
        <v>27</v>
      </c>
      <c r="L255" t="s">
        <v>1985</v>
      </c>
      <c r="M255" t="s">
        <v>1986</v>
      </c>
      <c r="N255" t="s">
        <v>773</v>
      </c>
      <c r="O255" t="s">
        <v>31</v>
      </c>
      <c r="P255" t="s">
        <v>1987</v>
      </c>
      <c r="Q255" t="s">
        <v>242</v>
      </c>
      <c r="R255" s="26" t="s">
        <v>317</v>
      </c>
      <c r="S255">
        <v>1</v>
      </c>
      <c r="T255">
        <v>3935</v>
      </c>
      <c r="U255">
        <v>0</v>
      </c>
      <c r="V255">
        <v>3935</v>
      </c>
    </row>
    <row r="256" spans="1:22" x14ac:dyDescent="0.3">
      <c r="A256">
        <v>79452</v>
      </c>
      <c r="B256">
        <v>455584576</v>
      </c>
      <c r="C256" t="s">
        <v>1988</v>
      </c>
      <c r="D256" s="9" t="s">
        <v>1989</v>
      </c>
      <c r="E256" t="s">
        <v>769</v>
      </c>
      <c r="F256" t="s">
        <v>770</v>
      </c>
      <c r="G256" t="s">
        <v>28</v>
      </c>
      <c r="H256" t="s">
        <v>29</v>
      </c>
      <c r="I256" t="s">
        <v>34</v>
      </c>
      <c r="J256" t="s">
        <v>30</v>
      </c>
      <c r="K256" t="s">
        <v>27</v>
      </c>
      <c r="L256" t="s">
        <v>1990</v>
      </c>
      <c r="M256" t="s">
        <v>1991</v>
      </c>
      <c r="N256" t="s">
        <v>773</v>
      </c>
      <c r="O256" t="s">
        <v>31</v>
      </c>
      <c r="P256" t="s">
        <v>1992</v>
      </c>
      <c r="Q256" t="s">
        <v>69</v>
      </c>
      <c r="R256" s="26" t="s">
        <v>262</v>
      </c>
      <c r="S256">
        <v>1</v>
      </c>
      <c r="T256">
        <v>3935</v>
      </c>
      <c r="U256">
        <v>0</v>
      </c>
      <c r="V256">
        <v>3935</v>
      </c>
    </row>
    <row r="257" spans="1:22" x14ac:dyDescent="0.3">
      <c r="A257">
        <v>79452</v>
      </c>
      <c r="B257">
        <v>455657073</v>
      </c>
      <c r="C257" t="s">
        <v>1993</v>
      </c>
      <c r="D257" s="9" t="s">
        <v>1994</v>
      </c>
      <c r="E257" t="s">
        <v>769</v>
      </c>
      <c r="F257" t="s">
        <v>770</v>
      </c>
      <c r="G257" t="s">
        <v>28</v>
      </c>
      <c r="H257" t="s">
        <v>29</v>
      </c>
      <c r="I257" t="s">
        <v>34</v>
      </c>
      <c r="J257" t="s">
        <v>30</v>
      </c>
      <c r="K257" t="s">
        <v>27</v>
      </c>
      <c r="L257" t="s">
        <v>1995</v>
      </c>
      <c r="M257" t="s">
        <v>643</v>
      </c>
      <c r="N257" t="s">
        <v>773</v>
      </c>
      <c r="O257" t="s">
        <v>31</v>
      </c>
      <c r="P257" t="s">
        <v>1996</v>
      </c>
      <c r="Q257" t="s">
        <v>88</v>
      </c>
      <c r="R257" s="26" t="s">
        <v>225</v>
      </c>
      <c r="S257">
        <v>1.8</v>
      </c>
      <c r="T257">
        <v>5024</v>
      </c>
      <c r="U257">
        <v>0</v>
      </c>
      <c r="V257">
        <v>5024</v>
      </c>
    </row>
    <row r="258" spans="1:22" x14ac:dyDescent="0.3">
      <c r="A258">
        <v>79452</v>
      </c>
      <c r="B258">
        <v>455584746</v>
      </c>
      <c r="C258" t="s">
        <v>1997</v>
      </c>
      <c r="D258" s="9" t="s">
        <v>1998</v>
      </c>
      <c r="E258" t="s">
        <v>769</v>
      </c>
      <c r="F258" t="s">
        <v>770</v>
      </c>
      <c r="G258" t="s">
        <v>28</v>
      </c>
      <c r="H258" t="s">
        <v>29</v>
      </c>
      <c r="I258" t="s">
        <v>34</v>
      </c>
      <c r="J258" t="s">
        <v>30</v>
      </c>
      <c r="K258" t="s">
        <v>27</v>
      </c>
      <c r="L258" t="s">
        <v>1999</v>
      </c>
      <c r="M258" t="s">
        <v>581</v>
      </c>
      <c r="N258" t="s">
        <v>773</v>
      </c>
      <c r="O258" t="s">
        <v>31</v>
      </c>
      <c r="P258" t="s">
        <v>2000</v>
      </c>
      <c r="Q258" t="s">
        <v>120</v>
      </c>
      <c r="R258" s="26" t="s">
        <v>262</v>
      </c>
      <c r="S258">
        <v>1</v>
      </c>
      <c r="T258">
        <v>5295</v>
      </c>
      <c r="U258">
        <v>0</v>
      </c>
      <c r="V258">
        <v>5295</v>
      </c>
    </row>
    <row r="259" spans="1:22" x14ac:dyDescent="0.3">
      <c r="A259">
        <v>79452</v>
      </c>
      <c r="B259">
        <v>455657040</v>
      </c>
      <c r="C259" t="s">
        <v>2001</v>
      </c>
      <c r="D259" s="9" t="s">
        <v>2002</v>
      </c>
      <c r="E259" t="s">
        <v>769</v>
      </c>
      <c r="F259" t="s">
        <v>770</v>
      </c>
      <c r="G259" t="s">
        <v>28</v>
      </c>
      <c r="H259" t="s">
        <v>29</v>
      </c>
      <c r="I259" t="s">
        <v>34</v>
      </c>
      <c r="J259" t="s">
        <v>30</v>
      </c>
      <c r="K259" t="s">
        <v>27</v>
      </c>
      <c r="L259" t="s">
        <v>2003</v>
      </c>
      <c r="M259" t="s">
        <v>407</v>
      </c>
      <c r="N259" t="s">
        <v>773</v>
      </c>
      <c r="O259" t="s">
        <v>31</v>
      </c>
      <c r="P259" t="s">
        <v>2004</v>
      </c>
      <c r="Q259" t="s">
        <v>88</v>
      </c>
      <c r="R259" s="26" t="s">
        <v>225</v>
      </c>
      <c r="S259">
        <v>1.7</v>
      </c>
      <c r="T259">
        <v>5024</v>
      </c>
      <c r="U259">
        <v>0</v>
      </c>
      <c r="V259">
        <v>5024</v>
      </c>
    </row>
    <row r="260" spans="1:22" x14ac:dyDescent="0.3">
      <c r="A260">
        <v>79452</v>
      </c>
      <c r="B260">
        <v>455821667</v>
      </c>
      <c r="C260" t="s">
        <v>2005</v>
      </c>
      <c r="D260" s="9" t="s">
        <v>2006</v>
      </c>
      <c r="E260" t="s">
        <v>769</v>
      </c>
      <c r="F260" t="s">
        <v>770</v>
      </c>
      <c r="G260" t="s">
        <v>28</v>
      </c>
      <c r="H260" t="s">
        <v>29</v>
      </c>
      <c r="I260" t="s">
        <v>34</v>
      </c>
      <c r="J260" t="s">
        <v>30</v>
      </c>
      <c r="K260" t="s">
        <v>27</v>
      </c>
      <c r="L260" t="s">
        <v>2007</v>
      </c>
      <c r="M260" t="s">
        <v>2008</v>
      </c>
      <c r="N260" t="s">
        <v>773</v>
      </c>
      <c r="O260" t="s">
        <v>31</v>
      </c>
      <c r="P260" t="s">
        <v>2009</v>
      </c>
      <c r="Q260" t="s">
        <v>68</v>
      </c>
      <c r="R260" s="26" t="s">
        <v>459</v>
      </c>
      <c r="S260">
        <v>1.6</v>
      </c>
      <c r="T260">
        <v>5564</v>
      </c>
      <c r="U260">
        <v>0</v>
      </c>
      <c r="V260">
        <v>5564</v>
      </c>
    </row>
    <row r="261" spans="1:22" x14ac:dyDescent="0.3">
      <c r="A261">
        <v>79452</v>
      </c>
      <c r="B261">
        <v>455584588</v>
      </c>
      <c r="C261" t="s">
        <v>2010</v>
      </c>
      <c r="D261" s="9" t="s">
        <v>2011</v>
      </c>
      <c r="E261" t="s">
        <v>769</v>
      </c>
      <c r="F261" t="s">
        <v>770</v>
      </c>
      <c r="G261" t="s">
        <v>28</v>
      </c>
      <c r="H261" t="s">
        <v>29</v>
      </c>
      <c r="I261" t="s">
        <v>34</v>
      </c>
      <c r="J261" t="s">
        <v>30</v>
      </c>
      <c r="K261" t="s">
        <v>27</v>
      </c>
      <c r="L261" t="s">
        <v>2012</v>
      </c>
      <c r="M261" t="s">
        <v>2013</v>
      </c>
      <c r="N261" t="s">
        <v>773</v>
      </c>
      <c r="O261" t="s">
        <v>31</v>
      </c>
      <c r="P261" t="s">
        <v>2014</v>
      </c>
      <c r="Q261" t="s">
        <v>88</v>
      </c>
      <c r="R261" s="26" t="s">
        <v>262</v>
      </c>
      <c r="S261">
        <v>1.5</v>
      </c>
      <c r="T261">
        <v>5024</v>
      </c>
      <c r="U261">
        <v>0</v>
      </c>
      <c r="V261">
        <v>5024</v>
      </c>
    </row>
    <row r="262" spans="1:22" x14ac:dyDescent="0.3">
      <c r="A262">
        <v>79452</v>
      </c>
      <c r="B262">
        <v>455821540</v>
      </c>
      <c r="C262" t="s">
        <v>2015</v>
      </c>
      <c r="D262" s="9" t="s">
        <v>2016</v>
      </c>
      <c r="E262" t="s">
        <v>769</v>
      </c>
      <c r="F262" t="s">
        <v>770</v>
      </c>
      <c r="G262" t="s">
        <v>28</v>
      </c>
      <c r="H262" t="s">
        <v>29</v>
      </c>
      <c r="I262" t="s">
        <v>34</v>
      </c>
      <c r="J262" t="s">
        <v>30</v>
      </c>
      <c r="K262" t="s">
        <v>27</v>
      </c>
      <c r="L262" t="s">
        <v>2017</v>
      </c>
      <c r="M262" t="s">
        <v>2018</v>
      </c>
      <c r="N262" t="s">
        <v>773</v>
      </c>
      <c r="O262" t="s">
        <v>31</v>
      </c>
      <c r="P262" t="s">
        <v>567</v>
      </c>
      <c r="Q262" t="s">
        <v>62</v>
      </c>
      <c r="R262" s="26" t="s">
        <v>282</v>
      </c>
      <c r="S262">
        <v>2.2000000000000002</v>
      </c>
      <c r="T262">
        <v>3384</v>
      </c>
      <c r="U262">
        <v>0</v>
      </c>
      <c r="V262">
        <v>3384</v>
      </c>
    </row>
    <row r="263" spans="1:22" x14ac:dyDescent="0.3">
      <c r="A263">
        <v>79452</v>
      </c>
      <c r="B263">
        <v>455656850</v>
      </c>
      <c r="C263" t="s">
        <v>2019</v>
      </c>
      <c r="D263" s="9" t="s">
        <v>2020</v>
      </c>
      <c r="E263" t="s">
        <v>769</v>
      </c>
      <c r="F263" t="s">
        <v>770</v>
      </c>
      <c r="G263" t="s">
        <v>28</v>
      </c>
      <c r="H263" t="s">
        <v>29</v>
      </c>
      <c r="I263" t="s">
        <v>34</v>
      </c>
      <c r="J263" t="s">
        <v>30</v>
      </c>
      <c r="K263" t="s">
        <v>27</v>
      </c>
      <c r="L263" t="s">
        <v>2021</v>
      </c>
      <c r="M263" t="s">
        <v>2022</v>
      </c>
      <c r="N263" t="s">
        <v>773</v>
      </c>
      <c r="O263" t="s">
        <v>31</v>
      </c>
      <c r="P263" t="s">
        <v>2023</v>
      </c>
      <c r="Q263" t="s">
        <v>88</v>
      </c>
      <c r="R263" s="26" t="s">
        <v>1157</v>
      </c>
      <c r="S263">
        <v>1.1000000000000001</v>
      </c>
      <c r="T263">
        <v>5024</v>
      </c>
      <c r="U263">
        <v>0</v>
      </c>
      <c r="V263">
        <v>5024</v>
      </c>
    </row>
    <row r="264" spans="1:22" x14ac:dyDescent="0.3">
      <c r="A264">
        <v>79452</v>
      </c>
      <c r="B264">
        <v>455821571</v>
      </c>
      <c r="C264" t="s">
        <v>2024</v>
      </c>
      <c r="D264" s="9" t="s">
        <v>2025</v>
      </c>
      <c r="E264" t="s">
        <v>769</v>
      </c>
      <c r="F264" t="s">
        <v>770</v>
      </c>
      <c r="G264" t="s">
        <v>28</v>
      </c>
      <c r="H264" t="s">
        <v>29</v>
      </c>
      <c r="I264" t="s">
        <v>34</v>
      </c>
      <c r="J264" t="s">
        <v>30</v>
      </c>
      <c r="K264" t="s">
        <v>27</v>
      </c>
      <c r="L264" t="s">
        <v>2026</v>
      </c>
      <c r="M264" t="s">
        <v>2027</v>
      </c>
      <c r="N264" t="s">
        <v>773</v>
      </c>
      <c r="O264" t="s">
        <v>31</v>
      </c>
      <c r="P264" t="s">
        <v>2028</v>
      </c>
      <c r="Q264" t="s">
        <v>84</v>
      </c>
      <c r="R264" s="26" t="s">
        <v>282</v>
      </c>
      <c r="S264">
        <v>1.7</v>
      </c>
      <c r="T264">
        <v>5564</v>
      </c>
      <c r="U264">
        <v>0</v>
      </c>
      <c r="V264">
        <v>5564</v>
      </c>
    </row>
    <row r="265" spans="1:22" x14ac:dyDescent="0.3">
      <c r="A265">
        <v>79452</v>
      </c>
      <c r="B265">
        <v>455822062</v>
      </c>
      <c r="C265" t="s">
        <v>2029</v>
      </c>
      <c r="D265" s="9" t="s">
        <v>2030</v>
      </c>
      <c r="E265" t="s">
        <v>769</v>
      </c>
      <c r="F265" t="s">
        <v>770</v>
      </c>
      <c r="G265" t="s">
        <v>28</v>
      </c>
      <c r="H265" t="s">
        <v>29</v>
      </c>
      <c r="I265" t="s">
        <v>34</v>
      </c>
      <c r="J265" t="s">
        <v>30</v>
      </c>
      <c r="K265" t="s">
        <v>27</v>
      </c>
      <c r="L265" t="s">
        <v>2031</v>
      </c>
      <c r="M265" t="s">
        <v>605</v>
      </c>
      <c r="N265" t="s">
        <v>773</v>
      </c>
      <c r="O265" t="s">
        <v>31</v>
      </c>
      <c r="P265" t="s">
        <v>2032</v>
      </c>
      <c r="Q265" t="s">
        <v>88</v>
      </c>
      <c r="R265" s="26" t="s">
        <v>1146</v>
      </c>
      <c r="S265">
        <v>2</v>
      </c>
      <c r="T265">
        <v>5024</v>
      </c>
      <c r="U265">
        <v>0</v>
      </c>
      <c r="V265">
        <v>5024</v>
      </c>
    </row>
    <row r="266" spans="1:22" x14ac:dyDescent="0.3">
      <c r="A266">
        <v>79452</v>
      </c>
      <c r="B266">
        <v>455656975</v>
      </c>
      <c r="C266" t="s">
        <v>2033</v>
      </c>
      <c r="D266" s="9" t="s">
        <v>2034</v>
      </c>
      <c r="E266" t="s">
        <v>769</v>
      </c>
      <c r="F266" t="s">
        <v>770</v>
      </c>
      <c r="G266" t="s">
        <v>28</v>
      </c>
      <c r="H266" t="s">
        <v>29</v>
      </c>
      <c r="I266" t="s">
        <v>34</v>
      </c>
      <c r="J266" t="s">
        <v>30</v>
      </c>
      <c r="K266" t="s">
        <v>27</v>
      </c>
      <c r="L266" t="s">
        <v>2035</v>
      </c>
      <c r="M266" t="s">
        <v>2036</v>
      </c>
      <c r="N266" t="s">
        <v>773</v>
      </c>
      <c r="O266" t="s">
        <v>31</v>
      </c>
      <c r="P266" t="s">
        <v>2037</v>
      </c>
      <c r="Q266" t="s">
        <v>192</v>
      </c>
      <c r="R266" s="26" t="s">
        <v>1157</v>
      </c>
      <c r="S266">
        <v>1.3</v>
      </c>
      <c r="T266">
        <v>3935</v>
      </c>
      <c r="U266">
        <v>0</v>
      </c>
      <c r="V266">
        <v>3935</v>
      </c>
    </row>
    <row r="267" spans="1:22" x14ac:dyDescent="0.3">
      <c r="A267">
        <v>79452</v>
      </c>
      <c r="B267">
        <v>455821701</v>
      </c>
      <c r="C267" t="s">
        <v>2038</v>
      </c>
      <c r="D267" s="9" t="s">
        <v>2039</v>
      </c>
      <c r="E267" t="s">
        <v>769</v>
      </c>
      <c r="F267" t="s">
        <v>770</v>
      </c>
      <c r="G267" t="s">
        <v>28</v>
      </c>
      <c r="H267" t="s">
        <v>29</v>
      </c>
      <c r="I267" t="s">
        <v>34</v>
      </c>
      <c r="J267" t="s">
        <v>30</v>
      </c>
      <c r="K267" t="s">
        <v>27</v>
      </c>
      <c r="L267" t="s">
        <v>2040</v>
      </c>
      <c r="M267" t="s">
        <v>2041</v>
      </c>
      <c r="N267" t="s">
        <v>773</v>
      </c>
      <c r="O267" t="s">
        <v>31</v>
      </c>
      <c r="P267" t="s">
        <v>2042</v>
      </c>
      <c r="Q267" t="s">
        <v>80</v>
      </c>
      <c r="R267" s="26" t="s">
        <v>459</v>
      </c>
      <c r="S267">
        <v>1.4</v>
      </c>
      <c r="T267">
        <v>3250</v>
      </c>
      <c r="U267">
        <v>0</v>
      </c>
      <c r="V267">
        <v>3250</v>
      </c>
    </row>
    <row r="268" spans="1:22" x14ac:dyDescent="0.3">
      <c r="A268">
        <v>79452</v>
      </c>
      <c r="B268">
        <v>455656899</v>
      </c>
      <c r="C268" t="s">
        <v>2043</v>
      </c>
      <c r="D268" s="9" t="s">
        <v>2044</v>
      </c>
      <c r="E268" t="s">
        <v>769</v>
      </c>
      <c r="F268" t="s">
        <v>770</v>
      </c>
      <c r="G268" t="s">
        <v>28</v>
      </c>
      <c r="H268" t="s">
        <v>29</v>
      </c>
      <c r="I268" t="s">
        <v>34</v>
      </c>
      <c r="J268" t="s">
        <v>30</v>
      </c>
      <c r="K268" t="s">
        <v>27</v>
      </c>
      <c r="L268" t="s">
        <v>2045</v>
      </c>
      <c r="M268" t="s">
        <v>2046</v>
      </c>
      <c r="N268" t="s">
        <v>773</v>
      </c>
      <c r="O268" t="s">
        <v>31</v>
      </c>
      <c r="P268" t="s">
        <v>2047</v>
      </c>
      <c r="Q268" t="s">
        <v>126</v>
      </c>
      <c r="R268" s="26" t="s">
        <v>1157</v>
      </c>
      <c r="S268">
        <v>1.4</v>
      </c>
      <c r="T268">
        <v>3737</v>
      </c>
      <c r="U268">
        <v>0</v>
      </c>
      <c r="V268">
        <v>3737</v>
      </c>
    </row>
    <row r="269" spans="1:22" x14ac:dyDescent="0.3">
      <c r="A269">
        <v>79452</v>
      </c>
      <c r="B269">
        <v>455584998</v>
      </c>
      <c r="C269" t="s">
        <v>2048</v>
      </c>
      <c r="D269" s="9" t="s">
        <v>2049</v>
      </c>
      <c r="E269" t="s">
        <v>769</v>
      </c>
      <c r="F269" t="s">
        <v>770</v>
      </c>
      <c r="G269" t="s">
        <v>28</v>
      </c>
      <c r="H269" t="s">
        <v>29</v>
      </c>
      <c r="I269" t="s">
        <v>34</v>
      </c>
      <c r="J269" t="s">
        <v>30</v>
      </c>
      <c r="K269" t="s">
        <v>27</v>
      </c>
      <c r="L269" t="s">
        <v>1331</v>
      </c>
      <c r="M269" t="s">
        <v>1332</v>
      </c>
      <c r="N269" t="s">
        <v>773</v>
      </c>
      <c r="O269" t="s">
        <v>31</v>
      </c>
      <c r="P269" t="s">
        <v>1333</v>
      </c>
      <c r="Q269" t="s">
        <v>69</v>
      </c>
      <c r="R269" s="26" t="s">
        <v>317</v>
      </c>
      <c r="S269">
        <v>2.5</v>
      </c>
      <c r="T269">
        <v>3935</v>
      </c>
      <c r="U269">
        <v>0</v>
      </c>
      <c r="V269">
        <v>3935</v>
      </c>
    </row>
    <row r="270" spans="1:22" x14ac:dyDescent="0.3">
      <c r="A270">
        <v>79452</v>
      </c>
      <c r="B270">
        <v>455584993</v>
      </c>
      <c r="C270" t="s">
        <v>2050</v>
      </c>
      <c r="D270" s="9" t="s">
        <v>2051</v>
      </c>
      <c r="E270" t="s">
        <v>769</v>
      </c>
      <c r="F270" t="s">
        <v>770</v>
      </c>
      <c r="G270" t="s">
        <v>28</v>
      </c>
      <c r="H270" t="s">
        <v>29</v>
      </c>
      <c r="I270" t="s">
        <v>34</v>
      </c>
      <c r="J270" t="s">
        <v>30</v>
      </c>
      <c r="K270" t="s">
        <v>27</v>
      </c>
      <c r="L270" t="s">
        <v>2052</v>
      </c>
      <c r="M270" t="s">
        <v>2053</v>
      </c>
      <c r="N270" t="s">
        <v>773</v>
      </c>
      <c r="O270" t="s">
        <v>31</v>
      </c>
      <c r="P270" t="s">
        <v>2054</v>
      </c>
      <c r="Q270" t="s">
        <v>81</v>
      </c>
      <c r="R270" s="26" t="s">
        <v>317</v>
      </c>
      <c r="S270">
        <v>1</v>
      </c>
      <c r="T270">
        <v>3935</v>
      </c>
      <c r="U270">
        <v>0</v>
      </c>
      <c r="V270">
        <v>3935</v>
      </c>
    </row>
    <row r="271" spans="1:22" x14ac:dyDescent="0.3">
      <c r="A271">
        <v>79452</v>
      </c>
      <c r="B271">
        <v>455657007</v>
      </c>
      <c r="C271" t="s">
        <v>2055</v>
      </c>
      <c r="D271" s="9" t="s">
        <v>2056</v>
      </c>
      <c r="E271" t="s">
        <v>769</v>
      </c>
      <c r="F271" t="s">
        <v>770</v>
      </c>
      <c r="G271" t="s">
        <v>28</v>
      </c>
      <c r="H271" t="s">
        <v>29</v>
      </c>
      <c r="I271" t="s">
        <v>34</v>
      </c>
      <c r="J271" t="s">
        <v>30</v>
      </c>
      <c r="K271" t="s">
        <v>27</v>
      </c>
      <c r="L271" t="s">
        <v>2057</v>
      </c>
      <c r="M271" t="s">
        <v>2058</v>
      </c>
      <c r="N271" t="s">
        <v>773</v>
      </c>
      <c r="O271" t="s">
        <v>31</v>
      </c>
      <c r="P271" t="s">
        <v>2059</v>
      </c>
      <c r="Q271" t="s">
        <v>85</v>
      </c>
      <c r="R271" s="26" t="s">
        <v>1157</v>
      </c>
      <c r="S271">
        <v>2.2000000000000002</v>
      </c>
      <c r="T271">
        <v>3631</v>
      </c>
      <c r="U271">
        <v>0</v>
      </c>
      <c r="V271">
        <v>3631</v>
      </c>
    </row>
    <row r="272" spans="1:22" x14ac:dyDescent="0.3">
      <c r="A272">
        <v>79452</v>
      </c>
      <c r="B272">
        <v>455821659</v>
      </c>
      <c r="C272" t="s">
        <v>2060</v>
      </c>
      <c r="D272" s="9" t="s">
        <v>2061</v>
      </c>
      <c r="E272" t="s">
        <v>769</v>
      </c>
      <c r="F272" t="s">
        <v>770</v>
      </c>
      <c r="G272" t="s">
        <v>28</v>
      </c>
      <c r="H272" t="s">
        <v>29</v>
      </c>
      <c r="I272" t="s">
        <v>34</v>
      </c>
      <c r="J272" t="s">
        <v>30</v>
      </c>
      <c r="K272" t="s">
        <v>27</v>
      </c>
      <c r="L272" t="s">
        <v>2062</v>
      </c>
      <c r="M272" t="s">
        <v>2063</v>
      </c>
      <c r="N272" t="s">
        <v>773</v>
      </c>
      <c r="O272" t="s">
        <v>31</v>
      </c>
      <c r="P272" t="s">
        <v>2064</v>
      </c>
      <c r="Q272" t="s">
        <v>73</v>
      </c>
      <c r="R272" s="26" t="s">
        <v>459</v>
      </c>
      <c r="S272">
        <v>1</v>
      </c>
      <c r="T272">
        <v>3653</v>
      </c>
      <c r="U272">
        <v>0</v>
      </c>
      <c r="V272">
        <v>3653</v>
      </c>
    </row>
    <row r="273" spans="1:22" x14ac:dyDescent="0.3">
      <c r="A273">
        <v>79452</v>
      </c>
      <c r="B273">
        <v>455821673</v>
      </c>
      <c r="C273" t="s">
        <v>2065</v>
      </c>
      <c r="D273" s="9" t="s">
        <v>2066</v>
      </c>
      <c r="E273" t="s">
        <v>769</v>
      </c>
      <c r="F273" t="s">
        <v>770</v>
      </c>
      <c r="G273" t="s">
        <v>28</v>
      </c>
      <c r="H273" t="s">
        <v>29</v>
      </c>
      <c r="I273" t="s">
        <v>34</v>
      </c>
      <c r="J273" t="s">
        <v>30</v>
      </c>
      <c r="K273" t="s">
        <v>27</v>
      </c>
      <c r="L273" t="s">
        <v>2067</v>
      </c>
      <c r="M273" t="s">
        <v>2063</v>
      </c>
      <c r="N273" t="s">
        <v>773</v>
      </c>
      <c r="O273" t="s">
        <v>31</v>
      </c>
      <c r="P273" t="s">
        <v>2064</v>
      </c>
      <c r="Q273" t="s">
        <v>73</v>
      </c>
      <c r="R273" s="26" t="s">
        <v>459</v>
      </c>
      <c r="S273">
        <v>1.7</v>
      </c>
      <c r="T273">
        <v>3653</v>
      </c>
      <c r="U273">
        <v>0</v>
      </c>
      <c r="V273">
        <v>3653</v>
      </c>
    </row>
    <row r="274" spans="1:22" x14ac:dyDescent="0.3">
      <c r="A274">
        <v>79452</v>
      </c>
      <c r="B274">
        <v>455584666</v>
      </c>
      <c r="C274" t="s">
        <v>2068</v>
      </c>
      <c r="D274" s="9" t="s">
        <v>2069</v>
      </c>
      <c r="E274" t="s">
        <v>769</v>
      </c>
      <c r="F274" t="s">
        <v>770</v>
      </c>
      <c r="G274" t="s">
        <v>28</v>
      </c>
      <c r="H274" t="s">
        <v>29</v>
      </c>
      <c r="I274" t="s">
        <v>34</v>
      </c>
      <c r="J274" t="s">
        <v>30</v>
      </c>
      <c r="K274" t="s">
        <v>27</v>
      </c>
      <c r="L274" t="s">
        <v>2070</v>
      </c>
      <c r="M274" t="s">
        <v>2071</v>
      </c>
      <c r="N274" t="s">
        <v>773</v>
      </c>
      <c r="O274" t="s">
        <v>31</v>
      </c>
      <c r="P274" t="s">
        <v>2072</v>
      </c>
      <c r="Q274" t="s">
        <v>99</v>
      </c>
      <c r="R274" s="26" t="s">
        <v>262</v>
      </c>
      <c r="S274">
        <v>1.9</v>
      </c>
      <c r="T274">
        <v>3250</v>
      </c>
      <c r="U274">
        <v>0</v>
      </c>
      <c r="V274">
        <v>3250</v>
      </c>
    </row>
    <row r="275" spans="1:22" x14ac:dyDescent="0.3">
      <c r="A275">
        <v>79452</v>
      </c>
      <c r="B275">
        <v>455657039</v>
      </c>
      <c r="C275" t="s">
        <v>2073</v>
      </c>
      <c r="D275" s="9" t="s">
        <v>2074</v>
      </c>
      <c r="E275" t="s">
        <v>769</v>
      </c>
      <c r="F275" t="s">
        <v>770</v>
      </c>
      <c r="G275" t="s">
        <v>28</v>
      </c>
      <c r="H275" t="s">
        <v>29</v>
      </c>
      <c r="I275" t="s">
        <v>34</v>
      </c>
      <c r="J275" t="s">
        <v>30</v>
      </c>
      <c r="K275" t="s">
        <v>27</v>
      </c>
      <c r="L275" t="s">
        <v>2075</v>
      </c>
      <c r="M275" t="s">
        <v>691</v>
      </c>
      <c r="N275" t="s">
        <v>773</v>
      </c>
      <c r="O275" t="s">
        <v>31</v>
      </c>
      <c r="P275" t="s">
        <v>2076</v>
      </c>
      <c r="Q275" t="s">
        <v>69</v>
      </c>
      <c r="R275" s="26" t="s">
        <v>225</v>
      </c>
      <c r="S275">
        <v>1</v>
      </c>
      <c r="T275">
        <v>3935</v>
      </c>
      <c r="U275">
        <v>0</v>
      </c>
      <c r="V275">
        <v>3935</v>
      </c>
    </row>
    <row r="276" spans="1:22" x14ac:dyDescent="0.3">
      <c r="A276">
        <v>79452</v>
      </c>
      <c r="B276">
        <v>455656958</v>
      </c>
      <c r="C276" t="s">
        <v>2077</v>
      </c>
      <c r="D276" s="9" t="s">
        <v>2078</v>
      </c>
      <c r="E276" t="s">
        <v>769</v>
      </c>
      <c r="F276" t="s">
        <v>770</v>
      </c>
      <c r="G276" t="s">
        <v>28</v>
      </c>
      <c r="H276" t="s">
        <v>29</v>
      </c>
      <c r="I276" t="s">
        <v>34</v>
      </c>
      <c r="J276" t="s">
        <v>30</v>
      </c>
      <c r="K276" t="s">
        <v>27</v>
      </c>
      <c r="L276" t="s">
        <v>2079</v>
      </c>
      <c r="M276" t="s">
        <v>2080</v>
      </c>
      <c r="N276" t="s">
        <v>773</v>
      </c>
      <c r="O276" t="s">
        <v>31</v>
      </c>
      <c r="P276" t="s">
        <v>2081</v>
      </c>
      <c r="Q276" t="s">
        <v>109</v>
      </c>
      <c r="R276" s="26" t="s">
        <v>1157</v>
      </c>
      <c r="S276">
        <v>1</v>
      </c>
      <c r="T276">
        <v>3250</v>
      </c>
      <c r="U276">
        <v>0</v>
      </c>
      <c r="V276">
        <v>3250</v>
      </c>
    </row>
    <row r="277" spans="1:22" x14ac:dyDescent="0.3">
      <c r="A277">
        <v>79452</v>
      </c>
      <c r="B277">
        <v>455822089</v>
      </c>
      <c r="C277" t="s">
        <v>2082</v>
      </c>
      <c r="D277" s="9" t="s">
        <v>2083</v>
      </c>
      <c r="E277" t="s">
        <v>769</v>
      </c>
      <c r="F277" t="s">
        <v>770</v>
      </c>
      <c r="G277" t="s">
        <v>28</v>
      </c>
      <c r="H277" t="s">
        <v>29</v>
      </c>
      <c r="I277" t="s">
        <v>34</v>
      </c>
      <c r="J277" t="s">
        <v>30</v>
      </c>
      <c r="K277" t="s">
        <v>27</v>
      </c>
      <c r="L277" t="s">
        <v>2084</v>
      </c>
      <c r="M277" t="s">
        <v>2085</v>
      </c>
      <c r="N277" t="s">
        <v>773</v>
      </c>
      <c r="O277" t="s">
        <v>31</v>
      </c>
      <c r="P277" t="s">
        <v>2086</v>
      </c>
      <c r="Q277" t="s">
        <v>119</v>
      </c>
      <c r="R277" s="26" t="s">
        <v>1146</v>
      </c>
      <c r="S277">
        <v>1.5</v>
      </c>
      <c r="T277">
        <v>4205</v>
      </c>
      <c r="U277">
        <v>0</v>
      </c>
      <c r="V277">
        <v>4205</v>
      </c>
    </row>
    <row r="278" spans="1:22" x14ac:dyDescent="0.3">
      <c r="A278">
        <v>79452</v>
      </c>
      <c r="B278">
        <v>455584583</v>
      </c>
      <c r="C278" t="s">
        <v>2087</v>
      </c>
      <c r="D278" s="9" t="s">
        <v>2088</v>
      </c>
      <c r="E278" t="s">
        <v>769</v>
      </c>
      <c r="F278" t="s">
        <v>770</v>
      </c>
      <c r="G278" t="s">
        <v>28</v>
      </c>
      <c r="H278" t="s">
        <v>29</v>
      </c>
      <c r="I278" t="s">
        <v>34</v>
      </c>
      <c r="J278" t="s">
        <v>30</v>
      </c>
      <c r="K278" t="s">
        <v>27</v>
      </c>
      <c r="L278" t="s">
        <v>2089</v>
      </c>
      <c r="M278" t="s">
        <v>2090</v>
      </c>
      <c r="N278" t="s">
        <v>773</v>
      </c>
      <c r="O278" t="s">
        <v>31</v>
      </c>
      <c r="P278" t="s">
        <v>2091</v>
      </c>
      <c r="Q278" t="s">
        <v>69</v>
      </c>
      <c r="R278" s="26" t="s">
        <v>262</v>
      </c>
      <c r="S278">
        <v>2</v>
      </c>
      <c r="T278">
        <v>3935</v>
      </c>
      <c r="U278">
        <v>0</v>
      </c>
      <c r="V278">
        <v>3935</v>
      </c>
    </row>
    <row r="279" spans="1:22" x14ac:dyDescent="0.3">
      <c r="A279">
        <v>79452</v>
      </c>
      <c r="B279">
        <v>455656991</v>
      </c>
      <c r="C279" t="s">
        <v>2092</v>
      </c>
      <c r="D279" s="9" t="s">
        <v>2093</v>
      </c>
      <c r="E279" t="s">
        <v>769</v>
      </c>
      <c r="F279" t="s">
        <v>770</v>
      </c>
      <c r="G279" t="s">
        <v>28</v>
      </c>
      <c r="H279" t="s">
        <v>29</v>
      </c>
      <c r="I279" t="s">
        <v>34</v>
      </c>
      <c r="J279" t="s">
        <v>30</v>
      </c>
      <c r="K279" t="s">
        <v>27</v>
      </c>
      <c r="L279" t="s">
        <v>2094</v>
      </c>
      <c r="M279" t="s">
        <v>2095</v>
      </c>
      <c r="N279" t="s">
        <v>773</v>
      </c>
      <c r="O279" t="s">
        <v>31</v>
      </c>
      <c r="P279" t="s">
        <v>2096</v>
      </c>
      <c r="Q279" t="s">
        <v>67</v>
      </c>
      <c r="R279" s="26" t="s">
        <v>1157</v>
      </c>
      <c r="S279">
        <v>1</v>
      </c>
      <c r="T279">
        <v>3384</v>
      </c>
      <c r="U279">
        <v>0</v>
      </c>
      <c r="V279">
        <v>3384</v>
      </c>
    </row>
    <row r="280" spans="1:22" x14ac:dyDescent="0.3">
      <c r="A280">
        <v>79452</v>
      </c>
      <c r="B280">
        <v>455493216</v>
      </c>
      <c r="C280" t="s">
        <v>2097</v>
      </c>
      <c r="D280" s="9" t="s">
        <v>2098</v>
      </c>
      <c r="E280" t="s">
        <v>769</v>
      </c>
      <c r="F280" t="s">
        <v>770</v>
      </c>
      <c r="G280" t="s">
        <v>28</v>
      </c>
      <c r="H280" t="s">
        <v>29</v>
      </c>
      <c r="I280" t="s">
        <v>34</v>
      </c>
      <c r="J280" t="s">
        <v>30</v>
      </c>
      <c r="K280" t="s">
        <v>27</v>
      </c>
      <c r="L280" t="s">
        <v>2099</v>
      </c>
      <c r="M280" t="s">
        <v>2100</v>
      </c>
      <c r="N280" t="s">
        <v>773</v>
      </c>
      <c r="O280" t="s">
        <v>31</v>
      </c>
      <c r="P280" t="s">
        <v>2101</v>
      </c>
      <c r="Q280" t="s">
        <v>88</v>
      </c>
      <c r="R280" s="26" t="s">
        <v>284</v>
      </c>
      <c r="S280">
        <v>1</v>
      </c>
      <c r="T280">
        <v>5024</v>
      </c>
      <c r="U280">
        <v>0</v>
      </c>
      <c r="V280">
        <v>5024</v>
      </c>
    </row>
    <row r="281" spans="1:22" x14ac:dyDescent="0.3">
      <c r="A281">
        <v>79452</v>
      </c>
      <c r="B281">
        <v>455584959</v>
      </c>
      <c r="C281" t="s">
        <v>2102</v>
      </c>
      <c r="D281" s="9" t="s">
        <v>2103</v>
      </c>
      <c r="E281" t="s">
        <v>769</v>
      </c>
      <c r="F281" t="s">
        <v>770</v>
      </c>
      <c r="G281" t="s">
        <v>28</v>
      </c>
      <c r="H281" t="s">
        <v>29</v>
      </c>
      <c r="I281" t="s">
        <v>34</v>
      </c>
      <c r="J281" t="s">
        <v>30</v>
      </c>
      <c r="K281" t="s">
        <v>27</v>
      </c>
      <c r="L281" t="s">
        <v>2104</v>
      </c>
      <c r="M281" t="s">
        <v>2105</v>
      </c>
      <c r="N281" t="s">
        <v>773</v>
      </c>
      <c r="O281" t="s">
        <v>31</v>
      </c>
      <c r="P281" t="s">
        <v>2106</v>
      </c>
      <c r="Q281" t="s">
        <v>171</v>
      </c>
      <c r="R281" s="26" t="s">
        <v>317</v>
      </c>
      <c r="S281">
        <v>1.7</v>
      </c>
      <c r="T281">
        <v>3250</v>
      </c>
      <c r="U281">
        <v>0</v>
      </c>
      <c r="V281">
        <v>3250</v>
      </c>
    </row>
    <row r="282" spans="1:22" x14ac:dyDescent="0.3">
      <c r="A282">
        <v>79452</v>
      </c>
      <c r="B282">
        <v>455657086</v>
      </c>
      <c r="C282" t="s">
        <v>2107</v>
      </c>
      <c r="D282" s="9" t="s">
        <v>2108</v>
      </c>
      <c r="E282" t="s">
        <v>769</v>
      </c>
      <c r="F282" t="s">
        <v>770</v>
      </c>
      <c r="G282" t="s">
        <v>28</v>
      </c>
      <c r="H282" t="s">
        <v>29</v>
      </c>
      <c r="I282" t="s">
        <v>34</v>
      </c>
      <c r="J282" t="s">
        <v>30</v>
      </c>
      <c r="K282" t="s">
        <v>27</v>
      </c>
      <c r="L282" t="s">
        <v>2109</v>
      </c>
      <c r="M282" t="s">
        <v>593</v>
      </c>
      <c r="N282" t="s">
        <v>773</v>
      </c>
      <c r="O282" t="s">
        <v>31</v>
      </c>
      <c r="P282" t="s">
        <v>2110</v>
      </c>
      <c r="Q282" t="s">
        <v>143</v>
      </c>
      <c r="R282" s="26" t="s">
        <v>225</v>
      </c>
      <c r="S282">
        <v>1</v>
      </c>
      <c r="T282">
        <v>3250</v>
      </c>
      <c r="U282">
        <v>0</v>
      </c>
      <c r="V282">
        <v>3250</v>
      </c>
    </row>
    <row r="283" spans="1:22" x14ac:dyDescent="0.3">
      <c r="A283">
        <v>79452</v>
      </c>
      <c r="B283">
        <v>455584518</v>
      </c>
      <c r="C283" t="s">
        <v>2111</v>
      </c>
      <c r="D283" s="9" t="s">
        <v>2112</v>
      </c>
      <c r="E283" t="s">
        <v>769</v>
      </c>
      <c r="F283" t="s">
        <v>770</v>
      </c>
      <c r="G283" t="s">
        <v>28</v>
      </c>
      <c r="H283" t="s">
        <v>29</v>
      </c>
      <c r="I283" t="s">
        <v>34</v>
      </c>
      <c r="J283" t="s">
        <v>30</v>
      </c>
      <c r="K283" t="s">
        <v>27</v>
      </c>
      <c r="L283" t="s">
        <v>2113</v>
      </c>
      <c r="M283" t="s">
        <v>2114</v>
      </c>
      <c r="N283" t="s">
        <v>773</v>
      </c>
      <c r="O283" t="s">
        <v>31</v>
      </c>
      <c r="P283" t="s">
        <v>2115</v>
      </c>
      <c r="Q283" t="s">
        <v>108</v>
      </c>
      <c r="R283" s="26" t="s">
        <v>262</v>
      </c>
      <c r="S283">
        <v>1.7</v>
      </c>
      <c r="T283">
        <v>3250</v>
      </c>
      <c r="U283">
        <v>0</v>
      </c>
      <c r="V283">
        <v>3250</v>
      </c>
    </row>
    <row r="284" spans="1:22" x14ac:dyDescent="0.3">
      <c r="A284">
        <v>79452</v>
      </c>
      <c r="B284">
        <v>455493149</v>
      </c>
      <c r="C284" t="s">
        <v>2116</v>
      </c>
      <c r="D284" s="9" t="s">
        <v>2117</v>
      </c>
      <c r="E284" t="s">
        <v>769</v>
      </c>
      <c r="F284" t="s">
        <v>770</v>
      </c>
      <c r="G284" t="s">
        <v>28</v>
      </c>
      <c r="H284" t="s">
        <v>29</v>
      </c>
      <c r="I284" t="s">
        <v>34</v>
      </c>
      <c r="J284" t="s">
        <v>30</v>
      </c>
      <c r="K284" t="s">
        <v>27</v>
      </c>
      <c r="L284" t="s">
        <v>2118</v>
      </c>
      <c r="M284" t="s">
        <v>680</v>
      </c>
      <c r="N284" t="s">
        <v>773</v>
      </c>
      <c r="O284" t="s">
        <v>31</v>
      </c>
      <c r="P284" t="s">
        <v>1404</v>
      </c>
      <c r="Q284" t="s">
        <v>88</v>
      </c>
      <c r="R284" s="26" t="s">
        <v>454</v>
      </c>
      <c r="S284">
        <v>1</v>
      </c>
      <c r="T284">
        <v>5024</v>
      </c>
      <c r="U284">
        <v>0</v>
      </c>
      <c r="V284">
        <v>5024</v>
      </c>
    </row>
    <row r="285" spans="1:22" x14ac:dyDescent="0.3">
      <c r="A285">
        <v>79452</v>
      </c>
      <c r="B285">
        <v>455584694</v>
      </c>
      <c r="C285" t="s">
        <v>2119</v>
      </c>
      <c r="D285" s="9" t="s">
        <v>2120</v>
      </c>
      <c r="E285" t="s">
        <v>769</v>
      </c>
      <c r="F285" t="s">
        <v>770</v>
      </c>
      <c r="G285" t="s">
        <v>28</v>
      </c>
      <c r="H285" t="s">
        <v>29</v>
      </c>
      <c r="I285" t="s">
        <v>34</v>
      </c>
      <c r="J285" t="s">
        <v>30</v>
      </c>
      <c r="K285" t="s">
        <v>27</v>
      </c>
      <c r="L285" t="s">
        <v>2121</v>
      </c>
      <c r="M285" t="s">
        <v>553</v>
      </c>
      <c r="N285" t="s">
        <v>773</v>
      </c>
      <c r="O285" t="s">
        <v>31</v>
      </c>
      <c r="P285" t="s">
        <v>2122</v>
      </c>
      <c r="Q285" t="s">
        <v>162</v>
      </c>
      <c r="R285" s="26" t="s">
        <v>262</v>
      </c>
      <c r="S285">
        <v>1.7</v>
      </c>
      <c r="T285">
        <v>3737</v>
      </c>
      <c r="U285">
        <v>0</v>
      </c>
      <c r="V285">
        <v>3737</v>
      </c>
    </row>
    <row r="286" spans="1:22" x14ac:dyDescent="0.3">
      <c r="A286">
        <v>79452</v>
      </c>
      <c r="B286">
        <v>455584929</v>
      </c>
      <c r="C286" t="s">
        <v>2123</v>
      </c>
      <c r="D286" s="9" t="s">
        <v>2124</v>
      </c>
      <c r="E286" t="s">
        <v>769</v>
      </c>
      <c r="F286" t="s">
        <v>770</v>
      </c>
      <c r="G286" t="s">
        <v>28</v>
      </c>
      <c r="H286" t="s">
        <v>29</v>
      </c>
      <c r="I286" t="s">
        <v>34</v>
      </c>
      <c r="J286" t="s">
        <v>30</v>
      </c>
      <c r="K286" t="s">
        <v>27</v>
      </c>
      <c r="L286" t="s">
        <v>2125</v>
      </c>
      <c r="M286" t="s">
        <v>2126</v>
      </c>
      <c r="N286" t="s">
        <v>773</v>
      </c>
      <c r="O286" t="s">
        <v>31</v>
      </c>
      <c r="P286" t="s">
        <v>2127</v>
      </c>
      <c r="Q286" t="s">
        <v>73</v>
      </c>
      <c r="R286" s="26" t="s">
        <v>317</v>
      </c>
      <c r="S286">
        <v>1</v>
      </c>
      <c r="T286">
        <v>3653</v>
      </c>
      <c r="U286">
        <v>0</v>
      </c>
      <c r="V286">
        <v>3653</v>
      </c>
    </row>
    <row r="287" spans="1:22" x14ac:dyDescent="0.3">
      <c r="A287">
        <v>79452</v>
      </c>
      <c r="B287">
        <v>455519582</v>
      </c>
      <c r="C287" t="s">
        <v>2128</v>
      </c>
      <c r="D287" s="9" t="s">
        <v>2129</v>
      </c>
      <c r="E287" t="s">
        <v>769</v>
      </c>
      <c r="F287" t="s">
        <v>770</v>
      </c>
      <c r="G287" t="s">
        <v>28</v>
      </c>
      <c r="H287" t="s">
        <v>29</v>
      </c>
      <c r="I287" t="s">
        <v>34</v>
      </c>
      <c r="J287" t="s">
        <v>30</v>
      </c>
      <c r="K287" t="s">
        <v>27</v>
      </c>
      <c r="L287" t="s">
        <v>2130</v>
      </c>
      <c r="M287" t="s">
        <v>2131</v>
      </c>
      <c r="N287" t="s">
        <v>773</v>
      </c>
      <c r="O287" t="s">
        <v>31</v>
      </c>
      <c r="P287" t="s">
        <v>2132</v>
      </c>
      <c r="Q287" t="s">
        <v>88</v>
      </c>
      <c r="R287" s="26" t="s">
        <v>306</v>
      </c>
      <c r="S287">
        <v>1.6</v>
      </c>
      <c r="T287">
        <v>5024</v>
      </c>
      <c r="U287">
        <v>0</v>
      </c>
      <c r="V287">
        <v>5024</v>
      </c>
    </row>
    <row r="288" spans="1:22" x14ac:dyDescent="0.3">
      <c r="A288">
        <v>79452</v>
      </c>
      <c r="B288">
        <v>455493179</v>
      </c>
      <c r="C288" t="s">
        <v>2133</v>
      </c>
      <c r="D288" s="9" t="s">
        <v>2134</v>
      </c>
      <c r="E288" t="s">
        <v>769</v>
      </c>
      <c r="F288" t="s">
        <v>770</v>
      </c>
      <c r="G288" t="s">
        <v>28</v>
      </c>
      <c r="H288" t="s">
        <v>29</v>
      </c>
      <c r="I288" t="s">
        <v>34</v>
      </c>
      <c r="J288" t="s">
        <v>30</v>
      </c>
      <c r="K288" t="s">
        <v>27</v>
      </c>
      <c r="L288" t="s">
        <v>2135</v>
      </c>
      <c r="M288" t="s">
        <v>587</v>
      </c>
      <c r="N288" t="s">
        <v>773</v>
      </c>
      <c r="O288" t="s">
        <v>31</v>
      </c>
      <c r="P288" t="s">
        <v>2136</v>
      </c>
      <c r="Q288" t="s">
        <v>88</v>
      </c>
      <c r="R288" s="26" t="s">
        <v>367</v>
      </c>
      <c r="S288">
        <v>1.3</v>
      </c>
      <c r="T288">
        <v>5024</v>
      </c>
      <c r="U288">
        <v>0</v>
      </c>
      <c r="V288">
        <v>5024</v>
      </c>
    </row>
    <row r="289" spans="1:22" x14ac:dyDescent="0.3">
      <c r="A289">
        <v>79452</v>
      </c>
      <c r="B289">
        <v>455584907</v>
      </c>
      <c r="C289" t="s">
        <v>2137</v>
      </c>
      <c r="D289" s="9" t="s">
        <v>2138</v>
      </c>
      <c r="E289" t="s">
        <v>769</v>
      </c>
      <c r="F289" t="s">
        <v>770</v>
      </c>
      <c r="G289" t="s">
        <v>28</v>
      </c>
      <c r="H289" t="s">
        <v>29</v>
      </c>
      <c r="I289" t="s">
        <v>34</v>
      </c>
      <c r="J289" t="s">
        <v>30</v>
      </c>
      <c r="K289" t="s">
        <v>27</v>
      </c>
      <c r="L289" t="s">
        <v>2139</v>
      </c>
      <c r="M289" t="s">
        <v>2140</v>
      </c>
      <c r="N289" t="s">
        <v>773</v>
      </c>
      <c r="O289" t="s">
        <v>31</v>
      </c>
      <c r="P289" t="s">
        <v>2141</v>
      </c>
      <c r="Q289" t="s">
        <v>68</v>
      </c>
      <c r="R289" s="26" t="s">
        <v>317</v>
      </c>
      <c r="S289">
        <v>1.9</v>
      </c>
      <c r="T289">
        <v>5564</v>
      </c>
      <c r="U289">
        <v>0</v>
      </c>
      <c r="V289">
        <v>5564</v>
      </c>
    </row>
    <row r="290" spans="1:22" x14ac:dyDescent="0.3">
      <c r="A290">
        <v>79452</v>
      </c>
      <c r="B290">
        <v>455584793</v>
      </c>
      <c r="C290" t="s">
        <v>2142</v>
      </c>
      <c r="D290" s="9" t="s">
        <v>2143</v>
      </c>
      <c r="E290" t="s">
        <v>769</v>
      </c>
      <c r="F290" t="s">
        <v>770</v>
      </c>
      <c r="G290" t="s">
        <v>28</v>
      </c>
      <c r="H290" t="s">
        <v>29</v>
      </c>
      <c r="I290" t="s">
        <v>34</v>
      </c>
      <c r="J290" t="s">
        <v>30</v>
      </c>
      <c r="K290" t="s">
        <v>27</v>
      </c>
      <c r="L290" t="s">
        <v>2144</v>
      </c>
      <c r="M290" t="s">
        <v>708</v>
      </c>
      <c r="N290" t="s">
        <v>773</v>
      </c>
      <c r="O290" t="s">
        <v>31</v>
      </c>
      <c r="P290" t="s">
        <v>2145</v>
      </c>
      <c r="Q290" t="s">
        <v>61</v>
      </c>
      <c r="R290" s="26" t="s">
        <v>317</v>
      </c>
      <c r="S290">
        <v>1</v>
      </c>
      <c r="T290">
        <v>3631</v>
      </c>
      <c r="U290">
        <v>0</v>
      </c>
      <c r="V290">
        <v>3631</v>
      </c>
    </row>
    <row r="291" spans="1:22" x14ac:dyDescent="0.3">
      <c r="A291">
        <v>79452</v>
      </c>
      <c r="B291">
        <v>455519583</v>
      </c>
      <c r="C291" t="s">
        <v>2146</v>
      </c>
      <c r="D291" s="9" t="s">
        <v>2147</v>
      </c>
      <c r="E291" t="s">
        <v>769</v>
      </c>
      <c r="F291" t="s">
        <v>770</v>
      </c>
      <c r="G291" t="s">
        <v>28</v>
      </c>
      <c r="H291" t="s">
        <v>29</v>
      </c>
      <c r="I291" t="s">
        <v>34</v>
      </c>
      <c r="J291" t="s">
        <v>30</v>
      </c>
      <c r="K291" t="s">
        <v>27</v>
      </c>
      <c r="L291" t="s">
        <v>2148</v>
      </c>
      <c r="M291" t="s">
        <v>2149</v>
      </c>
      <c r="N291" t="s">
        <v>773</v>
      </c>
      <c r="O291" t="s">
        <v>31</v>
      </c>
      <c r="P291" t="s">
        <v>2150</v>
      </c>
      <c r="Q291" t="s">
        <v>68</v>
      </c>
      <c r="R291" s="26" t="s">
        <v>306</v>
      </c>
      <c r="S291">
        <v>1</v>
      </c>
      <c r="T291">
        <v>5564</v>
      </c>
      <c r="U291">
        <v>0</v>
      </c>
      <c r="V291">
        <v>5564</v>
      </c>
    </row>
    <row r="292" spans="1:22" x14ac:dyDescent="0.3">
      <c r="A292">
        <v>79452</v>
      </c>
      <c r="B292">
        <v>455656961</v>
      </c>
      <c r="C292" t="s">
        <v>2151</v>
      </c>
      <c r="D292" s="9" t="s">
        <v>2152</v>
      </c>
      <c r="E292" t="s">
        <v>769</v>
      </c>
      <c r="F292" t="s">
        <v>770</v>
      </c>
      <c r="G292" t="s">
        <v>28</v>
      </c>
      <c r="H292" t="s">
        <v>29</v>
      </c>
      <c r="I292" t="s">
        <v>34</v>
      </c>
      <c r="J292" t="s">
        <v>30</v>
      </c>
      <c r="K292" t="s">
        <v>27</v>
      </c>
      <c r="L292" t="s">
        <v>2153</v>
      </c>
      <c r="M292" t="s">
        <v>613</v>
      </c>
      <c r="N292" t="s">
        <v>773</v>
      </c>
      <c r="O292" t="s">
        <v>31</v>
      </c>
      <c r="P292" t="s">
        <v>2154</v>
      </c>
      <c r="Q292" t="s">
        <v>103</v>
      </c>
      <c r="R292" s="26" t="s">
        <v>1157</v>
      </c>
      <c r="S292">
        <v>1.8</v>
      </c>
      <c r="T292">
        <v>3737</v>
      </c>
      <c r="U292">
        <v>0</v>
      </c>
      <c r="V292">
        <v>3737</v>
      </c>
    </row>
    <row r="293" spans="1:22" x14ac:dyDescent="0.3">
      <c r="A293">
        <v>79452</v>
      </c>
      <c r="B293">
        <v>455584723</v>
      </c>
      <c r="C293" t="s">
        <v>2155</v>
      </c>
      <c r="D293" s="9" t="s">
        <v>2156</v>
      </c>
      <c r="E293" t="s">
        <v>769</v>
      </c>
      <c r="F293" t="s">
        <v>770</v>
      </c>
      <c r="G293" t="s">
        <v>28</v>
      </c>
      <c r="H293" t="s">
        <v>29</v>
      </c>
      <c r="I293" t="s">
        <v>34</v>
      </c>
      <c r="J293" t="s">
        <v>30</v>
      </c>
      <c r="K293" t="s">
        <v>27</v>
      </c>
      <c r="L293" t="s">
        <v>2157</v>
      </c>
      <c r="M293" t="s">
        <v>2158</v>
      </c>
      <c r="N293" t="s">
        <v>773</v>
      </c>
      <c r="O293" t="s">
        <v>31</v>
      </c>
      <c r="P293" t="s">
        <v>2159</v>
      </c>
      <c r="Q293" t="s">
        <v>125</v>
      </c>
      <c r="R293" s="26" t="s">
        <v>262</v>
      </c>
      <c r="S293">
        <v>1</v>
      </c>
      <c r="T293">
        <v>3653</v>
      </c>
      <c r="U293">
        <v>0</v>
      </c>
      <c r="V293">
        <v>3653</v>
      </c>
    </row>
    <row r="294" spans="1:22" x14ac:dyDescent="0.3">
      <c r="A294">
        <v>79452</v>
      </c>
      <c r="B294">
        <v>455656931</v>
      </c>
      <c r="C294" t="s">
        <v>2160</v>
      </c>
      <c r="D294" s="9" t="s">
        <v>2161</v>
      </c>
      <c r="E294" t="s">
        <v>769</v>
      </c>
      <c r="F294" t="s">
        <v>770</v>
      </c>
      <c r="G294" t="s">
        <v>28</v>
      </c>
      <c r="H294" t="s">
        <v>29</v>
      </c>
      <c r="I294" t="s">
        <v>34</v>
      </c>
      <c r="J294" t="s">
        <v>30</v>
      </c>
      <c r="K294" t="s">
        <v>27</v>
      </c>
      <c r="L294" t="s">
        <v>2162</v>
      </c>
      <c r="M294" t="s">
        <v>2163</v>
      </c>
      <c r="N294" t="s">
        <v>773</v>
      </c>
      <c r="O294" t="s">
        <v>31</v>
      </c>
      <c r="P294" t="s">
        <v>2164</v>
      </c>
      <c r="Q294" t="s">
        <v>143</v>
      </c>
      <c r="R294" s="26" t="s">
        <v>1157</v>
      </c>
      <c r="S294">
        <v>0.9</v>
      </c>
      <c r="T294">
        <v>3250</v>
      </c>
      <c r="U294">
        <v>0</v>
      </c>
      <c r="V294">
        <v>3250</v>
      </c>
    </row>
    <row r="295" spans="1:22" x14ac:dyDescent="0.3">
      <c r="A295">
        <v>79452</v>
      </c>
      <c r="B295">
        <v>455822090</v>
      </c>
      <c r="C295" t="s">
        <v>2165</v>
      </c>
      <c r="D295" s="9" t="s">
        <v>2166</v>
      </c>
      <c r="E295" t="s">
        <v>769</v>
      </c>
      <c r="F295" t="s">
        <v>770</v>
      </c>
      <c r="G295" t="s">
        <v>28</v>
      </c>
      <c r="H295" t="s">
        <v>29</v>
      </c>
      <c r="I295" t="s">
        <v>34</v>
      </c>
      <c r="J295" t="s">
        <v>30</v>
      </c>
      <c r="K295" t="s">
        <v>27</v>
      </c>
      <c r="L295" t="s">
        <v>2167</v>
      </c>
      <c r="M295" t="s">
        <v>2168</v>
      </c>
      <c r="N295" t="s">
        <v>773</v>
      </c>
      <c r="O295" t="s">
        <v>31</v>
      </c>
      <c r="P295" t="s">
        <v>2169</v>
      </c>
      <c r="Q295" t="s">
        <v>109</v>
      </c>
      <c r="R295" s="26" t="s">
        <v>1146</v>
      </c>
      <c r="S295">
        <v>1.2</v>
      </c>
      <c r="T295">
        <v>3250</v>
      </c>
      <c r="U295">
        <v>0</v>
      </c>
      <c r="V295">
        <v>3250</v>
      </c>
    </row>
    <row r="296" spans="1:22" x14ac:dyDescent="0.3">
      <c r="A296">
        <v>79452</v>
      </c>
      <c r="B296">
        <v>455584720</v>
      </c>
      <c r="C296" t="s">
        <v>2170</v>
      </c>
      <c r="D296" s="9" t="s">
        <v>2171</v>
      </c>
      <c r="E296" t="s">
        <v>769</v>
      </c>
      <c r="F296" t="s">
        <v>770</v>
      </c>
      <c r="G296" t="s">
        <v>28</v>
      </c>
      <c r="H296" t="s">
        <v>29</v>
      </c>
      <c r="I296" t="s">
        <v>34</v>
      </c>
      <c r="J296" t="s">
        <v>30</v>
      </c>
      <c r="K296" t="s">
        <v>27</v>
      </c>
      <c r="L296" t="s">
        <v>2172</v>
      </c>
      <c r="M296" t="s">
        <v>2173</v>
      </c>
      <c r="N296" t="s">
        <v>773</v>
      </c>
      <c r="O296" t="s">
        <v>31</v>
      </c>
      <c r="P296" t="s">
        <v>2174</v>
      </c>
      <c r="Q296" t="s">
        <v>85</v>
      </c>
      <c r="R296" s="26" t="s">
        <v>262</v>
      </c>
      <c r="S296">
        <v>2.2999999999999998</v>
      </c>
      <c r="T296">
        <v>3631</v>
      </c>
      <c r="U296">
        <v>0</v>
      </c>
      <c r="V296">
        <v>3631</v>
      </c>
    </row>
    <row r="297" spans="1:22" x14ac:dyDescent="0.3">
      <c r="A297">
        <v>79452</v>
      </c>
      <c r="B297">
        <v>455584759</v>
      </c>
      <c r="C297" t="s">
        <v>2175</v>
      </c>
      <c r="D297" s="9" t="s">
        <v>2176</v>
      </c>
      <c r="E297" t="s">
        <v>769</v>
      </c>
      <c r="F297" t="s">
        <v>770</v>
      </c>
      <c r="G297" t="s">
        <v>28</v>
      </c>
      <c r="H297" t="s">
        <v>29</v>
      </c>
      <c r="I297" t="s">
        <v>34</v>
      </c>
      <c r="J297" t="s">
        <v>30</v>
      </c>
      <c r="K297" t="s">
        <v>27</v>
      </c>
      <c r="L297" t="s">
        <v>2177</v>
      </c>
      <c r="M297" t="s">
        <v>611</v>
      </c>
      <c r="N297" t="s">
        <v>773</v>
      </c>
      <c r="O297" t="s">
        <v>31</v>
      </c>
      <c r="P297" t="s">
        <v>2178</v>
      </c>
      <c r="Q297" t="s">
        <v>42</v>
      </c>
      <c r="R297" s="26" t="s">
        <v>262</v>
      </c>
      <c r="S297">
        <v>1</v>
      </c>
      <c r="T297">
        <v>3631</v>
      </c>
      <c r="U297">
        <v>0</v>
      </c>
      <c r="V297">
        <v>3631</v>
      </c>
    </row>
    <row r="298" spans="1:22" x14ac:dyDescent="0.3">
      <c r="A298">
        <v>79452</v>
      </c>
      <c r="B298">
        <v>455821640</v>
      </c>
      <c r="C298" t="s">
        <v>2179</v>
      </c>
      <c r="D298" s="9" t="s">
        <v>2180</v>
      </c>
      <c r="E298" t="s">
        <v>769</v>
      </c>
      <c r="F298" t="s">
        <v>770</v>
      </c>
      <c r="G298" t="s">
        <v>28</v>
      </c>
      <c r="H298" t="s">
        <v>29</v>
      </c>
      <c r="I298" t="s">
        <v>34</v>
      </c>
      <c r="J298" t="s">
        <v>30</v>
      </c>
      <c r="K298" t="s">
        <v>27</v>
      </c>
      <c r="L298" t="s">
        <v>2181</v>
      </c>
      <c r="M298" t="s">
        <v>2182</v>
      </c>
      <c r="N298" t="s">
        <v>773</v>
      </c>
      <c r="O298" t="s">
        <v>31</v>
      </c>
      <c r="P298" t="s">
        <v>2183</v>
      </c>
      <c r="Q298" t="s">
        <v>67</v>
      </c>
      <c r="R298" s="26" t="s">
        <v>459</v>
      </c>
      <c r="S298">
        <v>1.1000000000000001</v>
      </c>
      <c r="T298">
        <v>3384</v>
      </c>
      <c r="U298">
        <v>0</v>
      </c>
      <c r="V298">
        <v>3384</v>
      </c>
    </row>
    <row r="299" spans="1:22" x14ac:dyDescent="0.3">
      <c r="A299">
        <v>79452</v>
      </c>
      <c r="B299">
        <v>455519560</v>
      </c>
      <c r="C299" t="s">
        <v>2184</v>
      </c>
      <c r="D299" s="9" t="s">
        <v>2185</v>
      </c>
      <c r="E299" t="s">
        <v>769</v>
      </c>
      <c r="F299" t="s">
        <v>770</v>
      </c>
      <c r="G299" t="s">
        <v>28</v>
      </c>
      <c r="H299" t="s">
        <v>29</v>
      </c>
      <c r="I299" t="s">
        <v>34</v>
      </c>
      <c r="J299" t="s">
        <v>30</v>
      </c>
      <c r="K299" t="s">
        <v>27</v>
      </c>
      <c r="L299" t="s">
        <v>2186</v>
      </c>
      <c r="M299" t="s">
        <v>649</v>
      </c>
      <c r="N299" t="s">
        <v>773</v>
      </c>
      <c r="O299" t="s">
        <v>31</v>
      </c>
      <c r="P299" t="s">
        <v>2187</v>
      </c>
      <c r="Q299" t="s">
        <v>120</v>
      </c>
      <c r="R299" s="26" t="s">
        <v>306</v>
      </c>
      <c r="S299">
        <v>1</v>
      </c>
      <c r="T299">
        <v>5295</v>
      </c>
      <c r="U299">
        <v>0</v>
      </c>
      <c r="V299">
        <v>5295</v>
      </c>
    </row>
    <row r="300" spans="1:22" x14ac:dyDescent="0.3">
      <c r="A300">
        <v>79452</v>
      </c>
      <c r="B300">
        <v>455584948</v>
      </c>
      <c r="C300" t="s">
        <v>2188</v>
      </c>
      <c r="D300" s="9" t="s">
        <v>2189</v>
      </c>
      <c r="E300" t="s">
        <v>769</v>
      </c>
      <c r="F300" t="s">
        <v>770</v>
      </c>
      <c r="G300" t="s">
        <v>28</v>
      </c>
      <c r="H300" t="s">
        <v>29</v>
      </c>
      <c r="I300" t="s">
        <v>34</v>
      </c>
      <c r="J300" t="s">
        <v>30</v>
      </c>
      <c r="K300" t="s">
        <v>27</v>
      </c>
      <c r="L300" t="s">
        <v>2190</v>
      </c>
      <c r="M300" t="s">
        <v>2191</v>
      </c>
      <c r="N300" t="s">
        <v>773</v>
      </c>
      <c r="O300" t="s">
        <v>31</v>
      </c>
      <c r="P300" t="s">
        <v>2192</v>
      </c>
      <c r="Q300" t="s">
        <v>125</v>
      </c>
      <c r="R300" s="26" t="s">
        <v>317</v>
      </c>
      <c r="S300">
        <v>1.3</v>
      </c>
      <c r="T300">
        <v>3653</v>
      </c>
      <c r="U300">
        <v>0</v>
      </c>
      <c r="V300">
        <v>3653</v>
      </c>
    </row>
    <row r="301" spans="1:22" x14ac:dyDescent="0.3">
      <c r="A301">
        <v>79452</v>
      </c>
      <c r="B301">
        <v>455493148</v>
      </c>
      <c r="C301" t="s">
        <v>2193</v>
      </c>
      <c r="D301" s="9" t="s">
        <v>2194</v>
      </c>
      <c r="E301" t="s">
        <v>769</v>
      </c>
      <c r="F301" t="s">
        <v>770</v>
      </c>
      <c r="G301" t="s">
        <v>28</v>
      </c>
      <c r="H301" t="s">
        <v>29</v>
      </c>
      <c r="I301" t="s">
        <v>34</v>
      </c>
      <c r="J301" t="s">
        <v>30</v>
      </c>
      <c r="K301" t="s">
        <v>27</v>
      </c>
      <c r="L301" t="s">
        <v>2195</v>
      </c>
      <c r="M301" t="s">
        <v>2196</v>
      </c>
      <c r="N301" t="s">
        <v>773</v>
      </c>
      <c r="O301" t="s">
        <v>31</v>
      </c>
      <c r="P301" t="s">
        <v>2197</v>
      </c>
      <c r="Q301" t="s">
        <v>154</v>
      </c>
      <c r="R301" s="26" t="s">
        <v>454</v>
      </c>
      <c r="S301">
        <v>1.1000000000000001</v>
      </c>
      <c r="T301">
        <v>4205</v>
      </c>
      <c r="U301">
        <v>0</v>
      </c>
      <c r="V301">
        <v>4205</v>
      </c>
    </row>
    <row r="302" spans="1:22" x14ac:dyDescent="0.3">
      <c r="A302">
        <v>79452</v>
      </c>
      <c r="B302">
        <v>455519412</v>
      </c>
      <c r="C302" t="s">
        <v>2198</v>
      </c>
      <c r="D302" s="9" t="s">
        <v>2199</v>
      </c>
      <c r="E302" t="s">
        <v>769</v>
      </c>
      <c r="F302" t="s">
        <v>770</v>
      </c>
      <c r="G302" t="s">
        <v>28</v>
      </c>
      <c r="H302" t="s">
        <v>29</v>
      </c>
      <c r="I302" t="s">
        <v>34</v>
      </c>
      <c r="J302" t="s">
        <v>30</v>
      </c>
      <c r="K302" t="s">
        <v>27</v>
      </c>
      <c r="L302" t="s">
        <v>2200</v>
      </c>
      <c r="M302" t="s">
        <v>2201</v>
      </c>
      <c r="N302" t="s">
        <v>773</v>
      </c>
      <c r="O302" t="s">
        <v>31</v>
      </c>
      <c r="P302" t="s">
        <v>2202</v>
      </c>
      <c r="Q302" t="s">
        <v>68</v>
      </c>
      <c r="R302" s="26" t="s">
        <v>715</v>
      </c>
      <c r="S302">
        <v>1.7</v>
      </c>
      <c r="T302">
        <v>5564</v>
      </c>
      <c r="U302">
        <v>0</v>
      </c>
      <c r="V302">
        <v>5564</v>
      </c>
    </row>
    <row r="303" spans="1:22" x14ac:dyDescent="0.3">
      <c r="A303">
        <v>79452</v>
      </c>
      <c r="B303">
        <v>455584712</v>
      </c>
      <c r="C303" t="s">
        <v>2203</v>
      </c>
      <c r="D303" s="9" t="s">
        <v>2204</v>
      </c>
      <c r="E303" t="s">
        <v>769</v>
      </c>
      <c r="F303" t="s">
        <v>770</v>
      </c>
      <c r="G303" t="s">
        <v>28</v>
      </c>
      <c r="H303" t="s">
        <v>29</v>
      </c>
      <c r="I303" t="s">
        <v>34</v>
      </c>
      <c r="J303" t="s">
        <v>30</v>
      </c>
      <c r="K303" t="s">
        <v>27</v>
      </c>
      <c r="L303" t="s">
        <v>2205</v>
      </c>
      <c r="M303" t="s">
        <v>2206</v>
      </c>
      <c r="N303" t="s">
        <v>773</v>
      </c>
      <c r="O303" t="s">
        <v>31</v>
      </c>
      <c r="P303" t="s">
        <v>2207</v>
      </c>
      <c r="Q303" t="s">
        <v>250</v>
      </c>
      <c r="R303" s="26" t="s">
        <v>262</v>
      </c>
      <c r="S303">
        <v>2.4</v>
      </c>
      <c r="T303">
        <v>3631</v>
      </c>
      <c r="U303">
        <v>0</v>
      </c>
      <c r="V303">
        <v>3631</v>
      </c>
    </row>
    <row r="304" spans="1:22" x14ac:dyDescent="0.3">
      <c r="A304">
        <v>79452</v>
      </c>
      <c r="B304">
        <v>455519447</v>
      </c>
      <c r="C304" t="s">
        <v>2208</v>
      </c>
      <c r="D304" s="9" t="s">
        <v>2209</v>
      </c>
      <c r="E304" t="s">
        <v>769</v>
      </c>
      <c r="F304" t="s">
        <v>770</v>
      </c>
      <c r="G304" t="s">
        <v>28</v>
      </c>
      <c r="H304" t="s">
        <v>29</v>
      </c>
      <c r="I304" t="s">
        <v>34</v>
      </c>
      <c r="J304" t="s">
        <v>30</v>
      </c>
      <c r="K304" t="s">
        <v>27</v>
      </c>
      <c r="L304" t="s">
        <v>2210</v>
      </c>
      <c r="M304" t="s">
        <v>1981</v>
      </c>
      <c r="N304" t="s">
        <v>773</v>
      </c>
      <c r="O304" t="s">
        <v>31</v>
      </c>
      <c r="P304" t="s">
        <v>1982</v>
      </c>
      <c r="Q304" t="s">
        <v>120</v>
      </c>
      <c r="R304" s="26" t="s">
        <v>715</v>
      </c>
      <c r="S304">
        <v>1.5</v>
      </c>
      <c r="T304">
        <v>5295</v>
      </c>
      <c r="U304">
        <v>0</v>
      </c>
      <c r="V304">
        <v>5295</v>
      </c>
    </row>
    <row r="305" spans="1:22" x14ac:dyDescent="0.3">
      <c r="A305">
        <v>79452</v>
      </c>
      <c r="B305">
        <v>455519519</v>
      </c>
      <c r="C305" t="s">
        <v>2211</v>
      </c>
      <c r="D305" s="9" t="s">
        <v>2212</v>
      </c>
      <c r="E305" t="s">
        <v>769</v>
      </c>
      <c r="F305" t="s">
        <v>770</v>
      </c>
      <c r="G305" t="s">
        <v>28</v>
      </c>
      <c r="H305" t="s">
        <v>29</v>
      </c>
      <c r="I305" t="s">
        <v>34</v>
      </c>
      <c r="J305" t="s">
        <v>30</v>
      </c>
      <c r="K305" t="s">
        <v>27</v>
      </c>
      <c r="L305" t="s">
        <v>2213</v>
      </c>
      <c r="M305" t="s">
        <v>2214</v>
      </c>
      <c r="N305" t="s">
        <v>773</v>
      </c>
      <c r="O305" t="s">
        <v>31</v>
      </c>
      <c r="P305" t="s">
        <v>2215</v>
      </c>
      <c r="Q305" t="s">
        <v>68</v>
      </c>
      <c r="R305" s="26" t="s">
        <v>715</v>
      </c>
      <c r="S305">
        <v>1</v>
      </c>
      <c r="T305">
        <v>5564</v>
      </c>
      <c r="U305">
        <v>0</v>
      </c>
      <c r="V305">
        <v>5564</v>
      </c>
    </row>
    <row r="306" spans="1:22" x14ac:dyDescent="0.3">
      <c r="A306">
        <v>79452</v>
      </c>
      <c r="B306">
        <v>455396102</v>
      </c>
      <c r="C306" t="s">
        <v>2216</v>
      </c>
      <c r="D306" s="9" t="s">
        <v>2217</v>
      </c>
      <c r="E306" t="s">
        <v>769</v>
      </c>
      <c r="F306" t="s">
        <v>770</v>
      </c>
      <c r="G306" t="s">
        <v>28</v>
      </c>
      <c r="H306" t="s">
        <v>29</v>
      </c>
      <c r="I306" t="s">
        <v>34</v>
      </c>
      <c r="J306" t="s">
        <v>30</v>
      </c>
      <c r="K306" t="s">
        <v>27</v>
      </c>
      <c r="L306" t="s">
        <v>2218</v>
      </c>
      <c r="M306" t="s">
        <v>2219</v>
      </c>
      <c r="N306" t="s">
        <v>773</v>
      </c>
      <c r="O306" t="s">
        <v>31</v>
      </c>
      <c r="P306" t="s">
        <v>2220</v>
      </c>
      <c r="Q306" t="s">
        <v>84</v>
      </c>
      <c r="R306" s="26" t="s">
        <v>2221</v>
      </c>
      <c r="S306">
        <v>1</v>
      </c>
      <c r="T306">
        <v>5564</v>
      </c>
      <c r="U306">
        <v>0</v>
      </c>
      <c r="V306">
        <v>5564</v>
      </c>
    </row>
    <row r="307" spans="1:22" x14ac:dyDescent="0.3">
      <c r="A307">
        <v>79452</v>
      </c>
      <c r="B307">
        <v>455519546</v>
      </c>
      <c r="C307" t="s">
        <v>2222</v>
      </c>
      <c r="D307" s="9" t="s">
        <v>2223</v>
      </c>
      <c r="E307" t="s">
        <v>769</v>
      </c>
      <c r="F307" t="s">
        <v>770</v>
      </c>
      <c r="G307" t="s">
        <v>28</v>
      </c>
      <c r="H307" t="s">
        <v>29</v>
      </c>
      <c r="I307" t="s">
        <v>34</v>
      </c>
      <c r="J307" t="s">
        <v>30</v>
      </c>
      <c r="K307" t="s">
        <v>27</v>
      </c>
      <c r="L307" t="s">
        <v>2224</v>
      </c>
      <c r="M307" t="s">
        <v>2225</v>
      </c>
      <c r="N307" t="s">
        <v>773</v>
      </c>
      <c r="O307" t="s">
        <v>31</v>
      </c>
      <c r="P307" t="s">
        <v>2226</v>
      </c>
      <c r="Q307" t="s">
        <v>42</v>
      </c>
      <c r="R307" s="26" t="s">
        <v>306</v>
      </c>
      <c r="S307">
        <v>1.5</v>
      </c>
      <c r="T307">
        <v>3631</v>
      </c>
      <c r="U307">
        <v>0</v>
      </c>
      <c r="V307">
        <v>3631</v>
      </c>
    </row>
    <row r="308" spans="1:22" x14ac:dyDescent="0.3">
      <c r="A308">
        <v>79452</v>
      </c>
      <c r="B308">
        <v>455415448</v>
      </c>
      <c r="C308" t="s">
        <v>2227</v>
      </c>
      <c r="D308" s="9" t="s">
        <v>2228</v>
      </c>
      <c r="E308" t="s">
        <v>769</v>
      </c>
      <c r="F308" t="s">
        <v>770</v>
      </c>
      <c r="G308" t="s">
        <v>28</v>
      </c>
      <c r="H308" t="s">
        <v>29</v>
      </c>
      <c r="I308" t="s">
        <v>34</v>
      </c>
      <c r="J308" t="s">
        <v>30</v>
      </c>
      <c r="K308" t="s">
        <v>27</v>
      </c>
      <c r="L308" t="s">
        <v>2229</v>
      </c>
      <c r="M308" t="s">
        <v>2230</v>
      </c>
      <c r="N308" t="s">
        <v>773</v>
      </c>
      <c r="O308" t="s">
        <v>31</v>
      </c>
      <c r="P308" t="s">
        <v>2231</v>
      </c>
      <c r="Q308" t="s">
        <v>88</v>
      </c>
      <c r="R308" s="26" t="s">
        <v>2232</v>
      </c>
      <c r="S308">
        <v>1</v>
      </c>
      <c r="T308">
        <v>5024</v>
      </c>
      <c r="U308">
        <v>0</v>
      </c>
      <c r="V308">
        <v>5024</v>
      </c>
    </row>
    <row r="309" spans="1:22" x14ac:dyDescent="0.3">
      <c r="A309">
        <v>79452</v>
      </c>
      <c r="B309">
        <v>455493178</v>
      </c>
      <c r="C309" t="s">
        <v>2233</v>
      </c>
      <c r="D309" s="9" t="s">
        <v>2234</v>
      </c>
      <c r="E309" t="s">
        <v>769</v>
      </c>
      <c r="F309" t="s">
        <v>770</v>
      </c>
      <c r="G309" t="s">
        <v>28</v>
      </c>
      <c r="H309" t="s">
        <v>29</v>
      </c>
      <c r="I309" t="s">
        <v>34</v>
      </c>
      <c r="J309" t="s">
        <v>30</v>
      </c>
      <c r="K309" t="s">
        <v>27</v>
      </c>
      <c r="L309" t="s">
        <v>2235</v>
      </c>
      <c r="M309" t="s">
        <v>2236</v>
      </c>
      <c r="N309" t="s">
        <v>773</v>
      </c>
      <c r="O309" t="s">
        <v>31</v>
      </c>
      <c r="P309" t="s">
        <v>2237</v>
      </c>
      <c r="Q309" t="s">
        <v>171</v>
      </c>
      <c r="R309" s="26" t="s">
        <v>367</v>
      </c>
      <c r="S309">
        <v>1.8</v>
      </c>
      <c r="T309">
        <v>3250</v>
      </c>
      <c r="U309">
        <v>0</v>
      </c>
      <c r="V309">
        <v>3250</v>
      </c>
    </row>
    <row r="310" spans="1:22" x14ac:dyDescent="0.3">
      <c r="A310">
        <v>79452</v>
      </c>
      <c r="B310">
        <v>455519459</v>
      </c>
      <c r="C310" t="s">
        <v>2238</v>
      </c>
      <c r="D310" s="9" t="s">
        <v>2239</v>
      </c>
      <c r="E310" t="s">
        <v>769</v>
      </c>
      <c r="F310" t="s">
        <v>770</v>
      </c>
      <c r="G310" t="s">
        <v>28</v>
      </c>
      <c r="H310" t="s">
        <v>29</v>
      </c>
      <c r="I310" t="s">
        <v>34</v>
      </c>
      <c r="J310" t="s">
        <v>30</v>
      </c>
      <c r="K310" t="s">
        <v>27</v>
      </c>
      <c r="L310" t="s">
        <v>2240</v>
      </c>
      <c r="M310" t="s">
        <v>2241</v>
      </c>
      <c r="N310" t="s">
        <v>773</v>
      </c>
      <c r="O310" t="s">
        <v>31</v>
      </c>
      <c r="P310" t="s">
        <v>2242</v>
      </c>
      <c r="Q310" t="s">
        <v>81</v>
      </c>
      <c r="R310" s="26" t="s">
        <v>715</v>
      </c>
      <c r="S310">
        <v>1.7</v>
      </c>
      <c r="T310">
        <v>3935</v>
      </c>
      <c r="U310">
        <v>0</v>
      </c>
      <c r="V310">
        <v>3935</v>
      </c>
    </row>
    <row r="311" spans="1:22" x14ac:dyDescent="0.3">
      <c r="A311">
        <v>79452</v>
      </c>
      <c r="B311">
        <v>455493174</v>
      </c>
      <c r="C311" t="s">
        <v>2243</v>
      </c>
      <c r="D311" s="9" t="s">
        <v>2244</v>
      </c>
      <c r="E311" t="s">
        <v>769</v>
      </c>
      <c r="F311" t="s">
        <v>770</v>
      </c>
      <c r="G311" t="s">
        <v>28</v>
      </c>
      <c r="H311" t="s">
        <v>29</v>
      </c>
      <c r="I311" t="s">
        <v>34</v>
      </c>
      <c r="J311" t="s">
        <v>30</v>
      </c>
      <c r="K311" t="s">
        <v>27</v>
      </c>
      <c r="L311" t="s">
        <v>2245</v>
      </c>
      <c r="M311" t="s">
        <v>2246</v>
      </c>
      <c r="N311" t="s">
        <v>773</v>
      </c>
      <c r="O311" t="s">
        <v>31</v>
      </c>
      <c r="P311" t="s">
        <v>2247</v>
      </c>
      <c r="Q311" t="s">
        <v>73</v>
      </c>
      <c r="R311" s="26" t="s">
        <v>367</v>
      </c>
      <c r="S311">
        <v>1.9</v>
      </c>
      <c r="T311">
        <v>3653</v>
      </c>
      <c r="U311">
        <v>0</v>
      </c>
      <c r="V311">
        <v>3653</v>
      </c>
    </row>
    <row r="312" spans="1:22" x14ac:dyDescent="0.3">
      <c r="A312">
        <v>79452</v>
      </c>
      <c r="B312">
        <v>455519486</v>
      </c>
      <c r="C312" t="s">
        <v>2248</v>
      </c>
      <c r="D312" s="9" t="s">
        <v>2249</v>
      </c>
      <c r="E312" t="s">
        <v>769</v>
      </c>
      <c r="F312" t="s">
        <v>770</v>
      </c>
      <c r="G312" t="s">
        <v>28</v>
      </c>
      <c r="H312" t="s">
        <v>29</v>
      </c>
      <c r="I312" t="s">
        <v>34</v>
      </c>
      <c r="J312" t="s">
        <v>30</v>
      </c>
      <c r="K312" t="s">
        <v>27</v>
      </c>
      <c r="L312" t="s">
        <v>200</v>
      </c>
      <c r="M312" t="s">
        <v>731</v>
      </c>
      <c r="N312" t="s">
        <v>773</v>
      </c>
      <c r="O312" t="s">
        <v>31</v>
      </c>
      <c r="P312" t="s">
        <v>2250</v>
      </c>
      <c r="Q312" t="s">
        <v>201</v>
      </c>
      <c r="R312" s="26" t="s">
        <v>715</v>
      </c>
      <c r="S312">
        <v>2.1</v>
      </c>
      <c r="T312">
        <v>3250</v>
      </c>
      <c r="U312">
        <v>0</v>
      </c>
      <c r="V312">
        <v>3250</v>
      </c>
    </row>
    <row r="313" spans="1:22" x14ac:dyDescent="0.3">
      <c r="A313">
        <v>79452</v>
      </c>
      <c r="B313">
        <v>455493170</v>
      </c>
      <c r="C313" t="s">
        <v>2251</v>
      </c>
      <c r="D313" s="9" t="s">
        <v>2252</v>
      </c>
      <c r="E313" t="s">
        <v>769</v>
      </c>
      <c r="F313" t="s">
        <v>770</v>
      </c>
      <c r="G313" t="s">
        <v>28</v>
      </c>
      <c r="H313" t="s">
        <v>29</v>
      </c>
      <c r="I313" t="s">
        <v>34</v>
      </c>
      <c r="J313" t="s">
        <v>30</v>
      </c>
      <c r="K313" t="s">
        <v>27</v>
      </c>
      <c r="L313" t="s">
        <v>2253</v>
      </c>
      <c r="M313" t="s">
        <v>2254</v>
      </c>
      <c r="N313" t="s">
        <v>773</v>
      </c>
      <c r="O313" t="s">
        <v>31</v>
      </c>
      <c r="P313" t="s">
        <v>2255</v>
      </c>
      <c r="Q313" t="s">
        <v>109</v>
      </c>
      <c r="R313" s="26" t="s">
        <v>367</v>
      </c>
      <c r="S313">
        <v>1.4</v>
      </c>
      <c r="T313">
        <v>3250</v>
      </c>
      <c r="U313">
        <v>0</v>
      </c>
      <c r="V313">
        <v>3250</v>
      </c>
    </row>
    <row r="314" spans="1:22" x14ac:dyDescent="0.3">
      <c r="A314">
        <v>79452</v>
      </c>
      <c r="B314">
        <v>455519466</v>
      </c>
      <c r="C314" t="s">
        <v>2256</v>
      </c>
      <c r="D314" s="9" t="s">
        <v>2257</v>
      </c>
      <c r="E314" t="s">
        <v>769</v>
      </c>
      <c r="F314" t="s">
        <v>770</v>
      </c>
      <c r="G314" t="s">
        <v>28</v>
      </c>
      <c r="H314" t="s">
        <v>29</v>
      </c>
      <c r="I314" t="s">
        <v>34</v>
      </c>
      <c r="J314" t="s">
        <v>30</v>
      </c>
      <c r="K314" t="s">
        <v>27</v>
      </c>
      <c r="L314" t="s">
        <v>2253</v>
      </c>
      <c r="M314" t="s">
        <v>488</v>
      </c>
      <c r="N314" t="s">
        <v>773</v>
      </c>
      <c r="O314" t="s">
        <v>31</v>
      </c>
      <c r="P314" t="s">
        <v>2258</v>
      </c>
      <c r="Q314" t="s">
        <v>109</v>
      </c>
      <c r="R314" s="26" t="s">
        <v>715</v>
      </c>
      <c r="S314">
        <v>1.6</v>
      </c>
      <c r="T314">
        <v>3250</v>
      </c>
      <c r="U314">
        <v>0</v>
      </c>
      <c r="V314">
        <v>3250</v>
      </c>
    </row>
    <row r="315" spans="1:22" x14ac:dyDescent="0.3">
      <c r="A315">
        <v>79452</v>
      </c>
      <c r="B315">
        <v>455584818</v>
      </c>
      <c r="C315" t="s">
        <v>2259</v>
      </c>
      <c r="D315" s="9" t="s">
        <v>2260</v>
      </c>
      <c r="E315" t="s">
        <v>769</v>
      </c>
      <c r="F315" t="s">
        <v>770</v>
      </c>
      <c r="G315" t="s">
        <v>28</v>
      </c>
      <c r="H315" t="s">
        <v>29</v>
      </c>
      <c r="I315" t="s">
        <v>34</v>
      </c>
      <c r="J315" t="s">
        <v>30</v>
      </c>
      <c r="K315" t="s">
        <v>27</v>
      </c>
      <c r="L315" t="s">
        <v>2261</v>
      </c>
      <c r="M315" t="s">
        <v>2262</v>
      </c>
      <c r="N315" t="s">
        <v>773</v>
      </c>
      <c r="O315" t="s">
        <v>31</v>
      </c>
      <c r="P315" t="s">
        <v>2263</v>
      </c>
      <c r="Q315" t="s">
        <v>72</v>
      </c>
      <c r="R315" s="26" t="s">
        <v>317</v>
      </c>
      <c r="S315">
        <v>6.1</v>
      </c>
      <c r="T315">
        <v>5564</v>
      </c>
      <c r="U315">
        <v>0</v>
      </c>
      <c r="V315">
        <v>5564</v>
      </c>
    </row>
    <row r="316" spans="1:22" x14ac:dyDescent="0.3">
      <c r="A316">
        <v>79452</v>
      </c>
      <c r="B316">
        <v>455584884</v>
      </c>
      <c r="C316" t="s">
        <v>2264</v>
      </c>
      <c r="D316" s="9" t="s">
        <v>2265</v>
      </c>
      <c r="E316" t="s">
        <v>769</v>
      </c>
      <c r="F316" t="s">
        <v>770</v>
      </c>
      <c r="G316" t="s">
        <v>28</v>
      </c>
      <c r="H316" t="s">
        <v>29</v>
      </c>
      <c r="I316" t="s">
        <v>34</v>
      </c>
      <c r="J316" t="s">
        <v>30</v>
      </c>
      <c r="K316" t="s">
        <v>27</v>
      </c>
      <c r="L316" t="s">
        <v>2266</v>
      </c>
      <c r="M316" t="s">
        <v>2267</v>
      </c>
      <c r="N316" t="s">
        <v>773</v>
      </c>
      <c r="O316" t="s">
        <v>31</v>
      </c>
      <c r="P316" t="s">
        <v>2268</v>
      </c>
      <c r="Q316" t="s">
        <v>143</v>
      </c>
      <c r="R316" s="26" t="s">
        <v>317</v>
      </c>
      <c r="S316">
        <v>1.1000000000000001</v>
      </c>
      <c r="T316">
        <v>3250</v>
      </c>
      <c r="U316">
        <v>0</v>
      </c>
      <c r="V316">
        <v>3250</v>
      </c>
    </row>
    <row r="317" spans="1:22" x14ac:dyDescent="0.3">
      <c r="A317">
        <v>79452</v>
      </c>
      <c r="B317">
        <v>455493168</v>
      </c>
      <c r="C317" t="s">
        <v>2269</v>
      </c>
      <c r="D317" s="9" t="s">
        <v>2270</v>
      </c>
      <c r="E317" t="s">
        <v>769</v>
      </c>
      <c r="F317" t="s">
        <v>770</v>
      </c>
      <c r="G317" t="s">
        <v>28</v>
      </c>
      <c r="H317" t="s">
        <v>29</v>
      </c>
      <c r="I317" t="s">
        <v>34</v>
      </c>
      <c r="J317" t="s">
        <v>30</v>
      </c>
      <c r="K317" t="s">
        <v>27</v>
      </c>
      <c r="L317" t="s">
        <v>2271</v>
      </c>
      <c r="M317" t="s">
        <v>2272</v>
      </c>
      <c r="N317" t="s">
        <v>773</v>
      </c>
      <c r="O317" t="s">
        <v>31</v>
      </c>
      <c r="P317" t="s">
        <v>2273</v>
      </c>
      <c r="Q317" t="s">
        <v>73</v>
      </c>
      <c r="R317" s="26" t="s">
        <v>367</v>
      </c>
      <c r="S317">
        <v>1.8</v>
      </c>
      <c r="T317">
        <v>3653</v>
      </c>
      <c r="U317">
        <v>0</v>
      </c>
      <c r="V317">
        <v>3653</v>
      </c>
    </row>
    <row r="318" spans="1:22" x14ac:dyDescent="0.3">
      <c r="A318">
        <v>79452</v>
      </c>
      <c r="B318">
        <v>455519435</v>
      </c>
      <c r="C318" t="s">
        <v>2274</v>
      </c>
      <c r="D318" s="9" t="s">
        <v>2275</v>
      </c>
      <c r="E318" t="s">
        <v>769</v>
      </c>
      <c r="F318" t="s">
        <v>770</v>
      </c>
      <c r="G318" t="s">
        <v>28</v>
      </c>
      <c r="H318" t="s">
        <v>29</v>
      </c>
      <c r="I318" t="s">
        <v>34</v>
      </c>
      <c r="J318" t="s">
        <v>30</v>
      </c>
      <c r="K318" t="s">
        <v>27</v>
      </c>
      <c r="L318" t="s">
        <v>2276</v>
      </c>
      <c r="M318" t="s">
        <v>2277</v>
      </c>
      <c r="N318" t="s">
        <v>773</v>
      </c>
      <c r="O318" t="s">
        <v>31</v>
      </c>
      <c r="P318" t="s">
        <v>2278</v>
      </c>
      <c r="Q318" t="s">
        <v>198</v>
      </c>
      <c r="R318" s="26" t="s">
        <v>715</v>
      </c>
      <c r="S318">
        <v>1</v>
      </c>
      <c r="T318">
        <v>3250</v>
      </c>
      <c r="U318">
        <v>0</v>
      </c>
      <c r="V318">
        <v>3250</v>
      </c>
    </row>
    <row r="319" spans="1:22" x14ac:dyDescent="0.3">
      <c r="A319">
        <v>79452</v>
      </c>
      <c r="B319">
        <v>455519471</v>
      </c>
      <c r="C319" t="s">
        <v>2279</v>
      </c>
      <c r="D319" s="9" t="s">
        <v>2280</v>
      </c>
      <c r="E319" t="s">
        <v>769</v>
      </c>
      <c r="F319" t="s">
        <v>770</v>
      </c>
      <c r="G319" t="s">
        <v>28</v>
      </c>
      <c r="H319" t="s">
        <v>29</v>
      </c>
      <c r="I319" t="s">
        <v>34</v>
      </c>
      <c r="J319" t="s">
        <v>30</v>
      </c>
      <c r="K319" t="s">
        <v>27</v>
      </c>
      <c r="L319" t="s">
        <v>2281</v>
      </c>
      <c r="M319" t="s">
        <v>2282</v>
      </c>
      <c r="N319" t="s">
        <v>773</v>
      </c>
      <c r="O319" t="s">
        <v>31</v>
      </c>
      <c r="P319" t="s">
        <v>2283</v>
      </c>
      <c r="Q319" t="s">
        <v>115</v>
      </c>
      <c r="R319" s="26" t="s">
        <v>715</v>
      </c>
      <c r="S319">
        <v>1.4</v>
      </c>
      <c r="T319">
        <v>3250</v>
      </c>
      <c r="U319">
        <v>0</v>
      </c>
      <c r="V319">
        <v>3250</v>
      </c>
    </row>
    <row r="320" spans="1:22" x14ac:dyDescent="0.3">
      <c r="A320">
        <v>79452</v>
      </c>
      <c r="B320">
        <v>455493157</v>
      </c>
      <c r="C320" t="s">
        <v>2284</v>
      </c>
      <c r="D320" s="9" t="s">
        <v>2285</v>
      </c>
      <c r="E320" t="s">
        <v>769</v>
      </c>
      <c r="F320" t="s">
        <v>770</v>
      </c>
      <c r="G320" t="s">
        <v>28</v>
      </c>
      <c r="H320" t="s">
        <v>29</v>
      </c>
      <c r="I320" t="s">
        <v>34</v>
      </c>
      <c r="J320" t="s">
        <v>30</v>
      </c>
      <c r="K320" t="s">
        <v>27</v>
      </c>
      <c r="L320" t="s">
        <v>2286</v>
      </c>
      <c r="M320" t="s">
        <v>2287</v>
      </c>
      <c r="N320" t="s">
        <v>773</v>
      </c>
      <c r="O320" t="s">
        <v>31</v>
      </c>
      <c r="P320" t="s">
        <v>2288</v>
      </c>
      <c r="Q320" t="s">
        <v>108</v>
      </c>
      <c r="R320" s="26" t="s">
        <v>454</v>
      </c>
      <c r="S320">
        <v>1.3</v>
      </c>
      <c r="T320">
        <v>3250</v>
      </c>
      <c r="U320">
        <v>0</v>
      </c>
      <c r="V320">
        <v>3250</v>
      </c>
    </row>
    <row r="321" spans="1:22" x14ac:dyDescent="0.3">
      <c r="A321">
        <v>79452</v>
      </c>
      <c r="B321">
        <v>455584854</v>
      </c>
      <c r="C321" t="s">
        <v>2289</v>
      </c>
      <c r="D321" s="9" t="s">
        <v>2290</v>
      </c>
      <c r="E321" t="s">
        <v>769</v>
      </c>
      <c r="F321" t="s">
        <v>770</v>
      </c>
      <c r="G321" t="s">
        <v>28</v>
      </c>
      <c r="H321" t="s">
        <v>29</v>
      </c>
      <c r="I321" t="s">
        <v>34</v>
      </c>
      <c r="J321" t="s">
        <v>30</v>
      </c>
      <c r="K321" t="s">
        <v>27</v>
      </c>
      <c r="L321" t="s">
        <v>2291</v>
      </c>
      <c r="M321" t="s">
        <v>2292</v>
      </c>
      <c r="N321" t="s">
        <v>773</v>
      </c>
      <c r="O321" t="s">
        <v>31</v>
      </c>
      <c r="P321" t="s">
        <v>2293</v>
      </c>
      <c r="Q321" t="s">
        <v>125</v>
      </c>
      <c r="R321" s="26" t="s">
        <v>317</v>
      </c>
      <c r="S321">
        <v>1</v>
      </c>
      <c r="T321">
        <v>3653</v>
      </c>
      <c r="U321">
        <v>0</v>
      </c>
      <c r="V321">
        <v>3653</v>
      </c>
    </row>
    <row r="322" spans="1:22" x14ac:dyDescent="0.3">
      <c r="A322">
        <v>79452</v>
      </c>
      <c r="B322">
        <v>455396106</v>
      </c>
      <c r="C322" t="s">
        <v>2294</v>
      </c>
      <c r="D322" s="9" t="s">
        <v>2295</v>
      </c>
      <c r="E322" t="s">
        <v>769</v>
      </c>
      <c r="F322" t="s">
        <v>770</v>
      </c>
      <c r="G322" t="s">
        <v>28</v>
      </c>
      <c r="H322" t="s">
        <v>29</v>
      </c>
      <c r="I322" t="s">
        <v>34</v>
      </c>
      <c r="J322" t="s">
        <v>30</v>
      </c>
      <c r="K322" t="s">
        <v>27</v>
      </c>
      <c r="L322" t="s">
        <v>2296</v>
      </c>
      <c r="M322" t="s">
        <v>2297</v>
      </c>
      <c r="N322" t="s">
        <v>773</v>
      </c>
      <c r="O322" t="s">
        <v>31</v>
      </c>
      <c r="P322" t="s">
        <v>2298</v>
      </c>
      <c r="Q322" t="s">
        <v>140</v>
      </c>
      <c r="R322" s="26" t="s">
        <v>2221</v>
      </c>
      <c r="S322">
        <v>1</v>
      </c>
      <c r="T322">
        <v>3631</v>
      </c>
      <c r="U322">
        <v>0</v>
      </c>
      <c r="V322">
        <v>3631</v>
      </c>
    </row>
    <row r="323" spans="1:22" x14ac:dyDescent="0.3">
      <c r="A323">
        <v>79452</v>
      </c>
      <c r="B323">
        <v>455519484</v>
      </c>
      <c r="C323" t="s">
        <v>2299</v>
      </c>
      <c r="D323" s="9" t="s">
        <v>2300</v>
      </c>
      <c r="E323" t="s">
        <v>769</v>
      </c>
      <c r="F323" t="s">
        <v>770</v>
      </c>
      <c r="G323" t="s">
        <v>28</v>
      </c>
      <c r="H323" t="s">
        <v>29</v>
      </c>
      <c r="I323" t="s">
        <v>34</v>
      </c>
      <c r="J323" t="s">
        <v>30</v>
      </c>
      <c r="K323" t="s">
        <v>27</v>
      </c>
      <c r="L323" t="s">
        <v>2301</v>
      </c>
      <c r="M323" t="s">
        <v>2302</v>
      </c>
      <c r="N323" t="s">
        <v>773</v>
      </c>
      <c r="O323" t="s">
        <v>31</v>
      </c>
      <c r="P323" t="s">
        <v>2303</v>
      </c>
      <c r="Q323" t="s">
        <v>114</v>
      </c>
      <c r="R323" s="26" t="s">
        <v>715</v>
      </c>
      <c r="S323">
        <v>2.9</v>
      </c>
      <c r="T323">
        <v>5083</v>
      </c>
      <c r="U323">
        <v>0</v>
      </c>
      <c r="V323">
        <v>5083</v>
      </c>
    </row>
    <row r="324" spans="1:22" x14ac:dyDescent="0.3">
      <c r="A324">
        <v>79452</v>
      </c>
      <c r="B324">
        <v>455493152</v>
      </c>
      <c r="C324" t="s">
        <v>2304</v>
      </c>
      <c r="D324" s="9" t="s">
        <v>2305</v>
      </c>
      <c r="E324" t="s">
        <v>769</v>
      </c>
      <c r="F324" t="s">
        <v>770</v>
      </c>
      <c r="G324" t="s">
        <v>28</v>
      </c>
      <c r="H324" t="s">
        <v>29</v>
      </c>
      <c r="I324" t="s">
        <v>34</v>
      </c>
      <c r="J324" t="s">
        <v>30</v>
      </c>
      <c r="K324" t="s">
        <v>27</v>
      </c>
      <c r="L324" t="s">
        <v>2306</v>
      </c>
      <c r="M324" t="s">
        <v>1480</v>
      </c>
      <c r="N324" t="s">
        <v>773</v>
      </c>
      <c r="O324" t="s">
        <v>31</v>
      </c>
      <c r="P324" t="s">
        <v>1481</v>
      </c>
      <c r="Q324" t="s">
        <v>65</v>
      </c>
      <c r="R324" s="26" t="s">
        <v>454</v>
      </c>
      <c r="S324">
        <v>1.3</v>
      </c>
      <c r="T324">
        <v>3631</v>
      </c>
      <c r="U324">
        <v>0</v>
      </c>
      <c r="V324">
        <v>3631</v>
      </c>
    </row>
    <row r="325" spans="1:22" x14ac:dyDescent="0.3">
      <c r="A325">
        <v>79452</v>
      </c>
      <c r="B325">
        <v>455493176</v>
      </c>
      <c r="C325" t="s">
        <v>2307</v>
      </c>
      <c r="D325" s="9" t="s">
        <v>2308</v>
      </c>
      <c r="E325" t="s">
        <v>769</v>
      </c>
      <c r="F325" t="s">
        <v>770</v>
      </c>
      <c r="G325" t="s">
        <v>28</v>
      </c>
      <c r="H325" t="s">
        <v>29</v>
      </c>
      <c r="I325" t="s">
        <v>34</v>
      </c>
      <c r="J325" t="s">
        <v>30</v>
      </c>
      <c r="K325" t="s">
        <v>27</v>
      </c>
      <c r="L325" t="s">
        <v>2309</v>
      </c>
      <c r="M325" t="s">
        <v>1032</v>
      </c>
      <c r="N325" t="s">
        <v>773</v>
      </c>
      <c r="O325" t="s">
        <v>31</v>
      </c>
      <c r="P325" t="s">
        <v>1033</v>
      </c>
      <c r="Q325" t="s">
        <v>41</v>
      </c>
      <c r="R325" s="26" t="s">
        <v>367</v>
      </c>
      <c r="S325">
        <v>1.5</v>
      </c>
      <c r="T325">
        <v>3935</v>
      </c>
      <c r="U325">
        <v>0</v>
      </c>
      <c r="V325">
        <v>3935</v>
      </c>
    </row>
    <row r="326" spans="1:22" x14ac:dyDescent="0.3">
      <c r="A326">
        <v>79452</v>
      </c>
      <c r="B326">
        <v>455519462</v>
      </c>
      <c r="C326" t="s">
        <v>2310</v>
      </c>
      <c r="D326" s="9" t="s">
        <v>2311</v>
      </c>
      <c r="E326" t="s">
        <v>769</v>
      </c>
      <c r="F326" t="s">
        <v>770</v>
      </c>
      <c r="G326" t="s">
        <v>28</v>
      </c>
      <c r="H326" t="s">
        <v>29</v>
      </c>
      <c r="I326" t="s">
        <v>34</v>
      </c>
      <c r="J326" t="s">
        <v>30</v>
      </c>
      <c r="K326" t="s">
        <v>27</v>
      </c>
      <c r="L326" t="s">
        <v>2312</v>
      </c>
      <c r="M326" t="s">
        <v>2313</v>
      </c>
      <c r="N326" t="s">
        <v>773</v>
      </c>
      <c r="O326" t="s">
        <v>31</v>
      </c>
      <c r="P326" t="s">
        <v>2314</v>
      </c>
      <c r="Q326" t="s">
        <v>171</v>
      </c>
      <c r="R326" s="26" t="s">
        <v>715</v>
      </c>
      <c r="S326">
        <v>1.5</v>
      </c>
      <c r="T326">
        <v>3250</v>
      </c>
      <c r="U326">
        <v>0</v>
      </c>
      <c r="V326">
        <v>3250</v>
      </c>
    </row>
    <row r="327" spans="1:22" x14ac:dyDescent="0.3">
      <c r="A327">
        <v>79452</v>
      </c>
      <c r="B327">
        <v>455519495</v>
      </c>
      <c r="C327" t="s">
        <v>2315</v>
      </c>
      <c r="D327" s="9" t="s">
        <v>2316</v>
      </c>
      <c r="E327" t="s">
        <v>769</v>
      </c>
      <c r="F327" t="s">
        <v>770</v>
      </c>
      <c r="G327" t="s">
        <v>28</v>
      </c>
      <c r="H327" t="s">
        <v>29</v>
      </c>
      <c r="I327" t="s">
        <v>34</v>
      </c>
      <c r="J327" t="s">
        <v>30</v>
      </c>
      <c r="K327" t="s">
        <v>27</v>
      </c>
      <c r="L327" t="s">
        <v>2317</v>
      </c>
      <c r="M327" t="s">
        <v>2318</v>
      </c>
      <c r="N327" t="s">
        <v>773</v>
      </c>
      <c r="O327" t="s">
        <v>31</v>
      </c>
      <c r="P327" t="s">
        <v>2319</v>
      </c>
      <c r="Q327" t="s">
        <v>65</v>
      </c>
      <c r="R327" s="26" t="s">
        <v>715</v>
      </c>
      <c r="S327">
        <v>1.3</v>
      </c>
      <c r="T327">
        <v>3631</v>
      </c>
      <c r="U327">
        <v>0</v>
      </c>
      <c r="V327">
        <v>3631</v>
      </c>
    </row>
    <row r="328" spans="1:22" x14ac:dyDescent="0.3">
      <c r="A328">
        <v>79452</v>
      </c>
      <c r="B328">
        <v>455584890</v>
      </c>
      <c r="C328" t="s">
        <v>2320</v>
      </c>
      <c r="D328" s="9" t="s">
        <v>2321</v>
      </c>
      <c r="E328" t="s">
        <v>769</v>
      </c>
      <c r="F328" t="s">
        <v>770</v>
      </c>
      <c r="G328" t="s">
        <v>28</v>
      </c>
      <c r="H328" t="s">
        <v>29</v>
      </c>
      <c r="I328" t="s">
        <v>34</v>
      </c>
      <c r="J328" t="s">
        <v>30</v>
      </c>
      <c r="K328" t="s">
        <v>27</v>
      </c>
      <c r="L328" t="s">
        <v>2322</v>
      </c>
      <c r="M328" t="s">
        <v>1233</v>
      </c>
      <c r="N328" t="s">
        <v>773</v>
      </c>
      <c r="O328" t="s">
        <v>31</v>
      </c>
      <c r="P328" t="s">
        <v>1234</v>
      </c>
      <c r="Q328" t="s">
        <v>85</v>
      </c>
      <c r="R328" s="26" t="s">
        <v>317</v>
      </c>
      <c r="S328">
        <v>1.6</v>
      </c>
      <c r="T328">
        <v>3631</v>
      </c>
      <c r="U328">
        <v>0</v>
      </c>
      <c r="V328">
        <v>3631</v>
      </c>
    </row>
    <row r="329" spans="1:22" x14ac:dyDescent="0.3">
      <c r="A329">
        <v>79452</v>
      </c>
      <c r="B329">
        <v>455493153</v>
      </c>
      <c r="C329" t="s">
        <v>2323</v>
      </c>
      <c r="D329" s="9" t="s">
        <v>2324</v>
      </c>
      <c r="E329" t="s">
        <v>769</v>
      </c>
      <c r="F329" t="s">
        <v>770</v>
      </c>
      <c r="G329" t="s">
        <v>28</v>
      </c>
      <c r="H329" t="s">
        <v>29</v>
      </c>
      <c r="I329" t="s">
        <v>34</v>
      </c>
      <c r="J329" t="s">
        <v>30</v>
      </c>
      <c r="K329" t="s">
        <v>27</v>
      </c>
      <c r="L329" t="s">
        <v>2325</v>
      </c>
      <c r="M329" t="s">
        <v>2326</v>
      </c>
      <c r="N329" t="s">
        <v>773</v>
      </c>
      <c r="O329" t="s">
        <v>31</v>
      </c>
      <c r="P329" t="s">
        <v>2327</v>
      </c>
      <c r="Q329" t="s">
        <v>85</v>
      </c>
      <c r="R329" s="26" t="s">
        <v>454</v>
      </c>
      <c r="S329">
        <v>1.4</v>
      </c>
      <c r="T329">
        <v>3631</v>
      </c>
      <c r="U329">
        <v>0</v>
      </c>
      <c r="V329">
        <v>3631</v>
      </c>
    </row>
    <row r="330" spans="1:22" x14ac:dyDescent="0.3">
      <c r="A330">
        <v>79452</v>
      </c>
      <c r="B330">
        <v>455584894</v>
      </c>
      <c r="C330" t="s">
        <v>2328</v>
      </c>
      <c r="D330" s="9" t="s">
        <v>2329</v>
      </c>
      <c r="E330" t="s">
        <v>769</v>
      </c>
      <c r="F330" t="s">
        <v>770</v>
      </c>
      <c r="G330" t="s">
        <v>28</v>
      </c>
      <c r="H330" t="s">
        <v>29</v>
      </c>
      <c r="I330" t="s">
        <v>34</v>
      </c>
      <c r="J330" t="s">
        <v>30</v>
      </c>
      <c r="K330" t="s">
        <v>27</v>
      </c>
      <c r="L330" t="s">
        <v>2330</v>
      </c>
      <c r="M330" t="s">
        <v>2331</v>
      </c>
      <c r="N330" t="s">
        <v>773</v>
      </c>
      <c r="O330" t="s">
        <v>31</v>
      </c>
      <c r="P330" t="s">
        <v>2332</v>
      </c>
      <c r="Q330" t="s">
        <v>85</v>
      </c>
      <c r="R330" s="26" t="s">
        <v>317</v>
      </c>
      <c r="S330">
        <v>1.4</v>
      </c>
      <c r="T330">
        <v>3631</v>
      </c>
      <c r="U330">
        <v>0</v>
      </c>
      <c r="V330">
        <v>3631</v>
      </c>
    </row>
    <row r="331" spans="1:22" x14ac:dyDescent="0.3">
      <c r="A331">
        <v>79452</v>
      </c>
      <c r="B331">
        <v>455584804</v>
      </c>
      <c r="C331" t="s">
        <v>2333</v>
      </c>
      <c r="D331" s="9" t="s">
        <v>2334</v>
      </c>
      <c r="E331" t="s">
        <v>769</v>
      </c>
      <c r="F331" t="s">
        <v>770</v>
      </c>
      <c r="G331" t="s">
        <v>28</v>
      </c>
      <c r="H331" t="s">
        <v>29</v>
      </c>
      <c r="I331" t="s">
        <v>34</v>
      </c>
      <c r="J331" t="s">
        <v>30</v>
      </c>
      <c r="K331" t="s">
        <v>27</v>
      </c>
      <c r="L331" t="s">
        <v>2335</v>
      </c>
      <c r="M331" t="s">
        <v>2336</v>
      </c>
      <c r="N331" t="s">
        <v>773</v>
      </c>
      <c r="O331" t="s">
        <v>31</v>
      </c>
      <c r="P331" t="s">
        <v>2337</v>
      </c>
      <c r="Q331" t="s">
        <v>119</v>
      </c>
      <c r="R331" s="26" t="s">
        <v>317</v>
      </c>
      <c r="S331">
        <v>2.8</v>
      </c>
      <c r="T331">
        <v>4205</v>
      </c>
      <c r="U331">
        <v>0</v>
      </c>
      <c r="V331">
        <v>4205</v>
      </c>
    </row>
    <row r="332" spans="1:22" x14ac:dyDescent="0.3">
      <c r="A332">
        <v>79452</v>
      </c>
      <c r="B332">
        <v>455584823</v>
      </c>
      <c r="C332" t="s">
        <v>2338</v>
      </c>
      <c r="D332" s="9" t="s">
        <v>2339</v>
      </c>
      <c r="E332" t="s">
        <v>769</v>
      </c>
      <c r="F332" t="s">
        <v>770</v>
      </c>
      <c r="G332" t="s">
        <v>28</v>
      </c>
      <c r="H332" t="s">
        <v>29</v>
      </c>
      <c r="I332" t="s">
        <v>34</v>
      </c>
      <c r="J332" t="s">
        <v>30</v>
      </c>
      <c r="K332" t="s">
        <v>27</v>
      </c>
      <c r="L332" t="s">
        <v>2340</v>
      </c>
      <c r="M332" t="s">
        <v>2341</v>
      </c>
      <c r="N332" t="s">
        <v>773</v>
      </c>
      <c r="O332" t="s">
        <v>31</v>
      </c>
      <c r="P332" t="s">
        <v>2342</v>
      </c>
      <c r="Q332" t="s">
        <v>171</v>
      </c>
      <c r="R332" s="26" t="s">
        <v>317</v>
      </c>
      <c r="S332">
        <v>1.7</v>
      </c>
      <c r="T332">
        <v>3250</v>
      </c>
      <c r="U332">
        <v>0</v>
      </c>
      <c r="V332">
        <v>3250</v>
      </c>
    </row>
    <row r="333" spans="1:22" x14ac:dyDescent="0.3">
      <c r="A333">
        <v>79452</v>
      </c>
      <c r="B333">
        <v>455446125</v>
      </c>
      <c r="C333" t="s">
        <v>2343</v>
      </c>
      <c r="D333" s="9" t="s">
        <v>2344</v>
      </c>
      <c r="E333" t="s">
        <v>769</v>
      </c>
      <c r="F333" t="s">
        <v>770</v>
      </c>
      <c r="G333" t="s">
        <v>28</v>
      </c>
      <c r="H333" t="s">
        <v>29</v>
      </c>
      <c r="I333" t="s">
        <v>34</v>
      </c>
      <c r="J333" t="s">
        <v>30</v>
      </c>
      <c r="K333" t="s">
        <v>27</v>
      </c>
      <c r="L333" t="s">
        <v>2345</v>
      </c>
      <c r="M333" t="s">
        <v>2346</v>
      </c>
      <c r="N333" t="s">
        <v>773</v>
      </c>
      <c r="O333" t="s">
        <v>31</v>
      </c>
      <c r="P333" t="s">
        <v>2347</v>
      </c>
      <c r="Q333" t="s">
        <v>88</v>
      </c>
      <c r="R333" s="26" t="s">
        <v>2348</v>
      </c>
      <c r="S333">
        <v>1</v>
      </c>
      <c r="T333">
        <v>5024</v>
      </c>
      <c r="U333">
        <v>0</v>
      </c>
      <c r="V333">
        <v>5024</v>
      </c>
    </row>
    <row r="334" spans="1:22" x14ac:dyDescent="0.3">
      <c r="A334">
        <v>79452</v>
      </c>
      <c r="B334">
        <v>455409117</v>
      </c>
      <c r="C334" t="s">
        <v>2349</v>
      </c>
      <c r="D334" s="9" t="s">
        <v>2350</v>
      </c>
      <c r="E334" t="s">
        <v>769</v>
      </c>
      <c r="F334" t="s">
        <v>770</v>
      </c>
      <c r="G334" t="s">
        <v>28</v>
      </c>
      <c r="H334" t="s">
        <v>29</v>
      </c>
      <c r="I334" t="s">
        <v>34</v>
      </c>
      <c r="J334" t="s">
        <v>30</v>
      </c>
      <c r="K334" t="s">
        <v>27</v>
      </c>
      <c r="L334" t="s">
        <v>2351</v>
      </c>
      <c r="M334" t="s">
        <v>2352</v>
      </c>
      <c r="N334" t="s">
        <v>773</v>
      </c>
      <c r="O334" t="s">
        <v>31</v>
      </c>
      <c r="P334" t="s">
        <v>2353</v>
      </c>
      <c r="Q334" t="s">
        <v>69</v>
      </c>
      <c r="R334" s="26" t="s">
        <v>307</v>
      </c>
      <c r="S334">
        <v>1</v>
      </c>
      <c r="T334">
        <v>3935</v>
      </c>
      <c r="U334">
        <v>0</v>
      </c>
      <c r="V334">
        <v>3935</v>
      </c>
    </row>
    <row r="335" spans="1:22" x14ac:dyDescent="0.3">
      <c r="A335">
        <v>79452</v>
      </c>
      <c r="B335">
        <v>455446123</v>
      </c>
      <c r="C335" t="s">
        <v>2354</v>
      </c>
      <c r="D335" s="9" t="s">
        <v>2355</v>
      </c>
      <c r="E335" t="s">
        <v>769</v>
      </c>
      <c r="F335" t="s">
        <v>770</v>
      </c>
      <c r="G335" t="s">
        <v>28</v>
      </c>
      <c r="H335" t="s">
        <v>29</v>
      </c>
      <c r="I335" t="s">
        <v>34</v>
      </c>
      <c r="J335" t="s">
        <v>30</v>
      </c>
      <c r="K335" t="s">
        <v>27</v>
      </c>
      <c r="L335" t="s">
        <v>2356</v>
      </c>
      <c r="M335" t="s">
        <v>2357</v>
      </c>
      <c r="N335" t="s">
        <v>773</v>
      </c>
      <c r="O335" t="s">
        <v>31</v>
      </c>
      <c r="P335" t="s">
        <v>2358</v>
      </c>
      <c r="Q335" t="s">
        <v>85</v>
      </c>
      <c r="R335" s="26" t="s">
        <v>2348</v>
      </c>
      <c r="S335">
        <v>0.9</v>
      </c>
      <c r="T335">
        <v>3631</v>
      </c>
      <c r="U335">
        <v>0</v>
      </c>
      <c r="V335">
        <v>3631</v>
      </c>
    </row>
    <row r="336" spans="1:22" x14ac:dyDescent="0.3">
      <c r="A336">
        <v>79452</v>
      </c>
      <c r="B336">
        <v>455433245</v>
      </c>
      <c r="C336" t="s">
        <v>2359</v>
      </c>
      <c r="D336" s="9" t="s">
        <v>2360</v>
      </c>
      <c r="E336" t="s">
        <v>769</v>
      </c>
      <c r="F336" t="s">
        <v>770</v>
      </c>
      <c r="G336" t="s">
        <v>28</v>
      </c>
      <c r="H336" t="s">
        <v>29</v>
      </c>
      <c r="I336" t="s">
        <v>34</v>
      </c>
      <c r="J336" t="s">
        <v>30</v>
      </c>
      <c r="K336" t="s">
        <v>27</v>
      </c>
      <c r="L336" t="s">
        <v>2361</v>
      </c>
      <c r="M336" t="s">
        <v>2362</v>
      </c>
      <c r="N336" t="s">
        <v>773</v>
      </c>
      <c r="O336" t="s">
        <v>31</v>
      </c>
      <c r="P336" t="s">
        <v>2363</v>
      </c>
      <c r="Q336" t="s">
        <v>108</v>
      </c>
      <c r="R336" s="26" t="s">
        <v>748</v>
      </c>
      <c r="S336">
        <v>1.1000000000000001</v>
      </c>
      <c r="T336">
        <v>3250</v>
      </c>
      <c r="U336">
        <v>0</v>
      </c>
      <c r="V336">
        <v>3250</v>
      </c>
    </row>
    <row r="337" spans="1:22" x14ac:dyDescent="0.3">
      <c r="A337">
        <v>79452</v>
      </c>
      <c r="B337">
        <v>455433244</v>
      </c>
      <c r="C337" t="s">
        <v>2364</v>
      </c>
      <c r="D337" s="9" t="s">
        <v>2365</v>
      </c>
      <c r="E337" t="s">
        <v>769</v>
      </c>
      <c r="F337" t="s">
        <v>770</v>
      </c>
      <c r="G337" t="s">
        <v>28</v>
      </c>
      <c r="H337" t="s">
        <v>29</v>
      </c>
      <c r="I337" t="s">
        <v>34</v>
      </c>
      <c r="J337" t="s">
        <v>30</v>
      </c>
      <c r="K337" t="s">
        <v>27</v>
      </c>
      <c r="L337" t="s">
        <v>2366</v>
      </c>
      <c r="M337" t="s">
        <v>2367</v>
      </c>
      <c r="N337" t="s">
        <v>773</v>
      </c>
      <c r="O337" t="s">
        <v>31</v>
      </c>
      <c r="P337" t="s">
        <v>2368</v>
      </c>
      <c r="Q337" t="s">
        <v>109</v>
      </c>
      <c r="R337" s="26" t="s">
        <v>748</v>
      </c>
      <c r="S337">
        <v>0.9</v>
      </c>
      <c r="T337">
        <v>3250</v>
      </c>
      <c r="U337">
        <v>0</v>
      </c>
      <c r="V337">
        <v>3250</v>
      </c>
    </row>
    <row r="338" spans="1:22" x14ac:dyDescent="0.3">
      <c r="A338">
        <v>79452</v>
      </c>
      <c r="B338">
        <v>455409133</v>
      </c>
      <c r="C338" t="s">
        <v>2369</v>
      </c>
      <c r="D338" s="9" t="s">
        <v>2370</v>
      </c>
      <c r="E338" t="s">
        <v>769</v>
      </c>
      <c r="F338" t="s">
        <v>770</v>
      </c>
      <c r="G338" t="s">
        <v>28</v>
      </c>
      <c r="H338" t="s">
        <v>29</v>
      </c>
      <c r="I338" t="s">
        <v>34</v>
      </c>
      <c r="J338" t="s">
        <v>30</v>
      </c>
      <c r="K338" t="s">
        <v>27</v>
      </c>
      <c r="L338" t="s">
        <v>2371</v>
      </c>
      <c r="M338" t="s">
        <v>2372</v>
      </c>
      <c r="N338" t="s">
        <v>773</v>
      </c>
      <c r="O338" t="s">
        <v>31</v>
      </c>
      <c r="P338" t="s">
        <v>2373</v>
      </c>
      <c r="Q338" t="s">
        <v>81</v>
      </c>
      <c r="R338" s="26" t="s">
        <v>307</v>
      </c>
      <c r="S338">
        <v>1.1000000000000001</v>
      </c>
      <c r="T338">
        <v>3935</v>
      </c>
      <c r="U338">
        <v>0</v>
      </c>
      <c r="V338">
        <v>3935</v>
      </c>
    </row>
    <row r="339" spans="1:22" x14ac:dyDescent="0.3">
      <c r="A339">
        <v>79452</v>
      </c>
      <c r="B339">
        <v>455433248</v>
      </c>
      <c r="C339" t="s">
        <v>2374</v>
      </c>
      <c r="D339" s="9" t="s">
        <v>2375</v>
      </c>
      <c r="E339" t="s">
        <v>769</v>
      </c>
      <c r="F339" t="s">
        <v>770</v>
      </c>
      <c r="G339" t="s">
        <v>28</v>
      </c>
      <c r="H339" t="s">
        <v>29</v>
      </c>
      <c r="I339" t="s">
        <v>34</v>
      </c>
      <c r="J339" t="s">
        <v>30</v>
      </c>
      <c r="K339" t="s">
        <v>27</v>
      </c>
      <c r="L339" t="s">
        <v>2376</v>
      </c>
      <c r="M339" t="s">
        <v>2377</v>
      </c>
      <c r="N339" t="s">
        <v>773</v>
      </c>
      <c r="O339" t="s">
        <v>31</v>
      </c>
      <c r="P339" t="s">
        <v>2378</v>
      </c>
      <c r="Q339" t="s">
        <v>69</v>
      </c>
      <c r="R339" s="26" t="s">
        <v>748</v>
      </c>
      <c r="S339">
        <v>1</v>
      </c>
      <c r="T339">
        <v>3935</v>
      </c>
      <c r="U339">
        <v>0</v>
      </c>
      <c r="V339">
        <v>3935</v>
      </c>
    </row>
    <row r="340" spans="1:22" x14ac:dyDescent="0.3">
      <c r="A340">
        <v>79452</v>
      </c>
      <c r="B340">
        <v>455396113</v>
      </c>
      <c r="C340" t="s">
        <v>2379</v>
      </c>
      <c r="D340" s="9" t="s">
        <v>2380</v>
      </c>
      <c r="E340" t="s">
        <v>769</v>
      </c>
      <c r="F340" t="s">
        <v>770</v>
      </c>
      <c r="G340" t="s">
        <v>28</v>
      </c>
      <c r="H340" t="s">
        <v>29</v>
      </c>
      <c r="I340" t="s">
        <v>34</v>
      </c>
      <c r="J340" t="s">
        <v>30</v>
      </c>
      <c r="K340" t="s">
        <v>27</v>
      </c>
      <c r="L340" t="s">
        <v>2381</v>
      </c>
      <c r="M340" t="s">
        <v>2382</v>
      </c>
      <c r="N340" t="s">
        <v>773</v>
      </c>
      <c r="O340" t="s">
        <v>31</v>
      </c>
      <c r="P340" t="s">
        <v>2383</v>
      </c>
      <c r="Q340" t="s">
        <v>109</v>
      </c>
      <c r="R340" s="26" t="s">
        <v>2221</v>
      </c>
      <c r="S340">
        <v>11.1</v>
      </c>
      <c r="T340">
        <v>6183</v>
      </c>
      <c r="U340">
        <v>0</v>
      </c>
      <c r="V340">
        <v>6183</v>
      </c>
    </row>
    <row r="341" spans="1:22" x14ac:dyDescent="0.3">
      <c r="A341">
        <v>79452</v>
      </c>
      <c r="B341">
        <v>455409118</v>
      </c>
      <c r="C341" t="s">
        <v>2384</v>
      </c>
      <c r="D341" s="9" t="s">
        <v>2385</v>
      </c>
      <c r="E341" t="s">
        <v>769</v>
      </c>
      <c r="F341" t="s">
        <v>770</v>
      </c>
      <c r="G341" t="s">
        <v>28</v>
      </c>
      <c r="H341" t="s">
        <v>29</v>
      </c>
      <c r="I341" t="s">
        <v>34</v>
      </c>
      <c r="J341" t="s">
        <v>30</v>
      </c>
      <c r="K341" t="s">
        <v>27</v>
      </c>
      <c r="L341" t="s">
        <v>2386</v>
      </c>
      <c r="M341" t="s">
        <v>2387</v>
      </c>
      <c r="N341" t="s">
        <v>773</v>
      </c>
      <c r="O341" t="s">
        <v>31</v>
      </c>
      <c r="P341" t="s">
        <v>2388</v>
      </c>
      <c r="Q341" t="s">
        <v>62</v>
      </c>
      <c r="R341" s="26" t="s">
        <v>307</v>
      </c>
      <c r="S341">
        <v>1</v>
      </c>
      <c r="T341">
        <v>3384</v>
      </c>
      <c r="U341">
        <v>0</v>
      </c>
      <c r="V341">
        <v>3384</v>
      </c>
    </row>
    <row r="342" spans="1:22" x14ac:dyDescent="0.3">
      <c r="A342">
        <v>79452</v>
      </c>
      <c r="B342">
        <v>455409129</v>
      </c>
      <c r="C342" t="s">
        <v>2389</v>
      </c>
      <c r="D342" s="9" t="s">
        <v>2390</v>
      </c>
      <c r="E342" t="s">
        <v>769</v>
      </c>
      <c r="F342" t="s">
        <v>770</v>
      </c>
      <c r="G342" t="s">
        <v>28</v>
      </c>
      <c r="H342" t="s">
        <v>29</v>
      </c>
      <c r="I342" t="s">
        <v>34</v>
      </c>
      <c r="J342" t="s">
        <v>30</v>
      </c>
      <c r="K342" t="s">
        <v>27</v>
      </c>
      <c r="L342" t="s">
        <v>2391</v>
      </c>
      <c r="M342" t="s">
        <v>2392</v>
      </c>
      <c r="N342" t="s">
        <v>773</v>
      </c>
      <c r="O342" t="s">
        <v>31</v>
      </c>
      <c r="P342" t="s">
        <v>2393</v>
      </c>
      <c r="Q342" t="s">
        <v>41</v>
      </c>
      <c r="R342" s="26" t="s">
        <v>307</v>
      </c>
      <c r="S342">
        <v>0.6</v>
      </c>
      <c r="T342">
        <v>3935</v>
      </c>
      <c r="U342">
        <v>0</v>
      </c>
      <c r="V342">
        <v>3935</v>
      </c>
    </row>
    <row r="343" spans="1:22" x14ac:dyDescent="0.3">
      <c r="A343">
        <v>79452</v>
      </c>
      <c r="B343">
        <v>455415441</v>
      </c>
      <c r="C343" t="s">
        <v>2394</v>
      </c>
      <c r="D343" s="9" t="s">
        <v>2395</v>
      </c>
      <c r="E343" t="s">
        <v>769</v>
      </c>
      <c r="F343" t="s">
        <v>770</v>
      </c>
      <c r="G343" t="s">
        <v>28</v>
      </c>
      <c r="H343" t="s">
        <v>29</v>
      </c>
      <c r="I343" t="s">
        <v>34</v>
      </c>
      <c r="J343" t="s">
        <v>30</v>
      </c>
      <c r="K343" t="s">
        <v>27</v>
      </c>
      <c r="L343" t="s">
        <v>2396</v>
      </c>
      <c r="M343" t="s">
        <v>560</v>
      </c>
      <c r="N343" t="s">
        <v>773</v>
      </c>
      <c r="O343" t="s">
        <v>31</v>
      </c>
      <c r="P343" t="s">
        <v>2397</v>
      </c>
      <c r="Q343" t="s">
        <v>126</v>
      </c>
      <c r="R343" s="26" t="s">
        <v>2232</v>
      </c>
      <c r="S343">
        <v>1</v>
      </c>
      <c r="T343">
        <v>3737</v>
      </c>
      <c r="U343">
        <v>0</v>
      </c>
      <c r="V343">
        <v>3737</v>
      </c>
    </row>
    <row r="344" spans="1:22" x14ac:dyDescent="0.3">
      <c r="A344">
        <v>79452</v>
      </c>
      <c r="B344">
        <v>455376244</v>
      </c>
      <c r="C344" t="s">
        <v>2398</v>
      </c>
      <c r="D344" s="9" t="s">
        <v>2399</v>
      </c>
      <c r="E344" t="s">
        <v>769</v>
      </c>
      <c r="F344" t="s">
        <v>770</v>
      </c>
      <c r="G344" t="s">
        <v>28</v>
      </c>
      <c r="H344" t="s">
        <v>29</v>
      </c>
      <c r="I344" t="s">
        <v>34</v>
      </c>
      <c r="J344" t="s">
        <v>30</v>
      </c>
      <c r="K344" t="s">
        <v>27</v>
      </c>
      <c r="L344" t="s">
        <v>2400</v>
      </c>
      <c r="M344" t="s">
        <v>2401</v>
      </c>
      <c r="N344" t="s">
        <v>773</v>
      </c>
      <c r="O344" t="s">
        <v>31</v>
      </c>
      <c r="P344" t="s">
        <v>2402</v>
      </c>
      <c r="Q344" t="s">
        <v>68</v>
      </c>
      <c r="R344" s="26" t="s">
        <v>741</v>
      </c>
      <c r="S344">
        <v>1.2</v>
      </c>
      <c r="T344">
        <v>5564</v>
      </c>
      <c r="U344">
        <v>0</v>
      </c>
      <c r="V344">
        <v>5564</v>
      </c>
    </row>
    <row r="345" spans="1:22" x14ac:dyDescent="0.3">
      <c r="A345">
        <v>79452</v>
      </c>
      <c r="B345">
        <v>455358310</v>
      </c>
      <c r="C345" t="s">
        <v>2403</v>
      </c>
      <c r="D345" s="9" t="s">
        <v>2404</v>
      </c>
      <c r="E345" t="s">
        <v>769</v>
      </c>
      <c r="F345" t="s">
        <v>770</v>
      </c>
      <c r="G345" t="s">
        <v>28</v>
      </c>
      <c r="H345" t="s">
        <v>29</v>
      </c>
      <c r="I345" t="s">
        <v>34</v>
      </c>
      <c r="J345" t="s">
        <v>30</v>
      </c>
      <c r="K345" t="s">
        <v>27</v>
      </c>
      <c r="L345" t="s">
        <v>2405</v>
      </c>
      <c r="M345" t="s">
        <v>2406</v>
      </c>
      <c r="N345" t="s">
        <v>773</v>
      </c>
      <c r="O345" t="s">
        <v>31</v>
      </c>
      <c r="P345" t="s">
        <v>2407</v>
      </c>
      <c r="Q345" t="s">
        <v>61</v>
      </c>
      <c r="R345" s="26" t="s">
        <v>403</v>
      </c>
      <c r="S345">
        <v>1</v>
      </c>
      <c r="T345">
        <v>3631</v>
      </c>
      <c r="U345">
        <v>0</v>
      </c>
      <c r="V345">
        <v>3631</v>
      </c>
    </row>
    <row r="346" spans="1:22" x14ac:dyDescent="0.3">
      <c r="A346">
        <v>79452</v>
      </c>
      <c r="B346">
        <v>455358304</v>
      </c>
      <c r="C346" t="s">
        <v>2408</v>
      </c>
      <c r="D346" s="9" t="s">
        <v>2409</v>
      </c>
      <c r="E346" t="s">
        <v>769</v>
      </c>
      <c r="F346" t="s">
        <v>770</v>
      </c>
      <c r="G346" t="s">
        <v>28</v>
      </c>
      <c r="H346" t="s">
        <v>29</v>
      </c>
      <c r="I346" t="s">
        <v>34</v>
      </c>
      <c r="J346" t="s">
        <v>30</v>
      </c>
      <c r="K346" t="s">
        <v>27</v>
      </c>
      <c r="L346" t="s">
        <v>2410</v>
      </c>
      <c r="M346" t="s">
        <v>2411</v>
      </c>
      <c r="N346" t="s">
        <v>773</v>
      </c>
      <c r="O346" t="s">
        <v>31</v>
      </c>
      <c r="P346" t="s">
        <v>2412</v>
      </c>
      <c r="Q346" t="s">
        <v>88</v>
      </c>
      <c r="R346" s="26" t="s">
        <v>403</v>
      </c>
      <c r="S346">
        <v>1</v>
      </c>
      <c r="T346">
        <v>5024</v>
      </c>
      <c r="U346">
        <v>0</v>
      </c>
      <c r="V346">
        <v>5024</v>
      </c>
    </row>
    <row r="347" spans="1:22" x14ac:dyDescent="0.3">
      <c r="A347">
        <v>79452</v>
      </c>
      <c r="B347">
        <v>455370690</v>
      </c>
      <c r="C347" t="s">
        <v>2413</v>
      </c>
      <c r="D347" s="9" t="s">
        <v>2414</v>
      </c>
      <c r="E347" t="s">
        <v>769</v>
      </c>
      <c r="F347" t="s">
        <v>770</v>
      </c>
      <c r="G347" t="s">
        <v>28</v>
      </c>
      <c r="H347" t="s">
        <v>29</v>
      </c>
      <c r="I347" t="s">
        <v>34</v>
      </c>
      <c r="J347" t="s">
        <v>30</v>
      </c>
      <c r="K347" t="s">
        <v>27</v>
      </c>
      <c r="L347" t="s">
        <v>2415</v>
      </c>
      <c r="M347" t="s">
        <v>2357</v>
      </c>
      <c r="N347" t="s">
        <v>773</v>
      </c>
      <c r="O347" t="s">
        <v>31</v>
      </c>
      <c r="P347" t="s">
        <v>2416</v>
      </c>
      <c r="Q347" t="s">
        <v>85</v>
      </c>
      <c r="R347" s="26" t="s">
        <v>2417</v>
      </c>
      <c r="S347">
        <v>0.8</v>
      </c>
      <c r="T347">
        <v>3631</v>
      </c>
      <c r="U347">
        <v>0</v>
      </c>
      <c r="V347">
        <v>3631</v>
      </c>
    </row>
    <row r="348" spans="1:22" x14ac:dyDescent="0.3">
      <c r="A348">
        <v>79452</v>
      </c>
      <c r="B348">
        <v>455358312</v>
      </c>
      <c r="C348" t="s">
        <v>2418</v>
      </c>
      <c r="D348" s="9" t="s">
        <v>2419</v>
      </c>
      <c r="E348" t="s">
        <v>769</v>
      </c>
      <c r="F348" t="s">
        <v>770</v>
      </c>
      <c r="G348" t="s">
        <v>28</v>
      </c>
      <c r="H348" t="s">
        <v>29</v>
      </c>
      <c r="I348" t="s">
        <v>34</v>
      </c>
      <c r="J348" t="s">
        <v>30</v>
      </c>
      <c r="K348" t="s">
        <v>27</v>
      </c>
      <c r="L348" t="s">
        <v>2420</v>
      </c>
      <c r="M348" t="s">
        <v>2421</v>
      </c>
      <c r="N348" t="s">
        <v>773</v>
      </c>
      <c r="O348" t="s">
        <v>31</v>
      </c>
      <c r="P348" t="s">
        <v>2422</v>
      </c>
      <c r="Q348" t="s">
        <v>81</v>
      </c>
      <c r="R348" s="26" t="s">
        <v>403</v>
      </c>
      <c r="S348">
        <v>1.1000000000000001</v>
      </c>
      <c r="T348">
        <v>3935</v>
      </c>
      <c r="U348">
        <v>0</v>
      </c>
      <c r="V348">
        <v>3935</v>
      </c>
    </row>
    <row r="349" spans="1:22" x14ac:dyDescent="0.3">
      <c r="A349">
        <v>79452</v>
      </c>
      <c r="B349">
        <v>455358309</v>
      </c>
      <c r="C349" t="s">
        <v>2423</v>
      </c>
      <c r="D349" s="9" t="s">
        <v>2424</v>
      </c>
      <c r="E349" t="s">
        <v>769</v>
      </c>
      <c r="F349" t="s">
        <v>770</v>
      </c>
      <c r="G349" t="s">
        <v>28</v>
      </c>
      <c r="H349" t="s">
        <v>29</v>
      </c>
      <c r="I349" t="s">
        <v>34</v>
      </c>
      <c r="J349" t="s">
        <v>30</v>
      </c>
      <c r="K349" t="s">
        <v>27</v>
      </c>
      <c r="L349" t="s">
        <v>2425</v>
      </c>
      <c r="M349" t="s">
        <v>2426</v>
      </c>
      <c r="N349" t="s">
        <v>773</v>
      </c>
      <c r="O349" t="s">
        <v>31</v>
      </c>
      <c r="P349" t="s">
        <v>2427</v>
      </c>
      <c r="Q349" t="s">
        <v>99</v>
      </c>
      <c r="R349" s="26" t="s">
        <v>403</v>
      </c>
      <c r="S349">
        <v>1</v>
      </c>
      <c r="T349">
        <v>3250</v>
      </c>
      <c r="U349">
        <v>0</v>
      </c>
      <c r="V349">
        <v>3250</v>
      </c>
    </row>
    <row r="350" spans="1:22" x14ac:dyDescent="0.3">
      <c r="A350">
        <v>79452</v>
      </c>
      <c r="B350">
        <v>454971657</v>
      </c>
      <c r="C350" t="s">
        <v>2428</v>
      </c>
      <c r="D350" s="9" t="s">
        <v>2429</v>
      </c>
      <c r="E350" t="s">
        <v>769</v>
      </c>
      <c r="F350" t="s">
        <v>770</v>
      </c>
      <c r="G350" t="s">
        <v>28</v>
      </c>
      <c r="H350" t="s">
        <v>29</v>
      </c>
      <c r="I350" t="s">
        <v>34</v>
      </c>
      <c r="J350" t="s">
        <v>30</v>
      </c>
      <c r="K350" t="s">
        <v>27</v>
      </c>
      <c r="L350" t="s">
        <v>2430</v>
      </c>
      <c r="M350" t="s">
        <v>2431</v>
      </c>
      <c r="N350" t="s">
        <v>773</v>
      </c>
      <c r="O350" t="s">
        <v>31</v>
      </c>
      <c r="P350" t="s">
        <v>964</v>
      </c>
      <c r="Q350" t="s">
        <v>175</v>
      </c>
      <c r="R350" s="26" t="s">
        <v>2432</v>
      </c>
      <c r="S350">
        <v>1</v>
      </c>
      <c r="T350">
        <v>5564</v>
      </c>
      <c r="U350">
        <v>0</v>
      </c>
      <c r="V350">
        <v>5564</v>
      </c>
    </row>
    <row r="351" spans="1:22" x14ac:dyDescent="0.3">
      <c r="A351">
        <v>79452</v>
      </c>
      <c r="B351">
        <v>455229149</v>
      </c>
      <c r="C351" t="s">
        <v>2433</v>
      </c>
      <c r="D351" s="9" t="s">
        <v>2434</v>
      </c>
      <c r="E351" t="s">
        <v>769</v>
      </c>
      <c r="F351" t="s">
        <v>770</v>
      </c>
      <c r="G351" t="s">
        <v>28</v>
      </c>
      <c r="H351" t="s">
        <v>29</v>
      </c>
      <c r="I351" t="s">
        <v>34</v>
      </c>
      <c r="J351" t="s">
        <v>30</v>
      </c>
      <c r="K351" t="s">
        <v>27</v>
      </c>
      <c r="L351" t="s">
        <v>2435</v>
      </c>
      <c r="M351" t="s">
        <v>2436</v>
      </c>
      <c r="N351" t="s">
        <v>773</v>
      </c>
      <c r="O351" t="s">
        <v>31</v>
      </c>
      <c r="P351" t="s">
        <v>2437</v>
      </c>
      <c r="Q351" t="s">
        <v>88</v>
      </c>
      <c r="R351" s="26" t="s">
        <v>2438</v>
      </c>
      <c r="S351">
        <v>1</v>
      </c>
      <c r="T351">
        <v>5024</v>
      </c>
      <c r="U351">
        <v>0</v>
      </c>
      <c r="V351">
        <v>5024</v>
      </c>
    </row>
    <row r="352" spans="1:22" x14ac:dyDescent="0.3">
      <c r="A352">
        <v>79452</v>
      </c>
      <c r="B352">
        <v>455322550</v>
      </c>
      <c r="C352" t="s">
        <v>2439</v>
      </c>
      <c r="D352" s="9" t="s">
        <v>2440</v>
      </c>
      <c r="E352" t="s">
        <v>769</v>
      </c>
      <c r="F352" t="s">
        <v>770</v>
      </c>
      <c r="G352" t="s">
        <v>28</v>
      </c>
      <c r="H352" t="s">
        <v>29</v>
      </c>
      <c r="I352" t="s">
        <v>34</v>
      </c>
      <c r="J352" t="s">
        <v>30</v>
      </c>
      <c r="K352" t="s">
        <v>27</v>
      </c>
      <c r="L352" t="s">
        <v>2441</v>
      </c>
      <c r="M352" t="s">
        <v>830</v>
      </c>
      <c r="N352" t="s">
        <v>773</v>
      </c>
      <c r="O352" t="s">
        <v>31</v>
      </c>
      <c r="P352" t="s">
        <v>831</v>
      </c>
      <c r="Q352" t="s">
        <v>81</v>
      </c>
      <c r="R352" s="26" t="s">
        <v>2442</v>
      </c>
      <c r="S352">
        <v>2.2000000000000002</v>
      </c>
      <c r="T352">
        <v>3935</v>
      </c>
      <c r="U352">
        <v>0</v>
      </c>
      <c r="V352">
        <v>3935</v>
      </c>
    </row>
    <row r="353" spans="1:22" x14ac:dyDescent="0.3">
      <c r="A353">
        <v>79452</v>
      </c>
      <c r="B353">
        <v>455322552</v>
      </c>
      <c r="C353" t="s">
        <v>2443</v>
      </c>
      <c r="D353" s="9" t="s">
        <v>2444</v>
      </c>
      <c r="E353" t="s">
        <v>769</v>
      </c>
      <c r="F353" t="s">
        <v>770</v>
      </c>
      <c r="G353" t="s">
        <v>28</v>
      </c>
      <c r="H353" t="s">
        <v>29</v>
      </c>
      <c r="I353" t="s">
        <v>34</v>
      </c>
      <c r="J353" t="s">
        <v>30</v>
      </c>
      <c r="K353" t="s">
        <v>27</v>
      </c>
      <c r="L353" t="s">
        <v>2445</v>
      </c>
      <c r="M353" t="s">
        <v>2446</v>
      </c>
      <c r="N353" t="s">
        <v>773</v>
      </c>
      <c r="O353" t="s">
        <v>31</v>
      </c>
      <c r="P353" t="s">
        <v>2447</v>
      </c>
      <c r="Q353" t="s">
        <v>119</v>
      </c>
      <c r="R353" s="26" t="s">
        <v>2442</v>
      </c>
      <c r="S353">
        <v>1</v>
      </c>
      <c r="T353">
        <v>4205</v>
      </c>
      <c r="U353">
        <v>0</v>
      </c>
      <c r="V353">
        <v>4205</v>
      </c>
    </row>
    <row r="354" spans="1:22" x14ac:dyDescent="0.3">
      <c r="A354">
        <v>79452</v>
      </c>
      <c r="B354">
        <v>455229160</v>
      </c>
      <c r="C354" t="s">
        <v>2448</v>
      </c>
      <c r="D354" s="9" t="s">
        <v>2449</v>
      </c>
      <c r="E354" t="s">
        <v>769</v>
      </c>
      <c r="F354" t="s">
        <v>770</v>
      </c>
      <c r="G354" t="s">
        <v>28</v>
      </c>
      <c r="H354" t="s">
        <v>29</v>
      </c>
      <c r="I354" t="s">
        <v>34</v>
      </c>
      <c r="J354" t="s">
        <v>30</v>
      </c>
      <c r="K354" t="s">
        <v>27</v>
      </c>
      <c r="L354" t="s">
        <v>2450</v>
      </c>
      <c r="M354" t="s">
        <v>2451</v>
      </c>
      <c r="N354" t="s">
        <v>773</v>
      </c>
      <c r="O354" t="s">
        <v>31</v>
      </c>
      <c r="P354" t="s">
        <v>2452</v>
      </c>
      <c r="Q354" t="s">
        <v>84</v>
      </c>
      <c r="R354" s="26" t="s">
        <v>2438</v>
      </c>
      <c r="S354">
        <v>1</v>
      </c>
      <c r="T354">
        <v>5564</v>
      </c>
      <c r="U354">
        <v>0</v>
      </c>
      <c r="V354">
        <v>5564</v>
      </c>
    </row>
    <row r="355" spans="1:22" x14ac:dyDescent="0.3">
      <c r="A355">
        <v>79452</v>
      </c>
      <c r="B355">
        <v>455298520</v>
      </c>
      <c r="C355" t="s">
        <v>2453</v>
      </c>
      <c r="D355" s="9" t="s">
        <v>2454</v>
      </c>
      <c r="E355" t="s">
        <v>769</v>
      </c>
      <c r="F355" t="s">
        <v>770</v>
      </c>
      <c r="G355" t="s">
        <v>28</v>
      </c>
      <c r="H355" t="s">
        <v>29</v>
      </c>
      <c r="I355" t="s">
        <v>34</v>
      </c>
      <c r="J355" t="s">
        <v>30</v>
      </c>
      <c r="K355" t="s">
        <v>27</v>
      </c>
      <c r="L355" t="s">
        <v>2455</v>
      </c>
      <c r="M355" t="s">
        <v>2456</v>
      </c>
      <c r="N355" t="s">
        <v>773</v>
      </c>
      <c r="O355" t="s">
        <v>31</v>
      </c>
      <c r="P355" t="s">
        <v>2457</v>
      </c>
      <c r="Q355" t="s">
        <v>88</v>
      </c>
      <c r="R355" s="26" t="s">
        <v>2458</v>
      </c>
      <c r="S355">
        <v>1</v>
      </c>
      <c r="T355">
        <v>5024</v>
      </c>
      <c r="U355">
        <v>0</v>
      </c>
      <c r="V355">
        <v>5024</v>
      </c>
    </row>
    <row r="356" spans="1:22" x14ac:dyDescent="0.3">
      <c r="A356">
        <v>79452</v>
      </c>
      <c r="B356">
        <v>455275128</v>
      </c>
      <c r="C356" t="s">
        <v>2459</v>
      </c>
      <c r="D356" s="9" t="s">
        <v>2460</v>
      </c>
      <c r="E356" t="s">
        <v>769</v>
      </c>
      <c r="F356" t="s">
        <v>770</v>
      </c>
      <c r="G356" t="s">
        <v>28</v>
      </c>
      <c r="H356" t="s">
        <v>29</v>
      </c>
      <c r="I356" t="s">
        <v>34</v>
      </c>
      <c r="J356" t="s">
        <v>30</v>
      </c>
      <c r="K356" t="s">
        <v>27</v>
      </c>
      <c r="L356" t="s">
        <v>2461</v>
      </c>
      <c r="M356" t="s">
        <v>2462</v>
      </c>
      <c r="N356" t="s">
        <v>773</v>
      </c>
      <c r="O356" t="s">
        <v>31</v>
      </c>
      <c r="P356" t="s">
        <v>2463</v>
      </c>
      <c r="Q356" t="s">
        <v>120</v>
      </c>
      <c r="R356" s="26" t="s">
        <v>2464</v>
      </c>
      <c r="S356">
        <v>1</v>
      </c>
      <c r="T356">
        <v>5295</v>
      </c>
      <c r="U356">
        <v>0</v>
      </c>
      <c r="V356">
        <v>5295</v>
      </c>
    </row>
    <row r="357" spans="1:22" x14ac:dyDescent="0.3">
      <c r="A357">
        <v>79452</v>
      </c>
      <c r="B357">
        <v>455298525</v>
      </c>
      <c r="C357" t="s">
        <v>2465</v>
      </c>
      <c r="D357" s="9" t="s">
        <v>2466</v>
      </c>
      <c r="E357" t="s">
        <v>769</v>
      </c>
      <c r="F357" t="s">
        <v>770</v>
      </c>
      <c r="G357" t="s">
        <v>28</v>
      </c>
      <c r="H357" t="s">
        <v>29</v>
      </c>
      <c r="I357" t="s">
        <v>34</v>
      </c>
      <c r="J357" t="s">
        <v>30</v>
      </c>
      <c r="K357" t="s">
        <v>27</v>
      </c>
      <c r="L357" t="s">
        <v>2467</v>
      </c>
      <c r="M357" t="s">
        <v>958</v>
      </c>
      <c r="N357" t="s">
        <v>773</v>
      </c>
      <c r="O357" t="s">
        <v>31</v>
      </c>
      <c r="P357" t="s">
        <v>959</v>
      </c>
      <c r="Q357" t="s">
        <v>88</v>
      </c>
      <c r="R357" s="26" t="s">
        <v>2458</v>
      </c>
      <c r="S357">
        <v>1</v>
      </c>
      <c r="T357">
        <v>5024</v>
      </c>
      <c r="U357">
        <v>0</v>
      </c>
      <c r="V357">
        <v>5024</v>
      </c>
    </row>
    <row r="358" spans="1:22" x14ac:dyDescent="0.3">
      <c r="A358">
        <v>79452</v>
      </c>
      <c r="B358">
        <v>455322549</v>
      </c>
      <c r="C358" t="s">
        <v>2468</v>
      </c>
      <c r="D358" s="9" t="s">
        <v>2469</v>
      </c>
      <c r="E358" t="s">
        <v>769</v>
      </c>
      <c r="F358" t="s">
        <v>770</v>
      </c>
      <c r="G358" t="s">
        <v>28</v>
      </c>
      <c r="H358" t="s">
        <v>29</v>
      </c>
      <c r="I358" t="s">
        <v>34</v>
      </c>
      <c r="J358" t="s">
        <v>30</v>
      </c>
      <c r="K358" t="s">
        <v>27</v>
      </c>
      <c r="L358" t="s">
        <v>2470</v>
      </c>
      <c r="M358" t="s">
        <v>923</v>
      </c>
      <c r="N358" t="s">
        <v>773</v>
      </c>
      <c r="O358" t="s">
        <v>31</v>
      </c>
      <c r="P358" t="s">
        <v>924</v>
      </c>
      <c r="Q358" t="s">
        <v>62</v>
      </c>
      <c r="R358" s="26" t="s">
        <v>2442</v>
      </c>
      <c r="S358">
        <v>1</v>
      </c>
      <c r="T358">
        <v>3384</v>
      </c>
      <c r="U358">
        <v>0</v>
      </c>
      <c r="V358">
        <v>3384</v>
      </c>
    </row>
    <row r="359" spans="1:22" x14ac:dyDescent="0.3">
      <c r="A359">
        <v>79452</v>
      </c>
      <c r="B359">
        <v>455322554</v>
      </c>
      <c r="C359" t="s">
        <v>2471</v>
      </c>
      <c r="D359" s="9" t="s">
        <v>2472</v>
      </c>
      <c r="E359" t="s">
        <v>769</v>
      </c>
      <c r="F359" t="s">
        <v>770</v>
      </c>
      <c r="G359" t="s">
        <v>28</v>
      </c>
      <c r="H359" t="s">
        <v>29</v>
      </c>
      <c r="I359" t="s">
        <v>34</v>
      </c>
      <c r="J359" t="s">
        <v>30</v>
      </c>
      <c r="K359" t="s">
        <v>27</v>
      </c>
      <c r="L359" t="s">
        <v>2473</v>
      </c>
      <c r="M359" t="s">
        <v>2474</v>
      </c>
      <c r="N359" t="s">
        <v>773</v>
      </c>
      <c r="O359" t="s">
        <v>31</v>
      </c>
      <c r="P359" t="s">
        <v>2475</v>
      </c>
      <c r="Q359" t="s">
        <v>109</v>
      </c>
      <c r="R359" s="26" t="s">
        <v>2442</v>
      </c>
      <c r="S359">
        <v>2.2000000000000002</v>
      </c>
      <c r="T359">
        <v>3250</v>
      </c>
      <c r="U359">
        <v>0</v>
      </c>
      <c r="V359">
        <v>3250</v>
      </c>
    </row>
    <row r="360" spans="1:22" x14ac:dyDescent="0.3">
      <c r="A360">
        <v>79452</v>
      </c>
      <c r="B360">
        <v>455334101</v>
      </c>
      <c r="C360" t="s">
        <v>2476</v>
      </c>
      <c r="D360" s="9" t="s">
        <v>2477</v>
      </c>
      <c r="E360" t="s">
        <v>769</v>
      </c>
      <c r="F360" t="s">
        <v>770</v>
      </c>
      <c r="G360" t="s">
        <v>28</v>
      </c>
      <c r="H360" t="s">
        <v>29</v>
      </c>
      <c r="I360" t="s">
        <v>34</v>
      </c>
      <c r="J360" t="s">
        <v>30</v>
      </c>
      <c r="K360" t="s">
        <v>27</v>
      </c>
      <c r="L360" t="s">
        <v>2478</v>
      </c>
      <c r="M360" t="s">
        <v>2479</v>
      </c>
      <c r="N360" t="s">
        <v>773</v>
      </c>
      <c r="O360" t="s">
        <v>31</v>
      </c>
      <c r="P360" t="s">
        <v>2480</v>
      </c>
      <c r="Q360" t="s">
        <v>67</v>
      </c>
      <c r="R360" s="26" t="s">
        <v>444</v>
      </c>
      <c r="S360">
        <v>1.1000000000000001</v>
      </c>
      <c r="T360">
        <v>3384</v>
      </c>
      <c r="U360">
        <v>0</v>
      </c>
      <c r="V360">
        <v>3384</v>
      </c>
    </row>
    <row r="361" spans="1:22" x14ac:dyDescent="0.3">
      <c r="A361">
        <v>79452</v>
      </c>
      <c r="B361">
        <v>455322557</v>
      </c>
      <c r="C361" t="s">
        <v>2481</v>
      </c>
      <c r="D361" s="9" t="s">
        <v>2482</v>
      </c>
      <c r="E361" t="s">
        <v>769</v>
      </c>
      <c r="F361" t="s">
        <v>770</v>
      </c>
      <c r="G361" t="s">
        <v>28</v>
      </c>
      <c r="H361" t="s">
        <v>29</v>
      </c>
      <c r="I361" t="s">
        <v>34</v>
      </c>
      <c r="J361" t="s">
        <v>30</v>
      </c>
      <c r="K361" t="s">
        <v>27</v>
      </c>
      <c r="L361" t="s">
        <v>2483</v>
      </c>
      <c r="M361" t="s">
        <v>2484</v>
      </c>
      <c r="N361" t="s">
        <v>773</v>
      </c>
      <c r="O361" t="s">
        <v>31</v>
      </c>
      <c r="P361" t="s">
        <v>2485</v>
      </c>
      <c r="Q361" t="s">
        <v>85</v>
      </c>
      <c r="R361" s="26" t="s">
        <v>2442</v>
      </c>
      <c r="S361">
        <v>1.6</v>
      </c>
      <c r="T361">
        <v>3631</v>
      </c>
      <c r="U361">
        <v>0</v>
      </c>
      <c r="V361">
        <v>3631</v>
      </c>
    </row>
    <row r="362" spans="1:22" x14ac:dyDescent="0.3">
      <c r="A362">
        <v>79452</v>
      </c>
      <c r="B362">
        <v>455298536</v>
      </c>
      <c r="C362" t="s">
        <v>2486</v>
      </c>
      <c r="D362" s="9" t="s">
        <v>2487</v>
      </c>
      <c r="E362" t="s">
        <v>769</v>
      </c>
      <c r="F362" t="s">
        <v>770</v>
      </c>
      <c r="G362" t="s">
        <v>28</v>
      </c>
      <c r="H362" t="s">
        <v>29</v>
      </c>
      <c r="I362" t="s">
        <v>34</v>
      </c>
      <c r="J362" t="s">
        <v>30</v>
      </c>
      <c r="K362" t="s">
        <v>27</v>
      </c>
      <c r="L362" t="s">
        <v>2488</v>
      </c>
      <c r="M362" t="s">
        <v>2489</v>
      </c>
      <c r="N362" t="s">
        <v>773</v>
      </c>
      <c r="O362" t="s">
        <v>31</v>
      </c>
      <c r="P362" t="s">
        <v>2490</v>
      </c>
      <c r="Q362" t="s">
        <v>69</v>
      </c>
      <c r="R362" s="26" t="s">
        <v>2458</v>
      </c>
      <c r="S362">
        <v>1</v>
      </c>
      <c r="T362">
        <v>3935</v>
      </c>
      <c r="U362">
        <v>0</v>
      </c>
      <c r="V362">
        <v>3935</v>
      </c>
    </row>
    <row r="363" spans="1:22" x14ac:dyDescent="0.3">
      <c r="A363">
        <v>79452</v>
      </c>
      <c r="B363">
        <v>455298527</v>
      </c>
      <c r="C363" t="s">
        <v>2491</v>
      </c>
      <c r="D363" s="9" t="s">
        <v>2492</v>
      </c>
      <c r="E363" t="s">
        <v>769</v>
      </c>
      <c r="F363" t="s">
        <v>770</v>
      </c>
      <c r="G363" t="s">
        <v>28</v>
      </c>
      <c r="H363" t="s">
        <v>29</v>
      </c>
      <c r="I363" t="s">
        <v>34</v>
      </c>
      <c r="J363" t="s">
        <v>30</v>
      </c>
      <c r="K363" t="s">
        <v>27</v>
      </c>
      <c r="L363" t="s">
        <v>2445</v>
      </c>
      <c r="M363" t="s">
        <v>2446</v>
      </c>
      <c r="N363" t="s">
        <v>773</v>
      </c>
      <c r="O363" t="s">
        <v>31</v>
      </c>
      <c r="P363" t="s">
        <v>2447</v>
      </c>
      <c r="Q363" t="s">
        <v>119</v>
      </c>
      <c r="R363" s="26" t="s">
        <v>2458</v>
      </c>
      <c r="S363">
        <v>2.2000000000000002</v>
      </c>
      <c r="T363">
        <v>4205</v>
      </c>
      <c r="U363">
        <v>0</v>
      </c>
      <c r="V363">
        <v>4205</v>
      </c>
    </row>
    <row r="364" spans="1:22" x14ac:dyDescent="0.3">
      <c r="A364">
        <v>79452</v>
      </c>
      <c r="B364">
        <v>455248981</v>
      </c>
      <c r="C364" t="s">
        <v>2493</v>
      </c>
      <c r="D364" s="9" t="s">
        <v>2494</v>
      </c>
      <c r="E364" t="s">
        <v>769</v>
      </c>
      <c r="F364" t="s">
        <v>770</v>
      </c>
      <c r="G364" t="s">
        <v>28</v>
      </c>
      <c r="H364" t="s">
        <v>29</v>
      </c>
      <c r="I364" t="s">
        <v>34</v>
      </c>
      <c r="J364" t="s">
        <v>30</v>
      </c>
      <c r="K364" t="s">
        <v>27</v>
      </c>
      <c r="L364" t="s">
        <v>2495</v>
      </c>
      <c r="M364" t="s">
        <v>2496</v>
      </c>
      <c r="N364" t="s">
        <v>773</v>
      </c>
      <c r="O364" t="s">
        <v>31</v>
      </c>
      <c r="P364" t="s">
        <v>2497</v>
      </c>
      <c r="Q364" t="s">
        <v>109</v>
      </c>
      <c r="R364" s="26" t="s">
        <v>2498</v>
      </c>
      <c r="S364">
        <v>1</v>
      </c>
      <c r="T364">
        <v>3250</v>
      </c>
      <c r="U364">
        <v>0</v>
      </c>
      <c r="V364">
        <v>3250</v>
      </c>
    </row>
    <row r="365" spans="1:22" x14ac:dyDescent="0.3">
      <c r="A365">
        <v>79452</v>
      </c>
      <c r="B365">
        <v>455229166</v>
      </c>
      <c r="C365" t="s">
        <v>2499</v>
      </c>
      <c r="D365" s="9" t="s">
        <v>2500</v>
      </c>
      <c r="E365" t="s">
        <v>769</v>
      </c>
      <c r="F365" t="s">
        <v>770</v>
      </c>
      <c r="G365" t="s">
        <v>28</v>
      </c>
      <c r="H365" t="s">
        <v>29</v>
      </c>
      <c r="I365" t="s">
        <v>34</v>
      </c>
      <c r="J365" t="s">
        <v>30</v>
      </c>
      <c r="K365" t="s">
        <v>27</v>
      </c>
      <c r="L365" t="s">
        <v>2501</v>
      </c>
      <c r="M365" t="s">
        <v>733</v>
      </c>
      <c r="N365" t="s">
        <v>773</v>
      </c>
      <c r="O365" t="s">
        <v>31</v>
      </c>
      <c r="P365" t="s">
        <v>2502</v>
      </c>
      <c r="Q365" t="s">
        <v>126</v>
      </c>
      <c r="R365" s="26" t="s">
        <v>2438</v>
      </c>
      <c r="S365">
        <v>1</v>
      </c>
      <c r="T365">
        <v>3737</v>
      </c>
      <c r="U365">
        <v>0</v>
      </c>
      <c r="V365">
        <v>3737</v>
      </c>
    </row>
    <row r="366" spans="1:22" x14ac:dyDescent="0.3">
      <c r="A366">
        <v>79452</v>
      </c>
      <c r="B366">
        <v>455196851</v>
      </c>
      <c r="C366" t="s">
        <v>2503</v>
      </c>
      <c r="D366" s="9" t="s">
        <v>2504</v>
      </c>
      <c r="E366" t="s">
        <v>769</v>
      </c>
      <c r="F366" t="s">
        <v>770</v>
      </c>
      <c r="G366" t="s">
        <v>28</v>
      </c>
      <c r="H366" t="s">
        <v>29</v>
      </c>
      <c r="I366" t="s">
        <v>34</v>
      </c>
      <c r="J366" t="s">
        <v>30</v>
      </c>
      <c r="K366" t="s">
        <v>27</v>
      </c>
      <c r="L366" t="s">
        <v>2505</v>
      </c>
      <c r="M366" t="s">
        <v>2506</v>
      </c>
      <c r="N366" t="s">
        <v>773</v>
      </c>
      <c r="O366" t="s">
        <v>31</v>
      </c>
      <c r="P366" t="s">
        <v>2507</v>
      </c>
      <c r="Q366" t="s">
        <v>88</v>
      </c>
      <c r="R366" s="26" t="s">
        <v>2508</v>
      </c>
      <c r="S366">
        <v>1</v>
      </c>
      <c r="T366">
        <v>5024</v>
      </c>
      <c r="U366">
        <v>0</v>
      </c>
      <c r="V366">
        <v>5024</v>
      </c>
    </row>
    <row r="367" spans="1:22" x14ac:dyDescent="0.3">
      <c r="A367">
        <v>79452</v>
      </c>
      <c r="B367">
        <v>455229167</v>
      </c>
      <c r="C367" t="s">
        <v>2509</v>
      </c>
      <c r="D367" s="9" t="s">
        <v>2510</v>
      </c>
      <c r="E367" t="s">
        <v>769</v>
      </c>
      <c r="F367" t="s">
        <v>770</v>
      </c>
      <c r="G367" t="s">
        <v>28</v>
      </c>
      <c r="H367" t="s">
        <v>29</v>
      </c>
      <c r="I367" t="s">
        <v>34</v>
      </c>
      <c r="J367" t="s">
        <v>30</v>
      </c>
      <c r="K367" t="s">
        <v>27</v>
      </c>
      <c r="L367" t="s">
        <v>2121</v>
      </c>
      <c r="M367" t="s">
        <v>2511</v>
      </c>
      <c r="N367" t="s">
        <v>773</v>
      </c>
      <c r="O367" t="s">
        <v>31</v>
      </c>
      <c r="P367" t="s">
        <v>2512</v>
      </c>
      <c r="Q367" t="s">
        <v>162</v>
      </c>
      <c r="R367" s="26" t="s">
        <v>2438</v>
      </c>
      <c r="S367">
        <v>1.7</v>
      </c>
      <c r="T367">
        <v>3737</v>
      </c>
      <c r="U367">
        <v>0</v>
      </c>
      <c r="V367">
        <v>3737</v>
      </c>
    </row>
    <row r="368" spans="1:22" x14ac:dyDescent="0.3">
      <c r="A368">
        <v>79452</v>
      </c>
      <c r="B368">
        <v>455205203</v>
      </c>
      <c r="C368" t="s">
        <v>2513</v>
      </c>
      <c r="D368" s="9" t="s">
        <v>2514</v>
      </c>
      <c r="E368" t="s">
        <v>769</v>
      </c>
      <c r="F368" t="s">
        <v>770</v>
      </c>
      <c r="G368" t="s">
        <v>28</v>
      </c>
      <c r="H368" t="s">
        <v>29</v>
      </c>
      <c r="I368" t="s">
        <v>34</v>
      </c>
      <c r="J368" t="s">
        <v>30</v>
      </c>
      <c r="K368" t="s">
        <v>27</v>
      </c>
      <c r="L368" t="s">
        <v>2515</v>
      </c>
      <c r="M368" t="s">
        <v>2516</v>
      </c>
      <c r="N368" t="s">
        <v>773</v>
      </c>
      <c r="O368" t="s">
        <v>31</v>
      </c>
      <c r="P368" t="s">
        <v>2517</v>
      </c>
      <c r="Q368" t="s">
        <v>224</v>
      </c>
      <c r="R368" s="26" t="s">
        <v>2518</v>
      </c>
      <c r="S368">
        <v>1</v>
      </c>
      <c r="T368">
        <v>3631</v>
      </c>
      <c r="U368">
        <v>0</v>
      </c>
      <c r="V368">
        <v>3631</v>
      </c>
    </row>
    <row r="369" spans="1:22" x14ac:dyDescent="0.3">
      <c r="A369">
        <v>79452</v>
      </c>
      <c r="B369">
        <v>455229165</v>
      </c>
      <c r="C369" t="s">
        <v>2519</v>
      </c>
      <c r="D369" s="9" t="s">
        <v>2520</v>
      </c>
      <c r="E369" t="s">
        <v>769</v>
      </c>
      <c r="F369" t="s">
        <v>770</v>
      </c>
      <c r="G369" t="s">
        <v>28</v>
      </c>
      <c r="H369" t="s">
        <v>29</v>
      </c>
      <c r="I369" t="s">
        <v>34</v>
      </c>
      <c r="J369" t="s">
        <v>30</v>
      </c>
      <c r="K369" t="s">
        <v>27</v>
      </c>
      <c r="L369" t="s">
        <v>2521</v>
      </c>
      <c r="M369" t="s">
        <v>2522</v>
      </c>
      <c r="N369" t="s">
        <v>773</v>
      </c>
      <c r="O369" t="s">
        <v>31</v>
      </c>
      <c r="P369" t="s">
        <v>2523</v>
      </c>
      <c r="Q369" t="s">
        <v>81</v>
      </c>
      <c r="R369" s="26" t="s">
        <v>2438</v>
      </c>
      <c r="S369">
        <v>1</v>
      </c>
      <c r="T369">
        <v>3935</v>
      </c>
      <c r="U369">
        <v>0</v>
      </c>
      <c r="V369">
        <v>3935</v>
      </c>
    </row>
    <row r="370" spans="1:22" x14ac:dyDescent="0.3">
      <c r="A370">
        <v>79452</v>
      </c>
      <c r="B370">
        <v>455205206</v>
      </c>
      <c r="C370" t="s">
        <v>2524</v>
      </c>
      <c r="D370" s="9" t="s">
        <v>2525</v>
      </c>
      <c r="E370" t="s">
        <v>769</v>
      </c>
      <c r="F370" t="s">
        <v>770</v>
      </c>
      <c r="G370" t="s">
        <v>28</v>
      </c>
      <c r="H370" t="s">
        <v>29</v>
      </c>
      <c r="I370" t="s">
        <v>34</v>
      </c>
      <c r="J370" t="s">
        <v>30</v>
      </c>
      <c r="K370" t="s">
        <v>60</v>
      </c>
      <c r="L370" t="s">
        <v>157</v>
      </c>
      <c r="M370" t="s">
        <v>2526</v>
      </c>
      <c r="N370" t="s">
        <v>773</v>
      </c>
      <c r="O370" t="s">
        <v>31</v>
      </c>
      <c r="P370" t="s">
        <v>2527</v>
      </c>
      <c r="Q370" t="s">
        <v>69</v>
      </c>
      <c r="R370" s="26" t="s">
        <v>2518</v>
      </c>
      <c r="S370">
        <v>1</v>
      </c>
      <c r="T370">
        <v>3935</v>
      </c>
      <c r="U370">
        <v>0</v>
      </c>
      <c r="V370">
        <v>3935</v>
      </c>
    </row>
    <row r="371" spans="1:22" x14ac:dyDescent="0.3">
      <c r="A371">
        <v>79452</v>
      </c>
      <c r="B371">
        <v>455229144</v>
      </c>
      <c r="C371" t="s">
        <v>2528</v>
      </c>
      <c r="D371" s="9" t="s">
        <v>2529</v>
      </c>
      <c r="E371" t="s">
        <v>769</v>
      </c>
      <c r="F371" t="s">
        <v>770</v>
      </c>
      <c r="G371" t="s">
        <v>28</v>
      </c>
      <c r="H371" t="s">
        <v>29</v>
      </c>
      <c r="I371" t="s">
        <v>34</v>
      </c>
      <c r="J371" t="s">
        <v>30</v>
      </c>
      <c r="K371" t="s">
        <v>27</v>
      </c>
      <c r="L371" t="s">
        <v>2530</v>
      </c>
      <c r="M371" t="s">
        <v>2531</v>
      </c>
      <c r="N371" t="s">
        <v>773</v>
      </c>
      <c r="O371" t="s">
        <v>31</v>
      </c>
      <c r="P371" t="s">
        <v>2532</v>
      </c>
      <c r="Q371" t="s">
        <v>135</v>
      </c>
      <c r="R371" s="26" t="s">
        <v>2438</v>
      </c>
      <c r="S371">
        <v>1</v>
      </c>
      <c r="T371">
        <v>3250</v>
      </c>
      <c r="U371">
        <v>0</v>
      </c>
      <c r="V371">
        <v>3250</v>
      </c>
    </row>
    <row r="372" spans="1:22" x14ac:dyDescent="0.3">
      <c r="A372">
        <v>79452</v>
      </c>
      <c r="B372">
        <v>455205202</v>
      </c>
      <c r="C372" t="s">
        <v>2533</v>
      </c>
      <c r="D372" s="9" t="s">
        <v>2534</v>
      </c>
      <c r="E372" t="s">
        <v>769</v>
      </c>
      <c r="F372" t="s">
        <v>770</v>
      </c>
      <c r="G372" t="s">
        <v>28</v>
      </c>
      <c r="H372" t="s">
        <v>29</v>
      </c>
      <c r="I372" t="s">
        <v>34</v>
      </c>
      <c r="J372" t="s">
        <v>30</v>
      </c>
      <c r="K372" t="s">
        <v>27</v>
      </c>
      <c r="L372" t="s">
        <v>2535</v>
      </c>
      <c r="M372" t="s">
        <v>2536</v>
      </c>
      <c r="N372" t="s">
        <v>773</v>
      </c>
      <c r="O372" t="s">
        <v>31</v>
      </c>
      <c r="P372" t="s">
        <v>2537</v>
      </c>
      <c r="Q372" t="s">
        <v>171</v>
      </c>
      <c r="R372" s="26" t="s">
        <v>2518</v>
      </c>
      <c r="S372">
        <v>1.6</v>
      </c>
      <c r="T372">
        <v>3250</v>
      </c>
      <c r="U372">
        <v>0</v>
      </c>
      <c r="V372">
        <v>3250</v>
      </c>
    </row>
    <row r="373" spans="1:22" x14ac:dyDescent="0.3">
      <c r="A373">
        <v>79452</v>
      </c>
      <c r="B373">
        <v>455205205</v>
      </c>
      <c r="C373" t="s">
        <v>2538</v>
      </c>
      <c r="D373" s="9" t="s">
        <v>2539</v>
      </c>
      <c r="E373" t="s">
        <v>769</v>
      </c>
      <c r="F373" t="s">
        <v>770</v>
      </c>
      <c r="G373" t="s">
        <v>28</v>
      </c>
      <c r="H373" t="s">
        <v>29</v>
      </c>
      <c r="I373" t="s">
        <v>34</v>
      </c>
      <c r="J373" t="s">
        <v>30</v>
      </c>
      <c r="K373" t="s">
        <v>27</v>
      </c>
      <c r="L373" t="s">
        <v>2540</v>
      </c>
      <c r="M373" t="s">
        <v>523</v>
      </c>
      <c r="N373" t="s">
        <v>773</v>
      </c>
      <c r="O373" t="s">
        <v>31</v>
      </c>
      <c r="P373" t="s">
        <v>2541</v>
      </c>
      <c r="Q373" t="s">
        <v>102</v>
      </c>
      <c r="R373" s="26" t="s">
        <v>2518</v>
      </c>
      <c r="S373">
        <v>1</v>
      </c>
      <c r="T373">
        <v>3935</v>
      </c>
      <c r="U373">
        <v>0</v>
      </c>
      <c r="V373">
        <v>3935</v>
      </c>
    </row>
    <row r="374" spans="1:22" x14ac:dyDescent="0.3">
      <c r="A374">
        <v>79452</v>
      </c>
      <c r="B374">
        <v>455196857</v>
      </c>
      <c r="C374" t="s">
        <v>2542</v>
      </c>
      <c r="D374" s="9" t="s">
        <v>2543</v>
      </c>
      <c r="E374" t="s">
        <v>769</v>
      </c>
      <c r="F374" t="s">
        <v>770</v>
      </c>
      <c r="G374" t="s">
        <v>28</v>
      </c>
      <c r="H374" t="s">
        <v>29</v>
      </c>
      <c r="I374" t="s">
        <v>34</v>
      </c>
      <c r="J374" t="s">
        <v>30</v>
      </c>
      <c r="K374" t="s">
        <v>27</v>
      </c>
      <c r="L374" t="s">
        <v>2544</v>
      </c>
      <c r="M374" t="s">
        <v>2545</v>
      </c>
      <c r="N374" t="s">
        <v>773</v>
      </c>
      <c r="O374" t="s">
        <v>31</v>
      </c>
      <c r="P374" t="s">
        <v>2546</v>
      </c>
      <c r="Q374" t="s">
        <v>108</v>
      </c>
      <c r="R374" s="26" t="s">
        <v>2508</v>
      </c>
      <c r="S374">
        <v>1</v>
      </c>
      <c r="T374">
        <v>3250</v>
      </c>
      <c r="U374">
        <v>0</v>
      </c>
      <c r="V374">
        <v>3250</v>
      </c>
    </row>
    <row r="375" spans="1:22" x14ac:dyDescent="0.3">
      <c r="A375">
        <v>79452</v>
      </c>
      <c r="B375">
        <v>454945670</v>
      </c>
      <c r="C375" t="s">
        <v>2547</v>
      </c>
      <c r="D375" s="9" t="s">
        <v>2548</v>
      </c>
      <c r="E375" t="s">
        <v>769</v>
      </c>
      <c r="F375" t="s">
        <v>770</v>
      </c>
      <c r="G375" t="s">
        <v>28</v>
      </c>
      <c r="H375" t="s">
        <v>29</v>
      </c>
      <c r="I375" t="s">
        <v>34</v>
      </c>
      <c r="J375" t="s">
        <v>30</v>
      </c>
      <c r="K375" t="s">
        <v>27</v>
      </c>
      <c r="L375" t="s">
        <v>2549</v>
      </c>
      <c r="M375" t="s">
        <v>2550</v>
      </c>
      <c r="N375" t="s">
        <v>773</v>
      </c>
      <c r="O375" t="s">
        <v>31</v>
      </c>
      <c r="P375" t="s">
        <v>2551</v>
      </c>
      <c r="Q375" t="s">
        <v>175</v>
      </c>
      <c r="R375" s="26" t="s">
        <v>2552</v>
      </c>
      <c r="S375">
        <v>2.4</v>
      </c>
      <c r="T375">
        <v>5564</v>
      </c>
      <c r="U375">
        <v>0</v>
      </c>
      <c r="V375">
        <v>5564</v>
      </c>
    </row>
    <row r="376" spans="1:22" x14ac:dyDescent="0.3">
      <c r="A376">
        <v>79452</v>
      </c>
      <c r="B376">
        <v>456933548</v>
      </c>
      <c r="C376" t="s">
        <v>2553</v>
      </c>
      <c r="D376" s="9" t="s">
        <v>2554</v>
      </c>
      <c r="E376" t="s">
        <v>769</v>
      </c>
      <c r="F376" t="s">
        <v>770</v>
      </c>
      <c r="G376" t="s">
        <v>56</v>
      </c>
      <c r="H376" t="s">
        <v>57</v>
      </c>
      <c r="I376" t="s">
        <v>34</v>
      </c>
      <c r="J376" t="s">
        <v>58</v>
      </c>
      <c r="K376" t="s">
        <v>27</v>
      </c>
      <c r="L376" t="s">
        <v>2555</v>
      </c>
      <c r="M376" t="s">
        <v>2556</v>
      </c>
      <c r="N376" t="s">
        <v>773</v>
      </c>
      <c r="O376" t="s">
        <v>31</v>
      </c>
      <c r="P376" t="s">
        <v>2557</v>
      </c>
      <c r="Q376" t="s">
        <v>111</v>
      </c>
      <c r="R376" s="26" t="s">
        <v>821</v>
      </c>
      <c r="S376">
        <v>0.97</v>
      </c>
      <c r="T376">
        <v>4889</v>
      </c>
      <c r="U376">
        <v>349.95</v>
      </c>
      <c r="V376">
        <v>5238.95</v>
      </c>
    </row>
    <row r="377" spans="1:22" x14ac:dyDescent="0.3">
      <c r="A377">
        <v>79452</v>
      </c>
      <c r="B377">
        <v>456933555</v>
      </c>
      <c r="C377" t="s">
        <v>2558</v>
      </c>
      <c r="D377" s="9" t="s">
        <v>2559</v>
      </c>
      <c r="E377" t="s">
        <v>769</v>
      </c>
      <c r="F377" t="s">
        <v>770</v>
      </c>
      <c r="G377" t="s">
        <v>56</v>
      </c>
      <c r="H377" t="s">
        <v>57</v>
      </c>
      <c r="I377" t="s">
        <v>34</v>
      </c>
      <c r="J377" t="s">
        <v>58</v>
      </c>
      <c r="K377" t="s">
        <v>27</v>
      </c>
      <c r="L377" t="s">
        <v>2560</v>
      </c>
      <c r="M377" t="s">
        <v>2561</v>
      </c>
      <c r="N377" t="s">
        <v>773</v>
      </c>
      <c r="O377" t="s">
        <v>31</v>
      </c>
      <c r="P377" t="s">
        <v>2562</v>
      </c>
      <c r="Q377" t="s">
        <v>63</v>
      </c>
      <c r="R377" s="26" t="s">
        <v>821</v>
      </c>
      <c r="S377">
        <v>1.75</v>
      </c>
      <c r="T377">
        <v>5027</v>
      </c>
      <c r="U377">
        <v>649.85</v>
      </c>
      <c r="V377">
        <v>5676.85</v>
      </c>
    </row>
    <row r="378" spans="1:22" x14ac:dyDescent="0.3">
      <c r="A378">
        <v>79452</v>
      </c>
      <c r="B378">
        <v>456842680</v>
      </c>
      <c r="C378" t="s">
        <v>2563</v>
      </c>
      <c r="D378" s="9" t="s">
        <v>2564</v>
      </c>
      <c r="E378" t="s">
        <v>769</v>
      </c>
      <c r="F378" t="s">
        <v>770</v>
      </c>
      <c r="G378" t="s">
        <v>56</v>
      </c>
      <c r="H378" t="s">
        <v>57</v>
      </c>
      <c r="I378" t="s">
        <v>34</v>
      </c>
      <c r="J378" t="s">
        <v>58</v>
      </c>
      <c r="K378" t="s">
        <v>27</v>
      </c>
      <c r="L378" t="s">
        <v>2565</v>
      </c>
      <c r="M378" t="s">
        <v>2053</v>
      </c>
      <c r="N378" t="s">
        <v>773</v>
      </c>
      <c r="O378" t="s">
        <v>31</v>
      </c>
      <c r="P378" t="s">
        <v>2054</v>
      </c>
      <c r="Q378" t="s">
        <v>177</v>
      </c>
      <c r="R378" s="26" t="s">
        <v>421</v>
      </c>
      <c r="S378">
        <v>1.21</v>
      </c>
      <c r="T378">
        <v>8091</v>
      </c>
      <c r="U378">
        <v>449.86</v>
      </c>
      <c r="V378">
        <v>8540.86</v>
      </c>
    </row>
    <row r="379" spans="1:22" x14ac:dyDescent="0.3">
      <c r="A379">
        <v>79452</v>
      </c>
      <c r="B379">
        <v>456842681</v>
      </c>
      <c r="C379" t="s">
        <v>2566</v>
      </c>
      <c r="D379" s="9" t="s">
        <v>2567</v>
      </c>
      <c r="E379" t="s">
        <v>769</v>
      </c>
      <c r="F379" t="s">
        <v>770</v>
      </c>
      <c r="G379" t="s">
        <v>56</v>
      </c>
      <c r="H379" t="s">
        <v>57</v>
      </c>
      <c r="I379" t="s">
        <v>34</v>
      </c>
      <c r="J379" t="s">
        <v>58</v>
      </c>
      <c r="K379" t="s">
        <v>27</v>
      </c>
      <c r="L379" t="s">
        <v>2568</v>
      </c>
      <c r="M379" t="s">
        <v>736</v>
      </c>
      <c r="N379" t="s">
        <v>773</v>
      </c>
      <c r="O379" t="s">
        <v>31</v>
      </c>
      <c r="P379" t="s">
        <v>2569</v>
      </c>
      <c r="Q379" t="s">
        <v>63</v>
      </c>
      <c r="R379" s="26" t="s">
        <v>421</v>
      </c>
      <c r="S379">
        <v>0.95</v>
      </c>
      <c r="T379">
        <v>4755</v>
      </c>
      <c r="U379">
        <v>524.85</v>
      </c>
      <c r="V379">
        <v>5279.85</v>
      </c>
    </row>
    <row r="380" spans="1:22" x14ac:dyDescent="0.3">
      <c r="A380">
        <v>79452</v>
      </c>
      <c r="B380">
        <v>456409224</v>
      </c>
      <c r="C380" t="s">
        <v>2570</v>
      </c>
      <c r="D380" s="9" t="s">
        <v>2571</v>
      </c>
      <c r="E380" t="s">
        <v>769</v>
      </c>
      <c r="F380" t="s">
        <v>770</v>
      </c>
      <c r="G380" t="s">
        <v>56</v>
      </c>
      <c r="H380" t="s">
        <v>57</v>
      </c>
      <c r="I380" t="s">
        <v>34</v>
      </c>
      <c r="J380" t="s">
        <v>58</v>
      </c>
      <c r="K380" t="s">
        <v>27</v>
      </c>
      <c r="L380" t="s">
        <v>2572</v>
      </c>
      <c r="M380" t="s">
        <v>2573</v>
      </c>
      <c r="N380" t="s">
        <v>773</v>
      </c>
      <c r="O380" t="s">
        <v>31</v>
      </c>
      <c r="P380" t="s">
        <v>2574</v>
      </c>
      <c r="Q380" t="s">
        <v>359</v>
      </c>
      <c r="R380" s="26" t="s">
        <v>1400</v>
      </c>
      <c r="S380">
        <v>0.81</v>
      </c>
      <c r="T380">
        <v>6997</v>
      </c>
      <c r="U380">
        <v>149.94999999999999</v>
      </c>
      <c r="V380">
        <v>7146.95</v>
      </c>
    </row>
    <row r="381" spans="1:22" x14ac:dyDescent="0.3">
      <c r="A381">
        <v>79452</v>
      </c>
      <c r="B381">
        <v>456409212</v>
      </c>
      <c r="C381" t="s">
        <v>2575</v>
      </c>
      <c r="D381" s="9" t="s">
        <v>2576</v>
      </c>
      <c r="E381" t="s">
        <v>769</v>
      </c>
      <c r="F381" t="s">
        <v>770</v>
      </c>
      <c r="G381" t="s">
        <v>56</v>
      </c>
      <c r="H381" t="s">
        <v>57</v>
      </c>
      <c r="I381" t="s">
        <v>34</v>
      </c>
      <c r="J381" t="s">
        <v>58</v>
      </c>
      <c r="K381" t="s">
        <v>27</v>
      </c>
      <c r="L381" t="s">
        <v>2577</v>
      </c>
      <c r="M381" t="s">
        <v>2578</v>
      </c>
      <c r="N381" t="s">
        <v>773</v>
      </c>
      <c r="O381" t="s">
        <v>31</v>
      </c>
      <c r="P381" t="s">
        <v>2579</v>
      </c>
      <c r="Q381" t="s">
        <v>96</v>
      </c>
      <c r="R381" s="26" t="s">
        <v>1400</v>
      </c>
      <c r="S381">
        <v>0.72</v>
      </c>
      <c r="T381">
        <v>5641</v>
      </c>
      <c r="U381">
        <v>299.89999999999998</v>
      </c>
      <c r="V381">
        <v>5940.9</v>
      </c>
    </row>
    <row r="382" spans="1:22" x14ac:dyDescent="0.3">
      <c r="A382">
        <v>79452</v>
      </c>
      <c r="B382">
        <v>456271501</v>
      </c>
      <c r="C382" t="s">
        <v>2580</v>
      </c>
      <c r="D382" s="9" t="s">
        <v>2581</v>
      </c>
      <c r="E382" t="s">
        <v>769</v>
      </c>
      <c r="F382" t="s">
        <v>770</v>
      </c>
      <c r="G382" t="s">
        <v>56</v>
      </c>
      <c r="H382" t="s">
        <v>57</v>
      </c>
      <c r="I382" t="s">
        <v>34</v>
      </c>
      <c r="J382" t="s">
        <v>58</v>
      </c>
      <c r="K382" t="s">
        <v>27</v>
      </c>
      <c r="L382" t="s">
        <v>2582</v>
      </c>
      <c r="M382" t="s">
        <v>2583</v>
      </c>
      <c r="N382" t="s">
        <v>773</v>
      </c>
      <c r="O382" t="s">
        <v>31</v>
      </c>
      <c r="P382" t="s">
        <v>2584</v>
      </c>
      <c r="Q382" t="s">
        <v>245</v>
      </c>
      <c r="R382" s="26" t="s">
        <v>352</v>
      </c>
      <c r="S382">
        <v>1.08</v>
      </c>
      <c r="T382">
        <v>8293</v>
      </c>
      <c r="U382">
        <v>599.79999999999995</v>
      </c>
      <c r="V382">
        <v>8892.7999999999993</v>
      </c>
    </row>
    <row r="383" spans="1:22" x14ac:dyDescent="0.3">
      <c r="A383">
        <v>79452</v>
      </c>
      <c r="B383">
        <v>456090709</v>
      </c>
      <c r="C383" t="s">
        <v>2585</v>
      </c>
      <c r="D383" s="9" t="s">
        <v>2586</v>
      </c>
      <c r="E383" t="s">
        <v>769</v>
      </c>
      <c r="F383" t="s">
        <v>770</v>
      </c>
      <c r="G383" t="s">
        <v>56</v>
      </c>
      <c r="H383" t="s">
        <v>57</v>
      </c>
      <c r="I383" t="s">
        <v>34</v>
      </c>
      <c r="J383" t="s">
        <v>58</v>
      </c>
      <c r="K383" t="s">
        <v>27</v>
      </c>
      <c r="L383" t="s">
        <v>2587</v>
      </c>
      <c r="M383" t="s">
        <v>2588</v>
      </c>
      <c r="N383" t="s">
        <v>773</v>
      </c>
      <c r="O383" t="s">
        <v>31</v>
      </c>
      <c r="P383" t="s">
        <v>2589</v>
      </c>
      <c r="Q383" t="s">
        <v>82</v>
      </c>
      <c r="R383" s="26" t="s">
        <v>253</v>
      </c>
      <c r="S383">
        <v>1.1599999999999999</v>
      </c>
      <c r="T383">
        <v>4191</v>
      </c>
      <c r="U383">
        <v>599.79999999999995</v>
      </c>
      <c r="V383">
        <v>4790.8</v>
      </c>
    </row>
    <row r="384" spans="1:22" x14ac:dyDescent="0.3">
      <c r="A384">
        <v>79452</v>
      </c>
      <c r="B384">
        <v>456090799</v>
      </c>
      <c r="C384" t="s">
        <v>2590</v>
      </c>
      <c r="D384" s="9" t="s">
        <v>2591</v>
      </c>
      <c r="E384" t="s">
        <v>769</v>
      </c>
      <c r="F384" t="s">
        <v>770</v>
      </c>
      <c r="G384" t="s">
        <v>56</v>
      </c>
      <c r="H384" t="s">
        <v>57</v>
      </c>
      <c r="I384" t="s">
        <v>34</v>
      </c>
      <c r="J384" t="s">
        <v>58</v>
      </c>
      <c r="K384" t="s">
        <v>27</v>
      </c>
      <c r="L384" t="s">
        <v>2592</v>
      </c>
      <c r="M384" t="s">
        <v>2593</v>
      </c>
      <c r="N384" t="s">
        <v>773</v>
      </c>
      <c r="O384" t="s">
        <v>31</v>
      </c>
      <c r="P384" t="s">
        <v>2594</v>
      </c>
      <c r="Q384" t="s">
        <v>346</v>
      </c>
      <c r="R384" s="26" t="s">
        <v>253</v>
      </c>
      <c r="S384">
        <v>1.41</v>
      </c>
      <c r="T384">
        <v>7784</v>
      </c>
      <c r="U384">
        <v>609.75</v>
      </c>
      <c r="V384">
        <v>8393.75</v>
      </c>
    </row>
    <row r="385" spans="1:22" x14ac:dyDescent="0.3">
      <c r="A385">
        <v>79452</v>
      </c>
      <c r="B385">
        <v>456271499</v>
      </c>
      <c r="C385" t="s">
        <v>2595</v>
      </c>
      <c r="D385" s="9" t="s">
        <v>2596</v>
      </c>
      <c r="E385" t="s">
        <v>769</v>
      </c>
      <c r="F385" t="s">
        <v>770</v>
      </c>
      <c r="G385" t="s">
        <v>56</v>
      </c>
      <c r="H385" t="s">
        <v>57</v>
      </c>
      <c r="I385" t="s">
        <v>34</v>
      </c>
      <c r="J385" t="s">
        <v>58</v>
      </c>
      <c r="K385" t="s">
        <v>27</v>
      </c>
      <c r="L385" t="s">
        <v>2597</v>
      </c>
      <c r="M385" t="s">
        <v>2598</v>
      </c>
      <c r="N385" t="s">
        <v>773</v>
      </c>
      <c r="O385" t="s">
        <v>31</v>
      </c>
      <c r="P385" t="s">
        <v>2599</v>
      </c>
      <c r="Q385" t="s">
        <v>163</v>
      </c>
      <c r="R385" s="26" t="s">
        <v>352</v>
      </c>
      <c r="S385">
        <v>1.1499999999999999</v>
      </c>
      <c r="T385">
        <v>17179</v>
      </c>
      <c r="U385">
        <v>599.79999999999995</v>
      </c>
      <c r="V385">
        <v>17778.8</v>
      </c>
    </row>
    <row r="386" spans="1:22" x14ac:dyDescent="0.3">
      <c r="A386">
        <v>79452</v>
      </c>
      <c r="B386">
        <v>455821971</v>
      </c>
      <c r="C386" t="s">
        <v>2600</v>
      </c>
      <c r="D386" s="9" t="s">
        <v>2601</v>
      </c>
      <c r="E386" t="s">
        <v>769</v>
      </c>
      <c r="F386" t="s">
        <v>770</v>
      </c>
      <c r="G386" t="s">
        <v>56</v>
      </c>
      <c r="H386" t="s">
        <v>57</v>
      </c>
      <c r="I386" t="s">
        <v>34</v>
      </c>
      <c r="J386" t="s">
        <v>58</v>
      </c>
      <c r="K386" t="s">
        <v>27</v>
      </c>
      <c r="L386" t="s">
        <v>2602</v>
      </c>
      <c r="M386" t="s">
        <v>2603</v>
      </c>
      <c r="N386" t="s">
        <v>773</v>
      </c>
      <c r="O386" t="s">
        <v>31</v>
      </c>
      <c r="P386" t="s">
        <v>2604</v>
      </c>
      <c r="Q386" t="s">
        <v>78</v>
      </c>
      <c r="R386" s="26" t="s">
        <v>1146</v>
      </c>
      <c r="S386">
        <v>1.19</v>
      </c>
      <c r="T386">
        <v>6488</v>
      </c>
      <c r="U386">
        <v>599.79999999999995</v>
      </c>
      <c r="V386">
        <v>7087.8</v>
      </c>
    </row>
    <row r="387" spans="1:22" x14ac:dyDescent="0.3">
      <c r="A387">
        <v>79452</v>
      </c>
      <c r="B387">
        <v>455584523</v>
      </c>
      <c r="C387" t="s">
        <v>2605</v>
      </c>
      <c r="D387" s="9" t="s">
        <v>2606</v>
      </c>
      <c r="E387" t="s">
        <v>769</v>
      </c>
      <c r="F387" t="s">
        <v>770</v>
      </c>
      <c r="G387" t="s">
        <v>56</v>
      </c>
      <c r="H387" t="s">
        <v>57</v>
      </c>
      <c r="I387" t="s">
        <v>34</v>
      </c>
      <c r="J387" t="s">
        <v>58</v>
      </c>
      <c r="K387" t="s">
        <v>27</v>
      </c>
      <c r="L387" t="s">
        <v>92</v>
      </c>
      <c r="M387" t="s">
        <v>2607</v>
      </c>
      <c r="N387" t="s">
        <v>773</v>
      </c>
      <c r="O387" t="s">
        <v>31</v>
      </c>
      <c r="P387" t="s">
        <v>2608</v>
      </c>
      <c r="Q387" t="s">
        <v>82</v>
      </c>
      <c r="R387" s="26" t="s">
        <v>262</v>
      </c>
      <c r="S387">
        <v>1.02</v>
      </c>
      <c r="T387">
        <v>4191</v>
      </c>
      <c r="U387">
        <v>749.85</v>
      </c>
      <c r="V387">
        <v>4940.8500000000004</v>
      </c>
    </row>
    <row r="388" spans="1:22" x14ac:dyDescent="0.3">
      <c r="A388">
        <v>79452</v>
      </c>
      <c r="B388">
        <v>455584663</v>
      </c>
      <c r="C388" t="s">
        <v>2609</v>
      </c>
      <c r="D388" s="9" t="s">
        <v>2610</v>
      </c>
      <c r="E388" t="s">
        <v>769</v>
      </c>
      <c r="F388" t="s">
        <v>770</v>
      </c>
      <c r="G388" t="s">
        <v>56</v>
      </c>
      <c r="H388" t="s">
        <v>57</v>
      </c>
      <c r="I388" t="s">
        <v>34</v>
      </c>
      <c r="J388" t="s">
        <v>58</v>
      </c>
      <c r="K388" t="s">
        <v>27</v>
      </c>
      <c r="L388" t="s">
        <v>2611</v>
      </c>
      <c r="M388" t="s">
        <v>2612</v>
      </c>
      <c r="N388" t="s">
        <v>773</v>
      </c>
      <c r="O388" t="s">
        <v>31</v>
      </c>
      <c r="P388" t="s">
        <v>2613</v>
      </c>
      <c r="Q388" t="s">
        <v>63</v>
      </c>
      <c r="R388" s="26" t="s">
        <v>262</v>
      </c>
      <c r="S388">
        <v>0.66</v>
      </c>
      <c r="T388">
        <v>4755</v>
      </c>
      <c r="U388">
        <v>449.9</v>
      </c>
      <c r="V388">
        <v>5204.8999999999996</v>
      </c>
    </row>
    <row r="389" spans="1:22" x14ac:dyDescent="0.3">
      <c r="A389">
        <v>79452</v>
      </c>
      <c r="B389">
        <v>455585009</v>
      </c>
      <c r="C389" t="s">
        <v>2614</v>
      </c>
      <c r="D389" s="9" t="s">
        <v>2615</v>
      </c>
      <c r="E389" t="s">
        <v>769</v>
      </c>
      <c r="F389" t="s">
        <v>770</v>
      </c>
      <c r="G389" t="s">
        <v>56</v>
      </c>
      <c r="H389" t="s">
        <v>57</v>
      </c>
      <c r="I389" t="s">
        <v>34</v>
      </c>
      <c r="J389" t="s">
        <v>58</v>
      </c>
      <c r="K389" t="s">
        <v>27</v>
      </c>
      <c r="L389" t="s">
        <v>2616</v>
      </c>
      <c r="M389" t="s">
        <v>2617</v>
      </c>
      <c r="N389" t="s">
        <v>773</v>
      </c>
      <c r="O389" t="s">
        <v>31</v>
      </c>
      <c r="P389" t="s">
        <v>2618</v>
      </c>
      <c r="Q389" t="s">
        <v>163</v>
      </c>
      <c r="R389" s="26" t="s">
        <v>317</v>
      </c>
      <c r="S389">
        <v>1.17</v>
      </c>
      <c r="T389">
        <v>17179</v>
      </c>
      <c r="U389">
        <v>674.8</v>
      </c>
      <c r="V389">
        <v>17853.8</v>
      </c>
    </row>
    <row r="390" spans="1:22" x14ac:dyDescent="0.3">
      <c r="A390">
        <v>79452</v>
      </c>
      <c r="B390">
        <v>455493163</v>
      </c>
      <c r="C390" t="s">
        <v>2619</v>
      </c>
      <c r="D390" s="9" t="s">
        <v>2620</v>
      </c>
      <c r="E390" t="s">
        <v>769</v>
      </c>
      <c r="F390" t="s">
        <v>770</v>
      </c>
      <c r="G390" t="s">
        <v>56</v>
      </c>
      <c r="H390" t="s">
        <v>57</v>
      </c>
      <c r="I390" t="s">
        <v>34</v>
      </c>
      <c r="J390" t="s">
        <v>58</v>
      </c>
      <c r="K390" t="s">
        <v>27</v>
      </c>
      <c r="L390" t="s">
        <v>2621</v>
      </c>
      <c r="M390" t="s">
        <v>695</v>
      </c>
      <c r="N390" t="s">
        <v>773</v>
      </c>
      <c r="O390" t="s">
        <v>31</v>
      </c>
      <c r="P390" t="s">
        <v>2622</v>
      </c>
      <c r="Q390" t="s">
        <v>64</v>
      </c>
      <c r="R390" s="26" t="s">
        <v>454</v>
      </c>
      <c r="S390">
        <v>1.31</v>
      </c>
      <c r="T390">
        <v>5027</v>
      </c>
      <c r="U390">
        <v>749.75</v>
      </c>
      <c r="V390">
        <v>5776.75</v>
      </c>
    </row>
    <row r="391" spans="1:22" x14ac:dyDescent="0.3">
      <c r="A391">
        <v>79452</v>
      </c>
      <c r="B391">
        <v>456909123</v>
      </c>
      <c r="C391" t="s">
        <v>2623</v>
      </c>
      <c r="D391" s="9" t="s">
        <v>2624</v>
      </c>
      <c r="E391" t="s">
        <v>769</v>
      </c>
      <c r="F391" t="s">
        <v>770</v>
      </c>
      <c r="G391" t="s">
        <v>49</v>
      </c>
      <c r="H391" t="s">
        <v>50</v>
      </c>
      <c r="I391" t="s">
        <v>34</v>
      </c>
      <c r="J391" t="s">
        <v>155</v>
      </c>
      <c r="K391" t="s">
        <v>27</v>
      </c>
      <c r="L391" t="s">
        <v>52</v>
      </c>
      <c r="M391" t="s">
        <v>2625</v>
      </c>
      <c r="N391" t="s">
        <v>773</v>
      </c>
      <c r="O391" t="s">
        <v>31</v>
      </c>
      <c r="P391" t="s">
        <v>2626</v>
      </c>
      <c r="Q391" t="s">
        <v>100</v>
      </c>
      <c r="R391" s="26" t="s">
        <v>775</v>
      </c>
      <c r="S391">
        <v>0.86</v>
      </c>
      <c r="T391">
        <v>6232</v>
      </c>
      <c r="U391">
        <v>0</v>
      </c>
      <c r="V391">
        <v>6232</v>
      </c>
    </row>
    <row r="392" spans="1:22" x14ac:dyDescent="0.3">
      <c r="A392">
        <v>79452</v>
      </c>
      <c r="B392">
        <v>456909132</v>
      </c>
      <c r="C392" t="s">
        <v>2627</v>
      </c>
      <c r="D392" s="9" t="s">
        <v>2628</v>
      </c>
      <c r="E392" t="s">
        <v>769</v>
      </c>
      <c r="F392" t="s">
        <v>770</v>
      </c>
      <c r="G392" t="s">
        <v>49</v>
      </c>
      <c r="H392" t="s">
        <v>50</v>
      </c>
      <c r="I392" t="s">
        <v>34</v>
      </c>
      <c r="J392" t="s">
        <v>155</v>
      </c>
      <c r="K392" t="s">
        <v>27</v>
      </c>
      <c r="L392" t="s">
        <v>52</v>
      </c>
      <c r="M392" t="s">
        <v>713</v>
      </c>
      <c r="N392" t="s">
        <v>773</v>
      </c>
      <c r="O392" t="s">
        <v>31</v>
      </c>
      <c r="P392" t="s">
        <v>2629</v>
      </c>
      <c r="Q392" t="s">
        <v>100</v>
      </c>
      <c r="R392" s="26" t="s">
        <v>775</v>
      </c>
      <c r="S392">
        <v>0.7</v>
      </c>
      <c r="T392">
        <v>6232</v>
      </c>
      <c r="U392">
        <v>0</v>
      </c>
      <c r="V392">
        <v>6232</v>
      </c>
    </row>
    <row r="393" spans="1:22" x14ac:dyDescent="0.3">
      <c r="A393">
        <v>79452</v>
      </c>
      <c r="B393">
        <v>456946826</v>
      </c>
      <c r="C393" t="s">
        <v>2630</v>
      </c>
      <c r="D393" s="9" t="s">
        <v>2631</v>
      </c>
      <c r="E393" t="s">
        <v>769</v>
      </c>
      <c r="F393" t="s">
        <v>770</v>
      </c>
      <c r="G393" t="s">
        <v>49</v>
      </c>
      <c r="H393" t="s">
        <v>50</v>
      </c>
      <c r="I393" t="s">
        <v>34</v>
      </c>
      <c r="J393" t="s">
        <v>155</v>
      </c>
      <c r="K393" t="s">
        <v>27</v>
      </c>
      <c r="L393" t="s">
        <v>52</v>
      </c>
      <c r="M393" t="s">
        <v>2632</v>
      </c>
      <c r="N393" t="s">
        <v>773</v>
      </c>
      <c r="O393" t="s">
        <v>31</v>
      </c>
      <c r="P393" t="s">
        <v>2633</v>
      </c>
      <c r="Q393" t="s">
        <v>74</v>
      </c>
      <c r="R393" s="26" t="s">
        <v>408</v>
      </c>
      <c r="S393">
        <v>1.32</v>
      </c>
      <c r="T393">
        <v>4072</v>
      </c>
      <c r="U393">
        <v>0</v>
      </c>
      <c r="V393">
        <v>4072</v>
      </c>
    </row>
    <row r="394" spans="1:22" x14ac:dyDescent="0.3">
      <c r="A394">
        <v>79452</v>
      </c>
      <c r="B394">
        <v>456946836</v>
      </c>
      <c r="C394" t="s">
        <v>2634</v>
      </c>
      <c r="D394" s="9" t="s">
        <v>2635</v>
      </c>
      <c r="E394" t="s">
        <v>769</v>
      </c>
      <c r="F394" t="s">
        <v>770</v>
      </c>
      <c r="G394" t="s">
        <v>49</v>
      </c>
      <c r="H394" t="s">
        <v>50</v>
      </c>
      <c r="I394" t="s">
        <v>34</v>
      </c>
      <c r="J394" t="s">
        <v>155</v>
      </c>
      <c r="K394" t="s">
        <v>27</v>
      </c>
      <c r="L394" t="s">
        <v>52</v>
      </c>
      <c r="M394" t="s">
        <v>2636</v>
      </c>
      <c r="N394" t="s">
        <v>773</v>
      </c>
      <c r="O394" t="s">
        <v>31</v>
      </c>
      <c r="P394" t="s">
        <v>2637</v>
      </c>
      <c r="Q394" t="s">
        <v>100</v>
      </c>
      <c r="R394" s="26" t="s">
        <v>408</v>
      </c>
      <c r="S394">
        <v>1.25</v>
      </c>
      <c r="T394">
        <v>6232</v>
      </c>
      <c r="U394">
        <v>0</v>
      </c>
      <c r="V394">
        <v>6232</v>
      </c>
    </row>
    <row r="395" spans="1:22" x14ac:dyDescent="0.3">
      <c r="A395">
        <v>79452</v>
      </c>
      <c r="B395">
        <v>456863850</v>
      </c>
      <c r="C395" t="s">
        <v>2638</v>
      </c>
      <c r="D395" s="9" t="s">
        <v>2639</v>
      </c>
      <c r="E395" t="s">
        <v>769</v>
      </c>
      <c r="F395" t="s">
        <v>770</v>
      </c>
      <c r="G395" t="s">
        <v>49</v>
      </c>
      <c r="H395" t="s">
        <v>50</v>
      </c>
      <c r="I395" t="s">
        <v>34</v>
      </c>
      <c r="J395" t="s">
        <v>155</v>
      </c>
      <c r="K395" t="s">
        <v>27</v>
      </c>
      <c r="L395" t="s">
        <v>52</v>
      </c>
      <c r="M395" t="s">
        <v>2640</v>
      </c>
      <c r="N395" t="s">
        <v>773</v>
      </c>
      <c r="O395" t="s">
        <v>31</v>
      </c>
      <c r="P395" t="s">
        <v>2641</v>
      </c>
      <c r="Q395" t="s">
        <v>74</v>
      </c>
      <c r="R395" s="26" t="s">
        <v>846</v>
      </c>
      <c r="S395">
        <v>1.21</v>
      </c>
      <c r="T395">
        <v>4072</v>
      </c>
      <c r="U395">
        <v>0</v>
      </c>
      <c r="V395">
        <v>4072</v>
      </c>
    </row>
    <row r="396" spans="1:22" x14ac:dyDescent="0.3">
      <c r="A396">
        <v>79452</v>
      </c>
      <c r="B396">
        <v>456863851</v>
      </c>
      <c r="C396" t="s">
        <v>2642</v>
      </c>
      <c r="D396" s="9" t="s">
        <v>2643</v>
      </c>
      <c r="E396" t="s">
        <v>769</v>
      </c>
      <c r="F396" t="s">
        <v>770</v>
      </c>
      <c r="G396" t="s">
        <v>49</v>
      </c>
      <c r="H396" t="s">
        <v>50</v>
      </c>
      <c r="I396" t="s">
        <v>34</v>
      </c>
      <c r="J396" t="s">
        <v>155</v>
      </c>
      <c r="K396" t="s">
        <v>27</v>
      </c>
      <c r="L396" t="s">
        <v>52</v>
      </c>
      <c r="M396" t="s">
        <v>2644</v>
      </c>
      <c r="N396" t="s">
        <v>773</v>
      </c>
      <c r="O396" t="s">
        <v>31</v>
      </c>
      <c r="P396" t="s">
        <v>2645</v>
      </c>
      <c r="Q396" t="s">
        <v>2646</v>
      </c>
      <c r="R396" s="26" t="s">
        <v>846</v>
      </c>
      <c r="S396">
        <v>0.64</v>
      </c>
      <c r="T396">
        <v>7581</v>
      </c>
      <c r="U396">
        <v>0</v>
      </c>
      <c r="V396">
        <v>7581</v>
      </c>
    </row>
    <row r="397" spans="1:22" x14ac:dyDescent="0.3">
      <c r="A397">
        <v>79452</v>
      </c>
      <c r="B397">
        <v>456829097</v>
      </c>
      <c r="C397" t="s">
        <v>2647</v>
      </c>
      <c r="D397" s="9" t="s">
        <v>2648</v>
      </c>
      <c r="E397" t="s">
        <v>769</v>
      </c>
      <c r="F397" t="s">
        <v>770</v>
      </c>
      <c r="G397" t="s">
        <v>49</v>
      </c>
      <c r="H397" t="s">
        <v>50</v>
      </c>
      <c r="I397" t="s">
        <v>34</v>
      </c>
      <c r="J397" t="s">
        <v>155</v>
      </c>
      <c r="K397" t="s">
        <v>27</v>
      </c>
      <c r="L397" t="s">
        <v>52</v>
      </c>
      <c r="M397" t="s">
        <v>2649</v>
      </c>
      <c r="N397" t="s">
        <v>773</v>
      </c>
      <c r="O397" t="s">
        <v>31</v>
      </c>
      <c r="P397" t="s">
        <v>2650</v>
      </c>
      <c r="Q397" t="s">
        <v>74</v>
      </c>
      <c r="R397" s="26" t="s">
        <v>906</v>
      </c>
      <c r="S397">
        <v>0.75</v>
      </c>
      <c r="T397">
        <v>4072</v>
      </c>
      <c r="U397">
        <v>0</v>
      </c>
      <c r="V397">
        <v>4072</v>
      </c>
    </row>
    <row r="398" spans="1:22" x14ac:dyDescent="0.3">
      <c r="A398">
        <v>79452</v>
      </c>
      <c r="B398">
        <v>456842679</v>
      </c>
      <c r="C398" t="s">
        <v>2651</v>
      </c>
      <c r="D398" s="9" t="s">
        <v>2652</v>
      </c>
      <c r="E398" t="s">
        <v>769</v>
      </c>
      <c r="F398" t="s">
        <v>770</v>
      </c>
      <c r="G398" t="s">
        <v>49</v>
      </c>
      <c r="H398" t="s">
        <v>50</v>
      </c>
      <c r="I398" t="s">
        <v>34</v>
      </c>
      <c r="J398" t="s">
        <v>155</v>
      </c>
      <c r="K398" t="s">
        <v>27</v>
      </c>
      <c r="L398" t="s">
        <v>52</v>
      </c>
      <c r="M398" t="s">
        <v>2653</v>
      </c>
      <c r="N398" t="s">
        <v>773</v>
      </c>
      <c r="O398" t="s">
        <v>31</v>
      </c>
      <c r="P398" t="s">
        <v>2654</v>
      </c>
      <c r="Q398" t="s">
        <v>100</v>
      </c>
      <c r="R398" s="26" t="s">
        <v>421</v>
      </c>
      <c r="S398">
        <v>0.28999999999999998</v>
      </c>
      <c r="T398">
        <v>5825</v>
      </c>
      <c r="U398">
        <v>0</v>
      </c>
      <c r="V398">
        <v>5825</v>
      </c>
    </row>
    <row r="399" spans="1:22" x14ac:dyDescent="0.3">
      <c r="A399">
        <v>79452</v>
      </c>
      <c r="B399">
        <v>456793264</v>
      </c>
      <c r="C399" t="s">
        <v>2655</v>
      </c>
      <c r="D399" s="9" t="s">
        <v>2656</v>
      </c>
      <c r="E399" t="s">
        <v>769</v>
      </c>
      <c r="F399" t="s">
        <v>770</v>
      </c>
      <c r="G399" t="s">
        <v>49</v>
      </c>
      <c r="H399" t="s">
        <v>50</v>
      </c>
      <c r="I399" t="s">
        <v>34</v>
      </c>
      <c r="J399" t="s">
        <v>155</v>
      </c>
      <c r="K399" t="s">
        <v>27</v>
      </c>
      <c r="L399" t="s">
        <v>52</v>
      </c>
      <c r="M399" t="s">
        <v>318</v>
      </c>
      <c r="N399" t="s">
        <v>773</v>
      </c>
      <c r="O399" t="s">
        <v>31</v>
      </c>
      <c r="P399" t="s">
        <v>2657</v>
      </c>
      <c r="Q399" t="s">
        <v>74</v>
      </c>
      <c r="R399" s="26" t="s">
        <v>718</v>
      </c>
      <c r="S399">
        <v>0.68</v>
      </c>
      <c r="T399">
        <v>4072</v>
      </c>
      <c r="U399">
        <v>0</v>
      </c>
      <c r="V399">
        <v>4072</v>
      </c>
    </row>
    <row r="400" spans="1:22" x14ac:dyDescent="0.3">
      <c r="A400">
        <v>79452</v>
      </c>
      <c r="B400">
        <v>456807620</v>
      </c>
      <c r="C400" t="s">
        <v>2658</v>
      </c>
      <c r="D400" s="9" t="s">
        <v>2659</v>
      </c>
      <c r="E400" t="s">
        <v>769</v>
      </c>
      <c r="F400" t="s">
        <v>770</v>
      </c>
      <c r="G400" t="s">
        <v>49</v>
      </c>
      <c r="H400" t="s">
        <v>50</v>
      </c>
      <c r="I400" t="s">
        <v>34</v>
      </c>
      <c r="J400" t="s">
        <v>155</v>
      </c>
      <c r="K400" t="s">
        <v>27</v>
      </c>
      <c r="L400" t="s">
        <v>52</v>
      </c>
      <c r="M400" t="s">
        <v>2660</v>
      </c>
      <c r="N400" t="s">
        <v>773</v>
      </c>
      <c r="O400" t="s">
        <v>31</v>
      </c>
      <c r="P400" t="s">
        <v>2661</v>
      </c>
      <c r="Q400" t="s">
        <v>100</v>
      </c>
      <c r="R400" s="26" t="s">
        <v>423</v>
      </c>
      <c r="S400">
        <v>1.19</v>
      </c>
      <c r="T400">
        <v>6232</v>
      </c>
      <c r="U400">
        <v>0</v>
      </c>
      <c r="V400">
        <v>6232</v>
      </c>
    </row>
    <row r="401" spans="1:22" x14ac:dyDescent="0.3">
      <c r="A401">
        <v>79452</v>
      </c>
      <c r="B401">
        <v>456807626</v>
      </c>
      <c r="C401" t="s">
        <v>2662</v>
      </c>
      <c r="D401" s="9" t="s">
        <v>2663</v>
      </c>
      <c r="E401" t="s">
        <v>769</v>
      </c>
      <c r="F401" t="s">
        <v>770</v>
      </c>
      <c r="G401" t="s">
        <v>49</v>
      </c>
      <c r="H401" t="s">
        <v>50</v>
      </c>
      <c r="I401" t="s">
        <v>34</v>
      </c>
      <c r="J401" t="s">
        <v>155</v>
      </c>
      <c r="K401" t="s">
        <v>27</v>
      </c>
      <c r="L401" t="s">
        <v>52</v>
      </c>
      <c r="M401" t="s">
        <v>2664</v>
      </c>
      <c r="N401" t="s">
        <v>773</v>
      </c>
      <c r="O401" t="s">
        <v>31</v>
      </c>
      <c r="P401" t="s">
        <v>2665</v>
      </c>
      <c r="Q401" t="s">
        <v>178</v>
      </c>
      <c r="R401" s="26" t="s">
        <v>423</v>
      </c>
      <c r="S401">
        <v>1.07</v>
      </c>
      <c r="T401">
        <v>4072</v>
      </c>
      <c r="U401">
        <v>0</v>
      </c>
      <c r="V401">
        <v>4072</v>
      </c>
    </row>
    <row r="402" spans="1:22" x14ac:dyDescent="0.3">
      <c r="A402">
        <v>79452</v>
      </c>
      <c r="B402">
        <v>456725400</v>
      </c>
      <c r="C402" t="s">
        <v>2666</v>
      </c>
      <c r="D402" s="9" t="s">
        <v>2667</v>
      </c>
      <c r="E402" t="s">
        <v>769</v>
      </c>
      <c r="F402" t="s">
        <v>770</v>
      </c>
      <c r="G402" t="s">
        <v>49</v>
      </c>
      <c r="H402" t="s">
        <v>50</v>
      </c>
      <c r="I402" t="s">
        <v>34</v>
      </c>
      <c r="J402" t="s">
        <v>155</v>
      </c>
      <c r="K402" t="s">
        <v>27</v>
      </c>
      <c r="L402" t="s">
        <v>52</v>
      </c>
      <c r="M402" t="s">
        <v>2668</v>
      </c>
      <c r="N402" t="s">
        <v>773</v>
      </c>
      <c r="O402" t="s">
        <v>31</v>
      </c>
      <c r="P402" t="s">
        <v>2669</v>
      </c>
      <c r="Q402" t="s">
        <v>345</v>
      </c>
      <c r="R402" s="26" t="s">
        <v>129</v>
      </c>
      <c r="S402">
        <v>2.06</v>
      </c>
      <c r="T402">
        <v>7296</v>
      </c>
      <c r="U402">
        <v>0</v>
      </c>
      <c r="V402">
        <v>7296</v>
      </c>
    </row>
    <row r="403" spans="1:22" x14ac:dyDescent="0.3">
      <c r="A403">
        <v>79452</v>
      </c>
      <c r="B403">
        <v>456676300</v>
      </c>
      <c r="C403" t="s">
        <v>2670</v>
      </c>
      <c r="D403" s="9" t="s">
        <v>2671</v>
      </c>
      <c r="E403" t="s">
        <v>769</v>
      </c>
      <c r="F403" t="s">
        <v>770</v>
      </c>
      <c r="G403" t="s">
        <v>49</v>
      </c>
      <c r="H403" t="s">
        <v>50</v>
      </c>
      <c r="I403" t="s">
        <v>34</v>
      </c>
      <c r="J403" t="s">
        <v>155</v>
      </c>
      <c r="K403" t="s">
        <v>27</v>
      </c>
      <c r="L403" t="s">
        <v>52</v>
      </c>
      <c r="M403" t="s">
        <v>2672</v>
      </c>
      <c r="N403" t="s">
        <v>773</v>
      </c>
      <c r="O403" t="s">
        <v>31</v>
      </c>
      <c r="P403" t="s">
        <v>2673</v>
      </c>
      <c r="Q403" t="s">
        <v>134</v>
      </c>
      <c r="R403" s="26" t="s">
        <v>1000</v>
      </c>
      <c r="S403">
        <v>0.6</v>
      </c>
      <c r="T403">
        <v>4072</v>
      </c>
      <c r="U403">
        <v>0</v>
      </c>
      <c r="V403">
        <v>4072</v>
      </c>
    </row>
    <row r="404" spans="1:22" x14ac:dyDescent="0.3">
      <c r="A404">
        <v>79452</v>
      </c>
      <c r="B404">
        <v>456676318</v>
      </c>
      <c r="C404" t="s">
        <v>2674</v>
      </c>
      <c r="D404" s="9" t="s">
        <v>2675</v>
      </c>
      <c r="E404" t="s">
        <v>769</v>
      </c>
      <c r="F404" t="s">
        <v>770</v>
      </c>
      <c r="G404" t="s">
        <v>49</v>
      </c>
      <c r="H404" t="s">
        <v>50</v>
      </c>
      <c r="I404" t="s">
        <v>34</v>
      </c>
      <c r="J404" t="s">
        <v>155</v>
      </c>
      <c r="K404" t="s">
        <v>27</v>
      </c>
      <c r="L404" t="s">
        <v>52</v>
      </c>
      <c r="M404" t="s">
        <v>2676</v>
      </c>
      <c r="N404" t="s">
        <v>773</v>
      </c>
      <c r="O404" t="s">
        <v>31</v>
      </c>
      <c r="P404" t="s">
        <v>2677</v>
      </c>
      <c r="Q404" t="s">
        <v>134</v>
      </c>
      <c r="R404" s="26" t="s">
        <v>1076</v>
      </c>
      <c r="S404">
        <v>2</v>
      </c>
      <c r="T404">
        <v>4335</v>
      </c>
      <c r="U404">
        <v>0</v>
      </c>
      <c r="V404">
        <v>4335</v>
      </c>
    </row>
    <row r="405" spans="1:22" x14ac:dyDescent="0.3">
      <c r="A405">
        <v>79452</v>
      </c>
      <c r="B405">
        <v>456587145</v>
      </c>
      <c r="C405" t="s">
        <v>2678</v>
      </c>
      <c r="D405" s="9" t="s">
        <v>2679</v>
      </c>
      <c r="E405" t="s">
        <v>769</v>
      </c>
      <c r="F405" t="s">
        <v>770</v>
      </c>
      <c r="G405" t="s">
        <v>49</v>
      </c>
      <c r="H405" t="s">
        <v>50</v>
      </c>
      <c r="I405" t="s">
        <v>34</v>
      </c>
      <c r="J405" t="s">
        <v>155</v>
      </c>
      <c r="K405" t="s">
        <v>27</v>
      </c>
      <c r="L405" t="s">
        <v>52</v>
      </c>
      <c r="M405" t="s">
        <v>2680</v>
      </c>
      <c r="N405" t="s">
        <v>773</v>
      </c>
      <c r="O405" t="s">
        <v>31</v>
      </c>
      <c r="P405" t="s">
        <v>2681</v>
      </c>
      <c r="Q405" t="s">
        <v>185</v>
      </c>
      <c r="R405" s="26" t="s">
        <v>1167</v>
      </c>
      <c r="S405">
        <v>4.13</v>
      </c>
      <c r="T405">
        <v>7278</v>
      </c>
      <c r="U405">
        <v>0</v>
      </c>
      <c r="V405">
        <v>7278</v>
      </c>
    </row>
    <row r="406" spans="1:22" x14ac:dyDescent="0.3">
      <c r="A406">
        <v>79452</v>
      </c>
      <c r="B406">
        <v>456551118</v>
      </c>
      <c r="C406" t="s">
        <v>2682</v>
      </c>
      <c r="D406" s="9" t="s">
        <v>2683</v>
      </c>
      <c r="E406" t="s">
        <v>769</v>
      </c>
      <c r="F406" t="s">
        <v>770</v>
      </c>
      <c r="G406" t="s">
        <v>49</v>
      </c>
      <c r="H406" t="s">
        <v>50</v>
      </c>
      <c r="I406" t="s">
        <v>34</v>
      </c>
      <c r="J406" t="s">
        <v>155</v>
      </c>
      <c r="K406" t="s">
        <v>27</v>
      </c>
      <c r="L406" t="s">
        <v>52</v>
      </c>
      <c r="M406" t="s">
        <v>2684</v>
      </c>
      <c r="N406" t="s">
        <v>773</v>
      </c>
      <c r="O406" t="s">
        <v>31</v>
      </c>
      <c r="P406" t="s">
        <v>2685</v>
      </c>
      <c r="Q406" t="s">
        <v>93</v>
      </c>
      <c r="R406" s="26" t="s">
        <v>147</v>
      </c>
      <c r="S406">
        <v>0.81</v>
      </c>
      <c r="T406">
        <v>6636</v>
      </c>
      <c r="U406">
        <v>0</v>
      </c>
      <c r="V406">
        <v>6636</v>
      </c>
    </row>
    <row r="407" spans="1:22" x14ac:dyDescent="0.3">
      <c r="A407">
        <v>79452</v>
      </c>
      <c r="B407">
        <v>456474835</v>
      </c>
      <c r="C407" t="s">
        <v>2686</v>
      </c>
      <c r="D407" s="9" t="s">
        <v>2687</v>
      </c>
      <c r="E407" t="s">
        <v>769</v>
      </c>
      <c r="F407" t="s">
        <v>770</v>
      </c>
      <c r="G407" t="s">
        <v>49</v>
      </c>
      <c r="H407" t="s">
        <v>50</v>
      </c>
      <c r="I407" t="s">
        <v>34</v>
      </c>
      <c r="J407" t="s">
        <v>155</v>
      </c>
      <c r="K407" t="s">
        <v>27</v>
      </c>
      <c r="L407" t="s">
        <v>52</v>
      </c>
      <c r="M407" t="s">
        <v>2688</v>
      </c>
      <c r="N407" t="s">
        <v>773</v>
      </c>
      <c r="O407" t="s">
        <v>31</v>
      </c>
      <c r="P407" t="s">
        <v>2689</v>
      </c>
      <c r="Q407" t="s">
        <v>100</v>
      </c>
      <c r="R407" s="26" t="s">
        <v>1179</v>
      </c>
      <c r="S407">
        <v>2.63</v>
      </c>
      <c r="T407">
        <v>7072</v>
      </c>
      <c r="U407">
        <v>0</v>
      </c>
      <c r="V407">
        <v>7072</v>
      </c>
    </row>
    <row r="408" spans="1:22" x14ac:dyDescent="0.3">
      <c r="A408">
        <v>79452</v>
      </c>
      <c r="B408">
        <v>456351688</v>
      </c>
      <c r="C408" t="s">
        <v>2690</v>
      </c>
      <c r="D408" s="9" t="s">
        <v>2691</v>
      </c>
      <c r="E408" t="s">
        <v>769</v>
      </c>
      <c r="F408" t="s">
        <v>770</v>
      </c>
      <c r="G408" t="s">
        <v>49</v>
      </c>
      <c r="H408" t="s">
        <v>50</v>
      </c>
      <c r="I408" t="s">
        <v>34</v>
      </c>
      <c r="J408" t="s">
        <v>155</v>
      </c>
      <c r="K408" t="s">
        <v>27</v>
      </c>
      <c r="L408" t="s">
        <v>52</v>
      </c>
      <c r="M408" t="s">
        <v>576</v>
      </c>
      <c r="N408" t="s">
        <v>773</v>
      </c>
      <c r="O408" t="s">
        <v>31</v>
      </c>
      <c r="P408" t="s">
        <v>2692</v>
      </c>
      <c r="Q408" t="s">
        <v>112</v>
      </c>
      <c r="R408" s="26" t="s">
        <v>1294</v>
      </c>
      <c r="S408">
        <v>2.2799999999999998</v>
      </c>
      <c r="T408">
        <v>7072</v>
      </c>
      <c r="U408">
        <v>0</v>
      </c>
      <c r="V408">
        <v>7072</v>
      </c>
    </row>
    <row r="409" spans="1:22" x14ac:dyDescent="0.3">
      <c r="A409">
        <v>79452</v>
      </c>
      <c r="B409">
        <v>456271427</v>
      </c>
      <c r="C409" t="s">
        <v>2693</v>
      </c>
      <c r="D409" s="9" t="s">
        <v>2694</v>
      </c>
      <c r="E409" t="s">
        <v>769</v>
      </c>
      <c r="F409" t="s">
        <v>770</v>
      </c>
      <c r="G409" t="s">
        <v>49</v>
      </c>
      <c r="H409" t="s">
        <v>50</v>
      </c>
      <c r="I409" t="s">
        <v>34</v>
      </c>
      <c r="J409" t="s">
        <v>155</v>
      </c>
      <c r="K409" t="s">
        <v>27</v>
      </c>
      <c r="L409" t="s">
        <v>52</v>
      </c>
      <c r="M409" t="s">
        <v>2695</v>
      </c>
      <c r="N409" t="s">
        <v>773</v>
      </c>
      <c r="O409" t="s">
        <v>31</v>
      </c>
      <c r="P409" t="s">
        <v>2696</v>
      </c>
      <c r="Q409" t="s">
        <v>514</v>
      </c>
      <c r="R409" s="26" t="s">
        <v>352</v>
      </c>
      <c r="S409">
        <v>2.57</v>
      </c>
      <c r="T409">
        <v>10945</v>
      </c>
      <c r="U409">
        <v>0</v>
      </c>
      <c r="V409">
        <v>10945</v>
      </c>
    </row>
    <row r="410" spans="1:22" x14ac:dyDescent="0.3">
      <c r="A410">
        <v>79452</v>
      </c>
      <c r="B410">
        <v>456271431</v>
      </c>
      <c r="C410" t="s">
        <v>2697</v>
      </c>
      <c r="D410" s="9" t="s">
        <v>2698</v>
      </c>
      <c r="E410" t="s">
        <v>769</v>
      </c>
      <c r="F410" t="s">
        <v>770</v>
      </c>
      <c r="G410" t="s">
        <v>49</v>
      </c>
      <c r="H410" t="s">
        <v>50</v>
      </c>
      <c r="I410" t="s">
        <v>34</v>
      </c>
      <c r="J410" t="s">
        <v>155</v>
      </c>
      <c r="K410" t="s">
        <v>27</v>
      </c>
      <c r="L410" t="s">
        <v>52</v>
      </c>
      <c r="M410" t="s">
        <v>2699</v>
      </c>
      <c r="N410" t="s">
        <v>773</v>
      </c>
      <c r="O410" t="s">
        <v>31</v>
      </c>
      <c r="P410" t="s">
        <v>2700</v>
      </c>
      <c r="Q410" t="s">
        <v>134</v>
      </c>
      <c r="R410" s="26" t="s">
        <v>352</v>
      </c>
      <c r="S410">
        <v>0.96</v>
      </c>
      <c r="T410">
        <v>4072</v>
      </c>
      <c r="U410">
        <v>0</v>
      </c>
      <c r="V410">
        <v>4072</v>
      </c>
    </row>
    <row r="411" spans="1:22" x14ac:dyDescent="0.3">
      <c r="A411">
        <v>79452</v>
      </c>
      <c r="B411">
        <v>456271470</v>
      </c>
      <c r="C411" t="s">
        <v>2701</v>
      </c>
      <c r="D411" s="9" t="s">
        <v>2702</v>
      </c>
      <c r="E411" t="s">
        <v>769</v>
      </c>
      <c r="F411" t="s">
        <v>770</v>
      </c>
      <c r="G411" t="s">
        <v>49</v>
      </c>
      <c r="H411" t="s">
        <v>50</v>
      </c>
      <c r="I411" t="s">
        <v>34</v>
      </c>
      <c r="J411" t="s">
        <v>155</v>
      </c>
      <c r="K411" t="s">
        <v>27</v>
      </c>
      <c r="L411" t="s">
        <v>52</v>
      </c>
      <c r="M411" t="s">
        <v>672</v>
      </c>
      <c r="N411" t="s">
        <v>773</v>
      </c>
      <c r="O411" t="s">
        <v>31</v>
      </c>
      <c r="P411" t="s">
        <v>2703</v>
      </c>
      <c r="Q411" t="s">
        <v>100</v>
      </c>
      <c r="R411" s="26" t="s">
        <v>352</v>
      </c>
      <c r="S411">
        <v>1.17</v>
      </c>
      <c r="T411">
        <v>6232</v>
      </c>
      <c r="U411">
        <v>0</v>
      </c>
      <c r="V411">
        <v>6232</v>
      </c>
    </row>
    <row r="412" spans="1:22" x14ac:dyDescent="0.3">
      <c r="A412">
        <v>79452</v>
      </c>
      <c r="B412">
        <v>456271473</v>
      </c>
      <c r="C412" t="s">
        <v>2704</v>
      </c>
      <c r="D412" s="9" t="s">
        <v>2705</v>
      </c>
      <c r="E412" t="s">
        <v>769</v>
      </c>
      <c r="F412" t="s">
        <v>770</v>
      </c>
      <c r="G412" t="s">
        <v>49</v>
      </c>
      <c r="H412" t="s">
        <v>50</v>
      </c>
      <c r="I412" t="s">
        <v>34</v>
      </c>
      <c r="J412" t="s">
        <v>155</v>
      </c>
      <c r="K412" t="s">
        <v>27</v>
      </c>
      <c r="L412" t="s">
        <v>52</v>
      </c>
      <c r="M412" t="s">
        <v>2706</v>
      </c>
      <c r="N412" t="s">
        <v>773</v>
      </c>
      <c r="O412" t="s">
        <v>31</v>
      </c>
      <c r="P412" t="s">
        <v>2707</v>
      </c>
      <c r="Q412" t="s">
        <v>233</v>
      </c>
      <c r="R412" s="26" t="s">
        <v>352</v>
      </c>
      <c r="S412">
        <v>2.99</v>
      </c>
      <c r="T412">
        <v>7296</v>
      </c>
      <c r="U412">
        <v>0</v>
      </c>
      <c r="V412">
        <v>7296</v>
      </c>
    </row>
    <row r="413" spans="1:22" x14ac:dyDescent="0.3">
      <c r="A413">
        <v>79452</v>
      </c>
      <c r="B413">
        <v>456271489</v>
      </c>
      <c r="C413" t="s">
        <v>2708</v>
      </c>
      <c r="D413" s="9" t="s">
        <v>2709</v>
      </c>
      <c r="E413" t="s">
        <v>769</v>
      </c>
      <c r="F413" t="s">
        <v>770</v>
      </c>
      <c r="G413" t="s">
        <v>49</v>
      </c>
      <c r="H413" t="s">
        <v>50</v>
      </c>
      <c r="I413" t="s">
        <v>34</v>
      </c>
      <c r="J413" t="s">
        <v>155</v>
      </c>
      <c r="K413" t="s">
        <v>27</v>
      </c>
      <c r="L413" t="s">
        <v>52</v>
      </c>
      <c r="M413" t="s">
        <v>2710</v>
      </c>
      <c r="N413" t="s">
        <v>773</v>
      </c>
      <c r="O413" t="s">
        <v>31</v>
      </c>
      <c r="P413" t="s">
        <v>2711</v>
      </c>
      <c r="Q413" t="s">
        <v>178</v>
      </c>
      <c r="R413" s="26" t="s">
        <v>352</v>
      </c>
      <c r="S413">
        <v>1.52</v>
      </c>
      <c r="T413">
        <v>4335</v>
      </c>
      <c r="U413">
        <v>0</v>
      </c>
      <c r="V413">
        <v>4335</v>
      </c>
    </row>
    <row r="414" spans="1:22" x14ac:dyDescent="0.3">
      <c r="A414">
        <v>79452</v>
      </c>
      <c r="B414">
        <v>456271493</v>
      </c>
      <c r="C414" t="s">
        <v>2712</v>
      </c>
      <c r="D414" s="9" t="s">
        <v>2713</v>
      </c>
      <c r="E414" t="s">
        <v>769</v>
      </c>
      <c r="F414" t="s">
        <v>770</v>
      </c>
      <c r="G414" t="s">
        <v>49</v>
      </c>
      <c r="H414" t="s">
        <v>50</v>
      </c>
      <c r="I414" t="s">
        <v>34</v>
      </c>
      <c r="J414" t="s">
        <v>155</v>
      </c>
      <c r="K414" t="s">
        <v>27</v>
      </c>
      <c r="L414" t="s">
        <v>52</v>
      </c>
      <c r="M414" t="s">
        <v>2714</v>
      </c>
      <c r="N414" t="s">
        <v>773</v>
      </c>
      <c r="O414" t="s">
        <v>31</v>
      </c>
      <c r="P414" t="s">
        <v>2715</v>
      </c>
      <c r="Q414" t="s">
        <v>243</v>
      </c>
      <c r="R414" s="26" t="s">
        <v>352</v>
      </c>
      <c r="S414">
        <v>1.1200000000000001</v>
      </c>
      <c r="T414">
        <v>7698</v>
      </c>
      <c r="U414">
        <v>0</v>
      </c>
      <c r="V414">
        <v>7698</v>
      </c>
    </row>
    <row r="415" spans="1:22" x14ac:dyDescent="0.3">
      <c r="A415">
        <v>79452</v>
      </c>
      <c r="B415">
        <v>456271495</v>
      </c>
      <c r="C415" t="s">
        <v>2716</v>
      </c>
      <c r="D415" s="9" t="s">
        <v>2717</v>
      </c>
      <c r="E415" t="s">
        <v>769</v>
      </c>
      <c r="F415" t="s">
        <v>770</v>
      </c>
      <c r="G415" t="s">
        <v>49</v>
      </c>
      <c r="H415" t="s">
        <v>50</v>
      </c>
      <c r="I415" t="s">
        <v>34</v>
      </c>
      <c r="J415" t="s">
        <v>155</v>
      </c>
      <c r="K415" t="s">
        <v>27</v>
      </c>
      <c r="L415" t="s">
        <v>52</v>
      </c>
      <c r="M415" t="s">
        <v>2718</v>
      </c>
      <c r="N415" t="s">
        <v>773</v>
      </c>
      <c r="O415" t="s">
        <v>31</v>
      </c>
      <c r="P415" t="s">
        <v>2719</v>
      </c>
      <c r="Q415" t="s">
        <v>134</v>
      </c>
      <c r="R415" s="26" t="s">
        <v>352</v>
      </c>
      <c r="S415">
        <v>1.1599999999999999</v>
      </c>
      <c r="T415">
        <v>4072</v>
      </c>
      <c r="U415">
        <v>0</v>
      </c>
      <c r="V415">
        <v>4072</v>
      </c>
    </row>
    <row r="416" spans="1:22" x14ac:dyDescent="0.3">
      <c r="A416">
        <v>79452</v>
      </c>
      <c r="B416">
        <v>456090720</v>
      </c>
      <c r="C416" t="s">
        <v>2720</v>
      </c>
      <c r="D416" s="9" t="s">
        <v>2721</v>
      </c>
      <c r="E416" t="s">
        <v>769</v>
      </c>
      <c r="F416" t="s">
        <v>770</v>
      </c>
      <c r="G416" t="s">
        <v>49</v>
      </c>
      <c r="H416" t="s">
        <v>50</v>
      </c>
      <c r="I416" t="s">
        <v>34</v>
      </c>
      <c r="J416" t="s">
        <v>155</v>
      </c>
      <c r="K416" t="s">
        <v>27</v>
      </c>
      <c r="L416" t="s">
        <v>52</v>
      </c>
      <c r="M416" t="s">
        <v>2722</v>
      </c>
      <c r="N416" t="s">
        <v>773</v>
      </c>
      <c r="O416" t="s">
        <v>31</v>
      </c>
      <c r="P416" t="s">
        <v>2723</v>
      </c>
      <c r="Q416" t="s">
        <v>145</v>
      </c>
      <c r="R416" s="26" t="s">
        <v>253</v>
      </c>
      <c r="S416">
        <v>1.65</v>
      </c>
      <c r="T416">
        <v>4335</v>
      </c>
      <c r="U416">
        <v>0</v>
      </c>
      <c r="V416">
        <v>4335</v>
      </c>
    </row>
    <row r="417" spans="1:22" x14ac:dyDescent="0.3">
      <c r="A417">
        <v>79452</v>
      </c>
      <c r="B417">
        <v>456090783</v>
      </c>
      <c r="C417" t="s">
        <v>2724</v>
      </c>
      <c r="D417" s="9" t="s">
        <v>2725</v>
      </c>
      <c r="E417" t="s">
        <v>769</v>
      </c>
      <c r="F417" t="s">
        <v>770</v>
      </c>
      <c r="G417" t="s">
        <v>49</v>
      </c>
      <c r="H417" t="s">
        <v>50</v>
      </c>
      <c r="I417" t="s">
        <v>34</v>
      </c>
      <c r="J417" t="s">
        <v>155</v>
      </c>
      <c r="K417" t="s">
        <v>27</v>
      </c>
      <c r="L417" t="s">
        <v>52</v>
      </c>
      <c r="M417" t="s">
        <v>2726</v>
      </c>
      <c r="N417" t="s">
        <v>773</v>
      </c>
      <c r="O417" t="s">
        <v>31</v>
      </c>
      <c r="P417" t="s">
        <v>2727</v>
      </c>
      <c r="Q417" t="s">
        <v>100</v>
      </c>
      <c r="R417" s="26" t="s">
        <v>253</v>
      </c>
      <c r="S417">
        <v>0.89</v>
      </c>
      <c r="T417">
        <v>6232</v>
      </c>
      <c r="U417">
        <v>0</v>
      </c>
      <c r="V417">
        <v>6232</v>
      </c>
    </row>
    <row r="418" spans="1:22" x14ac:dyDescent="0.3">
      <c r="A418">
        <v>79452</v>
      </c>
      <c r="B418">
        <v>456090806</v>
      </c>
      <c r="C418" t="s">
        <v>2728</v>
      </c>
      <c r="D418" s="9" t="s">
        <v>2729</v>
      </c>
      <c r="E418" t="s">
        <v>769</v>
      </c>
      <c r="F418" t="s">
        <v>770</v>
      </c>
      <c r="G418" t="s">
        <v>49</v>
      </c>
      <c r="H418" t="s">
        <v>50</v>
      </c>
      <c r="I418" t="s">
        <v>34</v>
      </c>
      <c r="J418" t="s">
        <v>155</v>
      </c>
      <c r="K418" t="s">
        <v>27</v>
      </c>
      <c r="L418" t="s">
        <v>52</v>
      </c>
      <c r="M418" t="s">
        <v>2730</v>
      </c>
      <c r="N418" t="s">
        <v>773</v>
      </c>
      <c r="O418" t="s">
        <v>31</v>
      </c>
      <c r="P418" t="s">
        <v>2731</v>
      </c>
      <c r="Q418" t="s">
        <v>188</v>
      </c>
      <c r="R418" s="26" t="s">
        <v>253</v>
      </c>
      <c r="S418">
        <v>2.85</v>
      </c>
      <c r="T418">
        <v>7072</v>
      </c>
      <c r="U418">
        <v>0</v>
      </c>
      <c r="V418">
        <v>7072</v>
      </c>
    </row>
    <row r="419" spans="1:22" x14ac:dyDescent="0.3">
      <c r="A419">
        <v>79452</v>
      </c>
      <c r="B419">
        <v>456090879</v>
      </c>
      <c r="C419" t="s">
        <v>2732</v>
      </c>
      <c r="D419" s="9" t="s">
        <v>2733</v>
      </c>
      <c r="E419" t="s">
        <v>769</v>
      </c>
      <c r="F419" t="s">
        <v>770</v>
      </c>
      <c r="G419" t="s">
        <v>49</v>
      </c>
      <c r="H419" t="s">
        <v>50</v>
      </c>
      <c r="I419" t="s">
        <v>34</v>
      </c>
      <c r="J419" t="s">
        <v>155</v>
      </c>
      <c r="K419" t="s">
        <v>27</v>
      </c>
      <c r="L419" t="s">
        <v>52</v>
      </c>
      <c r="M419" t="s">
        <v>2734</v>
      </c>
      <c r="N419" t="s">
        <v>773</v>
      </c>
      <c r="O419" t="s">
        <v>31</v>
      </c>
      <c r="P419" t="s">
        <v>2735</v>
      </c>
      <c r="Q419" t="s">
        <v>74</v>
      </c>
      <c r="R419" s="26" t="s">
        <v>383</v>
      </c>
      <c r="S419">
        <v>1.68</v>
      </c>
      <c r="T419">
        <v>4335</v>
      </c>
      <c r="U419">
        <v>0</v>
      </c>
      <c r="V419">
        <v>4335</v>
      </c>
    </row>
    <row r="420" spans="1:22" x14ac:dyDescent="0.3">
      <c r="A420">
        <v>79452</v>
      </c>
      <c r="B420">
        <v>456090887</v>
      </c>
      <c r="C420" t="s">
        <v>2736</v>
      </c>
      <c r="D420" s="9" t="s">
        <v>2737</v>
      </c>
      <c r="E420" t="s">
        <v>769</v>
      </c>
      <c r="F420" t="s">
        <v>770</v>
      </c>
      <c r="G420" t="s">
        <v>49</v>
      </c>
      <c r="H420" t="s">
        <v>50</v>
      </c>
      <c r="I420" t="s">
        <v>34</v>
      </c>
      <c r="J420" t="s">
        <v>155</v>
      </c>
      <c r="K420" t="s">
        <v>27</v>
      </c>
      <c r="L420" t="s">
        <v>52</v>
      </c>
      <c r="M420" t="s">
        <v>590</v>
      </c>
      <c r="N420" t="s">
        <v>773</v>
      </c>
      <c r="O420" t="s">
        <v>31</v>
      </c>
      <c r="P420" t="s">
        <v>2738</v>
      </c>
      <c r="Q420" t="s">
        <v>184</v>
      </c>
      <c r="R420" s="26" t="s">
        <v>383</v>
      </c>
      <c r="S420">
        <v>2.62</v>
      </c>
      <c r="T420">
        <v>7619</v>
      </c>
      <c r="U420">
        <v>0</v>
      </c>
      <c r="V420">
        <v>7619</v>
      </c>
    </row>
    <row r="421" spans="1:22" x14ac:dyDescent="0.3">
      <c r="A421">
        <v>79452</v>
      </c>
      <c r="B421">
        <v>456090892</v>
      </c>
      <c r="C421" t="s">
        <v>2739</v>
      </c>
      <c r="D421" s="9" t="s">
        <v>2740</v>
      </c>
      <c r="E421" t="s">
        <v>769</v>
      </c>
      <c r="F421" t="s">
        <v>770</v>
      </c>
      <c r="G421" t="s">
        <v>49</v>
      </c>
      <c r="H421" t="s">
        <v>50</v>
      </c>
      <c r="I421" t="s">
        <v>34</v>
      </c>
      <c r="J421" t="s">
        <v>155</v>
      </c>
      <c r="K421" t="s">
        <v>27</v>
      </c>
      <c r="L421" t="s">
        <v>52</v>
      </c>
      <c r="M421" t="s">
        <v>2741</v>
      </c>
      <c r="N421" t="s">
        <v>773</v>
      </c>
      <c r="O421" t="s">
        <v>31</v>
      </c>
      <c r="P421" t="s">
        <v>2742</v>
      </c>
      <c r="Q421" t="s">
        <v>134</v>
      </c>
      <c r="R421" s="26" t="s">
        <v>383</v>
      </c>
      <c r="S421">
        <v>1.55</v>
      </c>
      <c r="T421">
        <v>4335</v>
      </c>
      <c r="U421">
        <v>0</v>
      </c>
      <c r="V421">
        <v>4335</v>
      </c>
    </row>
    <row r="422" spans="1:22" x14ac:dyDescent="0.3">
      <c r="A422">
        <v>79452</v>
      </c>
      <c r="B422">
        <v>455973218</v>
      </c>
      <c r="C422" t="s">
        <v>2743</v>
      </c>
      <c r="D422" s="9" t="s">
        <v>2744</v>
      </c>
      <c r="E422" t="s">
        <v>769</v>
      </c>
      <c r="F422" t="s">
        <v>770</v>
      </c>
      <c r="G422" t="s">
        <v>49</v>
      </c>
      <c r="H422" t="s">
        <v>50</v>
      </c>
      <c r="I422" t="s">
        <v>34</v>
      </c>
      <c r="J422" t="s">
        <v>155</v>
      </c>
      <c r="K422" t="s">
        <v>27</v>
      </c>
      <c r="L422" t="s">
        <v>52</v>
      </c>
      <c r="M422" t="s">
        <v>2672</v>
      </c>
      <c r="N422" t="s">
        <v>773</v>
      </c>
      <c r="O422" t="s">
        <v>31</v>
      </c>
      <c r="P422" t="s">
        <v>2673</v>
      </c>
      <c r="Q422" t="s">
        <v>134</v>
      </c>
      <c r="R422" s="26" t="s">
        <v>279</v>
      </c>
      <c r="S422">
        <v>1.28</v>
      </c>
      <c r="T422">
        <v>4072</v>
      </c>
      <c r="U422">
        <v>0</v>
      </c>
      <c r="V422">
        <v>4072</v>
      </c>
    </row>
    <row r="423" spans="1:22" x14ac:dyDescent="0.3">
      <c r="A423">
        <v>79452</v>
      </c>
      <c r="B423">
        <v>455973423</v>
      </c>
      <c r="C423" t="s">
        <v>2745</v>
      </c>
      <c r="D423" s="9" t="s">
        <v>2746</v>
      </c>
      <c r="E423" t="s">
        <v>769</v>
      </c>
      <c r="F423" t="s">
        <v>770</v>
      </c>
      <c r="G423" t="s">
        <v>49</v>
      </c>
      <c r="H423" t="s">
        <v>50</v>
      </c>
      <c r="I423" t="s">
        <v>34</v>
      </c>
      <c r="J423" t="s">
        <v>155</v>
      </c>
      <c r="K423" t="s">
        <v>27</v>
      </c>
      <c r="L423" t="s">
        <v>52</v>
      </c>
      <c r="M423" t="s">
        <v>2747</v>
      </c>
      <c r="N423" t="s">
        <v>773</v>
      </c>
      <c r="O423" t="s">
        <v>31</v>
      </c>
      <c r="P423" t="s">
        <v>2748</v>
      </c>
      <c r="Q423" t="s">
        <v>135</v>
      </c>
      <c r="R423" s="26" t="s">
        <v>279</v>
      </c>
      <c r="S423">
        <v>3.56</v>
      </c>
      <c r="T423">
        <v>7513</v>
      </c>
      <c r="U423">
        <v>0</v>
      </c>
      <c r="V423">
        <v>7513</v>
      </c>
    </row>
    <row r="424" spans="1:22" x14ac:dyDescent="0.3">
      <c r="A424">
        <v>79452</v>
      </c>
      <c r="B424">
        <v>455973455</v>
      </c>
      <c r="C424" t="s">
        <v>2749</v>
      </c>
      <c r="D424" s="9" t="s">
        <v>2750</v>
      </c>
      <c r="E424" t="s">
        <v>769</v>
      </c>
      <c r="F424" t="s">
        <v>770</v>
      </c>
      <c r="G424" t="s">
        <v>49</v>
      </c>
      <c r="H424" t="s">
        <v>50</v>
      </c>
      <c r="I424" t="s">
        <v>34</v>
      </c>
      <c r="J424" t="s">
        <v>155</v>
      </c>
      <c r="K424" t="s">
        <v>27</v>
      </c>
      <c r="L424" t="s">
        <v>52</v>
      </c>
      <c r="M424" t="s">
        <v>318</v>
      </c>
      <c r="N424" t="s">
        <v>773</v>
      </c>
      <c r="O424" t="s">
        <v>31</v>
      </c>
      <c r="P424" t="s">
        <v>2751</v>
      </c>
      <c r="Q424" t="s">
        <v>74</v>
      </c>
      <c r="R424" s="26" t="s">
        <v>279</v>
      </c>
      <c r="S424">
        <v>0.8</v>
      </c>
      <c r="T424">
        <v>4072</v>
      </c>
      <c r="U424">
        <v>0</v>
      </c>
      <c r="V424">
        <v>4072</v>
      </c>
    </row>
    <row r="425" spans="1:22" x14ac:dyDescent="0.3">
      <c r="A425">
        <v>79452</v>
      </c>
      <c r="B425">
        <v>455973515</v>
      </c>
      <c r="C425" t="s">
        <v>2752</v>
      </c>
      <c r="D425" s="9" t="s">
        <v>2753</v>
      </c>
      <c r="E425" t="s">
        <v>769</v>
      </c>
      <c r="F425" t="s">
        <v>770</v>
      </c>
      <c r="G425" t="s">
        <v>49</v>
      </c>
      <c r="H425" t="s">
        <v>50</v>
      </c>
      <c r="I425" t="s">
        <v>34</v>
      </c>
      <c r="J425" t="s">
        <v>155</v>
      </c>
      <c r="K425" t="s">
        <v>27</v>
      </c>
      <c r="L425" t="s">
        <v>52</v>
      </c>
      <c r="M425" t="s">
        <v>639</v>
      </c>
      <c r="N425" t="s">
        <v>773</v>
      </c>
      <c r="O425" t="s">
        <v>31</v>
      </c>
      <c r="P425" t="s">
        <v>2754</v>
      </c>
      <c r="Q425" t="s">
        <v>178</v>
      </c>
      <c r="R425" s="26" t="s">
        <v>417</v>
      </c>
      <c r="S425">
        <v>0.88</v>
      </c>
      <c r="T425">
        <v>4072</v>
      </c>
      <c r="U425">
        <v>0</v>
      </c>
      <c r="V425">
        <v>4072</v>
      </c>
    </row>
    <row r="426" spans="1:22" x14ac:dyDescent="0.3">
      <c r="A426">
        <v>79452</v>
      </c>
      <c r="B426">
        <v>455657067</v>
      </c>
      <c r="C426" t="s">
        <v>2755</v>
      </c>
      <c r="D426" s="9" t="s">
        <v>2756</v>
      </c>
      <c r="E426" t="s">
        <v>769</v>
      </c>
      <c r="F426" t="s">
        <v>770</v>
      </c>
      <c r="G426" t="s">
        <v>49</v>
      </c>
      <c r="H426" t="s">
        <v>50</v>
      </c>
      <c r="I426" t="s">
        <v>34</v>
      </c>
      <c r="J426" t="s">
        <v>155</v>
      </c>
      <c r="K426" t="s">
        <v>27</v>
      </c>
      <c r="L426" t="s">
        <v>52</v>
      </c>
      <c r="M426" t="s">
        <v>2757</v>
      </c>
      <c r="N426" t="s">
        <v>773</v>
      </c>
      <c r="O426" t="s">
        <v>31</v>
      </c>
      <c r="P426" t="s">
        <v>2758</v>
      </c>
      <c r="Q426" t="s">
        <v>74</v>
      </c>
      <c r="R426" s="26" t="s">
        <v>225</v>
      </c>
      <c r="S426">
        <v>1.45</v>
      </c>
      <c r="T426">
        <v>4072</v>
      </c>
      <c r="U426">
        <v>0</v>
      </c>
      <c r="V426">
        <v>4072</v>
      </c>
    </row>
    <row r="427" spans="1:22" x14ac:dyDescent="0.3">
      <c r="A427">
        <v>79452</v>
      </c>
      <c r="B427">
        <v>455821592</v>
      </c>
      <c r="C427" t="s">
        <v>2759</v>
      </c>
      <c r="D427" s="9" t="s">
        <v>2760</v>
      </c>
      <c r="E427" t="s">
        <v>769</v>
      </c>
      <c r="F427" t="s">
        <v>770</v>
      </c>
      <c r="G427" t="s">
        <v>49</v>
      </c>
      <c r="H427" t="s">
        <v>50</v>
      </c>
      <c r="I427" t="s">
        <v>34</v>
      </c>
      <c r="J427" t="s">
        <v>155</v>
      </c>
      <c r="K427" t="s">
        <v>27</v>
      </c>
      <c r="L427" t="s">
        <v>52</v>
      </c>
      <c r="M427" t="s">
        <v>2761</v>
      </c>
      <c r="N427" t="s">
        <v>773</v>
      </c>
      <c r="O427" t="s">
        <v>31</v>
      </c>
      <c r="P427" t="s">
        <v>2762</v>
      </c>
      <c r="Q427" t="s">
        <v>66</v>
      </c>
      <c r="R427" s="26" t="s">
        <v>459</v>
      </c>
      <c r="S427">
        <v>1.39</v>
      </c>
      <c r="T427">
        <v>4072</v>
      </c>
      <c r="U427">
        <v>0</v>
      </c>
      <c r="V427">
        <v>4072</v>
      </c>
    </row>
    <row r="428" spans="1:22" x14ac:dyDescent="0.3">
      <c r="A428">
        <v>79452</v>
      </c>
      <c r="B428">
        <v>455821605</v>
      </c>
      <c r="C428" t="s">
        <v>2763</v>
      </c>
      <c r="D428" s="9" t="s">
        <v>2764</v>
      </c>
      <c r="E428" t="s">
        <v>769</v>
      </c>
      <c r="F428" t="s">
        <v>770</v>
      </c>
      <c r="G428" t="s">
        <v>49</v>
      </c>
      <c r="H428" t="s">
        <v>50</v>
      </c>
      <c r="I428" t="s">
        <v>34</v>
      </c>
      <c r="J428" t="s">
        <v>155</v>
      </c>
      <c r="K428" t="s">
        <v>27</v>
      </c>
      <c r="L428" t="s">
        <v>52</v>
      </c>
      <c r="M428" t="s">
        <v>566</v>
      </c>
      <c r="N428" t="s">
        <v>773</v>
      </c>
      <c r="O428" t="s">
        <v>31</v>
      </c>
      <c r="P428" t="s">
        <v>2765</v>
      </c>
      <c r="Q428" t="s">
        <v>206</v>
      </c>
      <c r="R428" s="26" t="s">
        <v>459</v>
      </c>
      <c r="S428">
        <v>1.43</v>
      </c>
      <c r="T428">
        <v>6146</v>
      </c>
      <c r="U428">
        <v>0</v>
      </c>
      <c r="V428">
        <v>6146</v>
      </c>
    </row>
    <row r="429" spans="1:22" x14ac:dyDescent="0.3">
      <c r="A429">
        <v>79452</v>
      </c>
      <c r="B429">
        <v>455821630</v>
      </c>
      <c r="C429" t="s">
        <v>2766</v>
      </c>
      <c r="D429" s="9" t="s">
        <v>2767</v>
      </c>
      <c r="E429" t="s">
        <v>769</v>
      </c>
      <c r="F429" t="s">
        <v>770</v>
      </c>
      <c r="G429" t="s">
        <v>49</v>
      </c>
      <c r="H429" t="s">
        <v>50</v>
      </c>
      <c r="I429" t="s">
        <v>34</v>
      </c>
      <c r="J429" t="s">
        <v>155</v>
      </c>
      <c r="K429" t="s">
        <v>27</v>
      </c>
      <c r="L429" t="s">
        <v>52</v>
      </c>
      <c r="M429" t="s">
        <v>2768</v>
      </c>
      <c r="N429" t="s">
        <v>773</v>
      </c>
      <c r="O429" t="s">
        <v>31</v>
      </c>
      <c r="P429" t="s">
        <v>2769</v>
      </c>
      <c r="Q429" t="s">
        <v>206</v>
      </c>
      <c r="R429" s="26" t="s">
        <v>459</v>
      </c>
      <c r="S429">
        <v>1.81</v>
      </c>
      <c r="T429">
        <v>6976</v>
      </c>
      <c r="U429">
        <v>0</v>
      </c>
      <c r="V429">
        <v>6976</v>
      </c>
    </row>
    <row r="430" spans="1:22" x14ac:dyDescent="0.3">
      <c r="A430">
        <v>79452</v>
      </c>
      <c r="B430">
        <v>455821680</v>
      </c>
      <c r="C430" t="s">
        <v>2770</v>
      </c>
      <c r="D430" s="9" t="s">
        <v>2771</v>
      </c>
      <c r="E430" t="s">
        <v>769</v>
      </c>
      <c r="F430" t="s">
        <v>770</v>
      </c>
      <c r="G430" t="s">
        <v>49</v>
      </c>
      <c r="H430" t="s">
        <v>50</v>
      </c>
      <c r="I430" t="s">
        <v>34</v>
      </c>
      <c r="J430" t="s">
        <v>155</v>
      </c>
      <c r="K430" t="s">
        <v>27</v>
      </c>
      <c r="L430" t="s">
        <v>52</v>
      </c>
      <c r="M430" t="s">
        <v>2772</v>
      </c>
      <c r="N430" t="s">
        <v>773</v>
      </c>
      <c r="O430" t="s">
        <v>31</v>
      </c>
      <c r="P430" t="s">
        <v>2773</v>
      </c>
      <c r="Q430" t="s">
        <v>134</v>
      </c>
      <c r="R430" s="26" t="s">
        <v>459</v>
      </c>
      <c r="S430">
        <v>1.61</v>
      </c>
      <c r="T430">
        <v>4335</v>
      </c>
      <c r="U430">
        <v>0</v>
      </c>
      <c r="V430">
        <v>4335</v>
      </c>
    </row>
    <row r="431" spans="1:22" x14ac:dyDescent="0.3">
      <c r="A431">
        <v>79452</v>
      </c>
      <c r="B431">
        <v>455821781</v>
      </c>
      <c r="C431" t="s">
        <v>2774</v>
      </c>
      <c r="D431" s="9" t="s">
        <v>2775</v>
      </c>
      <c r="E431" t="s">
        <v>769</v>
      </c>
      <c r="F431" t="s">
        <v>770</v>
      </c>
      <c r="G431" t="s">
        <v>49</v>
      </c>
      <c r="H431" t="s">
        <v>50</v>
      </c>
      <c r="I431" t="s">
        <v>34</v>
      </c>
      <c r="J431" t="s">
        <v>155</v>
      </c>
      <c r="K431" t="s">
        <v>27</v>
      </c>
      <c r="L431" t="s">
        <v>52</v>
      </c>
      <c r="M431" t="s">
        <v>2776</v>
      </c>
      <c r="N431" t="s">
        <v>773</v>
      </c>
      <c r="O431" t="s">
        <v>31</v>
      </c>
      <c r="P431" t="s">
        <v>2777</v>
      </c>
      <c r="Q431" t="s">
        <v>159</v>
      </c>
      <c r="R431" s="26" t="s">
        <v>459</v>
      </c>
      <c r="S431">
        <v>0.99</v>
      </c>
      <c r="T431">
        <v>6370</v>
      </c>
      <c r="U431">
        <v>0</v>
      </c>
      <c r="V431">
        <v>6370</v>
      </c>
    </row>
    <row r="432" spans="1:22" x14ac:dyDescent="0.3">
      <c r="A432">
        <v>79452</v>
      </c>
      <c r="B432">
        <v>455821897</v>
      </c>
      <c r="C432" t="s">
        <v>2778</v>
      </c>
      <c r="D432" s="9" t="s">
        <v>2779</v>
      </c>
      <c r="E432" t="s">
        <v>769</v>
      </c>
      <c r="F432" t="s">
        <v>770</v>
      </c>
      <c r="G432" t="s">
        <v>49</v>
      </c>
      <c r="H432" t="s">
        <v>50</v>
      </c>
      <c r="I432" t="s">
        <v>34</v>
      </c>
      <c r="J432" t="s">
        <v>155</v>
      </c>
      <c r="K432" t="s">
        <v>27</v>
      </c>
      <c r="L432" t="s">
        <v>52</v>
      </c>
      <c r="M432" t="s">
        <v>642</v>
      </c>
      <c r="N432" t="s">
        <v>773</v>
      </c>
      <c r="O432" t="s">
        <v>31</v>
      </c>
      <c r="P432" t="s">
        <v>2780</v>
      </c>
      <c r="Q432" t="s">
        <v>100</v>
      </c>
      <c r="R432" s="26" t="s">
        <v>459</v>
      </c>
      <c r="S432">
        <v>0.98</v>
      </c>
      <c r="T432">
        <v>6232</v>
      </c>
      <c r="U432">
        <v>0</v>
      </c>
      <c r="V432">
        <v>6232</v>
      </c>
    </row>
    <row r="433" spans="1:22" x14ac:dyDescent="0.3">
      <c r="A433">
        <v>79452</v>
      </c>
      <c r="B433">
        <v>455821958</v>
      </c>
      <c r="C433" t="s">
        <v>2781</v>
      </c>
      <c r="D433" s="9" t="s">
        <v>2782</v>
      </c>
      <c r="E433" t="s">
        <v>769</v>
      </c>
      <c r="F433" t="s">
        <v>770</v>
      </c>
      <c r="G433" t="s">
        <v>49</v>
      </c>
      <c r="H433" t="s">
        <v>50</v>
      </c>
      <c r="I433" t="s">
        <v>34</v>
      </c>
      <c r="J433" t="s">
        <v>155</v>
      </c>
      <c r="K433" t="s">
        <v>27</v>
      </c>
      <c r="L433" t="s">
        <v>52</v>
      </c>
      <c r="M433" t="s">
        <v>2653</v>
      </c>
      <c r="N433" t="s">
        <v>773</v>
      </c>
      <c r="O433" t="s">
        <v>31</v>
      </c>
      <c r="P433" t="s">
        <v>2654</v>
      </c>
      <c r="Q433" t="s">
        <v>100</v>
      </c>
      <c r="R433" s="26" t="s">
        <v>1146</v>
      </c>
      <c r="S433">
        <v>1.01</v>
      </c>
      <c r="T433">
        <v>6232</v>
      </c>
      <c r="U433">
        <v>0</v>
      </c>
      <c r="V433">
        <v>6232</v>
      </c>
    </row>
    <row r="434" spans="1:22" x14ac:dyDescent="0.3">
      <c r="A434">
        <v>79452</v>
      </c>
      <c r="B434">
        <v>455584571</v>
      </c>
      <c r="C434" t="s">
        <v>2783</v>
      </c>
      <c r="D434" s="9" t="s">
        <v>2784</v>
      </c>
      <c r="E434" t="s">
        <v>769</v>
      </c>
      <c r="F434" t="s">
        <v>770</v>
      </c>
      <c r="G434" t="s">
        <v>49</v>
      </c>
      <c r="H434" t="s">
        <v>50</v>
      </c>
      <c r="I434" t="s">
        <v>34</v>
      </c>
      <c r="J434" t="s">
        <v>155</v>
      </c>
      <c r="K434" t="s">
        <v>27</v>
      </c>
      <c r="L434" t="s">
        <v>52</v>
      </c>
      <c r="M434" t="s">
        <v>2785</v>
      </c>
      <c r="N434" t="s">
        <v>773</v>
      </c>
      <c r="O434" t="s">
        <v>31</v>
      </c>
      <c r="P434" t="s">
        <v>2786</v>
      </c>
      <c r="Q434" t="s">
        <v>100</v>
      </c>
      <c r="R434" s="26" t="s">
        <v>262</v>
      </c>
      <c r="S434">
        <v>1.03</v>
      </c>
      <c r="T434">
        <v>6232</v>
      </c>
      <c r="U434">
        <v>0</v>
      </c>
      <c r="V434">
        <v>6232</v>
      </c>
    </row>
    <row r="435" spans="1:22" x14ac:dyDescent="0.3">
      <c r="A435">
        <v>79452</v>
      </c>
      <c r="B435">
        <v>455584602</v>
      </c>
      <c r="C435" t="s">
        <v>2787</v>
      </c>
      <c r="D435" s="9" t="s">
        <v>2788</v>
      </c>
      <c r="E435" t="s">
        <v>769</v>
      </c>
      <c r="F435" t="s">
        <v>770</v>
      </c>
      <c r="G435" t="s">
        <v>49</v>
      </c>
      <c r="H435" t="s">
        <v>50</v>
      </c>
      <c r="I435" t="s">
        <v>34</v>
      </c>
      <c r="J435" t="s">
        <v>155</v>
      </c>
      <c r="K435" t="s">
        <v>27</v>
      </c>
      <c r="L435" t="s">
        <v>52</v>
      </c>
      <c r="M435" t="s">
        <v>2789</v>
      </c>
      <c r="N435" t="s">
        <v>773</v>
      </c>
      <c r="O435" t="s">
        <v>31</v>
      </c>
      <c r="P435" t="s">
        <v>2790</v>
      </c>
      <c r="Q435" t="s">
        <v>182</v>
      </c>
      <c r="R435" s="26" t="s">
        <v>262</v>
      </c>
      <c r="S435">
        <v>1.29</v>
      </c>
      <c r="T435">
        <v>6307</v>
      </c>
      <c r="U435">
        <v>0</v>
      </c>
      <c r="V435">
        <v>6307</v>
      </c>
    </row>
    <row r="436" spans="1:22" x14ac:dyDescent="0.3">
      <c r="A436">
        <v>79452</v>
      </c>
      <c r="B436">
        <v>455584658</v>
      </c>
      <c r="C436" t="s">
        <v>2791</v>
      </c>
      <c r="D436" s="9" t="s">
        <v>2792</v>
      </c>
      <c r="E436" t="s">
        <v>769</v>
      </c>
      <c r="F436" t="s">
        <v>770</v>
      </c>
      <c r="G436" t="s">
        <v>49</v>
      </c>
      <c r="H436" t="s">
        <v>50</v>
      </c>
      <c r="I436" t="s">
        <v>34</v>
      </c>
      <c r="J436" t="s">
        <v>155</v>
      </c>
      <c r="K436" t="s">
        <v>27</v>
      </c>
      <c r="L436" t="s">
        <v>52</v>
      </c>
      <c r="M436" t="s">
        <v>2793</v>
      </c>
      <c r="N436" t="s">
        <v>773</v>
      </c>
      <c r="O436" t="s">
        <v>31</v>
      </c>
      <c r="P436" t="s">
        <v>2794</v>
      </c>
      <c r="Q436" t="s">
        <v>105</v>
      </c>
      <c r="R436" s="26" t="s">
        <v>262</v>
      </c>
      <c r="S436">
        <v>1.69</v>
      </c>
      <c r="T436">
        <v>4335</v>
      </c>
      <c r="U436">
        <v>0</v>
      </c>
      <c r="V436">
        <v>4335</v>
      </c>
    </row>
    <row r="437" spans="1:22" x14ac:dyDescent="0.3">
      <c r="A437">
        <v>79452</v>
      </c>
      <c r="B437">
        <v>455584696</v>
      </c>
      <c r="C437" t="s">
        <v>2795</v>
      </c>
      <c r="D437" s="9" t="s">
        <v>2796</v>
      </c>
      <c r="E437" t="s">
        <v>769</v>
      </c>
      <c r="F437" t="s">
        <v>770</v>
      </c>
      <c r="G437" t="s">
        <v>49</v>
      </c>
      <c r="H437" t="s">
        <v>50</v>
      </c>
      <c r="I437" t="s">
        <v>34</v>
      </c>
      <c r="J437" t="s">
        <v>155</v>
      </c>
      <c r="K437" t="s">
        <v>27</v>
      </c>
      <c r="L437" t="s">
        <v>52</v>
      </c>
      <c r="M437" t="s">
        <v>2797</v>
      </c>
      <c r="N437" t="s">
        <v>773</v>
      </c>
      <c r="O437" t="s">
        <v>31</v>
      </c>
      <c r="P437" t="s">
        <v>2798</v>
      </c>
      <c r="Q437" t="s">
        <v>101</v>
      </c>
      <c r="R437" s="26" t="s">
        <v>262</v>
      </c>
      <c r="S437">
        <v>1.54</v>
      </c>
      <c r="T437">
        <v>7619</v>
      </c>
      <c r="U437">
        <v>0</v>
      </c>
      <c r="V437">
        <v>7619</v>
      </c>
    </row>
    <row r="438" spans="1:22" x14ac:dyDescent="0.3">
      <c r="A438">
        <v>79452</v>
      </c>
      <c r="B438">
        <v>455584752</v>
      </c>
      <c r="C438" t="s">
        <v>2799</v>
      </c>
      <c r="D438" s="9" t="s">
        <v>2800</v>
      </c>
      <c r="E438" t="s">
        <v>769</v>
      </c>
      <c r="F438" t="s">
        <v>770</v>
      </c>
      <c r="G438" t="s">
        <v>49</v>
      </c>
      <c r="H438" t="s">
        <v>50</v>
      </c>
      <c r="I438" t="s">
        <v>34</v>
      </c>
      <c r="J438" t="s">
        <v>155</v>
      </c>
      <c r="K438" t="s">
        <v>27</v>
      </c>
      <c r="L438" t="s">
        <v>52</v>
      </c>
      <c r="M438" t="s">
        <v>2801</v>
      </c>
      <c r="N438" t="s">
        <v>773</v>
      </c>
      <c r="O438" t="s">
        <v>31</v>
      </c>
      <c r="P438" t="s">
        <v>2802</v>
      </c>
      <c r="Q438" t="s">
        <v>74</v>
      </c>
      <c r="R438" s="26" t="s">
        <v>262</v>
      </c>
      <c r="S438">
        <v>0.95</v>
      </c>
      <c r="T438">
        <v>4072</v>
      </c>
      <c r="U438">
        <v>0</v>
      </c>
      <c r="V438">
        <v>4072</v>
      </c>
    </row>
    <row r="439" spans="1:22" x14ac:dyDescent="0.3">
      <c r="A439">
        <v>79452</v>
      </c>
      <c r="B439">
        <v>455584831</v>
      </c>
      <c r="C439" t="s">
        <v>2803</v>
      </c>
      <c r="D439" s="9" t="s">
        <v>2804</v>
      </c>
      <c r="E439" t="s">
        <v>769</v>
      </c>
      <c r="F439" t="s">
        <v>770</v>
      </c>
      <c r="G439" t="s">
        <v>49</v>
      </c>
      <c r="H439" t="s">
        <v>50</v>
      </c>
      <c r="I439" t="s">
        <v>34</v>
      </c>
      <c r="J439" t="s">
        <v>155</v>
      </c>
      <c r="K439" t="s">
        <v>27</v>
      </c>
      <c r="L439" t="s">
        <v>52</v>
      </c>
      <c r="M439" t="s">
        <v>2805</v>
      </c>
      <c r="N439" t="s">
        <v>773</v>
      </c>
      <c r="O439" t="s">
        <v>31</v>
      </c>
      <c r="P439" t="s">
        <v>2806</v>
      </c>
      <c r="Q439" t="s">
        <v>136</v>
      </c>
      <c r="R439" s="26" t="s">
        <v>317</v>
      </c>
      <c r="S439">
        <v>0.85</v>
      </c>
      <c r="T439">
        <v>4072</v>
      </c>
      <c r="U439">
        <v>0</v>
      </c>
      <c r="V439">
        <v>4072</v>
      </c>
    </row>
    <row r="440" spans="1:22" x14ac:dyDescent="0.3">
      <c r="A440">
        <v>79452</v>
      </c>
      <c r="B440">
        <v>455493182</v>
      </c>
      <c r="C440" t="s">
        <v>2807</v>
      </c>
      <c r="D440" s="9" t="s">
        <v>2808</v>
      </c>
      <c r="E440" t="s">
        <v>769</v>
      </c>
      <c r="F440" t="s">
        <v>770</v>
      </c>
      <c r="G440" t="s">
        <v>49</v>
      </c>
      <c r="H440" t="s">
        <v>50</v>
      </c>
      <c r="I440" t="s">
        <v>34</v>
      </c>
      <c r="J440" t="s">
        <v>155</v>
      </c>
      <c r="K440" t="s">
        <v>27</v>
      </c>
      <c r="L440" t="s">
        <v>52</v>
      </c>
      <c r="M440" t="s">
        <v>681</v>
      </c>
      <c r="N440" t="s">
        <v>773</v>
      </c>
      <c r="O440" t="s">
        <v>31</v>
      </c>
      <c r="P440" t="s">
        <v>2809</v>
      </c>
      <c r="Q440" t="s">
        <v>134</v>
      </c>
      <c r="R440" s="26" t="s">
        <v>367</v>
      </c>
      <c r="S440">
        <v>1.6</v>
      </c>
      <c r="T440">
        <v>4335</v>
      </c>
      <c r="U440">
        <v>0</v>
      </c>
      <c r="V440">
        <v>4335</v>
      </c>
    </row>
    <row r="441" spans="1:22" x14ac:dyDescent="0.3">
      <c r="A441">
        <v>79452</v>
      </c>
      <c r="B441">
        <v>455519407</v>
      </c>
      <c r="C441" t="s">
        <v>2810</v>
      </c>
      <c r="D441" s="9" t="s">
        <v>2811</v>
      </c>
      <c r="E441" t="s">
        <v>769</v>
      </c>
      <c r="F441" t="s">
        <v>770</v>
      </c>
      <c r="G441" t="s">
        <v>49</v>
      </c>
      <c r="H441" t="s">
        <v>50</v>
      </c>
      <c r="I441" t="s">
        <v>34</v>
      </c>
      <c r="J441" t="s">
        <v>155</v>
      </c>
      <c r="K441" t="s">
        <v>27</v>
      </c>
      <c r="L441" t="s">
        <v>52</v>
      </c>
      <c r="M441" t="s">
        <v>2785</v>
      </c>
      <c r="N441" t="s">
        <v>773</v>
      </c>
      <c r="O441" t="s">
        <v>31</v>
      </c>
      <c r="P441" t="s">
        <v>2786</v>
      </c>
      <c r="Q441" t="s">
        <v>100</v>
      </c>
      <c r="R441" s="26" t="s">
        <v>715</v>
      </c>
      <c r="S441">
        <v>1.27</v>
      </c>
      <c r="T441">
        <v>6232</v>
      </c>
      <c r="U441">
        <v>0</v>
      </c>
      <c r="V441">
        <v>6232</v>
      </c>
    </row>
    <row r="442" spans="1:22" x14ac:dyDescent="0.3">
      <c r="A442">
        <v>79452</v>
      </c>
      <c r="B442">
        <v>455519440</v>
      </c>
      <c r="C442" t="s">
        <v>2812</v>
      </c>
      <c r="D442" s="9" t="s">
        <v>2813</v>
      </c>
      <c r="E442" t="s">
        <v>769</v>
      </c>
      <c r="F442" t="s">
        <v>770</v>
      </c>
      <c r="G442" t="s">
        <v>49</v>
      </c>
      <c r="H442" t="s">
        <v>50</v>
      </c>
      <c r="I442" t="s">
        <v>34</v>
      </c>
      <c r="J442" t="s">
        <v>155</v>
      </c>
      <c r="K442" t="s">
        <v>27</v>
      </c>
      <c r="L442" t="s">
        <v>52</v>
      </c>
      <c r="M442" t="s">
        <v>2814</v>
      </c>
      <c r="N442" t="s">
        <v>773</v>
      </c>
      <c r="O442" t="s">
        <v>31</v>
      </c>
      <c r="P442" t="s">
        <v>2815</v>
      </c>
      <c r="Q442" t="s">
        <v>294</v>
      </c>
      <c r="R442" s="26" t="s">
        <v>715</v>
      </c>
      <c r="S442">
        <v>4.18</v>
      </c>
      <c r="T442">
        <v>7278</v>
      </c>
      <c r="U442">
        <v>0</v>
      </c>
      <c r="V442">
        <v>7278</v>
      </c>
    </row>
    <row r="443" spans="1:22" x14ac:dyDescent="0.3">
      <c r="A443">
        <v>79452</v>
      </c>
      <c r="B443">
        <v>455396109</v>
      </c>
      <c r="C443" t="s">
        <v>2816</v>
      </c>
      <c r="D443" s="9" t="s">
        <v>2817</v>
      </c>
      <c r="E443" t="s">
        <v>769</v>
      </c>
      <c r="F443" t="s">
        <v>770</v>
      </c>
      <c r="G443" t="s">
        <v>49</v>
      </c>
      <c r="H443" t="s">
        <v>50</v>
      </c>
      <c r="I443" t="s">
        <v>34</v>
      </c>
      <c r="J443" t="s">
        <v>155</v>
      </c>
      <c r="K443" t="s">
        <v>27</v>
      </c>
      <c r="L443" t="s">
        <v>52</v>
      </c>
      <c r="M443" t="s">
        <v>2818</v>
      </c>
      <c r="N443" t="s">
        <v>773</v>
      </c>
      <c r="O443" t="s">
        <v>31</v>
      </c>
      <c r="P443" t="s">
        <v>2819</v>
      </c>
      <c r="Q443" t="s">
        <v>145</v>
      </c>
      <c r="R443" s="26" t="s">
        <v>2221</v>
      </c>
      <c r="S443">
        <v>0.64</v>
      </c>
      <c r="T443">
        <v>4072</v>
      </c>
      <c r="U443">
        <v>0</v>
      </c>
      <c r="V443">
        <v>4072</v>
      </c>
    </row>
    <row r="444" spans="1:22" x14ac:dyDescent="0.3">
      <c r="A444">
        <v>79452</v>
      </c>
      <c r="B444">
        <v>455358299</v>
      </c>
      <c r="C444" t="s">
        <v>2820</v>
      </c>
      <c r="D444" s="9" t="s">
        <v>2821</v>
      </c>
      <c r="E444" t="s">
        <v>769</v>
      </c>
      <c r="F444" t="s">
        <v>770</v>
      </c>
      <c r="G444" t="s">
        <v>49</v>
      </c>
      <c r="H444" t="s">
        <v>50</v>
      </c>
      <c r="I444" t="s">
        <v>34</v>
      </c>
      <c r="J444" t="s">
        <v>155</v>
      </c>
      <c r="K444" t="s">
        <v>27</v>
      </c>
      <c r="L444" t="s">
        <v>52</v>
      </c>
      <c r="M444" t="s">
        <v>2822</v>
      </c>
      <c r="N444" t="s">
        <v>773</v>
      </c>
      <c r="O444" t="s">
        <v>31</v>
      </c>
      <c r="P444" t="s">
        <v>2823</v>
      </c>
      <c r="Q444" t="s">
        <v>213</v>
      </c>
      <c r="R444" s="26" t="s">
        <v>403</v>
      </c>
      <c r="S444">
        <v>0.92</v>
      </c>
      <c r="T444">
        <v>6636</v>
      </c>
      <c r="U444">
        <v>0</v>
      </c>
      <c r="V444">
        <v>6636</v>
      </c>
    </row>
    <row r="445" spans="1:22" x14ac:dyDescent="0.3">
      <c r="A445">
        <v>79452</v>
      </c>
      <c r="B445">
        <v>455370699</v>
      </c>
      <c r="C445" t="s">
        <v>2824</v>
      </c>
      <c r="D445" s="9" t="s">
        <v>2825</v>
      </c>
      <c r="E445" t="s">
        <v>769</v>
      </c>
      <c r="F445" t="s">
        <v>770</v>
      </c>
      <c r="G445" t="s">
        <v>49</v>
      </c>
      <c r="H445" t="s">
        <v>50</v>
      </c>
      <c r="I445" t="s">
        <v>34</v>
      </c>
      <c r="J445" t="s">
        <v>155</v>
      </c>
      <c r="K445" t="s">
        <v>27</v>
      </c>
      <c r="L445" t="s">
        <v>52</v>
      </c>
      <c r="M445" t="s">
        <v>2734</v>
      </c>
      <c r="N445" t="s">
        <v>773</v>
      </c>
      <c r="O445" t="s">
        <v>31</v>
      </c>
      <c r="P445" t="s">
        <v>2735</v>
      </c>
      <c r="Q445" t="s">
        <v>74</v>
      </c>
      <c r="R445" s="26" t="s">
        <v>396</v>
      </c>
      <c r="S445">
        <v>0.83</v>
      </c>
      <c r="T445">
        <v>4072</v>
      </c>
      <c r="U445">
        <v>0</v>
      </c>
      <c r="V445">
        <v>4072</v>
      </c>
    </row>
    <row r="446" spans="1:22" x14ac:dyDescent="0.3">
      <c r="A446">
        <v>79452</v>
      </c>
      <c r="B446">
        <v>455370703</v>
      </c>
      <c r="C446" t="s">
        <v>2826</v>
      </c>
      <c r="D446" s="9" t="s">
        <v>2827</v>
      </c>
      <c r="E446" t="s">
        <v>769</v>
      </c>
      <c r="F446" t="s">
        <v>770</v>
      </c>
      <c r="G446" t="s">
        <v>49</v>
      </c>
      <c r="H446" t="s">
        <v>50</v>
      </c>
      <c r="I446" t="s">
        <v>34</v>
      </c>
      <c r="J446" t="s">
        <v>155</v>
      </c>
      <c r="K446" t="s">
        <v>27</v>
      </c>
      <c r="L446" t="s">
        <v>52</v>
      </c>
      <c r="M446" t="s">
        <v>2828</v>
      </c>
      <c r="N446" t="s">
        <v>773</v>
      </c>
      <c r="O446" t="s">
        <v>31</v>
      </c>
      <c r="P446" t="s">
        <v>2829</v>
      </c>
      <c r="Q446" t="s">
        <v>66</v>
      </c>
      <c r="R446" s="26" t="s">
        <v>396</v>
      </c>
      <c r="S446">
        <v>1.38</v>
      </c>
      <c r="T446">
        <v>4072</v>
      </c>
      <c r="U446">
        <v>0</v>
      </c>
      <c r="V446">
        <v>4072</v>
      </c>
    </row>
    <row r="447" spans="1:22" x14ac:dyDescent="0.3">
      <c r="A447">
        <v>194290</v>
      </c>
      <c r="B447">
        <v>455561570</v>
      </c>
      <c r="C447" t="s">
        <v>2830</v>
      </c>
      <c r="D447" s="9" t="s">
        <v>2831</v>
      </c>
      <c r="E447" t="s">
        <v>2832</v>
      </c>
      <c r="F447" t="s">
        <v>770</v>
      </c>
      <c r="G447" t="s">
        <v>28</v>
      </c>
      <c r="H447" t="s">
        <v>29</v>
      </c>
      <c r="I447" t="s">
        <v>34</v>
      </c>
      <c r="J447" t="s">
        <v>30</v>
      </c>
      <c r="K447" t="s">
        <v>27</v>
      </c>
      <c r="L447" t="s">
        <v>2833</v>
      </c>
      <c r="M447" t="s">
        <v>2834</v>
      </c>
      <c r="N447" t="s">
        <v>773</v>
      </c>
      <c r="O447" t="s">
        <v>31</v>
      </c>
      <c r="P447" t="s">
        <v>2835</v>
      </c>
      <c r="Q447" t="s">
        <v>141</v>
      </c>
      <c r="R447" s="26" t="s">
        <v>368</v>
      </c>
      <c r="S447">
        <v>0.2</v>
      </c>
      <c r="T447">
        <v>3552</v>
      </c>
      <c r="U447">
        <v>0</v>
      </c>
      <c r="V447">
        <v>3552</v>
      </c>
    </row>
    <row r="448" spans="1:22" x14ac:dyDescent="0.3">
      <c r="A448">
        <v>194044</v>
      </c>
      <c r="B448">
        <v>455093840</v>
      </c>
      <c r="C448" t="s">
        <v>2836</v>
      </c>
      <c r="D448" s="9" t="s">
        <v>2837</v>
      </c>
      <c r="E448" t="s">
        <v>2838</v>
      </c>
      <c r="F448" t="s">
        <v>770</v>
      </c>
      <c r="G448" t="s">
        <v>49</v>
      </c>
      <c r="H448" t="s">
        <v>50</v>
      </c>
      <c r="I448" t="s">
        <v>34</v>
      </c>
      <c r="J448" t="s">
        <v>155</v>
      </c>
      <c r="K448" t="s">
        <v>27</v>
      </c>
      <c r="L448" t="s">
        <v>52</v>
      </c>
      <c r="M448" t="s">
        <v>2839</v>
      </c>
      <c r="N448" t="s">
        <v>773</v>
      </c>
      <c r="O448" t="s">
        <v>31</v>
      </c>
      <c r="P448" t="s">
        <v>2840</v>
      </c>
      <c r="Q448" t="s">
        <v>134</v>
      </c>
      <c r="R448" s="26" t="s">
        <v>2841</v>
      </c>
      <c r="S448">
        <v>1.06</v>
      </c>
      <c r="T448">
        <v>4072</v>
      </c>
      <c r="U448">
        <v>0</v>
      </c>
      <c r="V448">
        <v>4072</v>
      </c>
    </row>
    <row r="449" spans="1:22" x14ac:dyDescent="0.3">
      <c r="A449">
        <v>194044</v>
      </c>
      <c r="B449">
        <v>456531745</v>
      </c>
      <c r="C449" t="s">
        <v>2842</v>
      </c>
      <c r="D449" s="9" t="s">
        <v>2843</v>
      </c>
      <c r="E449" t="s">
        <v>2838</v>
      </c>
      <c r="F449" t="s">
        <v>770</v>
      </c>
      <c r="G449" t="s">
        <v>28</v>
      </c>
      <c r="H449" t="s">
        <v>29</v>
      </c>
      <c r="I449" t="s">
        <v>34</v>
      </c>
      <c r="J449" t="s">
        <v>30</v>
      </c>
      <c r="K449" t="s">
        <v>27</v>
      </c>
      <c r="L449" t="s">
        <v>2844</v>
      </c>
      <c r="M449" t="s">
        <v>2845</v>
      </c>
      <c r="N449" t="s">
        <v>773</v>
      </c>
      <c r="O449" t="s">
        <v>31</v>
      </c>
      <c r="P449" t="s">
        <v>2846</v>
      </c>
      <c r="Q449" t="s">
        <v>164</v>
      </c>
      <c r="R449" s="26" t="s">
        <v>2847</v>
      </c>
      <c r="S449">
        <v>0.3</v>
      </c>
      <c r="T449">
        <v>3193</v>
      </c>
      <c r="U449">
        <v>0</v>
      </c>
      <c r="V449">
        <v>3193</v>
      </c>
    </row>
    <row r="450" spans="1:22" x14ac:dyDescent="0.3">
      <c r="A450">
        <v>194044</v>
      </c>
      <c r="B450">
        <v>455199486</v>
      </c>
      <c r="C450" t="s">
        <v>2848</v>
      </c>
      <c r="D450" s="9" t="s">
        <v>2849</v>
      </c>
      <c r="E450" t="s">
        <v>2838</v>
      </c>
      <c r="F450" t="s">
        <v>770</v>
      </c>
      <c r="G450" t="s">
        <v>49</v>
      </c>
      <c r="H450" t="s">
        <v>50</v>
      </c>
      <c r="I450" t="s">
        <v>34</v>
      </c>
      <c r="J450" t="s">
        <v>155</v>
      </c>
      <c r="K450" t="s">
        <v>27</v>
      </c>
      <c r="L450" t="s">
        <v>52</v>
      </c>
      <c r="M450" t="s">
        <v>2850</v>
      </c>
      <c r="N450" t="s">
        <v>773</v>
      </c>
      <c r="O450" t="s">
        <v>31</v>
      </c>
      <c r="P450" t="s">
        <v>2851</v>
      </c>
      <c r="Q450" t="s">
        <v>66</v>
      </c>
      <c r="R450" s="26" t="s">
        <v>2852</v>
      </c>
      <c r="S450">
        <v>0.17</v>
      </c>
      <c r="T450">
        <v>3927</v>
      </c>
      <c r="U450">
        <v>0</v>
      </c>
      <c r="V450">
        <v>3927</v>
      </c>
    </row>
    <row r="451" spans="1:22" x14ac:dyDescent="0.3">
      <c r="A451">
        <v>194044</v>
      </c>
      <c r="B451">
        <v>455709966</v>
      </c>
      <c r="C451" t="s">
        <v>2853</v>
      </c>
      <c r="D451" s="9" t="s">
        <v>2854</v>
      </c>
      <c r="E451" t="s">
        <v>2838</v>
      </c>
      <c r="F451" t="s">
        <v>770</v>
      </c>
      <c r="G451" t="s">
        <v>28</v>
      </c>
      <c r="H451" t="s">
        <v>29</v>
      </c>
      <c r="I451" t="s">
        <v>34</v>
      </c>
      <c r="J451" t="s">
        <v>30</v>
      </c>
      <c r="K451" t="s">
        <v>27</v>
      </c>
      <c r="L451" t="s">
        <v>2855</v>
      </c>
      <c r="M451" t="s">
        <v>2856</v>
      </c>
      <c r="N451" t="s">
        <v>773</v>
      </c>
      <c r="O451" t="s">
        <v>31</v>
      </c>
      <c r="P451" t="s">
        <v>2857</v>
      </c>
      <c r="Q451" t="s">
        <v>73</v>
      </c>
      <c r="R451" s="26" t="s">
        <v>260</v>
      </c>
      <c r="S451">
        <v>0.3</v>
      </c>
      <c r="T451">
        <v>3339</v>
      </c>
      <c r="U451">
        <v>0</v>
      </c>
      <c r="V451">
        <v>3339</v>
      </c>
    </row>
    <row r="452" spans="1:22" x14ac:dyDescent="0.3">
      <c r="A452">
        <v>194044</v>
      </c>
      <c r="B452">
        <v>455229594</v>
      </c>
      <c r="C452" t="s">
        <v>2858</v>
      </c>
      <c r="D452" s="9" t="s">
        <v>2859</v>
      </c>
      <c r="E452" t="s">
        <v>2838</v>
      </c>
      <c r="F452" t="s">
        <v>770</v>
      </c>
      <c r="G452" t="s">
        <v>28</v>
      </c>
      <c r="H452" t="s">
        <v>29</v>
      </c>
      <c r="I452" t="s">
        <v>34</v>
      </c>
      <c r="J452" t="s">
        <v>30</v>
      </c>
      <c r="K452" t="s">
        <v>27</v>
      </c>
      <c r="L452" t="s">
        <v>2860</v>
      </c>
      <c r="M452" t="s">
        <v>2861</v>
      </c>
      <c r="N452" t="s">
        <v>773</v>
      </c>
      <c r="O452" t="s">
        <v>31</v>
      </c>
      <c r="P452" t="s">
        <v>2862</v>
      </c>
      <c r="Q452" t="s">
        <v>109</v>
      </c>
      <c r="R452" s="26" t="s">
        <v>2863</v>
      </c>
      <c r="S452">
        <v>1</v>
      </c>
      <c r="T452">
        <v>3250</v>
      </c>
      <c r="U452">
        <v>0</v>
      </c>
      <c r="V452">
        <v>3250</v>
      </c>
    </row>
    <row r="453" spans="1:22" x14ac:dyDescent="0.3">
      <c r="A453">
        <v>194044</v>
      </c>
      <c r="B453">
        <v>455248264</v>
      </c>
      <c r="C453" t="s">
        <v>2864</v>
      </c>
      <c r="D453" s="9" t="s">
        <v>2865</v>
      </c>
      <c r="E453" t="s">
        <v>2838</v>
      </c>
      <c r="F453" t="s">
        <v>770</v>
      </c>
      <c r="G453" t="s">
        <v>28</v>
      </c>
      <c r="H453" t="s">
        <v>29</v>
      </c>
      <c r="I453" t="s">
        <v>34</v>
      </c>
      <c r="J453" t="s">
        <v>30</v>
      </c>
      <c r="K453" t="s">
        <v>27</v>
      </c>
      <c r="L453" t="s">
        <v>2866</v>
      </c>
      <c r="M453" t="s">
        <v>2867</v>
      </c>
      <c r="N453" t="s">
        <v>773</v>
      </c>
      <c r="O453" t="s">
        <v>31</v>
      </c>
      <c r="P453" t="s">
        <v>2868</v>
      </c>
      <c r="Q453" t="s">
        <v>171</v>
      </c>
      <c r="R453" s="26" t="s">
        <v>2869</v>
      </c>
      <c r="S453">
        <v>0.5</v>
      </c>
      <c r="T453">
        <v>3193</v>
      </c>
      <c r="U453">
        <v>0</v>
      </c>
      <c r="V453">
        <v>3193</v>
      </c>
    </row>
    <row r="454" spans="1:22" x14ac:dyDescent="0.3">
      <c r="A454">
        <v>194044</v>
      </c>
      <c r="B454">
        <v>455336008</v>
      </c>
      <c r="C454" t="s">
        <v>2870</v>
      </c>
      <c r="D454" s="9" t="s">
        <v>2871</v>
      </c>
      <c r="E454" t="s">
        <v>2838</v>
      </c>
      <c r="F454" t="s">
        <v>770</v>
      </c>
      <c r="G454" t="s">
        <v>28</v>
      </c>
      <c r="H454" t="s">
        <v>29</v>
      </c>
      <c r="I454" t="s">
        <v>34</v>
      </c>
      <c r="J454" t="s">
        <v>30</v>
      </c>
      <c r="K454" t="s">
        <v>27</v>
      </c>
      <c r="L454" t="s">
        <v>2872</v>
      </c>
      <c r="M454" t="s">
        <v>2873</v>
      </c>
      <c r="N454" t="s">
        <v>773</v>
      </c>
      <c r="O454" t="s">
        <v>31</v>
      </c>
      <c r="P454" t="s">
        <v>2874</v>
      </c>
      <c r="Q454" t="s">
        <v>73</v>
      </c>
      <c r="R454" s="26" t="s">
        <v>462</v>
      </c>
      <c r="S454">
        <v>0.4</v>
      </c>
      <c r="T454">
        <v>3339</v>
      </c>
      <c r="U454">
        <v>0</v>
      </c>
      <c r="V454">
        <v>3339</v>
      </c>
    </row>
    <row r="455" spans="1:22" x14ac:dyDescent="0.3">
      <c r="A455">
        <v>194044</v>
      </c>
      <c r="B455">
        <v>455045664</v>
      </c>
      <c r="C455" t="s">
        <v>2875</v>
      </c>
      <c r="D455" s="9" t="s">
        <v>2876</v>
      </c>
      <c r="E455" t="s">
        <v>2838</v>
      </c>
      <c r="F455" t="s">
        <v>770</v>
      </c>
      <c r="G455" t="s">
        <v>28</v>
      </c>
      <c r="H455" t="s">
        <v>29</v>
      </c>
      <c r="I455" t="s">
        <v>34</v>
      </c>
      <c r="J455" t="s">
        <v>150</v>
      </c>
      <c r="K455" t="s">
        <v>27</v>
      </c>
      <c r="L455" t="s">
        <v>2877</v>
      </c>
      <c r="M455" t="s">
        <v>2878</v>
      </c>
      <c r="N455" t="s">
        <v>773</v>
      </c>
      <c r="O455" t="s">
        <v>31</v>
      </c>
      <c r="P455" t="s">
        <v>2879</v>
      </c>
      <c r="Q455" t="s">
        <v>66</v>
      </c>
      <c r="R455" s="26" t="s">
        <v>2880</v>
      </c>
      <c r="S455">
        <v>0.3</v>
      </c>
      <c r="T455">
        <v>4856</v>
      </c>
      <c r="U455">
        <v>0</v>
      </c>
      <c r="V455">
        <v>4856</v>
      </c>
    </row>
    <row r="456" spans="1:22" x14ac:dyDescent="0.3">
      <c r="A456">
        <v>194044</v>
      </c>
      <c r="B456">
        <v>456908585</v>
      </c>
      <c r="C456" t="s">
        <v>2881</v>
      </c>
      <c r="D456" s="9" t="s">
        <v>2882</v>
      </c>
      <c r="E456" t="s">
        <v>2838</v>
      </c>
      <c r="F456" t="s">
        <v>770</v>
      </c>
      <c r="G456" t="s">
        <v>49</v>
      </c>
      <c r="H456" t="s">
        <v>50</v>
      </c>
      <c r="I456" t="s">
        <v>34</v>
      </c>
      <c r="J456" t="s">
        <v>155</v>
      </c>
      <c r="K456" t="s">
        <v>27</v>
      </c>
      <c r="L456" t="s">
        <v>52</v>
      </c>
      <c r="M456" t="s">
        <v>2883</v>
      </c>
      <c r="N456" t="s">
        <v>773</v>
      </c>
      <c r="O456" t="s">
        <v>31</v>
      </c>
      <c r="P456" t="s">
        <v>2884</v>
      </c>
      <c r="Q456" t="s">
        <v>134</v>
      </c>
      <c r="R456" s="26" t="s">
        <v>2885</v>
      </c>
      <c r="S456">
        <v>0.23</v>
      </c>
      <c r="T456">
        <v>3927</v>
      </c>
      <c r="U456">
        <v>0</v>
      </c>
      <c r="V456">
        <v>3927</v>
      </c>
    </row>
    <row r="457" spans="1:22" x14ac:dyDescent="0.3">
      <c r="A457">
        <v>194044</v>
      </c>
      <c r="B457">
        <v>456821672</v>
      </c>
      <c r="C457" t="s">
        <v>2886</v>
      </c>
      <c r="D457" s="9" t="s">
        <v>2887</v>
      </c>
      <c r="E457" t="s">
        <v>2838</v>
      </c>
      <c r="F457" t="s">
        <v>770</v>
      </c>
      <c r="G457" t="s">
        <v>49</v>
      </c>
      <c r="H457" t="s">
        <v>50</v>
      </c>
      <c r="I457" t="s">
        <v>34</v>
      </c>
      <c r="J457" t="s">
        <v>155</v>
      </c>
      <c r="K457" t="s">
        <v>27</v>
      </c>
      <c r="L457" t="s">
        <v>52</v>
      </c>
      <c r="M457" t="s">
        <v>2888</v>
      </c>
      <c r="N457" t="s">
        <v>773</v>
      </c>
      <c r="O457" t="s">
        <v>31</v>
      </c>
      <c r="P457" t="s">
        <v>2889</v>
      </c>
      <c r="Q457" t="s">
        <v>66</v>
      </c>
      <c r="R457" s="26" t="s">
        <v>412</v>
      </c>
      <c r="S457">
        <v>0.17</v>
      </c>
      <c r="T457">
        <v>3927</v>
      </c>
      <c r="U457">
        <v>0</v>
      </c>
      <c r="V457">
        <v>3927</v>
      </c>
    </row>
    <row r="458" spans="1:22" x14ac:dyDescent="0.3">
      <c r="A458">
        <v>194044</v>
      </c>
      <c r="B458">
        <v>455266313</v>
      </c>
      <c r="C458" t="s">
        <v>2890</v>
      </c>
      <c r="D458" s="9" t="s">
        <v>2891</v>
      </c>
      <c r="E458" t="s">
        <v>2838</v>
      </c>
      <c r="F458" t="s">
        <v>770</v>
      </c>
      <c r="G458" t="s">
        <v>49</v>
      </c>
      <c r="H458" t="s">
        <v>50</v>
      </c>
      <c r="I458" t="s">
        <v>34</v>
      </c>
      <c r="J458" t="s">
        <v>155</v>
      </c>
      <c r="K458" t="s">
        <v>27</v>
      </c>
      <c r="L458" t="s">
        <v>52</v>
      </c>
      <c r="M458" t="s">
        <v>2892</v>
      </c>
      <c r="N458" t="s">
        <v>773</v>
      </c>
      <c r="O458" t="s">
        <v>31</v>
      </c>
      <c r="P458" t="s">
        <v>2893</v>
      </c>
      <c r="Q458" t="s">
        <v>159</v>
      </c>
      <c r="R458" s="26" t="s">
        <v>2894</v>
      </c>
      <c r="S458">
        <v>0.27</v>
      </c>
      <c r="T458">
        <v>6021</v>
      </c>
      <c r="U458">
        <v>0</v>
      </c>
      <c r="V458">
        <v>6021</v>
      </c>
    </row>
    <row r="459" spans="1:22" x14ac:dyDescent="0.3">
      <c r="A459">
        <v>194044</v>
      </c>
      <c r="B459">
        <v>455485926</v>
      </c>
      <c r="C459" t="s">
        <v>2895</v>
      </c>
      <c r="D459" s="9" t="s">
        <v>2896</v>
      </c>
      <c r="E459" t="s">
        <v>2838</v>
      </c>
      <c r="F459" t="s">
        <v>770</v>
      </c>
      <c r="G459" t="s">
        <v>49</v>
      </c>
      <c r="H459" t="s">
        <v>50</v>
      </c>
      <c r="I459" t="s">
        <v>34</v>
      </c>
      <c r="J459" t="s">
        <v>155</v>
      </c>
      <c r="K459" t="s">
        <v>27</v>
      </c>
      <c r="L459" t="s">
        <v>52</v>
      </c>
      <c r="M459" t="s">
        <v>2897</v>
      </c>
      <c r="N459" t="s">
        <v>773</v>
      </c>
      <c r="O459" t="s">
        <v>31</v>
      </c>
      <c r="P459" t="s">
        <v>2898</v>
      </c>
      <c r="Q459" t="s">
        <v>738</v>
      </c>
      <c r="R459" s="26" t="s">
        <v>431</v>
      </c>
      <c r="S459">
        <v>0.34</v>
      </c>
      <c r="T459">
        <v>11790</v>
      </c>
      <c r="U459">
        <v>0</v>
      </c>
      <c r="V459">
        <v>11790</v>
      </c>
    </row>
    <row r="460" spans="1:22" x14ac:dyDescent="0.3">
      <c r="A460">
        <v>80147</v>
      </c>
      <c r="B460">
        <v>141137501</v>
      </c>
      <c r="C460" t="s">
        <v>2899</v>
      </c>
      <c r="D460" s="9" t="s">
        <v>2900</v>
      </c>
      <c r="E460" t="s">
        <v>2901</v>
      </c>
      <c r="F460" t="s">
        <v>770</v>
      </c>
      <c r="G460" t="s">
        <v>28</v>
      </c>
      <c r="H460" t="s">
        <v>29</v>
      </c>
      <c r="I460" t="s">
        <v>34</v>
      </c>
      <c r="J460" t="s">
        <v>30</v>
      </c>
      <c r="K460" t="s">
        <v>27</v>
      </c>
      <c r="L460" t="s">
        <v>2902</v>
      </c>
      <c r="M460" t="s">
        <v>292</v>
      </c>
      <c r="N460" t="s">
        <v>773</v>
      </c>
      <c r="O460" t="s">
        <v>31</v>
      </c>
      <c r="P460" t="s">
        <v>2903</v>
      </c>
      <c r="Q460" t="s">
        <v>73</v>
      </c>
      <c r="R460" s="26" t="s">
        <v>2904</v>
      </c>
      <c r="S460">
        <v>5.9</v>
      </c>
      <c r="T460">
        <v>6034</v>
      </c>
      <c r="U460">
        <v>0</v>
      </c>
      <c r="V460">
        <v>6034</v>
      </c>
    </row>
    <row r="461" spans="1:22" x14ac:dyDescent="0.3">
      <c r="A461">
        <v>80147</v>
      </c>
      <c r="B461">
        <v>457012784</v>
      </c>
      <c r="C461" t="s">
        <v>2905</v>
      </c>
      <c r="D461" s="9" t="s">
        <v>2906</v>
      </c>
      <c r="E461" t="s">
        <v>2901</v>
      </c>
      <c r="F461" t="s">
        <v>770</v>
      </c>
      <c r="G461" t="s">
        <v>28</v>
      </c>
      <c r="H461" t="s">
        <v>29</v>
      </c>
      <c r="I461" t="s">
        <v>34</v>
      </c>
      <c r="J461" t="s">
        <v>30</v>
      </c>
      <c r="K461" t="s">
        <v>27</v>
      </c>
      <c r="L461" t="s">
        <v>2907</v>
      </c>
      <c r="M461" t="s">
        <v>599</v>
      </c>
      <c r="N461" t="s">
        <v>773</v>
      </c>
      <c r="O461" t="s">
        <v>31</v>
      </c>
      <c r="P461" t="s">
        <v>2908</v>
      </c>
      <c r="Q461" t="s">
        <v>85</v>
      </c>
      <c r="R461" s="26" t="s">
        <v>2909</v>
      </c>
      <c r="S461">
        <v>1</v>
      </c>
      <c r="T461">
        <v>3631</v>
      </c>
      <c r="U461">
        <v>0</v>
      </c>
      <c r="V461">
        <v>3631</v>
      </c>
    </row>
    <row r="462" spans="1:22" x14ac:dyDescent="0.3">
      <c r="A462">
        <v>80147</v>
      </c>
      <c r="B462">
        <v>457012787</v>
      </c>
      <c r="C462" t="s">
        <v>2910</v>
      </c>
      <c r="D462" s="9" t="s">
        <v>2911</v>
      </c>
      <c r="E462" t="s">
        <v>2901</v>
      </c>
      <c r="F462" t="s">
        <v>770</v>
      </c>
      <c r="G462" t="s">
        <v>28</v>
      </c>
      <c r="H462" t="s">
        <v>29</v>
      </c>
      <c r="I462" t="s">
        <v>34</v>
      </c>
      <c r="J462" t="s">
        <v>30</v>
      </c>
      <c r="K462" t="s">
        <v>27</v>
      </c>
      <c r="L462" t="s">
        <v>2912</v>
      </c>
      <c r="M462" t="s">
        <v>2913</v>
      </c>
      <c r="N462" t="s">
        <v>773</v>
      </c>
      <c r="O462" t="s">
        <v>31</v>
      </c>
      <c r="P462" t="s">
        <v>2914</v>
      </c>
      <c r="Q462" t="s">
        <v>69</v>
      </c>
      <c r="R462" s="26" t="s">
        <v>2909</v>
      </c>
      <c r="S462">
        <v>3</v>
      </c>
      <c r="T462">
        <v>3935</v>
      </c>
      <c r="U462">
        <v>0</v>
      </c>
      <c r="V462">
        <v>3935</v>
      </c>
    </row>
    <row r="463" spans="1:22" x14ac:dyDescent="0.3">
      <c r="A463">
        <v>80147</v>
      </c>
      <c r="B463">
        <v>456988560</v>
      </c>
      <c r="C463" t="s">
        <v>2915</v>
      </c>
      <c r="D463" s="9" t="s">
        <v>2916</v>
      </c>
      <c r="E463" t="s">
        <v>2901</v>
      </c>
      <c r="F463" t="s">
        <v>770</v>
      </c>
      <c r="G463" t="s">
        <v>28</v>
      </c>
      <c r="H463" t="s">
        <v>29</v>
      </c>
      <c r="I463" t="s">
        <v>34</v>
      </c>
      <c r="J463" t="s">
        <v>30</v>
      </c>
      <c r="K463" t="s">
        <v>27</v>
      </c>
      <c r="L463" t="s">
        <v>2917</v>
      </c>
      <c r="M463" t="s">
        <v>629</v>
      </c>
      <c r="N463" t="s">
        <v>773</v>
      </c>
      <c r="O463" t="s">
        <v>31</v>
      </c>
      <c r="P463" t="s">
        <v>2918</v>
      </c>
      <c r="Q463" t="s">
        <v>202</v>
      </c>
      <c r="R463" s="26" t="s">
        <v>2919</v>
      </c>
      <c r="S463">
        <v>1</v>
      </c>
      <c r="T463">
        <v>3631</v>
      </c>
      <c r="U463">
        <v>0</v>
      </c>
      <c r="V463">
        <v>3631</v>
      </c>
    </row>
    <row r="464" spans="1:22" x14ac:dyDescent="0.3">
      <c r="A464">
        <v>80147</v>
      </c>
      <c r="B464">
        <v>456988555</v>
      </c>
      <c r="C464" t="s">
        <v>2920</v>
      </c>
      <c r="D464" s="9" t="s">
        <v>2921</v>
      </c>
      <c r="E464" t="s">
        <v>2901</v>
      </c>
      <c r="F464" t="s">
        <v>770</v>
      </c>
      <c r="G464" t="s">
        <v>28</v>
      </c>
      <c r="H464" t="s">
        <v>29</v>
      </c>
      <c r="I464" t="s">
        <v>34</v>
      </c>
      <c r="J464" t="s">
        <v>30</v>
      </c>
      <c r="K464" t="s">
        <v>27</v>
      </c>
      <c r="L464" t="s">
        <v>2922</v>
      </c>
      <c r="M464" t="s">
        <v>623</v>
      </c>
      <c r="N464" t="s">
        <v>773</v>
      </c>
      <c r="O464" t="s">
        <v>31</v>
      </c>
      <c r="P464" t="s">
        <v>2923</v>
      </c>
      <c r="Q464" t="s">
        <v>102</v>
      </c>
      <c r="R464" s="26" t="s">
        <v>2919</v>
      </c>
      <c r="S464">
        <v>1</v>
      </c>
      <c r="T464">
        <v>3935</v>
      </c>
      <c r="U464">
        <v>0</v>
      </c>
      <c r="V464">
        <v>3935</v>
      </c>
    </row>
    <row r="465" spans="1:22" x14ac:dyDescent="0.3">
      <c r="A465">
        <v>80147</v>
      </c>
      <c r="B465">
        <v>456988561</v>
      </c>
      <c r="C465" t="s">
        <v>2924</v>
      </c>
      <c r="D465" s="9" t="s">
        <v>2925</v>
      </c>
      <c r="E465" t="s">
        <v>2901</v>
      </c>
      <c r="F465" t="s">
        <v>770</v>
      </c>
      <c r="G465" t="s">
        <v>28</v>
      </c>
      <c r="H465" t="s">
        <v>29</v>
      </c>
      <c r="I465" t="s">
        <v>34</v>
      </c>
      <c r="J465" t="s">
        <v>30</v>
      </c>
      <c r="K465" t="s">
        <v>27</v>
      </c>
      <c r="L465" t="s">
        <v>2926</v>
      </c>
      <c r="M465" t="s">
        <v>2927</v>
      </c>
      <c r="N465" t="s">
        <v>773</v>
      </c>
      <c r="O465" t="s">
        <v>31</v>
      </c>
      <c r="P465" t="s">
        <v>2928</v>
      </c>
      <c r="Q465" t="s">
        <v>109</v>
      </c>
      <c r="R465" s="26" t="s">
        <v>2919</v>
      </c>
      <c r="S465">
        <v>1</v>
      </c>
      <c r="T465">
        <v>3250</v>
      </c>
      <c r="U465">
        <v>0</v>
      </c>
      <c r="V465">
        <v>3250</v>
      </c>
    </row>
    <row r="466" spans="1:22" x14ac:dyDescent="0.3">
      <c r="A466">
        <v>80147</v>
      </c>
      <c r="B466">
        <v>456909134</v>
      </c>
      <c r="C466" t="s">
        <v>2929</v>
      </c>
      <c r="D466" s="9" t="s">
        <v>2930</v>
      </c>
      <c r="E466" t="s">
        <v>2901</v>
      </c>
      <c r="F466" t="s">
        <v>770</v>
      </c>
      <c r="G466" t="s">
        <v>28</v>
      </c>
      <c r="H466" t="s">
        <v>29</v>
      </c>
      <c r="I466" t="s">
        <v>34</v>
      </c>
      <c r="J466" t="s">
        <v>30</v>
      </c>
      <c r="K466" t="s">
        <v>27</v>
      </c>
      <c r="L466" t="s">
        <v>2931</v>
      </c>
      <c r="M466" t="s">
        <v>669</v>
      </c>
      <c r="N466" t="s">
        <v>773</v>
      </c>
      <c r="O466" t="s">
        <v>31</v>
      </c>
      <c r="P466" t="s">
        <v>2932</v>
      </c>
      <c r="Q466" t="s">
        <v>337</v>
      </c>
      <c r="R466" s="26" t="s">
        <v>775</v>
      </c>
      <c r="S466">
        <v>1</v>
      </c>
      <c r="T466">
        <v>3653</v>
      </c>
      <c r="U466">
        <v>0</v>
      </c>
      <c r="V466">
        <v>3653</v>
      </c>
    </row>
    <row r="467" spans="1:22" x14ac:dyDescent="0.3">
      <c r="A467">
        <v>80147</v>
      </c>
      <c r="B467">
        <v>456933767</v>
      </c>
      <c r="C467" t="s">
        <v>2933</v>
      </c>
      <c r="D467" s="9" t="s">
        <v>2934</v>
      </c>
      <c r="E467" t="s">
        <v>2901</v>
      </c>
      <c r="F467" t="s">
        <v>770</v>
      </c>
      <c r="G467" t="s">
        <v>28</v>
      </c>
      <c r="H467" t="s">
        <v>29</v>
      </c>
      <c r="I467" t="s">
        <v>34</v>
      </c>
      <c r="J467" t="s">
        <v>30</v>
      </c>
      <c r="K467" t="s">
        <v>27</v>
      </c>
      <c r="L467" t="s">
        <v>2935</v>
      </c>
      <c r="M467" t="s">
        <v>2936</v>
      </c>
      <c r="N467" t="s">
        <v>773</v>
      </c>
      <c r="O467" t="s">
        <v>31</v>
      </c>
      <c r="P467" t="s">
        <v>2937</v>
      </c>
      <c r="Q467" t="s">
        <v>154</v>
      </c>
      <c r="R467" s="26" t="s">
        <v>2938</v>
      </c>
      <c r="S467">
        <v>1</v>
      </c>
      <c r="T467">
        <v>4205</v>
      </c>
      <c r="U467">
        <v>0</v>
      </c>
      <c r="V467">
        <v>4205</v>
      </c>
    </row>
    <row r="468" spans="1:22" x14ac:dyDescent="0.3">
      <c r="A468">
        <v>80147</v>
      </c>
      <c r="B468">
        <v>456933766</v>
      </c>
      <c r="C468" t="s">
        <v>2939</v>
      </c>
      <c r="D468" s="9" t="s">
        <v>2940</v>
      </c>
      <c r="E468" t="s">
        <v>2901</v>
      </c>
      <c r="F468" t="s">
        <v>770</v>
      </c>
      <c r="G468" t="s">
        <v>28</v>
      </c>
      <c r="H468" t="s">
        <v>29</v>
      </c>
      <c r="I468" t="s">
        <v>34</v>
      </c>
      <c r="J468" t="s">
        <v>30</v>
      </c>
      <c r="K468" t="s">
        <v>27</v>
      </c>
      <c r="L468" t="s">
        <v>2941</v>
      </c>
      <c r="M468" t="s">
        <v>683</v>
      </c>
      <c r="N468" t="s">
        <v>773</v>
      </c>
      <c r="O468" t="s">
        <v>31</v>
      </c>
      <c r="P468" t="s">
        <v>2942</v>
      </c>
      <c r="Q468" t="s">
        <v>154</v>
      </c>
      <c r="R468" s="26" t="s">
        <v>2938</v>
      </c>
      <c r="S468">
        <v>1</v>
      </c>
      <c r="T468">
        <v>4205</v>
      </c>
      <c r="U468">
        <v>0</v>
      </c>
      <c r="V468">
        <v>4205</v>
      </c>
    </row>
    <row r="469" spans="1:22" x14ac:dyDescent="0.3">
      <c r="A469">
        <v>80147</v>
      </c>
      <c r="B469">
        <v>456793366</v>
      </c>
      <c r="C469" t="s">
        <v>2943</v>
      </c>
      <c r="D469" s="9" t="s">
        <v>2944</v>
      </c>
      <c r="E469" t="s">
        <v>2901</v>
      </c>
      <c r="F469" t="s">
        <v>770</v>
      </c>
      <c r="G469" t="s">
        <v>28</v>
      </c>
      <c r="H469" t="s">
        <v>29</v>
      </c>
      <c r="I469" t="s">
        <v>34</v>
      </c>
      <c r="J469" t="s">
        <v>30</v>
      </c>
      <c r="K469" t="s">
        <v>27</v>
      </c>
      <c r="L469" t="s">
        <v>2945</v>
      </c>
      <c r="M469" t="s">
        <v>2946</v>
      </c>
      <c r="N469" t="s">
        <v>773</v>
      </c>
      <c r="O469" t="s">
        <v>31</v>
      </c>
      <c r="P469" t="s">
        <v>2947</v>
      </c>
      <c r="Q469" t="s">
        <v>197</v>
      </c>
      <c r="R469" s="26" t="s">
        <v>2948</v>
      </c>
      <c r="S469">
        <v>5</v>
      </c>
      <c r="T469">
        <v>7745</v>
      </c>
      <c r="U469">
        <v>0</v>
      </c>
      <c r="V469">
        <v>7745</v>
      </c>
    </row>
    <row r="470" spans="1:22" x14ac:dyDescent="0.3">
      <c r="A470">
        <v>80147</v>
      </c>
      <c r="B470">
        <v>454997384</v>
      </c>
      <c r="C470" t="s">
        <v>2949</v>
      </c>
      <c r="D470" s="9" t="s">
        <v>2950</v>
      </c>
      <c r="E470" t="s">
        <v>2901</v>
      </c>
      <c r="F470" t="s">
        <v>770</v>
      </c>
      <c r="G470" t="s">
        <v>49</v>
      </c>
      <c r="H470" t="s">
        <v>50</v>
      </c>
      <c r="I470" t="s">
        <v>34</v>
      </c>
      <c r="J470" t="s">
        <v>155</v>
      </c>
      <c r="K470" t="s">
        <v>27</v>
      </c>
      <c r="L470" t="s">
        <v>52</v>
      </c>
      <c r="M470" t="s">
        <v>2951</v>
      </c>
      <c r="N470" t="s">
        <v>773</v>
      </c>
      <c r="O470" t="s">
        <v>31</v>
      </c>
      <c r="P470" t="s">
        <v>2952</v>
      </c>
      <c r="Q470" t="s">
        <v>336</v>
      </c>
      <c r="R470" s="26" t="s">
        <v>2953</v>
      </c>
      <c r="S470">
        <v>5.72</v>
      </c>
      <c r="T470">
        <v>19636</v>
      </c>
      <c r="U470">
        <v>0</v>
      </c>
      <c r="V470">
        <v>19636</v>
      </c>
    </row>
    <row r="471" spans="1:22" x14ac:dyDescent="0.3">
      <c r="A471">
        <v>80147</v>
      </c>
      <c r="B471">
        <v>456933777</v>
      </c>
      <c r="C471" t="s">
        <v>2954</v>
      </c>
      <c r="D471" s="9" t="s">
        <v>2955</v>
      </c>
      <c r="E471" t="s">
        <v>2901</v>
      </c>
      <c r="F471" t="s">
        <v>770</v>
      </c>
      <c r="G471" t="s">
        <v>28</v>
      </c>
      <c r="H471" t="s">
        <v>29</v>
      </c>
      <c r="I471" t="s">
        <v>34</v>
      </c>
      <c r="J471" t="s">
        <v>30</v>
      </c>
      <c r="K471" t="s">
        <v>27</v>
      </c>
      <c r="L471" t="s">
        <v>2956</v>
      </c>
      <c r="M471" t="s">
        <v>2957</v>
      </c>
      <c r="N471" t="s">
        <v>773</v>
      </c>
      <c r="O471" t="s">
        <v>31</v>
      </c>
      <c r="P471" t="s">
        <v>2958</v>
      </c>
      <c r="Q471" t="s">
        <v>135</v>
      </c>
      <c r="R471" s="26" t="s">
        <v>2938</v>
      </c>
      <c r="S471">
        <v>1</v>
      </c>
      <c r="T471">
        <v>3250</v>
      </c>
      <c r="U471">
        <v>0</v>
      </c>
      <c r="V471">
        <v>3250</v>
      </c>
    </row>
    <row r="472" spans="1:22" x14ac:dyDescent="0.3">
      <c r="A472">
        <v>80147</v>
      </c>
      <c r="B472">
        <v>456909138</v>
      </c>
      <c r="C472" t="s">
        <v>2959</v>
      </c>
      <c r="D472" s="9" t="s">
        <v>2960</v>
      </c>
      <c r="E472" t="s">
        <v>2901</v>
      </c>
      <c r="F472" t="s">
        <v>770</v>
      </c>
      <c r="G472" t="s">
        <v>28</v>
      </c>
      <c r="H472" t="s">
        <v>29</v>
      </c>
      <c r="I472" t="s">
        <v>34</v>
      </c>
      <c r="J472" t="s">
        <v>30</v>
      </c>
      <c r="K472" t="s">
        <v>27</v>
      </c>
      <c r="L472" t="s">
        <v>2961</v>
      </c>
      <c r="M472" t="s">
        <v>2962</v>
      </c>
      <c r="N472" t="s">
        <v>773</v>
      </c>
      <c r="O472" t="s">
        <v>31</v>
      </c>
      <c r="P472" t="s">
        <v>2963</v>
      </c>
      <c r="Q472" t="s">
        <v>73</v>
      </c>
      <c r="R472" s="26" t="s">
        <v>775</v>
      </c>
      <c r="S472">
        <v>4.9000000000000004</v>
      </c>
      <c r="T472">
        <v>4429</v>
      </c>
      <c r="U472">
        <v>0</v>
      </c>
      <c r="V472">
        <v>4429</v>
      </c>
    </row>
    <row r="473" spans="1:22" x14ac:dyDescent="0.3">
      <c r="A473">
        <v>80147</v>
      </c>
      <c r="B473">
        <v>456933771</v>
      </c>
      <c r="C473" t="s">
        <v>2964</v>
      </c>
      <c r="D473" s="9" t="s">
        <v>2965</v>
      </c>
      <c r="E473" t="s">
        <v>2901</v>
      </c>
      <c r="F473" t="s">
        <v>770</v>
      </c>
      <c r="G473" t="s">
        <v>28</v>
      </c>
      <c r="H473" t="s">
        <v>29</v>
      </c>
      <c r="I473" t="s">
        <v>34</v>
      </c>
      <c r="J473" t="s">
        <v>30</v>
      </c>
      <c r="K473" t="s">
        <v>27</v>
      </c>
      <c r="L473" t="s">
        <v>2966</v>
      </c>
      <c r="M473" t="s">
        <v>2967</v>
      </c>
      <c r="N473" t="s">
        <v>773</v>
      </c>
      <c r="O473" t="s">
        <v>31</v>
      </c>
      <c r="P473" t="s">
        <v>2968</v>
      </c>
      <c r="Q473" t="s">
        <v>125</v>
      </c>
      <c r="R473" s="26" t="s">
        <v>2938</v>
      </c>
      <c r="S473">
        <v>1</v>
      </c>
      <c r="T473">
        <v>3653</v>
      </c>
      <c r="U473">
        <v>0</v>
      </c>
      <c r="V473">
        <v>3653</v>
      </c>
    </row>
    <row r="474" spans="1:22" x14ac:dyDescent="0.3">
      <c r="A474">
        <v>80147</v>
      </c>
      <c r="B474">
        <v>456497618</v>
      </c>
      <c r="C474" t="s">
        <v>2969</v>
      </c>
      <c r="D474" s="9" t="s">
        <v>2970</v>
      </c>
      <c r="E474" t="s">
        <v>2901</v>
      </c>
      <c r="F474" t="s">
        <v>770</v>
      </c>
      <c r="G474" t="s">
        <v>28</v>
      </c>
      <c r="H474" t="s">
        <v>29</v>
      </c>
      <c r="I474" t="s">
        <v>34</v>
      </c>
      <c r="J474" t="s">
        <v>30</v>
      </c>
      <c r="K474" t="s">
        <v>27</v>
      </c>
      <c r="L474" t="s">
        <v>2971</v>
      </c>
      <c r="M474" t="s">
        <v>369</v>
      </c>
      <c r="N474" t="s">
        <v>773</v>
      </c>
      <c r="O474" t="s">
        <v>31</v>
      </c>
      <c r="P474" t="s">
        <v>2972</v>
      </c>
      <c r="Q474" t="s">
        <v>175</v>
      </c>
      <c r="R474" s="26" t="s">
        <v>766</v>
      </c>
      <c r="S474">
        <v>5.7</v>
      </c>
      <c r="T474">
        <v>11027</v>
      </c>
      <c r="U474">
        <v>0</v>
      </c>
      <c r="V474">
        <v>11027</v>
      </c>
    </row>
    <row r="475" spans="1:22" x14ac:dyDescent="0.3">
      <c r="A475">
        <v>80147</v>
      </c>
      <c r="B475">
        <v>456829226</v>
      </c>
      <c r="C475" t="s">
        <v>2973</v>
      </c>
      <c r="D475" s="9" t="s">
        <v>2974</v>
      </c>
      <c r="E475" t="s">
        <v>2901</v>
      </c>
      <c r="F475" t="s">
        <v>770</v>
      </c>
      <c r="G475" t="s">
        <v>28</v>
      </c>
      <c r="H475" t="s">
        <v>29</v>
      </c>
      <c r="I475" t="s">
        <v>34</v>
      </c>
      <c r="J475" t="s">
        <v>30</v>
      </c>
      <c r="K475" t="s">
        <v>27</v>
      </c>
      <c r="L475" t="s">
        <v>2975</v>
      </c>
      <c r="M475" t="s">
        <v>2976</v>
      </c>
      <c r="N475" t="s">
        <v>773</v>
      </c>
      <c r="O475" t="s">
        <v>31</v>
      </c>
      <c r="P475" t="s">
        <v>2977</v>
      </c>
      <c r="Q475" t="s">
        <v>118</v>
      </c>
      <c r="R475" s="26" t="s">
        <v>293</v>
      </c>
      <c r="S475">
        <v>1</v>
      </c>
      <c r="T475">
        <v>3935</v>
      </c>
      <c r="U475">
        <v>0</v>
      </c>
      <c r="V475">
        <v>3935</v>
      </c>
    </row>
    <row r="476" spans="1:22" x14ac:dyDescent="0.3">
      <c r="A476">
        <v>80147</v>
      </c>
      <c r="B476">
        <v>456842823</v>
      </c>
      <c r="C476" t="s">
        <v>2978</v>
      </c>
      <c r="D476" s="9" t="s">
        <v>2979</v>
      </c>
      <c r="E476" t="s">
        <v>2901</v>
      </c>
      <c r="F476" t="s">
        <v>770</v>
      </c>
      <c r="G476" t="s">
        <v>28</v>
      </c>
      <c r="H476" t="s">
        <v>29</v>
      </c>
      <c r="I476" t="s">
        <v>34</v>
      </c>
      <c r="J476" t="s">
        <v>30</v>
      </c>
      <c r="K476" t="s">
        <v>27</v>
      </c>
      <c r="L476" t="s">
        <v>2980</v>
      </c>
      <c r="M476" t="s">
        <v>2981</v>
      </c>
      <c r="N476" t="s">
        <v>773</v>
      </c>
      <c r="O476" t="s">
        <v>31</v>
      </c>
      <c r="P476" t="s">
        <v>2982</v>
      </c>
      <c r="Q476" t="s">
        <v>84</v>
      </c>
      <c r="R476" s="26" t="s">
        <v>376</v>
      </c>
      <c r="S476">
        <v>1</v>
      </c>
      <c r="T476">
        <v>5564</v>
      </c>
      <c r="U476">
        <v>0</v>
      </c>
      <c r="V476">
        <v>5564</v>
      </c>
    </row>
    <row r="477" spans="1:22" x14ac:dyDescent="0.3">
      <c r="A477">
        <v>80147</v>
      </c>
      <c r="B477">
        <v>456829224</v>
      </c>
      <c r="C477" t="s">
        <v>2983</v>
      </c>
      <c r="D477" s="9" t="s">
        <v>2984</v>
      </c>
      <c r="E477" t="s">
        <v>2901</v>
      </c>
      <c r="F477" t="s">
        <v>770</v>
      </c>
      <c r="G477" t="s">
        <v>28</v>
      </c>
      <c r="H477" t="s">
        <v>29</v>
      </c>
      <c r="I477" t="s">
        <v>34</v>
      </c>
      <c r="J477" t="s">
        <v>30</v>
      </c>
      <c r="K477" t="s">
        <v>27</v>
      </c>
      <c r="L477" t="s">
        <v>2985</v>
      </c>
      <c r="M477" t="s">
        <v>552</v>
      </c>
      <c r="N477" t="s">
        <v>773</v>
      </c>
      <c r="O477" t="s">
        <v>31</v>
      </c>
      <c r="P477" t="s">
        <v>2986</v>
      </c>
      <c r="Q477" t="s">
        <v>84</v>
      </c>
      <c r="R477" s="26" t="s">
        <v>293</v>
      </c>
      <c r="S477">
        <v>1</v>
      </c>
      <c r="T477">
        <v>5564</v>
      </c>
      <c r="U477">
        <v>0</v>
      </c>
      <c r="V477">
        <v>5564</v>
      </c>
    </row>
    <row r="478" spans="1:22" x14ac:dyDescent="0.3">
      <c r="A478">
        <v>80147</v>
      </c>
      <c r="B478">
        <v>456751509</v>
      </c>
      <c r="C478" t="s">
        <v>2987</v>
      </c>
      <c r="D478" s="9" t="s">
        <v>2988</v>
      </c>
      <c r="E478" t="s">
        <v>2901</v>
      </c>
      <c r="F478" t="s">
        <v>770</v>
      </c>
      <c r="G478" t="s">
        <v>28</v>
      </c>
      <c r="H478" t="s">
        <v>29</v>
      </c>
      <c r="I478" t="s">
        <v>34</v>
      </c>
      <c r="J478" t="s">
        <v>30</v>
      </c>
      <c r="K478" t="s">
        <v>27</v>
      </c>
      <c r="L478" t="s">
        <v>2989</v>
      </c>
      <c r="M478" t="s">
        <v>2990</v>
      </c>
      <c r="N478" t="s">
        <v>773</v>
      </c>
      <c r="O478" t="s">
        <v>31</v>
      </c>
      <c r="P478" t="s">
        <v>2991</v>
      </c>
      <c r="Q478" t="s">
        <v>68</v>
      </c>
      <c r="R478" s="26" t="s">
        <v>425</v>
      </c>
      <c r="S478">
        <v>22.6</v>
      </c>
      <c r="T478">
        <v>34742</v>
      </c>
      <c r="U478">
        <v>0</v>
      </c>
      <c r="V478">
        <v>34742</v>
      </c>
    </row>
    <row r="479" spans="1:22" x14ac:dyDescent="0.3">
      <c r="A479">
        <v>80147</v>
      </c>
      <c r="B479">
        <v>456863966</v>
      </c>
      <c r="C479" t="s">
        <v>2992</v>
      </c>
      <c r="D479" s="9" t="s">
        <v>2993</v>
      </c>
      <c r="E479" t="s">
        <v>2901</v>
      </c>
      <c r="F479" t="s">
        <v>770</v>
      </c>
      <c r="G479" t="s">
        <v>28</v>
      </c>
      <c r="H479" t="s">
        <v>29</v>
      </c>
      <c r="I479" t="s">
        <v>34</v>
      </c>
      <c r="J479" t="s">
        <v>30</v>
      </c>
      <c r="K479" t="s">
        <v>27</v>
      </c>
      <c r="L479" t="s">
        <v>2994</v>
      </c>
      <c r="M479" t="s">
        <v>2995</v>
      </c>
      <c r="N479" t="s">
        <v>773</v>
      </c>
      <c r="O479" t="s">
        <v>31</v>
      </c>
      <c r="P479" t="s">
        <v>2996</v>
      </c>
      <c r="Q479" t="s">
        <v>109</v>
      </c>
      <c r="R479" s="26" t="s">
        <v>2997</v>
      </c>
      <c r="S479">
        <v>1</v>
      </c>
      <c r="T479">
        <v>3250</v>
      </c>
      <c r="U479">
        <v>0</v>
      </c>
      <c r="V479">
        <v>3250</v>
      </c>
    </row>
    <row r="480" spans="1:22" x14ac:dyDescent="0.3">
      <c r="A480">
        <v>80147</v>
      </c>
      <c r="B480">
        <v>456842821</v>
      </c>
      <c r="C480" t="s">
        <v>2998</v>
      </c>
      <c r="D480" s="9" t="s">
        <v>2999</v>
      </c>
      <c r="E480" t="s">
        <v>2901</v>
      </c>
      <c r="F480" t="s">
        <v>770</v>
      </c>
      <c r="G480" t="s">
        <v>28</v>
      </c>
      <c r="H480" t="s">
        <v>29</v>
      </c>
      <c r="I480" t="s">
        <v>34</v>
      </c>
      <c r="J480" t="s">
        <v>30</v>
      </c>
      <c r="K480" t="s">
        <v>27</v>
      </c>
      <c r="L480" t="s">
        <v>3000</v>
      </c>
      <c r="M480" t="s">
        <v>3001</v>
      </c>
      <c r="N480" t="s">
        <v>773</v>
      </c>
      <c r="O480" t="s">
        <v>31</v>
      </c>
      <c r="P480" t="s">
        <v>3002</v>
      </c>
      <c r="Q480" t="s">
        <v>102</v>
      </c>
      <c r="R480" s="26" t="s">
        <v>376</v>
      </c>
      <c r="S480">
        <v>5.3</v>
      </c>
      <c r="T480">
        <v>6655</v>
      </c>
      <c r="U480">
        <v>0</v>
      </c>
      <c r="V480">
        <v>6655</v>
      </c>
    </row>
    <row r="481" spans="1:22" x14ac:dyDescent="0.3">
      <c r="A481">
        <v>80147</v>
      </c>
      <c r="B481">
        <v>456793365</v>
      </c>
      <c r="C481" t="s">
        <v>3003</v>
      </c>
      <c r="D481" s="9" t="s">
        <v>3004</v>
      </c>
      <c r="E481" t="s">
        <v>2901</v>
      </c>
      <c r="F481" t="s">
        <v>770</v>
      </c>
      <c r="G481" t="s">
        <v>28</v>
      </c>
      <c r="H481" t="s">
        <v>29</v>
      </c>
      <c r="I481" t="s">
        <v>34</v>
      </c>
      <c r="J481" t="s">
        <v>30</v>
      </c>
      <c r="K481" t="s">
        <v>27</v>
      </c>
      <c r="L481" t="s">
        <v>3005</v>
      </c>
      <c r="M481" t="s">
        <v>3006</v>
      </c>
      <c r="N481" t="s">
        <v>773</v>
      </c>
      <c r="O481" t="s">
        <v>31</v>
      </c>
      <c r="P481" t="s">
        <v>3007</v>
      </c>
      <c r="Q481" t="s">
        <v>120</v>
      </c>
      <c r="R481" s="26" t="s">
        <v>2948</v>
      </c>
      <c r="S481">
        <v>1</v>
      </c>
      <c r="T481">
        <v>5295</v>
      </c>
      <c r="U481">
        <v>0</v>
      </c>
      <c r="V481">
        <v>5295</v>
      </c>
    </row>
    <row r="482" spans="1:22" x14ac:dyDescent="0.3">
      <c r="A482">
        <v>80147</v>
      </c>
      <c r="B482">
        <v>456807873</v>
      </c>
      <c r="C482" t="s">
        <v>3008</v>
      </c>
      <c r="D482" s="9" t="s">
        <v>3009</v>
      </c>
      <c r="E482" t="s">
        <v>2901</v>
      </c>
      <c r="F482" t="s">
        <v>770</v>
      </c>
      <c r="G482" t="s">
        <v>28</v>
      </c>
      <c r="H482" t="s">
        <v>29</v>
      </c>
      <c r="I482" t="s">
        <v>34</v>
      </c>
      <c r="J482" t="s">
        <v>30</v>
      </c>
      <c r="K482" t="s">
        <v>27</v>
      </c>
      <c r="L482" t="s">
        <v>3010</v>
      </c>
      <c r="M482" t="s">
        <v>3011</v>
      </c>
      <c r="N482" t="s">
        <v>773</v>
      </c>
      <c r="O482" t="s">
        <v>31</v>
      </c>
      <c r="P482" t="s">
        <v>3012</v>
      </c>
      <c r="Q482" t="s">
        <v>81</v>
      </c>
      <c r="R482" s="26" t="s">
        <v>753</v>
      </c>
      <c r="S482">
        <v>1</v>
      </c>
      <c r="T482">
        <v>3935</v>
      </c>
      <c r="U482">
        <v>0</v>
      </c>
      <c r="V482">
        <v>3935</v>
      </c>
    </row>
    <row r="483" spans="1:22" x14ac:dyDescent="0.3">
      <c r="A483">
        <v>80147</v>
      </c>
      <c r="B483">
        <v>456767146</v>
      </c>
      <c r="C483" t="s">
        <v>3013</v>
      </c>
      <c r="D483" s="9" t="s">
        <v>3014</v>
      </c>
      <c r="E483" t="s">
        <v>2901</v>
      </c>
      <c r="F483" t="s">
        <v>770</v>
      </c>
      <c r="G483" t="s">
        <v>28</v>
      </c>
      <c r="H483" t="s">
        <v>29</v>
      </c>
      <c r="I483" t="s">
        <v>34</v>
      </c>
      <c r="J483" t="s">
        <v>30</v>
      </c>
      <c r="K483" t="s">
        <v>27</v>
      </c>
      <c r="L483" t="s">
        <v>2099</v>
      </c>
      <c r="M483" t="s">
        <v>3015</v>
      </c>
      <c r="N483" t="s">
        <v>773</v>
      </c>
      <c r="O483" t="s">
        <v>31</v>
      </c>
      <c r="P483" t="s">
        <v>3016</v>
      </c>
      <c r="Q483" t="s">
        <v>88</v>
      </c>
      <c r="R483" s="26" t="s">
        <v>458</v>
      </c>
      <c r="S483">
        <v>1</v>
      </c>
      <c r="T483">
        <v>5024</v>
      </c>
      <c r="U483">
        <v>0</v>
      </c>
      <c r="V483">
        <v>5024</v>
      </c>
    </row>
    <row r="484" spans="1:22" x14ac:dyDescent="0.3">
      <c r="A484">
        <v>80147</v>
      </c>
      <c r="B484">
        <v>455658960</v>
      </c>
      <c r="C484" t="s">
        <v>3017</v>
      </c>
      <c r="D484" s="9" t="s">
        <v>3018</v>
      </c>
      <c r="E484" t="s">
        <v>2901</v>
      </c>
      <c r="F484" t="s">
        <v>770</v>
      </c>
      <c r="G484" t="s">
        <v>28</v>
      </c>
      <c r="H484" t="s">
        <v>29</v>
      </c>
      <c r="I484" t="s">
        <v>34</v>
      </c>
      <c r="J484" t="s">
        <v>30</v>
      </c>
      <c r="K484" t="s">
        <v>27</v>
      </c>
      <c r="L484" t="s">
        <v>3019</v>
      </c>
      <c r="M484" t="s">
        <v>3020</v>
      </c>
      <c r="N484" t="s">
        <v>773</v>
      </c>
      <c r="O484" t="s">
        <v>31</v>
      </c>
      <c r="P484" t="s">
        <v>3021</v>
      </c>
      <c r="Q484" t="s">
        <v>303</v>
      </c>
      <c r="R484" s="26" t="s">
        <v>722</v>
      </c>
      <c r="S484">
        <v>3</v>
      </c>
      <c r="T484">
        <v>5564</v>
      </c>
      <c r="U484">
        <v>0</v>
      </c>
      <c r="V484">
        <v>5564</v>
      </c>
    </row>
    <row r="485" spans="1:22" x14ac:dyDescent="0.3">
      <c r="A485">
        <v>80147</v>
      </c>
      <c r="B485">
        <v>456807875</v>
      </c>
      <c r="C485" t="s">
        <v>3022</v>
      </c>
      <c r="D485" s="9" t="s">
        <v>3023</v>
      </c>
      <c r="E485" t="s">
        <v>2901</v>
      </c>
      <c r="F485" t="s">
        <v>770</v>
      </c>
      <c r="G485" t="s">
        <v>28</v>
      </c>
      <c r="H485" t="s">
        <v>29</v>
      </c>
      <c r="I485" t="s">
        <v>34</v>
      </c>
      <c r="J485" t="s">
        <v>30</v>
      </c>
      <c r="K485" t="s">
        <v>27</v>
      </c>
      <c r="L485" t="s">
        <v>3024</v>
      </c>
      <c r="M485" t="s">
        <v>3025</v>
      </c>
      <c r="N485" t="s">
        <v>773</v>
      </c>
      <c r="O485" t="s">
        <v>31</v>
      </c>
      <c r="P485" t="s">
        <v>3026</v>
      </c>
      <c r="Q485" t="s">
        <v>91</v>
      </c>
      <c r="R485" s="26" t="s">
        <v>753</v>
      </c>
      <c r="S485">
        <v>5.2</v>
      </c>
      <c r="T485">
        <v>6783</v>
      </c>
      <c r="U485">
        <v>0</v>
      </c>
      <c r="V485">
        <v>6783</v>
      </c>
    </row>
    <row r="486" spans="1:22" x14ac:dyDescent="0.3">
      <c r="A486">
        <v>80147</v>
      </c>
      <c r="B486">
        <v>456767130</v>
      </c>
      <c r="C486" t="s">
        <v>3027</v>
      </c>
      <c r="D486" s="9" t="s">
        <v>3028</v>
      </c>
      <c r="E486" t="s">
        <v>2901</v>
      </c>
      <c r="F486" t="s">
        <v>770</v>
      </c>
      <c r="G486" t="s">
        <v>28</v>
      </c>
      <c r="H486" t="s">
        <v>29</v>
      </c>
      <c r="I486" t="s">
        <v>34</v>
      </c>
      <c r="J486" t="s">
        <v>30</v>
      </c>
      <c r="K486" t="s">
        <v>27</v>
      </c>
      <c r="L486" t="s">
        <v>3029</v>
      </c>
      <c r="M486" t="s">
        <v>3030</v>
      </c>
      <c r="N486" t="s">
        <v>773</v>
      </c>
      <c r="O486" t="s">
        <v>31</v>
      </c>
      <c r="P486" t="s">
        <v>3031</v>
      </c>
      <c r="Q486" t="s">
        <v>133</v>
      </c>
      <c r="R486" s="26" t="s">
        <v>457</v>
      </c>
      <c r="S486">
        <v>1</v>
      </c>
      <c r="T486">
        <v>7868</v>
      </c>
      <c r="U486">
        <v>0</v>
      </c>
      <c r="V486">
        <v>7868</v>
      </c>
    </row>
    <row r="487" spans="1:22" x14ac:dyDescent="0.3">
      <c r="A487">
        <v>80147</v>
      </c>
      <c r="B487">
        <v>456751510</v>
      </c>
      <c r="C487" t="s">
        <v>3032</v>
      </c>
      <c r="D487" s="9" t="s">
        <v>3033</v>
      </c>
      <c r="E487" t="s">
        <v>2901</v>
      </c>
      <c r="F487" t="s">
        <v>770</v>
      </c>
      <c r="G487" t="s">
        <v>28</v>
      </c>
      <c r="H487" t="s">
        <v>29</v>
      </c>
      <c r="I487" t="s">
        <v>34</v>
      </c>
      <c r="J487" t="s">
        <v>30</v>
      </c>
      <c r="K487" t="s">
        <v>27</v>
      </c>
      <c r="L487" t="s">
        <v>3034</v>
      </c>
      <c r="M487" t="s">
        <v>3035</v>
      </c>
      <c r="N487" t="s">
        <v>773</v>
      </c>
      <c r="O487" t="s">
        <v>31</v>
      </c>
      <c r="P487" t="s">
        <v>3036</v>
      </c>
      <c r="Q487" t="s">
        <v>70</v>
      </c>
      <c r="R487" s="26" t="s">
        <v>425</v>
      </c>
      <c r="S487">
        <v>1</v>
      </c>
      <c r="T487">
        <v>3631</v>
      </c>
      <c r="U487">
        <v>0</v>
      </c>
      <c r="V487">
        <v>3631</v>
      </c>
    </row>
    <row r="488" spans="1:22" x14ac:dyDescent="0.3">
      <c r="A488">
        <v>80147</v>
      </c>
      <c r="B488">
        <v>456751513</v>
      </c>
      <c r="C488" t="s">
        <v>3037</v>
      </c>
      <c r="D488" s="9" t="s">
        <v>3038</v>
      </c>
      <c r="E488" t="s">
        <v>2901</v>
      </c>
      <c r="F488" t="s">
        <v>770</v>
      </c>
      <c r="G488" t="s">
        <v>28</v>
      </c>
      <c r="H488" t="s">
        <v>29</v>
      </c>
      <c r="I488" t="s">
        <v>34</v>
      </c>
      <c r="J488" t="s">
        <v>30</v>
      </c>
      <c r="K488" t="s">
        <v>27</v>
      </c>
      <c r="L488" t="s">
        <v>3039</v>
      </c>
      <c r="M488" t="s">
        <v>3040</v>
      </c>
      <c r="N488" t="s">
        <v>773</v>
      </c>
      <c r="O488" t="s">
        <v>31</v>
      </c>
      <c r="P488" t="s">
        <v>3041</v>
      </c>
      <c r="Q488" t="s">
        <v>85</v>
      </c>
      <c r="R488" s="26" t="s">
        <v>425</v>
      </c>
      <c r="S488">
        <v>1</v>
      </c>
      <c r="T488">
        <v>3631</v>
      </c>
      <c r="U488">
        <v>0</v>
      </c>
      <c r="V488">
        <v>3631</v>
      </c>
    </row>
    <row r="489" spans="1:22" x14ac:dyDescent="0.3">
      <c r="A489">
        <v>80147</v>
      </c>
      <c r="B489">
        <v>456351848</v>
      </c>
      <c r="C489" t="s">
        <v>3042</v>
      </c>
      <c r="D489" s="9" t="s">
        <v>3043</v>
      </c>
      <c r="E489" t="s">
        <v>2901</v>
      </c>
      <c r="F489" t="s">
        <v>770</v>
      </c>
      <c r="G489" t="s">
        <v>28</v>
      </c>
      <c r="H489" t="s">
        <v>29</v>
      </c>
      <c r="I489" t="s">
        <v>34</v>
      </c>
      <c r="J489" t="s">
        <v>30</v>
      </c>
      <c r="K489" t="s">
        <v>27</v>
      </c>
      <c r="L489" t="s">
        <v>3044</v>
      </c>
      <c r="M489" t="s">
        <v>3045</v>
      </c>
      <c r="N489" t="s">
        <v>773</v>
      </c>
      <c r="O489" t="s">
        <v>31</v>
      </c>
      <c r="P489" t="s">
        <v>3046</v>
      </c>
      <c r="Q489" t="s">
        <v>175</v>
      </c>
      <c r="R489" s="26" t="s">
        <v>3047</v>
      </c>
      <c r="S489">
        <v>1</v>
      </c>
      <c r="T489">
        <v>5564</v>
      </c>
      <c r="U489">
        <v>0</v>
      </c>
      <c r="V489">
        <v>5564</v>
      </c>
    </row>
    <row r="490" spans="1:22" x14ac:dyDescent="0.3">
      <c r="A490">
        <v>80147</v>
      </c>
      <c r="B490">
        <v>456726034</v>
      </c>
      <c r="C490" t="s">
        <v>3048</v>
      </c>
      <c r="D490" s="9" t="s">
        <v>3049</v>
      </c>
      <c r="E490" t="s">
        <v>2901</v>
      </c>
      <c r="F490" t="s">
        <v>770</v>
      </c>
      <c r="G490" t="s">
        <v>28</v>
      </c>
      <c r="H490" t="s">
        <v>29</v>
      </c>
      <c r="I490" t="s">
        <v>34</v>
      </c>
      <c r="J490" t="s">
        <v>30</v>
      </c>
      <c r="K490" t="s">
        <v>27</v>
      </c>
      <c r="L490" t="s">
        <v>3050</v>
      </c>
      <c r="M490" t="s">
        <v>726</v>
      </c>
      <c r="N490" t="s">
        <v>773</v>
      </c>
      <c r="O490" t="s">
        <v>31</v>
      </c>
      <c r="P490" t="s">
        <v>664</v>
      </c>
      <c r="Q490" t="s">
        <v>88</v>
      </c>
      <c r="R490" s="26" t="s">
        <v>518</v>
      </c>
      <c r="S490">
        <v>1</v>
      </c>
      <c r="T490">
        <v>5024</v>
      </c>
      <c r="U490">
        <v>0</v>
      </c>
      <c r="V490">
        <v>5024</v>
      </c>
    </row>
    <row r="491" spans="1:22" x14ac:dyDescent="0.3">
      <c r="A491">
        <v>80147</v>
      </c>
      <c r="B491">
        <v>456751506</v>
      </c>
      <c r="C491" t="s">
        <v>3051</v>
      </c>
      <c r="D491" s="9" t="s">
        <v>3052</v>
      </c>
      <c r="E491" t="s">
        <v>2901</v>
      </c>
      <c r="F491" t="s">
        <v>770</v>
      </c>
      <c r="G491" t="s">
        <v>28</v>
      </c>
      <c r="H491" t="s">
        <v>29</v>
      </c>
      <c r="I491" t="s">
        <v>34</v>
      </c>
      <c r="J491" t="s">
        <v>30</v>
      </c>
      <c r="K491" t="s">
        <v>27</v>
      </c>
      <c r="L491" t="s">
        <v>3053</v>
      </c>
      <c r="M491" t="s">
        <v>3054</v>
      </c>
      <c r="N491" t="s">
        <v>773</v>
      </c>
      <c r="O491" t="s">
        <v>31</v>
      </c>
      <c r="P491" t="s">
        <v>3055</v>
      </c>
      <c r="Q491" t="s">
        <v>109</v>
      </c>
      <c r="R491" s="26" t="s">
        <v>425</v>
      </c>
      <c r="S491">
        <v>1</v>
      </c>
      <c r="T491">
        <v>3250</v>
      </c>
      <c r="U491">
        <v>0</v>
      </c>
      <c r="V491">
        <v>3250</v>
      </c>
    </row>
    <row r="492" spans="1:22" x14ac:dyDescent="0.3">
      <c r="A492">
        <v>80147</v>
      </c>
      <c r="B492">
        <v>456676459</v>
      </c>
      <c r="C492" t="s">
        <v>3056</v>
      </c>
      <c r="D492" s="9" t="s">
        <v>3057</v>
      </c>
      <c r="E492" t="s">
        <v>2901</v>
      </c>
      <c r="F492" t="s">
        <v>770</v>
      </c>
      <c r="G492" t="s">
        <v>28</v>
      </c>
      <c r="H492" t="s">
        <v>29</v>
      </c>
      <c r="I492" t="s">
        <v>34</v>
      </c>
      <c r="J492" t="s">
        <v>30</v>
      </c>
      <c r="K492" t="s">
        <v>27</v>
      </c>
      <c r="L492" t="s">
        <v>3058</v>
      </c>
      <c r="M492" t="s">
        <v>710</v>
      </c>
      <c r="N492" t="s">
        <v>773</v>
      </c>
      <c r="O492" t="s">
        <v>31</v>
      </c>
      <c r="P492" t="s">
        <v>3059</v>
      </c>
      <c r="Q492" t="s">
        <v>88</v>
      </c>
      <c r="R492" s="26" t="s">
        <v>3060</v>
      </c>
      <c r="S492">
        <v>1</v>
      </c>
      <c r="T492">
        <v>5024</v>
      </c>
      <c r="U492">
        <v>0</v>
      </c>
      <c r="V492">
        <v>5024</v>
      </c>
    </row>
    <row r="493" spans="1:22" x14ac:dyDescent="0.3">
      <c r="A493">
        <v>80147</v>
      </c>
      <c r="B493">
        <v>456767126</v>
      </c>
      <c r="C493" t="s">
        <v>3061</v>
      </c>
      <c r="D493" s="9" t="s">
        <v>3062</v>
      </c>
      <c r="E493" t="s">
        <v>2901</v>
      </c>
      <c r="F493" t="s">
        <v>770</v>
      </c>
      <c r="G493" t="s">
        <v>28</v>
      </c>
      <c r="H493" t="s">
        <v>29</v>
      </c>
      <c r="I493" t="s">
        <v>34</v>
      </c>
      <c r="J493" t="s">
        <v>30</v>
      </c>
      <c r="K493" t="s">
        <v>27</v>
      </c>
      <c r="L493" t="s">
        <v>3063</v>
      </c>
      <c r="M493" t="s">
        <v>3064</v>
      </c>
      <c r="N493" t="s">
        <v>773</v>
      </c>
      <c r="O493" t="s">
        <v>31</v>
      </c>
      <c r="P493" t="s">
        <v>3065</v>
      </c>
      <c r="Q493" t="s">
        <v>126</v>
      </c>
      <c r="R493" s="26" t="s">
        <v>457</v>
      </c>
      <c r="S493">
        <v>1</v>
      </c>
      <c r="T493">
        <v>3737</v>
      </c>
      <c r="U493">
        <v>0</v>
      </c>
      <c r="V493">
        <v>3737</v>
      </c>
    </row>
    <row r="494" spans="1:22" x14ac:dyDescent="0.3">
      <c r="A494">
        <v>80147</v>
      </c>
      <c r="B494">
        <v>456703707</v>
      </c>
      <c r="C494" t="s">
        <v>3066</v>
      </c>
      <c r="D494" s="9" t="s">
        <v>3067</v>
      </c>
      <c r="E494" t="s">
        <v>2901</v>
      </c>
      <c r="F494" t="s">
        <v>770</v>
      </c>
      <c r="G494" t="s">
        <v>28</v>
      </c>
      <c r="H494" t="s">
        <v>29</v>
      </c>
      <c r="I494" t="s">
        <v>34</v>
      </c>
      <c r="J494" t="s">
        <v>30</v>
      </c>
      <c r="K494" t="s">
        <v>27</v>
      </c>
      <c r="L494" t="s">
        <v>3068</v>
      </c>
      <c r="M494" t="s">
        <v>3069</v>
      </c>
      <c r="N494" t="s">
        <v>773</v>
      </c>
      <c r="O494" t="s">
        <v>31</v>
      </c>
      <c r="P494" t="s">
        <v>3070</v>
      </c>
      <c r="Q494" t="s">
        <v>108</v>
      </c>
      <c r="R494" s="26" t="s">
        <v>3071</v>
      </c>
      <c r="S494">
        <v>6.6</v>
      </c>
      <c r="T494">
        <v>5024</v>
      </c>
      <c r="U494">
        <v>0</v>
      </c>
      <c r="V494">
        <v>5024</v>
      </c>
    </row>
    <row r="495" spans="1:22" x14ac:dyDescent="0.3">
      <c r="A495">
        <v>80147</v>
      </c>
      <c r="B495">
        <v>456272645</v>
      </c>
      <c r="C495" t="s">
        <v>3072</v>
      </c>
      <c r="D495" s="9" t="s">
        <v>3073</v>
      </c>
      <c r="E495" t="s">
        <v>2901</v>
      </c>
      <c r="F495" t="s">
        <v>770</v>
      </c>
      <c r="G495" t="s">
        <v>28</v>
      </c>
      <c r="H495" t="s">
        <v>29</v>
      </c>
      <c r="I495" t="s">
        <v>34</v>
      </c>
      <c r="J495" t="s">
        <v>30</v>
      </c>
      <c r="K495" t="s">
        <v>27</v>
      </c>
      <c r="L495" t="s">
        <v>3074</v>
      </c>
      <c r="M495" t="s">
        <v>685</v>
      </c>
      <c r="N495" t="s">
        <v>773</v>
      </c>
      <c r="O495" t="s">
        <v>31</v>
      </c>
      <c r="P495" t="s">
        <v>3075</v>
      </c>
      <c r="Q495" t="s">
        <v>197</v>
      </c>
      <c r="R495" s="26" t="s">
        <v>393</v>
      </c>
      <c r="S495">
        <v>6.1</v>
      </c>
      <c r="T495">
        <v>11027</v>
      </c>
      <c r="U495">
        <v>0</v>
      </c>
      <c r="V495">
        <v>11027</v>
      </c>
    </row>
    <row r="496" spans="1:22" x14ac:dyDescent="0.3">
      <c r="A496">
        <v>80147</v>
      </c>
      <c r="B496">
        <v>456703702</v>
      </c>
      <c r="C496" t="s">
        <v>3076</v>
      </c>
      <c r="D496" s="9" t="s">
        <v>3077</v>
      </c>
      <c r="E496" t="s">
        <v>2901</v>
      </c>
      <c r="F496" t="s">
        <v>770</v>
      </c>
      <c r="G496" t="s">
        <v>28</v>
      </c>
      <c r="H496" t="s">
        <v>29</v>
      </c>
      <c r="I496" t="s">
        <v>34</v>
      </c>
      <c r="J496" t="s">
        <v>30</v>
      </c>
      <c r="K496" t="s">
        <v>27</v>
      </c>
      <c r="L496" t="s">
        <v>3078</v>
      </c>
      <c r="M496" t="s">
        <v>3079</v>
      </c>
      <c r="N496" t="s">
        <v>773</v>
      </c>
      <c r="O496" t="s">
        <v>31</v>
      </c>
      <c r="P496" t="s">
        <v>3080</v>
      </c>
      <c r="Q496" t="s">
        <v>80</v>
      </c>
      <c r="R496" s="26" t="s">
        <v>158</v>
      </c>
      <c r="S496">
        <v>1</v>
      </c>
      <c r="T496">
        <v>3250</v>
      </c>
      <c r="U496">
        <v>0</v>
      </c>
      <c r="V496">
        <v>3250</v>
      </c>
    </row>
    <row r="497" spans="1:22" x14ac:dyDescent="0.3">
      <c r="A497">
        <v>80147</v>
      </c>
      <c r="B497">
        <v>456703708</v>
      </c>
      <c r="C497" t="s">
        <v>3081</v>
      </c>
      <c r="D497" s="9" t="s">
        <v>3082</v>
      </c>
      <c r="E497" t="s">
        <v>2901</v>
      </c>
      <c r="F497" t="s">
        <v>770</v>
      </c>
      <c r="G497" t="s">
        <v>28</v>
      </c>
      <c r="H497" t="s">
        <v>29</v>
      </c>
      <c r="I497" t="s">
        <v>34</v>
      </c>
      <c r="J497" t="s">
        <v>30</v>
      </c>
      <c r="K497" t="s">
        <v>27</v>
      </c>
      <c r="L497" t="s">
        <v>3083</v>
      </c>
      <c r="M497" t="s">
        <v>3084</v>
      </c>
      <c r="N497" t="s">
        <v>773</v>
      </c>
      <c r="O497" t="s">
        <v>31</v>
      </c>
      <c r="P497" t="s">
        <v>3085</v>
      </c>
      <c r="Q497" t="s">
        <v>72</v>
      </c>
      <c r="R497" s="26" t="s">
        <v>3071</v>
      </c>
      <c r="S497">
        <v>1</v>
      </c>
      <c r="T497">
        <v>3653</v>
      </c>
      <c r="U497">
        <v>0</v>
      </c>
      <c r="V497">
        <v>3653</v>
      </c>
    </row>
    <row r="498" spans="1:22" x14ac:dyDescent="0.3">
      <c r="A498">
        <v>80147</v>
      </c>
      <c r="B498">
        <v>456676455</v>
      </c>
      <c r="C498" t="s">
        <v>3086</v>
      </c>
      <c r="D498" s="9" t="s">
        <v>3087</v>
      </c>
      <c r="E498" t="s">
        <v>2901</v>
      </c>
      <c r="F498" t="s">
        <v>770</v>
      </c>
      <c r="G498" t="s">
        <v>28</v>
      </c>
      <c r="H498" t="s">
        <v>29</v>
      </c>
      <c r="I498" t="s">
        <v>34</v>
      </c>
      <c r="J498" t="s">
        <v>30</v>
      </c>
      <c r="K498" t="s">
        <v>27</v>
      </c>
      <c r="L498" t="s">
        <v>3088</v>
      </c>
      <c r="M498" t="s">
        <v>3089</v>
      </c>
      <c r="N498" t="s">
        <v>773</v>
      </c>
      <c r="O498" t="s">
        <v>31</v>
      </c>
      <c r="P498" t="s">
        <v>3090</v>
      </c>
      <c r="Q498" t="s">
        <v>80</v>
      </c>
      <c r="R498" s="26" t="s">
        <v>3060</v>
      </c>
      <c r="S498">
        <v>1</v>
      </c>
      <c r="T498">
        <v>3250</v>
      </c>
      <c r="U498">
        <v>0</v>
      </c>
      <c r="V498">
        <v>3250</v>
      </c>
    </row>
    <row r="499" spans="1:22" x14ac:dyDescent="0.3">
      <c r="A499">
        <v>80147</v>
      </c>
      <c r="B499">
        <v>456676462</v>
      </c>
      <c r="C499" t="s">
        <v>3091</v>
      </c>
      <c r="D499" s="9" t="s">
        <v>3092</v>
      </c>
      <c r="E499" t="s">
        <v>2901</v>
      </c>
      <c r="F499" t="s">
        <v>770</v>
      </c>
      <c r="G499" t="s">
        <v>28</v>
      </c>
      <c r="H499" t="s">
        <v>29</v>
      </c>
      <c r="I499" t="s">
        <v>34</v>
      </c>
      <c r="J499" t="s">
        <v>30</v>
      </c>
      <c r="K499" t="s">
        <v>27</v>
      </c>
      <c r="L499" t="s">
        <v>3093</v>
      </c>
      <c r="M499" t="s">
        <v>3094</v>
      </c>
      <c r="N499" t="s">
        <v>773</v>
      </c>
      <c r="O499" t="s">
        <v>31</v>
      </c>
      <c r="P499" t="s">
        <v>3095</v>
      </c>
      <c r="Q499" t="s">
        <v>65</v>
      </c>
      <c r="R499" s="26" t="s">
        <v>3060</v>
      </c>
      <c r="S499">
        <v>1</v>
      </c>
      <c r="T499">
        <v>3631</v>
      </c>
      <c r="U499">
        <v>0</v>
      </c>
      <c r="V499">
        <v>3631</v>
      </c>
    </row>
    <row r="500" spans="1:22" x14ac:dyDescent="0.3">
      <c r="A500">
        <v>80147</v>
      </c>
      <c r="B500">
        <v>456631321</v>
      </c>
      <c r="C500" t="s">
        <v>3096</v>
      </c>
      <c r="D500" s="9" t="s">
        <v>3097</v>
      </c>
      <c r="E500" t="s">
        <v>2901</v>
      </c>
      <c r="F500" t="s">
        <v>770</v>
      </c>
      <c r="G500" t="s">
        <v>28</v>
      </c>
      <c r="H500" t="s">
        <v>29</v>
      </c>
      <c r="I500" t="s">
        <v>34</v>
      </c>
      <c r="J500" t="s">
        <v>30</v>
      </c>
      <c r="K500" t="s">
        <v>27</v>
      </c>
      <c r="L500" t="s">
        <v>3098</v>
      </c>
      <c r="M500" t="s">
        <v>3099</v>
      </c>
      <c r="N500" t="s">
        <v>773</v>
      </c>
      <c r="O500" t="s">
        <v>31</v>
      </c>
      <c r="P500" t="s">
        <v>3100</v>
      </c>
      <c r="Q500" t="s">
        <v>117</v>
      </c>
      <c r="R500" s="26" t="s">
        <v>236</v>
      </c>
      <c r="S500">
        <v>5.0999999999999996</v>
      </c>
      <c r="T500">
        <v>10206</v>
      </c>
      <c r="U500">
        <v>0</v>
      </c>
      <c r="V500">
        <v>10206</v>
      </c>
    </row>
    <row r="501" spans="1:22" x14ac:dyDescent="0.3">
      <c r="A501">
        <v>80147</v>
      </c>
      <c r="B501">
        <v>456646862</v>
      </c>
      <c r="C501" t="s">
        <v>3101</v>
      </c>
      <c r="D501" s="9" t="s">
        <v>3102</v>
      </c>
      <c r="E501" t="s">
        <v>2901</v>
      </c>
      <c r="F501" t="s">
        <v>770</v>
      </c>
      <c r="G501" t="s">
        <v>28</v>
      </c>
      <c r="H501" t="s">
        <v>29</v>
      </c>
      <c r="I501" t="s">
        <v>34</v>
      </c>
      <c r="J501" t="s">
        <v>30</v>
      </c>
      <c r="K501" t="s">
        <v>27</v>
      </c>
      <c r="L501" t="s">
        <v>3103</v>
      </c>
      <c r="M501" t="s">
        <v>660</v>
      </c>
      <c r="N501" t="s">
        <v>773</v>
      </c>
      <c r="O501" t="s">
        <v>31</v>
      </c>
      <c r="P501" t="s">
        <v>3104</v>
      </c>
      <c r="Q501" t="s">
        <v>85</v>
      </c>
      <c r="R501" s="26" t="s">
        <v>3105</v>
      </c>
      <c r="S501">
        <v>6.3</v>
      </c>
      <c r="T501">
        <v>5564</v>
      </c>
      <c r="U501">
        <v>0</v>
      </c>
      <c r="V501">
        <v>5564</v>
      </c>
    </row>
    <row r="502" spans="1:22" x14ac:dyDescent="0.3">
      <c r="A502">
        <v>80147</v>
      </c>
      <c r="B502">
        <v>456409555</v>
      </c>
      <c r="C502" t="s">
        <v>3106</v>
      </c>
      <c r="D502" s="9" t="s">
        <v>3107</v>
      </c>
      <c r="E502" t="s">
        <v>2901</v>
      </c>
      <c r="F502" t="s">
        <v>770</v>
      </c>
      <c r="G502" t="s">
        <v>28</v>
      </c>
      <c r="H502" t="s">
        <v>29</v>
      </c>
      <c r="I502" t="s">
        <v>34</v>
      </c>
      <c r="J502" t="s">
        <v>30</v>
      </c>
      <c r="K502" t="s">
        <v>27</v>
      </c>
      <c r="L502" t="s">
        <v>3108</v>
      </c>
      <c r="M502" t="s">
        <v>3109</v>
      </c>
      <c r="N502" t="s">
        <v>773</v>
      </c>
      <c r="O502" t="s">
        <v>31</v>
      </c>
      <c r="P502" t="s">
        <v>3110</v>
      </c>
      <c r="Q502" t="s">
        <v>286</v>
      </c>
      <c r="R502" s="26" t="s">
        <v>764</v>
      </c>
      <c r="S502">
        <v>3</v>
      </c>
      <c r="T502">
        <v>5295</v>
      </c>
      <c r="U502">
        <v>0</v>
      </c>
      <c r="V502">
        <v>5295</v>
      </c>
    </row>
    <row r="503" spans="1:22" x14ac:dyDescent="0.3">
      <c r="A503">
        <v>80147</v>
      </c>
      <c r="B503">
        <v>456631319</v>
      </c>
      <c r="C503" t="s">
        <v>3111</v>
      </c>
      <c r="D503" s="9" t="s">
        <v>3112</v>
      </c>
      <c r="E503" t="s">
        <v>2901</v>
      </c>
      <c r="F503" t="s">
        <v>770</v>
      </c>
      <c r="G503" t="s">
        <v>28</v>
      </c>
      <c r="H503" t="s">
        <v>29</v>
      </c>
      <c r="I503" t="s">
        <v>34</v>
      </c>
      <c r="J503" t="s">
        <v>30</v>
      </c>
      <c r="K503" t="s">
        <v>27</v>
      </c>
      <c r="L503" t="s">
        <v>3113</v>
      </c>
      <c r="M503" t="s">
        <v>675</v>
      </c>
      <c r="N503" t="s">
        <v>773</v>
      </c>
      <c r="O503" t="s">
        <v>31</v>
      </c>
      <c r="P503" t="s">
        <v>3114</v>
      </c>
      <c r="Q503" t="s">
        <v>72</v>
      </c>
      <c r="R503" s="26" t="s">
        <v>236</v>
      </c>
      <c r="S503">
        <v>1</v>
      </c>
      <c r="T503">
        <v>3653</v>
      </c>
      <c r="U503">
        <v>0</v>
      </c>
      <c r="V503">
        <v>3653</v>
      </c>
    </row>
    <row r="504" spans="1:22" x14ac:dyDescent="0.3">
      <c r="A504">
        <v>80147</v>
      </c>
      <c r="B504">
        <v>456409538</v>
      </c>
      <c r="C504" t="s">
        <v>3115</v>
      </c>
      <c r="D504" s="9" t="s">
        <v>3116</v>
      </c>
      <c r="E504" t="s">
        <v>2901</v>
      </c>
      <c r="F504" t="s">
        <v>770</v>
      </c>
      <c r="G504" t="s">
        <v>28</v>
      </c>
      <c r="H504" t="s">
        <v>29</v>
      </c>
      <c r="I504" t="s">
        <v>34</v>
      </c>
      <c r="J504" t="s">
        <v>30</v>
      </c>
      <c r="K504" t="s">
        <v>27</v>
      </c>
      <c r="L504" t="s">
        <v>3117</v>
      </c>
      <c r="M504" t="s">
        <v>3118</v>
      </c>
      <c r="N504" t="s">
        <v>773</v>
      </c>
      <c r="O504" t="s">
        <v>31</v>
      </c>
      <c r="P504" t="s">
        <v>3119</v>
      </c>
      <c r="Q504" t="s">
        <v>343</v>
      </c>
      <c r="R504" s="26" t="s">
        <v>764</v>
      </c>
      <c r="S504">
        <v>1</v>
      </c>
      <c r="T504">
        <v>3631</v>
      </c>
      <c r="U504">
        <v>0</v>
      </c>
      <c r="V504">
        <v>3631</v>
      </c>
    </row>
    <row r="505" spans="1:22" x14ac:dyDescent="0.3">
      <c r="A505">
        <v>80147</v>
      </c>
      <c r="B505">
        <v>456532619</v>
      </c>
      <c r="C505" t="s">
        <v>3120</v>
      </c>
      <c r="D505" s="9" t="s">
        <v>3121</v>
      </c>
      <c r="E505" t="s">
        <v>2901</v>
      </c>
      <c r="F505" t="s">
        <v>770</v>
      </c>
      <c r="G505" t="s">
        <v>28</v>
      </c>
      <c r="H505" t="s">
        <v>29</v>
      </c>
      <c r="I505" t="s">
        <v>34</v>
      </c>
      <c r="J505" t="s">
        <v>30</v>
      </c>
      <c r="K505" t="s">
        <v>27</v>
      </c>
      <c r="L505" t="s">
        <v>2980</v>
      </c>
      <c r="M505" t="s">
        <v>2981</v>
      </c>
      <c r="N505" t="s">
        <v>773</v>
      </c>
      <c r="O505" t="s">
        <v>31</v>
      </c>
      <c r="P505" t="s">
        <v>2982</v>
      </c>
      <c r="Q505" t="s">
        <v>84</v>
      </c>
      <c r="R505" s="26" t="s">
        <v>365</v>
      </c>
      <c r="S505">
        <v>1</v>
      </c>
      <c r="T505">
        <v>5564</v>
      </c>
      <c r="U505">
        <v>0</v>
      </c>
      <c r="V505">
        <v>5564</v>
      </c>
    </row>
    <row r="506" spans="1:22" x14ac:dyDescent="0.3">
      <c r="A506">
        <v>80147</v>
      </c>
      <c r="B506">
        <v>456272649</v>
      </c>
      <c r="C506" t="s">
        <v>3122</v>
      </c>
      <c r="D506" s="9" t="s">
        <v>3123</v>
      </c>
      <c r="E506" t="s">
        <v>2901</v>
      </c>
      <c r="F506" t="s">
        <v>770</v>
      </c>
      <c r="G506" t="s">
        <v>28</v>
      </c>
      <c r="H506" t="s">
        <v>29</v>
      </c>
      <c r="I506" t="s">
        <v>34</v>
      </c>
      <c r="J506" t="s">
        <v>30</v>
      </c>
      <c r="K506" t="s">
        <v>27</v>
      </c>
      <c r="L506" t="s">
        <v>3124</v>
      </c>
      <c r="M506" t="s">
        <v>3125</v>
      </c>
      <c r="N506" t="s">
        <v>773</v>
      </c>
      <c r="O506" t="s">
        <v>31</v>
      </c>
      <c r="P506" t="s">
        <v>3126</v>
      </c>
      <c r="Q506" t="s">
        <v>69</v>
      </c>
      <c r="R506" s="26" t="s">
        <v>393</v>
      </c>
      <c r="S506">
        <v>5.2</v>
      </c>
      <c r="T506">
        <v>6114</v>
      </c>
      <c r="U506">
        <v>0</v>
      </c>
      <c r="V506">
        <v>6114</v>
      </c>
    </row>
    <row r="507" spans="1:22" x14ac:dyDescent="0.3">
      <c r="A507">
        <v>80147</v>
      </c>
      <c r="B507">
        <v>455181736</v>
      </c>
      <c r="C507" t="s">
        <v>3127</v>
      </c>
      <c r="D507" s="9" t="s">
        <v>3128</v>
      </c>
      <c r="E507" t="s">
        <v>2901</v>
      </c>
      <c r="F507" t="s">
        <v>770</v>
      </c>
      <c r="G507" t="s">
        <v>49</v>
      </c>
      <c r="H507" t="s">
        <v>50</v>
      </c>
      <c r="I507" t="s">
        <v>34</v>
      </c>
      <c r="J507" t="s">
        <v>155</v>
      </c>
      <c r="K507" t="s">
        <v>27</v>
      </c>
      <c r="L507" t="s">
        <v>52</v>
      </c>
      <c r="M507" t="s">
        <v>3129</v>
      </c>
      <c r="N507" t="s">
        <v>773</v>
      </c>
      <c r="O507" t="s">
        <v>31</v>
      </c>
      <c r="P507" t="s">
        <v>3130</v>
      </c>
      <c r="Q507" t="s">
        <v>336</v>
      </c>
      <c r="R507" s="26" t="s">
        <v>3131</v>
      </c>
      <c r="S507">
        <v>5.54</v>
      </c>
      <c r="T507">
        <v>19636</v>
      </c>
      <c r="U507">
        <v>0</v>
      </c>
      <c r="V507">
        <v>19636</v>
      </c>
    </row>
    <row r="508" spans="1:22" x14ac:dyDescent="0.3">
      <c r="A508">
        <v>80147</v>
      </c>
      <c r="B508">
        <v>455658881</v>
      </c>
      <c r="C508" t="s">
        <v>3132</v>
      </c>
      <c r="D508" s="9" t="s">
        <v>3133</v>
      </c>
      <c r="E508" t="s">
        <v>2901</v>
      </c>
      <c r="F508" t="s">
        <v>770</v>
      </c>
      <c r="G508" t="s">
        <v>28</v>
      </c>
      <c r="H508" t="s">
        <v>29</v>
      </c>
      <c r="I508" t="s">
        <v>34</v>
      </c>
      <c r="J508" t="s">
        <v>30</v>
      </c>
      <c r="K508" t="s">
        <v>27</v>
      </c>
      <c r="L508" t="s">
        <v>3134</v>
      </c>
      <c r="M508" t="s">
        <v>550</v>
      </c>
      <c r="N508" t="s">
        <v>773</v>
      </c>
      <c r="O508" t="s">
        <v>31</v>
      </c>
      <c r="P508" t="s">
        <v>3135</v>
      </c>
      <c r="Q508" t="s">
        <v>175</v>
      </c>
      <c r="R508" s="26" t="s">
        <v>722</v>
      </c>
      <c r="S508">
        <v>1</v>
      </c>
      <c r="T508">
        <v>5564</v>
      </c>
      <c r="U508">
        <v>0</v>
      </c>
      <c r="V508">
        <v>5564</v>
      </c>
    </row>
    <row r="509" spans="1:22" x14ac:dyDescent="0.3">
      <c r="A509">
        <v>80147</v>
      </c>
      <c r="B509">
        <v>456587274</v>
      </c>
      <c r="C509" t="s">
        <v>3136</v>
      </c>
      <c r="D509" s="9" t="s">
        <v>3137</v>
      </c>
      <c r="E509" t="s">
        <v>2901</v>
      </c>
      <c r="F509" t="s">
        <v>770</v>
      </c>
      <c r="G509" t="s">
        <v>28</v>
      </c>
      <c r="H509" t="s">
        <v>29</v>
      </c>
      <c r="I509" t="s">
        <v>34</v>
      </c>
      <c r="J509" t="s">
        <v>30</v>
      </c>
      <c r="K509" t="s">
        <v>27</v>
      </c>
      <c r="L509" t="s">
        <v>3138</v>
      </c>
      <c r="M509" t="s">
        <v>3139</v>
      </c>
      <c r="N509" t="s">
        <v>773</v>
      </c>
      <c r="O509" t="s">
        <v>31</v>
      </c>
      <c r="P509" t="s">
        <v>3140</v>
      </c>
      <c r="Q509" t="s">
        <v>73</v>
      </c>
      <c r="R509" s="26" t="s">
        <v>513</v>
      </c>
      <c r="S509">
        <v>1</v>
      </c>
      <c r="T509">
        <v>3653</v>
      </c>
      <c r="U509">
        <v>0</v>
      </c>
      <c r="V509">
        <v>3653</v>
      </c>
    </row>
    <row r="510" spans="1:22" x14ac:dyDescent="0.3">
      <c r="A510">
        <v>80147</v>
      </c>
      <c r="B510">
        <v>456603271</v>
      </c>
      <c r="C510" t="s">
        <v>3141</v>
      </c>
      <c r="D510" s="9" t="s">
        <v>3142</v>
      </c>
      <c r="E510" t="s">
        <v>2901</v>
      </c>
      <c r="F510" t="s">
        <v>770</v>
      </c>
      <c r="G510" t="s">
        <v>28</v>
      </c>
      <c r="H510" t="s">
        <v>29</v>
      </c>
      <c r="I510" t="s">
        <v>34</v>
      </c>
      <c r="J510" t="s">
        <v>30</v>
      </c>
      <c r="K510" t="s">
        <v>27</v>
      </c>
      <c r="L510" t="s">
        <v>3143</v>
      </c>
      <c r="M510" t="s">
        <v>3144</v>
      </c>
      <c r="N510" t="s">
        <v>773</v>
      </c>
      <c r="O510" t="s">
        <v>31</v>
      </c>
      <c r="P510" t="s">
        <v>3145</v>
      </c>
      <c r="Q510" t="s">
        <v>89</v>
      </c>
      <c r="R510" s="26" t="s">
        <v>3146</v>
      </c>
      <c r="S510">
        <v>1</v>
      </c>
      <c r="T510">
        <v>3250</v>
      </c>
      <c r="U510">
        <v>0</v>
      </c>
      <c r="V510">
        <v>3250</v>
      </c>
    </row>
    <row r="511" spans="1:22" x14ac:dyDescent="0.3">
      <c r="A511">
        <v>80147</v>
      </c>
      <c r="B511">
        <v>456532620</v>
      </c>
      <c r="C511" t="s">
        <v>3147</v>
      </c>
      <c r="D511" s="9" t="s">
        <v>3148</v>
      </c>
      <c r="E511" t="s">
        <v>2901</v>
      </c>
      <c r="F511" t="s">
        <v>770</v>
      </c>
      <c r="G511" t="s">
        <v>28</v>
      </c>
      <c r="H511" t="s">
        <v>29</v>
      </c>
      <c r="I511" t="s">
        <v>34</v>
      </c>
      <c r="J511" t="s">
        <v>30</v>
      </c>
      <c r="K511" t="s">
        <v>27</v>
      </c>
      <c r="L511" t="s">
        <v>3149</v>
      </c>
      <c r="M511" t="s">
        <v>3150</v>
      </c>
      <c r="N511" t="s">
        <v>773</v>
      </c>
      <c r="O511" t="s">
        <v>31</v>
      </c>
      <c r="P511" t="s">
        <v>3151</v>
      </c>
      <c r="Q511" t="s">
        <v>119</v>
      </c>
      <c r="R511" s="26" t="s">
        <v>365</v>
      </c>
      <c r="S511">
        <v>1</v>
      </c>
      <c r="T511">
        <v>4205</v>
      </c>
      <c r="U511">
        <v>0</v>
      </c>
      <c r="V511">
        <v>4205</v>
      </c>
    </row>
    <row r="512" spans="1:22" x14ac:dyDescent="0.3">
      <c r="A512">
        <v>80147</v>
      </c>
      <c r="B512">
        <v>456532621</v>
      </c>
      <c r="C512" t="s">
        <v>3152</v>
      </c>
      <c r="D512" s="9" t="s">
        <v>3153</v>
      </c>
      <c r="E512" t="s">
        <v>2901</v>
      </c>
      <c r="F512" t="s">
        <v>770</v>
      </c>
      <c r="G512" t="s">
        <v>28</v>
      </c>
      <c r="H512" t="s">
        <v>29</v>
      </c>
      <c r="I512" t="s">
        <v>34</v>
      </c>
      <c r="J512" t="s">
        <v>30</v>
      </c>
      <c r="K512" t="s">
        <v>27</v>
      </c>
      <c r="L512" t="s">
        <v>3154</v>
      </c>
      <c r="M512" t="s">
        <v>348</v>
      </c>
      <c r="N512" t="s">
        <v>773</v>
      </c>
      <c r="O512" t="s">
        <v>31</v>
      </c>
      <c r="P512" t="s">
        <v>3155</v>
      </c>
      <c r="Q512" t="s">
        <v>153</v>
      </c>
      <c r="R512" s="26" t="s">
        <v>365</v>
      </c>
      <c r="S512">
        <v>1</v>
      </c>
      <c r="T512">
        <v>3250</v>
      </c>
      <c r="U512">
        <v>0</v>
      </c>
      <c r="V512">
        <v>3250</v>
      </c>
    </row>
    <row r="513" spans="1:22" x14ac:dyDescent="0.3">
      <c r="A513">
        <v>80147</v>
      </c>
      <c r="B513">
        <v>456532622</v>
      </c>
      <c r="C513" t="s">
        <v>3156</v>
      </c>
      <c r="D513" s="9" t="s">
        <v>3157</v>
      </c>
      <c r="E513" t="s">
        <v>2901</v>
      </c>
      <c r="F513" t="s">
        <v>770</v>
      </c>
      <c r="G513" t="s">
        <v>28</v>
      </c>
      <c r="H513" t="s">
        <v>29</v>
      </c>
      <c r="I513" t="s">
        <v>34</v>
      </c>
      <c r="J513" t="s">
        <v>30</v>
      </c>
      <c r="K513" t="s">
        <v>27</v>
      </c>
      <c r="L513" t="s">
        <v>3158</v>
      </c>
      <c r="M513" t="s">
        <v>3159</v>
      </c>
      <c r="N513" t="s">
        <v>773</v>
      </c>
      <c r="O513" t="s">
        <v>31</v>
      </c>
      <c r="P513" t="s">
        <v>3160</v>
      </c>
      <c r="Q513" t="s">
        <v>73</v>
      </c>
      <c r="R513" s="26" t="s">
        <v>365</v>
      </c>
      <c r="S513">
        <v>1</v>
      </c>
      <c r="T513">
        <v>3653</v>
      </c>
      <c r="U513">
        <v>0</v>
      </c>
      <c r="V513">
        <v>3653</v>
      </c>
    </row>
    <row r="514" spans="1:22" x14ac:dyDescent="0.3">
      <c r="A514">
        <v>80147</v>
      </c>
      <c r="B514">
        <v>456532626</v>
      </c>
      <c r="C514" t="s">
        <v>3161</v>
      </c>
      <c r="D514" s="9" t="s">
        <v>3162</v>
      </c>
      <c r="E514" t="s">
        <v>2901</v>
      </c>
      <c r="F514" t="s">
        <v>770</v>
      </c>
      <c r="G514" t="s">
        <v>28</v>
      </c>
      <c r="H514" t="s">
        <v>29</v>
      </c>
      <c r="I514" t="s">
        <v>34</v>
      </c>
      <c r="J514" t="s">
        <v>30</v>
      </c>
      <c r="K514" t="s">
        <v>27</v>
      </c>
      <c r="L514" t="s">
        <v>3163</v>
      </c>
      <c r="M514" t="s">
        <v>650</v>
      </c>
      <c r="N514" t="s">
        <v>773</v>
      </c>
      <c r="O514" t="s">
        <v>31</v>
      </c>
      <c r="P514" t="s">
        <v>3164</v>
      </c>
      <c r="Q514" t="s">
        <v>135</v>
      </c>
      <c r="R514" s="26" t="s">
        <v>365</v>
      </c>
      <c r="S514">
        <v>1</v>
      </c>
      <c r="T514">
        <v>3250</v>
      </c>
      <c r="U514">
        <v>0</v>
      </c>
      <c r="V514">
        <v>3250</v>
      </c>
    </row>
    <row r="515" spans="1:22" x14ac:dyDescent="0.3">
      <c r="A515">
        <v>80147</v>
      </c>
      <c r="B515">
        <v>456497615</v>
      </c>
      <c r="C515" t="s">
        <v>3165</v>
      </c>
      <c r="D515" s="9" t="s">
        <v>3166</v>
      </c>
      <c r="E515" t="s">
        <v>2901</v>
      </c>
      <c r="F515" t="s">
        <v>770</v>
      </c>
      <c r="G515" t="s">
        <v>28</v>
      </c>
      <c r="H515" t="s">
        <v>29</v>
      </c>
      <c r="I515" t="s">
        <v>34</v>
      </c>
      <c r="J515" t="s">
        <v>30</v>
      </c>
      <c r="K515" t="s">
        <v>27</v>
      </c>
      <c r="L515" t="s">
        <v>3167</v>
      </c>
      <c r="M515" t="s">
        <v>631</v>
      </c>
      <c r="N515" t="s">
        <v>773</v>
      </c>
      <c r="O515" t="s">
        <v>31</v>
      </c>
      <c r="P515" t="s">
        <v>3168</v>
      </c>
      <c r="Q515" t="s">
        <v>42</v>
      </c>
      <c r="R515" s="26" t="s">
        <v>766</v>
      </c>
      <c r="S515">
        <v>5.6</v>
      </c>
      <c r="T515">
        <v>5564</v>
      </c>
      <c r="U515">
        <v>0</v>
      </c>
      <c r="V515">
        <v>5564</v>
      </c>
    </row>
    <row r="516" spans="1:22" x14ac:dyDescent="0.3">
      <c r="A516">
        <v>80147</v>
      </c>
      <c r="B516">
        <v>456351844</v>
      </c>
      <c r="C516" t="s">
        <v>3169</v>
      </c>
      <c r="D516" s="9" t="s">
        <v>3170</v>
      </c>
      <c r="E516" t="s">
        <v>2901</v>
      </c>
      <c r="F516" t="s">
        <v>770</v>
      </c>
      <c r="G516" t="s">
        <v>28</v>
      </c>
      <c r="H516" t="s">
        <v>29</v>
      </c>
      <c r="I516" t="s">
        <v>34</v>
      </c>
      <c r="J516" t="s">
        <v>30</v>
      </c>
      <c r="K516" t="s">
        <v>27</v>
      </c>
      <c r="L516" t="s">
        <v>3171</v>
      </c>
      <c r="M516" t="s">
        <v>3172</v>
      </c>
      <c r="N516" t="s">
        <v>773</v>
      </c>
      <c r="O516" t="s">
        <v>31</v>
      </c>
      <c r="P516" t="s">
        <v>3173</v>
      </c>
      <c r="Q516" t="s">
        <v>81</v>
      </c>
      <c r="R516" s="26" t="s">
        <v>3047</v>
      </c>
      <c r="S516">
        <v>1</v>
      </c>
      <c r="T516">
        <v>3935</v>
      </c>
      <c r="U516">
        <v>0</v>
      </c>
      <c r="V516">
        <v>3935</v>
      </c>
    </row>
    <row r="517" spans="1:22" x14ac:dyDescent="0.3">
      <c r="A517">
        <v>80147</v>
      </c>
      <c r="B517">
        <v>456474931</v>
      </c>
      <c r="C517" t="s">
        <v>3174</v>
      </c>
      <c r="D517" s="9" t="s">
        <v>3175</v>
      </c>
      <c r="E517" t="s">
        <v>2901</v>
      </c>
      <c r="F517" t="s">
        <v>770</v>
      </c>
      <c r="G517" t="s">
        <v>28</v>
      </c>
      <c r="H517" t="s">
        <v>29</v>
      </c>
      <c r="I517" t="s">
        <v>34</v>
      </c>
      <c r="J517" t="s">
        <v>30</v>
      </c>
      <c r="K517" t="s">
        <v>27</v>
      </c>
      <c r="L517" t="s">
        <v>3176</v>
      </c>
      <c r="M517" t="s">
        <v>3177</v>
      </c>
      <c r="N517" t="s">
        <v>773</v>
      </c>
      <c r="O517" t="s">
        <v>31</v>
      </c>
      <c r="P517" t="s">
        <v>3178</v>
      </c>
      <c r="Q517" t="s">
        <v>109</v>
      </c>
      <c r="R517" s="26" t="s">
        <v>3179</v>
      </c>
      <c r="S517">
        <v>1</v>
      </c>
      <c r="T517">
        <v>3250</v>
      </c>
      <c r="U517">
        <v>0</v>
      </c>
      <c r="V517">
        <v>3250</v>
      </c>
    </row>
    <row r="518" spans="1:22" x14ac:dyDescent="0.3">
      <c r="A518">
        <v>80147</v>
      </c>
      <c r="B518">
        <v>456409539</v>
      </c>
      <c r="C518" t="s">
        <v>3180</v>
      </c>
      <c r="D518" s="9" t="s">
        <v>3181</v>
      </c>
      <c r="E518" t="s">
        <v>2901</v>
      </c>
      <c r="F518" t="s">
        <v>770</v>
      </c>
      <c r="G518" t="s">
        <v>28</v>
      </c>
      <c r="H518" t="s">
        <v>29</v>
      </c>
      <c r="I518" t="s">
        <v>34</v>
      </c>
      <c r="J518" t="s">
        <v>30</v>
      </c>
      <c r="K518" t="s">
        <v>27</v>
      </c>
      <c r="L518" t="s">
        <v>502</v>
      </c>
      <c r="M518" t="s">
        <v>3182</v>
      </c>
      <c r="N518" t="s">
        <v>773</v>
      </c>
      <c r="O518" t="s">
        <v>31</v>
      </c>
      <c r="P518" t="s">
        <v>3183</v>
      </c>
      <c r="Q518" t="s">
        <v>88</v>
      </c>
      <c r="R518" s="26" t="s">
        <v>764</v>
      </c>
      <c r="S518">
        <v>1</v>
      </c>
      <c r="T518">
        <v>5024</v>
      </c>
      <c r="U518">
        <v>0</v>
      </c>
      <c r="V518">
        <v>5024</v>
      </c>
    </row>
    <row r="519" spans="1:22" x14ac:dyDescent="0.3">
      <c r="A519">
        <v>80147</v>
      </c>
      <c r="B519">
        <v>456474930</v>
      </c>
      <c r="C519" t="s">
        <v>3184</v>
      </c>
      <c r="D519" s="9" t="s">
        <v>3185</v>
      </c>
      <c r="E519" t="s">
        <v>2901</v>
      </c>
      <c r="F519" t="s">
        <v>770</v>
      </c>
      <c r="G519" t="s">
        <v>28</v>
      </c>
      <c r="H519" t="s">
        <v>29</v>
      </c>
      <c r="I519" t="s">
        <v>34</v>
      </c>
      <c r="J519" t="s">
        <v>30</v>
      </c>
      <c r="K519" t="s">
        <v>27</v>
      </c>
      <c r="L519" t="s">
        <v>3186</v>
      </c>
      <c r="M519" t="s">
        <v>3187</v>
      </c>
      <c r="N519" t="s">
        <v>773</v>
      </c>
      <c r="O519" t="s">
        <v>31</v>
      </c>
      <c r="P519" t="s">
        <v>3188</v>
      </c>
      <c r="Q519" t="s">
        <v>72</v>
      </c>
      <c r="R519" s="26" t="s">
        <v>3179</v>
      </c>
      <c r="S519">
        <v>5.9</v>
      </c>
      <c r="T519">
        <v>5564</v>
      </c>
      <c r="U519">
        <v>0</v>
      </c>
      <c r="V519">
        <v>5564</v>
      </c>
    </row>
    <row r="520" spans="1:22" x14ac:dyDescent="0.3">
      <c r="A520">
        <v>80147</v>
      </c>
      <c r="B520">
        <v>456351846</v>
      </c>
      <c r="C520" t="s">
        <v>3189</v>
      </c>
      <c r="D520" s="9" t="s">
        <v>3190</v>
      </c>
      <c r="E520" t="s">
        <v>2901</v>
      </c>
      <c r="F520" t="s">
        <v>770</v>
      </c>
      <c r="G520" t="s">
        <v>28</v>
      </c>
      <c r="H520" t="s">
        <v>29</v>
      </c>
      <c r="I520" t="s">
        <v>34</v>
      </c>
      <c r="J520" t="s">
        <v>30</v>
      </c>
      <c r="K520" t="s">
        <v>27</v>
      </c>
      <c r="L520" t="s">
        <v>3191</v>
      </c>
      <c r="M520" t="s">
        <v>3192</v>
      </c>
      <c r="N520" t="s">
        <v>773</v>
      </c>
      <c r="O520" t="s">
        <v>31</v>
      </c>
      <c r="P520" t="s">
        <v>3193</v>
      </c>
      <c r="Q520" t="s">
        <v>73</v>
      </c>
      <c r="R520" s="26" t="s">
        <v>3047</v>
      </c>
      <c r="S520">
        <v>5.9</v>
      </c>
      <c r="T520">
        <v>5295</v>
      </c>
      <c r="U520">
        <v>0</v>
      </c>
      <c r="V520">
        <v>5295</v>
      </c>
    </row>
    <row r="521" spans="1:22" x14ac:dyDescent="0.3">
      <c r="A521">
        <v>80147</v>
      </c>
      <c r="B521">
        <v>456409546</v>
      </c>
      <c r="C521" t="s">
        <v>3194</v>
      </c>
      <c r="D521" s="9" t="s">
        <v>3195</v>
      </c>
      <c r="E521" t="s">
        <v>2901</v>
      </c>
      <c r="F521" t="s">
        <v>770</v>
      </c>
      <c r="G521" t="s">
        <v>28</v>
      </c>
      <c r="H521" t="s">
        <v>29</v>
      </c>
      <c r="I521" t="s">
        <v>34</v>
      </c>
      <c r="J521" t="s">
        <v>30</v>
      </c>
      <c r="K521" t="s">
        <v>27</v>
      </c>
      <c r="L521" t="s">
        <v>3196</v>
      </c>
      <c r="M521" t="s">
        <v>3197</v>
      </c>
      <c r="N521" t="s">
        <v>773</v>
      </c>
      <c r="O521" t="s">
        <v>31</v>
      </c>
      <c r="P521" t="s">
        <v>3198</v>
      </c>
      <c r="Q521" t="s">
        <v>132</v>
      </c>
      <c r="R521" s="26" t="s">
        <v>764</v>
      </c>
      <c r="S521">
        <v>6.1</v>
      </c>
      <c r="T521">
        <v>6114</v>
      </c>
      <c r="U521">
        <v>0</v>
      </c>
      <c r="V521">
        <v>6114</v>
      </c>
    </row>
    <row r="522" spans="1:22" x14ac:dyDescent="0.3">
      <c r="A522">
        <v>80147</v>
      </c>
      <c r="B522">
        <v>456409545</v>
      </c>
      <c r="C522" t="s">
        <v>3199</v>
      </c>
      <c r="D522" s="9" t="s">
        <v>3200</v>
      </c>
      <c r="E522" t="s">
        <v>2901</v>
      </c>
      <c r="F522" t="s">
        <v>770</v>
      </c>
      <c r="G522" t="s">
        <v>28</v>
      </c>
      <c r="H522" t="s">
        <v>29</v>
      </c>
      <c r="I522" t="s">
        <v>34</v>
      </c>
      <c r="J522" t="s">
        <v>30</v>
      </c>
      <c r="K522" t="s">
        <v>27</v>
      </c>
      <c r="L522" t="s">
        <v>3201</v>
      </c>
      <c r="M522" t="s">
        <v>333</v>
      </c>
      <c r="N522" t="s">
        <v>773</v>
      </c>
      <c r="O522" t="s">
        <v>31</v>
      </c>
      <c r="P522" t="s">
        <v>3202</v>
      </c>
      <c r="Q522" t="s">
        <v>85</v>
      </c>
      <c r="R522" s="26" t="s">
        <v>764</v>
      </c>
      <c r="S522">
        <v>6</v>
      </c>
      <c r="T522">
        <v>5564</v>
      </c>
      <c r="U522">
        <v>0</v>
      </c>
      <c r="V522">
        <v>5564</v>
      </c>
    </row>
    <row r="523" spans="1:22" x14ac:dyDescent="0.3">
      <c r="A523">
        <v>80147</v>
      </c>
      <c r="B523">
        <v>456409557</v>
      </c>
      <c r="C523" t="s">
        <v>3203</v>
      </c>
      <c r="D523" s="9" t="s">
        <v>3204</v>
      </c>
      <c r="E523" t="s">
        <v>2901</v>
      </c>
      <c r="F523" t="s">
        <v>770</v>
      </c>
      <c r="G523" t="s">
        <v>28</v>
      </c>
      <c r="H523" t="s">
        <v>29</v>
      </c>
      <c r="I523" t="s">
        <v>34</v>
      </c>
      <c r="J523" t="s">
        <v>30</v>
      </c>
      <c r="K523" t="s">
        <v>27</v>
      </c>
      <c r="L523" t="s">
        <v>3205</v>
      </c>
      <c r="M523" t="s">
        <v>3206</v>
      </c>
      <c r="N523" t="s">
        <v>773</v>
      </c>
      <c r="O523" t="s">
        <v>31</v>
      </c>
      <c r="P523" t="s">
        <v>3207</v>
      </c>
      <c r="Q523" t="s">
        <v>85</v>
      </c>
      <c r="R523" s="26" t="s">
        <v>764</v>
      </c>
      <c r="S523">
        <v>1</v>
      </c>
      <c r="T523">
        <v>3631</v>
      </c>
      <c r="U523">
        <v>0</v>
      </c>
      <c r="V523">
        <v>3631</v>
      </c>
    </row>
    <row r="524" spans="1:22" x14ac:dyDescent="0.3">
      <c r="A524">
        <v>80147</v>
      </c>
      <c r="B524">
        <v>455658925</v>
      </c>
      <c r="C524" t="s">
        <v>3208</v>
      </c>
      <c r="D524" s="9" t="s">
        <v>3209</v>
      </c>
      <c r="E524" t="s">
        <v>2901</v>
      </c>
      <c r="F524" t="s">
        <v>770</v>
      </c>
      <c r="G524" t="s">
        <v>28</v>
      </c>
      <c r="H524" t="s">
        <v>29</v>
      </c>
      <c r="I524" t="s">
        <v>34</v>
      </c>
      <c r="J524" t="s">
        <v>30</v>
      </c>
      <c r="K524" t="s">
        <v>27</v>
      </c>
      <c r="L524" t="s">
        <v>3210</v>
      </c>
      <c r="M524" t="s">
        <v>3211</v>
      </c>
      <c r="N524" t="s">
        <v>773</v>
      </c>
      <c r="O524" t="s">
        <v>31</v>
      </c>
      <c r="P524" t="s">
        <v>3212</v>
      </c>
      <c r="Q524" t="s">
        <v>197</v>
      </c>
      <c r="R524" s="26" t="s">
        <v>722</v>
      </c>
      <c r="S524">
        <v>6.5</v>
      </c>
      <c r="T524">
        <v>11027</v>
      </c>
      <c r="U524">
        <v>0</v>
      </c>
      <c r="V524">
        <v>11027</v>
      </c>
    </row>
    <row r="525" spans="1:22" x14ac:dyDescent="0.3">
      <c r="A525">
        <v>80147</v>
      </c>
      <c r="B525">
        <v>456092256</v>
      </c>
      <c r="C525" t="s">
        <v>3213</v>
      </c>
      <c r="D525" s="9" t="s">
        <v>3214</v>
      </c>
      <c r="E525" t="s">
        <v>2901</v>
      </c>
      <c r="F525" t="s">
        <v>770</v>
      </c>
      <c r="G525" t="s">
        <v>28</v>
      </c>
      <c r="H525" t="s">
        <v>29</v>
      </c>
      <c r="I525" t="s">
        <v>34</v>
      </c>
      <c r="J525" t="s">
        <v>30</v>
      </c>
      <c r="K525" t="s">
        <v>27</v>
      </c>
      <c r="L525" t="s">
        <v>3215</v>
      </c>
      <c r="M525" t="s">
        <v>3216</v>
      </c>
      <c r="N525" t="s">
        <v>773</v>
      </c>
      <c r="O525" t="s">
        <v>31</v>
      </c>
      <c r="P525" t="s">
        <v>3217</v>
      </c>
      <c r="Q525" t="s">
        <v>41</v>
      </c>
      <c r="R525" s="26" t="s">
        <v>356</v>
      </c>
      <c r="S525">
        <v>0.8</v>
      </c>
      <c r="T525">
        <v>3935</v>
      </c>
      <c r="U525">
        <v>0</v>
      </c>
      <c r="V525">
        <v>3935</v>
      </c>
    </row>
    <row r="526" spans="1:22" x14ac:dyDescent="0.3">
      <c r="A526">
        <v>80147</v>
      </c>
      <c r="B526">
        <v>456272632</v>
      </c>
      <c r="C526" t="s">
        <v>3218</v>
      </c>
      <c r="D526" s="9" t="s">
        <v>3219</v>
      </c>
      <c r="E526" t="s">
        <v>2901</v>
      </c>
      <c r="F526" t="s">
        <v>770</v>
      </c>
      <c r="G526" t="s">
        <v>28</v>
      </c>
      <c r="H526" t="s">
        <v>29</v>
      </c>
      <c r="I526" t="s">
        <v>34</v>
      </c>
      <c r="J526" t="s">
        <v>30</v>
      </c>
      <c r="K526" t="s">
        <v>27</v>
      </c>
      <c r="L526" t="s">
        <v>3220</v>
      </c>
      <c r="M526" t="s">
        <v>3221</v>
      </c>
      <c r="N526" t="s">
        <v>773</v>
      </c>
      <c r="O526" t="s">
        <v>31</v>
      </c>
      <c r="P526" t="s">
        <v>3222</v>
      </c>
      <c r="Q526" t="s">
        <v>151</v>
      </c>
      <c r="R526" s="26" t="s">
        <v>393</v>
      </c>
      <c r="S526">
        <v>1</v>
      </c>
      <c r="T526">
        <v>3250</v>
      </c>
      <c r="U526">
        <v>0</v>
      </c>
      <c r="V526">
        <v>3250</v>
      </c>
    </row>
    <row r="527" spans="1:22" x14ac:dyDescent="0.3">
      <c r="A527">
        <v>80147</v>
      </c>
      <c r="B527">
        <v>456272627</v>
      </c>
      <c r="C527" t="s">
        <v>3223</v>
      </c>
      <c r="D527" s="9" t="s">
        <v>3224</v>
      </c>
      <c r="E527" t="s">
        <v>2901</v>
      </c>
      <c r="F527" t="s">
        <v>770</v>
      </c>
      <c r="G527" t="s">
        <v>28</v>
      </c>
      <c r="H527" t="s">
        <v>29</v>
      </c>
      <c r="I527" t="s">
        <v>34</v>
      </c>
      <c r="J527" t="s">
        <v>30</v>
      </c>
      <c r="K527" t="s">
        <v>27</v>
      </c>
      <c r="L527" t="s">
        <v>3225</v>
      </c>
      <c r="M527" t="s">
        <v>327</v>
      </c>
      <c r="N527" t="s">
        <v>773</v>
      </c>
      <c r="O527" t="s">
        <v>31</v>
      </c>
      <c r="P527" t="s">
        <v>3226</v>
      </c>
      <c r="Q527" t="s">
        <v>68</v>
      </c>
      <c r="R527" s="26" t="s">
        <v>393</v>
      </c>
      <c r="S527">
        <v>3</v>
      </c>
      <c r="T527">
        <v>5564</v>
      </c>
      <c r="U527">
        <v>0</v>
      </c>
      <c r="V527">
        <v>5564</v>
      </c>
    </row>
    <row r="528" spans="1:22" x14ac:dyDescent="0.3">
      <c r="A528">
        <v>80147</v>
      </c>
      <c r="B528">
        <v>455249063</v>
      </c>
      <c r="C528" t="s">
        <v>3227</v>
      </c>
      <c r="D528" s="9" t="s">
        <v>3228</v>
      </c>
      <c r="E528" t="s">
        <v>2901</v>
      </c>
      <c r="F528" t="s">
        <v>770</v>
      </c>
      <c r="G528" t="s">
        <v>28</v>
      </c>
      <c r="H528" t="s">
        <v>29</v>
      </c>
      <c r="I528" t="s">
        <v>34</v>
      </c>
      <c r="J528" t="s">
        <v>30</v>
      </c>
      <c r="K528" t="s">
        <v>27</v>
      </c>
      <c r="L528" t="s">
        <v>3229</v>
      </c>
      <c r="M528" t="s">
        <v>622</v>
      </c>
      <c r="N528" t="s">
        <v>773</v>
      </c>
      <c r="O528" t="s">
        <v>31</v>
      </c>
      <c r="P528" t="s">
        <v>3230</v>
      </c>
      <c r="Q528" t="s">
        <v>175</v>
      </c>
      <c r="R528" s="26" t="s">
        <v>3231</v>
      </c>
      <c r="S528">
        <v>1</v>
      </c>
      <c r="T528">
        <v>5564</v>
      </c>
      <c r="U528">
        <v>0</v>
      </c>
      <c r="V528">
        <v>5564</v>
      </c>
    </row>
    <row r="529" spans="1:22" x14ac:dyDescent="0.3">
      <c r="A529">
        <v>80147</v>
      </c>
      <c r="B529">
        <v>456409559</v>
      </c>
      <c r="C529" t="s">
        <v>3232</v>
      </c>
      <c r="D529" s="9" t="s">
        <v>3233</v>
      </c>
      <c r="E529" t="s">
        <v>2901</v>
      </c>
      <c r="F529" t="s">
        <v>770</v>
      </c>
      <c r="G529" t="s">
        <v>28</v>
      </c>
      <c r="H529" t="s">
        <v>29</v>
      </c>
      <c r="I529" t="s">
        <v>34</v>
      </c>
      <c r="J529" t="s">
        <v>30</v>
      </c>
      <c r="K529" t="s">
        <v>27</v>
      </c>
      <c r="L529" t="s">
        <v>3234</v>
      </c>
      <c r="M529" t="s">
        <v>3235</v>
      </c>
      <c r="N529" t="s">
        <v>773</v>
      </c>
      <c r="O529" t="s">
        <v>31</v>
      </c>
      <c r="P529" t="s">
        <v>3236</v>
      </c>
      <c r="Q529" t="s">
        <v>72</v>
      </c>
      <c r="R529" s="26" t="s">
        <v>764</v>
      </c>
      <c r="S529">
        <v>5.9</v>
      </c>
      <c r="T529">
        <v>5564</v>
      </c>
      <c r="U529">
        <v>0</v>
      </c>
      <c r="V529">
        <v>5564</v>
      </c>
    </row>
    <row r="530" spans="1:22" x14ac:dyDescent="0.3">
      <c r="A530">
        <v>80147</v>
      </c>
      <c r="B530">
        <v>456272629</v>
      </c>
      <c r="C530" t="s">
        <v>3237</v>
      </c>
      <c r="D530" s="9" t="s">
        <v>3238</v>
      </c>
      <c r="E530" t="s">
        <v>2901</v>
      </c>
      <c r="F530" t="s">
        <v>770</v>
      </c>
      <c r="G530" t="s">
        <v>28</v>
      </c>
      <c r="H530" t="s">
        <v>29</v>
      </c>
      <c r="I530" t="s">
        <v>34</v>
      </c>
      <c r="J530" t="s">
        <v>30</v>
      </c>
      <c r="K530" t="s">
        <v>27</v>
      </c>
      <c r="L530" t="s">
        <v>3239</v>
      </c>
      <c r="M530" t="s">
        <v>3240</v>
      </c>
      <c r="N530" t="s">
        <v>773</v>
      </c>
      <c r="O530" t="s">
        <v>31</v>
      </c>
      <c r="P530" t="s">
        <v>3241</v>
      </c>
      <c r="Q530" t="s">
        <v>72</v>
      </c>
      <c r="R530" s="26" t="s">
        <v>393</v>
      </c>
      <c r="S530">
        <v>6</v>
      </c>
      <c r="T530">
        <v>5564</v>
      </c>
      <c r="U530">
        <v>0</v>
      </c>
      <c r="V530">
        <v>5564</v>
      </c>
    </row>
    <row r="531" spans="1:22" x14ac:dyDescent="0.3">
      <c r="A531">
        <v>80147</v>
      </c>
      <c r="B531">
        <v>456092224</v>
      </c>
      <c r="C531" t="s">
        <v>3242</v>
      </c>
      <c r="D531" s="9" t="s">
        <v>3243</v>
      </c>
      <c r="E531" t="s">
        <v>2901</v>
      </c>
      <c r="F531" t="s">
        <v>770</v>
      </c>
      <c r="G531" t="s">
        <v>28</v>
      </c>
      <c r="H531" t="s">
        <v>29</v>
      </c>
      <c r="I531" t="s">
        <v>34</v>
      </c>
      <c r="J531" t="s">
        <v>30</v>
      </c>
      <c r="K531" t="s">
        <v>27</v>
      </c>
      <c r="L531" t="s">
        <v>3244</v>
      </c>
      <c r="M531" t="s">
        <v>3245</v>
      </c>
      <c r="N531" t="s">
        <v>773</v>
      </c>
      <c r="O531" t="s">
        <v>31</v>
      </c>
      <c r="P531" t="s">
        <v>3246</v>
      </c>
      <c r="Q531" t="s">
        <v>118</v>
      </c>
      <c r="R531" s="26" t="s">
        <v>356</v>
      </c>
      <c r="S531">
        <v>5.7</v>
      </c>
      <c r="T531">
        <v>6114</v>
      </c>
      <c r="U531">
        <v>0</v>
      </c>
      <c r="V531">
        <v>6114</v>
      </c>
    </row>
    <row r="532" spans="1:22" x14ac:dyDescent="0.3">
      <c r="A532">
        <v>80147</v>
      </c>
      <c r="B532">
        <v>456272654</v>
      </c>
      <c r="C532" t="s">
        <v>3247</v>
      </c>
      <c r="D532" s="9" t="s">
        <v>3248</v>
      </c>
      <c r="E532" t="s">
        <v>2901</v>
      </c>
      <c r="F532" t="s">
        <v>770</v>
      </c>
      <c r="G532" t="s">
        <v>28</v>
      </c>
      <c r="H532" t="s">
        <v>29</v>
      </c>
      <c r="I532" t="s">
        <v>34</v>
      </c>
      <c r="J532" t="s">
        <v>30</v>
      </c>
      <c r="K532" t="s">
        <v>27</v>
      </c>
      <c r="L532" t="s">
        <v>3249</v>
      </c>
      <c r="M532" t="s">
        <v>530</v>
      </c>
      <c r="N532" t="s">
        <v>773</v>
      </c>
      <c r="O532" t="s">
        <v>31</v>
      </c>
      <c r="P532" t="s">
        <v>3250</v>
      </c>
      <c r="Q532" t="s">
        <v>164</v>
      </c>
      <c r="R532" s="26" t="s">
        <v>393</v>
      </c>
      <c r="S532">
        <v>0.8</v>
      </c>
      <c r="T532">
        <v>3250</v>
      </c>
      <c r="U532">
        <v>0</v>
      </c>
      <c r="V532">
        <v>3250</v>
      </c>
    </row>
    <row r="533" spans="1:22" x14ac:dyDescent="0.3">
      <c r="A533">
        <v>80147</v>
      </c>
      <c r="B533">
        <v>456092164</v>
      </c>
      <c r="C533" t="s">
        <v>3251</v>
      </c>
      <c r="D533" s="9" t="s">
        <v>3252</v>
      </c>
      <c r="E533" t="s">
        <v>2901</v>
      </c>
      <c r="F533" t="s">
        <v>770</v>
      </c>
      <c r="G533" t="s">
        <v>28</v>
      </c>
      <c r="H533" t="s">
        <v>29</v>
      </c>
      <c r="I533" t="s">
        <v>34</v>
      </c>
      <c r="J533" t="s">
        <v>30</v>
      </c>
      <c r="K533" t="s">
        <v>27</v>
      </c>
      <c r="L533" t="s">
        <v>3253</v>
      </c>
      <c r="M533" t="s">
        <v>3254</v>
      </c>
      <c r="N533" t="s">
        <v>773</v>
      </c>
      <c r="O533" t="s">
        <v>31</v>
      </c>
      <c r="P533" t="s">
        <v>3255</v>
      </c>
      <c r="Q533" t="s">
        <v>88</v>
      </c>
      <c r="R533" s="26" t="s">
        <v>356</v>
      </c>
      <c r="S533">
        <v>1</v>
      </c>
      <c r="T533">
        <v>5024</v>
      </c>
      <c r="U533">
        <v>0</v>
      </c>
      <c r="V533">
        <v>5024</v>
      </c>
    </row>
    <row r="534" spans="1:22" x14ac:dyDescent="0.3">
      <c r="A534">
        <v>80147</v>
      </c>
      <c r="B534">
        <v>456092235</v>
      </c>
      <c r="C534" t="s">
        <v>3256</v>
      </c>
      <c r="D534" s="9" t="s">
        <v>3257</v>
      </c>
      <c r="E534" t="s">
        <v>2901</v>
      </c>
      <c r="F534" t="s">
        <v>770</v>
      </c>
      <c r="G534" t="s">
        <v>28</v>
      </c>
      <c r="H534" t="s">
        <v>29</v>
      </c>
      <c r="I534" t="s">
        <v>34</v>
      </c>
      <c r="J534" t="s">
        <v>30</v>
      </c>
      <c r="K534" t="s">
        <v>27</v>
      </c>
      <c r="L534" t="s">
        <v>3258</v>
      </c>
      <c r="M534" t="s">
        <v>3259</v>
      </c>
      <c r="N534" t="s">
        <v>773</v>
      </c>
      <c r="O534" t="s">
        <v>31</v>
      </c>
      <c r="P534" t="s">
        <v>3260</v>
      </c>
      <c r="Q534" t="s">
        <v>256</v>
      </c>
      <c r="R534" s="26" t="s">
        <v>356</v>
      </c>
      <c r="S534">
        <v>5.4</v>
      </c>
      <c r="T534">
        <v>6030</v>
      </c>
      <c r="U534">
        <v>0</v>
      </c>
      <c r="V534">
        <v>6030</v>
      </c>
    </row>
    <row r="535" spans="1:22" x14ac:dyDescent="0.3">
      <c r="A535">
        <v>80147</v>
      </c>
      <c r="B535">
        <v>456092223</v>
      </c>
      <c r="C535" t="s">
        <v>3261</v>
      </c>
      <c r="D535" s="9" t="s">
        <v>3262</v>
      </c>
      <c r="E535" t="s">
        <v>2901</v>
      </c>
      <c r="F535" t="s">
        <v>770</v>
      </c>
      <c r="G535" t="s">
        <v>28</v>
      </c>
      <c r="H535" t="s">
        <v>29</v>
      </c>
      <c r="I535" t="s">
        <v>34</v>
      </c>
      <c r="J535" t="s">
        <v>30</v>
      </c>
      <c r="K535" t="s">
        <v>27</v>
      </c>
      <c r="L535" t="s">
        <v>3263</v>
      </c>
      <c r="M535" t="s">
        <v>626</v>
      </c>
      <c r="N535" t="s">
        <v>773</v>
      </c>
      <c r="O535" t="s">
        <v>31</v>
      </c>
      <c r="P535" t="s">
        <v>3264</v>
      </c>
      <c r="Q535" t="s">
        <v>94</v>
      </c>
      <c r="R535" s="26" t="s">
        <v>356</v>
      </c>
      <c r="S535">
        <v>5.2</v>
      </c>
      <c r="T535">
        <v>6114</v>
      </c>
      <c r="U535">
        <v>0</v>
      </c>
      <c r="V535">
        <v>6114</v>
      </c>
    </row>
    <row r="536" spans="1:22" x14ac:dyDescent="0.3">
      <c r="A536">
        <v>80147</v>
      </c>
      <c r="B536">
        <v>456092177</v>
      </c>
      <c r="C536" t="s">
        <v>3265</v>
      </c>
      <c r="D536" s="9" t="s">
        <v>3266</v>
      </c>
      <c r="E536" t="s">
        <v>2901</v>
      </c>
      <c r="F536" t="s">
        <v>770</v>
      </c>
      <c r="G536" t="s">
        <v>28</v>
      </c>
      <c r="H536" t="s">
        <v>29</v>
      </c>
      <c r="I536" t="s">
        <v>34</v>
      </c>
      <c r="J536" t="s">
        <v>30</v>
      </c>
      <c r="K536" t="s">
        <v>27</v>
      </c>
      <c r="L536" t="s">
        <v>3267</v>
      </c>
      <c r="M536" t="s">
        <v>3268</v>
      </c>
      <c r="N536" t="s">
        <v>773</v>
      </c>
      <c r="O536" t="s">
        <v>31</v>
      </c>
      <c r="P536" t="s">
        <v>3269</v>
      </c>
      <c r="Q536" t="s">
        <v>120</v>
      </c>
      <c r="R536" s="26" t="s">
        <v>356</v>
      </c>
      <c r="S536">
        <v>1</v>
      </c>
      <c r="T536">
        <v>5295</v>
      </c>
      <c r="U536">
        <v>0</v>
      </c>
      <c r="V536">
        <v>5295</v>
      </c>
    </row>
    <row r="537" spans="1:22" x14ac:dyDescent="0.3">
      <c r="A537">
        <v>80147</v>
      </c>
      <c r="B537">
        <v>456272642</v>
      </c>
      <c r="C537" t="s">
        <v>3270</v>
      </c>
      <c r="D537" s="9" t="s">
        <v>3271</v>
      </c>
      <c r="E537" t="s">
        <v>2901</v>
      </c>
      <c r="F537" t="s">
        <v>770</v>
      </c>
      <c r="G537" t="s">
        <v>28</v>
      </c>
      <c r="H537" t="s">
        <v>29</v>
      </c>
      <c r="I537" t="s">
        <v>34</v>
      </c>
      <c r="J537" t="s">
        <v>30</v>
      </c>
      <c r="K537" t="s">
        <v>27</v>
      </c>
      <c r="L537" t="s">
        <v>3272</v>
      </c>
      <c r="M537" t="s">
        <v>3273</v>
      </c>
      <c r="N537" t="s">
        <v>773</v>
      </c>
      <c r="O537" t="s">
        <v>31</v>
      </c>
      <c r="P537" t="s">
        <v>3274</v>
      </c>
      <c r="Q537" t="s">
        <v>341</v>
      </c>
      <c r="R537" s="26" t="s">
        <v>393</v>
      </c>
      <c r="S537">
        <v>4.5</v>
      </c>
      <c r="T537">
        <v>4935</v>
      </c>
      <c r="U537">
        <v>0</v>
      </c>
      <c r="V537">
        <v>4935</v>
      </c>
    </row>
    <row r="538" spans="1:22" x14ac:dyDescent="0.3">
      <c r="A538">
        <v>80147</v>
      </c>
      <c r="B538">
        <v>456272637</v>
      </c>
      <c r="C538" t="s">
        <v>3275</v>
      </c>
      <c r="D538" s="9" t="s">
        <v>3276</v>
      </c>
      <c r="E538" t="s">
        <v>2901</v>
      </c>
      <c r="F538" t="s">
        <v>770</v>
      </c>
      <c r="G538" t="s">
        <v>28</v>
      </c>
      <c r="H538" t="s">
        <v>29</v>
      </c>
      <c r="I538" t="s">
        <v>34</v>
      </c>
      <c r="J538" t="s">
        <v>30</v>
      </c>
      <c r="K538" t="s">
        <v>27</v>
      </c>
      <c r="L538" t="s">
        <v>3277</v>
      </c>
      <c r="M538" t="s">
        <v>3278</v>
      </c>
      <c r="N538" t="s">
        <v>773</v>
      </c>
      <c r="O538" t="s">
        <v>31</v>
      </c>
      <c r="P538" t="s">
        <v>3279</v>
      </c>
      <c r="Q538" t="s">
        <v>109</v>
      </c>
      <c r="R538" s="26" t="s">
        <v>393</v>
      </c>
      <c r="S538">
        <v>5.5</v>
      </c>
      <c r="T538">
        <v>5024</v>
      </c>
      <c r="U538">
        <v>0</v>
      </c>
      <c r="V538">
        <v>5024</v>
      </c>
    </row>
    <row r="539" spans="1:22" x14ac:dyDescent="0.3">
      <c r="A539">
        <v>80147</v>
      </c>
      <c r="B539">
        <v>456092257</v>
      </c>
      <c r="C539" t="s">
        <v>3280</v>
      </c>
      <c r="D539" s="9" t="s">
        <v>3281</v>
      </c>
      <c r="E539" t="s">
        <v>2901</v>
      </c>
      <c r="F539" t="s">
        <v>770</v>
      </c>
      <c r="G539" t="s">
        <v>28</v>
      </c>
      <c r="H539" t="s">
        <v>29</v>
      </c>
      <c r="I539" t="s">
        <v>34</v>
      </c>
      <c r="J539" t="s">
        <v>30</v>
      </c>
      <c r="K539" t="s">
        <v>27</v>
      </c>
      <c r="L539" t="s">
        <v>3282</v>
      </c>
      <c r="M539" t="s">
        <v>3283</v>
      </c>
      <c r="N539" t="s">
        <v>773</v>
      </c>
      <c r="O539" t="s">
        <v>31</v>
      </c>
      <c r="P539" t="s">
        <v>3284</v>
      </c>
      <c r="Q539" t="s">
        <v>119</v>
      </c>
      <c r="R539" s="26" t="s">
        <v>356</v>
      </c>
      <c r="S539">
        <v>6.3</v>
      </c>
      <c r="T539">
        <v>6655</v>
      </c>
      <c r="U539">
        <v>0</v>
      </c>
      <c r="V539">
        <v>6655</v>
      </c>
    </row>
    <row r="540" spans="1:22" x14ac:dyDescent="0.3">
      <c r="A540">
        <v>80147</v>
      </c>
      <c r="B540">
        <v>456092211</v>
      </c>
      <c r="C540" t="s">
        <v>3285</v>
      </c>
      <c r="D540" s="9" t="s">
        <v>3286</v>
      </c>
      <c r="E540" t="s">
        <v>2901</v>
      </c>
      <c r="F540" t="s">
        <v>770</v>
      </c>
      <c r="G540" t="s">
        <v>28</v>
      </c>
      <c r="H540" t="s">
        <v>29</v>
      </c>
      <c r="I540" t="s">
        <v>34</v>
      </c>
      <c r="J540" t="s">
        <v>30</v>
      </c>
      <c r="K540" t="s">
        <v>27</v>
      </c>
      <c r="L540" t="s">
        <v>3287</v>
      </c>
      <c r="M540" t="s">
        <v>3288</v>
      </c>
      <c r="N540" t="s">
        <v>773</v>
      </c>
      <c r="O540" t="s">
        <v>31</v>
      </c>
      <c r="P540" t="s">
        <v>3289</v>
      </c>
      <c r="Q540" t="s">
        <v>73</v>
      </c>
      <c r="R540" s="26" t="s">
        <v>356</v>
      </c>
      <c r="S540">
        <v>5.3</v>
      </c>
      <c r="T540">
        <v>5295</v>
      </c>
      <c r="U540">
        <v>0</v>
      </c>
      <c r="V540">
        <v>5295</v>
      </c>
    </row>
    <row r="541" spans="1:22" x14ac:dyDescent="0.3">
      <c r="A541">
        <v>80147</v>
      </c>
      <c r="B541">
        <v>456092336</v>
      </c>
      <c r="C541" t="s">
        <v>3290</v>
      </c>
      <c r="D541" s="9" t="s">
        <v>3291</v>
      </c>
      <c r="E541" t="s">
        <v>2901</v>
      </c>
      <c r="F541" t="s">
        <v>770</v>
      </c>
      <c r="G541" t="s">
        <v>28</v>
      </c>
      <c r="H541" t="s">
        <v>29</v>
      </c>
      <c r="I541" t="s">
        <v>34</v>
      </c>
      <c r="J541" t="s">
        <v>30</v>
      </c>
      <c r="K541" t="s">
        <v>27</v>
      </c>
      <c r="L541" t="s">
        <v>3292</v>
      </c>
      <c r="M541" t="s">
        <v>3293</v>
      </c>
      <c r="N541" t="s">
        <v>773</v>
      </c>
      <c r="O541" t="s">
        <v>31</v>
      </c>
      <c r="P541" t="s">
        <v>3294</v>
      </c>
      <c r="Q541" t="s">
        <v>125</v>
      </c>
      <c r="R541" s="26" t="s">
        <v>370</v>
      </c>
      <c r="S541">
        <v>5.7</v>
      </c>
      <c r="T541">
        <v>5295</v>
      </c>
      <c r="U541">
        <v>0</v>
      </c>
      <c r="V541">
        <v>5295</v>
      </c>
    </row>
    <row r="542" spans="1:22" x14ac:dyDescent="0.3">
      <c r="A542">
        <v>80147</v>
      </c>
      <c r="B542">
        <v>456092152</v>
      </c>
      <c r="C542" t="s">
        <v>3295</v>
      </c>
      <c r="D542" s="9" t="s">
        <v>3296</v>
      </c>
      <c r="E542" t="s">
        <v>2901</v>
      </c>
      <c r="F542" t="s">
        <v>770</v>
      </c>
      <c r="G542" t="s">
        <v>28</v>
      </c>
      <c r="H542" t="s">
        <v>29</v>
      </c>
      <c r="I542" t="s">
        <v>34</v>
      </c>
      <c r="J542" t="s">
        <v>30</v>
      </c>
      <c r="K542" t="s">
        <v>27</v>
      </c>
      <c r="L542" t="s">
        <v>3297</v>
      </c>
      <c r="M542" t="s">
        <v>3298</v>
      </c>
      <c r="N542" t="s">
        <v>773</v>
      </c>
      <c r="O542" t="s">
        <v>31</v>
      </c>
      <c r="P542" t="s">
        <v>3299</v>
      </c>
      <c r="Q542" t="s">
        <v>195</v>
      </c>
      <c r="R542" s="26" t="s">
        <v>356</v>
      </c>
      <c r="S542">
        <v>1</v>
      </c>
      <c r="T542">
        <v>3935</v>
      </c>
      <c r="U542">
        <v>0</v>
      </c>
      <c r="V542">
        <v>3935</v>
      </c>
    </row>
    <row r="543" spans="1:22" x14ac:dyDescent="0.3">
      <c r="A543">
        <v>80147</v>
      </c>
      <c r="B543">
        <v>456272650</v>
      </c>
      <c r="C543" t="s">
        <v>3300</v>
      </c>
      <c r="D543" s="9" t="s">
        <v>3301</v>
      </c>
      <c r="E543" t="s">
        <v>2901</v>
      </c>
      <c r="F543" t="s">
        <v>770</v>
      </c>
      <c r="G543" t="s">
        <v>28</v>
      </c>
      <c r="H543" t="s">
        <v>29</v>
      </c>
      <c r="I543" t="s">
        <v>34</v>
      </c>
      <c r="J543" t="s">
        <v>30</v>
      </c>
      <c r="K543" t="s">
        <v>27</v>
      </c>
      <c r="L543" t="s">
        <v>3302</v>
      </c>
      <c r="M543" t="s">
        <v>3303</v>
      </c>
      <c r="N543" t="s">
        <v>773</v>
      </c>
      <c r="O543" t="s">
        <v>31</v>
      </c>
      <c r="P543" t="s">
        <v>3304</v>
      </c>
      <c r="Q543" t="s">
        <v>135</v>
      </c>
      <c r="R543" s="26" t="s">
        <v>393</v>
      </c>
      <c r="S543">
        <v>5.3</v>
      </c>
      <c r="T543">
        <v>5024</v>
      </c>
      <c r="U543">
        <v>0</v>
      </c>
      <c r="V543">
        <v>5024</v>
      </c>
    </row>
    <row r="544" spans="1:22" x14ac:dyDescent="0.3">
      <c r="A544">
        <v>80147</v>
      </c>
      <c r="B544">
        <v>456092220</v>
      </c>
      <c r="C544" t="s">
        <v>3305</v>
      </c>
      <c r="D544" s="9" t="s">
        <v>3306</v>
      </c>
      <c r="E544" t="s">
        <v>2901</v>
      </c>
      <c r="F544" t="s">
        <v>770</v>
      </c>
      <c r="G544" t="s">
        <v>28</v>
      </c>
      <c r="H544" t="s">
        <v>29</v>
      </c>
      <c r="I544" t="s">
        <v>34</v>
      </c>
      <c r="J544" t="s">
        <v>30</v>
      </c>
      <c r="K544" t="s">
        <v>60</v>
      </c>
      <c r="L544" t="s">
        <v>157</v>
      </c>
      <c r="M544" t="s">
        <v>3307</v>
      </c>
      <c r="N544" t="s">
        <v>773</v>
      </c>
      <c r="O544" t="s">
        <v>31</v>
      </c>
      <c r="P544" t="s">
        <v>3308</v>
      </c>
      <c r="Q544" t="s">
        <v>119</v>
      </c>
      <c r="R544" s="26" t="s">
        <v>356</v>
      </c>
      <c r="S544">
        <v>5.9</v>
      </c>
      <c r="T544">
        <v>6655</v>
      </c>
      <c r="U544">
        <v>0</v>
      </c>
      <c r="V544">
        <v>6655</v>
      </c>
    </row>
    <row r="545" spans="1:22" x14ac:dyDescent="0.3">
      <c r="A545">
        <v>80147</v>
      </c>
      <c r="B545">
        <v>456272652</v>
      </c>
      <c r="C545" t="s">
        <v>3309</v>
      </c>
      <c r="D545" s="9" t="s">
        <v>3310</v>
      </c>
      <c r="E545" t="s">
        <v>2901</v>
      </c>
      <c r="F545" t="s">
        <v>770</v>
      </c>
      <c r="G545" t="s">
        <v>28</v>
      </c>
      <c r="H545" t="s">
        <v>29</v>
      </c>
      <c r="I545" t="s">
        <v>34</v>
      </c>
      <c r="J545" t="s">
        <v>30</v>
      </c>
      <c r="K545" t="s">
        <v>27</v>
      </c>
      <c r="L545" t="s">
        <v>3311</v>
      </c>
      <c r="M545" t="s">
        <v>3312</v>
      </c>
      <c r="N545" t="s">
        <v>773</v>
      </c>
      <c r="O545" t="s">
        <v>31</v>
      </c>
      <c r="P545" t="s">
        <v>3313</v>
      </c>
      <c r="Q545" t="s">
        <v>171</v>
      </c>
      <c r="R545" s="26" t="s">
        <v>393</v>
      </c>
      <c r="S545">
        <v>5.6</v>
      </c>
      <c r="T545">
        <v>5024</v>
      </c>
      <c r="U545">
        <v>0</v>
      </c>
      <c r="V545">
        <v>5024</v>
      </c>
    </row>
    <row r="546" spans="1:22" x14ac:dyDescent="0.3">
      <c r="A546">
        <v>80147</v>
      </c>
      <c r="B546">
        <v>456092200</v>
      </c>
      <c r="C546" t="s">
        <v>3314</v>
      </c>
      <c r="D546" s="9" t="s">
        <v>3315</v>
      </c>
      <c r="E546" t="s">
        <v>2901</v>
      </c>
      <c r="F546" t="s">
        <v>770</v>
      </c>
      <c r="G546" t="s">
        <v>28</v>
      </c>
      <c r="H546" t="s">
        <v>29</v>
      </c>
      <c r="I546" t="s">
        <v>34</v>
      </c>
      <c r="J546" t="s">
        <v>30</v>
      </c>
      <c r="K546" t="s">
        <v>27</v>
      </c>
      <c r="L546" t="s">
        <v>3316</v>
      </c>
      <c r="M546" t="s">
        <v>3317</v>
      </c>
      <c r="N546" t="s">
        <v>773</v>
      </c>
      <c r="O546" t="s">
        <v>31</v>
      </c>
      <c r="P546" t="s">
        <v>3318</v>
      </c>
      <c r="Q546" t="s">
        <v>88</v>
      </c>
      <c r="R546" s="26" t="s">
        <v>356</v>
      </c>
      <c r="S546">
        <v>1</v>
      </c>
      <c r="T546">
        <v>5024</v>
      </c>
      <c r="U546">
        <v>0</v>
      </c>
      <c r="V546">
        <v>5024</v>
      </c>
    </row>
    <row r="547" spans="1:22" x14ac:dyDescent="0.3">
      <c r="A547">
        <v>80147</v>
      </c>
      <c r="B547">
        <v>456092202</v>
      </c>
      <c r="C547" t="s">
        <v>3319</v>
      </c>
      <c r="D547" s="9" t="s">
        <v>3320</v>
      </c>
      <c r="E547" t="s">
        <v>2901</v>
      </c>
      <c r="F547" t="s">
        <v>770</v>
      </c>
      <c r="G547" t="s">
        <v>28</v>
      </c>
      <c r="H547" t="s">
        <v>29</v>
      </c>
      <c r="I547" t="s">
        <v>34</v>
      </c>
      <c r="J547" t="s">
        <v>30</v>
      </c>
      <c r="K547" t="s">
        <v>27</v>
      </c>
      <c r="L547" t="s">
        <v>3321</v>
      </c>
      <c r="M547" t="s">
        <v>3322</v>
      </c>
      <c r="N547" t="s">
        <v>773</v>
      </c>
      <c r="O547" t="s">
        <v>31</v>
      </c>
      <c r="P547" t="s">
        <v>3323</v>
      </c>
      <c r="Q547" t="s">
        <v>119</v>
      </c>
      <c r="R547" s="26" t="s">
        <v>356</v>
      </c>
      <c r="S547">
        <v>5.6</v>
      </c>
      <c r="T547">
        <v>6655</v>
      </c>
      <c r="U547">
        <v>0</v>
      </c>
      <c r="V547">
        <v>6655</v>
      </c>
    </row>
    <row r="548" spans="1:22" x14ac:dyDescent="0.3">
      <c r="A548">
        <v>80147</v>
      </c>
      <c r="B548">
        <v>455658947</v>
      </c>
      <c r="C548" t="s">
        <v>3324</v>
      </c>
      <c r="D548" s="9" t="s">
        <v>3325</v>
      </c>
      <c r="E548" t="s">
        <v>2901</v>
      </c>
      <c r="F548" t="s">
        <v>770</v>
      </c>
      <c r="G548" t="s">
        <v>28</v>
      </c>
      <c r="H548" t="s">
        <v>29</v>
      </c>
      <c r="I548" t="s">
        <v>34</v>
      </c>
      <c r="J548" t="s">
        <v>30</v>
      </c>
      <c r="K548" t="s">
        <v>27</v>
      </c>
      <c r="L548" t="s">
        <v>499</v>
      </c>
      <c r="M548" t="s">
        <v>3326</v>
      </c>
      <c r="N548" t="s">
        <v>773</v>
      </c>
      <c r="O548" t="s">
        <v>31</v>
      </c>
      <c r="P548" t="s">
        <v>3327</v>
      </c>
      <c r="Q548" t="s">
        <v>88</v>
      </c>
      <c r="R548" s="26" t="s">
        <v>722</v>
      </c>
      <c r="S548">
        <v>1</v>
      </c>
      <c r="T548">
        <v>5024</v>
      </c>
      <c r="U548">
        <v>0</v>
      </c>
      <c r="V548">
        <v>5024</v>
      </c>
    </row>
    <row r="549" spans="1:22" x14ac:dyDescent="0.3">
      <c r="A549">
        <v>80147</v>
      </c>
      <c r="B549">
        <v>456092267</v>
      </c>
      <c r="C549" t="s">
        <v>3328</v>
      </c>
      <c r="D549" s="9" t="s">
        <v>3329</v>
      </c>
      <c r="E549" t="s">
        <v>2901</v>
      </c>
      <c r="F549" t="s">
        <v>770</v>
      </c>
      <c r="G549" t="s">
        <v>28</v>
      </c>
      <c r="H549" t="s">
        <v>29</v>
      </c>
      <c r="I549" t="s">
        <v>34</v>
      </c>
      <c r="J549" t="s">
        <v>30</v>
      </c>
      <c r="K549" t="s">
        <v>27</v>
      </c>
      <c r="L549" t="s">
        <v>3330</v>
      </c>
      <c r="M549" t="s">
        <v>684</v>
      </c>
      <c r="N549" t="s">
        <v>773</v>
      </c>
      <c r="O549" t="s">
        <v>31</v>
      </c>
      <c r="P549" t="s">
        <v>3331</v>
      </c>
      <c r="Q549" t="s">
        <v>119</v>
      </c>
      <c r="R549" s="26" t="s">
        <v>356</v>
      </c>
      <c r="S549">
        <v>6.1</v>
      </c>
      <c r="T549">
        <v>6655</v>
      </c>
      <c r="U549">
        <v>0</v>
      </c>
      <c r="V549">
        <v>6655</v>
      </c>
    </row>
    <row r="550" spans="1:22" x14ac:dyDescent="0.3">
      <c r="A550">
        <v>80147</v>
      </c>
      <c r="B550">
        <v>456092146</v>
      </c>
      <c r="C550" t="s">
        <v>3332</v>
      </c>
      <c r="D550" s="9" t="s">
        <v>3333</v>
      </c>
      <c r="E550" t="s">
        <v>2901</v>
      </c>
      <c r="F550" t="s">
        <v>770</v>
      </c>
      <c r="G550" t="s">
        <v>28</v>
      </c>
      <c r="H550" t="s">
        <v>29</v>
      </c>
      <c r="I550" t="s">
        <v>34</v>
      </c>
      <c r="J550" t="s">
        <v>30</v>
      </c>
      <c r="K550" t="s">
        <v>27</v>
      </c>
      <c r="L550" t="s">
        <v>3334</v>
      </c>
      <c r="M550" t="s">
        <v>696</v>
      </c>
      <c r="N550" t="s">
        <v>773</v>
      </c>
      <c r="O550" t="s">
        <v>31</v>
      </c>
      <c r="P550" t="s">
        <v>3335</v>
      </c>
      <c r="Q550" t="s">
        <v>119</v>
      </c>
      <c r="R550" s="26" t="s">
        <v>356</v>
      </c>
      <c r="S550">
        <v>1</v>
      </c>
      <c r="T550">
        <v>4205</v>
      </c>
      <c r="U550">
        <v>0</v>
      </c>
      <c r="V550">
        <v>4205</v>
      </c>
    </row>
    <row r="551" spans="1:22" x14ac:dyDescent="0.3">
      <c r="A551">
        <v>80147</v>
      </c>
      <c r="B551">
        <v>455826722</v>
      </c>
      <c r="C551" t="s">
        <v>3336</v>
      </c>
      <c r="D551" s="9" t="s">
        <v>3337</v>
      </c>
      <c r="E551" t="s">
        <v>2901</v>
      </c>
      <c r="F551" t="s">
        <v>770</v>
      </c>
      <c r="G551" t="s">
        <v>28</v>
      </c>
      <c r="H551" t="s">
        <v>29</v>
      </c>
      <c r="I551" t="s">
        <v>34</v>
      </c>
      <c r="J551" t="s">
        <v>30</v>
      </c>
      <c r="K551" t="s">
        <v>27</v>
      </c>
      <c r="L551" t="s">
        <v>3338</v>
      </c>
      <c r="M551" t="s">
        <v>556</v>
      </c>
      <c r="N551" t="s">
        <v>773</v>
      </c>
      <c r="O551" t="s">
        <v>31</v>
      </c>
      <c r="P551" t="s">
        <v>3339</v>
      </c>
      <c r="Q551" t="s">
        <v>84</v>
      </c>
      <c r="R551" s="26" t="s">
        <v>716</v>
      </c>
      <c r="S551">
        <v>6.2</v>
      </c>
      <c r="T551">
        <v>10206</v>
      </c>
      <c r="U551">
        <v>0</v>
      </c>
      <c r="V551">
        <v>10206</v>
      </c>
    </row>
    <row r="552" spans="1:22" x14ac:dyDescent="0.3">
      <c r="A552">
        <v>80147</v>
      </c>
      <c r="B552">
        <v>456092178</v>
      </c>
      <c r="C552" t="s">
        <v>3340</v>
      </c>
      <c r="D552" s="9" t="s">
        <v>3341</v>
      </c>
      <c r="E552" t="s">
        <v>2901</v>
      </c>
      <c r="F552" t="s">
        <v>770</v>
      </c>
      <c r="G552" t="s">
        <v>28</v>
      </c>
      <c r="H552" t="s">
        <v>29</v>
      </c>
      <c r="I552" t="s">
        <v>34</v>
      </c>
      <c r="J552" t="s">
        <v>30</v>
      </c>
      <c r="K552" t="s">
        <v>27</v>
      </c>
      <c r="L552" t="s">
        <v>3342</v>
      </c>
      <c r="M552" t="s">
        <v>3343</v>
      </c>
      <c r="N552" t="s">
        <v>773</v>
      </c>
      <c r="O552" t="s">
        <v>31</v>
      </c>
      <c r="P552" t="s">
        <v>3344</v>
      </c>
      <c r="Q552" t="s">
        <v>73</v>
      </c>
      <c r="R552" s="26" t="s">
        <v>356</v>
      </c>
      <c r="S552">
        <v>1</v>
      </c>
      <c r="T552">
        <v>3653</v>
      </c>
      <c r="U552">
        <v>0</v>
      </c>
      <c r="V552">
        <v>3653</v>
      </c>
    </row>
    <row r="553" spans="1:22" x14ac:dyDescent="0.3">
      <c r="A553">
        <v>80147</v>
      </c>
      <c r="B553">
        <v>455658961</v>
      </c>
      <c r="C553" t="s">
        <v>3345</v>
      </c>
      <c r="D553" s="9" t="s">
        <v>3346</v>
      </c>
      <c r="E553" t="s">
        <v>2901</v>
      </c>
      <c r="F553" t="s">
        <v>770</v>
      </c>
      <c r="G553" t="s">
        <v>28</v>
      </c>
      <c r="H553" t="s">
        <v>29</v>
      </c>
      <c r="I553" t="s">
        <v>34</v>
      </c>
      <c r="J553" t="s">
        <v>30</v>
      </c>
      <c r="K553" t="s">
        <v>27</v>
      </c>
      <c r="L553" t="s">
        <v>3347</v>
      </c>
      <c r="M553" t="s">
        <v>585</v>
      </c>
      <c r="N553" t="s">
        <v>773</v>
      </c>
      <c r="O553" t="s">
        <v>31</v>
      </c>
      <c r="P553" t="s">
        <v>3348</v>
      </c>
      <c r="Q553" t="s">
        <v>120</v>
      </c>
      <c r="R553" s="26" t="s">
        <v>722</v>
      </c>
      <c r="S553">
        <v>6.3</v>
      </c>
      <c r="T553">
        <v>10206</v>
      </c>
      <c r="U553">
        <v>0</v>
      </c>
      <c r="V553">
        <v>10206</v>
      </c>
    </row>
    <row r="554" spans="1:22" x14ac:dyDescent="0.3">
      <c r="A554">
        <v>80147</v>
      </c>
      <c r="B554">
        <v>455826779</v>
      </c>
      <c r="C554" t="s">
        <v>3349</v>
      </c>
      <c r="D554" s="9" t="s">
        <v>3350</v>
      </c>
      <c r="E554" t="s">
        <v>2901</v>
      </c>
      <c r="F554" t="s">
        <v>770</v>
      </c>
      <c r="G554" t="s">
        <v>28</v>
      </c>
      <c r="H554" t="s">
        <v>29</v>
      </c>
      <c r="I554" t="s">
        <v>34</v>
      </c>
      <c r="J554" t="s">
        <v>30</v>
      </c>
      <c r="K554" t="s">
        <v>27</v>
      </c>
      <c r="L554" t="s">
        <v>3351</v>
      </c>
      <c r="M554" t="s">
        <v>3352</v>
      </c>
      <c r="N554" t="s">
        <v>773</v>
      </c>
      <c r="O554" t="s">
        <v>31</v>
      </c>
      <c r="P554" t="s">
        <v>3353</v>
      </c>
      <c r="Q554" t="s">
        <v>165</v>
      </c>
      <c r="R554" s="26" t="s">
        <v>716</v>
      </c>
      <c r="S554">
        <v>0.7</v>
      </c>
      <c r="T554">
        <v>3653</v>
      </c>
      <c r="U554">
        <v>0</v>
      </c>
      <c r="V554">
        <v>3653</v>
      </c>
    </row>
    <row r="555" spans="1:22" x14ac:dyDescent="0.3">
      <c r="A555">
        <v>80147</v>
      </c>
      <c r="B555">
        <v>456092139</v>
      </c>
      <c r="C555" t="s">
        <v>3354</v>
      </c>
      <c r="D555" s="9" t="s">
        <v>3355</v>
      </c>
      <c r="E555" t="s">
        <v>2901</v>
      </c>
      <c r="F555" t="s">
        <v>770</v>
      </c>
      <c r="G555" t="s">
        <v>28</v>
      </c>
      <c r="H555" t="s">
        <v>29</v>
      </c>
      <c r="I555" t="s">
        <v>34</v>
      </c>
      <c r="J555" t="s">
        <v>30</v>
      </c>
      <c r="K555" t="s">
        <v>27</v>
      </c>
      <c r="L555" t="s">
        <v>3356</v>
      </c>
      <c r="M555" t="s">
        <v>3357</v>
      </c>
      <c r="N555" t="s">
        <v>773</v>
      </c>
      <c r="O555" t="s">
        <v>31</v>
      </c>
      <c r="P555" t="s">
        <v>3358</v>
      </c>
      <c r="Q555" t="s">
        <v>115</v>
      </c>
      <c r="R555" s="26" t="s">
        <v>356</v>
      </c>
      <c r="S555">
        <v>1.2</v>
      </c>
      <c r="T555">
        <v>3250</v>
      </c>
      <c r="U555">
        <v>0</v>
      </c>
      <c r="V555">
        <v>3250</v>
      </c>
    </row>
    <row r="556" spans="1:22" x14ac:dyDescent="0.3">
      <c r="A556">
        <v>80147</v>
      </c>
      <c r="B556">
        <v>455826685</v>
      </c>
      <c r="C556" t="s">
        <v>3359</v>
      </c>
      <c r="D556" s="9" t="s">
        <v>3360</v>
      </c>
      <c r="E556" t="s">
        <v>2901</v>
      </c>
      <c r="F556" t="s">
        <v>770</v>
      </c>
      <c r="G556" t="s">
        <v>28</v>
      </c>
      <c r="H556" t="s">
        <v>29</v>
      </c>
      <c r="I556" t="s">
        <v>34</v>
      </c>
      <c r="J556" t="s">
        <v>30</v>
      </c>
      <c r="K556" t="s">
        <v>27</v>
      </c>
      <c r="L556" t="s">
        <v>3361</v>
      </c>
      <c r="M556" t="s">
        <v>3362</v>
      </c>
      <c r="N556" t="s">
        <v>773</v>
      </c>
      <c r="O556" t="s">
        <v>31</v>
      </c>
      <c r="P556" t="s">
        <v>3363</v>
      </c>
      <c r="Q556" t="s">
        <v>88</v>
      </c>
      <c r="R556" s="26" t="s">
        <v>716</v>
      </c>
      <c r="S556">
        <v>5.9</v>
      </c>
      <c r="T556">
        <v>9387</v>
      </c>
      <c r="U556">
        <v>0</v>
      </c>
      <c r="V556">
        <v>9387</v>
      </c>
    </row>
    <row r="557" spans="1:22" x14ac:dyDescent="0.3">
      <c r="A557">
        <v>80147</v>
      </c>
      <c r="B557">
        <v>455826707</v>
      </c>
      <c r="C557" t="s">
        <v>3364</v>
      </c>
      <c r="D557" s="9" t="s">
        <v>3365</v>
      </c>
      <c r="E557" t="s">
        <v>2901</v>
      </c>
      <c r="F557" t="s">
        <v>770</v>
      </c>
      <c r="G557" t="s">
        <v>28</v>
      </c>
      <c r="H557" t="s">
        <v>29</v>
      </c>
      <c r="I557" t="s">
        <v>34</v>
      </c>
      <c r="J557" t="s">
        <v>30</v>
      </c>
      <c r="K557" t="s">
        <v>27</v>
      </c>
      <c r="L557" t="s">
        <v>3366</v>
      </c>
      <c r="M557" t="s">
        <v>3367</v>
      </c>
      <c r="N557" t="s">
        <v>773</v>
      </c>
      <c r="O557" t="s">
        <v>31</v>
      </c>
      <c r="P557" t="s">
        <v>3368</v>
      </c>
      <c r="Q557" t="s">
        <v>88</v>
      </c>
      <c r="R557" s="26" t="s">
        <v>716</v>
      </c>
      <c r="S557">
        <v>5.3</v>
      </c>
      <c r="T557">
        <v>9387</v>
      </c>
      <c r="U557">
        <v>0</v>
      </c>
      <c r="V557">
        <v>9387</v>
      </c>
    </row>
    <row r="558" spans="1:22" x14ac:dyDescent="0.3">
      <c r="A558">
        <v>80147</v>
      </c>
      <c r="B558">
        <v>455826802</v>
      </c>
      <c r="C558" t="s">
        <v>3369</v>
      </c>
      <c r="D558" s="9" t="s">
        <v>3370</v>
      </c>
      <c r="E558" t="s">
        <v>2901</v>
      </c>
      <c r="F558" t="s">
        <v>770</v>
      </c>
      <c r="G558" t="s">
        <v>28</v>
      </c>
      <c r="H558" t="s">
        <v>29</v>
      </c>
      <c r="I558" t="s">
        <v>34</v>
      </c>
      <c r="J558" t="s">
        <v>30</v>
      </c>
      <c r="K558" t="s">
        <v>27</v>
      </c>
      <c r="L558" t="s">
        <v>3371</v>
      </c>
      <c r="M558" t="s">
        <v>3372</v>
      </c>
      <c r="N558" t="s">
        <v>773</v>
      </c>
      <c r="O558" t="s">
        <v>31</v>
      </c>
      <c r="P558" t="s">
        <v>3373</v>
      </c>
      <c r="Q558" t="s">
        <v>88</v>
      </c>
      <c r="R558" s="26" t="s">
        <v>180</v>
      </c>
      <c r="S558">
        <v>4.9000000000000004</v>
      </c>
      <c r="T558">
        <v>7239</v>
      </c>
      <c r="U558">
        <v>0</v>
      </c>
      <c r="V558">
        <v>7239</v>
      </c>
    </row>
    <row r="559" spans="1:22" x14ac:dyDescent="0.3">
      <c r="A559">
        <v>80147</v>
      </c>
      <c r="B559">
        <v>455826704</v>
      </c>
      <c r="C559" t="s">
        <v>3374</v>
      </c>
      <c r="D559" s="9" t="s">
        <v>3375</v>
      </c>
      <c r="E559" t="s">
        <v>2901</v>
      </c>
      <c r="F559" t="s">
        <v>770</v>
      </c>
      <c r="G559" t="s">
        <v>28</v>
      </c>
      <c r="H559" t="s">
        <v>29</v>
      </c>
      <c r="I559" t="s">
        <v>34</v>
      </c>
      <c r="J559" t="s">
        <v>30</v>
      </c>
      <c r="K559" t="s">
        <v>27</v>
      </c>
      <c r="L559" t="s">
        <v>3376</v>
      </c>
      <c r="M559" t="s">
        <v>3377</v>
      </c>
      <c r="N559" t="s">
        <v>773</v>
      </c>
      <c r="O559" t="s">
        <v>31</v>
      </c>
      <c r="P559" t="s">
        <v>3378</v>
      </c>
      <c r="Q559" t="s">
        <v>69</v>
      </c>
      <c r="R559" s="26" t="s">
        <v>716</v>
      </c>
      <c r="S559">
        <v>5.6</v>
      </c>
      <c r="T559">
        <v>6114</v>
      </c>
      <c r="U559">
        <v>0</v>
      </c>
      <c r="V559">
        <v>6114</v>
      </c>
    </row>
    <row r="560" spans="1:22" x14ac:dyDescent="0.3">
      <c r="A560">
        <v>80147</v>
      </c>
      <c r="B560">
        <v>455826728</v>
      </c>
      <c r="C560" t="s">
        <v>3379</v>
      </c>
      <c r="D560" s="9" t="s">
        <v>3380</v>
      </c>
      <c r="E560" t="s">
        <v>2901</v>
      </c>
      <c r="F560" t="s">
        <v>770</v>
      </c>
      <c r="G560" t="s">
        <v>28</v>
      </c>
      <c r="H560" t="s">
        <v>29</v>
      </c>
      <c r="I560" t="s">
        <v>34</v>
      </c>
      <c r="J560" t="s">
        <v>30</v>
      </c>
      <c r="K560" t="s">
        <v>27</v>
      </c>
      <c r="L560" t="s">
        <v>3381</v>
      </c>
      <c r="M560" t="s">
        <v>266</v>
      </c>
      <c r="N560" t="s">
        <v>773</v>
      </c>
      <c r="O560" t="s">
        <v>31</v>
      </c>
      <c r="P560" t="s">
        <v>3382</v>
      </c>
      <c r="Q560" t="s">
        <v>100</v>
      </c>
      <c r="R560" s="26" t="s">
        <v>716</v>
      </c>
      <c r="S560">
        <v>5.8</v>
      </c>
      <c r="T560">
        <v>5024</v>
      </c>
      <c r="U560">
        <v>0</v>
      </c>
      <c r="V560">
        <v>5024</v>
      </c>
    </row>
    <row r="561" spans="1:22" x14ac:dyDescent="0.3">
      <c r="A561">
        <v>80147</v>
      </c>
      <c r="B561">
        <v>455659007</v>
      </c>
      <c r="C561" t="s">
        <v>3383</v>
      </c>
      <c r="D561" s="9" t="s">
        <v>3384</v>
      </c>
      <c r="E561" t="s">
        <v>2901</v>
      </c>
      <c r="F561" t="s">
        <v>770</v>
      </c>
      <c r="G561" t="s">
        <v>28</v>
      </c>
      <c r="H561" t="s">
        <v>29</v>
      </c>
      <c r="I561" t="s">
        <v>34</v>
      </c>
      <c r="J561" t="s">
        <v>30</v>
      </c>
      <c r="K561" t="s">
        <v>27</v>
      </c>
      <c r="L561" t="s">
        <v>440</v>
      </c>
      <c r="M561" t="s">
        <v>3385</v>
      </c>
      <c r="N561" t="s">
        <v>773</v>
      </c>
      <c r="O561" t="s">
        <v>31</v>
      </c>
      <c r="P561" t="s">
        <v>3386</v>
      </c>
      <c r="Q561" t="s">
        <v>171</v>
      </c>
      <c r="R561" s="26" t="s">
        <v>722</v>
      </c>
      <c r="S561">
        <v>5.9</v>
      </c>
      <c r="T561">
        <v>5024</v>
      </c>
      <c r="U561">
        <v>0</v>
      </c>
      <c r="V561">
        <v>5024</v>
      </c>
    </row>
    <row r="562" spans="1:22" x14ac:dyDescent="0.3">
      <c r="A562">
        <v>80147</v>
      </c>
      <c r="B562">
        <v>455658910</v>
      </c>
      <c r="C562" t="s">
        <v>3387</v>
      </c>
      <c r="D562" s="9" t="s">
        <v>3388</v>
      </c>
      <c r="E562" t="s">
        <v>2901</v>
      </c>
      <c r="F562" t="s">
        <v>770</v>
      </c>
      <c r="G562" t="s">
        <v>28</v>
      </c>
      <c r="H562" t="s">
        <v>29</v>
      </c>
      <c r="I562" t="s">
        <v>34</v>
      </c>
      <c r="J562" t="s">
        <v>30</v>
      </c>
      <c r="K562" t="s">
        <v>27</v>
      </c>
      <c r="L562" t="s">
        <v>3389</v>
      </c>
      <c r="M562" t="s">
        <v>3390</v>
      </c>
      <c r="N562" t="s">
        <v>773</v>
      </c>
      <c r="O562" t="s">
        <v>31</v>
      </c>
      <c r="P562" t="s">
        <v>3391</v>
      </c>
      <c r="Q562" t="s">
        <v>120</v>
      </c>
      <c r="R562" s="26" t="s">
        <v>722</v>
      </c>
      <c r="S562">
        <v>1</v>
      </c>
      <c r="T562">
        <v>5295</v>
      </c>
      <c r="U562">
        <v>0</v>
      </c>
      <c r="V562">
        <v>5295</v>
      </c>
    </row>
    <row r="563" spans="1:22" x14ac:dyDescent="0.3">
      <c r="A563">
        <v>80147</v>
      </c>
      <c r="B563">
        <v>455826818</v>
      </c>
      <c r="C563" t="s">
        <v>3392</v>
      </c>
      <c r="D563" s="9" t="s">
        <v>3393</v>
      </c>
      <c r="E563" t="s">
        <v>2901</v>
      </c>
      <c r="F563" t="s">
        <v>770</v>
      </c>
      <c r="G563" t="s">
        <v>28</v>
      </c>
      <c r="H563" t="s">
        <v>29</v>
      </c>
      <c r="I563" t="s">
        <v>34</v>
      </c>
      <c r="J563" t="s">
        <v>30</v>
      </c>
      <c r="K563" t="s">
        <v>27</v>
      </c>
      <c r="L563" t="s">
        <v>3394</v>
      </c>
      <c r="M563" t="s">
        <v>3395</v>
      </c>
      <c r="N563" t="s">
        <v>773</v>
      </c>
      <c r="O563" t="s">
        <v>31</v>
      </c>
      <c r="P563" t="s">
        <v>3396</v>
      </c>
      <c r="Q563" t="s">
        <v>109</v>
      </c>
      <c r="R563" s="26" t="s">
        <v>180</v>
      </c>
      <c r="S563">
        <v>6.9</v>
      </c>
      <c r="T563">
        <v>5024</v>
      </c>
      <c r="U563">
        <v>0</v>
      </c>
      <c r="V563">
        <v>5024</v>
      </c>
    </row>
    <row r="564" spans="1:22" x14ac:dyDescent="0.3">
      <c r="A564">
        <v>80147</v>
      </c>
      <c r="B564">
        <v>455826801</v>
      </c>
      <c r="C564" t="s">
        <v>3397</v>
      </c>
      <c r="D564" s="9" t="s">
        <v>3398</v>
      </c>
      <c r="E564" t="s">
        <v>2901</v>
      </c>
      <c r="F564" t="s">
        <v>770</v>
      </c>
      <c r="G564" t="s">
        <v>28</v>
      </c>
      <c r="H564" t="s">
        <v>29</v>
      </c>
      <c r="I564" t="s">
        <v>34</v>
      </c>
      <c r="J564" t="s">
        <v>30</v>
      </c>
      <c r="K564" t="s">
        <v>27</v>
      </c>
      <c r="L564" t="s">
        <v>3399</v>
      </c>
      <c r="M564" t="s">
        <v>3400</v>
      </c>
      <c r="N564" t="s">
        <v>773</v>
      </c>
      <c r="O564" t="s">
        <v>31</v>
      </c>
      <c r="P564" t="s">
        <v>3401</v>
      </c>
      <c r="Q564" t="s">
        <v>89</v>
      </c>
      <c r="R564" s="26" t="s">
        <v>180</v>
      </c>
      <c r="S564">
        <v>5.8</v>
      </c>
      <c r="T564">
        <v>5024</v>
      </c>
      <c r="U564">
        <v>0</v>
      </c>
      <c r="V564">
        <v>5024</v>
      </c>
    </row>
    <row r="565" spans="1:22" x14ac:dyDescent="0.3">
      <c r="A565">
        <v>80147</v>
      </c>
      <c r="B565">
        <v>455826747</v>
      </c>
      <c r="C565" t="s">
        <v>3402</v>
      </c>
      <c r="D565" s="9" t="s">
        <v>3403</v>
      </c>
      <c r="E565" t="s">
        <v>2901</v>
      </c>
      <c r="F565" t="s">
        <v>770</v>
      </c>
      <c r="G565" t="s">
        <v>28</v>
      </c>
      <c r="H565" t="s">
        <v>29</v>
      </c>
      <c r="I565" t="s">
        <v>34</v>
      </c>
      <c r="J565" t="s">
        <v>30</v>
      </c>
      <c r="K565" t="s">
        <v>27</v>
      </c>
      <c r="L565" t="s">
        <v>3404</v>
      </c>
      <c r="M565" t="s">
        <v>3405</v>
      </c>
      <c r="N565" t="s">
        <v>773</v>
      </c>
      <c r="O565" t="s">
        <v>31</v>
      </c>
      <c r="P565" t="s">
        <v>3406</v>
      </c>
      <c r="Q565" t="s">
        <v>69</v>
      </c>
      <c r="R565" s="26" t="s">
        <v>716</v>
      </c>
      <c r="S565">
        <v>6.6</v>
      </c>
      <c r="T565">
        <v>6114</v>
      </c>
      <c r="U565">
        <v>0</v>
      </c>
      <c r="V565">
        <v>6114</v>
      </c>
    </row>
    <row r="566" spans="1:22" x14ac:dyDescent="0.3">
      <c r="A566">
        <v>80147</v>
      </c>
      <c r="B566">
        <v>455826730</v>
      </c>
      <c r="C566" t="s">
        <v>3407</v>
      </c>
      <c r="D566" s="9" t="s">
        <v>3408</v>
      </c>
      <c r="E566" t="s">
        <v>2901</v>
      </c>
      <c r="F566" t="s">
        <v>770</v>
      </c>
      <c r="G566" t="s">
        <v>28</v>
      </c>
      <c r="H566" t="s">
        <v>29</v>
      </c>
      <c r="I566" t="s">
        <v>34</v>
      </c>
      <c r="J566" t="s">
        <v>30</v>
      </c>
      <c r="K566" t="s">
        <v>27</v>
      </c>
      <c r="L566" t="s">
        <v>3409</v>
      </c>
      <c r="M566" t="s">
        <v>3410</v>
      </c>
      <c r="N566" t="s">
        <v>773</v>
      </c>
      <c r="O566" t="s">
        <v>31</v>
      </c>
      <c r="P566" t="s">
        <v>3411</v>
      </c>
      <c r="Q566" t="s">
        <v>67</v>
      </c>
      <c r="R566" s="26" t="s">
        <v>716</v>
      </c>
      <c r="S566">
        <v>5.5</v>
      </c>
      <c r="T566">
        <v>5295</v>
      </c>
      <c r="U566">
        <v>0</v>
      </c>
      <c r="V566">
        <v>5295</v>
      </c>
    </row>
    <row r="567" spans="1:22" x14ac:dyDescent="0.3">
      <c r="A567">
        <v>80147</v>
      </c>
      <c r="B567">
        <v>455826791</v>
      </c>
      <c r="C567" t="s">
        <v>3412</v>
      </c>
      <c r="D567" s="9" t="s">
        <v>3413</v>
      </c>
      <c r="E567" t="s">
        <v>2901</v>
      </c>
      <c r="F567" t="s">
        <v>770</v>
      </c>
      <c r="G567" t="s">
        <v>28</v>
      </c>
      <c r="H567" t="s">
        <v>29</v>
      </c>
      <c r="I567" t="s">
        <v>34</v>
      </c>
      <c r="J567" t="s">
        <v>30</v>
      </c>
      <c r="K567" t="s">
        <v>27</v>
      </c>
      <c r="L567" t="s">
        <v>3414</v>
      </c>
      <c r="M567" t="s">
        <v>3415</v>
      </c>
      <c r="N567" t="s">
        <v>773</v>
      </c>
      <c r="O567" t="s">
        <v>31</v>
      </c>
      <c r="P567" t="s">
        <v>3416</v>
      </c>
      <c r="Q567" t="s">
        <v>72</v>
      </c>
      <c r="R567" s="26" t="s">
        <v>180</v>
      </c>
      <c r="S567">
        <v>3</v>
      </c>
      <c r="T567">
        <v>3653</v>
      </c>
      <c r="U567">
        <v>0</v>
      </c>
      <c r="V567">
        <v>3653</v>
      </c>
    </row>
    <row r="568" spans="1:22" x14ac:dyDescent="0.3">
      <c r="A568">
        <v>80147</v>
      </c>
      <c r="B568">
        <v>455826759</v>
      </c>
      <c r="C568" t="s">
        <v>3417</v>
      </c>
      <c r="D568" s="9" t="s">
        <v>3418</v>
      </c>
      <c r="E568" t="s">
        <v>2901</v>
      </c>
      <c r="F568" t="s">
        <v>770</v>
      </c>
      <c r="G568" t="s">
        <v>28</v>
      </c>
      <c r="H568" t="s">
        <v>29</v>
      </c>
      <c r="I568" t="s">
        <v>34</v>
      </c>
      <c r="J568" t="s">
        <v>30</v>
      </c>
      <c r="K568" t="s">
        <v>27</v>
      </c>
      <c r="L568" t="s">
        <v>3419</v>
      </c>
      <c r="M568" t="s">
        <v>3420</v>
      </c>
      <c r="N568" t="s">
        <v>773</v>
      </c>
      <c r="O568" t="s">
        <v>31</v>
      </c>
      <c r="P568" t="s">
        <v>3421</v>
      </c>
      <c r="Q568" t="s">
        <v>135</v>
      </c>
      <c r="R568" s="26" t="s">
        <v>716</v>
      </c>
      <c r="S568">
        <v>5.8</v>
      </c>
      <c r="T568">
        <v>5024</v>
      </c>
      <c r="U568">
        <v>0</v>
      </c>
      <c r="V568">
        <v>5024</v>
      </c>
    </row>
    <row r="569" spans="1:22" x14ac:dyDescent="0.3">
      <c r="A569">
        <v>80147</v>
      </c>
      <c r="B569">
        <v>455658981</v>
      </c>
      <c r="C569" t="s">
        <v>3422</v>
      </c>
      <c r="D569" s="9" t="s">
        <v>3423</v>
      </c>
      <c r="E569" t="s">
        <v>2901</v>
      </c>
      <c r="F569" t="s">
        <v>770</v>
      </c>
      <c r="G569" t="s">
        <v>28</v>
      </c>
      <c r="H569" t="s">
        <v>29</v>
      </c>
      <c r="I569" t="s">
        <v>34</v>
      </c>
      <c r="J569" t="s">
        <v>30</v>
      </c>
      <c r="K569" t="s">
        <v>27</v>
      </c>
      <c r="L569" t="s">
        <v>3424</v>
      </c>
      <c r="M569" t="s">
        <v>3425</v>
      </c>
      <c r="N569" t="s">
        <v>773</v>
      </c>
      <c r="O569" t="s">
        <v>31</v>
      </c>
      <c r="P569" t="s">
        <v>3426</v>
      </c>
      <c r="Q569" t="s">
        <v>65</v>
      </c>
      <c r="R569" s="26" t="s">
        <v>722</v>
      </c>
      <c r="S569">
        <v>4.8</v>
      </c>
      <c r="T569">
        <v>4305</v>
      </c>
      <c r="U569">
        <v>0</v>
      </c>
      <c r="V569">
        <v>4305</v>
      </c>
    </row>
    <row r="570" spans="1:22" x14ac:dyDescent="0.3">
      <c r="A570">
        <v>80147</v>
      </c>
      <c r="B570">
        <v>455658905</v>
      </c>
      <c r="C570" t="s">
        <v>3427</v>
      </c>
      <c r="D570" s="9" t="s">
        <v>3428</v>
      </c>
      <c r="E570" t="s">
        <v>2901</v>
      </c>
      <c r="F570" t="s">
        <v>770</v>
      </c>
      <c r="G570" t="s">
        <v>28</v>
      </c>
      <c r="H570" t="s">
        <v>29</v>
      </c>
      <c r="I570" t="s">
        <v>34</v>
      </c>
      <c r="J570" t="s">
        <v>30</v>
      </c>
      <c r="K570" t="s">
        <v>27</v>
      </c>
      <c r="L570" t="s">
        <v>3429</v>
      </c>
      <c r="M570" t="s">
        <v>3430</v>
      </c>
      <c r="N570" t="s">
        <v>773</v>
      </c>
      <c r="O570" t="s">
        <v>31</v>
      </c>
      <c r="P570" t="s">
        <v>3431</v>
      </c>
      <c r="Q570" t="s">
        <v>88</v>
      </c>
      <c r="R570" s="26" t="s">
        <v>722</v>
      </c>
      <c r="S570">
        <v>1</v>
      </c>
      <c r="T570">
        <v>5024</v>
      </c>
      <c r="U570">
        <v>0</v>
      </c>
      <c r="V570">
        <v>5024</v>
      </c>
    </row>
    <row r="571" spans="1:22" x14ac:dyDescent="0.3">
      <c r="A571">
        <v>80147</v>
      </c>
      <c r="B571">
        <v>455826678</v>
      </c>
      <c r="C571" t="s">
        <v>3432</v>
      </c>
      <c r="D571" s="9" t="s">
        <v>3433</v>
      </c>
      <c r="E571" t="s">
        <v>2901</v>
      </c>
      <c r="F571" t="s">
        <v>770</v>
      </c>
      <c r="G571" t="s">
        <v>28</v>
      </c>
      <c r="H571" t="s">
        <v>29</v>
      </c>
      <c r="I571" t="s">
        <v>34</v>
      </c>
      <c r="J571" t="s">
        <v>30</v>
      </c>
      <c r="K571" t="s">
        <v>27</v>
      </c>
      <c r="L571" t="s">
        <v>3434</v>
      </c>
      <c r="M571" t="s">
        <v>3435</v>
      </c>
      <c r="N571" t="s">
        <v>773</v>
      </c>
      <c r="O571" t="s">
        <v>31</v>
      </c>
      <c r="P571" t="s">
        <v>3436</v>
      </c>
      <c r="Q571" t="s">
        <v>109</v>
      </c>
      <c r="R571" s="26" t="s">
        <v>716</v>
      </c>
      <c r="S571">
        <v>5.3</v>
      </c>
      <c r="T571">
        <v>5024</v>
      </c>
      <c r="U571">
        <v>0</v>
      </c>
      <c r="V571">
        <v>5024</v>
      </c>
    </row>
    <row r="572" spans="1:22" x14ac:dyDescent="0.3">
      <c r="A572">
        <v>80147</v>
      </c>
      <c r="B572">
        <v>455826675</v>
      </c>
      <c r="C572" t="s">
        <v>3437</v>
      </c>
      <c r="D572" s="9" t="s">
        <v>3438</v>
      </c>
      <c r="E572" t="s">
        <v>2901</v>
      </c>
      <c r="F572" t="s">
        <v>770</v>
      </c>
      <c r="G572" t="s">
        <v>28</v>
      </c>
      <c r="H572" t="s">
        <v>29</v>
      </c>
      <c r="I572" t="s">
        <v>34</v>
      </c>
      <c r="J572" t="s">
        <v>30</v>
      </c>
      <c r="K572" t="s">
        <v>27</v>
      </c>
      <c r="L572" t="s">
        <v>3439</v>
      </c>
      <c r="M572" t="s">
        <v>3440</v>
      </c>
      <c r="N572" t="s">
        <v>773</v>
      </c>
      <c r="O572" t="s">
        <v>31</v>
      </c>
      <c r="P572" t="s">
        <v>3441</v>
      </c>
      <c r="Q572" t="s">
        <v>41</v>
      </c>
      <c r="R572" s="26" t="s">
        <v>716</v>
      </c>
      <c r="S572">
        <v>5.7</v>
      </c>
      <c r="T572">
        <v>6114</v>
      </c>
      <c r="U572">
        <v>0</v>
      </c>
      <c r="V572">
        <v>6114</v>
      </c>
    </row>
    <row r="573" spans="1:22" x14ac:dyDescent="0.3">
      <c r="A573">
        <v>80147</v>
      </c>
      <c r="B573">
        <v>455826809</v>
      </c>
      <c r="C573" t="s">
        <v>3442</v>
      </c>
      <c r="D573" s="9" t="s">
        <v>3443</v>
      </c>
      <c r="E573" t="s">
        <v>2901</v>
      </c>
      <c r="F573" t="s">
        <v>770</v>
      </c>
      <c r="G573" t="s">
        <v>28</v>
      </c>
      <c r="H573" t="s">
        <v>29</v>
      </c>
      <c r="I573" t="s">
        <v>34</v>
      </c>
      <c r="J573" t="s">
        <v>30</v>
      </c>
      <c r="K573" t="s">
        <v>27</v>
      </c>
      <c r="L573" t="s">
        <v>3444</v>
      </c>
      <c r="M573" t="s">
        <v>3445</v>
      </c>
      <c r="N573" t="s">
        <v>773</v>
      </c>
      <c r="O573" t="s">
        <v>31</v>
      </c>
      <c r="P573" t="s">
        <v>3446</v>
      </c>
      <c r="Q573" t="s">
        <v>61</v>
      </c>
      <c r="R573" s="26" t="s">
        <v>180</v>
      </c>
      <c r="S573">
        <v>12.2</v>
      </c>
      <c r="T573">
        <v>6800</v>
      </c>
      <c r="U573">
        <v>0</v>
      </c>
      <c r="V573">
        <v>6800</v>
      </c>
    </row>
    <row r="574" spans="1:22" x14ac:dyDescent="0.3">
      <c r="A574">
        <v>80147</v>
      </c>
      <c r="B574">
        <v>455826800</v>
      </c>
      <c r="C574" t="s">
        <v>3447</v>
      </c>
      <c r="D574" s="9" t="s">
        <v>3448</v>
      </c>
      <c r="E574" t="s">
        <v>2901</v>
      </c>
      <c r="F574" t="s">
        <v>770</v>
      </c>
      <c r="G574" t="s">
        <v>28</v>
      </c>
      <c r="H574" t="s">
        <v>29</v>
      </c>
      <c r="I574" t="s">
        <v>34</v>
      </c>
      <c r="J574" t="s">
        <v>30</v>
      </c>
      <c r="K574" t="s">
        <v>27</v>
      </c>
      <c r="L574" t="s">
        <v>465</v>
      </c>
      <c r="M574" t="s">
        <v>3449</v>
      </c>
      <c r="N574" t="s">
        <v>773</v>
      </c>
      <c r="O574" t="s">
        <v>31</v>
      </c>
      <c r="P574" t="s">
        <v>3450</v>
      </c>
      <c r="Q574" t="s">
        <v>119</v>
      </c>
      <c r="R574" s="26" t="s">
        <v>180</v>
      </c>
      <c r="S574">
        <v>6</v>
      </c>
      <c r="T574">
        <v>6655</v>
      </c>
      <c r="U574">
        <v>0</v>
      </c>
      <c r="V574">
        <v>6655</v>
      </c>
    </row>
    <row r="575" spans="1:22" x14ac:dyDescent="0.3">
      <c r="A575">
        <v>80147</v>
      </c>
      <c r="B575">
        <v>455826677</v>
      </c>
      <c r="C575" t="s">
        <v>3451</v>
      </c>
      <c r="D575" s="9" t="s">
        <v>3452</v>
      </c>
      <c r="E575" t="s">
        <v>2901</v>
      </c>
      <c r="F575" t="s">
        <v>770</v>
      </c>
      <c r="G575" t="s">
        <v>28</v>
      </c>
      <c r="H575" t="s">
        <v>29</v>
      </c>
      <c r="I575" t="s">
        <v>34</v>
      </c>
      <c r="J575" t="s">
        <v>30</v>
      </c>
      <c r="K575" t="s">
        <v>27</v>
      </c>
      <c r="L575" t="s">
        <v>3453</v>
      </c>
      <c r="M575" t="s">
        <v>3454</v>
      </c>
      <c r="N575" t="s">
        <v>773</v>
      </c>
      <c r="O575" t="s">
        <v>31</v>
      </c>
      <c r="P575" t="s">
        <v>3455</v>
      </c>
      <c r="Q575" t="s">
        <v>41</v>
      </c>
      <c r="R575" s="26" t="s">
        <v>716</v>
      </c>
      <c r="S575">
        <v>3.4</v>
      </c>
      <c r="T575">
        <v>4935</v>
      </c>
      <c r="U575">
        <v>0</v>
      </c>
      <c r="V575">
        <v>4935</v>
      </c>
    </row>
    <row r="576" spans="1:22" x14ac:dyDescent="0.3">
      <c r="A576">
        <v>80147</v>
      </c>
      <c r="B576">
        <v>455826736</v>
      </c>
      <c r="C576" t="s">
        <v>3456</v>
      </c>
      <c r="D576" s="9" t="s">
        <v>3457</v>
      </c>
      <c r="E576" t="s">
        <v>2901</v>
      </c>
      <c r="F576" t="s">
        <v>770</v>
      </c>
      <c r="G576" t="s">
        <v>28</v>
      </c>
      <c r="H576" t="s">
        <v>29</v>
      </c>
      <c r="I576" t="s">
        <v>34</v>
      </c>
      <c r="J576" t="s">
        <v>30</v>
      </c>
      <c r="K576" t="s">
        <v>27</v>
      </c>
      <c r="L576" t="s">
        <v>3458</v>
      </c>
      <c r="M576" t="s">
        <v>509</v>
      </c>
      <c r="N576" t="s">
        <v>773</v>
      </c>
      <c r="O576" t="s">
        <v>31</v>
      </c>
      <c r="P576" t="s">
        <v>3459</v>
      </c>
      <c r="Q576" t="s">
        <v>85</v>
      </c>
      <c r="R576" s="26" t="s">
        <v>716</v>
      </c>
      <c r="S576">
        <v>6.1</v>
      </c>
      <c r="T576">
        <v>5564</v>
      </c>
      <c r="U576">
        <v>0</v>
      </c>
      <c r="V576">
        <v>5564</v>
      </c>
    </row>
    <row r="577" spans="1:22" x14ac:dyDescent="0.3">
      <c r="A577">
        <v>80147</v>
      </c>
      <c r="B577">
        <v>455658908</v>
      </c>
      <c r="C577" t="s">
        <v>3460</v>
      </c>
      <c r="D577" s="9" t="s">
        <v>3461</v>
      </c>
      <c r="E577" t="s">
        <v>2901</v>
      </c>
      <c r="F577" t="s">
        <v>770</v>
      </c>
      <c r="G577" t="s">
        <v>28</v>
      </c>
      <c r="H577" t="s">
        <v>29</v>
      </c>
      <c r="I577" t="s">
        <v>34</v>
      </c>
      <c r="J577" t="s">
        <v>30</v>
      </c>
      <c r="K577" t="s">
        <v>27</v>
      </c>
      <c r="L577" t="s">
        <v>3462</v>
      </c>
      <c r="M577" t="s">
        <v>3463</v>
      </c>
      <c r="N577" t="s">
        <v>773</v>
      </c>
      <c r="O577" t="s">
        <v>31</v>
      </c>
      <c r="P577" t="s">
        <v>3464</v>
      </c>
      <c r="Q577" t="s">
        <v>70</v>
      </c>
      <c r="R577" s="26" t="s">
        <v>722</v>
      </c>
      <c r="S577">
        <v>5.9</v>
      </c>
      <c r="T577">
        <v>5564</v>
      </c>
      <c r="U577">
        <v>0</v>
      </c>
      <c r="V577">
        <v>5564</v>
      </c>
    </row>
    <row r="578" spans="1:22" x14ac:dyDescent="0.3">
      <c r="A578">
        <v>80147</v>
      </c>
      <c r="B578">
        <v>455520694</v>
      </c>
      <c r="C578" t="s">
        <v>3465</v>
      </c>
      <c r="D578" s="9" t="s">
        <v>3466</v>
      </c>
      <c r="E578" t="s">
        <v>2901</v>
      </c>
      <c r="F578" t="s">
        <v>770</v>
      </c>
      <c r="G578" t="s">
        <v>28</v>
      </c>
      <c r="H578" t="s">
        <v>29</v>
      </c>
      <c r="I578" t="s">
        <v>34</v>
      </c>
      <c r="J578" t="s">
        <v>30</v>
      </c>
      <c r="K578" t="s">
        <v>27</v>
      </c>
      <c r="L578" t="s">
        <v>3467</v>
      </c>
      <c r="M578" t="s">
        <v>3468</v>
      </c>
      <c r="N578" t="s">
        <v>773</v>
      </c>
      <c r="O578" t="s">
        <v>31</v>
      </c>
      <c r="P578" t="s">
        <v>3469</v>
      </c>
      <c r="Q578" t="s">
        <v>207</v>
      </c>
      <c r="R578" s="26" t="s">
        <v>305</v>
      </c>
      <c r="S578">
        <v>5.5</v>
      </c>
      <c r="T578">
        <v>7234</v>
      </c>
      <c r="U578">
        <v>0</v>
      </c>
      <c r="V578">
        <v>7234</v>
      </c>
    </row>
    <row r="579" spans="1:22" x14ac:dyDescent="0.3">
      <c r="A579">
        <v>80147</v>
      </c>
      <c r="B579">
        <v>455658939</v>
      </c>
      <c r="C579" t="s">
        <v>3470</v>
      </c>
      <c r="D579" s="9" t="s">
        <v>3471</v>
      </c>
      <c r="E579" t="s">
        <v>2901</v>
      </c>
      <c r="F579" t="s">
        <v>770</v>
      </c>
      <c r="G579" t="s">
        <v>28</v>
      </c>
      <c r="H579" t="s">
        <v>29</v>
      </c>
      <c r="I579" t="s">
        <v>34</v>
      </c>
      <c r="J579" t="s">
        <v>30</v>
      </c>
      <c r="K579" t="s">
        <v>27</v>
      </c>
      <c r="L579" t="s">
        <v>3472</v>
      </c>
      <c r="M579" t="s">
        <v>3473</v>
      </c>
      <c r="N579" t="s">
        <v>773</v>
      </c>
      <c r="O579" t="s">
        <v>31</v>
      </c>
      <c r="P579" t="s">
        <v>3474</v>
      </c>
      <c r="Q579" t="s">
        <v>88</v>
      </c>
      <c r="R579" s="26" t="s">
        <v>722</v>
      </c>
      <c r="S579">
        <v>1</v>
      </c>
      <c r="T579">
        <v>5024</v>
      </c>
      <c r="U579">
        <v>0</v>
      </c>
      <c r="V579">
        <v>5024</v>
      </c>
    </row>
    <row r="580" spans="1:22" x14ac:dyDescent="0.3">
      <c r="A580">
        <v>80147</v>
      </c>
      <c r="B580">
        <v>455826687</v>
      </c>
      <c r="C580" t="s">
        <v>3475</v>
      </c>
      <c r="D580" s="9" t="s">
        <v>3476</v>
      </c>
      <c r="E580" t="s">
        <v>2901</v>
      </c>
      <c r="F580" t="s">
        <v>770</v>
      </c>
      <c r="G580" t="s">
        <v>28</v>
      </c>
      <c r="H580" t="s">
        <v>29</v>
      </c>
      <c r="I580" t="s">
        <v>34</v>
      </c>
      <c r="J580" t="s">
        <v>30</v>
      </c>
      <c r="K580" t="s">
        <v>27</v>
      </c>
      <c r="L580" t="s">
        <v>3477</v>
      </c>
      <c r="M580" t="s">
        <v>652</v>
      </c>
      <c r="N580" t="s">
        <v>773</v>
      </c>
      <c r="O580" t="s">
        <v>31</v>
      </c>
      <c r="P580" t="s">
        <v>3478</v>
      </c>
      <c r="Q580" t="s">
        <v>138</v>
      </c>
      <c r="R580" s="26" t="s">
        <v>716</v>
      </c>
      <c r="S580">
        <v>6.1</v>
      </c>
      <c r="T580">
        <v>5024</v>
      </c>
      <c r="U580">
        <v>0</v>
      </c>
      <c r="V580">
        <v>5024</v>
      </c>
    </row>
    <row r="581" spans="1:22" x14ac:dyDescent="0.3">
      <c r="A581">
        <v>80147</v>
      </c>
      <c r="B581">
        <v>455826807</v>
      </c>
      <c r="C581" t="s">
        <v>3479</v>
      </c>
      <c r="D581" s="9" t="s">
        <v>3480</v>
      </c>
      <c r="E581" t="s">
        <v>2901</v>
      </c>
      <c r="F581" t="s">
        <v>770</v>
      </c>
      <c r="G581" t="s">
        <v>28</v>
      </c>
      <c r="H581" t="s">
        <v>29</v>
      </c>
      <c r="I581" t="s">
        <v>34</v>
      </c>
      <c r="J581" t="s">
        <v>30</v>
      </c>
      <c r="K581" t="s">
        <v>27</v>
      </c>
      <c r="L581" t="s">
        <v>3481</v>
      </c>
      <c r="M581" t="s">
        <v>3482</v>
      </c>
      <c r="N581" t="s">
        <v>773</v>
      </c>
      <c r="O581" t="s">
        <v>31</v>
      </c>
      <c r="P581" t="s">
        <v>3483</v>
      </c>
      <c r="Q581" t="s">
        <v>72</v>
      </c>
      <c r="R581" s="26" t="s">
        <v>180</v>
      </c>
      <c r="S581">
        <v>3</v>
      </c>
      <c r="T581">
        <v>3653</v>
      </c>
      <c r="U581">
        <v>0</v>
      </c>
      <c r="V581">
        <v>3653</v>
      </c>
    </row>
    <row r="582" spans="1:22" x14ac:dyDescent="0.3">
      <c r="A582">
        <v>80147</v>
      </c>
      <c r="B582">
        <v>455826782</v>
      </c>
      <c r="C582" t="s">
        <v>3484</v>
      </c>
      <c r="D582" s="9" t="s">
        <v>3485</v>
      </c>
      <c r="E582" t="s">
        <v>2901</v>
      </c>
      <c r="F582" t="s">
        <v>770</v>
      </c>
      <c r="G582" t="s">
        <v>28</v>
      </c>
      <c r="H582" t="s">
        <v>29</v>
      </c>
      <c r="I582" t="s">
        <v>34</v>
      </c>
      <c r="J582" t="s">
        <v>30</v>
      </c>
      <c r="K582" t="s">
        <v>27</v>
      </c>
      <c r="L582" t="s">
        <v>3486</v>
      </c>
      <c r="M582" t="s">
        <v>3487</v>
      </c>
      <c r="N582" t="s">
        <v>773</v>
      </c>
      <c r="O582" t="s">
        <v>31</v>
      </c>
      <c r="P582" t="s">
        <v>3488</v>
      </c>
      <c r="Q582" t="s">
        <v>126</v>
      </c>
      <c r="R582" s="26" t="s">
        <v>716</v>
      </c>
      <c r="S582">
        <v>5.2</v>
      </c>
      <c r="T582">
        <v>5778</v>
      </c>
      <c r="U582">
        <v>0</v>
      </c>
      <c r="V582">
        <v>5778</v>
      </c>
    </row>
    <row r="583" spans="1:22" x14ac:dyDescent="0.3">
      <c r="A583">
        <v>80147</v>
      </c>
      <c r="B583">
        <v>455826837</v>
      </c>
      <c r="C583" t="s">
        <v>3489</v>
      </c>
      <c r="D583" s="9" t="s">
        <v>3490</v>
      </c>
      <c r="E583" t="s">
        <v>2901</v>
      </c>
      <c r="F583" t="s">
        <v>770</v>
      </c>
      <c r="G583" t="s">
        <v>28</v>
      </c>
      <c r="H583" t="s">
        <v>29</v>
      </c>
      <c r="I583" t="s">
        <v>34</v>
      </c>
      <c r="J583" t="s">
        <v>30</v>
      </c>
      <c r="K583" t="s">
        <v>27</v>
      </c>
      <c r="L583" t="s">
        <v>3491</v>
      </c>
      <c r="M583" t="s">
        <v>3492</v>
      </c>
      <c r="N583" t="s">
        <v>773</v>
      </c>
      <c r="O583" t="s">
        <v>31</v>
      </c>
      <c r="P583" t="s">
        <v>3493</v>
      </c>
      <c r="Q583" t="s">
        <v>85</v>
      </c>
      <c r="R583" s="26" t="s">
        <v>180</v>
      </c>
      <c r="S583">
        <v>5</v>
      </c>
      <c r="T583">
        <v>4305</v>
      </c>
      <c r="U583">
        <v>0</v>
      </c>
      <c r="V583">
        <v>4305</v>
      </c>
    </row>
    <row r="584" spans="1:22" x14ac:dyDescent="0.3">
      <c r="A584">
        <v>80147</v>
      </c>
      <c r="B584">
        <v>455658973</v>
      </c>
      <c r="C584" t="s">
        <v>3494</v>
      </c>
      <c r="D584" s="9" t="s">
        <v>3495</v>
      </c>
      <c r="E584" t="s">
        <v>2901</v>
      </c>
      <c r="F584" t="s">
        <v>770</v>
      </c>
      <c r="G584" t="s">
        <v>28</v>
      </c>
      <c r="H584" t="s">
        <v>29</v>
      </c>
      <c r="I584" t="s">
        <v>34</v>
      </c>
      <c r="J584" t="s">
        <v>30</v>
      </c>
      <c r="K584" t="s">
        <v>27</v>
      </c>
      <c r="L584" t="s">
        <v>3496</v>
      </c>
      <c r="M584" t="s">
        <v>3497</v>
      </c>
      <c r="N584" t="s">
        <v>773</v>
      </c>
      <c r="O584" t="s">
        <v>31</v>
      </c>
      <c r="P584" t="s">
        <v>3498</v>
      </c>
      <c r="Q584" t="s">
        <v>115</v>
      </c>
      <c r="R584" s="26" t="s">
        <v>722</v>
      </c>
      <c r="S584">
        <v>6.5</v>
      </c>
      <c r="T584">
        <v>5024</v>
      </c>
      <c r="U584">
        <v>0</v>
      </c>
      <c r="V584">
        <v>5024</v>
      </c>
    </row>
    <row r="585" spans="1:22" x14ac:dyDescent="0.3">
      <c r="A585">
        <v>80147</v>
      </c>
      <c r="B585">
        <v>455826823</v>
      </c>
      <c r="C585" t="s">
        <v>3499</v>
      </c>
      <c r="D585" s="9" t="s">
        <v>3500</v>
      </c>
      <c r="E585" t="s">
        <v>2901</v>
      </c>
      <c r="F585" t="s">
        <v>770</v>
      </c>
      <c r="G585" t="s">
        <v>28</v>
      </c>
      <c r="H585" t="s">
        <v>29</v>
      </c>
      <c r="I585" t="s">
        <v>34</v>
      </c>
      <c r="J585" t="s">
        <v>30</v>
      </c>
      <c r="K585" t="s">
        <v>27</v>
      </c>
      <c r="L585" t="s">
        <v>3501</v>
      </c>
      <c r="M585" t="s">
        <v>3502</v>
      </c>
      <c r="N585" t="s">
        <v>773</v>
      </c>
      <c r="O585" t="s">
        <v>31</v>
      </c>
      <c r="P585" t="s">
        <v>3503</v>
      </c>
      <c r="Q585" t="s">
        <v>41</v>
      </c>
      <c r="R585" s="26" t="s">
        <v>180</v>
      </c>
      <c r="S585">
        <v>5.8</v>
      </c>
      <c r="T585">
        <v>6114</v>
      </c>
      <c r="U585">
        <v>0</v>
      </c>
      <c r="V585">
        <v>6114</v>
      </c>
    </row>
    <row r="586" spans="1:22" x14ac:dyDescent="0.3">
      <c r="A586">
        <v>80147</v>
      </c>
      <c r="B586">
        <v>455826765</v>
      </c>
      <c r="C586" t="s">
        <v>3504</v>
      </c>
      <c r="D586" s="9" t="s">
        <v>3505</v>
      </c>
      <c r="E586" t="s">
        <v>2901</v>
      </c>
      <c r="F586" t="s">
        <v>770</v>
      </c>
      <c r="G586" t="s">
        <v>28</v>
      </c>
      <c r="H586" t="s">
        <v>29</v>
      </c>
      <c r="I586" t="s">
        <v>34</v>
      </c>
      <c r="J586" t="s">
        <v>30</v>
      </c>
      <c r="K586" t="s">
        <v>27</v>
      </c>
      <c r="L586" t="s">
        <v>3506</v>
      </c>
      <c r="M586" t="s">
        <v>3507</v>
      </c>
      <c r="N586" t="s">
        <v>773</v>
      </c>
      <c r="O586" t="s">
        <v>31</v>
      </c>
      <c r="P586" t="s">
        <v>3508</v>
      </c>
      <c r="Q586" t="s">
        <v>80</v>
      </c>
      <c r="R586" s="26" t="s">
        <v>716</v>
      </c>
      <c r="S586">
        <v>5</v>
      </c>
      <c r="T586">
        <v>3664</v>
      </c>
      <c r="U586">
        <v>0</v>
      </c>
      <c r="V586">
        <v>3664</v>
      </c>
    </row>
    <row r="587" spans="1:22" x14ac:dyDescent="0.3">
      <c r="A587">
        <v>80147</v>
      </c>
      <c r="B587">
        <v>455658930</v>
      </c>
      <c r="C587" t="s">
        <v>3509</v>
      </c>
      <c r="D587" s="9" t="s">
        <v>3510</v>
      </c>
      <c r="E587" t="s">
        <v>2901</v>
      </c>
      <c r="F587" t="s">
        <v>770</v>
      </c>
      <c r="G587" t="s">
        <v>28</v>
      </c>
      <c r="H587" t="s">
        <v>29</v>
      </c>
      <c r="I587" t="s">
        <v>34</v>
      </c>
      <c r="J587" t="s">
        <v>30</v>
      </c>
      <c r="K587" t="s">
        <v>27</v>
      </c>
      <c r="L587" t="s">
        <v>3511</v>
      </c>
      <c r="M587" t="s">
        <v>557</v>
      </c>
      <c r="N587" t="s">
        <v>773</v>
      </c>
      <c r="O587" t="s">
        <v>31</v>
      </c>
      <c r="P587" t="s">
        <v>3512</v>
      </c>
      <c r="Q587" t="s">
        <v>109</v>
      </c>
      <c r="R587" s="26" t="s">
        <v>722</v>
      </c>
      <c r="S587">
        <v>6</v>
      </c>
      <c r="T587">
        <v>5024</v>
      </c>
      <c r="U587">
        <v>0</v>
      </c>
      <c r="V587">
        <v>5024</v>
      </c>
    </row>
    <row r="588" spans="1:22" x14ac:dyDescent="0.3">
      <c r="A588">
        <v>80147</v>
      </c>
      <c r="B588">
        <v>455658935</v>
      </c>
      <c r="C588" t="s">
        <v>3513</v>
      </c>
      <c r="D588" s="9" t="s">
        <v>3514</v>
      </c>
      <c r="E588" t="s">
        <v>2901</v>
      </c>
      <c r="F588" t="s">
        <v>770</v>
      </c>
      <c r="G588" t="s">
        <v>28</v>
      </c>
      <c r="H588" t="s">
        <v>29</v>
      </c>
      <c r="I588" t="s">
        <v>34</v>
      </c>
      <c r="J588" t="s">
        <v>30</v>
      </c>
      <c r="K588" t="s">
        <v>27</v>
      </c>
      <c r="L588" t="s">
        <v>3515</v>
      </c>
      <c r="M588" t="s">
        <v>3516</v>
      </c>
      <c r="N588" t="s">
        <v>773</v>
      </c>
      <c r="O588" t="s">
        <v>31</v>
      </c>
      <c r="P588" t="s">
        <v>3517</v>
      </c>
      <c r="Q588" t="s">
        <v>125</v>
      </c>
      <c r="R588" s="26" t="s">
        <v>722</v>
      </c>
      <c r="S588">
        <v>1</v>
      </c>
      <c r="T588">
        <v>3653</v>
      </c>
      <c r="U588">
        <v>0</v>
      </c>
      <c r="V588">
        <v>3653</v>
      </c>
    </row>
    <row r="589" spans="1:22" x14ac:dyDescent="0.3">
      <c r="A589">
        <v>80147</v>
      </c>
      <c r="B589">
        <v>455658936</v>
      </c>
      <c r="C589" t="s">
        <v>3518</v>
      </c>
      <c r="D589" s="9" t="s">
        <v>3519</v>
      </c>
      <c r="E589" t="s">
        <v>2901</v>
      </c>
      <c r="F589" t="s">
        <v>770</v>
      </c>
      <c r="G589" t="s">
        <v>28</v>
      </c>
      <c r="H589" t="s">
        <v>29</v>
      </c>
      <c r="I589" t="s">
        <v>34</v>
      </c>
      <c r="J589" t="s">
        <v>30</v>
      </c>
      <c r="K589" t="s">
        <v>27</v>
      </c>
      <c r="L589" t="s">
        <v>3520</v>
      </c>
      <c r="M589" t="s">
        <v>3521</v>
      </c>
      <c r="N589" t="s">
        <v>773</v>
      </c>
      <c r="O589" t="s">
        <v>31</v>
      </c>
      <c r="P589" t="s">
        <v>3522</v>
      </c>
      <c r="Q589" t="s">
        <v>162</v>
      </c>
      <c r="R589" s="26" t="s">
        <v>722</v>
      </c>
      <c r="S589">
        <v>1</v>
      </c>
      <c r="T589">
        <v>3737</v>
      </c>
      <c r="U589">
        <v>0</v>
      </c>
      <c r="V589">
        <v>3737</v>
      </c>
    </row>
    <row r="590" spans="1:22" x14ac:dyDescent="0.3">
      <c r="A590">
        <v>80147</v>
      </c>
      <c r="B590">
        <v>455658950</v>
      </c>
      <c r="C590" t="s">
        <v>3523</v>
      </c>
      <c r="D590" s="9" t="s">
        <v>3524</v>
      </c>
      <c r="E590" t="s">
        <v>2901</v>
      </c>
      <c r="F590" t="s">
        <v>770</v>
      </c>
      <c r="G590" t="s">
        <v>28</v>
      </c>
      <c r="H590" t="s">
        <v>29</v>
      </c>
      <c r="I590" t="s">
        <v>34</v>
      </c>
      <c r="J590" t="s">
        <v>30</v>
      </c>
      <c r="K590" t="s">
        <v>27</v>
      </c>
      <c r="L590" t="s">
        <v>3525</v>
      </c>
      <c r="M590" t="s">
        <v>3526</v>
      </c>
      <c r="N590" t="s">
        <v>773</v>
      </c>
      <c r="O590" t="s">
        <v>31</v>
      </c>
      <c r="P590" t="s">
        <v>3527</v>
      </c>
      <c r="Q590" t="s">
        <v>109</v>
      </c>
      <c r="R590" s="26" t="s">
        <v>722</v>
      </c>
      <c r="S590">
        <v>3</v>
      </c>
      <c r="T590">
        <v>3250</v>
      </c>
      <c r="U590">
        <v>0</v>
      </c>
      <c r="V590">
        <v>3250</v>
      </c>
    </row>
    <row r="591" spans="1:22" x14ac:dyDescent="0.3">
      <c r="A591">
        <v>80147</v>
      </c>
      <c r="B591">
        <v>455658921</v>
      </c>
      <c r="C591" t="s">
        <v>3528</v>
      </c>
      <c r="D591" s="9" t="s">
        <v>3529</v>
      </c>
      <c r="E591" t="s">
        <v>2901</v>
      </c>
      <c r="F591" t="s">
        <v>770</v>
      </c>
      <c r="G591" t="s">
        <v>28</v>
      </c>
      <c r="H591" t="s">
        <v>29</v>
      </c>
      <c r="I591" t="s">
        <v>34</v>
      </c>
      <c r="J591" t="s">
        <v>30</v>
      </c>
      <c r="K591" t="s">
        <v>27</v>
      </c>
      <c r="L591" t="s">
        <v>3530</v>
      </c>
      <c r="M591" t="s">
        <v>3531</v>
      </c>
      <c r="N591" t="s">
        <v>773</v>
      </c>
      <c r="O591" t="s">
        <v>31</v>
      </c>
      <c r="P591" t="s">
        <v>3532</v>
      </c>
      <c r="Q591" t="s">
        <v>108</v>
      </c>
      <c r="R591" s="26" t="s">
        <v>722</v>
      </c>
      <c r="S591">
        <v>6.4</v>
      </c>
      <c r="T591">
        <v>5024</v>
      </c>
      <c r="U591">
        <v>0</v>
      </c>
      <c r="V591">
        <v>5024</v>
      </c>
    </row>
    <row r="592" spans="1:22" x14ac:dyDescent="0.3">
      <c r="A592">
        <v>80147</v>
      </c>
      <c r="B592">
        <v>455658909</v>
      </c>
      <c r="C592" t="s">
        <v>3533</v>
      </c>
      <c r="D592" s="9" t="s">
        <v>3534</v>
      </c>
      <c r="E592" t="s">
        <v>2901</v>
      </c>
      <c r="F592" t="s">
        <v>770</v>
      </c>
      <c r="G592" t="s">
        <v>28</v>
      </c>
      <c r="H592" t="s">
        <v>29</v>
      </c>
      <c r="I592" t="s">
        <v>34</v>
      </c>
      <c r="J592" t="s">
        <v>30</v>
      </c>
      <c r="K592" t="s">
        <v>27</v>
      </c>
      <c r="L592" t="s">
        <v>3535</v>
      </c>
      <c r="M592" t="s">
        <v>657</v>
      </c>
      <c r="N592" t="s">
        <v>773</v>
      </c>
      <c r="O592" t="s">
        <v>31</v>
      </c>
      <c r="P592" t="s">
        <v>3536</v>
      </c>
      <c r="Q592" t="s">
        <v>62</v>
      </c>
      <c r="R592" s="26" t="s">
        <v>722</v>
      </c>
      <c r="S592">
        <v>6.1</v>
      </c>
      <c r="T592">
        <v>5295</v>
      </c>
      <c r="U592">
        <v>0</v>
      </c>
      <c r="V592">
        <v>5295</v>
      </c>
    </row>
    <row r="593" spans="1:22" x14ac:dyDescent="0.3">
      <c r="A593">
        <v>80147</v>
      </c>
      <c r="B593">
        <v>455658934</v>
      </c>
      <c r="C593" t="s">
        <v>3537</v>
      </c>
      <c r="D593" s="9" t="s">
        <v>3538</v>
      </c>
      <c r="E593" t="s">
        <v>2901</v>
      </c>
      <c r="F593" t="s">
        <v>770</v>
      </c>
      <c r="G593" t="s">
        <v>28</v>
      </c>
      <c r="H593" t="s">
        <v>29</v>
      </c>
      <c r="I593" t="s">
        <v>34</v>
      </c>
      <c r="J593" t="s">
        <v>30</v>
      </c>
      <c r="K593" t="s">
        <v>27</v>
      </c>
      <c r="L593" t="s">
        <v>3539</v>
      </c>
      <c r="M593" t="s">
        <v>3540</v>
      </c>
      <c r="N593" t="s">
        <v>773</v>
      </c>
      <c r="O593" t="s">
        <v>31</v>
      </c>
      <c r="P593" t="s">
        <v>3541</v>
      </c>
      <c r="Q593" t="s">
        <v>72</v>
      </c>
      <c r="R593" s="26" t="s">
        <v>722</v>
      </c>
      <c r="S593">
        <v>6.1</v>
      </c>
      <c r="T593">
        <v>5564</v>
      </c>
      <c r="U593">
        <v>0</v>
      </c>
      <c r="V593">
        <v>5564</v>
      </c>
    </row>
    <row r="594" spans="1:22" x14ac:dyDescent="0.3">
      <c r="A594">
        <v>80147</v>
      </c>
      <c r="B594">
        <v>455658897</v>
      </c>
      <c r="C594" t="s">
        <v>3542</v>
      </c>
      <c r="D594" s="9" t="s">
        <v>3543</v>
      </c>
      <c r="E594" t="s">
        <v>2901</v>
      </c>
      <c r="F594" t="s">
        <v>770</v>
      </c>
      <c r="G594" t="s">
        <v>28</v>
      </c>
      <c r="H594" t="s">
        <v>29</v>
      </c>
      <c r="I594" t="s">
        <v>34</v>
      </c>
      <c r="J594" t="s">
        <v>30</v>
      </c>
      <c r="K594" t="s">
        <v>27</v>
      </c>
      <c r="L594" t="s">
        <v>3544</v>
      </c>
      <c r="M594" t="s">
        <v>3545</v>
      </c>
      <c r="N594" t="s">
        <v>773</v>
      </c>
      <c r="O594" t="s">
        <v>31</v>
      </c>
      <c r="P594" t="s">
        <v>3546</v>
      </c>
      <c r="Q594" t="s">
        <v>42</v>
      </c>
      <c r="R594" s="26" t="s">
        <v>722</v>
      </c>
      <c r="S594">
        <v>6.5</v>
      </c>
      <c r="T594">
        <v>5564</v>
      </c>
      <c r="U594">
        <v>0</v>
      </c>
      <c r="V594">
        <v>5564</v>
      </c>
    </row>
    <row r="595" spans="1:22" x14ac:dyDescent="0.3">
      <c r="A595">
        <v>80147</v>
      </c>
      <c r="B595">
        <v>455658890</v>
      </c>
      <c r="C595" t="s">
        <v>3547</v>
      </c>
      <c r="D595" s="9" t="s">
        <v>3548</v>
      </c>
      <c r="E595" t="s">
        <v>2901</v>
      </c>
      <c r="F595" t="s">
        <v>770</v>
      </c>
      <c r="G595" t="s">
        <v>28</v>
      </c>
      <c r="H595" t="s">
        <v>29</v>
      </c>
      <c r="I595" t="s">
        <v>34</v>
      </c>
      <c r="J595" t="s">
        <v>30</v>
      </c>
      <c r="K595" t="s">
        <v>27</v>
      </c>
      <c r="L595" t="s">
        <v>3549</v>
      </c>
      <c r="M595" t="s">
        <v>584</v>
      </c>
      <c r="N595" t="s">
        <v>773</v>
      </c>
      <c r="O595" t="s">
        <v>31</v>
      </c>
      <c r="P595" t="s">
        <v>3550</v>
      </c>
      <c r="Q595" t="s">
        <v>171</v>
      </c>
      <c r="R595" s="26" t="s">
        <v>722</v>
      </c>
      <c r="S595">
        <v>5.8</v>
      </c>
      <c r="T595">
        <v>5024</v>
      </c>
      <c r="U595">
        <v>0</v>
      </c>
      <c r="V595">
        <v>5024</v>
      </c>
    </row>
    <row r="596" spans="1:22" x14ac:dyDescent="0.3">
      <c r="A596">
        <v>80147</v>
      </c>
      <c r="B596">
        <v>455446191</v>
      </c>
      <c r="C596" t="s">
        <v>3551</v>
      </c>
      <c r="D596" s="9" t="s">
        <v>3552</v>
      </c>
      <c r="E596" t="s">
        <v>2901</v>
      </c>
      <c r="F596" t="s">
        <v>770</v>
      </c>
      <c r="G596" t="s">
        <v>28</v>
      </c>
      <c r="H596" t="s">
        <v>29</v>
      </c>
      <c r="I596" t="s">
        <v>34</v>
      </c>
      <c r="J596" t="s">
        <v>30</v>
      </c>
      <c r="K596" t="s">
        <v>27</v>
      </c>
      <c r="L596" t="s">
        <v>3553</v>
      </c>
      <c r="M596" t="s">
        <v>3554</v>
      </c>
      <c r="N596" t="s">
        <v>773</v>
      </c>
      <c r="O596" t="s">
        <v>31</v>
      </c>
      <c r="P596" t="s">
        <v>3555</v>
      </c>
      <c r="Q596" t="s">
        <v>102</v>
      </c>
      <c r="R596" s="26" t="s">
        <v>95</v>
      </c>
      <c r="S596">
        <v>5.9</v>
      </c>
      <c r="T596">
        <v>6655</v>
      </c>
      <c r="U596">
        <v>0</v>
      </c>
      <c r="V596">
        <v>6655</v>
      </c>
    </row>
    <row r="597" spans="1:22" x14ac:dyDescent="0.3">
      <c r="A597">
        <v>80147</v>
      </c>
      <c r="B597">
        <v>455658899</v>
      </c>
      <c r="C597" t="s">
        <v>3556</v>
      </c>
      <c r="D597" s="9" t="s">
        <v>3557</v>
      </c>
      <c r="E597" t="s">
        <v>2901</v>
      </c>
      <c r="F597" t="s">
        <v>770</v>
      </c>
      <c r="G597" t="s">
        <v>28</v>
      </c>
      <c r="H597" t="s">
        <v>29</v>
      </c>
      <c r="I597" t="s">
        <v>34</v>
      </c>
      <c r="J597" t="s">
        <v>30</v>
      </c>
      <c r="K597" t="s">
        <v>27</v>
      </c>
      <c r="L597" t="s">
        <v>3558</v>
      </c>
      <c r="M597" t="s">
        <v>3559</v>
      </c>
      <c r="N597" t="s">
        <v>773</v>
      </c>
      <c r="O597" t="s">
        <v>31</v>
      </c>
      <c r="P597" t="s">
        <v>3560</v>
      </c>
      <c r="Q597" t="s">
        <v>99</v>
      </c>
      <c r="R597" s="26" t="s">
        <v>722</v>
      </c>
      <c r="S597">
        <v>1</v>
      </c>
      <c r="T597">
        <v>3250</v>
      </c>
      <c r="U597">
        <v>0</v>
      </c>
      <c r="V597">
        <v>3250</v>
      </c>
    </row>
    <row r="598" spans="1:22" x14ac:dyDescent="0.3">
      <c r="A598">
        <v>80147</v>
      </c>
      <c r="B598">
        <v>455658937</v>
      </c>
      <c r="C598" t="s">
        <v>3561</v>
      </c>
      <c r="D598" s="9" t="s">
        <v>3562</v>
      </c>
      <c r="E598" t="s">
        <v>2901</v>
      </c>
      <c r="F598" t="s">
        <v>770</v>
      </c>
      <c r="G598" t="s">
        <v>28</v>
      </c>
      <c r="H598" t="s">
        <v>29</v>
      </c>
      <c r="I598" t="s">
        <v>34</v>
      </c>
      <c r="J598" t="s">
        <v>30</v>
      </c>
      <c r="K598" t="s">
        <v>27</v>
      </c>
      <c r="L598" t="s">
        <v>3563</v>
      </c>
      <c r="M598" t="s">
        <v>3564</v>
      </c>
      <c r="N598" t="s">
        <v>773</v>
      </c>
      <c r="O598" t="s">
        <v>31</v>
      </c>
      <c r="P598" t="s">
        <v>3565</v>
      </c>
      <c r="Q598" t="s">
        <v>109</v>
      </c>
      <c r="R598" s="26" t="s">
        <v>722</v>
      </c>
      <c r="S598">
        <v>1</v>
      </c>
      <c r="T598">
        <v>3250</v>
      </c>
      <c r="U598">
        <v>0</v>
      </c>
      <c r="V598">
        <v>3250</v>
      </c>
    </row>
    <row r="599" spans="1:22" x14ac:dyDescent="0.3">
      <c r="A599">
        <v>80147</v>
      </c>
      <c r="B599">
        <v>455658865</v>
      </c>
      <c r="C599" t="s">
        <v>3566</v>
      </c>
      <c r="D599" s="9" t="s">
        <v>3567</v>
      </c>
      <c r="E599" t="s">
        <v>2901</v>
      </c>
      <c r="F599" t="s">
        <v>770</v>
      </c>
      <c r="G599" t="s">
        <v>28</v>
      </c>
      <c r="H599" t="s">
        <v>29</v>
      </c>
      <c r="I599" t="s">
        <v>34</v>
      </c>
      <c r="J599" t="s">
        <v>30</v>
      </c>
      <c r="K599" t="s">
        <v>27</v>
      </c>
      <c r="L599" t="s">
        <v>3568</v>
      </c>
      <c r="M599" t="s">
        <v>3569</v>
      </c>
      <c r="N599" t="s">
        <v>773</v>
      </c>
      <c r="O599" t="s">
        <v>31</v>
      </c>
      <c r="P599" t="s">
        <v>3570</v>
      </c>
      <c r="Q599" t="s">
        <v>171</v>
      </c>
      <c r="R599" s="26" t="s">
        <v>722</v>
      </c>
      <c r="S599">
        <v>6.2</v>
      </c>
      <c r="T599">
        <v>5024</v>
      </c>
      <c r="U599">
        <v>0</v>
      </c>
      <c r="V599">
        <v>5024</v>
      </c>
    </row>
    <row r="600" spans="1:22" x14ac:dyDescent="0.3">
      <c r="A600">
        <v>80147</v>
      </c>
      <c r="B600">
        <v>455493675</v>
      </c>
      <c r="C600" t="s">
        <v>3571</v>
      </c>
      <c r="D600" s="9" t="s">
        <v>3572</v>
      </c>
      <c r="E600" t="s">
        <v>2901</v>
      </c>
      <c r="F600" t="s">
        <v>770</v>
      </c>
      <c r="G600" t="s">
        <v>28</v>
      </c>
      <c r="H600" t="s">
        <v>29</v>
      </c>
      <c r="I600" t="s">
        <v>34</v>
      </c>
      <c r="J600" t="s">
        <v>30</v>
      </c>
      <c r="K600" t="s">
        <v>27</v>
      </c>
      <c r="L600" t="s">
        <v>3573</v>
      </c>
      <c r="M600" t="s">
        <v>3574</v>
      </c>
      <c r="N600" t="s">
        <v>773</v>
      </c>
      <c r="O600" t="s">
        <v>31</v>
      </c>
      <c r="P600" t="s">
        <v>3575</v>
      </c>
      <c r="Q600" t="s">
        <v>119</v>
      </c>
      <c r="R600" s="26" t="s">
        <v>739</v>
      </c>
      <c r="S600">
        <v>7.1</v>
      </c>
      <c r="T600">
        <v>6655</v>
      </c>
      <c r="U600">
        <v>0</v>
      </c>
      <c r="V600">
        <v>6655</v>
      </c>
    </row>
    <row r="601" spans="1:22" x14ac:dyDescent="0.3">
      <c r="A601">
        <v>80147</v>
      </c>
      <c r="B601">
        <v>455493664</v>
      </c>
      <c r="C601" t="s">
        <v>3576</v>
      </c>
      <c r="D601" s="9" t="s">
        <v>3577</v>
      </c>
      <c r="E601" t="s">
        <v>2901</v>
      </c>
      <c r="F601" t="s">
        <v>770</v>
      </c>
      <c r="G601" t="s">
        <v>28</v>
      </c>
      <c r="H601" t="s">
        <v>29</v>
      </c>
      <c r="I601" t="s">
        <v>34</v>
      </c>
      <c r="J601" t="s">
        <v>30</v>
      </c>
      <c r="K601" t="s">
        <v>27</v>
      </c>
      <c r="L601" t="s">
        <v>3578</v>
      </c>
      <c r="M601" t="s">
        <v>3579</v>
      </c>
      <c r="N601" t="s">
        <v>773</v>
      </c>
      <c r="O601" t="s">
        <v>31</v>
      </c>
      <c r="P601" t="s">
        <v>3580</v>
      </c>
      <c r="Q601" t="s">
        <v>73</v>
      </c>
      <c r="R601" s="26" t="s">
        <v>739</v>
      </c>
      <c r="S601">
        <v>5.4</v>
      </c>
      <c r="T601">
        <v>5295</v>
      </c>
      <c r="U601">
        <v>0</v>
      </c>
      <c r="V601">
        <v>5295</v>
      </c>
    </row>
    <row r="602" spans="1:22" x14ac:dyDescent="0.3">
      <c r="A602">
        <v>80147</v>
      </c>
      <c r="B602">
        <v>455493669</v>
      </c>
      <c r="C602" t="s">
        <v>3581</v>
      </c>
      <c r="D602" s="9" t="s">
        <v>3582</v>
      </c>
      <c r="E602" t="s">
        <v>2901</v>
      </c>
      <c r="F602" t="s">
        <v>770</v>
      </c>
      <c r="G602" t="s">
        <v>28</v>
      </c>
      <c r="H602" t="s">
        <v>29</v>
      </c>
      <c r="I602" t="s">
        <v>34</v>
      </c>
      <c r="J602" t="s">
        <v>30</v>
      </c>
      <c r="K602" t="s">
        <v>27</v>
      </c>
      <c r="L602" t="s">
        <v>3583</v>
      </c>
      <c r="M602" t="s">
        <v>659</v>
      </c>
      <c r="N602" t="s">
        <v>773</v>
      </c>
      <c r="O602" t="s">
        <v>31</v>
      </c>
      <c r="P602" t="s">
        <v>3584</v>
      </c>
      <c r="Q602" t="s">
        <v>108</v>
      </c>
      <c r="R602" s="26" t="s">
        <v>739</v>
      </c>
      <c r="S602">
        <v>1.1000000000000001</v>
      </c>
      <c r="T602">
        <v>3250</v>
      </c>
      <c r="U602">
        <v>0</v>
      </c>
      <c r="V602">
        <v>3250</v>
      </c>
    </row>
    <row r="603" spans="1:22" x14ac:dyDescent="0.3">
      <c r="A603">
        <v>80147</v>
      </c>
      <c r="B603">
        <v>455493670</v>
      </c>
      <c r="C603" t="s">
        <v>3585</v>
      </c>
      <c r="D603" s="9" t="s">
        <v>3586</v>
      </c>
      <c r="E603" t="s">
        <v>2901</v>
      </c>
      <c r="F603" t="s">
        <v>770</v>
      </c>
      <c r="G603" t="s">
        <v>28</v>
      </c>
      <c r="H603" t="s">
        <v>29</v>
      </c>
      <c r="I603" t="s">
        <v>34</v>
      </c>
      <c r="J603" t="s">
        <v>30</v>
      </c>
      <c r="K603" t="s">
        <v>27</v>
      </c>
      <c r="L603" t="s">
        <v>3587</v>
      </c>
      <c r="M603" t="s">
        <v>3588</v>
      </c>
      <c r="N603" t="s">
        <v>773</v>
      </c>
      <c r="O603" t="s">
        <v>31</v>
      </c>
      <c r="P603" t="s">
        <v>3589</v>
      </c>
      <c r="Q603" t="s">
        <v>171</v>
      </c>
      <c r="R603" s="26" t="s">
        <v>739</v>
      </c>
      <c r="S603">
        <v>6.1</v>
      </c>
      <c r="T603">
        <v>5024</v>
      </c>
      <c r="U603">
        <v>0</v>
      </c>
      <c r="V603">
        <v>5024</v>
      </c>
    </row>
    <row r="604" spans="1:22" x14ac:dyDescent="0.3">
      <c r="A604">
        <v>80147</v>
      </c>
      <c r="B604">
        <v>455520696</v>
      </c>
      <c r="C604" t="s">
        <v>3590</v>
      </c>
      <c r="D604" s="9" t="s">
        <v>3591</v>
      </c>
      <c r="E604" t="s">
        <v>2901</v>
      </c>
      <c r="F604" t="s">
        <v>770</v>
      </c>
      <c r="G604" t="s">
        <v>28</v>
      </c>
      <c r="H604" t="s">
        <v>29</v>
      </c>
      <c r="I604" t="s">
        <v>34</v>
      </c>
      <c r="J604" t="s">
        <v>30</v>
      </c>
      <c r="K604" t="s">
        <v>27</v>
      </c>
      <c r="L604" t="s">
        <v>3592</v>
      </c>
      <c r="M604" t="s">
        <v>3593</v>
      </c>
      <c r="N604" t="s">
        <v>773</v>
      </c>
      <c r="O604" t="s">
        <v>31</v>
      </c>
      <c r="P604" t="s">
        <v>3594</v>
      </c>
      <c r="Q604" t="s">
        <v>171</v>
      </c>
      <c r="R604" s="26" t="s">
        <v>305</v>
      </c>
      <c r="S604">
        <v>5.4</v>
      </c>
      <c r="T604">
        <v>5024</v>
      </c>
      <c r="U604">
        <v>0</v>
      </c>
      <c r="V604">
        <v>5024</v>
      </c>
    </row>
    <row r="605" spans="1:22" x14ac:dyDescent="0.3">
      <c r="A605">
        <v>80147</v>
      </c>
      <c r="B605">
        <v>455493673</v>
      </c>
      <c r="C605" t="s">
        <v>3595</v>
      </c>
      <c r="D605" s="9" t="s">
        <v>3596</v>
      </c>
      <c r="E605" t="s">
        <v>2901</v>
      </c>
      <c r="F605" t="s">
        <v>770</v>
      </c>
      <c r="G605" t="s">
        <v>28</v>
      </c>
      <c r="H605" t="s">
        <v>29</v>
      </c>
      <c r="I605" t="s">
        <v>34</v>
      </c>
      <c r="J605" t="s">
        <v>30</v>
      </c>
      <c r="K605" t="s">
        <v>27</v>
      </c>
      <c r="L605" t="s">
        <v>3597</v>
      </c>
      <c r="M605" t="s">
        <v>678</v>
      </c>
      <c r="N605" t="s">
        <v>773</v>
      </c>
      <c r="O605" t="s">
        <v>31</v>
      </c>
      <c r="P605" t="s">
        <v>3598</v>
      </c>
      <c r="Q605" t="s">
        <v>62</v>
      </c>
      <c r="R605" s="26" t="s">
        <v>739</v>
      </c>
      <c r="S605">
        <v>5.4</v>
      </c>
      <c r="T605">
        <v>5295</v>
      </c>
      <c r="U605">
        <v>0</v>
      </c>
      <c r="V605">
        <v>5295</v>
      </c>
    </row>
    <row r="606" spans="1:22" x14ac:dyDescent="0.3">
      <c r="A606">
        <v>80147</v>
      </c>
      <c r="B606">
        <v>455493672</v>
      </c>
      <c r="C606" t="s">
        <v>3599</v>
      </c>
      <c r="D606" s="9" t="s">
        <v>3600</v>
      </c>
      <c r="E606" t="s">
        <v>2901</v>
      </c>
      <c r="F606" t="s">
        <v>770</v>
      </c>
      <c r="G606" t="s">
        <v>28</v>
      </c>
      <c r="H606" t="s">
        <v>29</v>
      </c>
      <c r="I606" t="s">
        <v>34</v>
      </c>
      <c r="J606" t="s">
        <v>30</v>
      </c>
      <c r="K606" t="s">
        <v>27</v>
      </c>
      <c r="L606" t="s">
        <v>3601</v>
      </c>
      <c r="M606" t="s">
        <v>3602</v>
      </c>
      <c r="N606" t="s">
        <v>773</v>
      </c>
      <c r="O606" t="s">
        <v>31</v>
      </c>
      <c r="P606" t="s">
        <v>3603</v>
      </c>
      <c r="Q606" t="s">
        <v>109</v>
      </c>
      <c r="R606" s="26" t="s">
        <v>739</v>
      </c>
      <c r="S606">
        <v>6.8</v>
      </c>
      <c r="T606">
        <v>5024</v>
      </c>
      <c r="U606">
        <v>0</v>
      </c>
      <c r="V606">
        <v>5024</v>
      </c>
    </row>
    <row r="607" spans="1:22" x14ac:dyDescent="0.3">
      <c r="A607">
        <v>80147</v>
      </c>
      <c r="B607">
        <v>455520685</v>
      </c>
      <c r="C607" t="s">
        <v>3604</v>
      </c>
      <c r="D607" s="9" t="s">
        <v>3605</v>
      </c>
      <c r="E607" t="s">
        <v>2901</v>
      </c>
      <c r="F607" t="s">
        <v>770</v>
      </c>
      <c r="G607" t="s">
        <v>28</v>
      </c>
      <c r="H607" t="s">
        <v>29</v>
      </c>
      <c r="I607" t="s">
        <v>34</v>
      </c>
      <c r="J607" t="s">
        <v>30</v>
      </c>
      <c r="K607" t="s">
        <v>27</v>
      </c>
      <c r="L607" t="s">
        <v>3606</v>
      </c>
      <c r="M607" t="s">
        <v>3216</v>
      </c>
      <c r="N607" t="s">
        <v>773</v>
      </c>
      <c r="O607" t="s">
        <v>31</v>
      </c>
      <c r="P607" t="s">
        <v>3217</v>
      </c>
      <c r="Q607" t="s">
        <v>41</v>
      </c>
      <c r="R607" s="26" t="s">
        <v>305</v>
      </c>
      <c r="S607">
        <v>5.0999999999999996</v>
      </c>
      <c r="T607">
        <v>6114</v>
      </c>
      <c r="U607">
        <v>0</v>
      </c>
      <c r="V607">
        <v>6114</v>
      </c>
    </row>
    <row r="608" spans="1:22" x14ac:dyDescent="0.3">
      <c r="A608">
        <v>80147</v>
      </c>
      <c r="B608">
        <v>455520674</v>
      </c>
      <c r="C608" t="s">
        <v>3607</v>
      </c>
      <c r="D608" s="9" t="s">
        <v>3608</v>
      </c>
      <c r="E608" t="s">
        <v>2901</v>
      </c>
      <c r="F608" t="s">
        <v>770</v>
      </c>
      <c r="G608" t="s">
        <v>28</v>
      </c>
      <c r="H608" t="s">
        <v>29</v>
      </c>
      <c r="I608" t="s">
        <v>34</v>
      </c>
      <c r="J608" t="s">
        <v>30</v>
      </c>
      <c r="K608" t="s">
        <v>27</v>
      </c>
      <c r="L608" t="s">
        <v>3609</v>
      </c>
      <c r="M608" t="s">
        <v>3610</v>
      </c>
      <c r="N608" t="s">
        <v>773</v>
      </c>
      <c r="O608" t="s">
        <v>31</v>
      </c>
      <c r="P608" t="s">
        <v>3611</v>
      </c>
      <c r="Q608" t="s">
        <v>42</v>
      </c>
      <c r="R608" s="26" t="s">
        <v>305</v>
      </c>
      <c r="S608">
        <v>1.3</v>
      </c>
      <c r="T608">
        <v>3631</v>
      </c>
      <c r="U608">
        <v>0</v>
      </c>
      <c r="V608">
        <v>3631</v>
      </c>
    </row>
    <row r="609" spans="1:22" x14ac:dyDescent="0.3">
      <c r="A609">
        <v>80147</v>
      </c>
      <c r="B609">
        <v>455358433</v>
      </c>
      <c r="C609" t="s">
        <v>3612</v>
      </c>
      <c r="D609" s="9" t="s">
        <v>3613</v>
      </c>
      <c r="E609" t="s">
        <v>2901</v>
      </c>
      <c r="F609" t="s">
        <v>770</v>
      </c>
      <c r="G609" t="s">
        <v>28</v>
      </c>
      <c r="H609" t="s">
        <v>29</v>
      </c>
      <c r="I609" t="s">
        <v>34</v>
      </c>
      <c r="J609" t="s">
        <v>30</v>
      </c>
      <c r="K609" t="s">
        <v>27</v>
      </c>
      <c r="L609" t="s">
        <v>3614</v>
      </c>
      <c r="M609" t="s">
        <v>2981</v>
      </c>
      <c r="N609" t="s">
        <v>773</v>
      </c>
      <c r="O609" t="s">
        <v>31</v>
      </c>
      <c r="P609" t="s">
        <v>2982</v>
      </c>
      <c r="Q609" t="s">
        <v>84</v>
      </c>
      <c r="R609" s="26" t="s">
        <v>3615</v>
      </c>
      <c r="S609">
        <v>6</v>
      </c>
      <c r="T609">
        <v>10206</v>
      </c>
      <c r="U609">
        <v>0</v>
      </c>
      <c r="V609">
        <v>10206</v>
      </c>
    </row>
    <row r="610" spans="1:22" x14ac:dyDescent="0.3">
      <c r="A610">
        <v>80147</v>
      </c>
      <c r="B610">
        <v>455414610</v>
      </c>
      <c r="C610" t="s">
        <v>3616</v>
      </c>
      <c r="D610" s="9" t="s">
        <v>3617</v>
      </c>
      <c r="E610" t="s">
        <v>2901</v>
      </c>
      <c r="F610" t="s">
        <v>770</v>
      </c>
      <c r="G610" t="s">
        <v>28</v>
      </c>
      <c r="H610" t="s">
        <v>29</v>
      </c>
      <c r="I610" t="s">
        <v>34</v>
      </c>
      <c r="J610" t="s">
        <v>30</v>
      </c>
      <c r="K610" t="s">
        <v>27</v>
      </c>
      <c r="L610" t="s">
        <v>3618</v>
      </c>
      <c r="M610" t="s">
        <v>3619</v>
      </c>
      <c r="N610" t="s">
        <v>773</v>
      </c>
      <c r="O610" t="s">
        <v>31</v>
      </c>
      <c r="P610" t="s">
        <v>3620</v>
      </c>
      <c r="Q610" t="s">
        <v>89</v>
      </c>
      <c r="R610" s="26" t="s">
        <v>390</v>
      </c>
      <c r="S610">
        <v>5.6</v>
      </c>
      <c r="T610">
        <v>5024</v>
      </c>
      <c r="U610">
        <v>0</v>
      </c>
      <c r="V610">
        <v>5024</v>
      </c>
    </row>
    <row r="611" spans="1:22" x14ac:dyDescent="0.3">
      <c r="A611">
        <v>80147</v>
      </c>
      <c r="B611">
        <v>455409274</v>
      </c>
      <c r="C611" t="s">
        <v>3621</v>
      </c>
      <c r="D611" s="9" t="s">
        <v>3622</v>
      </c>
      <c r="E611" t="s">
        <v>2901</v>
      </c>
      <c r="F611" t="s">
        <v>770</v>
      </c>
      <c r="G611" t="s">
        <v>28</v>
      </c>
      <c r="H611" t="s">
        <v>29</v>
      </c>
      <c r="I611" t="s">
        <v>34</v>
      </c>
      <c r="J611" t="s">
        <v>30</v>
      </c>
      <c r="K611" t="s">
        <v>27</v>
      </c>
      <c r="L611" t="s">
        <v>3623</v>
      </c>
      <c r="M611" t="s">
        <v>3624</v>
      </c>
      <c r="N611" t="s">
        <v>773</v>
      </c>
      <c r="O611" t="s">
        <v>31</v>
      </c>
      <c r="P611" t="s">
        <v>3625</v>
      </c>
      <c r="Q611" t="s">
        <v>109</v>
      </c>
      <c r="R611" s="26" t="s">
        <v>366</v>
      </c>
      <c r="S611">
        <v>1</v>
      </c>
      <c r="T611">
        <v>3250</v>
      </c>
      <c r="U611">
        <v>0</v>
      </c>
      <c r="V611">
        <v>3250</v>
      </c>
    </row>
    <row r="612" spans="1:22" x14ac:dyDescent="0.3">
      <c r="A612">
        <v>80147</v>
      </c>
      <c r="B612">
        <v>455371045</v>
      </c>
      <c r="C612" t="s">
        <v>3626</v>
      </c>
      <c r="D612" s="9" t="s">
        <v>3627</v>
      </c>
      <c r="E612" t="s">
        <v>2901</v>
      </c>
      <c r="F612" t="s">
        <v>770</v>
      </c>
      <c r="G612" t="s">
        <v>28</v>
      </c>
      <c r="H612" t="s">
        <v>29</v>
      </c>
      <c r="I612" t="s">
        <v>34</v>
      </c>
      <c r="J612" t="s">
        <v>30</v>
      </c>
      <c r="K612" t="s">
        <v>27</v>
      </c>
      <c r="L612" t="s">
        <v>3628</v>
      </c>
      <c r="M612" t="s">
        <v>328</v>
      </c>
      <c r="N612" t="s">
        <v>773</v>
      </c>
      <c r="O612" t="s">
        <v>31</v>
      </c>
      <c r="P612" t="s">
        <v>3629</v>
      </c>
      <c r="Q612" t="s">
        <v>67</v>
      </c>
      <c r="R612" s="26" t="s">
        <v>319</v>
      </c>
      <c r="S612">
        <v>6.5</v>
      </c>
      <c r="T612">
        <v>5295</v>
      </c>
      <c r="U612">
        <v>0</v>
      </c>
      <c r="V612">
        <v>5295</v>
      </c>
    </row>
    <row r="613" spans="1:22" x14ac:dyDescent="0.3">
      <c r="A613">
        <v>80147</v>
      </c>
      <c r="B613">
        <v>455322589</v>
      </c>
      <c r="C613" t="s">
        <v>3630</v>
      </c>
      <c r="D613" s="9" t="s">
        <v>3631</v>
      </c>
      <c r="E613" t="s">
        <v>2901</v>
      </c>
      <c r="F613" t="s">
        <v>770</v>
      </c>
      <c r="G613" t="s">
        <v>28</v>
      </c>
      <c r="H613" t="s">
        <v>29</v>
      </c>
      <c r="I613" t="s">
        <v>34</v>
      </c>
      <c r="J613" t="s">
        <v>30</v>
      </c>
      <c r="K613" t="s">
        <v>27</v>
      </c>
      <c r="L613" t="s">
        <v>3632</v>
      </c>
      <c r="M613" t="s">
        <v>3633</v>
      </c>
      <c r="N613" t="s">
        <v>773</v>
      </c>
      <c r="O613" t="s">
        <v>31</v>
      </c>
      <c r="P613" t="s">
        <v>3634</v>
      </c>
      <c r="Q613" t="s">
        <v>84</v>
      </c>
      <c r="R613" s="26" t="s">
        <v>3635</v>
      </c>
      <c r="S613">
        <v>6.6</v>
      </c>
      <c r="T613">
        <v>10206</v>
      </c>
      <c r="U613">
        <v>0</v>
      </c>
      <c r="V613">
        <v>10206</v>
      </c>
    </row>
    <row r="614" spans="1:22" x14ac:dyDescent="0.3">
      <c r="A614">
        <v>80147</v>
      </c>
      <c r="B614">
        <v>455358435</v>
      </c>
      <c r="C614" t="s">
        <v>3636</v>
      </c>
      <c r="D614" s="9" t="s">
        <v>3637</v>
      </c>
      <c r="E614" t="s">
        <v>2901</v>
      </c>
      <c r="F614" t="s">
        <v>770</v>
      </c>
      <c r="G614" t="s">
        <v>28</v>
      </c>
      <c r="H614" t="s">
        <v>29</v>
      </c>
      <c r="I614" t="s">
        <v>34</v>
      </c>
      <c r="J614" t="s">
        <v>30</v>
      </c>
      <c r="K614" t="s">
        <v>27</v>
      </c>
      <c r="L614" t="s">
        <v>3638</v>
      </c>
      <c r="M614" t="s">
        <v>3639</v>
      </c>
      <c r="N614" t="s">
        <v>773</v>
      </c>
      <c r="O614" t="s">
        <v>31</v>
      </c>
      <c r="P614" t="s">
        <v>3640</v>
      </c>
      <c r="Q614" t="s">
        <v>41</v>
      </c>
      <c r="R614" s="26" t="s">
        <v>3615</v>
      </c>
      <c r="S614">
        <v>5.5</v>
      </c>
      <c r="T614">
        <v>6114</v>
      </c>
      <c r="U614">
        <v>0</v>
      </c>
      <c r="V614">
        <v>6114</v>
      </c>
    </row>
    <row r="615" spans="1:22" x14ac:dyDescent="0.3">
      <c r="A615">
        <v>80147</v>
      </c>
      <c r="B615">
        <v>455358434</v>
      </c>
      <c r="C615" t="s">
        <v>3641</v>
      </c>
      <c r="D615" s="9" t="s">
        <v>3642</v>
      </c>
      <c r="E615" t="s">
        <v>2901</v>
      </c>
      <c r="F615" t="s">
        <v>770</v>
      </c>
      <c r="G615" t="s">
        <v>28</v>
      </c>
      <c r="H615" t="s">
        <v>29</v>
      </c>
      <c r="I615" t="s">
        <v>34</v>
      </c>
      <c r="J615" t="s">
        <v>30</v>
      </c>
      <c r="K615" t="s">
        <v>27</v>
      </c>
      <c r="L615" t="s">
        <v>3643</v>
      </c>
      <c r="M615" t="s">
        <v>3644</v>
      </c>
      <c r="N615" t="s">
        <v>773</v>
      </c>
      <c r="O615" t="s">
        <v>31</v>
      </c>
      <c r="P615" t="s">
        <v>3645</v>
      </c>
      <c r="Q615" t="s">
        <v>135</v>
      </c>
      <c r="R615" s="26" t="s">
        <v>3615</v>
      </c>
      <c r="S615">
        <v>1</v>
      </c>
      <c r="T615">
        <v>3250</v>
      </c>
      <c r="U615">
        <v>0</v>
      </c>
      <c r="V615">
        <v>3250</v>
      </c>
    </row>
    <row r="616" spans="1:22" x14ac:dyDescent="0.3">
      <c r="A616">
        <v>80147</v>
      </c>
      <c r="B616">
        <v>455334162</v>
      </c>
      <c r="C616" t="s">
        <v>3646</v>
      </c>
      <c r="D616" s="9" t="s">
        <v>3647</v>
      </c>
      <c r="E616" t="s">
        <v>2901</v>
      </c>
      <c r="F616" t="s">
        <v>770</v>
      </c>
      <c r="G616" t="s">
        <v>28</v>
      </c>
      <c r="H616" t="s">
        <v>29</v>
      </c>
      <c r="I616" t="s">
        <v>34</v>
      </c>
      <c r="J616" t="s">
        <v>30</v>
      </c>
      <c r="K616" t="s">
        <v>27</v>
      </c>
      <c r="L616" t="s">
        <v>3648</v>
      </c>
      <c r="M616" t="s">
        <v>3649</v>
      </c>
      <c r="N616" t="s">
        <v>773</v>
      </c>
      <c r="O616" t="s">
        <v>31</v>
      </c>
      <c r="P616" t="s">
        <v>3650</v>
      </c>
      <c r="Q616" t="s">
        <v>61</v>
      </c>
      <c r="R616" s="26" t="s">
        <v>503</v>
      </c>
      <c r="S616">
        <v>1</v>
      </c>
      <c r="T616">
        <v>3631</v>
      </c>
      <c r="U616">
        <v>0</v>
      </c>
      <c r="V616">
        <v>3631</v>
      </c>
    </row>
    <row r="617" spans="1:22" x14ac:dyDescent="0.3">
      <c r="A617">
        <v>80147</v>
      </c>
      <c r="B617">
        <v>455322593</v>
      </c>
      <c r="C617" t="s">
        <v>3651</v>
      </c>
      <c r="D617" s="9" t="s">
        <v>3652</v>
      </c>
      <c r="E617" t="s">
        <v>2901</v>
      </c>
      <c r="F617" t="s">
        <v>770</v>
      </c>
      <c r="G617" t="s">
        <v>28</v>
      </c>
      <c r="H617" t="s">
        <v>29</v>
      </c>
      <c r="I617" t="s">
        <v>34</v>
      </c>
      <c r="J617" t="s">
        <v>30</v>
      </c>
      <c r="K617" t="s">
        <v>27</v>
      </c>
      <c r="L617" t="s">
        <v>3653</v>
      </c>
      <c r="M617" t="s">
        <v>3654</v>
      </c>
      <c r="N617" t="s">
        <v>773</v>
      </c>
      <c r="O617" t="s">
        <v>31</v>
      </c>
      <c r="P617" t="s">
        <v>3655</v>
      </c>
      <c r="Q617" t="s">
        <v>41</v>
      </c>
      <c r="R617" s="26" t="s">
        <v>3656</v>
      </c>
      <c r="S617">
        <v>1.3</v>
      </c>
      <c r="T617">
        <v>3935</v>
      </c>
      <c r="U617">
        <v>0</v>
      </c>
      <c r="V617">
        <v>3935</v>
      </c>
    </row>
    <row r="618" spans="1:22" x14ac:dyDescent="0.3">
      <c r="A618">
        <v>80147</v>
      </c>
      <c r="B618">
        <v>455275171</v>
      </c>
      <c r="C618" t="s">
        <v>3657</v>
      </c>
      <c r="D618" s="9" t="s">
        <v>3658</v>
      </c>
      <c r="E618" t="s">
        <v>2901</v>
      </c>
      <c r="F618" t="s">
        <v>770</v>
      </c>
      <c r="G618" t="s">
        <v>28</v>
      </c>
      <c r="H618" t="s">
        <v>29</v>
      </c>
      <c r="I618" t="s">
        <v>34</v>
      </c>
      <c r="J618" t="s">
        <v>30</v>
      </c>
      <c r="K618" t="s">
        <v>27</v>
      </c>
      <c r="L618" t="s">
        <v>3659</v>
      </c>
      <c r="M618" t="s">
        <v>3660</v>
      </c>
      <c r="N618" t="s">
        <v>773</v>
      </c>
      <c r="O618" t="s">
        <v>31</v>
      </c>
      <c r="P618" t="s">
        <v>3661</v>
      </c>
      <c r="Q618" t="s">
        <v>88</v>
      </c>
      <c r="R618" s="26" t="s">
        <v>3662</v>
      </c>
      <c r="S618">
        <v>6.6</v>
      </c>
      <c r="T618">
        <v>9387</v>
      </c>
      <c r="U618">
        <v>0</v>
      </c>
      <c r="V618">
        <v>9387</v>
      </c>
    </row>
    <row r="619" spans="1:22" x14ac:dyDescent="0.3">
      <c r="A619">
        <v>80147</v>
      </c>
      <c r="B619">
        <v>454997389</v>
      </c>
      <c r="C619" t="s">
        <v>3663</v>
      </c>
      <c r="D619" s="9" t="s">
        <v>3664</v>
      </c>
      <c r="E619" t="s">
        <v>2901</v>
      </c>
      <c r="F619" t="s">
        <v>770</v>
      </c>
      <c r="G619" t="s">
        <v>28</v>
      </c>
      <c r="H619" t="s">
        <v>29</v>
      </c>
      <c r="I619" t="s">
        <v>34</v>
      </c>
      <c r="J619" t="s">
        <v>30</v>
      </c>
      <c r="K619" t="s">
        <v>27</v>
      </c>
      <c r="L619" t="s">
        <v>3665</v>
      </c>
      <c r="M619" t="s">
        <v>3666</v>
      </c>
      <c r="N619" t="s">
        <v>773</v>
      </c>
      <c r="O619" t="s">
        <v>31</v>
      </c>
      <c r="P619" t="s">
        <v>3667</v>
      </c>
      <c r="Q619" t="s">
        <v>175</v>
      </c>
      <c r="R619" s="26" t="s">
        <v>2953</v>
      </c>
      <c r="S619">
        <v>3.25</v>
      </c>
      <c r="T619">
        <v>7745</v>
      </c>
      <c r="U619">
        <v>0</v>
      </c>
      <c r="V619">
        <v>7745</v>
      </c>
    </row>
    <row r="620" spans="1:22" x14ac:dyDescent="0.3">
      <c r="A620">
        <v>80147</v>
      </c>
      <c r="B620">
        <v>454997381</v>
      </c>
      <c r="C620" t="s">
        <v>3668</v>
      </c>
      <c r="D620" s="9" t="s">
        <v>3669</v>
      </c>
      <c r="E620" t="s">
        <v>2901</v>
      </c>
      <c r="F620" t="s">
        <v>770</v>
      </c>
      <c r="G620" t="s">
        <v>28</v>
      </c>
      <c r="H620" t="s">
        <v>29</v>
      </c>
      <c r="I620" t="s">
        <v>34</v>
      </c>
      <c r="J620" t="s">
        <v>30</v>
      </c>
      <c r="K620" t="s">
        <v>27</v>
      </c>
      <c r="L620" t="s">
        <v>3670</v>
      </c>
      <c r="M620" t="s">
        <v>3671</v>
      </c>
      <c r="N620" t="s">
        <v>773</v>
      </c>
      <c r="O620" t="s">
        <v>31</v>
      </c>
      <c r="P620" t="s">
        <v>3672</v>
      </c>
      <c r="Q620" t="s">
        <v>197</v>
      </c>
      <c r="R620" s="26" t="s">
        <v>2953</v>
      </c>
      <c r="S620">
        <v>1</v>
      </c>
      <c r="T620">
        <v>5564</v>
      </c>
      <c r="U620">
        <v>0</v>
      </c>
      <c r="V620">
        <v>5564</v>
      </c>
    </row>
    <row r="621" spans="1:22" x14ac:dyDescent="0.3">
      <c r="A621">
        <v>80147</v>
      </c>
      <c r="B621">
        <v>455275170</v>
      </c>
      <c r="C621" t="s">
        <v>3673</v>
      </c>
      <c r="D621" s="9" t="s">
        <v>3674</v>
      </c>
      <c r="E621" t="s">
        <v>2901</v>
      </c>
      <c r="F621" t="s">
        <v>770</v>
      </c>
      <c r="G621" t="s">
        <v>28</v>
      </c>
      <c r="H621" t="s">
        <v>29</v>
      </c>
      <c r="I621" t="s">
        <v>34</v>
      </c>
      <c r="J621" t="s">
        <v>30</v>
      </c>
      <c r="K621" t="s">
        <v>27</v>
      </c>
      <c r="L621" t="s">
        <v>3675</v>
      </c>
      <c r="M621" t="s">
        <v>3676</v>
      </c>
      <c r="N621" t="s">
        <v>773</v>
      </c>
      <c r="O621" t="s">
        <v>31</v>
      </c>
      <c r="P621" t="s">
        <v>3677</v>
      </c>
      <c r="Q621" t="s">
        <v>69</v>
      </c>
      <c r="R621" s="26" t="s">
        <v>3662</v>
      </c>
      <c r="S621">
        <v>1</v>
      </c>
      <c r="T621">
        <v>3935</v>
      </c>
      <c r="U621">
        <v>0</v>
      </c>
      <c r="V621">
        <v>3935</v>
      </c>
    </row>
    <row r="622" spans="1:22" x14ac:dyDescent="0.3">
      <c r="A622">
        <v>80147</v>
      </c>
      <c r="B622">
        <v>455249066</v>
      </c>
      <c r="C622" t="s">
        <v>3678</v>
      </c>
      <c r="D622" s="9" t="s">
        <v>3679</v>
      </c>
      <c r="E622" t="s">
        <v>2901</v>
      </c>
      <c r="F622" t="s">
        <v>770</v>
      </c>
      <c r="G622" t="s">
        <v>49</v>
      </c>
      <c r="H622" t="s">
        <v>50</v>
      </c>
      <c r="I622" t="s">
        <v>34</v>
      </c>
      <c r="J622" t="s">
        <v>155</v>
      </c>
      <c r="K622" t="s">
        <v>27</v>
      </c>
      <c r="L622" t="s">
        <v>52</v>
      </c>
      <c r="M622" t="s">
        <v>3680</v>
      </c>
      <c r="N622" t="s">
        <v>773</v>
      </c>
      <c r="O622" t="s">
        <v>31</v>
      </c>
      <c r="P622" t="s">
        <v>3681</v>
      </c>
      <c r="Q622" t="s">
        <v>134</v>
      </c>
      <c r="R622" s="26" t="s">
        <v>3231</v>
      </c>
      <c r="S622">
        <v>0.34</v>
      </c>
      <c r="T622">
        <v>3927</v>
      </c>
      <c r="U622">
        <v>0</v>
      </c>
      <c r="V622">
        <v>3927</v>
      </c>
    </row>
    <row r="623" spans="1:22" x14ac:dyDescent="0.3">
      <c r="A623">
        <v>80147</v>
      </c>
      <c r="B623">
        <v>455205285</v>
      </c>
      <c r="C623" t="s">
        <v>3682</v>
      </c>
      <c r="D623" s="9" t="s">
        <v>3683</v>
      </c>
      <c r="E623" t="s">
        <v>2901</v>
      </c>
      <c r="F623" t="s">
        <v>770</v>
      </c>
      <c r="G623" t="s">
        <v>28</v>
      </c>
      <c r="H623" t="s">
        <v>29</v>
      </c>
      <c r="I623" t="s">
        <v>34</v>
      </c>
      <c r="J623" t="s">
        <v>30</v>
      </c>
      <c r="K623" t="s">
        <v>27</v>
      </c>
      <c r="L623" t="s">
        <v>3684</v>
      </c>
      <c r="M623" t="s">
        <v>3685</v>
      </c>
      <c r="N623" t="s">
        <v>773</v>
      </c>
      <c r="O623" t="s">
        <v>31</v>
      </c>
      <c r="P623" t="s">
        <v>3686</v>
      </c>
      <c r="Q623" t="s">
        <v>94</v>
      </c>
      <c r="R623" s="26" t="s">
        <v>3687</v>
      </c>
      <c r="S623">
        <v>1</v>
      </c>
      <c r="T623">
        <v>3935</v>
      </c>
      <c r="U623">
        <v>0</v>
      </c>
      <c r="V623">
        <v>3935</v>
      </c>
    </row>
    <row r="624" spans="1:22" x14ac:dyDescent="0.3">
      <c r="A624">
        <v>80147</v>
      </c>
      <c r="B624">
        <v>455229355</v>
      </c>
      <c r="C624" t="s">
        <v>3688</v>
      </c>
      <c r="D624" s="9" t="s">
        <v>3689</v>
      </c>
      <c r="E624" t="s">
        <v>2901</v>
      </c>
      <c r="F624" t="s">
        <v>770</v>
      </c>
      <c r="G624" t="s">
        <v>28</v>
      </c>
      <c r="H624" t="s">
        <v>29</v>
      </c>
      <c r="I624" t="s">
        <v>34</v>
      </c>
      <c r="J624" t="s">
        <v>30</v>
      </c>
      <c r="K624" t="s">
        <v>27</v>
      </c>
      <c r="L624" t="s">
        <v>3690</v>
      </c>
      <c r="M624" t="s">
        <v>3691</v>
      </c>
      <c r="N624" t="s">
        <v>773</v>
      </c>
      <c r="O624" t="s">
        <v>31</v>
      </c>
      <c r="P624" t="s">
        <v>3692</v>
      </c>
      <c r="Q624" t="s">
        <v>152</v>
      </c>
      <c r="R624" s="26" t="s">
        <v>3693</v>
      </c>
      <c r="S624">
        <v>1</v>
      </c>
      <c r="T624">
        <v>4202</v>
      </c>
      <c r="U624">
        <v>0</v>
      </c>
      <c r="V624">
        <v>4202</v>
      </c>
    </row>
    <row r="625" spans="1:22" x14ac:dyDescent="0.3">
      <c r="A625">
        <v>80147</v>
      </c>
      <c r="B625">
        <v>455229359</v>
      </c>
      <c r="C625" t="s">
        <v>3694</v>
      </c>
      <c r="D625" s="9" t="s">
        <v>3695</v>
      </c>
      <c r="E625" t="s">
        <v>2901</v>
      </c>
      <c r="F625" t="s">
        <v>770</v>
      </c>
      <c r="G625" t="s">
        <v>28</v>
      </c>
      <c r="H625" t="s">
        <v>29</v>
      </c>
      <c r="I625" t="s">
        <v>34</v>
      </c>
      <c r="J625" t="s">
        <v>30</v>
      </c>
      <c r="K625" t="s">
        <v>27</v>
      </c>
      <c r="L625" t="s">
        <v>3696</v>
      </c>
      <c r="M625" t="s">
        <v>3697</v>
      </c>
      <c r="N625" t="s">
        <v>773</v>
      </c>
      <c r="O625" t="s">
        <v>31</v>
      </c>
      <c r="P625" t="s">
        <v>3698</v>
      </c>
      <c r="Q625" t="s">
        <v>125</v>
      </c>
      <c r="R625" s="26" t="s">
        <v>3693</v>
      </c>
      <c r="S625">
        <v>1</v>
      </c>
      <c r="T625">
        <v>3653</v>
      </c>
      <c r="U625">
        <v>0</v>
      </c>
      <c r="V625">
        <v>3653</v>
      </c>
    </row>
    <row r="626" spans="1:22" x14ac:dyDescent="0.3">
      <c r="A626">
        <v>80147</v>
      </c>
      <c r="B626">
        <v>454964624</v>
      </c>
      <c r="C626" t="s">
        <v>3699</v>
      </c>
      <c r="D626" s="9" t="s">
        <v>3700</v>
      </c>
      <c r="E626" t="s">
        <v>2901</v>
      </c>
      <c r="F626" t="s">
        <v>770</v>
      </c>
      <c r="G626" t="s">
        <v>28</v>
      </c>
      <c r="H626" t="s">
        <v>29</v>
      </c>
      <c r="I626" t="s">
        <v>34</v>
      </c>
      <c r="J626" t="s">
        <v>30</v>
      </c>
      <c r="K626" t="s">
        <v>27</v>
      </c>
      <c r="L626" t="s">
        <v>3701</v>
      </c>
      <c r="M626" t="s">
        <v>3702</v>
      </c>
      <c r="N626" t="s">
        <v>773</v>
      </c>
      <c r="O626" t="s">
        <v>31</v>
      </c>
      <c r="P626" t="s">
        <v>3703</v>
      </c>
      <c r="Q626" t="s">
        <v>109</v>
      </c>
      <c r="R626" s="26" t="s">
        <v>3704</v>
      </c>
      <c r="S626">
        <v>1</v>
      </c>
      <c r="T626">
        <v>3250</v>
      </c>
      <c r="U626">
        <v>0</v>
      </c>
      <c r="V626">
        <v>3250</v>
      </c>
    </row>
    <row r="627" spans="1:22" x14ac:dyDescent="0.3">
      <c r="A627">
        <v>80147</v>
      </c>
      <c r="B627">
        <v>455205288</v>
      </c>
      <c r="C627" t="s">
        <v>3705</v>
      </c>
      <c r="D627" s="9" t="s">
        <v>3706</v>
      </c>
      <c r="E627" t="s">
        <v>2901</v>
      </c>
      <c r="F627" t="s">
        <v>770</v>
      </c>
      <c r="G627" t="s">
        <v>28</v>
      </c>
      <c r="H627" t="s">
        <v>29</v>
      </c>
      <c r="I627" t="s">
        <v>34</v>
      </c>
      <c r="J627" t="s">
        <v>30</v>
      </c>
      <c r="K627" t="s">
        <v>27</v>
      </c>
      <c r="L627" t="s">
        <v>3707</v>
      </c>
      <c r="M627" t="s">
        <v>3708</v>
      </c>
      <c r="N627" t="s">
        <v>773</v>
      </c>
      <c r="O627" t="s">
        <v>31</v>
      </c>
      <c r="P627" t="s">
        <v>3709</v>
      </c>
      <c r="Q627" t="s">
        <v>80</v>
      </c>
      <c r="R627" s="26" t="s">
        <v>3687</v>
      </c>
      <c r="S627">
        <v>1</v>
      </c>
      <c r="T627">
        <v>3250</v>
      </c>
      <c r="U627">
        <v>0</v>
      </c>
      <c r="V627">
        <v>3250</v>
      </c>
    </row>
    <row r="628" spans="1:22" x14ac:dyDescent="0.3">
      <c r="A628">
        <v>80147</v>
      </c>
      <c r="B628">
        <v>455205286</v>
      </c>
      <c r="C628" t="s">
        <v>3710</v>
      </c>
      <c r="D628" s="9" t="s">
        <v>3711</v>
      </c>
      <c r="E628" t="s">
        <v>2901</v>
      </c>
      <c r="F628" t="s">
        <v>770</v>
      </c>
      <c r="G628" t="s">
        <v>28</v>
      </c>
      <c r="H628" t="s">
        <v>29</v>
      </c>
      <c r="I628" t="s">
        <v>34</v>
      </c>
      <c r="J628" t="s">
        <v>30</v>
      </c>
      <c r="K628" t="s">
        <v>27</v>
      </c>
      <c r="L628" t="s">
        <v>3712</v>
      </c>
      <c r="M628" t="s">
        <v>3713</v>
      </c>
      <c r="N628" t="s">
        <v>773</v>
      </c>
      <c r="O628" t="s">
        <v>31</v>
      </c>
      <c r="P628" t="s">
        <v>3714</v>
      </c>
      <c r="Q628" t="s">
        <v>109</v>
      </c>
      <c r="R628" s="26" t="s">
        <v>3687</v>
      </c>
      <c r="S628">
        <v>1</v>
      </c>
      <c r="T628">
        <v>3250</v>
      </c>
      <c r="U628">
        <v>0</v>
      </c>
      <c r="V628">
        <v>3250</v>
      </c>
    </row>
    <row r="629" spans="1:22" x14ac:dyDescent="0.3">
      <c r="A629">
        <v>80147</v>
      </c>
      <c r="B629">
        <v>455229356</v>
      </c>
      <c r="C629" t="s">
        <v>3715</v>
      </c>
      <c r="D629" s="9" t="s">
        <v>3716</v>
      </c>
      <c r="E629" t="s">
        <v>2901</v>
      </c>
      <c r="F629" t="s">
        <v>770</v>
      </c>
      <c r="G629" t="s">
        <v>28</v>
      </c>
      <c r="H629" t="s">
        <v>29</v>
      </c>
      <c r="I629" t="s">
        <v>34</v>
      </c>
      <c r="J629" t="s">
        <v>30</v>
      </c>
      <c r="K629" t="s">
        <v>27</v>
      </c>
      <c r="L629" t="s">
        <v>3717</v>
      </c>
      <c r="M629" t="s">
        <v>3718</v>
      </c>
      <c r="N629" t="s">
        <v>773</v>
      </c>
      <c r="O629" t="s">
        <v>31</v>
      </c>
      <c r="P629" t="s">
        <v>3719</v>
      </c>
      <c r="Q629" t="s">
        <v>85</v>
      </c>
      <c r="R629" s="26" t="s">
        <v>3693</v>
      </c>
      <c r="S629">
        <v>1</v>
      </c>
      <c r="T629">
        <v>3631</v>
      </c>
      <c r="U629">
        <v>0</v>
      </c>
      <c r="V629">
        <v>3631</v>
      </c>
    </row>
    <row r="630" spans="1:22" x14ac:dyDescent="0.3">
      <c r="A630">
        <v>80147</v>
      </c>
      <c r="B630">
        <v>455196888</v>
      </c>
      <c r="C630" t="s">
        <v>3720</v>
      </c>
      <c r="D630" s="9" t="s">
        <v>3721</v>
      </c>
      <c r="E630" t="s">
        <v>2901</v>
      </c>
      <c r="F630" t="s">
        <v>770</v>
      </c>
      <c r="G630" t="s">
        <v>28</v>
      </c>
      <c r="H630" t="s">
        <v>29</v>
      </c>
      <c r="I630" t="s">
        <v>34</v>
      </c>
      <c r="J630" t="s">
        <v>30</v>
      </c>
      <c r="K630" t="s">
        <v>27</v>
      </c>
      <c r="L630" t="s">
        <v>3722</v>
      </c>
      <c r="M630" t="s">
        <v>3723</v>
      </c>
      <c r="N630" t="s">
        <v>773</v>
      </c>
      <c r="O630" t="s">
        <v>31</v>
      </c>
      <c r="P630" t="s">
        <v>3724</v>
      </c>
      <c r="Q630" t="s">
        <v>85</v>
      </c>
      <c r="R630" s="26" t="s">
        <v>3725</v>
      </c>
      <c r="S630">
        <v>1</v>
      </c>
      <c r="T630">
        <v>3631</v>
      </c>
      <c r="U630">
        <v>0</v>
      </c>
      <c r="V630">
        <v>3631</v>
      </c>
    </row>
    <row r="631" spans="1:22" x14ac:dyDescent="0.3">
      <c r="A631">
        <v>80147</v>
      </c>
      <c r="B631">
        <v>457075839</v>
      </c>
      <c r="C631" t="s">
        <v>3726</v>
      </c>
      <c r="D631" s="9" t="s">
        <v>3727</v>
      </c>
      <c r="E631" t="s">
        <v>2901</v>
      </c>
      <c r="F631" t="s">
        <v>770</v>
      </c>
      <c r="G631" t="s">
        <v>56</v>
      </c>
      <c r="H631" t="s">
        <v>57</v>
      </c>
      <c r="I631" t="s">
        <v>34</v>
      </c>
      <c r="J631" t="s">
        <v>58</v>
      </c>
      <c r="K631" t="s">
        <v>27</v>
      </c>
      <c r="L631" t="s">
        <v>3728</v>
      </c>
      <c r="M631" t="s">
        <v>3729</v>
      </c>
      <c r="N631" t="s">
        <v>773</v>
      </c>
      <c r="O631" t="s">
        <v>31</v>
      </c>
      <c r="P631" t="s">
        <v>3730</v>
      </c>
      <c r="Q631" t="s">
        <v>249</v>
      </c>
      <c r="R631" s="26" t="s">
        <v>3731</v>
      </c>
      <c r="S631">
        <v>2.98</v>
      </c>
      <c r="T631">
        <v>7784</v>
      </c>
      <c r="U631">
        <v>224.95</v>
      </c>
      <c r="V631">
        <v>8008.95</v>
      </c>
    </row>
    <row r="632" spans="1:22" x14ac:dyDescent="0.3">
      <c r="A632">
        <v>80147</v>
      </c>
      <c r="B632">
        <v>456497612</v>
      </c>
      <c r="C632" t="s">
        <v>3732</v>
      </c>
      <c r="D632" s="9" t="s">
        <v>3733</v>
      </c>
      <c r="E632" t="s">
        <v>2901</v>
      </c>
      <c r="F632" t="s">
        <v>770</v>
      </c>
      <c r="G632" t="s">
        <v>56</v>
      </c>
      <c r="H632" t="s">
        <v>57</v>
      </c>
      <c r="I632" t="s">
        <v>34</v>
      </c>
      <c r="J632" t="s">
        <v>58</v>
      </c>
      <c r="K632" t="s">
        <v>27</v>
      </c>
      <c r="L632" t="s">
        <v>3734</v>
      </c>
      <c r="M632" t="s">
        <v>3735</v>
      </c>
      <c r="N632" t="s">
        <v>773</v>
      </c>
      <c r="O632" t="s">
        <v>31</v>
      </c>
      <c r="P632" t="s">
        <v>3736</v>
      </c>
      <c r="Q632" t="s">
        <v>82</v>
      </c>
      <c r="R632" s="26" t="s">
        <v>766</v>
      </c>
      <c r="S632">
        <v>2.96</v>
      </c>
      <c r="T632">
        <v>4191</v>
      </c>
      <c r="U632">
        <v>224.95</v>
      </c>
      <c r="V632">
        <v>4415.95</v>
      </c>
    </row>
    <row r="633" spans="1:22" x14ac:dyDescent="0.3">
      <c r="A633">
        <v>80147</v>
      </c>
      <c r="B633">
        <v>456272651</v>
      </c>
      <c r="C633" t="s">
        <v>3737</v>
      </c>
      <c r="D633" s="9" t="s">
        <v>3738</v>
      </c>
      <c r="E633" t="s">
        <v>2901</v>
      </c>
      <c r="F633" t="s">
        <v>770</v>
      </c>
      <c r="G633" t="s">
        <v>56</v>
      </c>
      <c r="H633" t="s">
        <v>57</v>
      </c>
      <c r="I633" t="s">
        <v>34</v>
      </c>
      <c r="J633" t="s">
        <v>58</v>
      </c>
      <c r="K633" t="s">
        <v>27</v>
      </c>
      <c r="L633" t="s">
        <v>3739</v>
      </c>
      <c r="M633" t="s">
        <v>3740</v>
      </c>
      <c r="N633" t="s">
        <v>773</v>
      </c>
      <c r="O633" t="s">
        <v>31</v>
      </c>
      <c r="P633" t="s">
        <v>3741</v>
      </c>
      <c r="Q633" t="s">
        <v>342</v>
      </c>
      <c r="R633" s="26" t="s">
        <v>393</v>
      </c>
      <c r="S633">
        <v>3.01</v>
      </c>
      <c r="T633">
        <v>9620</v>
      </c>
      <c r="U633">
        <v>224.95</v>
      </c>
      <c r="V633">
        <v>9844.9500000000007</v>
      </c>
    </row>
    <row r="634" spans="1:22" x14ac:dyDescent="0.3">
      <c r="A634">
        <v>80147</v>
      </c>
      <c r="B634">
        <v>455826834</v>
      </c>
      <c r="C634" t="s">
        <v>3742</v>
      </c>
      <c r="D634" s="9" t="s">
        <v>3743</v>
      </c>
      <c r="E634" t="s">
        <v>2901</v>
      </c>
      <c r="F634" t="s">
        <v>770</v>
      </c>
      <c r="G634" t="s">
        <v>56</v>
      </c>
      <c r="H634" t="s">
        <v>57</v>
      </c>
      <c r="I634" t="s">
        <v>34</v>
      </c>
      <c r="J634" t="s">
        <v>58</v>
      </c>
      <c r="K634" t="s">
        <v>27</v>
      </c>
      <c r="L634" t="s">
        <v>3744</v>
      </c>
      <c r="M634" t="s">
        <v>3745</v>
      </c>
      <c r="N634" t="s">
        <v>773</v>
      </c>
      <c r="O634" t="s">
        <v>31</v>
      </c>
      <c r="P634" t="s">
        <v>3746</v>
      </c>
      <c r="Q634" t="s">
        <v>82</v>
      </c>
      <c r="R634" s="26" t="s">
        <v>180</v>
      </c>
      <c r="S634">
        <v>3.43</v>
      </c>
      <c r="T634">
        <v>4723</v>
      </c>
      <c r="U634">
        <v>224.95</v>
      </c>
      <c r="V634">
        <v>4947.95</v>
      </c>
    </row>
    <row r="635" spans="1:22" x14ac:dyDescent="0.3">
      <c r="A635">
        <v>80147</v>
      </c>
      <c r="B635">
        <v>455493663</v>
      </c>
      <c r="C635" t="s">
        <v>3747</v>
      </c>
      <c r="D635" s="9" t="s">
        <v>3748</v>
      </c>
      <c r="E635" t="s">
        <v>2901</v>
      </c>
      <c r="F635" t="s">
        <v>770</v>
      </c>
      <c r="G635" t="s">
        <v>56</v>
      </c>
      <c r="H635" t="s">
        <v>57</v>
      </c>
      <c r="I635" t="s">
        <v>34</v>
      </c>
      <c r="J635" t="s">
        <v>58</v>
      </c>
      <c r="K635" t="s">
        <v>27</v>
      </c>
      <c r="L635" t="s">
        <v>3749</v>
      </c>
      <c r="M635" t="s">
        <v>3750</v>
      </c>
      <c r="N635" t="s">
        <v>773</v>
      </c>
      <c r="O635" t="s">
        <v>31</v>
      </c>
      <c r="P635" t="s">
        <v>3751</v>
      </c>
      <c r="Q635" t="s">
        <v>66</v>
      </c>
      <c r="R635" s="26" t="s">
        <v>739</v>
      </c>
      <c r="S635">
        <v>3</v>
      </c>
      <c r="T635">
        <v>4191</v>
      </c>
      <c r="U635">
        <v>224.95</v>
      </c>
      <c r="V635">
        <v>4415.95</v>
      </c>
    </row>
    <row r="636" spans="1:22" x14ac:dyDescent="0.3">
      <c r="A636">
        <v>80147</v>
      </c>
      <c r="B636">
        <v>455658903</v>
      </c>
      <c r="C636" t="s">
        <v>3752</v>
      </c>
      <c r="D636" s="9" t="s">
        <v>3753</v>
      </c>
      <c r="E636" t="s">
        <v>2901</v>
      </c>
      <c r="F636" t="s">
        <v>770</v>
      </c>
      <c r="G636" t="s">
        <v>56</v>
      </c>
      <c r="H636" t="s">
        <v>57</v>
      </c>
      <c r="I636" t="s">
        <v>34</v>
      </c>
      <c r="J636" t="s">
        <v>58</v>
      </c>
      <c r="K636" t="s">
        <v>27</v>
      </c>
      <c r="L636" t="s">
        <v>3754</v>
      </c>
      <c r="M636" t="s">
        <v>3755</v>
      </c>
      <c r="N636" t="s">
        <v>773</v>
      </c>
      <c r="O636" t="s">
        <v>31</v>
      </c>
      <c r="P636" t="s">
        <v>3756</v>
      </c>
      <c r="Q636" t="s">
        <v>66</v>
      </c>
      <c r="R636" s="26" t="s">
        <v>722</v>
      </c>
      <c r="S636">
        <v>3.26</v>
      </c>
      <c r="T636">
        <v>4723</v>
      </c>
      <c r="U636">
        <v>299.89999999999998</v>
      </c>
      <c r="V636">
        <v>5022.8999999999996</v>
      </c>
    </row>
    <row r="637" spans="1:22" x14ac:dyDescent="0.3">
      <c r="A637">
        <v>80147</v>
      </c>
      <c r="B637">
        <v>456909135</v>
      </c>
      <c r="C637" t="s">
        <v>3757</v>
      </c>
      <c r="D637" s="9" t="s">
        <v>3758</v>
      </c>
      <c r="E637" t="s">
        <v>2901</v>
      </c>
      <c r="F637" t="s">
        <v>770</v>
      </c>
      <c r="G637" t="s">
        <v>49</v>
      </c>
      <c r="H637" t="s">
        <v>50</v>
      </c>
      <c r="I637" t="s">
        <v>34</v>
      </c>
      <c r="J637" t="s">
        <v>155</v>
      </c>
      <c r="K637" t="s">
        <v>27</v>
      </c>
      <c r="L637" t="s">
        <v>52</v>
      </c>
      <c r="M637" t="s">
        <v>3759</v>
      </c>
      <c r="N637" t="s">
        <v>773</v>
      </c>
      <c r="O637" t="s">
        <v>31</v>
      </c>
      <c r="P637" t="s">
        <v>3760</v>
      </c>
      <c r="Q637" t="s">
        <v>101</v>
      </c>
      <c r="R637" s="26" t="s">
        <v>775</v>
      </c>
      <c r="S637">
        <v>1.61</v>
      </c>
      <c r="T637">
        <v>7619</v>
      </c>
      <c r="U637">
        <v>0</v>
      </c>
      <c r="V637">
        <v>7619</v>
      </c>
    </row>
    <row r="638" spans="1:22" x14ac:dyDescent="0.3">
      <c r="A638">
        <v>80147</v>
      </c>
      <c r="B638">
        <v>456846299</v>
      </c>
      <c r="C638" t="s">
        <v>3761</v>
      </c>
      <c r="D638" s="9" t="s">
        <v>3762</v>
      </c>
      <c r="E638" t="s">
        <v>2901</v>
      </c>
      <c r="F638" t="s">
        <v>770</v>
      </c>
      <c r="G638" t="s">
        <v>49</v>
      </c>
      <c r="H638" t="s">
        <v>50</v>
      </c>
      <c r="I638" t="s">
        <v>34</v>
      </c>
      <c r="J638" t="s">
        <v>155</v>
      </c>
      <c r="K638" t="s">
        <v>27</v>
      </c>
      <c r="L638" t="s">
        <v>52</v>
      </c>
      <c r="M638" t="s">
        <v>3763</v>
      </c>
      <c r="N638" t="s">
        <v>773</v>
      </c>
      <c r="O638" t="s">
        <v>31</v>
      </c>
      <c r="P638" t="s">
        <v>3764</v>
      </c>
      <c r="Q638" t="s">
        <v>74</v>
      </c>
      <c r="R638" s="26" t="s">
        <v>323</v>
      </c>
      <c r="S638">
        <v>5.99</v>
      </c>
      <c r="T638">
        <v>4718</v>
      </c>
      <c r="U638">
        <v>0</v>
      </c>
      <c r="V638">
        <v>4718</v>
      </c>
    </row>
    <row r="639" spans="1:22" x14ac:dyDescent="0.3">
      <c r="A639">
        <v>80147</v>
      </c>
      <c r="B639">
        <v>456703713</v>
      </c>
      <c r="C639" t="s">
        <v>3765</v>
      </c>
      <c r="D639" s="9" t="s">
        <v>3766</v>
      </c>
      <c r="E639" t="s">
        <v>2901</v>
      </c>
      <c r="F639" t="s">
        <v>770</v>
      </c>
      <c r="G639" t="s">
        <v>49</v>
      </c>
      <c r="H639" t="s">
        <v>50</v>
      </c>
      <c r="I639" t="s">
        <v>34</v>
      </c>
      <c r="J639" t="s">
        <v>155</v>
      </c>
      <c r="K639" t="s">
        <v>27</v>
      </c>
      <c r="L639" t="s">
        <v>52</v>
      </c>
      <c r="M639" t="s">
        <v>3767</v>
      </c>
      <c r="N639" t="s">
        <v>773</v>
      </c>
      <c r="O639" t="s">
        <v>31</v>
      </c>
      <c r="P639" t="s">
        <v>3768</v>
      </c>
      <c r="Q639" t="s">
        <v>294</v>
      </c>
      <c r="R639" s="26" t="s">
        <v>3071</v>
      </c>
      <c r="S639">
        <v>6.6</v>
      </c>
      <c r="T639">
        <v>9041</v>
      </c>
      <c r="U639">
        <v>0</v>
      </c>
      <c r="V639">
        <v>9041</v>
      </c>
    </row>
    <row r="640" spans="1:22" x14ac:dyDescent="0.3">
      <c r="A640">
        <v>80147</v>
      </c>
      <c r="B640">
        <v>456726041</v>
      </c>
      <c r="C640" t="s">
        <v>3769</v>
      </c>
      <c r="D640" s="9" t="s">
        <v>3770</v>
      </c>
      <c r="E640" t="s">
        <v>2901</v>
      </c>
      <c r="F640" t="s">
        <v>770</v>
      </c>
      <c r="G640" t="s">
        <v>49</v>
      </c>
      <c r="H640" t="s">
        <v>50</v>
      </c>
      <c r="I640" t="s">
        <v>34</v>
      </c>
      <c r="J640" t="s">
        <v>155</v>
      </c>
      <c r="K640" t="s">
        <v>27</v>
      </c>
      <c r="L640" t="s">
        <v>52</v>
      </c>
      <c r="M640" t="s">
        <v>3771</v>
      </c>
      <c r="N640" t="s">
        <v>773</v>
      </c>
      <c r="O640" t="s">
        <v>31</v>
      </c>
      <c r="P640" t="s">
        <v>3772</v>
      </c>
      <c r="Q640" t="s">
        <v>145</v>
      </c>
      <c r="R640" s="26" t="s">
        <v>518</v>
      </c>
      <c r="S640">
        <v>6.17</v>
      </c>
      <c r="T640">
        <v>5465</v>
      </c>
      <c r="U640">
        <v>0</v>
      </c>
      <c r="V640">
        <v>5465</v>
      </c>
    </row>
    <row r="641" spans="1:22" x14ac:dyDescent="0.3">
      <c r="A641">
        <v>80147</v>
      </c>
      <c r="B641">
        <v>456631323</v>
      </c>
      <c r="C641" t="s">
        <v>3773</v>
      </c>
      <c r="D641" s="9" t="s">
        <v>3774</v>
      </c>
      <c r="E641" t="s">
        <v>2901</v>
      </c>
      <c r="F641" t="s">
        <v>770</v>
      </c>
      <c r="G641" t="s">
        <v>49</v>
      </c>
      <c r="H641" t="s">
        <v>50</v>
      </c>
      <c r="I641" t="s">
        <v>34</v>
      </c>
      <c r="J641" t="s">
        <v>155</v>
      </c>
      <c r="K641" t="s">
        <v>27</v>
      </c>
      <c r="L641" t="s">
        <v>52</v>
      </c>
      <c r="M641" t="s">
        <v>2676</v>
      </c>
      <c r="N641" t="s">
        <v>773</v>
      </c>
      <c r="O641" t="s">
        <v>31</v>
      </c>
      <c r="P641" t="s">
        <v>3775</v>
      </c>
      <c r="Q641" t="s">
        <v>134</v>
      </c>
      <c r="R641" s="26" t="s">
        <v>236</v>
      </c>
      <c r="S641">
        <v>27.33</v>
      </c>
      <c r="T641">
        <v>11610</v>
      </c>
      <c r="U641">
        <v>0</v>
      </c>
      <c r="V641">
        <v>11610</v>
      </c>
    </row>
    <row r="642" spans="1:22" x14ac:dyDescent="0.3">
      <c r="A642">
        <v>80147</v>
      </c>
      <c r="B642">
        <v>456646867</v>
      </c>
      <c r="C642" t="s">
        <v>3776</v>
      </c>
      <c r="D642" s="9" t="s">
        <v>3777</v>
      </c>
      <c r="E642" t="s">
        <v>2901</v>
      </c>
      <c r="F642" t="s">
        <v>770</v>
      </c>
      <c r="G642" t="s">
        <v>49</v>
      </c>
      <c r="H642" t="s">
        <v>50</v>
      </c>
      <c r="I642" t="s">
        <v>34</v>
      </c>
      <c r="J642" t="s">
        <v>155</v>
      </c>
      <c r="K642" t="s">
        <v>27</v>
      </c>
      <c r="L642" t="s">
        <v>52</v>
      </c>
      <c r="M642" t="s">
        <v>526</v>
      </c>
      <c r="N642" t="s">
        <v>773</v>
      </c>
      <c r="O642" t="s">
        <v>31</v>
      </c>
      <c r="P642" t="s">
        <v>3778</v>
      </c>
      <c r="Q642" t="s">
        <v>93</v>
      </c>
      <c r="R642" s="26" t="s">
        <v>3105</v>
      </c>
      <c r="S642">
        <v>5.19</v>
      </c>
      <c r="T642">
        <v>7747</v>
      </c>
      <c r="U642">
        <v>0</v>
      </c>
      <c r="V642">
        <v>7747</v>
      </c>
    </row>
    <row r="643" spans="1:22" x14ac:dyDescent="0.3">
      <c r="A643">
        <v>80147</v>
      </c>
      <c r="B643">
        <v>456551504</v>
      </c>
      <c r="C643" t="s">
        <v>3779</v>
      </c>
      <c r="D643" s="9" t="s">
        <v>3780</v>
      </c>
      <c r="E643" t="s">
        <v>2901</v>
      </c>
      <c r="F643" t="s">
        <v>770</v>
      </c>
      <c r="G643" t="s">
        <v>49</v>
      </c>
      <c r="H643" t="s">
        <v>50</v>
      </c>
      <c r="I643" t="s">
        <v>34</v>
      </c>
      <c r="J643" t="s">
        <v>155</v>
      </c>
      <c r="K643" t="s">
        <v>27</v>
      </c>
      <c r="L643" t="s">
        <v>52</v>
      </c>
      <c r="M643" t="s">
        <v>3781</v>
      </c>
      <c r="N643" t="s">
        <v>773</v>
      </c>
      <c r="O643" t="s">
        <v>31</v>
      </c>
      <c r="P643" t="s">
        <v>3782</v>
      </c>
      <c r="Q643" t="s">
        <v>134</v>
      </c>
      <c r="R643" s="26" t="s">
        <v>380</v>
      </c>
      <c r="S643">
        <v>1.32</v>
      </c>
      <c r="T643">
        <v>4072</v>
      </c>
      <c r="U643">
        <v>0</v>
      </c>
      <c r="V643">
        <v>4072</v>
      </c>
    </row>
    <row r="644" spans="1:22" x14ac:dyDescent="0.3">
      <c r="A644">
        <v>80147</v>
      </c>
      <c r="B644">
        <v>456474932</v>
      </c>
      <c r="C644" t="s">
        <v>3783</v>
      </c>
      <c r="D644" s="9" t="s">
        <v>3784</v>
      </c>
      <c r="E644" t="s">
        <v>2901</v>
      </c>
      <c r="F644" t="s">
        <v>770</v>
      </c>
      <c r="G644" t="s">
        <v>49</v>
      </c>
      <c r="H644" t="s">
        <v>50</v>
      </c>
      <c r="I644" t="s">
        <v>34</v>
      </c>
      <c r="J644" t="s">
        <v>155</v>
      </c>
      <c r="K644" t="s">
        <v>27</v>
      </c>
      <c r="L644" t="s">
        <v>53</v>
      </c>
      <c r="M644" t="s">
        <v>3785</v>
      </c>
      <c r="N644" t="s">
        <v>773</v>
      </c>
      <c r="O644" t="s">
        <v>31</v>
      </c>
      <c r="P644" t="s">
        <v>3786</v>
      </c>
      <c r="Q644" t="s">
        <v>217</v>
      </c>
      <c r="R644" s="26" t="s">
        <v>3179</v>
      </c>
      <c r="S644">
        <v>1.06</v>
      </c>
      <c r="T644">
        <v>8391</v>
      </c>
      <c r="U644">
        <v>0</v>
      </c>
      <c r="V644">
        <v>8391</v>
      </c>
    </row>
    <row r="645" spans="1:22" x14ac:dyDescent="0.3">
      <c r="A645">
        <v>80147</v>
      </c>
      <c r="B645">
        <v>456272633</v>
      </c>
      <c r="C645" t="s">
        <v>3787</v>
      </c>
      <c r="D645" s="9" t="s">
        <v>3788</v>
      </c>
      <c r="E645" t="s">
        <v>2901</v>
      </c>
      <c r="F645" t="s">
        <v>770</v>
      </c>
      <c r="G645" t="s">
        <v>49</v>
      </c>
      <c r="H645" t="s">
        <v>50</v>
      </c>
      <c r="I645" t="s">
        <v>34</v>
      </c>
      <c r="J645" t="s">
        <v>155</v>
      </c>
      <c r="K645" t="s">
        <v>27</v>
      </c>
      <c r="L645" t="s">
        <v>52</v>
      </c>
      <c r="M645" t="s">
        <v>3789</v>
      </c>
      <c r="N645" t="s">
        <v>773</v>
      </c>
      <c r="O645" t="s">
        <v>31</v>
      </c>
      <c r="P645" t="s">
        <v>3790</v>
      </c>
      <c r="Q645" t="s">
        <v>245</v>
      </c>
      <c r="R645" s="26" t="s">
        <v>393</v>
      </c>
      <c r="S645">
        <v>5.87</v>
      </c>
      <c r="T645">
        <v>8777</v>
      </c>
      <c r="U645">
        <v>0</v>
      </c>
      <c r="V645">
        <v>8777</v>
      </c>
    </row>
    <row r="646" spans="1:22" x14ac:dyDescent="0.3">
      <c r="A646">
        <v>80147</v>
      </c>
      <c r="B646">
        <v>456092155</v>
      </c>
      <c r="C646" t="s">
        <v>3791</v>
      </c>
      <c r="D646" s="9" t="s">
        <v>3792</v>
      </c>
      <c r="E646" t="s">
        <v>2901</v>
      </c>
      <c r="F646" t="s">
        <v>770</v>
      </c>
      <c r="G646" t="s">
        <v>49</v>
      </c>
      <c r="H646" t="s">
        <v>50</v>
      </c>
      <c r="I646" t="s">
        <v>34</v>
      </c>
      <c r="J646" t="s">
        <v>155</v>
      </c>
      <c r="K646" t="s">
        <v>27</v>
      </c>
      <c r="L646" t="s">
        <v>52</v>
      </c>
      <c r="M646" t="s">
        <v>3793</v>
      </c>
      <c r="N646" t="s">
        <v>773</v>
      </c>
      <c r="O646" t="s">
        <v>31</v>
      </c>
      <c r="P646" t="s">
        <v>3794</v>
      </c>
      <c r="Q646" t="s">
        <v>223</v>
      </c>
      <c r="R646" s="26" t="s">
        <v>356</v>
      </c>
      <c r="S646">
        <v>5.51</v>
      </c>
      <c r="T646">
        <v>7513</v>
      </c>
      <c r="U646">
        <v>0</v>
      </c>
      <c r="V646">
        <v>7513</v>
      </c>
    </row>
    <row r="647" spans="1:22" x14ac:dyDescent="0.3">
      <c r="A647">
        <v>80147</v>
      </c>
      <c r="B647">
        <v>456092163</v>
      </c>
      <c r="C647" t="s">
        <v>3795</v>
      </c>
      <c r="D647" s="9" t="s">
        <v>3796</v>
      </c>
      <c r="E647" t="s">
        <v>2901</v>
      </c>
      <c r="F647" t="s">
        <v>770</v>
      </c>
      <c r="G647" t="s">
        <v>49</v>
      </c>
      <c r="H647" t="s">
        <v>50</v>
      </c>
      <c r="I647" t="s">
        <v>34</v>
      </c>
      <c r="J647" t="s">
        <v>155</v>
      </c>
      <c r="K647" t="s">
        <v>27</v>
      </c>
      <c r="L647" t="s">
        <v>52</v>
      </c>
      <c r="M647" t="s">
        <v>3797</v>
      </c>
      <c r="N647" t="s">
        <v>773</v>
      </c>
      <c r="O647" t="s">
        <v>31</v>
      </c>
      <c r="P647" t="s">
        <v>3798</v>
      </c>
      <c r="Q647" t="s">
        <v>294</v>
      </c>
      <c r="R647" s="26" t="s">
        <v>356</v>
      </c>
      <c r="S647">
        <v>6.27</v>
      </c>
      <c r="T647">
        <v>9041</v>
      </c>
      <c r="U647">
        <v>0</v>
      </c>
      <c r="V647">
        <v>9041</v>
      </c>
    </row>
    <row r="648" spans="1:22" x14ac:dyDescent="0.3">
      <c r="A648">
        <v>80147</v>
      </c>
      <c r="B648">
        <v>456092174</v>
      </c>
      <c r="C648" t="s">
        <v>3799</v>
      </c>
      <c r="D648" s="9" t="s">
        <v>3800</v>
      </c>
      <c r="E648" t="s">
        <v>2901</v>
      </c>
      <c r="F648" t="s">
        <v>770</v>
      </c>
      <c r="G648" t="s">
        <v>49</v>
      </c>
      <c r="H648" t="s">
        <v>50</v>
      </c>
      <c r="I648" t="s">
        <v>34</v>
      </c>
      <c r="J648" t="s">
        <v>155</v>
      </c>
      <c r="K648" t="s">
        <v>27</v>
      </c>
      <c r="L648" t="s">
        <v>52</v>
      </c>
      <c r="M648" t="s">
        <v>3801</v>
      </c>
      <c r="N648" t="s">
        <v>773</v>
      </c>
      <c r="O648" t="s">
        <v>31</v>
      </c>
      <c r="P648" t="s">
        <v>3802</v>
      </c>
      <c r="Q648" t="s">
        <v>96</v>
      </c>
      <c r="R648" s="26" t="s">
        <v>356</v>
      </c>
      <c r="S648">
        <v>4.96</v>
      </c>
      <c r="T648">
        <v>7747</v>
      </c>
      <c r="U648">
        <v>0</v>
      </c>
      <c r="V648">
        <v>7747</v>
      </c>
    </row>
    <row r="649" spans="1:22" x14ac:dyDescent="0.3">
      <c r="A649">
        <v>80147</v>
      </c>
      <c r="B649">
        <v>455826698</v>
      </c>
      <c r="C649" t="s">
        <v>3803</v>
      </c>
      <c r="D649" s="9" t="s">
        <v>3804</v>
      </c>
      <c r="E649" t="s">
        <v>2901</v>
      </c>
      <c r="F649" t="s">
        <v>770</v>
      </c>
      <c r="G649" t="s">
        <v>49</v>
      </c>
      <c r="H649" t="s">
        <v>50</v>
      </c>
      <c r="I649" t="s">
        <v>34</v>
      </c>
      <c r="J649" t="s">
        <v>155</v>
      </c>
      <c r="K649" t="s">
        <v>27</v>
      </c>
      <c r="L649" t="s">
        <v>52</v>
      </c>
      <c r="M649" t="s">
        <v>3805</v>
      </c>
      <c r="N649" t="s">
        <v>773</v>
      </c>
      <c r="O649" t="s">
        <v>31</v>
      </c>
      <c r="P649" t="s">
        <v>3806</v>
      </c>
      <c r="Q649" t="s">
        <v>406</v>
      </c>
      <c r="R649" s="26" t="s">
        <v>716</v>
      </c>
      <c r="S649">
        <v>5.96</v>
      </c>
      <c r="T649">
        <v>13165</v>
      </c>
      <c r="U649">
        <v>0</v>
      </c>
      <c r="V649">
        <v>13165</v>
      </c>
    </row>
    <row r="650" spans="1:22" x14ac:dyDescent="0.3">
      <c r="A650">
        <v>80147</v>
      </c>
      <c r="B650">
        <v>455826811</v>
      </c>
      <c r="C650" t="s">
        <v>3807</v>
      </c>
      <c r="D650" s="9" t="s">
        <v>3808</v>
      </c>
      <c r="E650" t="s">
        <v>2901</v>
      </c>
      <c r="F650" t="s">
        <v>770</v>
      </c>
      <c r="G650" t="s">
        <v>49</v>
      </c>
      <c r="H650" t="s">
        <v>50</v>
      </c>
      <c r="I650" t="s">
        <v>34</v>
      </c>
      <c r="J650" t="s">
        <v>155</v>
      </c>
      <c r="K650" t="s">
        <v>27</v>
      </c>
      <c r="L650" t="s">
        <v>52</v>
      </c>
      <c r="M650" t="s">
        <v>544</v>
      </c>
      <c r="N650" t="s">
        <v>773</v>
      </c>
      <c r="O650" t="s">
        <v>31</v>
      </c>
      <c r="P650" t="s">
        <v>3809</v>
      </c>
      <c r="Q650" t="s">
        <v>185</v>
      </c>
      <c r="R650" s="26" t="s">
        <v>180</v>
      </c>
      <c r="S650">
        <v>6.1</v>
      </c>
      <c r="T650">
        <v>9041</v>
      </c>
      <c r="U650">
        <v>0</v>
      </c>
      <c r="V650">
        <v>9041</v>
      </c>
    </row>
    <row r="651" spans="1:22" x14ac:dyDescent="0.3">
      <c r="A651">
        <v>80147</v>
      </c>
      <c r="B651">
        <v>455659001</v>
      </c>
      <c r="C651" t="s">
        <v>3810</v>
      </c>
      <c r="D651" s="9" t="s">
        <v>3811</v>
      </c>
      <c r="E651" t="s">
        <v>2901</v>
      </c>
      <c r="F651" t="s">
        <v>770</v>
      </c>
      <c r="G651" t="s">
        <v>49</v>
      </c>
      <c r="H651" t="s">
        <v>50</v>
      </c>
      <c r="I651" t="s">
        <v>34</v>
      </c>
      <c r="J651" t="s">
        <v>155</v>
      </c>
      <c r="K651" t="s">
        <v>131</v>
      </c>
      <c r="L651" t="s">
        <v>295</v>
      </c>
      <c r="M651" t="s">
        <v>3763</v>
      </c>
      <c r="N651" t="s">
        <v>773</v>
      </c>
      <c r="O651" t="s">
        <v>31</v>
      </c>
      <c r="P651" t="s">
        <v>3764</v>
      </c>
      <c r="Q651" t="s">
        <v>74</v>
      </c>
      <c r="R651" s="26" t="s">
        <v>722</v>
      </c>
      <c r="S651">
        <v>6.17</v>
      </c>
      <c r="T651">
        <v>5465</v>
      </c>
      <c r="U651">
        <v>0</v>
      </c>
      <c r="V651">
        <v>5465</v>
      </c>
    </row>
    <row r="652" spans="1:22" x14ac:dyDescent="0.3">
      <c r="A652">
        <v>80147</v>
      </c>
      <c r="B652">
        <v>455493671</v>
      </c>
      <c r="C652" t="s">
        <v>3812</v>
      </c>
      <c r="D652" s="9" t="s">
        <v>3813</v>
      </c>
      <c r="E652" t="s">
        <v>2901</v>
      </c>
      <c r="F652" t="s">
        <v>770</v>
      </c>
      <c r="G652" t="s">
        <v>49</v>
      </c>
      <c r="H652" t="s">
        <v>50</v>
      </c>
      <c r="I652" t="s">
        <v>34</v>
      </c>
      <c r="J652" t="s">
        <v>155</v>
      </c>
      <c r="K652" t="s">
        <v>27</v>
      </c>
      <c r="L652" t="s">
        <v>52</v>
      </c>
      <c r="M652" t="s">
        <v>3814</v>
      </c>
      <c r="N652" t="s">
        <v>773</v>
      </c>
      <c r="O652" t="s">
        <v>31</v>
      </c>
      <c r="P652" t="s">
        <v>3815</v>
      </c>
      <c r="Q652" t="s">
        <v>245</v>
      </c>
      <c r="R652" s="26" t="s">
        <v>739</v>
      </c>
      <c r="S652">
        <v>6.22</v>
      </c>
      <c r="T652">
        <v>10865</v>
      </c>
      <c r="U652">
        <v>0</v>
      </c>
      <c r="V652">
        <v>10865</v>
      </c>
    </row>
    <row r="653" spans="1:22" x14ac:dyDescent="0.3">
      <c r="A653">
        <v>80147</v>
      </c>
      <c r="B653">
        <v>455520690</v>
      </c>
      <c r="C653" t="s">
        <v>3816</v>
      </c>
      <c r="D653" s="9" t="s">
        <v>3817</v>
      </c>
      <c r="E653" t="s">
        <v>2901</v>
      </c>
      <c r="F653" t="s">
        <v>770</v>
      </c>
      <c r="G653" t="s">
        <v>49</v>
      </c>
      <c r="H653" t="s">
        <v>50</v>
      </c>
      <c r="I653" t="s">
        <v>34</v>
      </c>
      <c r="J653" t="s">
        <v>155</v>
      </c>
      <c r="K653" t="s">
        <v>27</v>
      </c>
      <c r="L653" t="s">
        <v>52</v>
      </c>
      <c r="M653" t="s">
        <v>668</v>
      </c>
      <c r="N653" t="s">
        <v>773</v>
      </c>
      <c r="O653" t="s">
        <v>31</v>
      </c>
      <c r="P653" t="s">
        <v>3818</v>
      </c>
      <c r="Q653" t="s">
        <v>219</v>
      </c>
      <c r="R653" s="26" t="s">
        <v>305</v>
      </c>
      <c r="S653">
        <v>11.65</v>
      </c>
      <c r="T653">
        <v>18067</v>
      </c>
      <c r="U653">
        <v>0</v>
      </c>
      <c r="V653">
        <v>18067</v>
      </c>
    </row>
    <row r="654" spans="1:22" x14ac:dyDescent="0.3">
      <c r="A654">
        <v>80147</v>
      </c>
      <c r="B654">
        <v>455520701</v>
      </c>
      <c r="C654" t="s">
        <v>3819</v>
      </c>
      <c r="D654" s="9" t="s">
        <v>3820</v>
      </c>
      <c r="E654" t="s">
        <v>2901</v>
      </c>
      <c r="F654" t="s">
        <v>770</v>
      </c>
      <c r="G654" t="s">
        <v>49</v>
      </c>
      <c r="H654" t="s">
        <v>50</v>
      </c>
      <c r="I654" t="s">
        <v>34</v>
      </c>
      <c r="J654" t="s">
        <v>155</v>
      </c>
      <c r="K654" t="s">
        <v>27</v>
      </c>
      <c r="L654" t="s">
        <v>52</v>
      </c>
      <c r="M654" t="s">
        <v>3821</v>
      </c>
      <c r="N654" t="s">
        <v>773</v>
      </c>
      <c r="O654" t="s">
        <v>31</v>
      </c>
      <c r="P654" t="s">
        <v>3822</v>
      </c>
      <c r="Q654" t="s">
        <v>145</v>
      </c>
      <c r="R654" s="26" t="s">
        <v>305</v>
      </c>
      <c r="S654">
        <v>5.82</v>
      </c>
      <c r="T654">
        <v>4718</v>
      </c>
      <c r="U654">
        <v>0</v>
      </c>
      <c r="V654">
        <v>4718</v>
      </c>
    </row>
    <row r="655" spans="1:22" x14ac:dyDescent="0.3">
      <c r="A655">
        <v>80147</v>
      </c>
      <c r="B655">
        <v>455275169</v>
      </c>
      <c r="C655" t="s">
        <v>3823</v>
      </c>
      <c r="D655" s="9" t="s">
        <v>3824</v>
      </c>
      <c r="E655" t="s">
        <v>2901</v>
      </c>
      <c r="F655" t="s">
        <v>770</v>
      </c>
      <c r="G655" t="s">
        <v>49</v>
      </c>
      <c r="H655" t="s">
        <v>50</v>
      </c>
      <c r="I655" t="s">
        <v>34</v>
      </c>
      <c r="J655" t="s">
        <v>155</v>
      </c>
      <c r="K655" t="s">
        <v>27</v>
      </c>
      <c r="L655" t="s">
        <v>52</v>
      </c>
      <c r="M655" t="s">
        <v>686</v>
      </c>
      <c r="N655" t="s">
        <v>773</v>
      </c>
      <c r="O655" t="s">
        <v>31</v>
      </c>
      <c r="P655" t="s">
        <v>3825</v>
      </c>
      <c r="Q655" t="s">
        <v>96</v>
      </c>
      <c r="R655" s="26" t="s">
        <v>3662</v>
      </c>
      <c r="S655">
        <v>4.3499999999999996</v>
      </c>
      <c r="T655">
        <v>7747</v>
      </c>
      <c r="U655">
        <v>0</v>
      </c>
      <c r="V655">
        <v>7747</v>
      </c>
    </row>
    <row r="656" spans="1:22" x14ac:dyDescent="0.3">
      <c r="A656">
        <v>197676</v>
      </c>
      <c r="B656">
        <v>454950854</v>
      </c>
      <c r="C656" t="s">
        <v>3826</v>
      </c>
      <c r="D656" s="9" t="s">
        <v>3827</v>
      </c>
      <c r="E656" t="s">
        <v>3828</v>
      </c>
      <c r="F656" t="s">
        <v>770</v>
      </c>
      <c r="G656" t="s">
        <v>28</v>
      </c>
      <c r="H656" t="s">
        <v>29</v>
      </c>
      <c r="I656" t="s">
        <v>34</v>
      </c>
      <c r="J656" t="s">
        <v>150</v>
      </c>
      <c r="K656" t="s">
        <v>27</v>
      </c>
      <c r="L656" t="s">
        <v>3829</v>
      </c>
      <c r="M656" t="s">
        <v>3830</v>
      </c>
      <c r="N656" t="s">
        <v>773</v>
      </c>
      <c r="O656" t="s">
        <v>31</v>
      </c>
      <c r="P656" t="s">
        <v>3831</v>
      </c>
      <c r="Q656" t="s">
        <v>101</v>
      </c>
      <c r="R656" s="26" t="s">
        <v>3832</v>
      </c>
      <c r="S656">
        <v>0.7</v>
      </c>
      <c r="T656">
        <v>12100.84</v>
      </c>
      <c r="U656">
        <v>0</v>
      </c>
      <c r="V656">
        <v>12100.84</v>
      </c>
    </row>
    <row r="657" spans="1:22" x14ac:dyDescent="0.3">
      <c r="A657">
        <v>194165</v>
      </c>
      <c r="B657">
        <v>456750310</v>
      </c>
      <c r="C657" t="s">
        <v>3833</v>
      </c>
      <c r="D657" s="9" t="s">
        <v>3834</v>
      </c>
      <c r="E657" t="s">
        <v>3835</v>
      </c>
      <c r="F657" t="s">
        <v>770</v>
      </c>
      <c r="G657" t="s">
        <v>28</v>
      </c>
      <c r="H657" t="s">
        <v>29</v>
      </c>
      <c r="I657" t="s">
        <v>34</v>
      </c>
      <c r="J657" t="s">
        <v>30</v>
      </c>
      <c r="K657" t="s">
        <v>27</v>
      </c>
      <c r="L657" t="s">
        <v>3836</v>
      </c>
      <c r="M657" t="s">
        <v>3837</v>
      </c>
      <c r="N657" t="s">
        <v>773</v>
      </c>
      <c r="O657" t="s">
        <v>31</v>
      </c>
      <c r="P657" t="s">
        <v>3838</v>
      </c>
      <c r="Q657" t="s">
        <v>102</v>
      </c>
      <c r="R657" s="26" t="s">
        <v>3839</v>
      </c>
      <c r="S657">
        <v>1.2</v>
      </c>
      <c r="T657">
        <v>3935</v>
      </c>
      <c r="U657">
        <v>0</v>
      </c>
      <c r="V657">
        <v>3935</v>
      </c>
    </row>
    <row r="658" spans="1:22" x14ac:dyDescent="0.3">
      <c r="A658">
        <v>198861</v>
      </c>
      <c r="B658">
        <v>457012291</v>
      </c>
      <c r="C658" t="s">
        <v>3840</v>
      </c>
      <c r="D658" s="9" t="s">
        <v>3841</v>
      </c>
      <c r="E658" t="s">
        <v>3842</v>
      </c>
      <c r="F658" t="s">
        <v>770</v>
      </c>
      <c r="G658" t="s">
        <v>28</v>
      </c>
      <c r="H658" t="s">
        <v>29</v>
      </c>
      <c r="I658" t="s">
        <v>34</v>
      </c>
      <c r="J658" t="s">
        <v>30</v>
      </c>
      <c r="K658" t="s">
        <v>27</v>
      </c>
      <c r="L658" t="s">
        <v>3843</v>
      </c>
      <c r="M658" t="s">
        <v>3844</v>
      </c>
      <c r="N658" t="s">
        <v>773</v>
      </c>
      <c r="O658" t="s">
        <v>31</v>
      </c>
      <c r="P658" t="s">
        <v>3845</v>
      </c>
      <c r="Q658" t="s">
        <v>135</v>
      </c>
      <c r="R658" s="26" t="s">
        <v>231</v>
      </c>
      <c r="S658">
        <v>1.9</v>
      </c>
      <c r="T658">
        <v>3250</v>
      </c>
      <c r="U658">
        <v>0</v>
      </c>
      <c r="V658">
        <v>3250</v>
      </c>
    </row>
    <row r="659" spans="1:22" x14ac:dyDescent="0.3">
      <c r="A659">
        <v>198861</v>
      </c>
      <c r="B659">
        <v>456982660</v>
      </c>
      <c r="C659" t="s">
        <v>3846</v>
      </c>
      <c r="D659" s="9" t="s">
        <v>3847</v>
      </c>
      <c r="E659" t="s">
        <v>3842</v>
      </c>
      <c r="F659" t="s">
        <v>770</v>
      </c>
      <c r="G659" t="s">
        <v>28</v>
      </c>
      <c r="H659" t="s">
        <v>29</v>
      </c>
      <c r="I659" t="s">
        <v>34</v>
      </c>
      <c r="J659" t="s">
        <v>30</v>
      </c>
      <c r="K659" t="s">
        <v>27</v>
      </c>
      <c r="L659" t="s">
        <v>3848</v>
      </c>
      <c r="M659" t="s">
        <v>3849</v>
      </c>
      <c r="N659" t="s">
        <v>773</v>
      </c>
      <c r="O659" t="s">
        <v>31</v>
      </c>
      <c r="P659" t="s">
        <v>3850</v>
      </c>
      <c r="Q659" t="s">
        <v>119</v>
      </c>
      <c r="R659" s="26" t="s">
        <v>3851</v>
      </c>
      <c r="S659">
        <v>2.2999999999999998</v>
      </c>
      <c r="T659">
        <v>4205</v>
      </c>
      <c r="U659">
        <v>0</v>
      </c>
      <c r="V659">
        <v>4205</v>
      </c>
    </row>
    <row r="660" spans="1:22" x14ac:dyDescent="0.3">
      <c r="A660">
        <v>198861</v>
      </c>
      <c r="B660">
        <v>456671718</v>
      </c>
      <c r="C660" t="s">
        <v>3852</v>
      </c>
      <c r="D660" s="9" t="s">
        <v>3853</v>
      </c>
      <c r="E660" t="s">
        <v>3842</v>
      </c>
      <c r="F660" t="s">
        <v>770</v>
      </c>
      <c r="G660" t="s">
        <v>28</v>
      </c>
      <c r="H660" t="s">
        <v>29</v>
      </c>
      <c r="I660" t="s">
        <v>34</v>
      </c>
      <c r="J660" t="s">
        <v>30</v>
      </c>
      <c r="K660" t="s">
        <v>27</v>
      </c>
      <c r="L660" t="s">
        <v>3854</v>
      </c>
      <c r="M660" t="s">
        <v>702</v>
      </c>
      <c r="N660" t="s">
        <v>773</v>
      </c>
      <c r="O660" t="s">
        <v>31</v>
      </c>
      <c r="P660" t="s">
        <v>3855</v>
      </c>
      <c r="Q660" t="s">
        <v>68</v>
      </c>
      <c r="R660" s="26" t="s">
        <v>3856</v>
      </c>
      <c r="S660">
        <v>2.7</v>
      </c>
      <c r="T660">
        <v>5564</v>
      </c>
      <c r="U660">
        <v>0</v>
      </c>
      <c r="V660">
        <v>5564</v>
      </c>
    </row>
    <row r="661" spans="1:22" x14ac:dyDescent="0.3">
      <c r="A661">
        <v>198861</v>
      </c>
      <c r="B661">
        <v>456446925</v>
      </c>
      <c r="C661" t="s">
        <v>3857</v>
      </c>
      <c r="D661" s="9" t="s">
        <v>3858</v>
      </c>
      <c r="E661" t="s">
        <v>3842</v>
      </c>
      <c r="F661" t="s">
        <v>770</v>
      </c>
      <c r="G661" t="s">
        <v>28</v>
      </c>
      <c r="H661" t="s">
        <v>29</v>
      </c>
      <c r="I661" t="s">
        <v>34</v>
      </c>
      <c r="J661" t="s">
        <v>30</v>
      </c>
      <c r="K661" t="s">
        <v>27</v>
      </c>
      <c r="L661" t="s">
        <v>3859</v>
      </c>
      <c r="M661" t="s">
        <v>595</v>
      </c>
      <c r="N661" t="s">
        <v>773</v>
      </c>
      <c r="O661" t="s">
        <v>31</v>
      </c>
      <c r="P661" t="s">
        <v>3860</v>
      </c>
      <c r="Q661" t="s">
        <v>74</v>
      </c>
      <c r="R661" s="26" t="s">
        <v>3861</v>
      </c>
      <c r="S661">
        <v>3.6</v>
      </c>
      <c r="T661">
        <v>3478</v>
      </c>
      <c r="U661">
        <v>0</v>
      </c>
      <c r="V661">
        <v>3478</v>
      </c>
    </row>
    <row r="662" spans="1:22" x14ac:dyDescent="0.3">
      <c r="A662">
        <v>198861</v>
      </c>
      <c r="B662">
        <v>456386646</v>
      </c>
      <c r="C662" t="s">
        <v>3862</v>
      </c>
      <c r="D662" s="9" t="s">
        <v>3863</v>
      </c>
      <c r="E662" t="s">
        <v>3842</v>
      </c>
      <c r="F662" t="s">
        <v>770</v>
      </c>
      <c r="G662" t="s">
        <v>28</v>
      </c>
      <c r="H662" t="s">
        <v>29</v>
      </c>
      <c r="I662" t="s">
        <v>34</v>
      </c>
      <c r="J662" t="s">
        <v>30</v>
      </c>
      <c r="K662" t="s">
        <v>27</v>
      </c>
      <c r="L662" t="s">
        <v>3864</v>
      </c>
      <c r="M662" t="s">
        <v>3865</v>
      </c>
      <c r="N662" t="s">
        <v>773</v>
      </c>
      <c r="O662" t="s">
        <v>31</v>
      </c>
      <c r="P662" t="s">
        <v>3866</v>
      </c>
      <c r="Q662" t="s">
        <v>194</v>
      </c>
      <c r="R662" s="26" t="s">
        <v>3867</v>
      </c>
      <c r="S662">
        <v>3.1</v>
      </c>
      <c r="T662">
        <v>4305</v>
      </c>
      <c r="U662">
        <v>0</v>
      </c>
      <c r="V662">
        <v>4305</v>
      </c>
    </row>
    <row r="663" spans="1:22" x14ac:dyDescent="0.3">
      <c r="A663">
        <v>198861</v>
      </c>
      <c r="B663">
        <v>456487789</v>
      </c>
      <c r="C663" t="s">
        <v>3868</v>
      </c>
      <c r="D663" s="9" t="s">
        <v>3869</v>
      </c>
      <c r="E663" t="s">
        <v>3842</v>
      </c>
      <c r="F663" t="s">
        <v>770</v>
      </c>
      <c r="G663" t="s">
        <v>28</v>
      </c>
      <c r="H663" t="s">
        <v>29</v>
      </c>
      <c r="I663" t="s">
        <v>34</v>
      </c>
      <c r="J663" t="s">
        <v>30</v>
      </c>
      <c r="K663" t="s">
        <v>27</v>
      </c>
      <c r="L663" t="s">
        <v>3870</v>
      </c>
      <c r="M663" t="s">
        <v>3871</v>
      </c>
      <c r="N663" t="s">
        <v>773</v>
      </c>
      <c r="O663" t="s">
        <v>31</v>
      </c>
      <c r="P663" t="s">
        <v>3872</v>
      </c>
      <c r="Q663" t="s">
        <v>109</v>
      </c>
      <c r="R663" s="26" t="s">
        <v>755</v>
      </c>
      <c r="S663">
        <v>2.7</v>
      </c>
      <c r="T663">
        <v>3250</v>
      </c>
      <c r="U663">
        <v>0</v>
      </c>
      <c r="V663">
        <v>3250</v>
      </c>
    </row>
    <row r="664" spans="1:22" x14ac:dyDescent="0.3">
      <c r="A664">
        <v>198861</v>
      </c>
      <c r="B664">
        <v>456266589</v>
      </c>
      <c r="C664" t="s">
        <v>3873</v>
      </c>
      <c r="D664" s="9" t="s">
        <v>3874</v>
      </c>
      <c r="E664" t="s">
        <v>3842</v>
      </c>
      <c r="F664" t="s">
        <v>770</v>
      </c>
      <c r="G664" t="s">
        <v>28</v>
      </c>
      <c r="H664" t="s">
        <v>29</v>
      </c>
      <c r="I664" t="s">
        <v>34</v>
      </c>
      <c r="J664" t="s">
        <v>30</v>
      </c>
      <c r="K664" t="s">
        <v>27</v>
      </c>
      <c r="L664" t="s">
        <v>3875</v>
      </c>
      <c r="M664" t="s">
        <v>729</v>
      </c>
      <c r="N664" t="s">
        <v>773</v>
      </c>
      <c r="O664" t="s">
        <v>31</v>
      </c>
      <c r="P664" t="s">
        <v>3876</v>
      </c>
      <c r="Q664" t="s">
        <v>109</v>
      </c>
      <c r="R664" s="26" t="s">
        <v>277</v>
      </c>
      <c r="S664">
        <v>1.5</v>
      </c>
      <c r="T664">
        <v>3250</v>
      </c>
      <c r="U664">
        <v>0</v>
      </c>
      <c r="V664">
        <v>3250</v>
      </c>
    </row>
    <row r="665" spans="1:22" x14ac:dyDescent="0.3">
      <c r="A665">
        <v>198861</v>
      </c>
      <c r="B665">
        <v>455617157</v>
      </c>
      <c r="C665" t="s">
        <v>3877</v>
      </c>
      <c r="D665" s="9" t="s">
        <v>3878</v>
      </c>
      <c r="E665" t="s">
        <v>3842</v>
      </c>
      <c r="F665" t="s">
        <v>770</v>
      </c>
      <c r="G665" t="s">
        <v>28</v>
      </c>
      <c r="H665" t="s">
        <v>29</v>
      </c>
      <c r="I665" t="s">
        <v>34</v>
      </c>
      <c r="J665" t="s">
        <v>30</v>
      </c>
      <c r="K665" t="s">
        <v>27</v>
      </c>
      <c r="L665" t="s">
        <v>3879</v>
      </c>
      <c r="M665" t="s">
        <v>3880</v>
      </c>
      <c r="N665" t="s">
        <v>773</v>
      </c>
      <c r="O665" t="s">
        <v>31</v>
      </c>
      <c r="P665" t="s">
        <v>3881</v>
      </c>
      <c r="Q665" t="s">
        <v>197</v>
      </c>
      <c r="R665" s="26" t="s">
        <v>226</v>
      </c>
      <c r="S665">
        <v>2.8</v>
      </c>
      <c r="T665">
        <v>5564</v>
      </c>
      <c r="U665">
        <v>0</v>
      </c>
      <c r="V665">
        <v>5564</v>
      </c>
    </row>
    <row r="666" spans="1:22" x14ac:dyDescent="0.3">
      <c r="A666">
        <v>198861</v>
      </c>
      <c r="B666">
        <v>456336686</v>
      </c>
      <c r="C666" t="s">
        <v>3882</v>
      </c>
      <c r="D666" s="9" t="s">
        <v>3883</v>
      </c>
      <c r="E666" t="s">
        <v>3842</v>
      </c>
      <c r="F666" t="s">
        <v>770</v>
      </c>
      <c r="G666" t="s">
        <v>28</v>
      </c>
      <c r="H666" t="s">
        <v>29</v>
      </c>
      <c r="I666" t="s">
        <v>34</v>
      </c>
      <c r="J666" t="s">
        <v>30</v>
      </c>
      <c r="K666" t="s">
        <v>27</v>
      </c>
      <c r="L666" t="s">
        <v>3884</v>
      </c>
      <c r="M666" t="s">
        <v>568</v>
      </c>
      <c r="N666" t="s">
        <v>773</v>
      </c>
      <c r="O666" t="s">
        <v>31</v>
      </c>
      <c r="P666" t="s">
        <v>3885</v>
      </c>
      <c r="Q666" t="s">
        <v>296</v>
      </c>
      <c r="R666" s="26" t="s">
        <v>3886</v>
      </c>
      <c r="S666">
        <v>2.8</v>
      </c>
      <c r="T666">
        <v>4457</v>
      </c>
      <c r="U666">
        <v>0</v>
      </c>
      <c r="V666">
        <v>4457</v>
      </c>
    </row>
    <row r="667" spans="1:22" x14ac:dyDescent="0.3">
      <c r="A667">
        <v>198861</v>
      </c>
      <c r="B667">
        <v>456025934</v>
      </c>
      <c r="C667" t="s">
        <v>3887</v>
      </c>
      <c r="D667" s="9" t="s">
        <v>3888</v>
      </c>
      <c r="E667" t="s">
        <v>3842</v>
      </c>
      <c r="F667" t="s">
        <v>770</v>
      </c>
      <c r="G667" t="s">
        <v>28</v>
      </c>
      <c r="H667" t="s">
        <v>29</v>
      </c>
      <c r="I667" t="s">
        <v>34</v>
      </c>
      <c r="J667" t="s">
        <v>30</v>
      </c>
      <c r="K667" t="s">
        <v>27</v>
      </c>
      <c r="L667" t="s">
        <v>3889</v>
      </c>
      <c r="M667" t="s">
        <v>3890</v>
      </c>
      <c r="N667" t="s">
        <v>773</v>
      </c>
      <c r="O667" t="s">
        <v>31</v>
      </c>
      <c r="P667" t="s">
        <v>3891</v>
      </c>
      <c r="Q667" t="s">
        <v>41</v>
      </c>
      <c r="R667" s="26" t="s">
        <v>400</v>
      </c>
      <c r="S667">
        <v>0.02</v>
      </c>
      <c r="T667">
        <v>3552</v>
      </c>
      <c r="U667">
        <v>0</v>
      </c>
      <c r="V667">
        <v>3552</v>
      </c>
    </row>
    <row r="668" spans="1:22" x14ac:dyDescent="0.3">
      <c r="A668">
        <v>198861</v>
      </c>
      <c r="B668">
        <v>455994892</v>
      </c>
      <c r="C668" t="s">
        <v>3892</v>
      </c>
      <c r="D668" s="9" t="s">
        <v>3893</v>
      </c>
      <c r="E668" t="s">
        <v>3842</v>
      </c>
      <c r="F668" t="s">
        <v>770</v>
      </c>
      <c r="G668" t="s">
        <v>28</v>
      </c>
      <c r="H668" t="s">
        <v>29</v>
      </c>
      <c r="I668" t="s">
        <v>34</v>
      </c>
      <c r="J668" t="s">
        <v>30</v>
      </c>
      <c r="K668" t="s">
        <v>27</v>
      </c>
      <c r="L668" t="s">
        <v>3894</v>
      </c>
      <c r="M668" t="s">
        <v>3895</v>
      </c>
      <c r="N668" t="s">
        <v>773</v>
      </c>
      <c r="O668" t="s">
        <v>31</v>
      </c>
      <c r="P668" t="s">
        <v>3896</v>
      </c>
      <c r="Q668" t="s">
        <v>201</v>
      </c>
      <c r="R668" s="26" t="s">
        <v>330</v>
      </c>
      <c r="S668">
        <v>0.02</v>
      </c>
      <c r="T668">
        <v>3193</v>
      </c>
      <c r="U668">
        <v>0</v>
      </c>
      <c r="V668">
        <v>3193</v>
      </c>
    </row>
    <row r="669" spans="1:22" x14ac:dyDescent="0.3">
      <c r="A669">
        <v>198861</v>
      </c>
      <c r="B669">
        <v>455799687</v>
      </c>
      <c r="C669" t="s">
        <v>3897</v>
      </c>
      <c r="D669" s="9" t="s">
        <v>3898</v>
      </c>
      <c r="E669" t="s">
        <v>3842</v>
      </c>
      <c r="F669" t="s">
        <v>770</v>
      </c>
      <c r="G669" t="s">
        <v>28</v>
      </c>
      <c r="H669" t="s">
        <v>29</v>
      </c>
      <c r="I669" t="s">
        <v>34</v>
      </c>
      <c r="J669" t="s">
        <v>30</v>
      </c>
      <c r="K669" t="s">
        <v>27</v>
      </c>
      <c r="L669" t="s">
        <v>3899</v>
      </c>
      <c r="M669" t="s">
        <v>3900</v>
      </c>
      <c r="N669" t="s">
        <v>773</v>
      </c>
      <c r="O669" t="s">
        <v>31</v>
      </c>
      <c r="P669" t="s">
        <v>3901</v>
      </c>
      <c r="Q669" t="s">
        <v>171</v>
      </c>
      <c r="R669" s="26" t="s">
        <v>439</v>
      </c>
      <c r="S669">
        <v>3.4</v>
      </c>
      <c r="T669">
        <v>3664</v>
      </c>
      <c r="U669">
        <v>0</v>
      </c>
      <c r="V669">
        <v>3664</v>
      </c>
    </row>
    <row r="670" spans="1:22" x14ac:dyDescent="0.3">
      <c r="A670">
        <v>179660</v>
      </c>
      <c r="B670">
        <v>456985312</v>
      </c>
      <c r="C670" t="s">
        <v>3902</v>
      </c>
      <c r="D670" s="9" t="s">
        <v>3903</v>
      </c>
      <c r="E670" t="s">
        <v>3904</v>
      </c>
      <c r="F670" t="s">
        <v>770</v>
      </c>
      <c r="G670" t="s">
        <v>28</v>
      </c>
      <c r="H670" t="s">
        <v>29</v>
      </c>
      <c r="I670" t="s">
        <v>34</v>
      </c>
      <c r="J670" t="s">
        <v>30</v>
      </c>
      <c r="K670" t="s">
        <v>27</v>
      </c>
      <c r="L670" t="s">
        <v>3905</v>
      </c>
      <c r="M670" t="s">
        <v>577</v>
      </c>
      <c r="N670" t="s">
        <v>773</v>
      </c>
      <c r="O670" t="s">
        <v>31</v>
      </c>
      <c r="P670" t="s">
        <v>3906</v>
      </c>
      <c r="Q670" t="s">
        <v>41</v>
      </c>
      <c r="R670" s="26" t="s">
        <v>448</v>
      </c>
      <c r="S670">
        <v>2.4</v>
      </c>
      <c r="T670">
        <v>3935</v>
      </c>
      <c r="U670">
        <v>0</v>
      </c>
      <c r="V670">
        <v>3935</v>
      </c>
    </row>
    <row r="671" spans="1:22" x14ac:dyDescent="0.3">
      <c r="A671">
        <v>179660</v>
      </c>
      <c r="B671">
        <v>455181832</v>
      </c>
      <c r="C671" t="s">
        <v>3907</v>
      </c>
      <c r="D671" s="9" t="s">
        <v>3908</v>
      </c>
      <c r="E671" t="s">
        <v>3904</v>
      </c>
      <c r="F671" t="s">
        <v>770</v>
      </c>
      <c r="G671" t="s">
        <v>28</v>
      </c>
      <c r="H671" t="s">
        <v>29</v>
      </c>
      <c r="I671" t="s">
        <v>34</v>
      </c>
      <c r="J671" t="s">
        <v>150</v>
      </c>
      <c r="K671" t="s">
        <v>27</v>
      </c>
      <c r="L671" t="s">
        <v>3909</v>
      </c>
      <c r="M671" t="s">
        <v>3910</v>
      </c>
      <c r="N671" t="s">
        <v>773</v>
      </c>
      <c r="O671" t="s">
        <v>31</v>
      </c>
      <c r="P671" t="s">
        <v>3911</v>
      </c>
      <c r="Q671" t="s">
        <v>171</v>
      </c>
      <c r="R671" s="26" t="s">
        <v>3912</v>
      </c>
      <c r="S671">
        <v>3.9</v>
      </c>
      <c r="T671">
        <v>3664</v>
      </c>
      <c r="U671">
        <v>0</v>
      </c>
      <c r="V671">
        <v>3664</v>
      </c>
    </row>
    <row r="672" spans="1:22" x14ac:dyDescent="0.3">
      <c r="A672">
        <v>197070</v>
      </c>
      <c r="B672">
        <v>141130274</v>
      </c>
      <c r="C672" t="s">
        <v>3913</v>
      </c>
      <c r="D672" s="9" t="s">
        <v>3914</v>
      </c>
      <c r="E672" t="s">
        <v>3915</v>
      </c>
      <c r="F672" t="s">
        <v>770</v>
      </c>
      <c r="G672" t="s">
        <v>28</v>
      </c>
      <c r="H672" t="s">
        <v>29</v>
      </c>
      <c r="I672" t="s">
        <v>34</v>
      </c>
      <c r="J672" t="s">
        <v>150</v>
      </c>
      <c r="K672" t="s">
        <v>106</v>
      </c>
      <c r="L672" t="s">
        <v>3916</v>
      </c>
      <c r="M672" t="s">
        <v>3917</v>
      </c>
      <c r="N672" t="s">
        <v>773</v>
      </c>
      <c r="O672" t="s">
        <v>31</v>
      </c>
      <c r="P672" t="s">
        <v>3918</v>
      </c>
      <c r="Q672" t="s">
        <v>109</v>
      </c>
      <c r="R672" s="26" t="s">
        <v>3919</v>
      </c>
      <c r="S672">
        <v>1.45</v>
      </c>
      <c r="T672">
        <v>2312</v>
      </c>
      <c r="U672">
        <v>0</v>
      </c>
      <c r="V672">
        <v>2312</v>
      </c>
    </row>
    <row r="673" spans="1:22" x14ac:dyDescent="0.3">
      <c r="A673">
        <v>197070</v>
      </c>
      <c r="B673">
        <v>456927141</v>
      </c>
      <c r="C673" t="s">
        <v>3920</v>
      </c>
      <c r="D673" s="9" t="s">
        <v>3921</v>
      </c>
      <c r="E673" t="s">
        <v>3915</v>
      </c>
      <c r="F673" t="s">
        <v>770</v>
      </c>
      <c r="G673" t="s">
        <v>28</v>
      </c>
      <c r="H673" t="s">
        <v>29</v>
      </c>
      <c r="I673" t="s">
        <v>34</v>
      </c>
      <c r="J673" t="s">
        <v>30</v>
      </c>
      <c r="K673" t="s">
        <v>27</v>
      </c>
      <c r="L673" t="s">
        <v>3922</v>
      </c>
      <c r="M673" t="s">
        <v>3923</v>
      </c>
      <c r="N673" t="s">
        <v>773</v>
      </c>
      <c r="O673" t="s">
        <v>31</v>
      </c>
      <c r="P673" t="s">
        <v>3924</v>
      </c>
      <c r="Q673" t="s">
        <v>73</v>
      </c>
      <c r="R673" s="26" t="s">
        <v>3925</v>
      </c>
      <c r="S673">
        <v>6.6</v>
      </c>
      <c r="T673">
        <v>5295</v>
      </c>
      <c r="U673">
        <v>0</v>
      </c>
      <c r="V673">
        <v>5295</v>
      </c>
    </row>
    <row r="674" spans="1:22" x14ac:dyDescent="0.3">
      <c r="A674">
        <v>197070</v>
      </c>
      <c r="B674">
        <v>456862680</v>
      </c>
      <c r="C674" t="s">
        <v>3926</v>
      </c>
      <c r="D674" s="9" t="s">
        <v>3927</v>
      </c>
      <c r="E674" t="s">
        <v>3915</v>
      </c>
      <c r="F674" t="s">
        <v>770</v>
      </c>
      <c r="G674" t="s">
        <v>28</v>
      </c>
      <c r="H674" t="s">
        <v>29</v>
      </c>
      <c r="I674" t="s">
        <v>34</v>
      </c>
      <c r="J674" t="s">
        <v>150</v>
      </c>
      <c r="K674" t="s">
        <v>27</v>
      </c>
      <c r="L674" t="s">
        <v>3928</v>
      </c>
      <c r="M674" t="s">
        <v>3929</v>
      </c>
      <c r="N674" t="s">
        <v>773</v>
      </c>
      <c r="O674" t="s">
        <v>31</v>
      </c>
      <c r="P674" t="s">
        <v>3930</v>
      </c>
      <c r="Q674" t="s">
        <v>69</v>
      </c>
      <c r="R674" s="26" t="s">
        <v>3931</v>
      </c>
      <c r="S674">
        <v>1.1000000000000001</v>
      </c>
      <c r="T674">
        <v>3935</v>
      </c>
      <c r="U674">
        <v>0</v>
      </c>
      <c r="V674">
        <v>3935</v>
      </c>
    </row>
    <row r="675" spans="1:22" x14ac:dyDescent="0.3">
      <c r="A675">
        <v>197070</v>
      </c>
      <c r="B675">
        <v>456821890</v>
      </c>
      <c r="C675" t="s">
        <v>3932</v>
      </c>
      <c r="D675" s="9" t="s">
        <v>3933</v>
      </c>
      <c r="E675" t="s">
        <v>3915</v>
      </c>
      <c r="F675" t="s">
        <v>770</v>
      </c>
      <c r="G675" t="s">
        <v>28</v>
      </c>
      <c r="H675" t="s">
        <v>29</v>
      </c>
      <c r="I675" t="s">
        <v>34</v>
      </c>
      <c r="J675" t="s">
        <v>30</v>
      </c>
      <c r="K675" t="s">
        <v>27</v>
      </c>
      <c r="L675" t="s">
        <v>3934</v>
      </c>
      <c r="M675" t="s">
        <v>653</v>
      </c>
      <c r="N675" t="s">
        <v>773</v>
      </c>
      <c r="O675" t="s">
        <v>31</v>
      </c>
      <c r="P675" t="s">
        <v>3935</v>
      </c>
      <c r="Q675" t="s">
        <v>42</v>
      </c>
      <c r="R675" s="26" t="s">
        <v>335</v>
      </c>
      <c r="S675">
        <v>4.9000000000000004</v>
      </c>
      <c r="T675">
        <v>4182</v>
      </c>
      <c r="U675">
        <v>0</v>
      </c>
      <c r="V675">
        <v>4182</v>
      </c>
    </row>
    <row r="676" spans="1:22" x14ac:dyDescent="0.3">
      <c r="A676">
        <v>197070</v>
      </c>
      <c r="B676">
        <v>456780149</v>
      </c>
      <c r="C676" t="s">
        <v>3936</v>
      </c>
      <c r="D676" s="9" t="s">
        <v>3937</v>
      </c>
      <c r="E676" t="s">
        <v>3915</v>
      </c>
      <c r="F676" t="s">
        <v>770</v>
      </c>
      <c r="G676" t="s">
        <v>28</v>
      </c>
      <c r="H676" t="s">
        <v>29</v>
      </c>
      <c r="I676" t="s">
        <v>34</v>
      </c>
      <c r="J676" t="s">
        <v>150</v>
      </c>
      <c r="K676" t="s">
        <v>27</v>
      </c>
      <c r="L676" t="s">
        <v>3938</v>
      </c>
      <c r="M676" t="s">
        <v>3939</v>
      </c>
      <c r="N676" t="s">
        <v>773</v>
      </c>
      <c r="O676" t="s">
        <v>31</v>
      </c>
      <c r="P676" t="s">
        <v>3940</v>
      </c>
      <c r="Q676" t="s">
        <v>125</v>
      </c>
      <c r="R676" s="26" t="s">
        <v>449</v>
      </c>
      <c r="S676">
        <v>3.7</v>
      </c>
      <c r="T676">
        <v>4429</v>
      </c>
      <c r="U676">
        <v>0</v>
      </c>
      <c r="V676">
        <v>4429</v>
      </c>
    </row>
    <row r="677" spans="1:22" x14ac:dyDescent="0.3">
      <c r="A677">
        <v>197070</v>
      </c>
      <c r="B677">
        <v>456789342</v>
      </c>
      <c r="C677" t="s">
        <v>3941</v>
      </c>
      <c r="D677" s="9" t="s">
        <v>3942</v>
      </c>
      <c r="E677" t="s">
        <v>3915</v>
      </c>
      <c r="F677" t="s">
        <v>770</v>
      </c>
      <c r="G677" t="s">
        <v>28</v>
      </c>
      <c r="H677" t="s">
        <v>29</v>
      </c>
      <c r="I677" t="s">
        <v>34</v>
      </c>
      <c r="J677" t="s">
        <v>30</v>
      </c>
      <c r="K677" t="s">
        <v>27</v>
      </c>
      <c r="L677" t="s">
        <v>3943</v>
      </c>
      <c r="M677" t="s">
        <v>3944</v>
      </c>
      <c r="N677" t="s">
        <v>773</v>
      </c>
      <c r="O677" t="s">
        <v>31</v>
      </c>
      <c r="P677" t="s">
        <v>3945</v>
      </c>
      <c r="Q677" t="s">
        <v>203</v>
      </c>
      <c r="R677" s="26" t="s">
        <v>724</v>
      </c>
      <c r="S677">
        <v>3.8</v>
      </c>
      <c r="T677">
        <v>4545</v>
      </c>
      <c r="U677">
        <v>0</v>
      </c>
      <c r="V677">
        <v>4545</v>
      </c>
    </row>
    <row r="678" spans="1:22" x14ac:dyDescent="0.3">
      <c r="A678">
        <v>197070</v>
      </c>
      <c r="B678">
        <v>456741758</v>
      </c>
      <c r="C678" t="s">
        <v>3946</v>
      </c>
      <c r="D678" s="9" t="s">
        <v>3947</v>
      </c>
      <c r="E678" t="s">
        <v>3915</v>
      </c>
      <c r="F678" t="s">
        <v>770</v>
      </c>
      <c r="G678" t="s">
        <v>28</v>
      </c>
      <c r="H678" t="s">
        <v>29</v>
      </c>
      <c r="I678" t="s">
        <v>34</v>
      </c>
      <c r="J678" t="s">
        <v>150</v>
      </c>
      <c r="K678" t="s">
        <v>27</v>
      </c>
      <c r="L678" t="s">
        <v>3948</v>
      </c>
      <c r="M678" t="s">
        <v>700</v>
      </c>
      <c r="N678" t="s">
        <v>773</v>
      </c>
      <c r="O678" t="s">
        <v>31</v>
      </c>
      <c r="P678" t="s">
        <v>3949</v>
      </c>
      <c r="Q678" t="s">
        <v>73</v>
      </c>
      <c r="R678" s="26" t="s">
        <v>759</v>
      </c>
      <c r="S678">
        <v>6</v>
      </c>
      <c r="T678">
        <v>5295</v>
      </c>
      <c r="U678">
        <v>0</v>
      </c>
      <c r="V678">
        <v>5295</v>
      </c>
    </row>
    <row r="679" spans="1:22" x14ac:dyDescent="0.3">
      <c r="A679">
        <v>197070</v>
      </c>
      <c r="B679">
        <v>456730288</v>
      </c>
      <c r="C679" t="s">
        <v>3950</v>
      </c>
      <c r="D679" s="9" t="s">
        <v>3951</v>
      </c>
      <c r="E679" t="s">
        <v>3915</v>
      </c>
      <c r="F679" t="s">
        <v>770</v>
      </c>
      <c r="G679" t="s">
        <v>28</v>
      </c>
      <c r="H679" t="s">
        <v>29</v>
      </c>
      <c r="I679" t="s">
        <v>34</v>
      </c>
      <c r="J679" t="s">
        <v>150</v>
      </c>
      <c r="K679" t="s">
        <v>27</v>
      </c>
      <c r="L679" t="s">
        <v>3952</v>
      </c>
      <c r="M679" t="s">
        <v>597</v>
      </c>
      <c r="N679" t="s">
        <v>773</v>
      </c>
      <c r="O679" t="s">
        <v>31</v>
      </c>
      <c r="P679" t="s">
        <v>3953</v>
      </c>
      <c r="Q679" t="s">
        <v>72</v>
      </c>
      <c r="R679" s="26" t="s">
        <v>350</v>
      </c>
      <c r="S679">
        <v>5.2</v>
      </c>
      <c r="T679">
        <v>5564</v>
      </c>
      <c r="U679">
        <v>0</v>
      </c>
      <c r="V679">
        <v>5564</v>
      </c>
    </row>
    <row r="680" spans="1:22" x14ac:dyDescent="0.3">
      <c r="A680">
        <v>197070</v>
      </c>
      <c r="B680">
        <v>456623001</v>
      </c>
      <c r="C680" t="s">
        <v>3954</v>
      </c>
      <c r="D680" s="9" t="s">
        <v>3955</v>
      </c>
      <c r="E680" t="s">
        <v>3915</v>
      </c>
      <c r="F680" t="s">
        <v>770</v>
      </c>
      <c r="G680" t="s">
        <v>28</v>
      </c>
      <c r="H680" t="s">
        <v>29</v>
      </c>
      <c r="I680" t="s">
        <v>34</v>
      </c>
      <c r="J680" t="s">
        <v>30</v>
      </c>
      <c r="K680" t="s">
        <v>27</v>
      </c>
      <c r="L680" t="s">
        <v>3956</v>
      </c>
      <c r="M680" t="s">
        <v>571</v>
      </c>
      <c r="N680" t="s">
        <v>773</v>
      </c>
      <c r="O680" t="s">
        <v>31</v>
      </c>
      <c r="P680" t="s">
        <v>3957</v>
      </c>
      <c r="Q680" t="s">
        <v>184</v>
      </c>
      <c r="R680" s="26" t="s">
        <v>520</v>
      </c>
      <c r="S680">
        <v>3.5</v>
      </c>
      <c r="T680">
        <v>8363</v>
      </c>
      <c r="U680">
        <v>0</v>
      </c>
      <c r="V680">
        <v>8363</v>
      </c>
    </row>
    <row r="681" spans="1:22" x14ac:dyDescent="0.3">
      <c r="A681">
        <v>197070</v>
      </c>
      <c r="B681">
        <v>456620332</v>
      </c>
      <c r="C681" t="s">
        <v>3958</v>
      </c>
      <c r="D681" s="9" t="s">
        <v>3959</v>
      </c>
      <c r="E681" t="s">
        <v>3915</v>
      </c>
      <c r="F681" t="s">
        <v>770</v>
      </c>
      <c r="G681" t="s">
        <v>28</v>
      </c>
      <c r="H681" t="s">
        <v>29</v>
      </c>
      <c r="I681" t="s">
        <v>34</v>
      </c>
      <c r="J681" t="s">
        <v>150</v>
      </c>
      <c r="K681" t="s">
        <v>27</v>
      </c>
      <c r="L681" t="s">
        <v>3960</v>
      </c>
      <c r="M681" t="s">
        <v>3961</v>
      </c>
      <c r="N681" t="s">
        <v>773</v>
      </c>
      <c r="O681" t="s">
        <v>31</v>
      </c>
      <c r="P681" t="s">
        <v>3962</v>
      </c>
      <c r="Q681" t="s">
        <v>135</v>
      </c>
      <c r="R681" s="26" t="s">
        <v>747</v>
      </c>
      <c r="S681">
        <v>3.3</v>
      </c>
      <c r="T681">
        <v>3664</v>
      </c>
      <c r="U681">
        <v>0</v>
      </c>
      <c r="V681">
        <v>3664</v>
      </c>
    </row>
    <row r="682" spans="1:22" x14ac:dyDescent="0.3">
      <c r="A682">
        <v>197070</v>
      </c>
      <c r="B682">
        <v>456604144</v>
      </c>
      <c r="C682" t="s">
        <v>3963</v>
      </c>
      <c r="D682" s="9" t="s">
        <v>3964</v>
      </c>
      <c r="E682" t="s">
        <v>3915</v>
      </c>
      <c r="F682" t="s">
        <v>770</v>
      </c>
      <c r="G682" t="s">
        <v>28</v>
      </c>
      <c r="H682" t="s">
        <v>29</v>
      </c>
      <c r="I682" t="s">
        <v>34</v>
      </c>
      <c r="J682" t="s">
        <v>30</v>
      </c>
      <c r="K682" t="s">
        <v>27</v>
      </c>
      <c r="L682" t="s">
        <v>3965</v>
      </c>
      <c r="M682" t="s">
        <v>3966</v>
      </c>
      <c r="N682" t="s">
        <v>773</v>
      </c>
      <c r="O682" t="s">
        <v>31</v>
      </c>
      <c r="P682" t="s">
        <v>3967</v>
      </c>
      <c r="Q682" t="s">
        <v>41</v>
      </c>
      <c r="R682" s="26" t="s">
        <v>3968</v>
      </c>
      <c r="S682">
        <v>5.7</v>
      </c>
      <c r="T682">
        <v>6114</v>
      </c>
      <c r="U682">
        <v>0</v>
      </c>
      <c r="V682">
        <v>6114</v>
      </c>
    </row>
    <row r="683" spans="1:22" x14ac:dyDescent="0.3">
      <c r="A683">
        <v>197070</v>
      </c>
      <c r="B683">
        <v>456502310</v>
      </c>
      <c r="C683" t="s">
        <v>3969</v>
      </c>
      <c r="D683" s="9" t="s">
        <v>3970</v>
      </c>
      <c r="E683" t="s">
        <v>3915</v>
      </c>
      <c r="F683" t="s">
        <v>770</v>
      </c>
      <c r="G683" t="s">
        <v>28</v>
      </c>
      <c r="H683" t="s">
        <v>29</v>
      </c>
      <c r="I683" t="s">
        <v>34</v>
      </c>
      <c r="J683" t="s">
        <v>150</v>
      </c>
      <c r="K683" t="s">
        <v>27</v>
      </c>
      <c r="L683" t="s">
        <v>3971</v>
      </c>
      <c r="M683" t="s">
        <v>3972</v>
      </c>
      <c r="N683" t="s">
        <v>773</v>
      </c>
      <c r="O683" t="s">
        <v>31</v>
      </c>
      <c r="P683" t="s">
        <v>3973</v>
      </c>
      <c r="Q683" t="s">
        <v>188</v>
      </c>
      <c r="R683" s="26" t="s">
        <v>758</v>
      </c>
      <c r="S683">
        <v>5.2</v>
      </c>
      <c r="T683">
        <v>10050</v>
      </c>
      <c r="U683">
        <v>0</v>
      </c>
      <c r="V683">
        <v>10050</v>
      </c>
    </row>
    <row r="684" spans="1:22" x14ac:dyDescent="0.3">
      <c r="A684">
        <v>197070</v>
      </c>
      <c r="B684">
        <v>456432070</v>
      </c>
      <c r="C684" t="s">
        <v>3974</v>
      </c>
      <c r="D684" s="9" t="s">
        <v>3975</v>
      </c>
      <c r="E684" t="s">
        <v>3915</v>
      </c>
      <c r="F684" t="s">
        <v>770</v>
      </c>
      <c r="G684" t="s">
        <v>28</v>
      </c>
      <c r="H684" t="s">
        <v>29</v>
      </c>
      <c r="I684" t="s">
        <v>34</v>
      </c>
      <c r="J684" t="s">
        <v>150</v>
      </c>
      <c r="K684" t="s">
        <v>27</v>
      </c>
      <c r="L684" t="s">
        <v>3976</v>
      </c>
      <c r="M684" t="s">
        <v>3977</v>
      </c>
      <c r="N684" t="s">
        <v>773</v>
      </c>
      <c r="O684" t="s">
        <v>31</v>
      </c>
      <c r="P684" t="s">
        <v>3978</v>
      </c>
      <c r="Q684" t="s">
        <v>164</v>
      </c>
      <c r="R684" s="26" t="s">
        <v>3979</v>
      </c>
      <c r="S684">
        <v>3.9</v>
      </c>
      <c r="T684">
        <v>3664</v>
      </c>
      <c r="U684">
        <v>0</v>
      </c>
      <c r="V684">
        <v>3664</v>
      </c>
    </row>
    <row r="685" spans="1:22" x14ac:dyDescent="0.3">
      <c r="A685">
        <v>197070</v>
      </c>
      <c r="B685">
        <v>455346522</v>
      </c>
      <c r="C685" t="s">
        <v>3980</v>
      </c>
      <c r="D685" s="9" t="s">
        <v>3981</v>
      </c>
      <c r="E685" t="s">
        <v>3915</v>
      </c>
      <c r="F685" t="s">
        <v>770</v>
      </c>
      <c r="G685" t="s">
        <v>28</v>
      </c>
      <c r="H685" t="s">
        <v>29</v>
      </c>
      <c r="I685" t="s">
        <v>34</v>
      </c>
      <c r="J685" t="s">
        <v>150</v>
      </c>
      <c r="K685" t="s">
        <v>27</v>
      </c>
      <c r="L685" t="s">
        <v>3982</v>
      </c>
      <c r="M685" t="s">
        <v>634</v>
      </c>
      <c r="N685" t="s">
        <v>773</v>
      </c>
      <c r="O685" t="s">
        <v>31</v>
      </c>
      <c r="P685" t="s">
        <v>3983</v>
      </c>
      <c r="Q685" t="s">
        <v>162</v>
      </c>
      <c r="R685" s="26" t="s">
        <v>3984</v>
      </c>
      <c r="S685">
        <v>1</v>
      </c>
      <c r="T685">
        <v>3737</v>
      </c>
      <c r="U685">
        <v>0</v>
      </c>
      <c r="V685">
        <v>3737</v>
      </c>
    </row>
    <row r="686" spans="1:22" x14ac:dyDescent="0.3">
      <c r="A686">
        <v>197070</v>
      </c>
      <c r="B686">
        <v>455183947</v>
      </c>
      <c r="C686" t="s">
        <v>3985</v>
      </c>
      <c r="D686" s="9" t="s">
        <v>3986</v>
      </c>
      <c r="E686" t="s">
        <v>3915</v>
      </c>
      <c r="F686" t="s">
        <v>770</v>
      </c>
      <c r="G686" t="s">
        <v>28</v>
      </c>
      <c r="H686" t="s">
        <v>29</v>
      </c>
      <c r="I686" t="s">
        <v>34</v>
      </c>
      <c r="J686" t="s">
        <v>30</v>
      </c>
      <c r="K686" t="s">
        <v>27</v>
      </c>
      <c r="L686" t="s">
        <v>3987</v>
      </c>
      <c r="M686" t="s">
        <v>693</v>
      </c>
      <c r="N686" t="s">
        <v>773</v>
      </c>
      <c r="O686" t="s">
        <v>31</v>
      </c>
      <c r="P686" t="s">
        <v>3988</v>
      </c>
      <c r="Q686" t="s">
        <v>138</v>
      </c>
      <c r="R686" s="26" t="s">
        <v>475</v>
      </c>
      <c r="S686">
        <v>6.4</v>
      </c>
      <c r="T686">
        <v>5024</v>
      </c>
      <c r="U686">
        <v>0</v>
      </c>
      <c r="V686">
        <v>5024</v>
      </c>
    </row>
    <row r="687" spans="1:22" x14ac:dyDescent="0.3">
      <c r="A687">
        <v>197070</v>
      </c>
      <c r="B687">
        <v>455195671</v>
      </c>
      <c r="C687" t="s">
        <v>3989</v>
      </c>
      <c r="D687" s="9" t="s">
        <v>3990</v>
      </c>
      <c r="E687" t="s">
        <v>3915</v>
      </c>
      <c r="F687" t="s">
        <v>770</v>
      </c>
      <c r="G687" t="s">
        <v>28</v>
      </c>
      <c r="H687" t="s">
        <v>29</v>
      </c>
      <c r="I687" t="s">
        <v>34</v>
      </c>
      <c r="J687" t="s">
        <v>30</v>
      </c>
      <c r="K687" t="s">
        <v>27</v>
      </c>
      <c r="L687" t="s">
        <v>3991</v>
      </c>
      <c r="M687" t="s">
        <v>3992</v>
      </c>
      <c r="N687" t="s">
        <v>773</v>
      </c>
      <c r="O687" t="s">
        <v>31</v>
      </c>
      <c r="P687" t="s">
        <v>3993</v>
      </c>
      <c r="Q687" t="s">
        <v>126</v>
      </c>
      <c r="R687" s="26" t="s">
        <v>404</v>
      </c>
      <c r="S687">
        <v>2.8</v>
      </c>
      <c r="T687">
        <v>3737</v>
      </c>
      <c r="U687">
        <v>0</v>
      </c>
      <c r="V687">
        <v>3737</v>
      </c>
    </row>
    <row r="688" spans="1:22" x14ac:dyDescent="0.3">
      <c r="A688">
        <v>197070</v>
      </c>
      <c r="B688">
        <v>455274154</v>
      </c>
      <c r="C688" t="s">
        <v>3994</v>
      </c>
      <c r="D688" s="9" t="s">
        <v>3995</v>
      </c>
      <c r="E688" t="s">
        <v>3915</v>
      </c>
      <c r="F688" t="s">
        <v>770</v>
      </c>
      <c r="G688" t="s">
        <v>28</v>
      </c>
      <c r="H688" t="s">
        <v>29</v>
      </c>
      <c r="I688" t="s">
        <v>34</v>
      </c>
      <c r="J688" t="s">
        <v>30</v>
      </c>
      <c r="K688" t="s">
        <v>27</v>
      </c>
      <c r="L688" t="s">
        <v>3996</v>
      </c>
      <c r="M688" t="s">
        <v>3997</v>
      </c>
      <c r="N688" t="s">
        <v>773</v>
      </c>
      <c r="O688" t="s">
        <v>31</v>
      </c>
      <c r="P688" t="s">
        <v>3998</v>
      </c>
      <c r="Q688" t="s">
        <v>85</v>
      </c>
      <c r="R688" s="26" t="s">
        <v>3999</v>
      </c>
      <c r="S688">
        <v>2.8</v>
      </c>
      <c r="T688">
        <v>3631</v>
      </c>
      <c r="U688">
        <v>0</v>
      </c>
      <c r="V688">
        <v>3631</v>
      </c>
    </row>
    <row r="689" spans="1:22" x14ac:dyDescent="0.3">
      <c r="A689">
        <v>197070</v>
      </c>
      <c r="B689">
        <v>456769198</v>
      </c>
      <c r="C689" t="s">
        <v>4000</v>
      </c>
      <c r="D689" s="9" t="s">
        <v>4001</v>
      </c>
      <c r="E689" t="s">
        <v>3915</v>
      </c>
      <c r="F689" t="s">
        <v>770</v>
      </c>
      <c r="G689" t="s">
        <v>49</v>
      </c>
      <c r="H689" t="s">
        <v>50</v>
      </c>
      <c r="I689" t="s">
        <v>34</v>
      </c>
      <c r="J689" t="s">
        <v>155</v>
      </c>
      <c r="K689" t="s">
        <v>27</v>
      </c>
      <c r="L689" t="s">
        <v>52</v>
      </c>
      <c r="M689" t="s">
        <v>4002</v>
      </c>
      <c r="N689" t="s">
        <v>773</v>
      </c>
      <c r="O689" t="s">
        <v>31</v>
      </c>
      <c r="P689" t="s">
        <v>4003</v>
      </c>
      <c r="Q689" t="s">
        <v>217</v>
      </c>
      <c r="R689" s="26" t="s">
        <v>485</v>
      </c>
      <c r="S689">
        <v>11.15</v>
      </c>
      <c r="T689">
        <v>13253</v>
      </c>
      <c r="U689">
        <v>0</v>
      </c>
      <c r="V689">
        <v>13253</v>
      </c>
    </row>
    <row r="690" spans="1:22" x14ac:dyDescent="0.3">
      <c r="A690">
        <v>194568</v>
      </c>
      <c r="B690">
        <v>456522627</v>
      </c>
      <c r="C690" t="s">
        <v>4004</v>
      </c>
      <c r="D690" s="9" t="s">
        <v>4005</v>
      </c>
      <c r="E690" t="s">
        <v>688</v>
      </c>
      <c r="F690" t="s">
        <v>770</v>
      </c>
      <c r="G690" t="s">
        <v>28</v>
      </c>
      <c r="H690" t="s">
        <v>29</v>
      </c>
      <c r="I690" t="s">
        <v>34</v>
      </c>
      <c r="J690" t="s">
        <v>30</v>
      </c>
      <c r="K690" t="s">
        <v>27</v>
      </c>
      <c r="L690" t="s">
        <v>4006</v>
      </c>
      <c r="M690" t="s">
        <v>4007</v>
      </c>
      <c r="N690" t="s">
        <v>773</v>
      </c>
      <c r="O690" t="s">
        <v>31</v>
      </c>
      <c r="P690" t="s">
        <v>4008</v>
      </c>
      <c r="Q690" t="s">
        <v>85</v>
      </c>
      <c r="R690" s="26" t="s">
        <v>435</v>
      </c>
      <c r="S690">
        <v>0.5</v>
      </c>
      <c r="T690">
        <v>3552</v>
      </c>
      <c r="U690">
        <v>0</v>
      </c>
      <c r="V690">
        <v>3552</v>
      </c>
    </row>
    <row r="691" spans="1:22" x14ac:dyDescent="0.3">
      <c r="A691">
        <v>194568</v>
      </c>
      <c r="B691">
        <v>456360166</v>
      </c>
      <c r="C691" t="s">
        <v>4009</v>
      </c>
      <c r="D691" s="9" t="s">
        <v>4010</v>
      </c>
      <c r="E691" t="s">
        <v>688</v>
      </c>
      <c r="F691" t="s">
        <v>770</v>
      </c>
      <c r="G691" t="s">
        <v>28</v>
      </c>
      <c r="H691" t="s">
        <v>29</v>
      </c>
      <c r="I691" t="s">
        <v>34</v>
      </c>
      <c r="J691" t="s">
        <v>30</v>
      </c>
      <c r="K691" t="s">
        <v>27</v>
      </c>
      <c r="L691" t="s">
        <v>4011</v>
      </c>
      <c r="M691" t="s">
        <v>4012</v>
      </c>
      <c r="N691" t="s">
        <v>773</v>
      </c>
      <c r="O691" t="s">
        <v>31</v>
      </c>
      <c r="P691" t="s">
        <v>4013</v>
      </c>
      <c r="Q691" t="s">
        <v>109</v>
      </c>
      <c r="R691" s="26" t="s">
        <v>4014</v>
      </c>
      <c r="S691">
        <v>0.8</v>
      </c>
      <c r="T691">
        <v>3250</v>
      </c>
      <c r="U691">
        <v>0</v>
      </c>
      <c r="V691">
        <v>3250</v>
      </c>
    </row>
    <row r="692" spans="1:22" x14ac:dyDescent="0.3">
      <c r="A692">
        <v>194568</v>
      </c>
      <c r="B692">
        <v>456465593</v>
      </c>
      <c r="C692" t="s">
        <v>4015</v>
      </c>
      <c r="D692" s="9" t="s">
        <v>4016</v>
      </c>
      <c r="E692" t="s">
        <v>688</v>
      </c>
      <c r="F692" t="s">
        <v>770</v>
      </c>
      <c r="G692" t="s">
        <v>28</v>
      </c>
      <c r="H692" t="s">
        <v>29</v>
      </c>
      <c r="I692" t="s">
        <v>34</v>
      </c>
      <c r="J692" t="s">
        <v>30</v>
      </c>
      <c r="K692" t="s">
        <v>27</v>
      </c>
      <c r="L692" t="s">
        <v>4017</v>
      </c>
      <c r="M692" t="s">
        <v>4018</v>
      </c>
      <c r="N692" t="s">
        <v>773</v>
      </c>
      <c r="O692" t="s">
        <v>31</v>
      </c>
      <c r="P692" t="s">
        <v>4019</v>
      </c>
      <c r="Q692" t="s">
        <v>72</v>
      </c>
      <c r="R692" s="26" t="s">
        <v>4020</v>
      </c>
      <c r="S692">
        <v>2.1</v>
      </c>
      <c r="T692">
        <v>3653</v>
      </c>
      <c r="U692">
        <v>0</v>
      </c>
      <c r="V692">
        <v>3653</v>
      </c>
    </row>
    <row r="693" spans="1:22" x14ac:dyDescent="0.3">
      <c r="A693">
        <v>194568</v>
      </c>
      <c r="B693">
        <v>456041957</v>
      </c>
      <c r="C693" t="s">
        <v>4021</v>
      </c>
      <c r="D693" s="9" t="s">
        <v>4022</v>
      </c>
      <c r="E693" t="s">
        <v>688</v>
      </c>
      <c r="F693" t="s">
        <v>770</v>
      </c>
      <c r="G693" t="s">
        <v>28</v>
      </c>
      <c r="H693" t="s">
        <v>29</v>
      </c>
      <c r="I693" t="s">
        <v>34</v>
      </c>
      <c r="J693" t="s">
        <v>30</v>
      </c>
      <c r="K693" t="s">
        <v>27</v>
      </c>
      <c r="L693" t="s">
        <v>4023</v>
      </c>
      <c r="M693" t="s">
        <v>706</v>
      </c>
      <c r="N693" t="s">
        <v>773</v>
      </c>
      <c r="O693" t="s">
        <v>31</v>
      </c>
      <c r="P693" t="s">
        <v>4024</v>
      </c>
      <c r="Q693" t="s">
        <v>321</v>
      </c>
      <c r="R693" s="26" t="s">
        <v>278</v>
      </c>
      <c r="S693">
        <v>0.3</v>
      </c>
      <c r="T693">
        <v>3193</v>
      </c>
      <c r="U693">
        <v>0</v>
      </c>
      <c r="V693">
        <v>3193</v>
      </c>
    </row>
    <row r="694" spans="1:22" x14ac:dyDescent="0.3">
      <c r="A694">
        <v>194568</v>
      </c>
      <c r="B694">
        <v>456048702</v>
      </c>
      <c r="C694" t="s">
        <v>4025</v>
      </c>
      <c r="D694" s="9" t="s">
        <v>4026</v>
      </c>
      <c r="E694" t="s">
        <v>688</v>
      </c>
      <c r="F694" t="s">
        <v>770</v>
      </c>
      <c r="G694" t="s">
        <v>28</v>
      </c>
      <c r="H694" t="s">
        <v>29</v>
      </c>
      <c r="I694" t="s">
        <v>34</v>
      </c>
      <c r="J694" t="s">
        <v>30</v>
      </c>
      <c r="K694" t="s">
        <v>27</v>
      </c>
      <c r="L694" t="s">
        <v>4027</v>
      </c>
      <c r="M694" t="s">
        <v>4028</v>
      </c>
      <c r="N694" t="s">
        <v>773</v>
      </c>
      <c r="O694" t="s">
        <v>31</v>
      </c>
      <c r="P694" t="s">
        <v>4029</v>
      </c>
      <c r="Q694" t="s">
        <v>135</v>
      </c>
      <c r="R694" s="26" t="s">
        <v>471</v>
      </c>
      <c r="S694">
        <v>1.05</v>
      </c>
      <c r="T694">
        <v>3250</v>
      </c>
      <c r="U694">
        <v>0</v>
      </c>
      <c r="V694">
        <v>3250</v>
      </c>
    </row>
    <row r="695" spans="1:22" x14ac:dyDescent="0.3">
      <c r="A695">
        <v>194568</v>
      </c>
      <c r="B695">
        <v>455839711</v>
      </c>
      <c r="C695" t="s">
        <v>4030</v>
      </c>
      <c r="D695" s="9" t="s">
        <v>4031</v>
      </c>
      <c r="E695" t="s">
        <v>688</v>
      </c>
      <c r="F695" t="s">
        <v>770</v>
      </c>
      <c r="G695" t="s">
        <v>28</v>
      </c>
      <c r="H695" t="s">
        <v>29</v>
      </c>
      <c r="I695" t="s">
        <v>34</v>
      </c>
      <c r="J695" t="s">
        <v>30</v>
      </c>
      <c r="K695" t="s">
        <v>27</v>
      </c>
      <c r="L695" t="s">
        <v>300</v>
      </c>
      <c r="M695" t="s">
        <v>4032</v>
      </c>
      <c r="N695" t="s">
        <v>773</v>
      </c>
      <c r="O695" t="s">
        <v>31</v>
      </c>
      <c r="P695" t="s">
        <v>4033</v>
      </c>
      <c r="Q695" t="s">
        <v>154</v>
      </c>
      <c r="R695" s="26" t="s">
        <v>512</v>
      </c>
      <c r="S695">
        <v>0.8</v>
      </c>
      <c r="T695">
        <v>4205</v>
      </c>
      <c r="U695">
        <v>0</v>
      </c>
      <c r="V695">
        <v>4205</v>
      </c>
    </row>
    <row r="696" spans="1:22" x14ac:dyDescent="0.3">
      <c r="A696">
        <v>194568</v>
      </c>
      <c r="B696">
        <v>455868560</v>
      </c>
      <c r="C696" t="s">
        <v>4034</v>
      </c>
      <c r="D696" s="9" t="s">
        <v>4035</v>
      </c>
      <c r="E696" t="s">
        <v>688</v>
      </c>
      <c r="F696" t="s">
        <v>770</v>
      </c>
      <c r="G696" t="s">
        <v>28</v>
      </c>
      <c r="H696" t="s">
        <v>29</v>
      </c>
      <c r="I696" t="s">
        <v>34</v>
      </c>
      <c r="J696" t="s">
        <v>30</v>
      </c>
      <c r="K696" t="s">
        <v>27</v>
      </c>
      <c r="L696" t="s">
        <v>4036</v>
      </c>
      <c r="M696" t="s">
        <v>4037</v>
      </c>
      <c r="N696" t="s">
        <v>773</v>
      </c>
      <c r="O696" t="s">
        <v>31</v>
      </c>
      <c r="P696" t="s">
        <v>4038</v>
      </c>
      <c r="Q696" t="s">
        <v>109</v>
      </c>
      <c r="R696" s="26" t="s">
        <v>543</v>
      </c>
      <c r="S696">
        <v>1.3</v>
      </c>
      <c r="T696">
        <v>3250</v>
      </c>
      <c r="U696">
        <v>0</v>
      </c>
      <c r="V696">
        <v>3250</v>
      </c>
    </row>
    <row r="697" spans="1:22" x14ac:dyDescent="0.3">
      <c r="A697">
        <v>194568</v>
      </c>
      <c r="B697">
        <v>455990828</v>
      </c>
      <c r="C697" t="s">
        <v>4039</v>
      </c>
      <c r="D697" s="9" t="s">
        <v>4040</v>
      </c>
      <c r="E697" t="s">
        <v>688</v>
      </c>
      <c r="F697" t="s">
        <v>770</v>
      </c>
      <c r="G697" t="s">
        <v>28</v>
      </c>
      <c r="H697" t="s">
        <v>29</v>
      </c>
      <c r="I697" t="s">
        <v>34</v>
      </c>
      <c r="J697" t="s">
        <v>30</v>
      </c>
      <c r="K697" t="s">
        <v>27</v>
      </c>
      <c r="L697" t="s">
        <v>4041</v>
      </c>
      <c r="M697" t="s">
        <v>4042</v>
      </c>
      <c r="N697" t="s">
        <v>773</v>
      </c>
      <c r="O697" t="s">
        <v>31</v>
      </c>
      <c r="P697" t="s">
        <v>4043</v>
      </c>
      <c r="Q697" t="s">
        <v>85</v>
      </c>
      <c r="R697" s="26" t="s">
        <v>373</v>
      </c>
      <c r="S697">
        <v>0.2</v>
      </c>
      <c r="T697">
        <v>3552</v>
      </c>
      <c r="U697">
        <v>0</v>
      </c>
      <c r="V697">
        <v>3552</v>
      </c>
    </row>
    <row r="698" spans="1:22" x14ac:dyDescent="0.3">
      <c r="A698">
        <v>194568</v>
      </c>
      <c r="B698">
        <v>455844774</v>
      </c>
      <c r="C698" t="s">
        <v>4044</v>
      </c>
      <c r="D698" s="9" t="s">
        <v>4045</v>
      </c>
      <c r="E698" t="s">
        <v>688</v>
      </c>
      <c r="F698" t="s">
        <v>770</v>
      </c>
      <c r="G698" t="s">
        <v>28</v>
      </c>
      <c r="H698" t="s">
        <v>29</v>
      </c>
      <c r="I698" t="s">
        <v>34</v>
      </c>
      <c r="J698" t="s">
        <v>30</v>
      </c>
      <c r="K698" t="s">
        <v>27</v>
      </c>
      <c r="L698" t="s">
        <v>4046</v>
      </c>
      <c r="M698" t="s">
        <v>4018</v>
      </c>
      <c r="N698" t="s">
        <v>773</v>
      </c>
      <c r="O698" t="s">
        <v>31</v>
      </c>
      <c r="P698" t="s">
        <v>4019</v>
      </c>
      <c r="Q698" t="s">
        <v>72</v>
      </c>
      <c r="R698" s="26" t="s">
        <v>288</v>
      </c>
      <c r="S698">
        <v>2.2000000000000002</v>
      </c>
      <c r="T698">
        <v>3653</v>
      </c>
      <c r="U698">
        <v>0</v>
      </c>
      <c r="V698">
        <v>3653</v>
      </c>
    </row>
    <row r="699" spans="1:22" x14ac:dyDescent="0.3">
      <c r="A699">
        <v>194568</v>
      </c>
      <c r="B699">
        <v>455569626</v>
      </c>
      <c r="C699" t="s">
        <v>4047</v>
      </c>
      <c r="D699" s="9" t="s">
        <v>4048</v>
      </c>
      <c r="E699" t="s">
        <v>688</v>
      </c>
      <c r="F699" t="s">
        <v>770</v>
      </c>
      <c r="G699" t="s">
        <v>28</v>
      </c>
      <c r="H699" t="s">
        <v>29</v>
      </c>
      <c r="I699" t="s">
        <v>34</v>
      </c>
      <c r="J699" t="s">
        <v>30</v>
      </c>
      <c r="K699" t="s">
        <v>27</v>
      </c>
      <c r="L699" t="s">
        <v>4049</v>
      </c>
      <c r="M699" t="s">
        <v>4050</v>
      </c>
      <c r="N699" t="s">
        <v>773</v>
      </c>
      <c r="O699" t="s">
        <v>31</v>
      </c>
      <c r="P699" t="s">
        <v>4051</v>
      </c>
      <c r="Q699" t="s">
        <v>135</v>
      </c>
      <c r="R699" s="26" t="s">
        <v>324</v>
      </c>
      <c r="S699">
        <v>0.42</v>
      </c>
      <c r="T699">
        <v>3193</v>
      </c>
      <c r="U699">
        <v>0</v>
      </c>
      <c r="V699">
        <v>3193</v>
      </c>
    </row>
    <row r="700" spans="1:22" x14ac:dyDescent="0.3">
      <c r="A700">
        <v>194568</v>
      </c>
      <c r="B700">
        <v>455360719</v>
      </c>
      <c r="C700" t="s">
        <v>4052</v>
      </c>
      <c r="D700" s="9" t="s">
        <v>4053</v>
      </c>
      <c r="E700" t="s">
        <v>688</v>
      </c>
      <c r="F700" t="s">
        <v>770</v>
      </c>
      <c r="G700" t="s">
        <v>28</v>
      </c>
      <c r="H700" t="s">
        <v>29</v>
      </c>
      <c r="I700" t="s">
        <v>34</v>
      </c>
      <c r="J700" t="s">
        <v>30</v>
      </c>
      <c r="K700" t="s">
        <v>27</v>
      </c>
      <c r="L700" t="s">
        <v>4054</v>
      </c>
      <c r="M700" t="s">
        <v>4018</v>
      </c>
      <c r="N700" t="s">
        <v>773</v>
      </c>
      <c r="O700" t="s">
        <v>31</v>
      </c>
      <c r="P700" t="s">
        <v>4055</v>
      </c>
      <c r="Q700" t="s">
        <v>72</v>
      </c>
      <c r="R700" s="26" t="s">
        <v>4056</v>
      </c>
      <c r="S700">
        <v>0.9</v>
      </c>
      <c r="T700">
        <v>3653</v>
      </c>
      <c r="U700">
        <v>0</v>
      </c>
      <c r="V700">
        <v>3653</v>
      </c>
    </row>
    <row r="701" spans="1:22" x14ac:dyDescent="0.3">
      <c r="A701">
        <v>194568</v>
      </c>
      <c r="B701">
        <v>455218955</v>
      </c>
      <c r="C701" t="s">
        <v>4057</v>
      </c>
      <c r="D701" s="9" t="s">
        <v>4058</v>
      </c>
      <c r="E701" t="s">
        <v>688</v>
      </c>
      <c r="F701" t="s">
        <v>770</v>
      </c>
      <c r="G701" t="s">
        <v>28</v>
      </c>
      <c r="H701" t="s">
        <v>29</v>
      </c>
      <c r="I701" t="s">
        <v>34</v>
      </c>
      <c r="J701" t="s">
        <v>30</v>
      </c>
      <c r="K701" t="s">
        <v>27</v>
      </c>
      <c r="L701" t="s">
        <v>4059</v>
      </c>
      <c r="M701" t="s">
        <v>4060</v>
      </c>
      <c r="N701" t="s">
        <v>773</v>
      </c>
      <c r="O701" t="s">
        <v>31</v>
      </c>
      <c r="P701" t="s">
        <v>4061</v>
      </c>
      <c r="Q701" t="s">
        <v>88</v>
      </c>
      <c r="R701" s="26" t="s">
        <v>4062</v>
      </c>
      <c r="S701">
        <v>0.5</v>
      </c>
      <c r="T701">
        <v>3935</v>
      </c>
      <c r="U701">
        <v>0</v>
      </c>
      <c r="V701">
        <v>3935</v>
      </c>
    </row>
    <row r="702" spans="1:22" x14ac:dyDescent="0.3">
      <c r="A702">
        <v>194568</v>
      </c>
      <c r="B702">
        <v>455470889</v>
      </c>
      <c r="C702" t="s">
        <v>4063</v>
      </c>
      <c r="D702" s="9" t="s">
        <v>4064</v>
      </c>
      <c r="E702" t="s">
        <v>688</v>
      </c>
      <c r="F702" t="s">
        <v>770</v>
      </c>
      <c r="G702" t="s">
        <v>56</v>
      </c>
      <c r="H702" t="s">
        <v>57</v>
      </c>
      <c r="I702" t="s">
        <v>34</v>
      </c>
      <c r="J702" t="s">
        <v>58</v>
      </c>
      <c r="K702" t="s">
        <v>27</v>
      </c>
      <c r="L702" t="s">
        <v>4065</v>
      </c>
      <c r="M702" t="s">
        <v>4066</v>
      </c>
      <c r="N702" t="s">
        <v>773</v>
      </c>
      <c r="O702" t="s">
        <v>31</v>
      </c>
      <c r="P702" t="s">
        <v>4067</v>
      </c>
      <c r="Q702" t="s">
        <v>78</v>
      </c>
      <c r="R702" s="26" t="s">
        <v>265</v>
      </c>
      <c r="S702">
        <v>0.63</v>
      </c>
      <c r="T702">
        <v>5641</v>
      </c>
      <c r="U702">
        <v>174.9</v>
      </c>
      <c r="V702">
        <v>5815.9</v>
      </c>
    </row>
    <row r="703" spans="1:22" x14ac:dyDescent="0.3">
      <c r="A703">
        <v>194568</v>
      </c>
      <c r="B703">
        <v>455844556</v>
      </c>
      <c r="C703" t="s">
        <v>4068</v>
      </c>
      <c r="D703" s="9" t="s">
        <v>4069</v>
      </c>
      <c r="E703" t="s">
        <v>688</v>
      </c>
      <c r="F703" t="s">
        <v>770</v>
      </c>
      <c r="G703" t="s">
        <v>49</v>
      </c>
      <c r="H703" t="s">
        <v>50</v>
      </c>
      <c r="I703" t="s">
        <v>34</v>
      </c>
      <c r="J703" t="s">
        <v>155</v>
      </c>
      <c r="K703" t="s">
        <v>27</v>
      </c>
      <c r="L703" t="s">
        <v>52</v>
      </c>
      <c r="M703" t="s">
        <v>4070</v>
      </c>
      <c r="N703" t="s">
        <v>773</v>
      </c>
      <c r="O703" t="s">
        <v>31</v>
      </c>
      <c r="P703" t="s">
        <v>4071</v>
      </c>
      <c r="Q703" t="s">
        <v>145</v>
      </c>
      <c r="R703" s="26" t="s">
        <v>123</v>
      </c>
      <c r="S703">
        <v>3.22</v>
      </c>
      <c r="T703">
        <v>4718</v>
      </c>
      <c r="U703">
        <v>0</v>
      </c>
      <c r="V703">
        <v>4718</v>
      </c>
    </row>
    <row r="704" spans="1:22" x14ac:dyDescent="0.3">
      <c r="A704">
        <v>194568</v>
      </c>
      <c r="B704">
        <v>455627846</v>
      </c>
      <c r="C704" t="s">
        <v>4072</v>
      </c>
      <c r="D704" s="9" t="s">
        <v>4073</v>
      </c>
      <c r="E704" t="s">
        <v>688</v>
      </c>
      <c r="F704" t="s">
        <v>770</v>
      </c>
      <c r="G704" t="s">
        <v>49</v>
      </c>
      <c r="H704" t="s">
        <v>50</v>
      </c>
      <c r="I704" t="s">
        <v>34</v>
      </c>
      <c r="J704" t="s">
        <v>155</v>
      </c>
      <c r="K704" t="s">
        <v>27</v>
      </c>
      <c r="L704" t="s">
        <v>52</v>
      </c>
      <c r="M704" t="s">
        <v>4074</v>
      </c>
      <c r="N704" t="s">
        <v>773</v>
      </c>
      <c r="O704" t="s">
        <v>31</v>
      </c>
      <c r="P704" t="s">
        <v>4075</v>
      </c>
      <c r="Q704" t="s">
        <v>74</v>
      </c>
      <c r="R704" s="26" t="s">
        <v>261</v>
      </c>
      <c r="S704">
        <v>0.77</v>
      </c>
      <c r="T704">
        <v>4072</v>
      </c>
      <c r="U704">
        <v>0</v>
      </c>
      <c r="V704">
        <v>4072</v>
      </c>
    </row>
    <row r="705" spans="1:22" x14ac:dyDescent="0.3">
      <c r="A705">
        <v>187694</v>
      </c>
      <c r="B705">
        <v>456890137</v>
      </c>
      <c r="C705" t="s">
        <v>4076</v>
      </c>
      <c r="D705" s="9" t="s">
        <v>4077</v>
      </c>
      <c r="E705" t="s">
        <v>4078</v>
      </c>
      <c r="F705" t="s">
        <v>770</v>
      </c>
      <c r="G705" t="s">
        <v>28</v>
      </c>
      <c r="H705" t="s">
        <v>29</v>
      </c>
      <c r="I705" t="s">
        <v>34</v>
      </c>
      <c r="J705" t="s">
        <v>150</v>
      </c>
      <c r="K705" t="s">
        <v>27</v>
      </c>
      <c r="L705" t="s">
        <v>4079</v>
      </c>
      <c r="M705" t="s">
        <v>4080</v>
      </c>
      <c r="N705" t="s">
        <v>773</v>
      </c>
      <c r="O705" t="s">
        <v>31</v>
      </c>
      <c r="P705" t="s">
        <v>4081</v>
      </c>
      <c r="Q705" t="s">
        <v>64</v>
      </c>
      <c r="R705" s="26" t="s">
        <v>161</v>
      </c>
      <c r="S705">
        <v>1</v>
      </c>
      <c r="T705">
        <v>4946</v>
      </c>
      <c r="U705">
        <v>0</v>
      </c>
      <c r="V705">
        <v>4946</v>
      </c>
    </row>
    <row r="706" spans="1:22" x14ac:dyDescent="0.3">
      <c r="A706">
        <v>187694</v>
      </c>
      <c r="B706">
        <v>456954435</v>
      </c>
      <c r="C706" t="s">
        <v>4082</v>
      </c>
      <c r="D706" s="9" t="s">
        <v>4083</v>
      </c>
      <c r="E706" t="s">
        <v>4078</v>
      </c>
      <c r="F706" t="s">
        <v>770</v>
      </c>
      <c r="G706" t="s">
        <v>28</v>
      </c>
      <c r="H706" t="s">
        <v>29</v>
      </c>
      <c r="I706" t="s">
        <v>34</v>
      </c>
      <c r="J706" t="s">
        <v>30</v>
      </c>
      <c r="K706" t="s">
        <v>27</v>
      </c>
      <c r="L706" t="s">
        <v>541</v>
      </c>
      <c r="M706" t="s">
        <v>4084</v>
      </c>
      <c r="N706" t="s">
        <v>773</v>
      </c>
      <c r="O706" t="s">
        <v>31</v>
      </c>
      <c r="P706" t="s">
        <v>4085</v>
      </c>
      <c r="Q706" t="s">
        <v>69</v>
      </c>
      <c r="R706" s="26" t="s">
        <v>4086</v>
      </c>
      <c r="S706">
        <v>0.53</v>
      </c>
      <c r="T706">
        <v>3935</v>
      </c>
      <c r="U706">
        <v>0</v>
      </c>
      <c r="V706">
        <v>3935</v>
      </c>
    </row>
    <row r="707" spans="1:22" x14ac:dyDescent="0.3">
      <c r="A707">
        <v>187694</v>
      </c>
      <c r="B707">
        <v>456766134</v>
      </c>
      <c r="C707" t="s">
        <v>4087</v>
      </c>
      <c r="D707" s="9" t="s">
        <v>4088</v>
      </c>
      <c r="E707" t="s">
        <v>4078</v>
      </c>
      <c r="F707" t="s">
        <v>770</v>
      </c>
      <c r="G707" t="s">
        <v>28</v>
      </c>
      <c r="H707" t="s">
        <v>29</v>
      </c>
      <c r="I707" t="s">
        <v>34</v>
      </c>
      <c r="J707" t="s">
        <v>30</v>
      </c>
      <c r="K707" t="s">
        <v>27</v>
      </c>
      <c r="L707" t="s">
        <v>4089</v>
      </c>
      <c r="M707" t="s">
        <v>586</v>
      </c>
      <c r="N707" t="s">
        <v>773</v>
      </c>
      <c r="O707" t="s">
        <v>31</v>
      </c>
      <c r="P707" t="s">
        <v>4090</v>
      </c>
      <c r="Q707" t="s">
        <v>69</v>
      </c>
      <c r="R707" s="26" t="s">
        <v>490</v>
      </c>
      <c r="S707">
        <v>1.1000000000000001</v>
      </c>
      <c r="T707">
        <v>3935</v>
      </c>
      <c r="U707">
        <v>0</v>
      </c>
      <c r="V707">
        <v>3935</v>
      </c>
    </row>
    <row r="708" spans="1:22" x14ac:dyDescent="0.3">
      <c r="A708">
        <v>187694</v>
      </c>
      <c r="B708">
        <v>455582670</v>
      </c>
      <c r="C708" t="s">
        <v>4091</v>
      </c>
      <c r="D708" s="9" t="s">
        <v>4092</v>
      </c>
      <c r="E708" t="s">
        <v>4078</v>
      </c>
      <c r="F708" t="s">
        <v>770</v>
      </c>
      <c r="G708" t="s">
        <v>28</v>
      </c>
      <c r="H708" t="s">
        <v>29</v>
      </c>
      <c r="I708" t="s">
        <v>34</v>
      </c>
      <c r="J708" t="s">
        <v>30</v>
      </c>
      <c r="K708" t="s">
        <v>27</v>
      </c>
      <c r="L708" t="s">
        <v>4093</v>
      </c>
      <c r="M708" t="s">
        <v>673</v>
      </c>
      <c r="N708" t="s">
        <v>773</v>
      </c>
      <c r="O708" t="s">
        <v>31</v>
      </c>
      <c r="P708" t="s">
        <v>4094</v>
      </c>
      <c r="Q708" t="s">
        <v>197</v>
      </c>
      <c r="R708" s="26" t="s">
        <v>55</v>
      </c>
      <c r="S708">
        <v>6.2</v>
      </c>
      <c r="T708">
        <v>11027</v>
      </c>
      <c r="U708">
        <v>0</v>
      </c>
      <c r="V708">
        <v>11027</v>
      </c>
    </row>
    <row r="709" spans="1:22" x14ac:dyDescent="0.3">
      <c r="A709">
        <v>187694</v>
      </c>
      <c r="B709">
        <v>455712561</v>
      </c>
      <c r="C709" t="s">
        <v>4095</v>
      </c>
      <c r="D709" s="9" t="s">
        <v>4096</v>
      </c>
      <c r="E709" t="s">
        <v>4078</v>
      </c>
      <c r="F709" t="s">
        <v>770</v>
      </c>
      <c r="G709" t="s">
        <v>28</v>
      </c>
      <c r="H709" t="s">
        <v>29</v>
      </c>
      <c r="I709" t="s">
        <v>34</v>
      </c>
      <c r="J709" t="s">
        <v>30</v>
      </c>
      <c r="K709" t="s">
        <v>27</v>
      </c>
      <c r="L709" t="s">
        <v>4097</v>
      </c>
      <c r="M709" t="s">
        <v>378</v>
      </c>
      <c r="N709" t="s">
        <v>773</v>
      </c>
      <c r="O709" t="s">
        <v>31</v>
      </c>
      <c r="P709" t="s">
        <v>4098</v>
      </c>
      <c r="Q709" t="s">
        <v>72</v>
      </c>
      <c r="R709" s="26" t="s">
        <v>355</v>
      </c>
      <c r="S709">
        <v>2.23</v>
      </c>
      <c r="T709">
        <v>3653</v>
      </c>
      <c r="U709">
        <v>0</v>
      </c>
      <c r="V709">
        <v>3653</v>
      </c>
    </row>
    <row r="710" spans="1:22" x14ac:dyDescent="0.3">
      <c r="A710">
        <v>187694</v>
      </c>
      <c r="B710">
        <v>455582663</v>
      </c>
      <c r="C710" t="s">
        <v>4099</v>
      </c>
      <c r="D710" s="9" t="s">
        <v>4100</v>
      </c>
      <c r="E710" t="s">
        <v>4078</v>
      </c>
      <c r="F710" t="s">
        <v>770</v>
      </c>
      <c r="G710" t="s">
        <v>28</v>
      </c>
      <c r="H710" t="s">
        <v>29</v>
      </c>
      <c r="I710" t="s">
        <v>34</v>
      </c>
      <c r="J710" t="s">
        <v>30</v>
      </c>
      <c r="K710" t="s">
        <v>27</v>
      </c>
      <c r="L710" t="s">
        <v>4101</v>
      </c>
      <c r="M710" t="s">
        <v>4102</v>
      </c>
      <c r="N710" t="s">
        <v>773</v>
      </c>
      <c r="O710" t="s">
        <v>31</v>
      </c>
      <c r="P710" t="s">
        <v>4103</v>
      </c>
      <c r="Q710" t="s">
        <v>85</v>
      </c>
      <c r="R710" s="26" t="s">
        <v>55</v>
      </c>
      <c r="S710">
        <v>1.4</v>
      </c>
      <c r="T710">
        <v>3631</v>
      </c>
      <c r="U710">
        <v>0</v>
      </c>
      <c r="V710">
        <v>3631</v>
      </c>
    </row>
    <row r="711" spans="1:22" x14ac:dyDescent="0.3">
      <c r="A711">
        <v>187694</v>
      </c>
      <c r="B711">
        <v>455373949</v>
      </c>
      <c r="C711" t="s">
        <v>4104</v>
      </c>
      <c r="D711" s="9" t="s">
        <v>4105</v>
      </c>
      <c r="E711" t="s">
        <v>4078</v>
      </c>
      <c r="F711" t="s">
        <v>770</v>
      </c>
      <c r="G711" t="s">
        <v>28</v>
      </c>
      <c r="H711" t="s">
        <v>29</v>
      </c>
      <c r="I711" t="s">
        <v>34</v>
      </c>
      <c r="J711" t="s">
        <v>30</v>
      </c>
      <c r="K711" t="s">
        <v>60</v>
      </c>
      <c r="L711" t="s">
        <v>157</v>
      </c>
      <c r="M711" t="s">
        <v>4106</v>
      </c>
      <c r="N711" t="s">
        <v>773</v>
      </c>
      <c r="O711" t="s">
        <v>31</v>
      </c>
      <c r="P711" t="s">
        <v>4107</v>
      </c>
      <c r="Q711" t="s">
        <v>85</v>
      </c>
      <c r="R711" s="26" t="s">
        <v>4108</v>
      </c>
      <c r="S711">
        <v>3.01</v>
      </c>
      <c r="T711">
        <v>4305</v>
      </c>
      <c r="U711">
        <v>0</v>
      </c>
      <c r="V711">
        <v>4305</v>
      </c>
    </row>
    <row r="712" spans="1:22" x14ac:dyDescent="0.3">
      <c r="A712">
        <v>187694</v>
      </c>
      <c r="B712">
        <v>455207551</v>
      </c>
      <c r="C712" t="s">
        <v>4109</v>
      </c>
      <c r="D712" s="9" t="s">
        <v>4110</v>
      </c>
      <c r="E712" t="s">
        <v>4078</v>
      </c>
      <c r="F712" t="s">
        <v>770</v>
      </c>
      <c r="G712" t="s">
        <v>28</v>
      </c>
      <c r="H712" t="s">
        <v>29</v>
      </c>
      <c r="I712" t="s">
        <v>34</v>
      </c>
      <c r="J712" t="s">
        <v>30</v>
      </c>
      <c r="K712" t="s">
        <v>27</v>
      </c>
      <c r="L712" t="s">
        <v>4111</v>
      </c>
      <c r="M712" t="s">
        <v>4112</v>
      </c>
      <c r="N712" t="s">
        <v>773</v>
      </c>
      <c r="O712" t="s">
        <v>31</v>
      </c>
      <c r="P712" t="s">
        <v>4113</v>
      </c>
      <c r="Q712" t="s">
        <v>109</v>
      </c>
      <c r="R712" s="26" t="s">
        <v>4114</v>
      </c>
      <c r="S712">
        <v>0.6</v>
      </c>
      <c r="T712">
        <v>3250</v>
      </c>
      <c r="U712">
        <v>0</v>
      </c>
      <c r="V712">
        <v>3250</v>
      </c>
    </row>
    <row r="713" spans="1:22" x14ac:dyDescent="0.3">
      <c r="A713">
        <v>187694</v>
      </c>
      <c r="B713">
        <v>455252031</v>
      </c>
      <c r="C713" t="s">
        <v>4115</v>
      </c>
      <c r="D713" s="9" t="s">
        <v>4116</v>
      </c>
      <c r="E713" t="s">
        <v>4078</v>
      </c>
      <c r="F713" t="s">
        <v>770</v>
      </c>
      <c r="G713" t="s">
        <v>28</v>
      </c>
      <c r="H713" t="s">
        <v>29</v>
      </c>
      <c r="I713" t="s">
        <v>34</v>
      </c>
      <c r="J713" t="s">
        <v>30</v>
      </c>
      <c r="K713" t="s">
        <v>27</v>
      </c>
      <c r="L713" t="s">
        <v>4117</v>
      </c>
      <c r="M713" t="s">
        <v>4118</v>
      </c>
      <c r="N713" t="s">
        <v>773</v>
      </c>
      <c r="O713" t="s">
        <v>31</v>
      </c>
      <c r="P713" t="s">
        <v>4119</v>
      </c>
      <c r="Q713" t="s">
        <v>126</v>
      </c>
      <c r="R713" s="26" t="s">
        <v>4120</v>
      </c>
      <c r="S713">
        <v>1.1000000000000001</v>
      </c>
      <c r="T713">
        <v>3737</v>
      </c>
      <c r="U713">
        <v>0</v>
      </c>
      <c r="V713">
        <v>3737</v>
      </c>
    </row>
    <row r="714" spans="1:22" x14ac:dyDescent="0.3">
      <c r="A714">
        <v>187694</v>
      </c>
      <c r="B714">
        <v>455183505</v>
      </c>
      <c r="C714" t="s">
        <v>4121</v>
      </c>
      <c r="D714" s="9" t="s">
        <v>4122</v>
      </c>
      <c r="E714" t="s">
        <v>4078</v>
      </c>
      <c r="F714" t="s">
        <v>770</v>
      </c>
      <c r="G714" t="s">
        <v>28</v>
      </c>
      <c r="H714" t="s">
        <v>29</v>
      </c>
      <c r="I714" t="s">
        <v>34</v>
      </c>
      <c r="J714" t="s">
        <v>30</v>
      </c>
      <c r="K714" t="s">
        <v>27</v>
      </c>
      <c r="L714" t="s">
        <v>4123</v>
      </c>
      <c r="M714" t="s">
        <v>4124</v>
      </c>
      <c r="N714" t="s">
        <v>773</v>
      </c>
      <c r="O714" t="s">
        <v>31</v>
      </c>
      <c r="P714" t="s">
        <v>4125</v>
      </c>
      <c r="Q714" t="s">
        <v>99</v>
      </c>
      <c r="R714" s="26" t="s">
        <v>4126</v>
      </c>
      <c r="S714">
        <v>1.1000000000000001</v>
      </c>
      <c r="T714">
        <v>3250</v>
      </c>
      <c r="U714">
        <v>0</v>
      </c>
      <c r="V714">
        <v>3250</v>
      </c>
    </row>
    <row r="715" spans="1:22" x14ac:dyDescent="0.3">
      <c r="A715">
        <v>187694</v>
      </c>
      <c r="B715">
        <v>456655529</v>
      </c>
      <c r="C715" t="s">
        <v>4127</v>
      </c>
      <c r="D715" s="9" t="s">
        <v>4128</v>
      </c>
      <c r="E715" t="s">
        <v>4078</v>
      </c>
      <c r="F715" t="s">
        <v>770</v>
      </c>
      <c r="G715" t="s">
        <v>56</v>
      </c>
      <c r="H715" t="s">
        <v>57</v>
      </c>
      <c r="I715" t="s">
        <v>34</v>
      </c>
      <c r="J715" t="s">
        <v>58</v>
      </c>
      <c r="K715" t="s">
        <v>131</v>
      </c>
      <c r="L715" t="s">
        <v>4129</v>
      </c>
      <c r="M715" t="s">
        <v>4080</v>
      </c>
      <c r="N715" t="s">
        <v>773</v>
      </c>
      <c r="O715" t="s">
        <v>31</v>
      </c>
      <c r="P715" t="s">
        <v>4130</v>
      </c>
      <c r="Q715" t="s">
        <v>64</v>
      </c>
      <c r="R715" s="26" t="s">
        <v>4131</v>
      </c>
      <c r="S715">
        <v>3.24</v>
      </c>
      <c r="T715">
        <v>5664</v>
      </c>
      <c r="U715">
        <v>458.95</v>
      </c>
      <c r="V715">
        <v>6122.95</v>
      </c>
    </row>
    <row r="716" spans="1:22" x14ac:dyDescent="0.3">
      <c r="A716">
        <v>187694</v>
      </c>
      <c r="B716">
        <v>455582668</v>
      </c>
      <c r="C716" t="s">
        <v>4132</v>
      </c>
      <c r="D716" s="9" t="s">
        <v>4133</v>
      </c>
      <c r="E716" t="s">
        <v>4078</v>
      </c>
      <c r="F716" t="s">
        <v>770</v>
      </c>
      <c r="G716" t="s">
        <v>56</v>
      </c>
      <c r="H716" t="s">
        <v>57</v>
      </c>
      <c r="I716" t="s">
        <v>34</v>
      </c>
      <c r="J716" t="s">
        <v>58</v>
      </c>
      <c r="K716" t="s">
        <v>131</v>
      </c>
      <c r="L716" t="s">
        <v>4134</v>
      </c>
      <c r="M716" t="s">
        <v>4080</v>
      </c>
      <c r="N716" t="s">
        <v>773</v>
      </c>
      <c r="O716" t="s">
        <v>31</v>
      </c>
      <c r="P716" t="s">
        <v>4135</v>
      </c>
      <c r="Q716" t="s">
        <v>64</v>
      </c>
      <c r="R716" s="26" t="s">
        <v>55</v>
      </c>
      <c r="S716">
        <v>2.2000000000000002</v>
      </c>
      <c r="T716">
        <v>5027</v>
      </c>
      <c r="U716">
        <v>359.85</v>
      </c>
      <c r="V716">
        <v>5386.85</v>
      </c>
    </row>
    <row r="717" spans="1:22" x14ac:dyDescent="0.3">
      <c r="A717">
        <v>187694</v>
      </c>
      <c r="B717">
        <v>456721944</v>
      </c>
      <c r="C717" t="s">
        <v>4136</v>
      </c>
      <c r="D717" s="9" t="s">
        <v>4137</v>
      </c>
      <c r="E717" t="s">
        <v>4078</v>
      </c>
      <c r="F717" t="s">
        <v>770</v>
      </c>
      <c r="G717" t="s">
        <v>49</v>
      </c>
      <c r="H717" t="s">
        <v>50</v>
      </c>
      <c r="I717" t="s">
        <v>34</v>
      </c>
      <c r="J717" t="s">
        <v>155</v>
      </c>
      <c r="K717" t="s">
        <v>27</v>
      </c>
      <c r="L717" t="s">
        <v>52</v>
      </c>
      <c r="M717" t="s">
        <v>4138</v>
      </c>
      <c r="N717" t="s">
        <v>773</v>
      </c>
      <c r="O717" t="s">
        <v>31</v>
      </c>
      <c r="P717" t="s">
        <v>4139</v>
      </c>
      <c r="Q717" t="s">
        <v>74</v>
      </c>
      <c r="R717" s="26" t="s">
        <v>76</v>
      </c>
      <c r="S717">
        <v>1.7</v>
      </c>
      <c r="T717">
        <v>4335</v>
      </c>
      <c r="U717">
        <v>0</v>
      </c>
      <c r="V717">
        <v>4335</v>
      </c>
    </row>
    <row r="718" spans="1:22" x14ac:dyDescent="0.3">
      <c r="A718">
        <v>187694</v>
      </c>
      <c r="B718">
        <v>455341359</v>
      </c>
      <c r="C718" t="s">
        <v>4140</v>
      </c>
      <c r="D718" s="9" t="s">
        <v>4141</v>
      </c>
      <c r="E718" t="s">
        <v>4078</v>
      </c>
      <c r="F718" t="s">
        <v>770</v>
      </c>
      <c r="G718" t="s">
        <v>49</v>
      </c>
      <c r="H718" t="s">
        <v>50</v>
      </c>
      <c r="I718" t="s">
        <v>34</v>
      </c>
      <c r="J718" t="s">
        <v>155</v>
      </c>
      <c r="K718" t="s">
        <v>27</v>
      </c>
      <c r="L718" t="s">
        <v>52</v>
      </c>
      <c r="M718" t="s">
        <v>4142</v>
      </c>
      <c r="N718" t="s">
        <v>773</v>
      </c>
      <c r="O718" t="s">
        <v>31</v>
      </c>
      <c r="P718" t="s">
        <v>4143</v>
      </c>
      <c r="Q718" t="s">
        <v>339</v>
      </c>
      <c r="R718" s="26" t="s">
        <v>4144</v>
      </c>
      <c r="S718">
        <v>1.7</v>
      </c>
      <c r="T718">
        <v>12395</v>
      </c>
      <c r="U718">
        <v>0</v>
      </c>
      <c r="V718">
        <v>12395</v>
      </c>
    </row>
    <row r="719" spans="1:22" x14ac:dyDescent="0.3">
      <c r="A719">
        <v>148303</v>
      </c>
      <c r="B719">
        <v>455077693</v>
      </c>
      <c r="C719" t="s">
        <v>4145</v>
      </c>
      <c r="D719" s="9" t="s">
        <v>4146</v>
      </c>
      <c r="E719" t="s">
        <v>4147</v>
      </c>
      <c r="F719" t="s">
        <v>770</v>
      </c>
      <c r="G719" t="s">
        <v>49</v>
      </c>
      <c r="H719" t="s">
        <v>50</v>
      </c>
      <c r="I719" t="s">
        <v>34</v>
      </c>
      <c r="J719" t="s">
        <v>155</v>
      </c>
      <c r="K719" t="s">
        <v>27</v>
      </c>
      <c r="L719" t="s">
        <v>52</v>
      </c>
      <c r="M719" t="s">
        <v>4148</v>
      </c>
      <c r="N719" t="s">
        <v>773</v>
      </c>
      <c r="O719" t="s">
        <v>31</v>
      </c>
      <c r="P719" t="s">
        <v>4149</v>
      </c>
      <c r="Q719" t="s">
        <v>144</v>
      </c>
      <c r="R719" s="26" t="s">
        <v>4150</v>
      </c>
      <c r="S719">
        <v>2.0099999999999998</v>
      </c>
      <c r="T719">
        <v>8425</v>
      </c>
      <c r="U719">
        <v>0</v>
      </c>
      <c r="V719">
        <v>8425</v>
      </c>
    </row>
    <row r="720" spans="1:22" x14ac:dyDescent="0.3">
      <c r="A720">
        <v>148303</v>
      </c>
      <c r="B720">
        <v>455198476</v>
      </c>
      <c r="C720" t="s">
        <v>4151</v>
      </c>
      <c r="D720" s="9" t="s">
        <v>4152</v>
      </c>
      <c r="E720" t="s">
        <v>4147</v>
      </c>
      <c r="F720" t="s">
        <v>770</v>
      </c>
      <c r="G720" t="s">
        <v>49</v>
      </c>
      <c r="H720" t="s">
        <v>50</v>
      </c>
      <c r="I720" t="s">
        <v>34</v>
      </c>
      <c r="J720" t="s">
        <v>155</v>
      </c>
      <c r="K720" t="s">
        <v>27</v>
      </c>
      <c r="L720" t="s">
        <v>52</v>
      </c>
      <c r="M720" t="s">
        <v>4153</v>
      </c>
      <c r="N720" t="s">
        <v>773</v>
      </c>
      <c r="O720" t="s">
        <v>31</v>
      </c>
      <c r="P720" t="s">
        <v>4154</v>
      </c>
      <c r="Q720" t="s">
        <v>160</v>
      </c>
      <c r="R720" s="26" t="s">
        <v>363</v>
      </c>
      <c r="S720">
        <v>2.74</v>
      </c>
      <c r="T720">
        <v>8559</v>
      </c>
      <c r="U720">
        <v>0</v>
      </c>
      <c r="V720">
        <v>8559</v>
      </c>
    </row>
    <row r="721" spans="1:22" x14ac:dyDescent="0.3">
      <c r="A721">
        <v>148303</v>
      </c>
      <c r="B721">
        <v>455194985</v>
      </c>
      <c r="C721" t="s">
        <v>4155</v>
      </c>
      <c r="D721" s="9" t="s">
        <v>4156</v>
      </c>
      <c r="E721" t="s">
        <v>4147</v>
      </c>
      <c r="F721" t="s">
        <v>770</v>
      </c>
      <c r="G721" t="s">
        <v>49</v>
      </c>
      <c r="H721" t="s">
        <v>50</v>
      </c>
      <c r="I721" t="s">
        <v>34</v>
      </c>
      <c r="J721" t="s">
        <v>155</v>
      </c>
      <c r="K721" t="s">
        <v>27</v>
      </c>
      <c r="L721" t="s">
        <v>52</v>
      </c>
      <c r="M721" t="s">
        <v>4157</v>
      </c>
      <c r="N721" t="s">
        <v>773</v>
      </c>
      <c r="O721" t="s">
        <v>31</v>
      </c>
      <c r="P721" t="s">
        <v>4158</v>
      </c>
      <c r="Q721" t="s">
        <v>218</v>
      </c>
      <c r="R721" s="26" t="s">
        <v>4159</v>
      </c>
      <c r="S721">
        <v>9.84</v>
      </c>
      <c r="T721">
        <v>13474</v>
      </c>
      <c r="U721">
        <v>0</v>
      </c>
      <c r="V721">
        <v>13474</v>
      </c>
    </row>
    <row r="722" spans="1:22" x14ac:dyDescent="0.3">
      <c r="A722">
        <v>148303</v>
      </c>
      <c r="B722">
        <v>455176296</v>
      </c>
      <c r="C722" t="s">
        <v>4160</v>
      </c>
      <c r="D722" s="9" t="s">
        <v>4161</v>
      </c>
      <c r="E722" t="s">
        <v>4147</v>
      </c>
      <c r="F722" t="s">
        <v>770</v>
      </c>
      <c r="G722" t="s">
        <v>49</v>
      </c>
      <c r="H722" t="s">
        <v>50</v>
      </c>
      <c r="I722" t="s">
        <v>34</v>
      </c>
      <c r="J722" t="s">
        <v>155</v>
      </c>
      <c r="K722" t="s">
        <v>27</v>
      </c>
      <c r="L722" t="s">
        <v>52</v>
      </c>
      <c r="M722" t="s">
        <v>398</v>
      </c>
      <c r="N722" t="s">
        <v>773</v>
      </c>
      <c r="O722" t="s">
        <v>31</v>
      </c>
      <c r="P722" t="s">
        <v>4162</v>
      </c>
      <c r="Q722" t="s">
        <v>125</v>
      </c>
      <c r="R722" s="26" t="s">
        <v>166</v>
      </c>
      <c r="S722">
        <v>1.5</v>
      </c>
      <c r="T722">
        <v>7581</v>
      </c>
      <c r="U722">
        <v>0</v>
      </c>
      <c r="V722">
        <v>7581</v>
      </c>
    </row>
    <row r="723" spans="1:22" x14ac:dyDescent="0.3">
      <c r="A723">
        <v>148303</v>
      </c>
      <c r="B723">
        <v>455158611</v>
      </c>
      <c r="C723" t="s">
        <v>4163</v>
      </c>
      <c r="D723" s="9" t="s">
        <v>4164</v>
      </c>
      <c r="E723" t="s">
        <v>4147</v>
      </c>
      <c r="F723" t="s">
        <v>770</v>
      </c>
      <c r="G723" t="s">
        <v>49</v>
      </c>
      <c r="H723" t="s">
        <v>50</v>
      </c>
      <c r="I723" t="s">
        <v>34</v>
      </c>
      <c r="J723" t="s">
        <v>155</v>
      </c>
      <c r="K723" t="s">
        <v>27</v>
      </c>
      <c r="L723" t="s">
        <v>52</v>
      </c>
      <c r="M723" t="s">
        <v>616</v>
      </c>
      <c r="N723" t="s">
        <v>773</v>
      </c>
      <c r="O723" t="s">
        <v>31</v>
      </c>
      <c r="P723" t="s">
        <v>4165</v>
      </c>
      <c r="Q723" t="s">
        <v>88</v>
      </c>
      <c r="R723" s="26" t="s">
        <v>4166</v>
      </c>
      <c r="S723">
        <v>4.53</v>
      </c>
      <c r="T723">
        <v>10486</v>
      </c>
      <c r="U723">
        <v>0</v>
      </c>
      <c r="V723">
        <v>10486</v>
      </c>
    </row>
    <row r="724" spans="1:22" x14ac:dyDescent="0.3">
      <c r="A724">
        <v>148303</v>
      </c>
      <c r="B724">
        <v>455153266</v>
      </c>
      <c r="C724" t="s">
        <v>4167</v>
      </c>
      <c r="D724" s="9" t="s">
        <v>4168</v>
      </c>
      <c r="E724" t="s">
        <v>4147</v>
      </c>
      <c r="F724" t="s">
        <v>770</v>
      </c>
      <c r="G724" t="s">
        <v>49</v>
      </c>
      <c r="H724" t="s">
        <v>50</v>
      </c>
      <c r="I724" t="s">
        <v>34</v>
      </c>
      <c r="J724" t="s">
        <v>155</v>
      </c>
      <c r="K724" t="s">
        <v>27</v>
      </c>
      <c r="L724" t="s">
        <v>52</v>
      </c>
      <c r="M724" t="s">
        <v>4169</v>
      </c>
      <c r="N724" t="s">
        <v>773</v>
      </c>
      <c r="O724" t="s">
        <v>31</v>
      </c>
      <c r="P724" t="s">
        <v>4170</v>
      </c>
      <c r="Q724" t="s">
        <v>133</v>
      </c>
      <c r="R724" s="26" t="s">
        <v>4171</v>
      </c>
      <c r="S724">
        <v>2.1800000000000002</v>
      </c>
      <c r="T724">
        <v>9514</v>
      </c>
      <c r="U724">
        <v>0</v>
      </c>
      <c r="V724">
        <v>9514</v>
      </c>
    </row>
    <row r="725" spans="1:22" x14ac:dyDescent="0.3">
      <c r="A725">
        <v>148303</v>
      </c>
      <c r="B725">
        <v>455102874</v>
      </c>
      <c r="C725" t="s">
        <v>4172</v>
      </c>
      <c r="D725" s="9" t="s">
        <v>4173</v>
      </c>
      <c r="E725" t="s">
        <v>4147</v>
      </c>
      <c r="F725" t="s">
        <v>770</v>
      </c>
      <c r="G725" t="s">
        <v>49</v>
      </c>
      <c r="H725" t="s">
        <v>50</v>
      </c>
      <c r="I725" t="s">
        <v>34</v>
      </c>
      <c r="J725" t="s">
        <v>155</v>
      </c>
      <c r="K725" t="s">
        <v>27</v>
      </c>
      <c r="L725" t="s">
        <v>52</v>
      </c>
      <c r="M725" t="s">
        <v>665</v>
      </c>
      <c r="N725" t="s">
        <v>773</v>
      </c>
      <c r="O725" t="s">
        <v>31</v>
      </c>
      <c r="P725" t="s">
        <v>4174</v>
      </c>
      <c r="Q725" t="s">
        <v>96</v>
      </c>
      <c r="R725" s="26" t="s">
        <v>4175</v>
      </c>
      <c r="S725">
        <v>1.53</v>
      </c>
      <c r="T725">
        <v>7619</v>
      </c>
      <c r="U725">
        <v>0</v>
      </c>
      <c r="V725">
        <v>7619</v>
      </c>
    </row>
    <row r="726" spans="1:22" x14ac:dyDescent="0.3">
      <c r="A726">
        <v>148303</v>
      </c>
      <c r="B726">
        <v>455096579</v>
      </c>
      <c r="C726" t="s">
        <v>4176</v>
      </c>
      <c r="D726" s="9" t="s">
        <v>4177</v>
      </c>
      <c r="E726" t="s">
        <v>4147</v>
      </c>
      <c r="F726" t="s">
        <v>770</v>
      </c>
      <c r="G726" t="s">
        <v>49</v>
      </c>
      <c r="H726" t="s">
        <v>50</v>
      </c>
      <c r="I726" t="s">
        <v>34</v>
      </c>
      <c r="J726" t="s">
        <v>155</v>
      </c>
      <c r="K726" t="s">
        <v>27</v>
      </c>
      <c r="L726" t="s">
        <v>52</v>
      </c>
      <c r="M726" t="s">
        <v>4178</v>
      </c>
      <c r="N726" t="s">
        <v>773</v>
      </c>
      <c r="O726" t="s">
        <v>31</v>
      </c>
      <c r="P726" t="s">
        <v>4179</v>
      </c>
      <c r="Q726" t="s">
        <v>85</v>
      </c>
      <c r="R726" s="26" t="s">
        <v>4180</v>
      </c>
      <c r="S726">
        <v>1.43</v>
      </c>
      <c r="T726">
        <v>7432</v>
      </c>
      <c r="U726">
        <v>0</v>
      </c>
      <c r="V726">
        <v>7432</v>
      </c>
    </row>
    <row r="727" spans="1:22" x14ac:dyDescent="0.3">
      <c r="A727">
        <v>148303</v>
      </c>
      <c r="B727">
        <v>456894727</v>
      </c>
      <c r="C727" t="s">
        <v>4181</v>
      </c>
      <c r="D727" s="9" t="s">
        <v>4182</v>
      </c>
      <c r="E727" t="s">
        <v>4147</v>
      </c>
      <c r="F727" t="s">
        <v>770</v>
      </c>
      <c r="G727" t="s">
        <v>49</v>
      </c>
      <c r="H727" t="s">
        <v>50</v>
      </c>
      <c r="I727" t="s">
        <v>34</v>
      </c>
      <c r="J727" t="s">
        <v>155</v>
      </c>
      <c r="K727" t="s">
        <v>27</v>
      </c>
      <c r="L727" t="s">
        <v>52</v>
      </c>
      <c r="M727" t="s">
        <v>4183</v>
      </c>
      <c r="N727" t="s">
        <v>773</v>
      </c>
      <c r="O727" t="s">
        <v>31</v>
      </c>
      <c r="P727" t="s">
        <v>4184</v>
      </c>
      <c r="Q727" t="s">
        <v>73</v>
      </c>
      <c r="R727" s="26" t="s">
        <v>172</v>
      </c>
      <c r="S727">
        <v>1.43</v>
      </c>
      <c r="T727">
        <v>7581</v>
      </c>
      <c r="U727">
        <v>0</v>
      </c>
      <c r="V727">
        <v>7581</v>
      </c>
    </row>
    <row r="728" spans="1:22" x14ac:dyDescent="0.3">
      <c r="A728">
        <v>148303</v>
      </c>
      <c r="B728">
        <v>456904204</v>
      </c>
      <c r="C728" t="s">
        <v>4185</v>
      </c>
      <c r="D728" s="9" t="s">
        <v>4186</v>
      </c>
      <c r="E728" t="s">
        <v>4147</v>
      </c>
      <c r="F728" t="s">
        <v>770</v>
      </c>
      <c r="G728" t="s">
        <v>49</v>
      </c>
      <c r="H728" t="s">
        <v>50</v>
      </c>
      <c r="I728" t="s">
        <v>34</v>
      </c>
      <c r="J728" t="s">
        <v>155</v>
      </c>
      <c r="K728" t="s">
        <v>27</v>
      </c>
      <c r="L728" t="s">
        <v>52</v>
      </c>
      <c r="M728" t="s">
        <v>645</v>
      </c>
      <c r="N728" t="s">
        <v>773</v>
      </c>
      <c r="O728" t="s">
        <v>31</v>
      </c>
      <c r="P728" t="s">
        <v>4187</v>
      </c>
      <c r="Q728" t="s">
        <v>209</v>
      </c>
      <c r="R728" s="26" t="s">
        <v>4188</v>
      </c>
      <c r="S728">
        <v>1.22</v>
      </c>
      <c r="T728">
        <v>8391</v>
      </c>
      <c r="U728">
        <v>0</v>
      </c>
      <c r="V728">
        <v>8391</v>
      </c>
    </row>
    <row r="729" spans="1:22" x14ac:dyDescent="0.3">
      <c r="A729">
        <v>148303</v>
      </c>
      <c r="B729">
        <v>456907735</v>
      </c>
      <c r="C729" t="s">
        <v>4189</v>
      </c>
      <c r="D729" s="9" t="s">
        <v>4190</v>
      </c>
      <c r="E729" t="s">
        <v>4147</v>
      </c>
      <c r="F729" t="s">
        <v>770</v>
      </c>
      <c r="G729" t="s">
        <v>49</v>
      </c>
      <c r="H729" t="s">
        <v>50</v>
      </c>
      <c r="I729" t="s">
        <v>34</v>
      </c>
      <c r="J729" t="s">
        <v>155</v>
      </c>
      <c r="K729" t="s">
        <v>27</v>
      </c>
      <c r="L729" t="s">
        <v>52</v>
      </c>
      <c r="M729" t="s">
        <v>4191</v>
      </c>
      <c r="N729" t="s">
        <v>773</v>
      </c>
      <c r="O729" t="s">
        <v>31</v>
      </c>
      <c r="P729" t="s">
        <v>4192</v>
      </c>
      <c r="Q729" t="s">
        <v>237</v>
      </c>
      <c r="R729" s="26" t="s">
        <v>4193</v>
      </c>
      <c r="S729">
        <v>1.87</v>
      </c>
      <c r="T729">
        <v>13121</v>
      </c>
      <c r="U729">
        <v>0</v>
      </c>
      <c r="V729">
        <v>13121</v>
      </c>
    </row>
    <row r="730" spans="1:22" x14ac:dyDescent="0.3">
      <c r="A730">
        <v>148303</v>
      </c>
      <c r="B730">
        <v>456916633</v>
      </c>
      <c r="C730" t="s">
        <v>4194</v>
      </c>
      <c r="D730" s="9" t="s">
        <v>4195</v>
      </c>
      <c r="E730" t="s">
        <v>4147</v>
      </c>
      <c r="F730" t="s">
        <v>770</v>
      </c>
      <c r="G730" t="s">
        <v>49</v>
      </c>
      <c r="H730" t="s">
        <v>50</v>
      </c>
      <c r="I730" t="s">
        <v>34</v>
      </c>
      <c r="J730" t="s">
        <v>155</v>
      </c>
      <c r="K730" t="s">
        <v>27</v>
      </c>
      <c r="L730" t="s">
        <v>52</v>
      </c>
      <c r="M730" t="s">
        <v>4196</v>
      </c>
      <c r="N730" t="s">
        <v>773</v>
      </c>
      <c r="O730" t="s">
        <v>31</v>
      </c>
      <c r="P730" t="s">
        <v>4197</v>
      </c>
      <c r="Q730" t="s">
        <v>104</v>
      </c>
      <c r="R730" s="26" t="s">
        <v>4198</v>
      </c>
      <c r="S730">
        <v>2.6</v>
      </c>
      <c r="T730">
        <v>8263</v>
      </c>
      <c r="U730">
        <v>0</v>
      </c>
      <c r="V730">
        <v>8263</v>
      </c>
    </row>
    <row r="731" spans="1:22" x14ac:dyDescent="0.3">
      <c r="A731">
        <v>148303</v>
      </c>
      <c r="B731">
        <v>456958792</v>
      </c>
      <c r="C731" t="s">
        <v>4199</v>
      </c>
      <c r="D731" s="9" t="s">
        <v>4200</v>
      </c>
      <c r="E731" t="s">
        <v>4147</v>
      </c>
      <c r="F731" t="s">
        <v>770</v>
      </c>
      <c r="G731" t="s">
        <v>49</v>
      </c>
      <c r="H731" t="s">
        <v>50</v>
      </c>
      <c r="I731" t="s">
        <v>34</v>
      </c>
      <c r="J731" t="s">
        <v>155</v>
      </c>
      <c r="K731" t="s">
        <v>27</v>
      </c>
      <c r="L731" t="s">
        <v>52</v>
      </c>
      <c r="M731" t="s">
        <v>130</v>
      </c>
      <c r="N731" t="s">
        <v>773</v>
      </c>
      <c r="O731" t="s">
        <v>31</v>
      </c>
      <c r="P731" t="s">
        <v>4201</v>
      </c>
      <c r="Q731" t="s">
        <v>138</v>
      </c>
      <c r="R731" s="26" t="s">
        <v>4202</v>
      </c>
      <c r="S731">
        <v>4.16</v>
      </c>
      <c r="T731">
        <v>7513</v>
      </c>
      <c r="U731">
        <v>0</v>
      </c>
      <c r="V731">
        <v>7513</v>
      </c>
    </row>
    <row r="732" spans="1:22" x14ac:dyDescent="0.3">
      <c r="A732">
        <v>148303</v>
      </c>
      <c r="B732">
        <v>456861072</v>
      </c>
      <c r="C732" t="s">
        <v>4203</v>
      </c>
      <c r="D732" s="9" t="s">
        <v>4204</v>
      </c>
      <c r="E732" t="s">
        <v>4147</v>
      </c>
      <c r="F732" t="s">
        <v>770</v>
      </c>
      <c r="G732" t="s">
        <v>49</v>
      </c>
      <c r="H732" t="s">
        <v>50</v>
      </c>
      <c r="I732" t="s">
        <v>34</v>
      </c>
      <c r="J732" t="s">
        <v>155</v>
      </c>
      <c r="K732" t="s">
        <v>27</v>
      </c>
      <c r="L732" t="s">
        <v>52</v>
      </c>
      <c r="M732" t="s">
        <v>4205</v>
      </c>
      <c r="N732" t="s">
        <v>773</v>
      </c>
      <c r="O732" t="s">
        <v>31</v>
      </c>
      <c r="P732" t="s">
        <v>4206</v>
      </c>
      <c r="Q732" t="s">
        <v>171</v>
      </c>
      <c r="R732" s="26" t="s">
        <v>232</v>
      </c>
      <c r="S732">
        <v>2.86</v>
      </c>
      <c r="T732">
        <v>7072</v>
      </c>
      <c r="U732">
        <v>0</v>
      </c>
      <c r="V732">
        <v>7072</v>
      </c>
    </row>
    <row r="733" spans="1:22" x14ac:dyDescent="0.3">
      <c r="A733">
        <v>148303</v>
      </c>
      <c r="B733">
        <v>456862514</v>
      </c>
      <c r="C733" t="s">
        <v>4207</v>
      </c>
      <c r="D733" s="9" t="s">
        <v>4208</v>
      </c>
      <c r="E733" t="s">
        <v>4147</v>
      </c>
      <c r="F733" t="s">
        <v>770</v>
      </c>
      <c r="G733" t="s">
        <v>49</v>
      </c>
      <c r="H733" t="s">
        <v>50</v>
      </c>
      <c r="I733" t="s">
        <v>34</v>
      </c>
      <c r="J733" t="s">
        <v>155</v>
      </c>
      <c r="K733" t="s">
        <v>27</v>
      </c>
      <c r="L733" t="s">
        <v>52</v>
      </c>
      <c r="M733" t="s">
        <v>4209</v>
      </c>
      <c r="N733" t="s">
        <v>773</v>
      </c>
      <c r="O733" t="s">
        <v>31</v>
      </c>
      <c r="P733" t="s">
        <v>4210</v>
      </c>
      <c r="Q733" t="s">
        <v>171</v>
      </c>
      <c r="R733" s="26" t="s">
        <v>4211</v>
      </c>
      <c r="S733">
        <v>3.54</v>
      </c>
      <c r="T733">
        <v>7414</v>
      </c>
      <c r="U733">
        <v>0</v>
      </c>
      <c r="V733">
        <v>7414</v>
      </c>
    </row>
    <row r="734" spans="1:22" x14ac:dyDescent="0.3">
      <c r="A734">
        <v>148303</v>
      </c>
      <c r="B734">
        <v>456871257</v>
      </c>
      <c r="C734" t="s">
        <v>4212</v>
      </c>
      <c r="D734" s="9" t="s">
        <v>4213</v>
      </c>
      <c r="E734" t="s">
        <v>4147</v>
      </c>
      <c r="F734" t="s">
        <v>770</v>
      </c>
      <c r="G734" t="s">
        <v>49</v>
      </c>
      <c r="H734" t="s">
        <v>50</v>
      </c>
      <c r="I734" t="s">
        <v>34</v>
      </c>
      <c r="J734" t="s">
        <v>155</v>
      </c>
      <c r="K734" t="s">
        <v>27</v>
      </c>
      <c r="L734" t="s">
        <v>52</v>
      </c>
      <c r="M734" t="s">
        <v>4214</v>
      </c>
      <c r="N734" t="s">
        <v>773</v>
      </c>
      <c r="O734" t="s">
        <v>31</v>
      </c>
      <c r="P734" t="s">
        <v>4215</v>
      </c>
      <c r="Q734" t="s">
        <v>206</v>
      </c>
      <c r="R734" s="26" t="s">
        <v>441</v>
      </c>
      <c r="S734">
        <v>5.86</v>
      </c>
      <c r="T734">
        <v>8261</v>
      </c>
      <c r="U734">
        <v>0</v>
      </c>
      <c r="V734">
        <v>8261</v>
      </c>
    </row>
    <row r="735" spans="1:22" x14ac:dyDescent="0.3">
      <c r="A735">
        <v>148303</v>
      </c>
      <c r="B735">
        <v>456875431</v>
      </c>
      <c r="C735" t="s">
        <v>4216</v>
      </c>
      <c r="D735" s="9" t="s">
        <v>4217</v>
      </c>
      <c r="E735" t="s">
        <v>4147</v>
      </c>
      <c r="F735" t="s">
        <v>770</v>
      </c>
      <c r="G735" t="s">
        <v>49</v>
      </c>
      <c r="H735" t="s">
        <v>50</v>
      </c>
      <c r="I735" t="s">
        <v>34</v>
      </c>
      <c r="J735" t="s">
        <v>155</v>
      </c>
      <c r="K735" t="s">
        <v>27</v>
      </c>
      <c r="L735" t="s">
        <v>52</v>
      </c>
      <c r="M735" t="s">
        <v>4218</v>
      </c>
      <c r="N735" t="s">
        <v>773</v>
      </c>
      <c r="O735" t="s">
        <v>31</v>
      </c>
      <c r="P735" t="s">
        <v>4219</v>
      </c>
      <c r="Q735" t="s">
        <v>109</v>
      </c>
      <c r="R735" s="26" t="s">
        <v>269</v>
      </c>
      <c r="S735">
        <v>4.26</v>
      </c>
      <c r="T735">
        <v>7414</v>
      </c>
      <c r="U735">
        <v>0</v>
      </c>
      <c r="V735">
        <v>7414</v>
      </c>
    </row>
    <row r="736" spans="1:22" x14ac:dyDescent="0.3">
      <c r="A736">
        <v>148303</v>
      </c>
      <c r="B736">
        <v>456888337</v>
      </c>
      <c r="C736" t="s">
        <v>4220</v>
      </c>
      <c r="D736" s="9" t="s">
        <v>4221</v>
      </c>
      <c r="E736" t="s">
        <v>4147</v>
      </c>
      <c r="F736" t="s">
        <v>770</v>
      </c>
      <c r="G736" t="s">
        <v>49</v>
      </c>
      <c r="H736" t="s">
        <v>50</v>
      </c>
      <c r="I736" t="s">
        <v>34</v>
      </c>
      <c r="J736" t="s">
        <v>155</v>
      </c>
      <c r="K736" t="s">
        <v>27</v>
      </c>
      <c r="L736" t="s">
        <v>52</v>
      </c>
      <c r="M736" t="s">
        <v>661</v>
      </c>
      <c r="N736" t="s">
        <v>773</v>
      </c>
      <c r="O736" t="s">
        <v>31</v>
      </c>
      <c r="P736" t="s">
        <v>4222</v>
      </c>
      <c r="Q736" t="s">
        <v>81</v>
      </c>
      <c r="R736" s="26" t="s">
        <v>4223</v>
      </c>
      <c r="S736">
        <v>1.46</v>
      </c>
      <c r="T736">
        <v>8084</v>
      </c>
      <c r="U736">
        <v>0</v>
      </c>
      <c r="V736">
        <v>8084</v>
      </c>
    </row>
    <row r="737" spans="1:22" x14ac:dyDescent="0.3">
      <c r="A737">
        <v>148303</v>
      </c>
      <c r="B737">
        <v>456884169</v>
      </c>
      <c r="C737" t="s">
        <v>4224</v>
      </c>
      <c r="D737" s="9" t="s">
        <v>4225</v>
      </c>
      <c r="E737" t="s">
        <v>4147</v>
      </c>
      <c r="F737" t="s">
        <v>770</v>
      </c>
      <c r="G737" t="s">
        <v>49</v>
      </c>
      <c r="H737" t="s">
        <v>50</v>
      </c>
      <c r="I737" t="s">
        <v>34</v>
      </c>
      <c r="J737" t="s">
        <v>155</v>
      </c>
      <c r="K737" t="s">
        <v>27</v>
      </c>
      <c r="L737" t="s">
        <v>52</v>
      </c>
      <c r="M737" t="s">
        <v>4226</v>
      </c>
      <c r="N737" t="s">
        <v>773</v>
      </c>
      <c r="O737" t="s">
        <v>31</v>
      </c>
      <c r="P737" t="s">
        <v>4227</v>
      </c>
      <c r="Q737" t="s">
        <v>117</v>
      </c>
      <c r="R737" s="26" t="s">
        <v>447</v>
      </c>
      <c r="S737">
        <v>1.95</v>
      </c>
      <c r="T737">
        <v>10302</v>
      </c>
      <c r="U737">
        <v>0</v>
      </c>
      <c r="V737">
        <v>10302</v>
      </c>
    </row>
    <row r="738" spans="1:22" x14ac:dyDescent="0.3">
      <c r="A738">
        <v>148303</v>
      </c>
      <c r="B738">
        <v>456880666</v>
      </c>
      <c r="C738" t="s">
        <v>4228</v>
      </c>
      <c r="D738" s="9" t="s">
        <v>4229</v>
      </c>
      <c r="E738" t="s">
        <v>4147</v>
      </c>
      <c r="F738" t="s">
        <v>770</v>
      </c>
      <c r="G738" t="s">
        <v>49</v>
      </c>
      <c r="H738" t="s">
        <v>50</v>
      </c>
      <c r="I738" t="s">
        <v>34</v>
      </c>
      <c r="J738" t="s">
        <v>51</v>
      </c>
      <c r="K738" t="s">
        <v>27</v>
      </c>
      <c r="L738" t="s">
        <v>52</v>
      </c>
      <c r="M738" t="s">
        <v>4230</v>
      </c>
      <c r="N738" t="s">
        <v>773</v>
      </c>
      <c r="O738" t="s">
        <v>31</v>
      </c>
      <c r="P738" t="s">
        <v>4231</v>
      </c>
      <c r="Q738" t="s">
        <v>88</v>
      </c>
      <c r="R738" s="26" t="s">
        <v>4232</v>
      </c>
      <c r="S738">
        <v>2.59</v>
      </c>
      <c r="T738">
        <v>12540</v>
      </c>
      <c r="U738">
        <v>0</v>
      </c>
      <c r="V738">
        <v>12540</v>
      </c>
    </row>
    <row r="739" spans="1:22" x14ac:dyDescent="0.3">
      <c r="A739">
        <v>148303</v>
      </c>
      <c r="B739">
        <v>456880398</v>
      </c>
      <c r="C739" t="s">
        <v>4233</v>
      </c>
      <c r="D739" s="9" t="s">
        <v>4234</v>
      </c>
      <c r="E739" t="s">
        <v>4147</v>
      </c>
      <c r="F739" t="s">
        <v>770</v>
      </c>
      <c r="G739" t="s">
        <v>49</v>
      </c>
      <c r="H739" t="s">
        <v>50</v>
      </c>
      <c r="I739" t="s">
        <v>34</v>
      </c>
      <c r="J739" t="s">
        <v>155</v>
      </c>
      <c r="K739" t="s">
        <v>27</v>
      </c>
      <c r="L739" t="s">
        <v>52</v>
      </c>
      <c r="M739" t="s">
        <v>4235</v>
      </c>
      <c r="N739" t="s">
        <v>773</v>
      </c>
      <c r="O739" t="s">
        <v>31</v>
      </c>
      <c r="P739" t="s">
        <v>4236</v>
      </c>
      <c r="Q739" t="s">
        <v>42</v>
      </c>
      <c r="R739" s="26" t="s">
        <v>4237</v>
      </c>
      <c r="S739">
        <v>0.24</v>
      </c>
      <c r="T739">
        <v>6960</v>
      </c>
      <c r="U739">
        <v>0</v>
      </c>
      <c r="V739">
        <v>6960</v>
      </c>
    </row>
    <row r="740" spans="1:22" x14ac:dyDescent="0.3">
      <c r="A740">
        <v>148303</v>
      </c>
      <c r="B740">
        <v>456824578</v>
      </c>
      <c r="C740" t="s">
        <v>4238</v>
      </c>
      <c r="D740" s="9" t="s">
        <v>4239</v>
      </c>
      <c r="E740" t="s">
        <v>4147</v>
      </c>
      <c r="F740" t="s">
        <v>770</v>
      </c>
      <c r="G740" t="s">
        <v>49</v>
      </c>
      <c r="H740" t="s">
        <v>50</v>
      </c>
      <c r="I740" t="s">
        <v>34</v>
      </c>
      <c r="J740" t="s">
        <v>155</v>
      </c>
      <c r="K740" t="s">
        <v>27</v>
      </c>
      <c r="L740" t="s">
        <v>52</v>
      </c>
      <c r="M740" t="s">
        <v>4240</v>
      </c>
      <c r="N740" t="s">
        <v>773</v>
      </c>
      <c r="O740" t="s">
        <v>31</v>
      </c>
      <c r="P740" t="s">
        <v>4241</v>
      </c>
      <c r="Q740" t="s">
        <v>74</v>
      </c>
      <c r="R740" s="26" t="s">
        <v>760</v>
      </c>
      <c r="S740">
        <v>1.58</v>
      </c>
      <c r="T740">
        <v>4335</v>
      </c>
      <c r="U740">
        <v>0</v>
      </c>
      <c r="V740">
        <v>4335</v>
      </c>
    </row>
    <row r="741" spans="1:22" x14ac:dyDescent="0.3">
      <c r="A741">
        <v>148303</v>
      </c>
      <c r="B741">
        <v>456827317</v>
      </c>
      <c r="C741" t="s">
        <v>4242</v>
      </c>
      <c r="D741" s="9" t="s">
        <v>4243</v>
      </c>
      <c r="E741" t="s">
        <v>4147</v>
      </c>
      <c r="F741" t="s">
        <v>770</v>
      </c>
      <c r="G741" t="s">
        <v>49</v>
      </c>
      <c r="H741" t="s">
        <v>50</v>
      </c>
      <c r="I741" t="s">
        <v>34</v>
      </c>
      <c r="J741" t="s">
        <v>155</v>
      </c>
      <c r="K741" t="s">
        <v>27</v>
      </c>
      <c r="L741" t="s">
        <v>52</v>
      </c>
      <c r="M741" t="s">
        <v>4244</v>
      </c>
      <c r="N741" t="s">
        <v>773</v>
      </c>
      <c r="O741" t="s">
        <v>31</v>
      </c>
      <c r="P741" t="s">
        <v>4245</v>
      </c>
      <c r="Q741" t="s">
        <v>264</v>
      </c>
      <c r="R741" s="26" t="s">
        <v>270</v>
      </c>
      <c r="S741">
        <v>2.44</v>
      </c>
      <c r="T741">
        <v>8263</v>
      </c>
      <c r="U741">
        <v>0</v>
      </c>
      <c r="V741">
        <v>8263</v>
      </c>
    </row>
    <row r="742" spans="1:22" x14ac:dyDescent="0.3">
      <c r="A742">
        <v>148303</v>
      </c>
      <c r="B742">
        <v>456777083</v>
      </c>
      <c r="C742" t="s">
        <v>4246</v>
      </c>
      <c r="D742" s="9" t="s">
        <v>4247</v>
      </c>
      <c r="E742" t="s">
        <v>4147</v>
      </c>
      <c r="F742" t="s">
        <v>770</v>
      </c>
      <c r="G742" t="s">
        <v>49</v>
      </c>
      <c r="H742" t="s">
        <v>50</v>
      </c>
      <c r="I742" t="s">
        <v>34</v>
      </c>
      <c r="J742" t="s">
        <v>155</v>
      </c>
      <c r="K742" t="s">
        <v>27</v>
      </c>
      <c r="L742" t="s">
        <v>52</v>
      </c>
      <c r="M742" t="s">
        <v>4248</v>
      </c>
      <c r="N742" t="s">
        <v>773</v>
      </c>
      <c r="O742" t="s">
        <v>31</v>
      </c>
      <c r="P742" t="s">
        <v>4249</v>
      </c>
      <c r="Q742" t="s">
        <v>126</v>
      </c>
      <c r="R742" s="26" t="s">
        <v>466</v>
      </c>
      <c r="S742">
        <v>2.41</v>
      </c>
      <c r="T742">
        <v>7296</v>
      </c>
      <c r="U742">
        <v>0</v>
      </c>
      <c r="V742">
        <v>7296</v>
      </c>
    </row>
    <row r="743" spans="1:22" x14ac:dyDescent="0.3">
      <c r="A743">
        <v>148303</v>
      </c>
      <c r="B743">
        <v>456778474</v>
      </c>
      <c r="C743" t="s">
        <v>4250</v>
      </c>
      <c r="D743" s="9" t="s">
        <v>4251</v>
      </c>
      <c r="E743" t="s">
        <v>4147</v>
      </c>
      <c r="F743" t="s">
        <v>770</v>
      </c>
      <c r="G743" t="s">
        <v>49</v>
      </c>
      <c r="H743" t="s">
        <v>50</v>
      </c>
      <c r="I743" t="s">
        <v>34</v>
      </c>
      <c r="J743" t="s">
        <v>155</v>
      </c>
      <c r="K743" t="s">
        <v>27</v>
      </c>
      <c r="L743" t="s">
        <v>52</v>
      </c>
      <c r="M743" t="s">
        <v>4252</v>
      </c>
      <c r="N743" t="s">
        <v>773</v>
      </c>
      <c r="O743" t="s">
        <v>31</v>
      </c>
      <c r="P743" t="s">
        <v>655</v>
      </c>
      <c r="Q743" t="s">
        <v>139</v>
      </c>
      <c r="R743" s="26" t="s">
        <v>723</v>
      </c>
      <c r="S743">
        <v>1.44</v>
      </c>
      <c r="T743">
        <v>7432</v>
      </c>
      <c r="U743">
        <v>0</v>
      </c>
      <c r="V743">
        <v>7432</v>
      </c>
    </row>
    <row r="744" spans="1:22" x14ac:dyDescent="0.3">
      <c r="A744">
        <v>148303</v>
      </c>
      <c r="B744">
        <v>456780886</v>
      </c>
      <c r="C744" t="s">
        <v>4253</v>
      </c>
      <c r="D744" s="9" t="s">
        <v>4254</v>
      </c>
      <c r="E744" t="s">
        <v>4147</v>
      </c>
      <c r="F744" t="s">
        <v>770</v>
      </c>
      <c r="G744" t="s">
        <v>49</v>
      </c>
      <c r="H744" t="s">
        <v>50</v>
      </c>
      <c r="I744" t="s">
        <v>34</v>
      </c>
      <c r="J744" t="s">
        <v>155</v>
      </c>
      <c r="K744" t="s">
        <v>27</v>
      </c>
      <c r="L744" t="s">
        <v>52</v>
      </c>
      <c r="M744" t="s">
        <v>4255</v>
      </c>
      <c r="N744" t="s">
        <v>773</v>
      </c>
      <c r="O744" t="s">
        <v>31</v>
      </c>
      <c r="P744" t="s">
        <v>4256</v>
      </c>
      <c r="Q744" t="s">
        <v>213</v>
      </c>
      <c r="R744" s="26" t="s">
        <v>516</v>
      </c>
      <c r="S744">
        <v>2.8</v>
      </c>
      <c r="T744">
        <v>7619</v>
      </c>
      <c r="U744">
        <v>0</v>
      </c>
      <c r="V744">
        <v>7619</v>
      </c>
    </row>
    <row r="745" spans="1:22" x14ac:dyDescent="0.3">
      <c r="A745">
        <v>148303</v>
      </c>
      <c r="B745">
        <v>456785873</v>
      </c>
      <c r="C745" t="s">
        <v>4257</v>
      </c>
      <c r="D745" s="9" t="s">
        <v>4258</v>
      </c>
      <c r="E745" t="s">
        <v>4147</v>
      </c>
      <c r="F745" t="s">
        <v>770</v>
      </c>
      <c r="G745" t="s">
        <v>49</v>
      </c>
      <c r="H745" t="s">
        <v>50</v>
      </c>
      <c r="I745" t="s">
        <v>34</v>
      </c>
      <c r="J745" t="s">
        <v>155</v>
      </c>
      <c r="K745" t="s">
        <v>27</v>
      </c>
      <c r="L745" t="s">
        <v>52</v>
      </c>
      <c r="M745" t="s">
        <v>4259</v>
      </c>
      <c r="N745" t="s">
        <v>773</v>
      </c>
      <c r="O745" t="s">
        <v>31</v>
      </c>
      <c r="P745" t="s">
        <v>4260</v>
      </c>
      <c r="Q745" t="s">
        <v>69</v>
      </c>
      <c r="R745" s="26" t="s">
        <v>4261</v>
      </c>
      <c r="S745">
        <v>1.78</v>
      </c>
      <c r="T745">
        <v>8746</v>
      </c>
      <c r="U745">
        <v>0</v>
      </c>
      <c r="V745">
        <v>8746</v>
      </c>
    </row>
    <row r="746" spans="1:22" x14ac:dyDescent="0.3">
      <c r="A746">
        <v>148303</v>
      </c>
      <c r="B746">
        <v>456809762</v>
      </c>
      <c r="C746" t="s">
        <v>4262</v>
      </c>
      <c r="D746" s="9" t="s">
        <v>4263</v>
      </c>
      <c r="E746" t="s">
        <v>4147</v>
      </c>
      <c r="F746" t="s">
        <v>770</v>
      </c>
      <c r="G746" t="s">
        <v>49</v>
      </c>
      <c r="H746" t="s">
        <v>50</v>
      </c>
      <c r="I746" t="s">
        <v>34</v>
      </c>
      <c r="J746" t="s">
        <v>155</v>
      </c>
      <c r="K746" t="s">
        <v>27</v>
      </c>
      <c r="L746" t="s">
        <v>52</v>
      </c>
      <c r="M746" t="s">
        <v>4264</v>
      </c>
      <c r="N746" t="s">
        <v>773</v>
      </c>
      <c r="O746" t="s">
        <v>31</v>
      </c>
      <c r="P746" t="s">
        <v>4265</v>
      </c>
      <c r="Q746" t="s">
        <v>73</v>
      </c>
      <c r="R746" s="26" t="s">
        <v>422</v>
      </c>
      <c r="S746">
        <v>8.8699999999999992</v>
      </c>
      <c r="T746">
        <v>10346</v>
      </c>
      <c r="U746">
        <v>0</v>
      </c>
      <c r="V746">
        <v>10346</v>
      </c>
    </row>
    <row r="747" spans="1:22" x14ac:dyDescent="0.3">
      <c r="A747">
        <v>148303</v>
      </c>
      <c r="B747">
        <v>456809099</v>
      </c>
      <c r="C747" t="s">
        <v>4266</v>
      </c>
      <c r="D747" s="9" t="s">
        <v>4267</v>
      </c>
      <c r="E747" t="s">
        <v>4147</v>
      </c>
      <c r="F747" t="s">
        <v>770</v>
      </c>
      <c r="G747" t="s">
        <v>49</v>
      </c>
      <c r="H747" t="s">
        <v>50</v>
      </c>
      <c r="I747" t="s">
        <v>34</v>
      </c>
      <c r="J747" t="s">
        <v>155</v>
      </c>
      <c r="K747" t="s">
        <v>27</v>
      </c>
      <c r="L747" t="s">
        <v>52</v>
      </c>
      <c r="M747" t="s">
        <v>4268</v>
      </c>
      <c r="N747" t="s">
        <v>773</v>
      </c>
      <c r="O747" t="s">
        <v>31</v>
      </c>
      <c r="P747" t="s">
        <v>4269</v>
      </c>
      <c r="Q747" t="s">
        <v>125</v>
      </c>
      <c r="R747" s="26" t="s">
        <v>719</v>
      </c>
      <c r="S747">
        <v>8.51</v>
      </c>
      <c r="T747">
        <v>10346</v>
      </c>
      <c r="U747">
        <v>0</v>
      </c>
      <c r="V747">
        <v>10346</v>
      </c>
    </row>
    <row r="748" spans="1:22" x14ac:dyDescent="0.3">
      <c r="A748">
        <v>148303</v>
      </c>
      <c r="B748">
        <v>456743687</v>
      </c>
      <c r="C748" t="s">
        <v>4270</v>
      </c>
      <c r="D748" s="9" t="s">
        <v>4271</v>
      </c>
      <c r="E748" t="s">
        <v>4147</v>
      </c>
      <c r="F748" t="s">
        <v>770</v>
      </c>
      <c r="G748" t="s">
        <v>49</v>
      </c>
      <c r="H748" t="s">
        <v>50</v>
      </c>
      <c r="I748" t="s">
        <v>34</v>
      </c>
      <c r="J748" t="s">
        <v>155</v>
      </c>
      <c r="K748" t="s">
        <v>27</v>
      </c>
      <c r="L748" t="s">
        <v>52</v>
      </c>
      <c r="M748" t="s">
        <v>4272</v>
      </c>
      <c r="N748" t="s">
        <v>773</v>
      </c>
      <c r="O748" t="s">
        <v>31</v>
      </c>
      <c r="P748" t="s">
        <v>4273</v>
      </c>
      <c r="Q748" t="s">
        <v>125</v>
      </c>
      <c r="R748" s="26" t="s">
        <v>4274</v>
      </c>
      <c r="S748">
        <v>2.79</v>
      </c>
      <c r="T748">
        <v>8425</v>
      </c>
      <c r="U748">
        <v>0</v>
      </c>
      <c r="V748">
        <v>8425</v>
      </c>
    </row>
    <row r="749" spans="1:22" x14ac:dyDescent="0.3">
      <c r="A749">
        <v>148303</v>
      </c>
      <c r="B749">
        <v>456745190</v>
      </c>
      <c r="C749" t="s">
        <v>4275</v>
      </c>
      <c r="D749" s="9" t="s">
        <v>4276</v>
      </c>
      <c r="E749" t="s">
        <v>4147</v>
      </c>
      <c r="F749" t="s">
        <v>770</v>
      </c>
      <c r="G749" t="s">
        <v>49</v>
      </c>
      <c r="H749" t="s">
        <v>50</v>
      </c>
      <c r="I749" t="s">
        <v>34</v>
      </c>
      <c r="J749" t="s">
        <v>155</v>
      </c>
      <c r="K749" t="s">
        <v>27</v>
      </c>
      <c r="L749" t="s">
        <v>52</v>
      </c>
      <c r="M749" t="s">
        <v>4277</v>
      </c>
      <c r="N749" t="s">
        <v>773</v>
      </c>
      <c r="O749" t="s">
        <v>31</v>
      </c>
      <c r="P749" t="s">
        <v>4278</v>
      </c>
      <c r="Q749" t="s">
        <v>159</v>
      </c>
      <c r="R749" s="26" t="s">
        <v>4279</v>
      </c>
      <c r="S749">
        <v>2.63</v>
      </c>
      <c r="T749">
        <v>7370</v>
      </c>
      <c r="U749">
        <v>0</v>
      </c>
      <c r="V749">
        <v>7370</v>
      </c>
    </row>
    <row r="750" spans="1:22" x14ac:dyDescent="0.3">
      <c r="A750">
        <v>148303</v>
      </c>
      <c r="B750">
        <v>456750868</v>
      </c>
      <c r="C750" t="s">
        <v>4280</v>
      </c>
      <c r="D750" s="9" t="s">
        <v>4281</v>
      </c>
      <c r="E750" t="s">
        <v>4147</v>
      </c>
      <c r="F750" t="s">
        <v>770</v>
      </c>
      <c r="G750" t="s">
        <v>49</v>
      </c>
      <c r="H750" t="s">
        <v>50</v>
      </c>
      <c r="I750" t="s">
        <v>34</v>
      </c>
      <c r="J750" t="s">
        <v>155</v>
      </c>
      <c r="K750" t="s">
        <v>27</v>
      </c>
      <c r="L750" t="s">
        <v>52</v>
      </c>
      <c r="M750" t="s">
        <v>662</v>
      </c>
      <c r="N750" t="s">
        <v>773</v>
      </c>
      <c r="O750" t="s">
        <v>31</v>
      </c>
      <c r="P750" t="s">
        <v>4282</v>
      </c>
      <c r="Q750" t="s">
        <v>134</v>
      </c>
      <c r="R750" s="26" t="s">
        <v>433</v>
      </c>
      <c r="S750">
        <v>1.88</v>
      </c>
      <c r="T750">
        <v>4335</v>
      </c>
      <c r="U750">
        <v>0</v>
      </c>
      <c r="V750">
        <v>4335</v>
      </c>
    </row>
    <row r="751" spans="1:22" x14ac:dyDescent="0.3">
      <c r="A751">
        <v>148303</v>
      </c>
      <c r="B751">
        <v>456753142</v>
      </c>
      <c r="C751" t="s">
        <v>4283</v>
      </c>
      <c r="D751" s="9" t="s">
        <v>4284</v>
      </c>
      <c r="E751" t="s">
        <v>4147</v>
      </c>
      <c r="F751" t="s">
        <v>770</v>
      </c>
      <c r="G751" t="s">
        <v>49</v>
      </c>
      <c r="H751" t="s">
        <v>50</v>
      </c>
      <c r="I751" t="s">
        <v>34</v>
      </c>
      <c r="J751" t="s">
        <v>155</v>
      </c>
      <c r="K751" t="s">
        <v>27</v>
      </c>
      <c r="L751" t="s">
        <v>52</v>
      </c>
      <c r="M751" t="s">
        <v>4285</v>
      </c>
      <c r="N751" t="s">
        <v>773</v>
      </c>
      <c r="O751" t="s">
        <v>31</v>
      </c>
      <c r="P751" t="s">
        <v>4286</v>
      </c>
      <c r="Q751" t="s">
        <v>213</v>
      </c>
      <c r="R751" s="26" t="s">
        <v>4287</v>
      </c>
      <c r="S751">
        <v>2.67</v>
      </c>
      <c r="T751">
        <v>7619</v>
      </c>
      <c r="U751">
        <v>0</v>
      </c>
      <c r="V751">
        <v>7619</v>
      </c>
    </row>
    <row r="752" spans="1:22" x14ac:dyDescent="0.3">
      <c r="A752">
        <v>148303</v>
      </c>
      <c r="B752">
        <v>456773569</v>
      </c>
      <c r="C752" t="s">
        <v>4288</v>
      </c>
      <c r="D752" s="9" t="s">
        <v>4289</v>
      </c>
      <c r="E752" t="s">
        <v>4147</v>
      </c>
      <c r="F752" t="s">
        <v>770</v>
      </c>
      <c r="G752" t="s">
        <v>49</v>
      </c>
      <c r="H752" t="s">
        <v>50</v>
      </c>
      <c r="I752" t="s">
        <v>34</v>
      </c>
      <c r="J752" t="s">
        <v>155</v>
      </c>
      <c r="K752" t="s">
        <v>27</v>
      </c>
      <c r="L752" t="s">
        <v>52</v>
      </c>
      <c r="M752" t="s">
        <v>4290</v>
      </c>
      <c r="N752" t="s">
        <v>773</v>
      </c>
      <c r="O752" t="s">
        <v>31</v>
      </c>
      <c r="P752" t="s">
        <v>4291</v>
      </c>
      <c r="Q752" t="s">
        <v>61</v>
      </c>
      <c r="R752" s="26" t="s">
        <v>402</v>
      </c>
      <c r="S752">
        <v>2.4700000000000002</v>
      </c>
      <c r="T752">
        <v>8263</v>
      </c>
      <c r="U752">
        <v>0</v>
      </c>
      <c r="V752">
        <v>8263</v>
      </c>
    </row>
    <row r="753" spans="1:22" x14ac:dyDescent="0.3">
      <c r="A753">
        <v>148303</v>
      </c>
      <c r="B753">
        <v>456724803</v>
      </c>
      <c r="C753" t="s">
        <v>4292</v>
      </c>
      <c r="D753" s="9" t="s">
        <v>4293</v>
      </c>
      <c r="E753" t="s">
        <v>4147</v>
      </c>
      <c r="F753" t="s">
        <v>770</v>
      </c>
      <c r="G753" t="s">
        <v>49</v>
      </c>
      <c r="H753" t="s">
        <v>50</v>
      </c>
      <c r="I753" t="s">
        <v>34</v>
      </c>
      <c r="J753" t="s">
        <v>155</v>
      </c>
      <c r="K753" t="s">
        <v>549</v>
      </c>
      <c r="L753" t="s">
        <v>4294</v>
      </c>
      <c r="M753" t="s">
        <v>4295</v>
      </c>
      <c r="N753" t="s">
        <v>773</v>
      </c>
      <c r="O753" t="s">
        <v>31</v>
      </c>
      <c r="P753" t="s">
        <v>4296</v>
      </c>
      <c r="Q753" t="s">
        <v>103</v>
      </c>
      <c r="R753" s="26" t="s">
        <v>4297</v>
      </c>
      <c r="S753">
        <v>1.49</v>
      </c>
      <c r="T753">
        <v>6370</v>
      </c>
      <c r="U753">
        <v>0</v>
      </c>
      <c r="V753">
        <v>6370</v>
      </c>
    </row>
    <row r="754" spans="1:22" x14ac:dyDescent="0.3">
      <c r="A754">
        <v>148303</v>
      </c>
      <c r="B754">
        <v>456661673</v>
      </c>
      <c r="C754" t="s">
        <v>4298</v>
      </c>
      <c r="D754" s="9" t="s">
        <v>4299</v>
      </c>
      <c r="E754" t="s">
        <v>4147</v>
      </c>
      <c r="F754" t="s">
        <v>770</v>
      </c>
      <c r="G754" t="s">
        <v>49</v>
      </c>
      <c r="H754" t="s">
        <v>50</v>
      </c>
      <c r="I754" t="s">
        <v>34</v>
      </c>
      <c r="J754" t="s">
        <v>155</v>
      </c>
      <c r="K754" t="s">
        <v>27</v>
      </c>
      <c r="L754" t="s">
        <v>52</v>
      </c>
      <c r="M754" t="s">
        <v>4300</v>
      </c>
      <c r="N754" t="s">
        <v>773</v>
      </c>
      <c r="O754" t="s">
        <v>31</v>
      </c>
      <c r="P754" t="s">
        <v>4301</v>
      </c>
      <c r="Q754" t="s">
        <v>41</v>
      </c>
      <c r="R754" s="26" t="s">
        <v>4302</v>
      </c>
      <c r="S754">
        <v>1.34</v>
      </c>
      <c r="T754">
        <v>8586</v>
      </c>
      <c r="U754">
        <v>0</v>
      </c>
      <c r="V754">
        <v>8586</v>
      </c>
    </row>
    <row r="755" spans="1:22" x14ac:dyDescent="0.3">
      <c r="A755">
        <v>148303</v>
      </c>
      <c r="B755">
        <v>456671469</v>
      </c>
      <c r="C755" t="s">
        <v>4303</v>
      </c>
      <c r="D755" s="9" t="s">
        <v>4304</v>
      </c>
      <c r="E755" t="s">
        <v>4147</v>
      </c>
      <c r="F755" t="s">
        <v>770</v>
      </c>
      <c r="G755" t="s">
        <v>49</v>
      </c>
      <c r="H755" t="s">
        <v>50</v>
      </c>
      <c r="I755" t="s">
        <v>34</v>
      </c>
      <c r="J755" t="s">
        <v>155</v>
      </c>
      <c r="K755" t="s">
        <v>27</v>
      </c>
      <c r="L755" t="s">
        <v>52</v>
      </c>
      <c r="M755" t="s">
        <v>4305</v>
      </c>
      <c r="N755" t="s">
        <v>773</v>
      </c>
      <c r="O755" t="s">
        <v>31</v>
      </c>
      <c r="P755" t="s">
        <v>4306</v>
      </c>
      <c r="Q755" t="s">
        <v>154</v>
      </c>
      <c r="R755" s="26" t="s">
        <v>4307</v>
      </c>
      <c r="S755">
        <v>3.4</v>
      </c>
      <c r="T755">
        <v>9203</v>
      </c>
      <c r="U755">
        <v>0</v>
      </c>
      <c r="V755">
        <v>9203</v>
      </c>
    </row>
    <row r="756" spans="1:22" x14ac:dyDescent="0.3">
      <c r="A756">
        <v>148303</v>
      </c>
      <c r="B756">
        <v>456696746</v>
      </c>
      <c r="C756" t="s">
        <v>4308</v>
      </c>
      <c r="D756" s="9" t="s">
        <v>4309</v>
      </c>
      <c r="E756" t="s">
        <v>4147</v>
      </c>
      <c r="F756" t="s">
        <v>770</v>
      </c>
      <c r="G756" t="s">
        <v>49</v>
      </c>
      <c r="H756" t="s">
        <v>50</v>
      </c>
      <c r="I756" t="s">
        <v>34</v>
      </c>
      <c r="J756" t="s">
        <v>155</v>
      </c>
      <c r="K756" t="s">
        <v>27</v>
      </c>
      <c r="L756" t="s">
        <v>52</v>
      </c>
      <c r="M756" t="s">
        <v>4310</v>
      </c>
      <c r="N756" t="s">
        <v>773</v>
      </c>
      <c r="O756" t="s">
        <v>31</v>
      </c>
      <c r="P756" t="s">
        <v>4311</v>
      </c>
      <c r="Q756" t="s">
        <v>162</v>
      </c>
      <c r="R756" s="26" t="s">
        <v>4312</v>
      </c>
      <c r="S756">
        <v>1.4</v>
      </c>
      <c r="T756">
        <v>9459</v>
      </c>
      <c r="U756">
        <v>0</v>
      </c>
      <c r="V756">
        <v>9459</v>
      </c>
    </row>
    <row r="757" spans="1:22" x14ac:dyDescent="0.3">
      <c r="A757">
        <v>148303</v>
      </c>
      <c r="B757">
        <v>456697719</v>
      </c>
      <c r="C757" t="s">
        <v>4313</v>
      </c>
      <c r="D757" s="9" t="s">
        <v>4314</v>
      </c>
      <c r="E757" t="s">
        <v>4147</v>
      </c>
      <c r="F757" t="s">
        <v>770</v>
      </c>
      <c r="G757" t="s">
        <v>49</v>
      </c>
      <c r="H757" t="s">
        <v>50</v>
      </c>
      <c r="I757" t="s">
        <v>34</v>
      </c>
      <c r="J757" t="s">
        <v>155</v>
      </c>
      <c r="K757" t="s">
        <v>27</v>
      </c>
      <c r="L757" t="s">
        <v>52</v>
      </c>
      <c r="M757" t="s">
        <v>4315</v>
      </c>
      <c r="N757" t="s">
        <v>773</v>
      </c>
      <c r="O757" t="s">
        <v>31</v>
      </c>
      <c r="P757" t="s">
        <v>4316</v>
      </c>
      <c r="Q757" t="s">
        <v>190</v>
      </c>
      <c r="R757" s="26" t="s">
        <v>4317</v>
      </c>
      <c r="S757">
        <v>2.35</v>
      </c>
      <c r="T757">
        <v>7370</v>
      </c>
      <c r="U757">
        <v>0</v>
      </c>
      <c r="V757">
        <v>7370</v>
      </c>
    </row>
    <row r="758" spans="1:22" x14ac:dyDescent="0.3">
      <c r="A758">
        <v>148303</v>
      </c>
      <c r="B758">
        <v>456697969</v>
      </c>
      <c r="C758" t="s">
        <v>4318</v>
      </c>
      <c r="D758" s="9" t="s">
        <v>4319</v>
      </c>
      <c r="E758" t="s">
        <v>4147</v>
      </c>
      <c r="F758" t="s">
        <v>770</v>
      </c>
      <c r="G758" t="s">
        <v>49</v>
      </c>
      <c r="H758" t="s">
        <v>50</v>
      </c>
      <c r="I758" t="s">
        <v>34</v>
      </c>
      <c r="J758" t="s">
        <v>155</v>
      </c>
      <c r="K758" t="s">
        <v>27</v>
      </c>
      <c r="L758" t="s">
        <v>52</v>
      </c>
      <c r="M758" t="s">
        <v>4320</v>
      </c>
      <c r="N758" t="s">
        <v>773</v>
      </c>
      <c r="O758" t="s">
        <v>31</v>
      </c>
      <c r="P758" t="s">
        <v>4321</v>
      </c>
      <c r="Q758" t="s">
        <v>208</v>
      </c>
      <c r="R758" s="26" t="s">
        <v>4322</v>
      </c>
      <c r="S758">
        <v>2.4500000000000002</v>
      </c>
      <c r="T758">
        <v>9514</v>
      </c>
      <c r="U758">
        <v>0</v>
      </c>
      <c r="V758">
        <v>9514</v>
      </c>
    </row>
    <row r="759" spans="1:22" x14ac:dyDescent="0.3">
      <c r="A759">
        <v>148303</v>
      </c>
      <c r="B759">
        <v>456698100</v>
      </c>
      <c r="C759" t="s">
        <v>4323</v>
      </c>
      <c r="D759" s="9" t="s">
        <v>4324</v>
      </c>
      <c r="E759" t="s">
        <v>4147</v>
      </c>
      <c r="F759" t="s">
        <v>770</v>
      </c>
      <c r="G759" t="s">
        <v>49</v>
      </c>
      <c r="H759" t="s">
        <v>50</v>
      </c>
      <c r="I759" t="s">
        <v>34</v>
      </c>
      <c r="J759" t="s">
        <v>155</v>
      </c>
      <c r="K759" t="s">
        <v>27</v>
      </c>
      <c r="L759" t="s">
        <v>52</v>
      </c>
      <c r="M759" t="s">
        <v>644</v>
      </c>
      <c r="N759" t="s">
        <v>773</v>
      </c>
      <c r="O759" t="s">
        <v>31</v>
      </c>
      <c r="P759" t="s">
        <v>4325</v>
      </c>
      <c r="Q759" t="s">
        <v>97</v>
      </c>
      <c r="R759" s="26" t="s">
        <v>4326</v>
      </c>
      <c r="S759">
        <v>2.56</v>
      </c>
      <c r="T759">
        <v>8263</v>
      </c>
      <c r="U759">
        <v>0</v>
      </c>
      <c r="V759">
        <v>8263</v>
      </c>
    </row>
    <row r="760" spans="1:22" x14ac:dyDescent="0.3">
      <c r="A760">
        <v>148303</v>
      </c>
      <c r="B760">
        <v>456726407</v>
      </c>
      <c r="C760" t="s">
        <v>4327</v>
      </c>
      <c r="D760" s="9" t="s">
        <v>4328</v>
      </c>
      <c r="E760" t="s">
        <v>4147</v>
      </c>
      <c r="F760" t="s">
        <v>770</v>
      </c>
      <c r="G760" t="s">
        <v>49</v>
      </c>
      <c r="H760" t="s">
        <v>50</v>
      </c>
      <c r="I760" t="s">
        <v>34</v>
      </c>
      <c r="J760" t="s">
        <v>155</v>
      </c>
      <c r="K760" t="s">
        <v>27</v>
      </c>
      <c r="L760" t="s">
        <v>52</v>
      </c>
      <c r="M760" t="s">
        <v>4329</v>
      </c>
      <c r="N760" t="s">
        <v>773</v>
      </c>
      <c r="O760" t="s">
        <v>31</v>
      </c>
      <c r="P760" t="s">
        <v>4330</v>
      </c>
      <c r="Q760" t="s">
        <v>134</v>
      </c>
      <c r="R760" s="26" t="s">
        <v>409</v>
      </c>
      <c r="S760">
        <v>2.0299999999999998</v>
      </c>
      <c r="T760">
        <v>4335</v>
      </c>
      <c r="U760">
        <v>0</v>
      </c>
      <c r="V760">
        <v>4335</v>
      </c>
    </row>
    <row r="761" spans="1:22" x14ac:dyDescent="0.3">
      <c r="A761">
        <v>148303</v>
      </c>
      <c r="B761">
        <v>456653700</v>
      </c>
      <c r="C761" t="s">
        <v>4331</v>
      </c>
      <c r="D761" s="9" t="s">
        <v>4332</v>
      </c>
      <c r="E761" t="s">
        <v>4147</v>
      </c>
      <c r="F761" t="s">
        <v>770</v>
      </c>
      <c r="G761" t="s">
        <v>49</v>
      </c>
      <c r="H761" t="s">
        <v>50</v>
      </c>
      <c r="I761" t="s">
        <v>34</v>
      </c>
      <c r="J761" t="s">
        <v>155</v>
      </c>
      <c r="K761" t="s">
        <v>27</v>
      </c>
      <c r="L761" t="s">
        <v>52</v>
      </c>
      <c r="M761" t="s">
        <v>4333</v>
      </c>
      <c r="N761" t="s">
        <v>773</v>
      </c>
      <c r="O761" t="s">
        <v>31</v>
      </c>
      <c r="P761" t="s">
        <v>4334</v>
      </c>
      <c r="Q761" t="s">
        <v>125</v>
      </c>
      <c r="R761" s="26" t="s">
        <v>762</v>
      </c>
      <c r="S761">
        <v>2.69</v>
      </c>
      <c r="T761">
        <v>8425</v>
      </c>
      <c r="U761">
        <v>0</v>
      </c>
      <c r="V761">
        <v>8425</v>
      </c>
    </row>
    <row r="762" spans="1:22" x14ac:dyDescent="0.3">
      <c r="A762">
        <v>148303</v>
      </c>
      <c r="B762">
        <v>456554861</v>
      </c>
      <c r="C762" t="s">
        <v>4335</v>
      </c>
      <c r="D762" s="9" t="s">
        <v>4336</v>
      </c>
      <c r="E762" t="s">
        <v>4147</v>
      </c>
      <c r="F762" t="s">
        <v>770</v>
      </c>
      <c r="G762" t="s">
        <v>49</v>
      </c>
      <c r="H762" t="s">
        <v>50</v>
      </c>
      <c r="I762" t="s">
        <v>34</v>
      </c>
      <c r="J762" t="s">
        <v>155</v>
      </c>
      <c r="K762" t="s">
        <v>27</v>
      </c>
      <c r="L762" t="s">
        <v>52</v>
      </c>
      <c r="M762" t="s">
        <v>636</v>
      </c>
      <c r="N762" t="s">
        <v>773</v>
      </c>
      <c r="O762" t="s">
        <v>31</v>
      </c>
      <c r="P762" t="s">
        <v>4337</v>
      </c>
      <c r="Q762" t="s">
        <v>134</v>
      </c>
      <c r="R762" s="26" t="s">
        <v>275</v>
      </c>
      <c r="S762">
        <v>1.38</v>
      </c>
      <c r="T762">
        <v>4072</v>
      </c>
      <c r="U762">
        <v>0</v>
      </c>
      <c r="V762">
        <v>4072</v>
      </c>
    </row>
    <row r="763" spans="1:22" x14ac:dyDescent="0.3">
      <c r="A763">
        <v>148303</v>
      </c>
      <c r="B763">
        <v>456559963</v>
      </c>
      <c r="C763" t="s">
        <v>4338</v>
      </c>
      <c r="D763" s="9" t="s">
        <v>4339</v>
      </c>
      <c r="E763" t="s">
        <v>4147</v>
      </c>
      <c r="F763" t="s">
        <v>770</v>
      </c>
      <c r="G763" t="s">
        <v>49</v>
      </c>
      <c r="H763" t="s">
        <v>50</v>
      </c>
      <c r="I763" t="s">
        <v>34</v>
      </c>
      <c r="J763" t="s">
        <v>155</v>
      </c>
      <c r="K763" t="s">
        <v>27</v>
      </c>
      <c r="L763" t="s">
        <v>52</v>
      </c>
      <c r="M763" t="s">
        <v>4340</v>
      </c>
      <c r="N763" t="s">
        <v>773</v>
      </c>
      <c r="O763" t="s">
        <v>31</v>
      </c>
      <c r="P763" t="s">
        <v>4341</v>
      </c>
      <c r="Q763" t="s">
        <v>68</v>
      </c>
      <c r="R763" s="26" t="s">
        <v>756</v>
      </c>
      <c r="S763">
        <v>2.4300000000000002</v>
      </c>
      <c r="T763">
        <v>11022</v>
      </c>
      <c r="U763">
        <v>0</v>
      </c>
      <c r="V763">
        <v>11022</v>
      </c>
    </row>
    <row r="764" spans="1:22" x14ac:dyDescent="0.3">
      <c r="A764">
        <v>148303</v>
      </c>
      <c r="B764">
        <v>456577869</v>
      </c>
      <c r="C764" t="s">
        <v>4342</v>
      </c>
      <c r="D764" s="9" t="s">
        <v>4343</v>
      </c>
      <c r="E764" t="s">
        <v>4147</v>
      </c>
      <c r="F764" t="s">
        <v>770</v>
      </c>
      <c r="G764" t="s">
        <v>49</v>
      </c>
      <c r="H764" t="s">
        <v>50</v>
      </c>
      <c r="I764" t="s">
        <v>34</v>
      </c>
      <c r="J764" t="s">
        <v>155</v>
      </c>
      <c r="K764" t="s">
        <v>27</v>
      </c>
      <c r="L764" t="s">
        <v>52</v>
      </c>
      <c r="M764" t="s">
        <v>4344</v>
      </c>
      <c r="N764" t="s">
        <v>773</v>
      </c>
      <c r="O764" t="s">
        <v>31</v>
      </c>
      <c r="P764" t="s">
        <v>4345</v>
      </c>
      <c r="Q764" t="s">
        <v>119</v>
      </c>
      <c r="R764" s="26" t="s">
        <v>4346</v>
      </c>
      <c r="S764">
        <v>1.3</v>
      </c>
      <c r="T764">
        <v>8391</v>
      </c>
      <c r="U764">
        <v>0</v>
      </c>
      <c r="V764">
        <v>8391</v>
      </c>
    </row>
    <row r="765" spans="1:22" x14ac:dyDescent="0.3">
      <c r="A765">
        <v>148303</v>
      </c>
      <c r="B765">
        <v>456500686</v>
      </c>
      <c r="C765" t="s">
        <v>4347</v>
      </c>
      <c r="D765" s="9" t="s">
        <v>4348</v>
      </c>
      <c r="E765" t="s">
        <v>4147</v>
      </c>
      <c r="F765" t="s">
        <v>770</v>
      </c>
      <c r="G765" t="s">
        <v>49</v>
      </c>
      <c r="H765" t="s">
        <v>50</v>
      </c>
      <c r="I765" t="s">
        <v>34</v>
      </c>
      <c r="J765" t="s">
        <v>155</v>
      </c>
      <c r="K765" t="s">
        <v>27</v>
      </c>
      <c r="L765" t="s">
        <v>52</v>
      </c>
      <c r="M765" t="s">
        <v>4349</v>
      </c>
      <c r="N765" t="s">
        <v>773</v>
      </c>
      <c r="O765" t="s">
        <v>31</v>
      </c>
      <c r="P765" t="s">
        <v>4350</v>
      </c>
      <c r="Q765" t="s">
        <v>238</v>
      </c>
      <c r="R765" s="26" t="s">
        <v>4351</v>
      </c>
      <c r="S765">
        <v>1.26</v>
      </c>
      <c r="T765">
        <v>6232</v>
      </c>
      <c r="U765">
        <v>0</v>
      </c>
      <c r="V765">
        <v>6232</v>
      </c>
    </row>
    <row r="766" spans="1:22" x14ac:dyDescent="0.3">
      <c r="A766">
        <v>148303</v>
      </c>
      <c r="B766">
        <v>456510514</v>
      </c>
      <c r="C766" t="s">
        <v>4352</v>
      </c>
      <c r="D766" s="9" t="s">
        <v>4353</v>
      </c>
      <c r="E766" t="s">
        <v>4147</v>
      </c>
      <c r="F766" t="s">
        <v>770</v>
      </c>
      <c r="G766" t="s">
        <v>49</v>
      </c>
      <c r="H766" t="s">
        <v>50</v>
      </c>
      <c r="I766" t="s">
        <v>34</v>
      </c>
      <c r="J766" t="s">
        <v>155</v>
      </c>
      <c r="K766" t="s">
        <v>27</v>
      </c>
      <c r="L766" t="s">
        <v>52</v>
      </c>
      <c r="M766" t="s">
        <v>4354</v>
      </c>
      <c r="N766" t="s">
        <v>773</v>
      </c>
      <c r="O766" t="s">
        <v>31</v>
      </c>
      <c r="P766" t="s">
        <v>4355</v>
      </c>
      <c r="Q766" t="s">
        <v>84</v>
      </c>
      <c r="R766" s="26" t="s">
        <v>415</v>
      </c>
      <c r="S766">
        <v>8.52</v>
      </c>
      <c r="T766">
        <v>14579</v>
      </c>
      <c r="U766">
        <v>0</v>
      </c>
      <c r="V766">
        <v>14579</v>
      </c>
    </row>
    <row r="767" spans="1:22" x14ac:dyDescent="0.3">
      <c r="A767">
        <v>148303</v>
      </c>
      <c r="B767">
        <v>456534865</v>
      </c>
      <c r="C767" t="s">
        <v>4356</v>
      </c>
      <c r="D767" s="9" t="s">
        <v>4357</v>
      </c>
      <c r="E767" t="s">
        <v>4147</v>
      </c>
      <c r="F767" t="s">
        <v>770</v>
      </c>
      <c r="G767" t="s">
        <v>49</v>
      </c>
      <c r="H767" t="s">
        <v>50</v>
      </c>
      <c r="I767" t="s">
        <v>34</v>
      </c>
      <c r="J767" t="s">
        <v>155</v>
      </c>
      <c r="K767" t="s">
        <v>27</v>
      </c>
      <c r="L767" t="s">
        <v>52</v>
      </c>
      <c r="M767" t="s">
        <v>4358</v>
      </c>
      <c r="N767" t="s">
        <v>773</v>
      </c>
      <c r="O767" t="s">
        <v>31</v>
      </c>
      <c r="P767" t="s">
        <v>4359</v>
      </c>
      <c r="Q767" t="s">
        <v>125</v>
      </c>
      <c r="R767" s="26" t="s">
        <v>4360</v>
      </c>
      <c r="S767">
        <v>1.97</v>
      </c>
      <c r="T767">
        <v>8425</v>
      </c>
      <c r="U767">
        <v>0</v>
      </c>
      <c r="V767">
        <v>8425</v>
      </c>
    </row>
    <row r="768" spans="1:22" x14ac:dyDescent="0.3">
      <c r="A768">
        <v>148303</v>
      </c>
      <c r="B768">
        <v>456516404</v>
      </c>
      <c r="C768" t="s">
        <v>4361</v>
      </c>
      <c r="D768" s="9" t="s">
        <v>4362</v>
      </c>
      <c r="E768" t="s">
        <v>4147</v>
      </c>
      <c r="F768" t="s">
        <v>770</v>
      </c>
      <c r="G768" t="s">
        <v>49</v>
      </c>
      <c r="H768" t="s">
        <v>50</v>
      </c>
      <c r="I768" t="s">
        <v>34</v>
      </c>
      <c r="J768" t="s">
        <v>155</v>
      </c>
      <c r="K768" t="s">
        <v>27</v>
      </c>
      <c r="L768" t="s">
        <v>52</v>
      </c>
      <c r="M768" t="s">
        <v>4363</v>
      </c>
      <c r="N768" t="s">
        <v>773</v>
      </c>
      <c r="O768" t="s">
        <v>31</v>
      </c>
      <c r="P768" t="s">
        <v>4364</v>
      </c>
      <c r="Q768" t="s">
        <v>81</v>
      </c>
      <c r="R768" s="26" t="s">
        <v>477</v>
      </c>
      <c r="S768">
        <v>2.4500000000000002</v>
      </c>
      <c r="T768">
        <v>8985</v>
      </c>
      <c r="U768">
        <v>0</v>
      </c>
      <c r="V768">
        <v>8985</v>
      </c>
    </row>
    <row r="769" spans="1:22" x14ac:dyDescent="0.3">
      <c r="A769">
        <v>148303</v>
      </c>
      <c r="B769">
        <v>456474410</v>
      </c>
      <c r="C769" t="s">
        <v>4365</v>
      </c>
      <c r="D769" s="9" t="s">
        <v>4366</v>
      </c>
      <c r="E769" t="s">
        <v>4147</v>
      </c>
      <c r="F769" t="s">
        <v>770</v>
      </c>
      <c r="G769" t="s">
        <v>49</v>
      </c>
      <c r="H769" t="s">
        <v>50</v>
      </c>
      <c r="I769" t="s">
        <v>34</v>
      </c>
      <c r="J769" t="s">
        <v>155</v>
      </c>
      <c r="K769" t="s">
        <v>27</v>
      </c>
      <c r="L769" t="s">
        <v>52</v>
      </c>
      <c r="M769" t="s">
        <v>661</v>
      </c>
      <c r="N769" t="s">
        <v>773</v>
      </c>
      <c r="O769" t="s">
        <v>31</v>
      </c>
      <c r="P769" t="s">
        <v>4222</v>
      </c>
      <c r="Q769" t="s">
        <v>81</v>
      </c>
      <c r="R769" s="26" t="s">
        <v>4367</v>
      </c>
      <c r="S769">
        <v>1.49</v>
      </c>
      <c r="T769">
        <v>8084</v>
      </c>
      <c r="U769">
        <v>0</v>
      </c>
      <c r="V769">
        <v>8084</v>
      </c>
    </row>
    <row r="770" spans="1:22" x14ac:dyDescent="0.3">
      <c r="A770">
        <v>148303</v>
      </c>
      <c r="B770">
        <v>456324152</v>
      </c>
      <c r="C770" t="s">
        <v>4368</v>
      </c>
      <c r="D770" s="9" t="s">
        <v>4369</v>
      </c>
      <c r="E770" t="s">
        <v>4147</v>
      </c>
      <c r="F770" t="s">
        <v>770</v>
      </c>
      <c r="G770" t="s">
        <v>49</v>
      </c>
      <c r="H770" t="s">
        <v>50</v>
      </c>
      <c r="I770" t="s">
        <v>34</v>
      </c>
      <c r="J770" t="s">
        <v>155</v>
      </c>
      <c r="K770" t="s">
        <v>27</v>
      </c>
      <c r="L770" t="s">
        <v>52</v>
      </c>
      <c r="M770" t="s">
        <v>591</v>
      </c>
      <c r="N770" t="s">
        <v>773</v>
      </c>
      <c r="O770" t="s">
        <v>31</v>
      </c>
      <c r="P770" t="s">
        <v>4370</v>
      </c>
      <c r="Q770" t="s">
        <v>42</v>
      </c>
      <c r="R770" s="26" t="s">
        <v>522</v>
      </c>
      <c r="S770">
        <v>7.5</v>
      </c>
      <c r="T770">
        <v>10173</v>
      </c>
      <c r="U770">
        <v>0</v>
      </c>
      <c r="V770">
        <v>10173</v>
      </c>
    </row>
    <row r="771" spans="1:22" x14ac:dyDescent="0.3">
      <c r="A771">
        <v>148303</v>
      </c>
      <c r="B771">
        <v>456354810</v>
      </c>
      <c r="C771" t="s">
        <v>4371</v>
      </c>
      <c r="D771" s="9" t="s">
        <v>4372</v>
      </c>
      <c r="E771" t="s">
        <v>4147</v>
      </c>
      <c r="F771" t="s">
        <v>770</v>
      </c>
      <c r="G771" t="s">
        <v>49</v>
      </c>
      <c r="H771" t="s">
        <v>50</v>
      </c>
      <c r="I771" t="s">
        <v>34</v>
      </c>
      <c r="J771" t="s">
        <v>155</v>
      </c>
      <c r="K771" t="s">
        <v>27</v>
      </c>
      <c r="L771" t="s">
        <v>52</v>
      </c>
      <c r="M771" t="s">
        <v>4373</v>
      </c>
      <c r="N771" t="s">
        <v>773</v>
      </c>
      <c r="O771" t="s">
        <v>31</v>
      </c>
      <c r="P771" t="s">
        <v>4374</v>
      </c>
      <c r="Q771" t="s">
        <v>233</v>
      </c>
      <c r="R771" s="26" t="s">
        <v>4375</v>
      </c>
      <c r="S771">
        <v>0.09</v>
      </c>
      <c r="T771">
        <v>5962</v>
      </c>
      <c r="U771">
        <v>0</v>
      </c>
      <c r="V771">
        <v>5962</v>
      </c>
    </row>
    <row r="772" spans="1:22" x14ac:dyDescent="0.3">
      <c r="A772">
        <v>148303</v>
      </c>
      <c r="B772">
        <v>456383563</v>
      </c>
      <c r="C772" t="s">
        <v>4376</v>
      </c>
      <c r="D772" s="9" t="s">
        <v>4377</v>
      </c>
      <c r="E772" t="s">
        <v>4147</v>
      </c>
      <c r="F772" t="s">
        <v>770</v>
      </c>
      <c r="G772" t="s">
        <v>49</v>
      </c>
      <c r="H772" t="s">
        <v>50</v>
      </c>
      <c r="I772" t="s">
        <v>34</v>
      </c>
      <c r="J772" t="s">
        <v>155</v>
      </c>
      <c r="K772" t="s">
        <v>27</v>
      </c>
      <c r="L772" t="s">
        <v>52</v>
      </c>
      <c r="M772" t="s">
        <v>4378</v>
      </c>
      <c r="N772" t="s">
        <v>773</v>
      </c>
      <c r="O772" t="s">
        <v>31</v>
      </c>
      <c r="P772" t="s">
        <v>4379</v>
      </c>
      <c r="Q772" t="s">
        <v>62</v>
      </c>
      <c r="R772" s="26" t="s">
        <v>4380</v>
      </c>
      <c r="S772">
        <v>1.37</v>
      </c>
      <c r="T772">
        <v>6636</v>
      </c>
      <c r="U772">
        <v>0</v>
      </c>
      <c r="V772">
        <v>6636</v>
      </c>
    </row>
    <row r="773" spans="1:22" x14ac:dyDescent="0.3">
      <c r="A773">
        <v>148303</v>
      </c>
      <c r="B773">
        <v>456375954</v>
      </c>
      <c r="C773" t="s">
        <v>4381</v>
      </c>
      <c r="D773" s="9" t="s">
        <v>4382</v>
      </c>
      <c r="E773" t="s">
        <v>4147</v>
      </c>
      <c r="F773" t="s">
        <v>770</v>
      </c>
      <c r="G773" t="s">
        <v>49</v>
      </c>
      <c r="H773" t="s">
        <v>50</v>
      </c>
      <c r="I773" t="s">
        <v>34</v>
      </c>
      <c r="J773" t="s">
        <v>155</v>
      </c>
      <c r="K773" t="s">
        <v>27</v>
      </c>
      <c r="L773" t="s">
        <v>52</v>
      </c>
      <c r="M773" t="s">
        <v>4383</v>
      </c>
      <c r="N773" t="s">
        <v>773</v>
      </c>
      <c r="O773" t="s">
        <v>31</v>
      </c>
      <c r="P773" t="s">
        <v>4384</v>
      </c>
      <c r="Q773" t="s">
        <v>135</v>
      </c>
      <c r="R773" s="26" t="s">
        <v>326</v>
      </c>
      <c r="S773">
        <v>3.64</v>
      </c>
      <c r="T773">
        <v>7513</v>
      </c>
      <c r="U773">
        <v>0</v>
      </c>
      <c r="V773">
        <v>7513</v>
      </c>
    </row>
    <row r="774" spans="1:22" x14ac:dyDescent="0.3">
      <c r="A774">
        <v>148303</v>
      </c>
      <c r="B774">
        <v>456360469</v>
      </c>
      <c r="C774" t="s">
        <v>4385</v>
      </c>
      <c r="D774" s="9" t="s">
        <v>4386</v>
      </c>
      <c r="E774" t="s">
        <v>4147</v>
      </c>
      <c r="F774" t="s">
        <v>770</v>
      </c>
      <c r="G774" t="s">
        <v>49</v>
      </c>
      <c r="H774" t="s">
        <v>50</v>
      </c>
      <c r="I774" t="s">
        <v>34</v>
      </c>
      <c r="J774" t="s">
        <v>155</v>
      </c>
      <c r="K774" t="s">
        <v>60</v>
      </c>
      <c r="L774" t="s">
        <v>157</v>
      </c>
      <c r="M774" t="s">
        <v>4387</v>
      </c>
      <c r="N774" t="s">
        <v>773</v>
      </c>
      <c r="O774" t="s">
        <v>31</v>
      </c>
      <c r="P774" t="s">
        <v>4388</v>
      </c>
      <c r="Q774" t="s">
        <v>119</v>
      </c>
      <c r="R774" s="26" t="s">
        <v>244</v>
      </c>
      <c r="S774">
        <v>2.99</v>
      </c>
      <c r="T774">
        <v>9298</v>
      </c>
      <c r="U774">
        <v>0</v>
      </c>
      <c r="V774">
        <v>9298</v>
      </c>
    </row>
    <row r="775" spans="1:22" x14ac:dyDescent="0.3">
      <c r="A775">
        <v>148303</v>
      </c>
      <c r="B775">
        <v>456379687</v>
      </c>
      <c r="C775" t="s">
        <v>4389</v>
      </c>
      <c r="D775" s="9" t="s">
        <v>4390</v>
      </c>
      <c r="E775" t="s">
        <v>4147</v>
      </c>
      <c r="F775" t="s">
        <v>770</v>
      </c>
      <c r="G775" t="s">
        <v>49</v>
      </c>
      <c r="H775" t="s">
        <v>50</v>
      </c>
      <c r="I775" t="s">
        <v>34</v>
      </c>
      <c r="J775" t="s">
        <v>155</v>
      </c>
      <c r="K775" t="s">
        <v>27</v>
      </c>
      <c r="L775" t="s">
        <v>52</v>
      </c>
      <c r="M775" t="s">
        <v>4235</v>
      </c>
      <c r="N775" t="s">
        <v>773</v>
      </c>
      <c r="O775" t="s">
        <v>31</v>
      </c>
      <c r="P775" t="s">
        <v>4236</v>
      </c>
      <c r="Q775" t="s">
        <v>42</v>
      </c>
      <c r="R775" s="26" t="s">
        <v>524</v>
      </c>
      <c r="S775">
        <v>3.13</v>
      </c>
      <c r="T775">
        <v>8343</v>
      </c>
      <c r="U775">
        <v>0</v>
      </c>
      <c r="V775">
        <v>8343</v>
      </c>
    </row>
    <row r="776" spans="1:22" x14ac:dyDescent="0.3">
      <c r="A776">
        <v>148303</v>
      </c>
      <c r="B776">
        <v>456411205</v>
      </c>
      <c r="C776" t="s">
        <v>4391</v>
      </c>
      <c r="D776" s="9" t="s">
        <v>4392</v>
      </c>
      <c r="E776" t="s">
        <v>4147</v>
      </c>
      <c r="F776" t="s">
        <v>770</v>
      </c>
      <c r="G776" t="s">
        <v>49</v>
      </c>
      <c r="H776" t="s">
        <v>50</v>
      </c>
      <c r="I776" t="s">
        <v>34</v>
      </c>
      <c r="J776" t="s">
        <v>155</v>
      </c>
      <c r="K776" t="s">
        <v>27</v>
      </c>
      <c r="L776" t="s">
        <v>52</v>
      </c>
      <c r="M776" t="s">
        <v>4393</v>
      </c>
      <c r="N776" t="s">
        <v>773</v>
      </c>
      <c r="O776" t="s">
        <v>31</v>
      </c>
      <c r="P776" t="s">
        <v>4394</v>
      </c>
      <c r="Q776" t="s">
        <v>81</v>
      </c>
      <c r="R776" s="26" t="s">
        <v>388</v>
      </c>
      <c r="S776">
        <v>4.24</v>
      </c>
      <c r="T776">
        <v>8992</v>
      </c>
      <c r="U776">
        <v>0</v>
      </c>
      <c r="V776">
        <v>8992</v>
      </c>
    </row>
    <row r="777" spans="1:22" x14ac:dyDescent="0.3">
      <c r="A777">
        <v>148303</v>
      </c>
      <c r="B777">
        <v>456409870</v>
      </c>
      <c r="C777" t="s">
        <v>4395</v>
      </c>
      <c r="D777" s="9" t="s">
        <v>4396</v>
      </c>
      <c r="E777" t="s">
        <v>4147</v>
      </c>
      <c r="F777" t="s">
        <v>770</v>
      </c>
      <c r="G777" t="s">
        <v>49</v>
      </c>
      <c r="H777" t="s">
        <v>50</v>
      </c>
      <c r="I777" t="s">
        <v>34</v>
      </c>
      <c r="J777" t="s">
        <v>155</v>
      </c>
      <c r="K777" t="s">
        <v>27</v>
      </c>
      <c r="L777" t="s">
        <v>52</v>
      </c>
      <c r="M777" t="s">
        <v>4397</v>
      </c>
      <c r="N777" t="s">
        <v>773</v>
      </c>
      <c r="O777" t="s">
        <v>31</v>
      </c>
      <c r="P777" t="s">
        <v>4398</v>
      </c>
      <c r="Q777" t="s">
        <v>125</v>
      </c>
      <c r="R777" s="26" t="s">
        <v>751</v>
      </c>
      <c r="S777">
        <v>3.36</v>
      </c>
      <c r="T777">
        <v>8430</v>
      </c>
      <c r="U777">
        <v>0</v>
      </c>
      <c r="V777">
        <v>8430</v>
      </c>
    </row>
    <row r="778" spans="1:22" x14ac:dyDescent="0.3">
      <c r="A778">
        <v>148303</v>
      </c>
      <c r="B778">
        <v>456235520</v>
      </c>
      <c r="C778" t="s">
        <v>4399</v>
      </c>
      <c r="D778" s="9" t="s">
        <v>4400</v>
      </c>
      <c r="E778" t="s">
        <v>4147</v>
      </c>
      <c r="F778" t="s">
        <v>770</v>
      </c>
      <c r="G778" t="s">
        <v>49</v>
      </c>
      <c r="H778" t="s">
        <v>50</v>
      </c>
      <c r="I778" t="s">
        <v>34</v>
      </c>
      <c r="J778" t="s">
        <v>155</v>
      </c>
      <c r="K778" t="s">
        <v>27</v>
      </c>
      <c r="L778" t="s">
        <v>52</v>
      </c>
      <c r="M778" t="s">
        <v>4401</v>
      </c>
      <c r="N778" t="s">
        <v>773</v>
      </c>
      <c r="O778" t="s">
        <v>31</v>
      </c>
      <c r="P778" t="s">
        <v>4402</v>
      </c>
      <c r="Q778" t="s">
        <v>197</v>
      </c>
      <c r="R778" s="26" t="s">
        <v>179</v>
      </c>
      <c r="S778">
        <v>5.88</v>
      </c>
      <c r="T778">
        <v>13090</v>
      </c>
      <c r="U778">
        <v>0</v>
      </c>
      <c r="V778">
        <v>13090</v>
      </c>
    </row>
    <row r="779" spans="1:22" x14ac:dyDescent="0.3">
      <c r="A779">
        <v>148303</v>
      </c>
      <c r="B779">
        <v>456239415</v>
      </c>
      <c r="C779" t="s">
        <v>4403</v>
      </c>
      <c r="D779" s="9" t="s">
        <v>4404</v>
      </c>
      <c r="E779" t="s">
        <v>4147</v>
      </c>
      <c r="F779" t="s">
        <v>770</v>
      </c>
      <c r="G779" t="s">
        <v>49</v>
      </c>
      <c r="H779" t="s">
        <v>50</v>
      </c>
      <c r="I779" t="s">
        <v>34</v>
      </c>
      <c r="J779" t="s">
        <v>155</v>
      </c>
      <c r="K779" t="s">
        <v>27</v>
      </c>
      <c r="L779" t="s">
        <v>52</v>
      </c>
      <c r="M779" t="s">
        <v>4405</v>
      </c>
      <c r="N779" t="s">
        <v>773</v>
      </c>
      <c r="O779" t="s">
        <v>31</v>
      </c>
      <c r="P779" t="s">
        <v>4406</v>
      </c>
      <c r="Q779" t="s">
        <v>80</v>
      </c>
      <c r="R779" s="26" t="s">
        <v>299</v>
      </c>
      <c r="S779">
        <v>1.52</v>
      </c>
      <c r="T779">
        <v>7370</v>
      </c>
      <c r="U779">
        <v>0</v>
      </c>
      <c r="V779">
        <v>7370</v>
      </c>
    </row>
    <row r="780" spans="1:22" x14ac:dyDescent="0.3">
      <c r="A780">
        <v>148303</v>
      </c>
      <c r="B780">
        <v>456277782</v>
      </c>
      <c r="C780" t="s">
        <v>4407</v>
      </c>
      <c r="D780" s="9" t="s">
        <v>4408</v>
      </c>
      <c r="E780" t="s">
        <v>4147</v>
      </c>
      <c r="F780" t="s">
        <v>770</v>
      </c>
      <c r="G780" t="s">
        <v>49</v>
      </c>
      <c r="H780" t="s">
        <v>50</v>
      </c>
      <c r="I780" t="s">
        <v>34</v>
      </c>
      <c r="J780" t="s">
        <v>155</v>
      </c>
      <c r="K780" t="s">
        <v>27</v>
      </c>
      <c r="L780" t="s">
        <v>52</v>
      </c>
      <c r="M780" t="s">
        <v>647</v>
      </c>
      <c r="N780" t="s">
        <v>773</v>
      </c>
      <c r="O780" t="s">
        <v>31</v>
      </c>
      <c r="P780" t="s">
        <v>4409</v>
      </c>
      <c r="Q780" t="s">
        <v>171</v>
      </c>
      <c r="R780" s="26" t="s">
        <v>4410</v>
      </c>
      <c r="S780">
        <v>1.7</v>
      </c>
      <c r="T780">
        <v>7072</v>
      </c>
      <c r="U780">
        <v>0</v>
      </c>
      <c r="V780">
        <v>7072</v>
      </c>
    </row>
    <row r="781" spans="1:22" x14ac:dyDescent="0.3">
      <c r="A781">
        <v>148303</v>
      </c>
      <c r="B781">
        <v>456290483</v>
      </c>
      <c r="C781" t="s">
        <v>4411</v>
      </c>
      <c r="D781" s="9" t="s">
        <v>4412</v>
      </c>
      <c r="E781" t="s">
        <v>4147</v>
      </c>
      <c r="F781" t="s">
        <v>770</v>
      </c>
      <c r="G781" t="s">
        <v>49</v>
      </c>
      <c r="H781" t="s">
        <v>50</v>
      </c>
      <c r="I781" t="s">
        <v>34</v>
      </c>
      <c r="J781" t="s">
        <v>155</v>
      </c>
      <c r="K781" t="s">
        <v>27</v>
      </c>
      <c r="L781" t="s">
        <v>52</v>
      </c>
      <c r="M781" t="s">
        <v>4413</v>
      </c>
      <c r="N781" t="s">
        <v>773</v>
      </c>
      <c r="O781" t="s">
        <v>31</v>
      </c>
      <c r="P781" t="s">
        <v>4414</v>
      </c>
      <c r="Q781" t="s">
        <v>72</v>
      </c>
      <c r="R781" s="26" t="s">
        <v>4415</v>
      </c>
      <c r="S781">
        <v>2.75</v>
      </c>
      <c r="T781">
        <v>8559</v>
      </c>
      <c r="U781">
        <v>0</v>
      </c>
      <c r="V781">
        <v>8559</v>
      </c>
    </row>
    <row r="782" spans="1:22" x14ac:dyDescent="0.3">
      <c r="A782">
        <v>148303</v>
      </c>
      <c r="B782">
        <v>456296945</v>
      </c>
      <c r="C782" t="s">
        <v>4416</v>
      </c>
      <c r="D782" s="9" t="s">
        <v>4417</v>
      </c>
      <c r="E782" t="s">
        <v>4147</v>
      </c>
      <c r="F782" t="s">
        <v>770</v>
      </c>
      <c r="G782" t="s">
        <v>49</v>
      </c>
      <c r="H782" t="s">
        <v>50</v>
      </c>
      <c r="I782" t="s">
        <v>34</v>
      </c>
      <c r="J782" t="s">
        <v>155</v>
      </c>
      <c r="K782" t="s">
        <v>27</v>
      </c>
      <c r="L782" t="s">
        <v>52</v>
      </c>
      <c r="M782" t="s">
        <v>4418</v>
      </c>
      <c r="N782" t="s">
        <v>773</v>
      </c>
      <c r="O782" t="s">
        <v>31</v>
      </c>
      <c r="P782" t="s">
        <v>4419</v>
      </c>
      <c r="Q782" t="s">
        <v>103</v>
      </c>
      <c r="R782" s="26" t="s">
        <v>4420</v>
      </c>
      <c r="S782">
        <v>1.63</v>
      </c>
      <c r="T782">
        <v>7370</v>
      </c>
      <c r="U782">
        <v>0</v>
      </c>
      <c r="V782">
        <v>7370</v>
      </c>
    </row>
    <row r="783" spans="1:22" x14ac:dyDescent="0.3">
      <c r="A783">
        <v>148303</v>
      </c>
      <c r="B783">
        <v>456309471</v>
      </c>
      <c r="C783" t="s">
        <v>4421</v>
      </c>
      <c r="D783" s="9" t="s">
        <v>4422</v>
      </c>
      <c r="E783" t="s">
        <v>4147</v>
      </c>
      <c r="F783" t="s">
        <v>770</v>
      </c>
      <c r="G783" t="s">
        <v>49</v>
      </c>
      <c r="H783" t="s">
        <v>50</v>
      </c>
      <c r="I783" t="s">
        <v>34</v>
      </c>
      <c r="J783" t="s">
        <v>155</v>
      </c>
      <c r="K783" t="s">
        <v>27</v>
      </c>
      <c r="L783" t="s">
        <v>52</v>
      </c>
      <c r="M783" t="s">
        <v>4423</v>
      </c>
      <c r="N783" t="s">
        <v>773</v>
      </c>
      <c r="O783" t="s">
        <v>31</v>
      </c>
      <c r="P783" t="s">
        <v>4424</v>
      </c>
      <c r="Q783" t="s">
        <v>126</v>
      </c>
      <c r="R783" s="26" t="s">
        <v>4425</v>
      </c>
      <c r="S783">
        <v>2.66</v>
      </c>
      <c r="T783">
        <v>7296</v>
      </c>
      <c r="U783">
        <v>0</v>
      </c>
      <c r="V783">
        <v>7296</v>
      </c>
    </row>
    <row r="784" spans="1:22" x14ac:dyDescent="0.3">
      <c r="A784">
        <v>148303</v>
      </c>
      <c r="B784">
        <v>456311735</v>
      </c>
      <c r="C784" t="s">
        <v>4426</v>
      </c>
      <c r="D784" s="9" t="s">
        <v>4427</v>
      </c>
      <c r="E784" t="s">
        <v>4147</v>
      </c>
      <c r="F784" t="s">
        <v>770</v>
      </c>
      <c r="G784" t="s">
        <v>49</v>
      </c>
      <c r="H784" t="s">
        <v>50</v>
      </c>
      <c r="I784" t="s">
        <v>34</v>
      </c>
      <c r="J784" t="s">
        <v>155</v>
      </c>
      <c r="K784" t="s">
        <v>27</v>
      </c>
      <c r="L784" t="s">
        <v>52</v>
      </c>
      <c r="M784" t="s">
        <v>4428</v>
      </c>
      <c r="N784" t="s">
        <v>773</v>
      </c>
      <c r="O784" t="s">
        <v>31</v>
      </c>
      <c r="P784" t="s">
        <v>4429</v>
      </c>
      <c r="Q784" t="s">
        <v>104</v>
      </c>
      <c r="R784" s="26" t="s">
        <v>239</v>
      </c>
      <c r="S784">
        <v>1.65</v>
      </c>
      <c r="T784">
        <v>8263</v>
      </c>
      <c r="U784">
        <v>0</v>
      </c>
      <c r="V784">
        <v>8263</v>
      </c>
    </row>
    <row r="785" spans="1:22" x14ac:dyDescent="0.3">
      <c r="A785">
        <v>148303</v>
      </c>
      <c r="B785">
        <v>455995341</v>
      </c>
      <c r="C785" t="s">
        <v>4430</v>
      </c>
      <c r="D785" s="9" t="s">
        <v>4431</v>
      </c>
      <c r="E785" t="s">
        <v>4147</v>
      </c>
      <c r="F785" t="s">
        <v>770</v>
      </c>
      <c r="G785" t="s">
        <v>49</v>
      </c>
      <c r="H785" t="s">
        <v>50</v>
      </c>
      <c r="I785" t="s">
        <v>34</v>
      </c>
      <c r="J785" t="s">
        <v>155</v>
      </c>
      <c r="K785" t="s">
        <v>27</v>
      </c>
      <c r="L785" t="s">
        <v>52</v>
      </c>
      <c r="M785" t="s">
        <v>4432</v>
      </c>
      <c r="N785" t="s">
        <v>773</v>
      </c>
      <c r="O785" t="s">
        <v>31</v>
      </c>
      <c r="P785" t="s">
        <v>4201</v>
      </c>
      <c r="Q785" t="s">
        <v>138</v>
      </c>
      <c r="R785" s="26" t="s">
        <v>255</v>
      </c>
      <c r="S785">
        <v>5.84</v>
      </c>
      <c r="T785">
        <v>7513</v>
      </c>
      <c r="U785">
        <v>0</v>
      </c>
      <c r="V785">
        <v>7513</v>
      </c>
    </row>
    <row r="786" spans="1:22" x14ac:dyDescent="0.3">
      <c r="A786">
        <v>148303</v>
      </c>
      <c r="B786">
        <v>456015681</v>
      </c>
      <c r="C786" t="s">
        <v>4433</v>
      </c>
      <c r="D786" s="9" t="s">
        <v>4434</v>
      </c>
      <c r="E786" t="s">
        <v>4147</v>
      </c>
      <c r="F786" t="s">
        <v>770</v>
      </c>
      <c r="G786" t="s">
        <v>49</v>
      </c>
      <c r="H786" t="s">
        <v>50</v>
      </c>
      <c r="I786" t="s">
        <v>34</v>
      </c>
      <c r="J786" t="s">
        <v>155</v>
      </c>
      <c r="K786" t="s">
        <v>27</v>
      </c>
      <c r="L786" t="s">
        <v>52</v>
      </c>
      <c r="M786" t="s">
        <v>4435</v>
      </c>
      <c r="N786" t="s">
        <v>773</v>
      </c>
      <c r="O786" t="s">
        <v>31</v>
      </c>
      <c r="P786" t="s">
        <v>4436</v>
      </c>
      <c r="Q786" t="s">
        <v>142</v>
      </c>
      <c r="R786" s="26" t="s">
        <v>371</v>
      </c>
      <c r="S786">
        <v>1.54</v>
      </c>
      <c r="T786">
        <v>11696</v>
      </c>
      <c r="U786">
        <v>0</v>
      </c>
      <c r="V786">
        <v>11696</v>
      </c>
    </row>
    <row r="787" spans="1:22" x14ac:dyDescent="0.3">
      <c r="A787">
        <v>148303</v>
      </c>
      <c r="B787">
        <v>456016904</v>
      </c>
      <c r="C787" t="s">
        <v>4437</v>
      </c>
      <c r="D787" s="9" t="s">
        <v>4438</v>
      </c>
      <c r="E787" t="s">
        <v>4147</v>
      </c>
      <c r="F787" t="s">
        <v>770</v>
      </c>
      <c r="G787" t="s">
        <v>49</v>
      </c>
      <c r="H787" t="s">
        <v>50</v>
      </c>
      <c r="I787" t="s">
        <v>34</v>
      </c>
      <c r="J787" t="s">
        <v>155</v>
      </c>
      <c r="K787" t="s">
        <v>27</v>
      </c>
      <c r="L787" t="s">
        <v>52</v>
      </c>
      <c r="M787" t="s">
        <v>4439</v>
      </c>
      <c r="N787" t="s">
        <v>773</v>
      </c>
      <c r="O787" t="s">
        <v>31</v>
      </c>
      <c r="P787" t="s">
        <v>4440</v>
      </c>
      <c r="Q787" t="s">
        <v>73</v>
      </c>
      <c r="R787" s="26" t="s">
        <v>254</v>
      </c>
      <c r="S787">
        <v>1.51</v>
      </c>
      <c r="T787">
        <v>8425</v>
      </c>
      <c r="U787">
        <v>0</v>
      </c>
      <c r="V787">
        <v>8425</v>
      </c>
    </row>
    <row r="788" spans="1:22" x14ac:dyDescent="0.3">
      <c r="A788">
        <v>148303</v>
      </c>
      <c r="B788">
        <v>456018331</v>
      </c>
      <c r="C788" t="s">
        <v>4441</v>
      </c>
      <c r="D788" s="9" t="s">
        <v>4442</v>
      </c>
      <c r="E788" t="s">
        <v>4147</v>
      </c>
      <c r="F788" t="s">
        <v>770</v>
      </c>
      <c r="G788" t="s">
        <v>49</v>
      </c>
      <c r="H788" t="s">
        <v>50</v>
      </c>
      <c r="I788" t="s">
        <v>34</v>
      </c>
      <c r="J788" t="s">
        <v>155</v>
      </c>
      <c r="K788" t="s">
        <v>27</v>
      </c>
      <c r="L788" t="s">
        <v>52</v>
      </c>
      <c r="M788" t="s">
        <v>4443</v>
      </c>
      <c r="N788" t="s">
        <v>773</v>
      </c>
      <c r="O788" t="s">
        <v>31</v>
      </c>
      <c r="P788" t="s">
        <v>4444</v>
      </c>
      <c r="Q788" t="s">
        <v>765</v>
      </c>
      <c r="R788" s="26" t="s">
        <v>241</v>
      </c>
      <c r="S788">
        <v>2.46</v>
      </c>
      <c r="T788">
        <v>14271</v>
      </c>
      <c r="U788">
        <v>0</v>
      </c>
      <c r="V788">
        <v>14271</v>
      </c>
    </row>
    <row r="789" spans="1:22" x14ac:dyDescent="0.3">
      <c r="A789">
        <v>148303</v>
      </c>
      <c r="B789">
        <v>456029899</v>
      </c>
      <c r="C789" t="s">
        <v>4445</v>
      </c>
      <c r="D789" s="9" t="s">
        <v>4446</v>
      </c>
      <c r="E789" t="s">
        <v>4147</v>
      </c>
      <c r="F789" t="s">
        <v>770</v>
      </c>
      <c r="G789" t="s">
        <v>49</v>
      </c>
      <c r="H789" t="s">
        <v>50</v>
      </c>
      <c r="I789" t="s">
        <v>34</v>
      </c>
      <c r="J789" t="s">
        <v>155</v>
      </c>
      <c r="K789" t="s">
        <v>27</v>
      </c>
      <c r="L789" t="s">
        <v>52</v>
      </c>
      <c r="M789" t="s">
        <v>4447</v>
      </c>
      <c r="N789" t="s">
        <v>773</v>
      </c>
      <c r="O789" t="s">
        <v>31</v>
      </c>
      <c r="P789" t="s">
        <v>4448</v>
      </c>
      <c r="Q789" t="s">
        <v>108</v>
      </c>
      <c r="R789" s="26" t="s">
        <v>429</v>
      </c>
      <c r="S789">
        <v>1.47</v>
      </c>
      <c r="T789">
        <v>6232</v>
      </c>
      <c r="U789">
        <v>0</v>
      </c>
      <c r="V789">
        <v>6232</v>
      </c>
    </row>
    <row r="790" spans="1:22" x14ac:dyDescent="0.3">
      <c r="A790">
        <v>148303</v>
      </c>
      <c r="B790">
        <v>456055952</v>
      </c>
      <c r="C790" t="s">
        <v>4449</v>
      </c>
      <c r="D790" s="9" t="s">
        <v>4450</v>
      </c>
      <c r="E790" t="s">
        <v>4147</v>
      </c>
      <c r="F790" t="s">
        <v>770</v>
      </c>
      <c r="G790" t="s">
        <v>49</v>
      </c>
      <c r="H790" t="s">
        <v>50</v>
      </c>
      <c r="I790" t="s">
        <v>34</v>
      </c>
      <c r="J790" t="s">
        <v>155</v>
      </c>
      <c r="K790" t="s">
        <v>27</v>
      </c>
      <c r="L790" t="s">
        <v>52</v>
      </c>
      <c r="M790" t="s">
        <v>4290</v>
      </c>
      <c r="N790" t="s">
        <v>773</v>
      </c>
      <c r="O790" t="s">
        <v>31</v>
      </c>
      <c r="P790" t="s">
        <v>4291</v>
      </c>
      <c r="Q790" t="s">
        <v>61</v>
      </c>
      <c r="R790" s="26" t="s">
        <v>222</v>
      </c>
      <c r="S790">
        <v>10.01</v>
      </c>
      <c r="T790">
        <v>12046</v>
      </c>
      <c r="U790">
        <v>0</v>
      </c>
      <c r="V790">
        <v>12046</v>
      </c>
    </row>
    <row r="791" spans="1:22" x14ac:dyDescent="0.3">
      <c r="A791">
        <v>148303</v>
      </c>
      <c r="B791">
        <v>456123559</v>
      </c>
      <c r="C791" t="s">
        <v>4451</v>
      </c>
      <c r="D791" s="9" t="s">
        <v>4452</v>
      </c>
      <c r="E791" t="s">
        <v>4147</v>
      </c>
      <c r="F791" t="s">
        <v>770</v>
      </c>
      <c r="G791" t="s">
        <v>49</v>
      </c>
      <c r="H791" t="s">
        <v>50</v>
      </c>
      <c r="I791" t="s">
        <v>34</v>
      </c>
      <c r="J791" t="s">
        <v>155</v>
      </c>
      <c r="K791" t="s">
        <v>27</v>
      </c>
      <c r="L791" t="s">
        <v>52</v>
      </c>
      <c r="M791" t="s">
        <v>4453</v>
      </c>
      <c r="N791" t="s">
        <v>773</v>
      </c>
      <c r="O791" t="s">
        <v>31</v>
      </c>
      <c r="P791" t="s">
        <v>4454</v>
      </c>
      <c r="Q791" t="s">
        <v>245</v>
      </c>
      <c r="R791" s="26" t="s">
        <v>221</v>
      </c>
      <c r="S791">
        <v>3.62</v>
      </c>
      <c r="T791">
        <v>8777</v>
      </c>
      <c r="U791">
        <v>0</v>
      </c>
      <c r="V791">
        <v>8777</v>
      </c>
    </row>
    <row r="792" spans="1:22" x14ac:dyDescent="0.3">
      <c r="A792">
        <v>148303</v>
      </c>
      <c r="B792">
        <v>456137520</v>
      </c>
      <c r="C792" t="s">
        <v>4455</v>
      </c>
      <c r="D792" s="9" t="s">
        <v>4456</v>
      </c>
      <c r="E792" t="s">
        <v>4147</v>
      </c>
      <c r="F792" t="s">
        <v>770</v>
      </c>
      <c r="G792" t="s">
        <v>49</v>
      </c>
      <c r="H792" t="s">
        <v>50</v>
      </c>
      <c r="I792" t="s">
        <v>34</v>
      </c>
      <c r="J792" t="s">
        <v>155</v>
      </c>
      <c r="K792" t="s">
        <v>27</v>
      </c>
      <c r="L792" t="s">
        <v>52</v>
      </c>
      <c r="M792" t="s">
        <v>4457</v>
      </c>
      <c r="N792" t="s">
        <v>773</v>
      </c>
      <c r="O792" t="s">
        <v>31</v>
      </c>
      <c r="P792" t="s">
        <v>4458</v>
      </c>
      <c r="Q792" t="s">
        <v>190</v>
      </c>
      <c r="R792" s="26" t="s">
        <v>309</v>
      </c>
      <c r="S792">
        <v>1.53</v>
      </c>
      <c r="T792">
        <v>7370</v>
      </c>
      <c r="U792">
        <v>0</v>
      </c>
      <c r="V792">
        <v>7370</v>
      </c>
    </row>
    <row r="793" spans="1:22" x14ac:dyDescent="0.3">
      <c r="A793">
        <v>148303</v>
      </c>
      <c r="B793">
        <v>456205894</v>
      </c>
      <c r="C793" t="s">
        <v>4459</v>
      </c>
      <c r="D793" s="9" t="s">
        <v>4460</v>
      </c>
      <c r="E793" t="s">
        <v>4147</v>
      </c>
      <c r="F793" t="s">
        <v>770</v>
      </c>
      <c r="G793" t="s">
        <v>49</v>
      </c>
      <c r="H793" t="s">
        <v>50</v>
      </c>
      <c r="I793" t="s">
        <v>34</v>
      </c>
      <c r="J793" t="s">
        <v>155</v>
      </c>
      <c r="K793" t="s">
        <v>106</v>
      </c>
      <c r="L793" t="s">
        <v>750</v>
      </c>
      <c r="M793" t="s">
        <v>4461</v>
      </c>
      <c r="N793" t="s">
        <v>773</v>
      </c>
      <c r="O793" t="s">
        <v>31</v>
      </c>
      <c r="P793" t="s">
        <v>4462</v>
      </c>
      <c r="Q793" t="s">
        <v>141</v>
      </c>
      <c r="R793" s="26" t="s">
        <v>743</v>
      </c>
      <c r="S793">
        <v>1.53</v>
      </c>
      <c r="T793">
        <v>8746</v>
      </c>
      <c r="U793">
        <v>0</v>
      </c>
      <c r="V793">
        <v>8746</v>
      </c>
    </row>
    <row r="794" spans="1:22" x14ac:dyDescent="0.3">
      <c r="A794">
        <v>148303</v>
      </c>
      <c r="B794">
        <v>456212975</v>
      </c>
      <c r="C794" t="s">
        <v>4463</v>
      </c>
      <c r="D794" s="9" t="s">
        <v>4464</v>
      </c>
      <c r="E794" t="s">
        <v>4147</v>
      </c>
      <c r="F794" t="s">
        <v>770</v>
      </c>
      <c r="G794" t="s">
        <v>49</v>
      </c>
      <c r="H794" t="s">
        <v>50</v>
      </c>
      <c r="I794" t="s">
        <v>34</v>
      </c>
      <c r="J794" t="s">
        <v>155</v>
      </c>
      <c r="K794" t="s">
        <v>27</v>
      </c>
      <c r="L794" t="s">
        <v>52</v>
      </c>
      <c r="M794" t="s">
        <v>4465</v>
      </c>
      <c r="N794" t="s">
        <v>773</v>
      </c>
      <c r="O794" t="s">
        <v>31</v>
      </c>
      <c r="P794" t="s">
        <v>4466</v>
      </c>
      <c r="Q794" t="s">
        <v>69</v>
      </c>
      <c r="R794" s="26" t="s">
        <v>248</v>
      </c>
      <c r="S794">
        <v>1.6</v>
      </c>
      <c r="T794">
        <v>8746</v>
      </c>
      <c r="U794">
        <v>0</v>
      </c>
      <c r="V794">
        <v>8746</v>
      </c>
    </row>
    <row r="795" spans="1:22" x14ac:dyDescent="0.3">
      <c r="A795">
        <v>148303</v>
      </c>
      <c r="B795">
        <v>456214485</v>
      </c>
      <c r="C795" t="s">
        <v>4467</v>
      </c>
      <c r="D795" s="9" t="s">
        <v>4468</v>
      </c>
      <c r="E795" t="s">
        <v>4147</v>
      </c>
      <c r="F795" t="s">
        <v>770</v>
      </c>
      <c r="G795" t="s">
        <v>49</v>
      </c>
      <c r="H795" t="s">
        <v>50</v>
      </c>
      <c r="I795" t="s">
        <v>34</v>
      </c>
      <c r="J795" t="s">
        <v>155</v>
      </c>
      <c r="K795" t="s">
        <v>27</v>
      </c>
      <c r="L795" t="s">
        <v>52</v>
      </c>
      <c r="M795" t="s">
        <v>4469</v>
      </c>
      <c r="N795" t="s">
        <v>773</v>
      </c>
      <c r="O795" t="s">
        <v>31</v>
      </c>
      <c r="P795" t="s">
        <v>4470</v>
      </c>
      <c r="Q795" t="s">
        <v>69</v>
      </c>
      <c r="R795" s="26" t="s">
        <v>717</v>
      </c>
      <c r="S795">
        <v>2.64</v>
      </c>
      <c r="T795">
        <v>8746</v>
      </c>
      <c r="U795">
        <v>0</v>
      </c>
      <c r="V795">
        <v>8746</v>
      </c>
    </row>
    <row r="796" spans="1:22" x14ac:dyDescent="0.3">
      <c r="A796">
        <v>148303</v>
      </c>
      <c r="B796">
        <v>456215850</v>
      </c>
      <c r="C796" t="s">
        <v>4471</v>
      </c>
      <c r="D796" s="9" t="s">
        <v>4472</v>
      </c>
      <c r="E796" t="s">
        <v>4147</v>
      </c>
      <c r="F796" t="s">
        <v>770</v>
      </c>
      <c r="G796" t="s">
        <v>49</v>
      </c>
      <c r="H796" t="s">
        <v>50</v>
      </c>
      <c r="I796" t="s">
        <v>34</v>
      </c>
      <c r="J796" t="s">
        <v>155</v>
      </c>
      <c r="K796" t="s">
        <v>27</v>
      </c>
      <c r="L796" t="s">
        <v>52</v>
      </c>
      <c r="M796" t="s">
        <v>4473</v>
      </c>
      <c r="N796" t="s">
        <v>773</v>
      </c>
      <c r="O796" t="s">
        <v>31</v>
      </c>
      <c r="P796" t="s">
        <v>4474</v>
      </c>
      <c r="Q796" t="s">
        <v>69</v>
      </c>
      <c r="R796" s="26" t="s">
        <v>128</v>
      </c>
      <c r="S796">
        <v>2.63</v>
      </c>
      <c r="T796">
        <v>8746</v>
      </c>
      <c r="U796">
        <v>0</v>
      </c>
      <c r="V796">
        <v>8746</v>
      </c>
    </row>
    <row r="797" spans="1:22" x14ac:dyDescent="0.3">
      <c r="A797">
        <v>148303</v>
      </c>
      <c r="B797">
        <v>456216155</v>
      </c>
      <c r="C797" t="s">
        <v>4475</v>
      </c>
      <c r="D797" s="9" t="s">
        <v>4476</v>
      </c>
      <c r="E797" t="s">
        <v>4147</v>
      </c>
      <c r="F797" t="s">
        <v>770</v>
      </c>
      <c r="G797" t="s">
        <v>49</v>
      </c>
      <c r="H797" t="s">
        <v>50</v>
      </c>
      <c r="I797" t="s">
        <v>34</v>
      </c>
      <c r="J797" t="s">
        <v>155</v>
      </c>
      <c r="K797" t="s">
        <v>27</v>
      </c>
      <c r="L797" t="s">
        <v>53</v>
      </c>
      <c r="M797" t="s">
        <v>4477</v>
      </c>
      <c r="N797" t="s">
        <v>773</v>
      </c>
      <c r="O797" t="s">
        <v>31</v>
      </c>
      <c r="P797" t="s">
        <v>4478</v>
      </c>
      <c r="Q797" t="s">
        <v>197</v>
      </c>
      <c r="R797" s="26" t="s">
        <v>127</v>
      </c>
      <c r="S797">
        <v>2.67</v>
      </c>
      <c r="T797">
        <v>12186</v>
      </c>
      <c r="U797">
        <v>0</v>
      </c>
      <c r="V797">
        <v>12186</v>
      </c>
    </row>
    <row r="798" spans="1:22" x14ac:dyDescent="0.3">
      <c r="A798">
        <v>148303</v>
      </c>
      <c r="B798">
        <v>455890133</v>
      </c>
      <c r="C798" t="s">
        <v>4479</v>
      </c>
      <c r="D798" s="9" t="s">
        <v>4480</v>
      </c>
      <c r="E798" t="s">
        <v>4147</v>
      </c>
      <c r="F798" t="s">
        <v>770</v>
      </c>
      <c r="G798" t="s">
        <v>49</v>
      </c>
      <c r="H798" t="s">
        <v>50</v>
      </c>
      <c r="I798" t="s">
        <v>34</v>
      </c>
      <c r="J798" t="s">
        <v>155</v>
      </c>
      <c r="K798" t="s">
        <v>27</v>
      </c>
      <c r="L798" t="s">
        <v>52</v>
      </c>
      <c r="M798" t="s">
        <v>316</v>
      </c>
      <c r="N798" t="s">
        <v>773</v>
      </c>
      <c r="O798" t="s">
        <v>31</v>
      </c>
      <c r="P798" t="s">
        <v>4481</v>
      </c>
      <c r="Q798" t="s">
        <v>62</v>
      </c>
      <c r="R798" s="26" t="s">
        <v>281</v>
      </c>
      <c r="S798">
        <v>1.41</v>
      </c>
      <c r="T798">
        <v>6636</v>
      </c>
      <c r="U798">
        <v>0</v>
      </c>
      <c r="V798">
        <v>6636</v>
      </c>
    </row>
    <row r="799" spans="1:22" x14ac:dyDescent="0.3">
      <c r="A799">
        <v>148303</v>
      </c>
      <c r="B799">
        <v>455965197</v>
      </c>
      <c r="C799" t="s">
        <v>4482</v>
      </c>
      <c r="D799" s="9" t="s">
        <v>4483</v>
      </c>
      <c r="E799" t="s">
        <v>4147</v>
      </c>
      <c r="F799" t="s">
        <v>770</v>
      </c>
      <c r="G799" t="s">
        <v>49</v>
      </c>
      <c r="H799" t="s">
        <v>50</v>
      </c>
      <c r="I799" t="s">
        <v>34</v>
      </c>
      <c r="J799" t="s">
        <v>155</v>
      </c>
      <c r="K799" t="s">
        <v>27</v>
      </c>
      <c r="L799" t="s">
        <v>52</v>
      </c>
      <c r="M799" t="s">
        <v>4484</v>
      </c>
      <c r="N799" t="s">
        <v>773</v>
      </c>
      <c r="O799" t="s">
        <v>31</v>
      </c>
      <c r="P799" t="s">
        <v>4158</v>
      </c>
      <c r="Q799" t="s">
        <v>218</v>
      </c>
      <c r="R799" s="26" t="s">
        <v>450</v>
      </c>
      <c r="S799">
        <v>13.46</v>
      </c>
      <c r="T799">
        <v>16094</v>
      </c>
      <c r="U799">
        <v>0</v>
      </c>
      <c r="V799">
        <v>16094</v>
      </c>
    </row>
    <row r="800" spans="1:22" x14ac:dyDescent="0.3">
      <c r="A800">
        <v>148303</v>
      </c>
      <c r="B800">
        <v>455980370</v>
      </c>
      <c r="C800" t="s">
        <v>4485</v>
      </c>
      <c r="D800" s="9" t="s">
        <v>4486</v>
      </c>
      <c r="E800" t="s">
        <v>4147</v>
      </c>
      <c r="F800" t="s">
        <v>770</v>
      </c>
      <c r="G800" t="s">
        <v>49</v>
      </c>
      <c r="H800" t="s">
        <v>50</v>
      </c>
      <c r="I800" t="s">
        <v>34</v>
      </c>
      <c r="J800" t="s">
        <v>155</v>
      </c>
      <c r="K800" t="s">
        <v>27</v>
      </c>
      <c r="L800" t="s">
        <v>52</v>
      </c>
      <c r="M800" t="s">
        <v>4487</v>
      </c>
      <c r="N800" t="s">
        <v>773</v>
      </c>
      <c r="O800" t="s">
        <v>31</v>
      </c>
      <c r="P800" t="s">
        <v>4488</v>
      </c>
      <c r="Q800" t="s">
        <v>154</v>
      </c>
      <c r="R800" s="26" t="s">
        <v>372</v>
      </c>
      <c r="S800">
        <v>2.65</v>
      </c>
      <c r="T800">
        <v>9298</v>
      </c>
      <c r="U800">
        <v>0</v>
      </c>
      <c r="V800">
        <v>9298</v>
      </c>
    </row>
    <row r="801" spans="1:22" x14ac:dyDescent="0.3">
      <c r="A801">
        <v>148303</v>
      </c>
      <c r="B801">
        <v>455849386</v>
      </c>
      <c r="C801" t="s">
        <v>4489</v>
      </c>
      <c r="D801" s="9" t="s">
        <v>4490</v>
      </c>
      <c r="E801" t="s">
        <v>4147</v>
      </c>
      <c r="F801" t="s">
        <v>770</v>
      </c>
      <c r="G801" t="s">
        <v>49</v>
      </c>
      <c r="H801" t="s">
        <v>50</v>
      </c>
      <c r="I801" t="s">
        <v>34</v>
      </c>
      <c r="J801" t="s">
        <v>155</v>
      </c>
      <c r="K801" t="s">
        <v>27</v>
      </c>
      <c r="L801" t="s">
        <v>52</v>
      </c>
      <c r="M801" t="s">
        <v>4491</v>
      </c>
      <c r="N801" t="s">
        <v>773</v>
      </c>
      <c r="O801" t="s">
        <v>31</v>
      </c>
      <c r="P801" t="s">
        <v>4492</v>
      </c>
      <c r="Q801" t="s">
        <v>109</v>
      </c>
      <c r="R801" s="26" t="s">
        <v>357</v>
      </c>
      <c r="S801">
        <v>0.99</v>
      </c>
      <c r="T801">
        <v>6232</v>
      </c>
      <c r="U801">
        <v>0</v>
      </c>
      <c r="V801">
        <v>6232</v>
      </c>
    </row>
    <row r="802" spans="1:22" x14ac:dyDescent="0.3">
      <c r="A802">
        <v>148303</v>
      </c>
      <c r="B802">
        <v>455849680</v>
      </c>
      <c r="C802" t="s">
        <v>4493</v>
      </c>
      <c r="D802" s="9" t="s">
        <v>4494</v>
      </c>
      <c r="E802" t="s">
        <v>4147</v>
      </c>
      <c r="F802" t="s">
        <v>770</v>
      </c>
      <c r="G802" t="s">
        <v>49</v>
      </c>
      <c r="H802" t="s">
        <v>50</v>
      </c>
      <c r="I802" t="s">
        <v>34</v>
      </c>
      <c r="J802" t="s">
        <v>155</v>
      </c>
      <c r="K802" t="s">
        <v>131</v>
      </c>
      <c r="L802" t="s">
        <v>295</v>
      </c>
      <c r="M802" t="s">
        <v>4495</v>
      </c>
      <c r="N802" t="s">
        <v>773</v>
      </c>
      <c r="O802" t="s">
        <v>31</v>
      </c>
      <c r="P802" t="s">
        <v>4492</v>
      </c>
      <c r="Q802" t="s">
        <v>125</v>
      </c>
      <c r="R802" s="26" t="s">
        <v>384</v>
      </c>
      <c r="S802">
        <v>2.72</v>
      </c>
      <c r="T802">
        <v>8425</v>
      </c>
      <c r="U802">
        <v>0</v>
      </c>
      <c r="V802">
        <v>8425</v>
      </c>
    </row>
    <row r="803" spans="1:22" x14ac:dyDescent="0.3">
      <c r="A803">
        <v>148303</v>
      </c>
      <c r="B803">
        <v>455617375</v>
      </c>
      <c r="C803" t="s">
        <v>4496</v>
      </c>
      <c r="D803" s="9" t="s">
        <v>4497</v>
      </c>
      <c r="E803" t="s">
        <v>4147</v>
      </c>
      <c r="F803" t="s">
        <v>770</v>
      </c>
      <c r="G803" t="s">
        <v>49</v>
      </c>
      <c r="H803" t="s">
        <v>50</v>
      </c>
      <c r="I803" t="s">
        <v>34</v>
      </c>
      <c r="J803" t="s">
        <v>155</v>
      </c>
      <c r="K803" t="s">
        <v>27</v>
      </c>
      <c r="L803" t="s">
        <v>52</v>
      </c>
      <c r="M803" t="s">
        <v>578</v>
      </c>
      <c r="N803" t="s">
        <v>773</v>
      </c>
      <c r="O803" t="s">
        <v>31</v>
      </c>
      <c r="P803" t="s">
        <v>4498</v>
      </c>
      <c r="Q803" t="s">
        <v>189</v>
      </c>
      <c r="R803" s="26" t="s">
        <v>334</v>
      </c>
      <c r="S803">
        <v>2.7</v>
      </c>
      <c r="T803">
        <v>8263</v>
      </c>
      <c r="U803">
        <v>0</v>
      </c>
      <c r="V803">
        <v>8263</v>
      </c>
    </row>
    <row r="804" spans="1:22" x14ac:dyDescent="0.3">
      <c r="A804">
        <v>148303</v>
      </c>
      <c r="B804">
        <v>455626105</v>
      </c>
      <c r="C804" t="s">
        <v>4499</v>
      </c>
      <c r="D804" s="9" t="s">
        <v>4500</v>
      </c>
      <c r="E804" t="s">
        <v>4147</v>
      </c>
      <c r="F804" t="s">
        <v>770</v>
      </c>
      <c r="G804" t="s">
        <v>49</v>
      </c>
      <c r="H804" t="s">
        <v>50</v>
      </c>
      <c r="I804" t="s">
        <v>34</v>
      </c>
      <c r="J804" t="s">
        <v>155</v>
      </c>
      <c r="K804" t="s">
        <v>27</v>
      </c>
      <c r="L804" t="s">
        <v>52</v>
      </c>
      <c r="M804" t="s">
        <v>671</v>
      </c>
      <c r="N804" t="s">
        <v>773</v>
      </c>
      <c r="O804" t="s">
        <v>31</v>
      </c>
      <c r="P804" t="s">
        <v>4501</v>
      </c>
      <c r="Q804" t="s">
        <v>105</v>
      </c>
      <c r="R804" s="26" t="s">
        <v>283</v>
      </c>
      <c r="S804">
        <v>1.22</v>
      </c>
      <c r="T804">
        <v>6146</v>
      </c>
      <c r="U804">
        <v>0</v>
      </c>
      <c r="V804">
        <v>6146</v>
      </c>
    </row>
    <row r="805" spans="1:22" x14ac:dyDescent="0.3">
      <c r="A805">
        <v>148303</v>
      </c>
      <c r="B805">
        <v>455637027</v>
      </c>
      <c r="C805" t="s">
        <v>4502</v>
      </c>
      <c r="D805" s="9" t="s">
        <v>4503</v>
      </c>
      <c r="E805" t="s">
        <v>4147</v>
      </c>
      <c r="F805" t="s">
        <v>770</v>
      </c>
      <c r="G805" t="s">
        <v>49</v>
      </c>
      <c r="H805" t="s">
        <v>50</v>
      </c>
      <c r="I805" t="s">
        <v>34</v>
      </c>
      <c r="J805" t="s">
        <v>155</v>
      </c>
      <c r="K805" t="s">
        <v>27</v>
      </c>
      <c r="L805" t="s">
        <v>52</v>
      </c>
      <c r="M805" t="s">
        <v>4504</v>
      </c>
      <c r="N805" t="s">
        <v>773</v>
      </c>
      <c r="O805" t="s">
        <v>31</v>
      </c>
      <c r="P805" t="s">
        <v>4505</v>
      </c>
      <c r="Q805" t="s">
        <v>213</v>
      </c>
      <c r="R805" s="26" t="s">
        <v>360</v>
      </c>
      <c r="S805">
        <v>1.45</v>
      </c>
      <c r="T805">
        <v>6636</v>
      </c>
      <c r="U805">
        <v>0</v>
      </c>
      <c r="V805">
        <v>6636</v>
      </c>
    </row>
    <row r="806" spans="1:22" x14ac:dyDescent="0.3">
      <c r="A806">
        <v>148303</v>
      </c>
      <c r="B806">
        <v>455662221</v>
      </c>
      <c r="C806" t="s">
        <v>4506</v>
      </c>
      <c r="D806" s="9" t="s">
        <v>4507</v>
      </c>
      <c r="E806" t="s">
        <v>4147</v>
      </c>
      <c r="F806" t="s">
        <v>770</v>
      </c>
      <c r="G806" t="s">
        <v>49</v>
      </c>
      <c r="H806" t="s">
        <v>50</v>
      </c>
      <c r="I806" t="s">
        <v>34</v>
      </c>
      <c r="J806" t="s">
        <v>155</v>
      </c>
      <c r="K806" t="s">
        <v>27</v>
      </c>
      <c r="L806" t="s">
        <v>52</v>
      </c>
      <c r="M806" t="s">
        <v>4508</v>
      </c>
      <c r="N806" t="s">
        <v>773</v>
      </c>
      <c r="O806" t="s">
        <v>31</v>
      </c>
      <c r="P806" t="s">
        <v>4509</v>
      </c>
      <c r="Q806" t="s">
        <v>257</v>
      </c>
      <c r="R806" s="26" t="s">
        <v>304</v>
      </c>
      <c r="S806">
        <v>1.86</v>
      </c>
      <c r="T806">
        <v>7370</v>
      </c>
      <c r="U806">
        <v>0</v>
      </c>
      <c r="V806">
        <v>7370</v>
      </c>
    </row>
    <row r="807" spans="1:22" x14ac:dyDescent="0.3">
      <c r="A807">
        <v>148303</v>
      </c>
      <c r="B807">
        <v>455674095</v>
      </c>
      <c r="C807" t="s">
        <v>4510</v>
      </c>
      <c r="D807" s="9" t="s">
        <v>4511</v>
      </c>
      <c r="E807" t="s">
        <v>4147</v>
      </c>
      <c r="F807" t="s">
        <v>770</v>
      </c>
      <c r="G807" t="s">
        <v>49</v>
      </c>
      <c r="H807" t="s">
        <v>50</v>
      </c>
      <c r="I807" t="s">
        <v>34</v>
      </c>
      <c r="J807" t="s">
        <v>155</v>
      </c>
      <c r="K807" t="s">
        <v>27</v>
      </c>
      <c r="L807" t="s">
        <v>52</v>
      </c>
      <c r="M807" t="s">
        <v>4512</v>
      </c>
      <c r="N807" t="s">
        <v>773</v>
      </c>
      <c r="O807" t="s">
        <v>31</v>
      </c>
      <c r="P807" t="s">
        <v>4513</v>
      </c>
      <c r="Q807" t="s">
        <v>111</v>
      </c>
      <c r="R807" s="26" t="s">
        <v>110</v>
      </c>
      <c r="S807">
        <v>2.8</v>
      </c>
      <c r="T807">
        <v>14533</v>
      </c>
      <c r="U807">
        <v>0</v>
      </c>
      <c r="V807">
        <v>14533</v>
      </c>
    </row>
    <row r="808" spans="1:22" x14ac:dyDescent="0.3">
      <c r="A808">
        <v>148303</v>
      </c>
      <c r="B808">
        <v>455715242</v>
      </c>
      <c r="C808" t="s">
        <v>4514</v>
      </c>
      <c r="D808" s="9" t="s">
        <v>4515</v>
      </c>
      <c r="E808" t="s">
        <v>4147</v>
      </c>
      <c r="F808" t="s">
        <v>770</v>
      </c>
      <c r="G808" t="s">
        <v>49</v>
      </c>
      <c r="H808" t="s">
        <v>50</v>
      </c>
      <c r="I808" t="s">
        <v>34</v>
      </c>
      <c r="J808" t="s">
        <v>155</v>
      </c>
      <c r="K808" t="s">
        <v>131</v>
      </c>
      <c r="L808" t="s">
        <v>295</v>
      </c>
      <c r="M808" t="s">
        <v>4516</v>
      </c>
      <c r="N808" t="s">
        <v>773</v>
      </c>
      <c r="O808" t="s">
        <v>31</v>
      </c>
      <c r="P808" t="s">
        <v>4517</v>
      </c>
      <c r="Q808" t="s">
        <v>217</v>
      </c>
      <c r="R808" s="26" t="s">
        <v>212</v>
      </c>
      <c r="S808">
        <v>2.68</v>
      </c>
      <c r="T808">
        <v>9298</v>
      </c>
      <c r="U808">
        <v>0</v>
      </c>
      <c r="V808">
        <v>9298</v>
      </c>
    </row>
    <row r="809" spans="1:22" x14ac:dyDescent="0.3">
      <c r="A809">
        <v>148303</v>
      </c>
      <c r="B809">
        <v>455718251</v>
      </c>
      <c r="C809" t="s">
        <v>4518</v>
      </c>
      <c r="D809" s="9" t="s">
        <v>4519</v>
      </c>
      <c r="E809" t="s">
        <v>4147</v>
      </c>
      <c r="F809" t="s">
        <v>770</v>
      </c>
      <c r="G809" t="s">
        <v>49</v>
      </c>
      <c r="H809" t="s">
        <v>50</v>
      </c>
      <c r="I809" t="s">
        <v>34</v>
      </c>
      <c r="J809" t="s">
        <v>155</v>
      </c>
      <c r="K809" t="s">
        <v>27</v>
      </c>
      <c r="L809" t="s">
        <v>52</v>
      </c>
      <c r="M809" t="s">
        <v>4520</v>
      </c>
      <c r="N809" t="s">
        <v>773</v>
      </c>
      <c r="O809" t="s">
        <v>31</v>
      </c>
      <c r="P809" t="s">
        <v>4521</v>
      </c>
      <c r="Q809" t="s">
        <v>171</v>
      </c>
      <c r="R809" s="26" t="s">
        <v>358</v>
      </c>
      <c r="S809">
        <v>2.89</v>
      </c>
      <c r="T809">
        <v>7072</v>
      </c>
      <c r="U809">
        <v>0</v>
      </c>
      <c r="V809">
        <v>7072</v>
      </c>
    </row>
    <row r="810" spans="1:22" x14ac:dyDescent="0.3">
      <c r="A810">
        <v>148303</v>
      </c>
      <c r="B810">
        <v>455736804</v>
      </c>
      <c r="C810" t="s">
        <v>4522</v>
      </c>
      <c r="D810" s="9" t="s">
        <v>4523</v>
      </c>
      <c r="E810" t="s">
        <v>4147</v>
      </c>
      <c r="F810" t="s">
        <v>770</v>
      </c>
      <c r="G810" t="s">
        <v>49</v>
      </c>
      <c r="H810" t="s">
        <v>50</v>
      </c>
      <c r="I810" t="s">
        <v>34</v>
      </c>
      <c r="J810" t="s">
        <v>155</v>
      </c>
      <c r="K810" t="s">
        <v>27</v>
      </c>
      <c r="L810" t="s">
        <v>52</v>
      </c>
      <c r="M810" t="s">
        <v>4524</v>
      </c>
      <c r="N810" t="s">
        <v>773</v>
      </c>
      <c r="O810" t="s">
        <v>31</v>
      </c>
      <c r="P810" t="s">
        <v>4525</v>
      </c>
      <c r="Q810" t="s">
        <v>88</v>
      </c>
      <c r="R810" s="26" t="s">
        <v>721</v>
      </c>
      <c r="S810">
        <v>13.52</v>
      </c>
      <c r="T810">
        <v>17235</v>
      </c>
      <c r="U810">
        <v>0</v>
      </c>
      <c r="V810">
        <v>17235</v>
      </c>
    </row>
    <row r="811" spans="1:22" x14ac:dyDescent="0.3">
      <c r="A811">
        <v>148303</v>
      </c>
      <c r="B811">
        <v>455773656</v>
      </c>
      <c r="C811" t="s">
        <v>4526</v>
      </c>
      <c r="D811" s="9" t="s">
        <v>4527</v>
      </c>
      <c r="E811" t="s">
        <v>4147</v>
      </c>
      <c r="F811" t="s">
        <v>770</v>
      </c>
      <c r="G811" t="s">
        <v>49</v>
      </c>
      <c r="H811" t="s">
        <v>50</v>
      </c>
      <c r="I811" t="s">
        <v>34</v>
      </c>
      <c r="J811" t="s">
        <v>155</v>
      </c>
      <c r="K811" t="s">
        <v>27</v>
      </c>
      <c r="L811" t="s">
        <v>52</v>
      </c>
      <c r="M811" t="s">
        <v>4528</v>
      </c>
      <c r="N811" t="s">
        <v>773</v>
      </c>
      <c r="O811" t="s">
        <v>31</v>
      </c>
      <c r="P811" t="s">
        <v>4529</v>
      </c>
      <c r="Q811" t="s">
        <v>62</v>
      </c>
      <c r="R811" s="26" t="s">
        <v>77</v>
      </c>
      <c r="S811">
        <v>8.92</v>
      </c>
      <c r="T811">
        <v>9706</v>
      </c>
      <c r="U811">
        <v>0</v>
      </c>
      <c r="V811">
        <v>9706</v>
      </c>
    </row>
    <row r="812" spans="1:22" x14ac:dyDescent="0.3">
      <c r="A812">
        <v>148303</v>
      </c>
      <c r="B812">
        <v>455788314</v>
      </c>
      <c r="C812" t="s">
        <v>4530</v>
      </c>
      <c r="D812" s="9" t="s">
        <v>4531</v>
      </c>
      <c r="E812" t="s">
        <v>4147</v>
      </c>
      <c r="F812" t="s">
        <v>770</v>
      </c>
      <c r="G812" t="s">
        <v>49</v>
      </c>
      <c r="H812" t="s">
        <v>50</v>
      </c>
      <c r="I812" t="s">
        <v>34</v>
      </c>
      <c r="J812" t="s">
        <v>155</v>
      </c>
      <c r="K812" t="s">
        <v>27</v>
      </c>
      <c r="L812" t="s">
        <v>52</v>
      </c>
      <c r="M812" t="s">
        <v>4532</v>
      </c>
      <c r="N812" t="s">
        <v>773</v>
      </c>
      <c r="O812" t="s">
        <v>31</v>
      </c>
      <c r="P812" t="s">
        <v>4533</v>
      </c>
      <c r="Q812" t="s">
        <v>197</v>
      </c>
      <c r="R812" s="26" t="s">
        <v>258</v>
      </c>
      <c r="S812">
        <v>1.85</v>
      </c>
      <c r="T812">
        <v>12186</v>
      </c>
      <c r="U812">
        <v>0</v>
      </c>
      <c r="V812">
        <v>12186</v>
      </c>
    </row>
    <row r="813" spans="1:22" x14ac:dyDescent="0.3">
      <c r="A813">
        <v>148303</v>
      </c>
      <c r="B813">
        <v>455450447</v>
      </c>
      <c r="C813" t="s">
        <v>4534</v>
      </c>
      <c r="D813" s="9" t="s">
        <v>4535</v>
      </c>
      <c r="E813" t="s">
        <v>4147</v>
      </c>
      <c r="F813" t="s">
        <v>770</v>
      </c>
      <c r="G813" t="s">
        <v>49</v>
      </c>
      <c r="H813" t="s">
        <v>50</v>
      </c>
      <c r="I813" t="s">
        <v>34</v>
      </c>
      <c r="J813" t="s">
        <v>155</v>
      </c>
      <c r="K813" t="s">
        <v>27</v>
      </c>
      <c r="L813" t="s">
        <v>52</v>
      </c>
      <c r="M813" t="s">
        <v>4536</v>
      </c>
      <c r="N813" t="s">
        <v>773</v>
      </c>
      <c r="O813" t="s">
        <v>31</v>
      </c>
      <c r="P813" t="s">
        <v>737</v>
      </c>
      <c r="Q813" t="s">
        <v>62</v>
      </c>
      <c r="R813" s="26" t="s">
        <v>453</v>
      </c>
      <c r="S813">
        <v>0.83</v>
      </c>
      <c r="T813">
        <v>6636</v>
      </c>
      <c r="U813">
        <v>0</v>
      </c>
      <c r="V813">
        <v>6636</v>
      </c>
    </row>
    <row r="814" spans="1:22" x14ac:dyDescent="0.3">
      <c r="A814">
        <v>148303</v>
      </c>
      <c r="B814">
        <v>455456137</v>
      </c>
      <c r="C814" t="s">
        <v>4537</v>
      </c>
      <c r="D814" s="9" t="s">
        <v>4538</v>
      </c>
      <c r="E814" t="s">
        <v>4147</v>
      </c>
      <c r="F814" t="s">
        <v>770</v>
      </c>
      <c r="G814" t="s">
        <v>49</v>
      </c>
      <c r="H814" t="s">
        <v>50</v>
      </c>
      <c r="I814" t="s">
        <v>34</v>
      </c>
      <c r="J814" t="s">
        <v>155</v>
      </c>
      <c r="K814" t="s">
        <v>27</v>
      </c>
      <c r="L814" t="s">
        <v>52</v>
      </c>
      <c r="M814" t="s">
        <v>4539</v>
      </c>
      <c r="N814" t="s">
        <v>773</v>
      </c>
      <c r="O814" t="s">
        <v>31</v>
      </c>
      <c r="P814" t="s">
        <v>4540</v>
      </c>
      <c r="Q814" t="s">
        <v>85</v>
      </c>
      <c r="R814" s="26" t="s">
        <v>746</v>
      </c>
      <c r="S814">
        <v>1.47</v>
      </c>
      <c r="T814">
        <v>7432</v>
      </c>
      <c r="U814">
        <v>0</v>
      </c>
      <c r="V814">
        <v>7432</v>
      </c>
    </row>
    <row r="815" spans="1:22" x14ac:dyDescent="0.3">
      <c r="A815">
        <v>148303</v>
      </c>
      <c r="B815">
        <v>455462506</v>
      </c>
      <c r="C815" t="s">
        <v>4541</v>
      </c>
      <c r="D815" s="9" t="s">
        <v>4542</v>
      </c>
      <c r="E815" t="s">
        <v>4147</v>
      </c>
      <c r="F815" t="s">
        <v>770</v>
      </c>
      <c r="G815" t="s">
        <v>49</v>
      </c>
      <c r="H815" t="s">
        <v>50</v>
      </c>
      <c r="I815" t="s">
        <v>34</v>
      </c>
      <c r="J815" t="s">
        <v>155</v>
      </c>
      <c r="K815" t="s">
        <v>27</v>
      </c>
      <c r="L815" t="s">
        <v>52</v>
      </c>
      <c r="M815" t="s">
        <v>4543</v>
      </c>
      <c r="N815" t="s">
        <v>773</v>
      </c>
      <c r="O815" t="s">
        <v>31</v>
      </c>
      <c r="P815" t="s">
        <v>4544</v>
      </c>
      <c r="Q815" t="s">
        <v>170</v>
      </c>
      <c r="R815" s="26" t="s">
        <v>394</v>
      </c>
      <c r="S815">
        <v>4.5</v>
      </c>
      <c r="T815">
        <v>7589</v>
      </c>
      <c r="U815">
        <v>0</v>
      </c>
      <c r="V815">
        <v>7589</v>
      </c>
    </row>
    <row r="816" spans="1:22" x14ac:dyDescent="0.3">
      <c r="A816">
        <v>148303</v>
      </c>
      <c r="B816">
        <v>455475327</v>
      </c>
      <c r="C816" t="s">
        <v>4545</v>
      </c>
      <c r="D816" s="9" t="s">
        <v>4546</v>
      </c>
      <c r="E816" t="s">
        <v>4147</v>
      </c>
      <c r="F816" t="s">
        <v>770</v>
      </c>
      <c r="G816" t="s">
        <v>49</v>
      </c>
      <c r="H816" t="s">
        <v>50</v>
      </c>
      <c r="I816" t="s">
        <v>34</v>
      </c>
      <c r="J816" t="s">
        <v>155</v>
      </c>
      <c r="K816" t="s">
        <v>27</v>
      </c>
      <c r="L816" t="s">
        <v>52</v>
      </c>
      <c r="M816" t="s">
        <v>4547</v>
      </c>
      <c r="N816" t="s">
        <v>773</v>
      </c>
      <c r="O816" t="s">
        <v>31</v>
      </c>
      <c r="P816" t="s">
        <v>4548</v>
      </c>
      <c r="Q816" t="s">
        <v>85</v>
      </c>
      <c r="R816" s="26" t="s">
        <v>285</v>
      </c>
      <c r="S816">
        <v>2.5299999999999998</v>
      </c>
      <c r="T816">
        <v>8263</v>
      </c>
      <c r="U816">
        <v>0</v>
      </c>
      <c r="V816">
        <v>8263</v>
      </c>
    </row>
    <row r="817" spans="1:22" x14ac:dyDescent="0.3">
      <c r="A817">
        <v>148303</v>
      </c>
      <c r="B817">
        <v>455543892</v>
      </c>
      <c r="C817" t="s">
        <v>4549</v>
      </c>
      <c r="D817" s="9" t="s">
        <v>4550</v>
      </c>
      <c r="E817" t="s">
        <v>4147</v>
      </c>
      <c r="F817" t="s">
        <v>770</v>
      </c>
      <c r="G817" t="s">
        <v>49</v>
      </c>
      <c r="H817" t="s">
        <v>50</v>
      </c>
      <c r="I817" t="s">
        <v>34</v>
      </c>
      <c r="J817" t="s">
        <v>155</v>
      </c>
      <c r="K817" t="s">
        <v>27</v>
      </c>
      <c r="L817" t="s">
        <v>52</v>
      </c>
      <c r="M817" t="s">
        <v>331</v>
      </c>
      <c r="N817" t="s">
        <v>773</v>
      </c>
      <c r="O817" t="s">
        <v>31</v>
      </c>
      <c r="P817" t="s">
        <v>4551</v>
      </c>
      <c r="Q817" t="s">
        <v>73</v>
      </c>
      <c r="R817" s="26" t="s">
        <v>451</v>
      </c>
      <c r="S817">
        <v>1.75</v>
      </c>
      <c r="T817">
        <v>8425</v>
      </c>
      <c r="U817">
        <v>0</v>
      </c>
      <c r="V817">
        <v>8425</v>
      </c>
    </row>
    <row r="818" spans="1:22" x14ac:dyDescent="0.3">
      <c r="A818">
        <v>148303</v>
      </c>
      <c r="B818">
        <v>455547113</v>
      </c>
      <c r="C818" t="s">
        <v>4552</v>
      </c>
      <c r="D818" s="9" t="s">
        <v>4553</v>
      </c>
      <c r="E818" t="s">
        <v>4147</v>
      </c>
      <c r="F818" t="s">
        <v>770</v>
      </c>
      <c r="G818" t="s">
        <v>49</v>
      </c>
      <c r="H818" t="s">
        <v>50</v>
      </c>
      <c r="I818" t="s">
        <v>34</v>
      </c>
      <c r="J818" t="s">
        <v>155</v>
      </c>
      <c r="K818" t="s">
        <v>27</v>
      </c>
      <c r="L818" t="s">
        <v>52</v>
      </c>
      <c r="M818" t="s">
        <v>689</v>
      </c>
      <c r="N818" t="s">
        <v>773</v>
      </c>
      <c r="O818" t="s">
        <v>31</v>
      </c>
      <c r="P818" t="s">
        <v>4554</v>
      </c>
      <c r="Q818" t="s">
        <v>119</v>
      </c>
      <c r="R818" s="26" t="s">
        <v>714</v>
      </c>
      <c r="S818">
        <v>4.4400000000000004</v>
      </c>
      <c r="T818">
        <v>9203</v>
      </c>
      <c r="U818">
        <v>0</v>
      </c>
      <c r="V818">
        <v>9203</v>
      </c>
    </row>
    <row r="819" spans="1:22" x14ac:dyDescent="0.3">
      <c r="A819">
        <v>148303</v>
      </c>
      <c r="B819">
        <v>455391145</v>
      </c>
      <c r="C819" t="s">
        <v>4555</v>
      </c>
      <c r="D819" s="9" t="s">
        <v>4556</v>
      </c>
      <c r="E819" t="s">
        <v>4147</v>
      </c>
      <c r="F819" t="s">
        <v>770</v>
      </c>
      <c r="G819" t="s">
        <v>49</v>
      </c>
      <c r="H819" t="s">
        <v>50</v>
      </c>
      <c r="I819" t="s">
        <v>34</v>
      </c>
      <c r="J819" t="s">
        <v>155</v>
      </c>
      <c r="K819" t="s">
        <v>27</v>
      </c>
      <c r="L819" t="s">
        <v>52</v>
      </c>
      <c r="M819" t="s">
        <v>4557</v>
      </c>
      <c r="N819" t="s">
        <v>773</v>
      </c>
      <c r="O819" t="s">
        <v>31</v>
      </c>
      <c r="P819" t="s">
        <v>4558</v>
      </c>
      <c r="Q819" t="s">
        <v>102</v>
      </c>
      <c r="R819" s="26" t="s">
        <v>4559</v>
      </c>
      <c r="S819">
        <v>2.74</v>
      </c>
      <c r="T819">
        <v>9514</v>
      </c>
      <c r="U819">
        <v>0</v>
      </c>
      <c r="V819">
        <v>9514</v>
      </c>
    </row>
    <row r="820" spans="1:22" x14ac:dyDescent="0.3">
      <c r="A820">
        <v>148303</v>
      </c>
      <c r="B820">
        <v>455409342</v>
      </c>
      <c r="C820" t="s">
        <v>4560</v>
      </c>
      <c r="D820" s="9" t="s">
        <v>4561</v>
      </c>
      <c r="E820" t="s">
        <v>4147</v>
      </c>
      <c r="F820" t="s">
        <v>770</v>
      </c>
      <c r="G820" t="s">
        <v>49</v>
      </c>
      <c r="H820" t="s">
        <v>50</v>
      </c>
      <c r="I820" t="s">
        <v>34</v>
      </c>
      <c r="J820" t="s">
        <v>155</v>
      </c>
      <c r="K820" t="s">
        <v>27</v>
      </c>
      <c r="L820" t="s">
        <v>52</v>
      </c>
      <c r="M820" t="s">
        <v>632</v>
      </c>
      <c r="N820" t="s">
        <v>773</v>
      </c>
      <c r="O820" t="s">
        <v>31</v>
      </c>
      <c r="P820" t="s">
        <v>4562</v>
      </c>
      <c r="Q820" t="s">
        <v>125</v>
      </c>
      <c r="R820" s="26" t="s">
        <v>745</v>
      </c>
      <c r="S820">
        <v>4.2</v>
      </c>
      <c r="T820">
        <v>8430</v>
      </c>
      <c r="U820">
        <v>0</v>
      </c>
      <c r="V820">
        <v>8430</v>
      </c>
    </row>
    <row r="821" spans="1:22" x14ac:dyDescent="0.3">
      <c r="A821">
        <v>148303</v>
      </c>
      <c r="B821">
        <v>455411617</v>
      </c>
      <c r="C821" t="s">
        <v>4563</v>
      </c>
      <c r="D821" s="9" t="s">
        <v>4564</v>
      </c>
      <c r="E821" t="s">
        <v>4147</v>
      </c>
      <c r="F821" t="s">
        <v>770</v>
      </c>
      <c r="G821" t="s">
        <v>49</v>
      </c>
      <c r="H821" t="s">
        <v>50</v>
      </c>
      <c r="I821" t="s">
        <v>34</v>
      </c>
      <c r="J821" t="s">
        <v>155</v>
      </c>
      <c r="K821" t="s">
        <v>27</v>
      </c>
      <c r="L821" t="s">
        <v>52</v>
      </c>
      <c r="M821" t="s">
        <v>4565</v>
      </c>
      <c r="N821" t="s">
        <v>773</v>
      </c>
      <c r="O821" t="s">
        <v>31</v>
      </c>
      <c r="P821" t="s">
        <v>4566</v>
      </c>
      <c r="Q821" t="s">
        <v>89</v>
      </c>
      <c r="R821" s="26" t="s">
        <v>501</v>
      </c>
      <c r="S821">
        <v>3.1</v>
      </c>
      <c r="T821">
        <v>7278</v>
      </c>
      <c r="U821">
        <v>0</v>
      </c>
      <c r="V821">
        <v>7278</v>
      </c>
    </row>
    <row r="822" spans="1:22" x14ac:dyDescent="0.3">
      <c r="A822">
        <v>148303</v>
      </c>
      <c r="B822">
        <v>455424356</v>
      </c>
      <c r="C822" t="s">
        <v>4567</v>
      </c>
      <c r="D822" s="9" t="s">
        <v>4568</v>
      </c>
      <c r="E822" t="s">
        <v>4147</v>
      </c>
      <c r="F822" t="s">
        <v>770</v>
      </c>
      <c r="G822" t="s">
        <v>49</v>
      </c>
      <c r="H822" t="s">
        <v>50</v>
      </c>
      <c r="I822" t="s">
        <v>34</v>
      </c>
      <c r="J822" t="s">
        <v>155</v>
      </c>
      <c r="K822" t="s">
        <v>27</v>
      </c>
      <c r="L822" t="s">
        <v>52</v>
      </c>
      <c r="M822" t="s">
        <v>4569</v>
      </c>
      <c r="N822" t="s">
        <v>773</v>
      </c>
      <c r="O822" t="s">
        <v>31</v>
      </c>
      <c r="P822" t="s">
        <v>4570</v>
      </c>
      <c r="Q822" t="s">
        <v>151</v>
      </c>
      <c r="R822" s="26" t="s">
        <v>432</v>
      </c>
      <c r="S822">
        <v>2.42</v>
      </c>
      <c r="T822">
        <v>7370</v>
      </c>
      <c r="U822">
        <v>0</v>
      </c>
      <c r="V822">
        <v>7370</v>
      </c>
    </row>
    <row r="823" spans="1:22" x14ac:dyDescent="0.3">
      <c r="A823">
        <v>148303</v>
      </c>
      <c r="B823">
        <v>455431804</v>
      </c>
      <c r="C823" t="s">
        <v>4571</v>
      </c>
      <c r="D823" s="9" t="s">
        <v>4572</v>
      </c>
      <c r="E823" t="s">
        <v>4147</v>
      </c>
      <c r="F823" t="s">
        <v>770</v>
      </c>
      <c r="G823" t="s">
        <v>49</v>
      </c>
      <c r="H823" t="s">
        <v>50</v>
      </c>
      <c r="I823" t="s">
        <v>34</v>
      </c>
      <c r="J823" t="s">
        <v>155</v>
      </c>
      <c r="K823" t="s">
        <v>27</v>
      </c>
      <c r="L823" t="s">
        <v>52</v>
      </c>
      <c r="M823" t="s">
        <v>4573</v>
      </c>
      <c r="N823" t="s">
        <v>773</v>
      </c>
      <c r="O823" t="s">
        <v>31</v>
      </c>
      <c r="P823" t="s">
        <v>4574</v>
      </c>
      <c r="Q823" t="s">
        <v>78</v>
      </c>
      <c r="R823" s="26" t="s">
        <v>4575</v>
      </c>
      <c r="S823">
        <v>2.63</v>
      </c>
      <c r="T823">
        <v>8263</v>
      </c>
      <c r="U823">
        <v>0</v>
      </c>
      <c r="V823">
        <v>8263</v>
      </c>
    </row>
    <row r="824" spans="1:22" x14ac:dyDescent="0.3">
      <c r="A824">
        <v>148303</v>
      </c>
      <c r="B824">
        <v>455349341</v>
      </c>
      <c r="C824" t="s">
        <v>4576</v>
      </c>
      <c r="D824" s="9" t="s">
        <v>4577</v>
      </c>
      <c r="E824" t="s">
        <v>4147</v>
      </c>
      <c r="F824" t="s">
        <v>770</v>
      </c>
      <c r="G824" t="s">
        <v>49</v>
      </c>
      <c r="H824" t="s">
        <v>50</v>
      </c>
      <c r="I824" t="s">
        <v>34</v>
      </c>
      <c r="J824" t="s">
        <v>155</v>
      </c>
      <c r="K824" t="s">
        <v>27</v>
      </c>
      <c r="L824" t="s">
        <v>52</v>
      </c>
      <c r="M824" t="s">
        <v>4578</v>
      </c>
      <c r="N824" t="s">
        <v>773</v>
      </c>
      <c r="O824" t="s">
        <v>31</v>
      </c>
      <c r="P824" t="s">
        <v>4579</v>
      </c>
      <c r="Q824" t="s">
        <v>153</v>
      </c>
      <c r="R824" s="26" t="s">
        <v>742</v>
      </c>
      <c r="S824">
        <v>2.82</v>
      </c>
      <c r="T824">
        <v>7370</v>
      </c>
      <c r="U824">
        <v>0</v>
      </c>
      <c r="V824">
        <v>7370</v>
      </c>
    </row>
    <row r="825" spans="1:22" x14ac:dyDescent="0.3">
      <c r="A825">
        <v>148303</v>
      </c>
      <c r="B825">
        <v>455349965</v>
      </c>
      <c r="C825" t="s">
        <v>4580</v>
      </c>
      <c r="D825" s="9" t="s">
        <v>4581</v>
      </c>
      <c r="E825" t="s">
        <v>4147</v>
      </c>
      <c r="F825" t="s">
        <v>770</v>
      </c>
      <c r="G825" t="s">
        <v>49</v>
      </c>
      <c r="H825" t="s">
        <v>50</v>
      </c>
      <c r="I825" t="s">
        <v>34</v>
      </c>
      <c r="J825" t="s">
        <v>155</v>
      </c>
      <c r="K825" t="s">
        <v>27</v>
      </c>
      <c r="L825" t="s">
        <v>52</v>
      </c>
      <c r="M825" t="s">
        <v>4582</v>
      </c>
      <c r="N825" t="s">
        <v>773</v>
      </c>
      <c r="O825" t="s">
        <v>31</v>
      </c>
      <c r="P825" t="s">
        <v>4583</v>
      </c>
      <c r="Q825" t="s">
        <v>73</v>
      </c>
      <c r="R825" s="26" t="s">
        <v>4584</v>
      </c>
      <c r="S825">
        <v>1.91</v>
      </c>
      <c r="T825">
        <v>8425</v>
      </c>
      <c r="U825">
        <v>0</v>
      </c>
      <c r="V825">
        <v>8425</v>
      </c>
    </row>
    <row r="826" spans="1:22" x14ac:dyDescent="0.3">
      <c r="A826">
        <v>148303</v>
      </c>
      <c r="B826">
        <v>455358470</v>
      </c>
      <c r="C826" t="s">
        <v>4585</v>
      </c>
      <c r="D826" s="9" t="s">
        <v>4586</v>
      </c>
      <c r="E826" t="s">
        <v>4147</v>
      </c>
      <c r="F826" t="s">
        <v>770</v>
      </c>
      <c r="G826" t="s">
        <v>49</v>
      </c>
      <c r="H826" t="s">
        <v>50</v>
      </c>
      <c r="I826" t="s">
        <v>34</v>
      </c>
      <c r="J826" t="s">
        <v>155</v>
      </c>
      <c r="K826" t="s">
        <v>27</v>
      </c>
      <c r="L826" t="s">
        <v>52</v>
      </c>
      <c r="M826" t="s">
        <v>656</v>
      </c>
      <c r="N826" t="s">
        <v>773</v>
      </c>
      <c r="O826" t="s">
        <v>31</v>
      </c>
      <c r="P826" t="s">
        <v>4587</v>
      </c>
      <c r="Q826" t="s">
        <v>100</v>
      </c>
      <c r="R826" s="26" t="s">
        <v>87</v>
      </c>
      <c r="S826">
        <v>2</v>
      </c>
      <c r="T826">
        <v>7072</v>
      </c>
      <c r="U826">
        <v>0</v>
      </c>
      <c r="V826">
        <v>7072</v>
      </c>
    </row>
    <row r="827" spans="1:22" x14ac:dyDescent="0.3">
      <c r="A827">
        <v>148303</v>
      </c>
      <c r="B827">
        <v>455359902</v>
      </c>
      <c r="C827" t="s">
        <v>4588</v>
      </c>
      <c r="D827" s="9" t="s">
        <v>4589</v>
      </c>
      <c r="E827" t="s">
        <v>4147</v>
      </c>
      <c r="F827" t="s">
        <v>770</v>
      </c>
      <c r="G827" t="s">
        <v>49</v>
      </c>
      <c r="H827" t="s">
        <v>50</v>
      </c>
      <c r="I827" t="s">
        <v>34</v>
      </c>
      <c r="J827" t="s">
        <v>155</v>
      </c>
      <c r="K827" t="s">
        <v>27</v>
      </c>
      <c r="L827" t="s">
        <v>52</v>
      </c>
      <c r="M827" t="s">
        <v>4590</v>
      </c>
      <c r="N827" t="s">
        <v>773</v>
      </c>
      <c r="O827" t="s">
        <v>31</v>
      </c>
      <c r="P827" t="s">
        <v>4591</v>
      </c>
      <c r="Q827" t="s">
        <v>67</v>
      </c>
      <c r="R827" s="26" t="s">
        <v>4592</v>
      </c>
      <c r="S827">
        <v>3.22</v>
      </c>
      <c r="T827">
        <v>7747</v>
      </c>
      <c r="U827">
        <v>0</v>
      </c>
      <c r="V827">
        <v>7747</v>
      </c>
    </row>
    <row r="828" spans="1:22" x14ac:dyDescent="0.3">
      <c r="A828">
        <v>148303</v>
      </c>
      <c r="B828">
        <v>455303923</v>
      </c>
      <c r="C828" t="s">
        <v>4593</v>
      </c>
      <c r="D828" s="9" t="s">
        <v>4594</v>
      </c>
      <c r="E828" t="s">
        <v>4147</v>
      </c>
      <c r="F828" t="s">
        <v>770</v>
      </c>
      <c r="G828" t="s">
        <v>49</v>
      </c>
      <c r="H828" t="s">
        <v>50</v>
      </c>
      <c r="I828" t="s">
        <v>34</v>
      </c>
      <c r="J828" t="s">
        <v>155</v>
      </c>
      <c r="K828" t="s">
        <v>27</v>
      </c>
      <c r="L828" t="s">
        <v>52</v>
      </c>
      <c r="M828" t="s">
        <v>588</v>
      </c>
      <c r="N828" t="s">
        <v>773</v>
      </c>
      <c r="O828" t="s">
        <v>31</v>
      </c>
      <c r="P828" t="s">
        <v>4595</v>
      </c>
      <c r="Q828" t="s">
        <v>119</v>
      </c>
      <c r="R828" s="26" t="s">
        <v>548</v>
      </c>
      <c r="S828">
        <v>1.54</v>
      </c>
      <c r="T828">
        <v>9298</v>
      </c>
      <c r="U828">
        <v>0</v>
      </c>
      <c r="V828">
        <v>9298</v>
      </c>
    </row>
    <row r="829" spans="1:22" x14ac:dyDescent="0.3">
      <c r="A829">
        <v>148303</v>
      </c>
      <c r="B829">
        <v>455321285</v>
      </c>
      <c r="C829" t="s">
        <v>4596</v>
      </c>
      <c r="D829" s="9" t="s">
        <v>4597</v>
      </c>
      <c r="E829" t="s">
        <v>4147</v>
      </c>
      <c r="F829" t="s">
        <v>770</v>
      </c>
      <c r="G829" t="s">
        <v>49</v>
      </c>
      <c r="H829" t="s">
        <v>50</v>
      </c>
      <c r="I829" t="s">
        <v>34</v>
      </c>
      <c r="J829" t="s">
        <v>155</v>
      </c>
      <c r="K829" t="s">
        <v>27</v>
      </c>
      <c r="L829" t="s">
        <v>52</v>
      </c>
      <c r="M829" t="s">
        <v>4598</v>
      </c>
      <c r="N829" t="s">
        <v>773</v>
      </c>
      <c r="O829" t="s">
        <v>31</v>
      </c>
      <c r="P829" t="s">
        <v>4599</v>
      </c>
      <c r="Q829" t="s">
        <v>66</v>
      </c>
      <c r="R829" s="26" t="s">
        <v>4600</v>
      </c>
      <c r="S829">
        <v>3.02</v>
      </c>
      <c r="T829">
        <v>4718</v>
      </c>
      <c r="U829">
        <v>0</v>
      </c>
      <c r="V829">
        <v>4718</v>
      </c>
    </row>
    <row r="830" spans="1:22" x14ac:dyDescent="0.3">
      <c r="A830">
        <v>148303</v>
      </c>
      <c r="B830">
        <v>455272431</v>
      </c>
      <c r="C830" t="s">
        <v>4601</v>
      </c>
      <c r="D830" s="9" t="s">
        <v>4602</v>
      </c>
      <c r="E830" t="s">
        <v>4147</v>
      </c>
      <c r="F830" t="s">
        <v>770</v>
      </c>
      <c r="G830" t="s">
        <v>49</v>
      </c>
      <c r="H830" t="s">
        <v>50</v>
      </c>
      <c r="I830" t="s">
        <v>34</v>
      </c>
      <c r="J830" t="s">
        <v>155</v>
      </c>
      <c r="K830" t="s">
        <v>27</v>
      </c>
      <c r="L830" t="s">
        <v>52</v>
      </c>
      <c r="M830" t="s">
        <v>4603</v>
      </c>
      <c r="N830" t="s">
        <v>773</v>
      </c>
      <c r="O830" t="s">
        <v>31</v>
      </c>
      <c r="P830" t="s">
        <v>4604</v>
      </c>
      <c r="Q830" t="s">
        <v>154</v>
      </c>
      <c r="R830" s="26" t="s">
        <v>4605</v>
      </c>
      <c r="S830">
        <v>2.33</v>
      </c>
      <c r="T830">
        <v>9298</v>
      </c>
      <c r="U830">
        <v>0</v>
      </c>
      <c r="V830">
        <v>9298</v>
      </c>
    </row>
    <row r="831" spans="1:22" x14ac:dyDescent="0.3">
      <c r="A831">
        <v>148303</v>
      </c>
      <c r="B831">
        <v>455315808</v>
      </c>
      <c r="C831" t="s">
        <v>4606</v>
      </c>
      <c r="D831" s="9" t="s">
        <v>4607</v>
      </c>
      <c r="E831" t="s">
        <v>4147</v>
      </c>
      <c r="F831" t="s">
        <v>770</v>
      </c>
      <c r="G831" t="s">
        <v>49</v>
      </c>
      <c r="H831" t="s">
        <v>50</v>
      </c>
      <c r="I831" t="s">
        <v>34</v>
      </c>
      <c r="J831" t="s">
        <v>155</v>
      </c>
      <c r="K831" t="s">
        <v>27</v>
      </c>
      <c r="L831" t="s">
        <v>52</v>
      </c>
      <c r="M831" t="s">
        <v>4608</v>
      </c>
      <c r="N831" t="s">
        <v>773</v>
      </c>
      <c r="O831" t="s">
        <v>31</v>
      </c>
      <c r="P831" t="s">
        <v>4609</v>
      </c>
      <c r="Q831" t="s">
        <v>78</v>
      </c>
      <c r="R831" s="26" t="s">
        <v>4610</v>
      </c>
      <c r="S831">
        <v>3.97</v>
      </c>
      <c r="T831">
        <v>8343</v>
      </c>
      <c r="U831">
        <v>0</v>
      </c>
      <c r="V831">
        <v>8343</v>
      </c>
    </row>
    <row r="832" spans="1:22" x14ac:dyDescent="0.3">
      <c r="A832">
        <v>148303</v>
      </c>
      <c r="B832">
        <v>455211644</v>
      </c>
      <c r="C832" t="s">
        <v>4611</v>
      </c>
      <c r="D832" s="9" t="s">
        <v>4612</v>
      </c>
      <c r="E832" t="s">
        <v>4147</v>
      </c>
      <c r="F832" t="s">
        <v>770</v>
      </c>
      <c r="G832" t="s">
        <v>49</v>
      </c>
      <c r="H832" t="s">
        <v>50</v>
      </c>
      <c r="I832" t="s">
        <v>34</v>
      </c>
      <c r="J832" t="s">
        <v>155</v>
      </c>
      <c r="K832" t="s">
        <v>27</v>
      </c>
      <c r="L832" t="s">
        <v>52</v>
      </c>
      <c r="M832" t="s">
        <v>4363</v>
      </c>
      <c r="N832" t="s">
        <v>773</v>
      </c>
      <c r="O832" t="s">
        <v>31</v>
      </c>
      <c r="P832" t="s">
        <v>4364</v>
      </c>
      <c r="Q832" t="s">
        <v>81</v>
      </c>
      <c r="R832" s="26" t="s">
        <v>4613</v>
      </c>
      <c r="S832">
        <v>4.38</v>
      </c>
      <c r="T832">
        <v>8992</v>
      </c>
      <c r="U832">
        <v>0</v>
      </c>
      <c r="V832">
        <v>8992</v>
      </c>
    </row>
    <row r="833" spans="1:22" x14ac:dyDescent="0.3">
      <c r="A833">
        <v>148303</v>
      </c>
      <c r="B833">
        <v>455219606</v>
      </c>
      <c r="C833" t="s">
        <v>4614</v>
      </c>
      <c r="D833" s="9" t="s">
        <v>4615</v>
      </c>
      <c r="E833" t="s">
        <v>4147</v>
      </c>
      <c r="F833" t="s">
        <v>770</v>
      </c>
      <c r="G833" t="s">
        <v>49</v>
      </c>
      <c r="H833" t="s">
        <v>50</v>
      </c>
      <c r="I833" t="s">
        <v>34</v>
      </c>
      <c r="J833" t="s">
        <v>155</v>
      </c>
      <c r="K833" t="s">
        <v>27</v>
      </c>
      <c r="L833" t="s">
        <v>52</v>
      </c>
      <c r="M833" t="s">
        <v>4616</v>
      </c>
      <c r="N833" t="s">
        <v>773</v>
      </c>
      <c r="O833" t="s">
        <v>31</v>
      </c>
      <c r="P833" t="s">
        <v>4617</v>
      </c>
      <c r="Q833" t="s">
        <v>73</v>
      </c>
      <c r="R833" s="26" t="s">
        <v>379</v>
      </c>
      <c r="S833">
        <v>2.08</v>
      </c>
      <c r="T833">
        <v>8425</v>
      </c>
      <c r="U833">
        <v>0</v>
      </c>
      <c r="V833">
        <v>8425</v>
      </c>
    </row>
    <row r="834" spans="1:22" x14ac:dyDescent="0.3">
      <c r="A834">
        <v>186607</v>
      </c>
      <c r="B834">
        <v>457012809</v>
      </c>
      <c r="C834" t="s">
        <v>4618</v>
      </c>
      <c r="D834" s="9" t="s">
        <v>4619</v>
      </c>
      <c r="E834" t="s">
        <v>4620</v>
      </c>
      <c r="F834" t="s">
        <v>770</v>
      </c>
      <c r="G834" t="s">
        <v>28</v>
      </c>
      <c r="H834" t="s">
        <v>29</v>
      </c>
      <c r="I834" t="s">
        <v>34</v>
      </c>
      <c r="J834" t="s">
        <v>30</v>
      </c>
      <c r="K834" t="s">
        <v>27</v>
      </c>
      <c r="L834" t="s">
        <v>4621</v>
      </c>
      <c r="M834" t="s">
        <v>4622</v>
      </c>
      <c r="N834" t="s">
        <v>4623</v>
      </c>
      <c r="O834" t="s">
        <v>54</v>
      </c>
      <c r="P834" t="s">
        <v>4624</v>
      </c>
      <c r="Q834" t="s">
        <v>69</v>
      </c>
      <c r="R834" s="26" t="s">
        <v>4625</v>
      </c>
      <c r="S834">
        <v>0.5</v>
      </c>
      <c r="T834">
        <v>3552</v>
      </c>
      <c r="U834">
        <v>0</v>
      </c>
      <c r="V834">
        <v>3552</v>
      </c>
    </row>
    <row r="835" spans="1:22" x14ac:dyDescent="0.3">
      <c r="A835">
        <v>186607</v>
      </c>
      <c r="B835">
        <v>456751265</v>
      </c>
      <c r="C835" t="s">
        <v>4626</v>
      </c>
      <c r="D835" s="9" t="s">
        <v>4627</v>
      </c>
      <c r="E835" t="s">
        <v>4620</v>
      </c>
      <c r="F835" t="s">
        <v>770</v>
      </c>
      <c r="G835" t="s">
        <v>28</v>
      </c>
      <c r="H835" t="s">
        <v>29</v>
      </c>
      <c r="I835" t="s">
        <v>34</v>
      </c>
      <c r="J835" t="s">
        <v>30</v>
      </c>
      <c r="K835" t="s">
        <v>27</v>
      </c>
      <c r="L835" t="s">
        <v>434</v>
      </c>
      <c r="M835" t="s">
        <v>4628</v>
      </c>
      <c r="N835" t="s">
        <v>4623</v>
      </c>
      <c r="O835" t="s">
        <v>54</v>
      </c>
      <c r="P835" t="s">
        <v>4629</v>
      </c>
      <c r="Q835" t="s">
        <v>175</v>
      </c>
      <c r="R835" s="26" t="s">
        <v>4630</v>
      </c>
      <c r="S835">
        <v>8.5</v>
      </c>
      <c r="T835">
        <v>11027</v>
      </c>
      <c r="U835">
        <v>0</v>
      </c>
      <c r="V835">
        <v>11027</v>
      </c>
    </row>
    <row r="836" spans="1:22" x14ac:dyDescent="0.3">
      <c r="A836">
        <v>186607</v>
      </c>
      <c r="B836">
        <v>457012801</v>
      </c>
      <c r="C836" t="s">
        <v>4631</v>
      </c>
      <c r="D836" s="9" t="s">
        <v>4632</v>
      </c>
      <c r="E836" t="s">
        <v>4620</v>
      </c>
      <c r="F836" t="s">
        <v>770</v>
      </c>
      <c r="G836" t="s">
        <v>28</v>
      </c>
      <c r="H836" t="s">
        <v>29</v>
      </c>
      <c r="I836" t="s">
        <v>34</v>
      </c>
      <c r="J836" t="s">
        <v>30</v>
      </c>
      <c r="K836" t="s">
        <v>27</v>
      </c>
      <c r="L836" t="s">
        <v>4633</v>
      </c>
      <c r="M836" t="s">
        <v>4634</v>
      </c>
      <c r="N836" t="s">
        <v>4623</v>
      </c>
      <c r="O836" t="s">
        <v>54</v>
      </c>
      <c r="P836" t="s">
        <v>4635</v>
      </c>
      <c r="Q836" t="s">
        <v>41</v>
      </c>
      <c r="R836" s="26" t="s">
        <v>4625</v>
      </c>
      <c r="S836">
        <v>0.5</v>
      </c>
      <c r="T836">
        <v>3552</v>
      </c>
      <c r="U836">
        <v>0</v>
      </c>
      <c r="V836">
        <v>3552</v>
      </c>
    </row>
    <row r="837" spans="1:22" x14ac:dyDescent="0.3">
      <c r="A837">
        <v>186607</v>
      </c>
      <c r="B837">
        <v>457023543</v>
      </c>
      <c r="C837" t="s">
        <v>4636</v>
      </c>
      <c r="D837" s="9" t="s">
        <v>4637</v>
      </c>
      <c r="E837" t="s">
        <v>4620</v>
      </c>
      <c r="F837" t="s">
        <v>770</v>
      </c>
      <c r="G837" t="s">
        <v>28</v>
      </c>
      <c r="H837" t="s">
        <v>29</v>
      </c>
      <c r="I837" t="s">
        <v>34</v>
      </c>
      <c r="J837" t="s">
        <v>30</v>
      </c>
      <c r="K837" t="s">
        <v>27</v>
      </c>
      <c r="L837" t="s">
        <v>4638</v>
      </c>
      <c r="M837" t="s">
        <v>4639</v>
      </c>
      <c r="N837" t="s">
        <v>4623</v>
      </c>
      <c r="O837" t="s">
        <v>54</v>
      </c>
      <c r="P837" t="s">
        <v>4640</v>
      </c>
      <c r="Q837" t="s">
        <v>85</v>
      </c>
      <c r="R837" s="26" t="s">
        <v>4641</v>
      </c>
      <c r="S837">
        <v>0.5</v>
      </c>
      <c r="T837">
        <v>3552</v>
      </c>
      <c r="U837">
        <v>0</v>
      </c>
      <c r="V837">
        <v>3552</v>
      </c>
    </row>
    <row r="838" spans="1:22" x14ac:dyDescent="0.3">
      <c r="A838">
        <v>186607</v>
      </c>
      <c r="B838">
        <v>456334934</v>
      </c>
      <c r="C838" t="s">
        <v>4642</v>
      </c>
      <c r="D838" s="9" t="s">
        <v>4643</v>
      </c>
      <c r="E838" t="s">
        <v>4620</v>
      </c>
      <c r="F838" t="s">
        <v>770</v>
      </c>
      <c r="G838" t="s">
        <v>28</v>
      </c>
      <c r="H838" t="s">
        <v>29</v>
      </c>
      <c r="I838" t="s">
        <v>34</v>
      </c>
      <c r="J838" t="s">
        <v>30</v>
      </c>
      <c r="K838" t="s">
        <v>27</v>
      </c>
      <c r="L838" t="s">
        <v>4644</v>
      </c>
      <c r="M838" t="s">
        <v>607</v>
      </c>
      <c r="N838" t="s">
        <v>4623</v>
      </c>
      <c r="O838" t="s">
        <v>54</v>
      </c>
      <c r="P838" t="s">
        <v>4645</v>
      </c>
      <c r="Q838" t="s">
        <v>303</v>
      </c>
      <c r="R838" s="26" t="s">
        <v>4646</v>
      </c>
      <c r="S838">
        <v>5.3</v>
      </c>
      <c r="T838">
        <v>11027</v>
      </c>
      <c r="U838">
        <v>0</v>
      </c>
      <c r="V838">
        <v>11027</v>
      </c>
    </row>
    <row r="839" spans="1:22" x14ac:dyDescent="0.3">
      <c r="A839">
        <v>186607</v>
      </c>
      <c r="B839">
        <v>457012803</v>
      </c>
      <c r="C839" t="s">
        <v>4647</v>
      </c>
      <c r="D839" s="9" t="s">
        <v>4648</v>
      </c>
      <c r="E839" t="s">
        <v>4620</v>
      </c>
      <c r="F839" t="s">
        <v>770</v>
      </c>
      <c r="G839" t="s">
        <v>28</v>
      </c>
      <c r="H839" t="s">
        <v>29</v>
      </c>
      <c r="I839" t="s">
        <v>34</v>
      </c>
      <c r="J839" t="s">
        <v>30</v>
      </c>
      <c r="K839" t="s">
        <v>27</v>
      </c>
      <c r="L839" t="s">
        <v>4649</v>
      </c>
      <c r="M839" t="s">
        <v>4650</v>
      </c>
      <c r="N839" t="s">
        <v>4623</v>
      </c>
      <c r="O839" t="s">
        <v>54</v>
      </c>
      <c r="P839" t="s">
        <v>4651</v>
      </c>
      <c r="Q839" t="s">
        <v>264</v>
      </c>
      <c r="R839" s="26" t="s">
        <v>4625</v>
      </c>
      <c r="S839">
        <v>1</v>
      </c>
      <c r="T839">
        <v>10892</v>
      </c>
      <c r="U839">
        <v>0</v>
      </c>
      <c r="V839">
        <v>10892</v>
      </c>
    </row>
    <row r="840" spans="1:22" x14ac:dyDescent="0.3">
      <c r="A840">
        <v>186607</v>
      </c>
      <c r="B840">
        <v>456933639</v>
      </c>
      <c r="C840" t="s">
        <v>4652</v>
      </c>
      <c r="D840" s="9" t="s">
        <v>4653</v>
      </c>
      <c r="E840" t="s">
        <v>4620</v>
      </c>
      <c r="F840" t="s">
        <v>770</v>
      </c>
      <c r="G840" t="s">
        <v>28</v>
      </c>
      <c r="H840" t="s">
        <v>29</v>
      </c>
      <c r="I840" t="s">
        <v>34</v>
      </c>
      <c r="J840" t="s">
        <v>30</v>
      </c>
      <c r="K840" t="s">
        <v>27</v>
      </c>
      <c r="L840" t="s">
        <v>540</v>
      </c>
      <c r="M840" t="s">
        <v>4654</v>
      </c>
      <c r="N840" t="s">
        <v>4623</v>
      </c>
      <c r="O840" t="s">
        <v>54</v>
      </c>
      <c r="P840" t="s">
        <v>4655</v>
      </c>
      <c r="Q840" t="s">
        <v>84</v>
      </c>
      <c r="R840" s="26" t="s">
        <v>215</v>
      </c>
      <c r="S840">
        <v>0.5</v>
      </c>
      <c r="T840">
        <v>3935</v>
      </c>
      <c r="U840">
        <v>0</v>
      </c>
      <c r="V840">
        <v>3935</v>
      </c>
    </row>
    <row r="841" spans="1:22" x14ac:dyDescent="0.3">
      <c r="A841">
        <v>186607</v>
      </c>
      <c r="B841">
        <v>456988484</v>
      </c>
      <c r="C841" t="s">
        <v>4656</v>
      </c>
      <c r="D841" s="9" t="s">
        <v>4657</v>
      </c>
      <c r="E841" t="s">
        <v>4620</v>
      </c>
      <c r="F841" t="s">
        <v>770</v>
      </c>
      <c r="G841" t="s">
        <v>28</v>
      </c>
      <c r="H841" t="s">
        <v>29</v>
      </c>
      <c r="I841" t="s">
        <v>34</v>
      </c>
      <c r="J841" t="s">
        <v>30</v>
      </c>
      <c r="K841" t="s">
        <v>27</v>
      </c>
      <c r="L841" t="s">
        <v>4658</v>
      </c>
      <c r="M841" t="s">
        <v>4659</v>
      </c>
      <c r="N841" t="s">
        <v>4623</v>
      </c>
      <c r="O841" t="s">
        <v>54</v>
      </c>
      <c r="P841" t="s">
        <v>4660</v>
      </c>
      <c r="Q841" t="s">
        <v>69</v>
      </c>
      <c r="R841" s="26" t="s">
        <v>4661</v>
      </c>
      <c r="S841">
        <v>0.5</v>
      </c>
      <c r="T841">
        <v>3552</v>
      </c>
      <c r="U841">
        <v>0</v>
      </c>
      <c r="V841">
        <v>3552</v>
      </c>
    </row>
    <row r="842" spans="1:22" x14ac:dyDescent="0.3">
      <c r="A842">
        <v>186607</v>
      </c>
      <c r="B842">
        <v>456988481</v>
      </c>
      <c r="C842" t="s">
        <v>4662</v>
      </c>
      <c r="D842" s="9" t="s">
        <v>4663</v>
      </c>
      <c r="E842" t="s">
        <v>4620</v>
      </c>
      <c r="F842" t="s">
        <v>770</v>
      </c>
      <c r="G842" t="s">
        <v>28</v>
      </c>
      <c r="H842" t="s">
        <v>29</v>
      </c>
      <c r="I842" t="s">
        <v>34</v>
      </c>
      <c r="J842" t="s">
        <v>30</v>
      </c>
      <c r="K842" t="s">
        <v>27</v>
      </c>
      <c r="L842" t="s">
        <v>4664</v>
      </c>
      <c r="M842" t="s">
        <v>4665</v>
      </c>
      <c r="N842" t="s">
        <v>4623</v>
      </c>
      <c r="O842" t="s">
        <v>54</v>
      </c>
      <c r="P842" t="s">
        <v>4666</v>
      </c>
      <c r="Q842" t="s">
        <v>171</v>
      </c>
      <c r="R842" s="26" t="s">
        <v>4661</v>
      </c>
      <c r="S842">
        <v>2.4</v>
      </c>
      <c r="T842">
        <v>3250</v>
      </c>
      <c r="U842">
        <v>0</v>
      </c>
      <c r="V842">
        <v>3250</v>
      </c>
    </row>
    <row r="843" spans="1:22" x14ac:dyDescent="0.3">
      <c r="A843">
        <v>186607</v>
      </c>
      <c r="B843">
        <v>456933640</v>
      </c>
      <c r="C843" t="s">
        <v>4667</v>
      </c>
      <c r="D843" s="9" t="s">
        <v>4668</v>
      </c>
      <c r="E843" t="s">
        <v>4620</v>
      </c>
      <c r="F843" t="s">
        <v>770</v>
      </c>
      <c r="G843" t="s">
        <v>28</v>
      </c>
      <c r="H843" t="s">
        <v>29</v>
      </c>
      <c r="I843" t="s">
        <v>34</v>
      </c>
      <c r="J843" t="s">
        <v>30</v>
      </c>
      <c r="K843" t="s">
        <v>27</v>
      </c>
      <c r="L843" t="s">
        <v>4669</v>
      </c>
      <c r="M843" t="s">
        <v>4670</v>
      </c>
      <c r="N843" t="s">
        <v>4623</v>
      </c>
      <c r="O843" t="s">
        <v>54</v>
      </c>
      <c r="P843" t="s">
        <v>4671</v>
      </c>
      <c r="Q843" t="s">
        <v>88</v>
      </c>
      <c r="R843" s="26" t="s">
        <v>215</v>
      </c>
      <c r="S843">
        <v>1</v>
      </c>
      <c r="T843">
        <v>5024</v>
      </c>
      <c r="U843">
        <v>0</v>
      </c>
      <c r="V843">
        <v>5024</v>
      </c>
    </row>
    <row r="844" spans="1:22" x14ac:dyDescent="0.3">
      <c r="A844">
        <v>186607</v>
      </c>
      <c r="B844">
        <v>456909171</v>
      </c>
      <c r="C844" t="s">
        <v>4672</v>
      </c>
      <c r="D844" s="9" t="s">
        <v>4673</v>
      </c>
      <c r="E844" t="s">
        <v>4620</v>
      </c>
      <c r="F844" t="s">
        <v>770</v>
      </c>
      <c r="G844" t="s">
        <v>28</v>
      </c>
      <c r="H844" t="s">
        <v>29</v>
      </c>
      <c r="I844" t="s">
        <v>34</v>
      </c>
      <c r="J844" t="s">
        <v>30</v>
      </c>
      <c r="K844" t="s">
        <v>27</v>
      </c>
      <c r="L844" t="s">
        <v>4674</v>
      </c>
      <c r="M844" t="s">
        <v>4675</v>
      </c>
      <c r="N844" t="s">
        <v>4623</v>
      </c>
      <c r="O844" t="s">
        <v>54</v>
      </c>
      <c r="P844" t="s">
        <v>4676</v>
      </c>
      <c r="Q844" t="s">
        <v>141</v>
      </c>
      <c r="R844" s="26" t="s">
        <v>775</v>
      </c>
      <c r="S844">
        <v>0.5</v>
      </c>
      <c r="T844">
        <v>3552</v>
      </c>
      <c r="U844">
        <v>0</v>
      </c>
      <c r="V844">
        <v>3552</v>
      </c>
    </row>
    <row r="845" spans="1:22" x14ac:dyDescent="0.3">
      <c r="A845">
        <v>186607</v>
      </c>
      <c r="B845">
        <v>456933628</v>
      </c>
      <c r="C845" t="s">
        <v>4677</v>
      </c>
      <c r="D845" s="9" t="s">
        <v>4678</v>
      </c>
      <c r="E845" t="s">
        <v>4620</v>
      </c>
      <c r="F845" t="s">
        <v>770</v>
      </c>
      <c r="G845" t="s">
        <v>28</v>
      </c>
      <c r="H845" t="s">
        <v>29</v>
      </c>
      <c r="I845" t="s">
        <v>34</v>
      </c>
      <c r="J845" t="s">
        <v>30</v>
      </c>
      <c r="K845" t="s">
        <v>27</v>
      </c>
      <c r="L845" t="s">
        <v>291</v>
      </c>
      <c r="M845" t="s">
        <v>4679</v>
      </c>
      <c r="N845" t="s">
        <v>4623</v>
      </c>
      <c r="O845" t="s">
        <v>54</v>
      </c>
      <c r="P845" t="s">
        <v>4680</v>
      </c>
      <c r="Q845" t="s">
        <v>69</v>
      </c>
      <c r="R845" s="26" t="s">
        <v>215</v>
      </c>
      <c r="S845">
        <v>0.5</v>
      </c>
      <c r="T845">
        <v>3552</v>
      </c>
      <c r="U845">
        <v>0</v>
      </c>
      <c r="V845">
        <v>3552</v>
      </c>
    </row>
    <row r="846" spans="1:22" x14ac:dyDescent="0.3">
      <c r="A846">
        <v>186607</v>
      </c>
      <c r="B846">
        <v>456946988</v>
      </c>
      <c r="C846" t="s">
        <v>4681</v>
      </c>
      <c r="D846" s="9" t="s">
        <v>4682</v>
      </c>
      <c r="E846" t="s">
        <v>4620</v>
      </c>
      <c r="F846" t="s">
        <v>770</v>
      </c>
      <c r="G846" t="s">
        <v>28</v>
      </c>
      <c r="H846" t="s">
        <v>29</v>
      </c>
      <c r="I846" t="s">
        <v>34</v>
      </c>
      <c r="J846" t="s">
        <v>30</v>
      </c>
      <c r="K846" t="s">
        <v>27</v>
      </c>
      <c r="L846" t="s">
        <v>4683</v>
      </c>
      <c r="M846" t="s">
        <v>593</v>
      </c>
      <c r="N846" t="s">
        <v>4623</v>
      </c>
      <c r="O846" t="s">
        <v>54</v>
      </c>
      <c r="P846" t="s">
        <v>2110</v>
      </c>
      <c r="Q846" t="s">
        <v>143</v>
      </c>
      <c r="R846" s="26" t="s">
        <v>375</v>
      </c>
      <c r="S846">
        <v>0.5</v>
      </c>
      <c r="T846">
        <v>3193</v>
      </c>
      <c r="U846">
        <v>0</v>
      </c>
      <c r="V846">
        <v>3193</v>
      </c>
    </row>
    <row r="847" spans="1:22" x14ac:dyDescent="0.3">
      <c r="A847">
        <v>186607</v>
      </c>
      <c r="B847">
        <v>456933630</v>
      </c>
      <c r="C847" t="s">
        <v>4684</v>
      </c>
      <c r="D847" s="9" t="s">
        <v>4685</v>
      </c>
      <c r="E847" t="s">
        <v>4620</v>
      </c>
      <c r="F847" t="s">
        <v>770</v>
      </c>
      <c r="G847" t="s">
        <v>28</v>
      </c>
      <c r="H847" t="s">
        <v>29</v>
      </c>
      <c r="I847" t="s">
        <v>34</v>
      </c>
      <c r="J847" t="s">
        <v>30</v>
      </c>
      <c r="K847" t="s">
        <v>27</v>
      </c>
      <c r="L847" t="s">
        <v>300</v>
      </c>
      <c r="M847" t="s">
        <v>4686</v>
      </c>
      <c r="N847" t="s">
        <v>4623</v>
      </c>
      <c r="O847" t="s">
        <v>54</v>
      </c>
      <c r="P847" t="s">
        <v>4687</v>
      </c>
      <c r="Q847" t="s">
        <v>85</v>
      </c>
      <c r="R847" s="26" t="s">
        <v>215</v>
      </c>
      <c r="S847">
        <v>0.5</v>
      </c>
      <c r="T847">
        <v>3552</v>
      </c>
      <c r="U847">
        <v>0</v>
      </c>
      <c r="V847">
        <v>3552</v>
      </c>
    </row>
    <row r="848" spans="1:22" x14ac:dyDescent="0.3">
      <c r="A848">
        <v>186607</v>
      </c>
      <c r="B848">
        <v>456933637</v>
      </c>
      <c r="C848" t="s">
        <v>4688</v>
      </c>
      <c r="D848" s="9" t="s">
        <v>4689</v>
      </c>
      <c r="E848" t="s">
        <v>4620</v>
      </c>
      <c r="F848" t="s">
        <v>770</v>
      </c>
      <c r="G848" t="s">
        <v>28</v>
      </c>
      <c r="H848" t="s">
        <v>29</v>
      </c>
      <c r="I848" t="s">
        <v>34</v>
      </c>
      <c r="J848" t="s">
        <v>30</v>
      </c>
      <c r="K848" t="s">
        <v>27</v>
      </c>
      <c r="L848" t="s">
        <v>4690</v>
      </c>
      <c r="M848" t="s">
        <v>638</v>
      </c>
      <c r="N848" t="s">
        <v>4623</v>
      </c>
      <c r="O848" t="s">
        <v>54</v>
      </c>
      <c r="P848" t="s">
        <v>4691</v>
      </c>
      <c r="Q848" t="s">
        <v>153</v>
      </c>
      <c r="R848" s="26" t="s">
        <v>215</v>
      </c>
      <c r="S848">
        <v>0.5</v>
      </c>
      <c r="T848">
        <v>3193</v>
      </c>
      <c r="U848">
        <v>0</v>
      </c>
      <c r="V848">
        <v>3193</v>
      </c>
    </row>
    <row r="849" spans="1:22" x14ac:dyDescent="0.3">
      <c r="A849">
        <v>186607</v>
      </c>
      <c r="B849">
        <v>456909147</v>
      </c>
      <c r="C849" t="s">
        <v>4692</v>
      </c>
      <c r="D849" s="9" t="s">
        <v>4693</v>
      </c>
      <c r="E849" t="s">
        <v>4620</v>
      </c>
      <c r="F849" t="s">
        <v>770</v>
      </c>
      <c r="G849" t="s">
        <v>28</v>
      </c>
      <c r="H849" t="s">
        <v>29</v>
      </c>
      <c r="I849" t="s">
        <v>34</v>
      </c>
      <c r="J849" t="s">
        <v>30</v>
      </c>
      <c r="K849" t="s">
        <v>27</v>
      </c>
      <c r="L849" t="s">
        <v>4694</v>
      </c>
      <c r="M849" t="s">
        <v>4695</v>
      </c>
      <c r="N849" t="s">
        <v>4623</v>
      </c>
      <c r="O849" t="s">
        <v>54</v>
      </c>
      <c r="P849" t="s">
        <v>4696</v>
      </c>
      <c r="Q849" t="s">
        <v>126</v>
      </c>
      <c r="R849" s="26" t="s">
        <v>775</v>
      </c>
      <c r="S849">
        <v>0.5</v>
      </c>
      <c r="T849">
        <v>3673</v>
      </c>
      <c r="U849">
        <v>0</v>
      </c>
      <c r="V849">
        <v>3673</v>
      </c>
    </row>
    <row r="850" spans="1:22" x14ac:dyDescent="0.3">
      <c r="A850">
        <v>186607</v>
      </c>
      <c r="B850">
        <v>456953989</v>
      </c>
      <c r="C850" t="s">
        <v>4697</v>
      </c>
      <c r="D850" s="9" t="s">
        <v>4698</v>
      </c>
      <c r="E850" t="s">
        <v>4620</v>
      </c>
      <c r="F850" t="s">
        <v>770</v>
      </c>
      <c r="G850" t="s">
        <v>28</v>
      </c>
      <c r="H850" t="s">
        <v>29</v>
      </c>
      <c r="I850" t="s">
        <v>34</v>
      </c>
      <c r="J850" t="s">
        <v>30</v>
      </c>
      <c r="K850" t="s">
        <v>27</v>
      </c>
      <c r="L850" t="s">
        <v>4699</v>
      </c>
      <c r="M850" t="s">
        <v>555</v>
      </c>
      <c r="N850" t="s">
        <v>4623</v>
      </c>
      <c r="O850" t="s">
        <v>54</v>
      </c>
      <c r="P850" t="s">
        <v>4700</v>
      </c>
      <c r="Q850" t="s">
        <v>62</v>
      </c>
      <c r="R850" s="26" t="s">
        <v>4701</v>
      </c>
      <c r="S850">
        <v>0.5</v>
      </c>
      <c r="T850">
        <v>3339</v>
      </c>
      <c r="U850">
        <v>0</v>
      </c>
      <c r="V850">
        <v>3339</v>
      </c>
    </row>
    <row r="851" spans="1:22" x14ac:dyDescent="0.3">
      <c r="A851">
        <v>186607</v>
      </c>
      <c r="B851">
        <v>456933642</v>
      </c>
      <c r="C851" t="s">
        <v>4702</v>
      </c>
      <c r="D851" s="9" t="s">
        <v>4703</v>
      </c>
      <c r="E851" t="s">
        <v>4620</v>
      </c>
      <c r="F851" t="s">
        <v>770</v>
      </c>
      <c r="G851" t="s">
        <v>28</v>
      </c>
      <c r="H851" t="s">
        <v>29</v>
      </c>
      <c r="I851" t="s">
        <v>34</v>
      </c>
      <c r="J851" t="s">
        <v>30</v>
      </c>
      <c r="K851" t="s">
        <v>27</v>
      </c>
      <c r="L851" t="s">
        <v>4704</v>
      </c>
      <c r="M851" t="s">
        <v>4705</v>
      </c>
      <c r="N851" t="s">
        <v>4623</v>
      </c>
      <c r="O851" t="s">
        <v>54</v>
      </c>
      <c r="P851" t="s">
        <v>4706</v>
      </c>
      <c r="Q851" t="s">
        <v>73</v>
      </c>
      <c r="R851" s="26" t="s">
        <v>215</v>
      </c>
      <c r="S851">
        <v>0.5</v>
      </c>
      <c r="T851">
        <v>3339</v>
      </c>
      <c r="U851">
        <v>0</v>
      </c>
      <c r="V851">
        <v>3339</v>
      </c>
    </row>
    <row r="852" spans="1:22" x14ac:dyDescent="0.3">
      <c r="A852">
        <v>186607</v>
      </c>
      <c r="B852">
        <v>456933644</v>
      </c>
      <c r="C852" t="s">
        <v>4707</v>
      </c>
      <c r="D852" s="9" t="s">
        <v>4708</v>
      </c>
      <c r="E852" t="s">
        <v>4620</v>
      </c>
      <c r="F852" t="s">
        <v>770</v>
      </c>
      <c r="G852" t="s">
        <v>28</v>
      </c>
      <c r="H852" t="s">
        <v>29</v>
      </c>
      <c r="I852" t="s">
        <v>34</v>
      </c>
      <c r="J852" t="s">
        <v>30</v>
      </c>
      <c r="K852" t="s">
        <v>27</v>
      </c>
      <c r="L852" t="s">
        <v>4709</v>
      </c>
      <c r="M852" t="s">
        <v>4710</v>
      </c>
      <c r="N852" t="s">
        <v>4623</v>
      </c>
      <c r="O852" t="s">
        <v>54</v>
      </c>
      <c r="P852" t="s">
        <v>4711</v>
      </c>
      <c r="Q852" t="s">
        <v>81</v>
      </c>
      <c r="R852" s="26" t="s">
        <v>215</v>
      </c>
      <c r="S852">
        <v>0.5</v>
      </c>
      <c r="T852">
        <v>3552</v>
      </c>
      <c r="U852">
        <v>0</v>
      </c>
      <c r="V852">
        <v>3552</v>
      </c>
    </row>
    <row r="853" spans="1:22" x14ac:dyDescent="0.3">
      <c r="A853">
        <v>186607</v>
      </c>
      <c r="B853">
        <v>456909157</v>
      </c>
      <c r="C853" t="s">
        <v>4712</v>
      </c>
      <c r="D853" s="9" t="s">
        <v>4713</v>
      </c>
      <c r="E853" t="s">
        <v>4620</v>
      </c>
      <c r="F853" t="s">
        <v>770</v>
      </c>
      <c r="G853" t="s">
        <v>28</v>
      </c>
      <c r="H853" t="s">
        <v>29</v>
      </c>
      <c r="I853" t="s">
        <v>34</v>
      </c>
      <c r="J853" t="s">
        <v>30</v>
      </c>
      <c r="K853" t="s">
        <v>27</v>
      </c>
      <c r="L853" t="s">
        <v>4714</v>
      </c>
      <c r="M853" t="s">
        <v>4715</v>
      </c>
      <c r="N853" t="s">
        <v>4623</v>
      </c>
      <c r="O853" t="s">
        <v>54</v>
      </c>
      <c r="P853" t="s">
        <v>4716</v>
      </c>
      <c r="Q853" t="s">
        <v>102</v>
      </c>
      <c r="R853" s="26" t="s">
        <v>775</v>
      </c>
      <c r="S853">
        <v>0.5</v>
      </c>
      <c r="T853">
        <v>3552</v>
      </c>
      <c r="U853">
        <v>0</v>
      </c>
      <c r="V853">
        <v>3552</v>
      </c>
    </row>
    <row r="854" spans="1:22" x14ac:dyDescent="0.3">
      <c r="A854">
        <v>186607</v>
      </c>
      <c r="B854">
        <v>456933627</v>
      </c>
      <c r="C854" t="s">
        <v>4717</v>
      </c>
      <c r="D854" s="9" t="s">
        <v>4718</v>
      </c>
      <c r="E854" t="s">
        <v>4620</v>
      </c>
      <c r="F854" t="s">
        <v>770</v>
      </c>
      <c r="G854" t="s">
        <v>28</v>
      </c>
      <c r="H854" t="s">
        <v>29</v>
      </c>
      <c r="I854" t="s">
        <v>34</v>
      </c>
      <c r="J854" t="s">
        <v>30</v>
      </c>
      <c r="K854" t="s">
        <v>27</v>
      </c>
      <c r="L854" t="s">
        <v>4719</v>
      </c>
      <c r="M854" t="s">
        <v>579</v>
      </c>
      <c r="N854" t="s">
        <v>4623</v>
      </c>
      <c r="O854" t="s">
        <v>54</v>
      </c>
      <c r="P854" t="s">
        <v>4720</v>
      </c>
      <c r="Q854" t="s">
        <v>73</v>
      </c>
      <c r="R854" s="26" t="s">
        <v>215</v>
      </c>
      <c r="S854">
        <v>0.5</v>
      </c>
      <c r="T854">
        <v>3339</v>
      </c>
      <c r="U854">
        <v>0</v>
      </c>
      <c r="V854">
        <v>3339</v>
      </c>
    </row>
    <row r="855" spans="1:22" x14ac:dyDescent="0.3">
      <c r="A855">
        <v>186607</v>
      </c>
      <c r="B855">
        <v>456807858</v>
      </c>
      <c r="C855" t="s">
        <v>4721</v>
      </c>
      <c r="D855" s="9" t="s">
        <v>4722</v>
      </c>
      <c r="E855" t="s">
        <v>4620</v>
      </c>
      <c r="F855" t="s">
        <v>770</v>
      </c>
      <c r="G855" t="s">
        <v>28</v>
      </c>
      <c r="H855" t="s">
        <v>29</v>
      </c>
      <c r="I855" t="s">
        <v>34</v>
      </c>
      <c r="J855" t="s">
        <v>30</v>
      </c>
      <c r="K855" t="s">
        <v>27</v>
      </c>
      <c r="L855" t="s">
        <v>4723</v>
      </c>
      <c r="M855" t="s">
        <v>666</v>
      </c>
      <c r="N855" t="s">
        <v>4623</v>
      </c>
      <c r="O855" t="s">
        <v>54</v>
      </c>
      <c r="P855" t="s">
        <v>4724</v>
      </c>
      <c r="Q855" t="s">
        <v>197</v>
      </c>
      <c r="R855" s="26" t="s">
        <v>753</v>
      </c>
      <c r="S855">
        <v>1</v>
      </c>
      <c r="T855">
        <v>5564</v>
      </c>
      <c r="U855">
        <v>0</v>
      </c>
      <c r="V855">
        <v>5564</v>
      </c>
    </row>
    <row r="856" spans="1:22" x14ac:dyDescent="0.3">
      <c r="A856">
        <v>186607</v>
      </c>
      <c r="B856">
        <v>456909148</v>
      </c>
      <c r="C856" t="s">
        <v>4725</v>
      </c>
      <c r="D856" s="9" t="s">
        <v>4726</v>
      </c>
      <c r="E856" t="s">
        <v>4620</v>
      </c>
      <c r="F856" t="s">
        <v>770</v>
      </c>
      <c r="G856" t="s">
        <v>28</v>
      </c>
      <c r="H856" t="s">
        <v>29</v>
      </c>
      <c r="I856" t="s">
        <v>34</v>
      </c>
      <c r="J856" t="s">
        <v>30</v>
      </c>
      <c r="K856" t="s">
        <v>27</v>
      </c>
      <c r="L856" t="s">
        <v>4727</v>
      </c>
      <c r="M856" t="s">
        <v>4728</v>
      </c>
      <c r="N856" t="s">
        <v>4623</v>
      </c>
      <c r="O856" t="s">
        <v>54</v>
      </c>
      <c r="P856" t="s">
        <v>4729</v>
      </c>
      <c r="Q856" t="s">
        <v>108</v>
      </c>
      <c r="R856" s="26" t="s">
        <v>775</v>
      </c>
      <c r="S856">
        <v>0.5</v>
      </c>
      <c r="T856">
        <v>3193</v>
      </c>
      <c r="U856">
        <v>0</v>
      </c>
      <c r="V856">
        <v>3193</v>
      </c>
    </row>
    <row r="857" spans="1:22" x14ac:dyDescent="0.3">
      <c r="A857">
        <v>186607</v>
      </c>
      <c r="B857">
        <v>456933632</v>
      </c>
      <c r="C857" t="s">
        <v>4730</v>
      </c>
      <c r="D857" s="9" t="s">
        <v>4731</v>
      </c>
      <c r="E857" t="s">
        <v>4620</v>
      </c>
      <c r="F857" t="s">
        <v>770</v>
      </c>
      <c r="G857" t="s">
        <v>28</v>
      </c>
      <c r="H857" t="s">
        <v>29</v>
      </c>
      <c r="I857" t="s">
        <v>34</v>
      </c>
      <c r="J857" t="s">
        <v>30</v>
      </c>
      <c r="K857" t="s">
        <v>27</v>
      </c>
      <c r="L857" t="s">
        <v>4732</v>
      </c>
      <c r="M857" t="s">
        <v>4733</v>
      </c>
      <c r="N857" t="s">
        <v>4623</v>
      </c>
      <c r="O857" t="s">
        <v>54</v>
      </c>
      <c r="P857" t="s">
        <v>4734</v>
      </c>
      <c r="Q857" t="s">
        <v>42</v>
      </c>
      <c r="R857" s="26" t="s">
        <v>215</v>
      </c>
      <c r="S857">
        <v>1</v>
      </c>
      <c r="T857">
        <v>3631</v>
      </c>
      <c r="U857">
        <v>0</v>
      </c>
      <c r="V857">
        <v>3631</v>
      </c>
    </row>
    <row r="858" spans="1:22" x14ac:dyDescent="0.3">
      <c r="A858">
        <v>186607</v>
      </c>
      <c r="B858">
        <v>456842761</v>
      </c>
      <c r="C858" t="s">
        <v>4735</v>
      </c>
      <c r="D858" s="9" t="s">
        <v>4736</v>
      </c>
      <c r="E858" t="s">
        <v>4620</v>
      </c>
      <c r="F858" t="s">
        <v>770</v>
      </c>
      <c r="G858" t="s">
        <v>28</v>
      </c>
      <c r="H858" t="s">
        <v>29</v>
      </c>
      <c r="I858" t="s">
        <v>34</v>
      </c>
      <c r="J858" t="s">
        <v>30</v>
      </c>
      <c r="K858" t="s">
        <v>27</v>
      </c>
      <c r="L858" t="s">
        <v>4737</v>
      </c>
      <c r="M858" t="s">
        <v>670</v>
      </c>
      <c r="N858" t="s">
        <v>4623</v>
      </c>
      <c r="O858" t="s">
        <v>54</v>
      </c>
      <c r="P858" t="s">
        <v>4738</v>
      </c>
      <c r="Q858" t="s">
        <v>118</v>
      </c>
      <c r="R858" s="26" t="s">
        <v>354</v>
      </c>
      <c r="S858">
        <v>2.8</v>
      </c>
      <c r="T858">
        <v>3935</v>
      </c>
      <c r="U858">
        <v>0</v>
      </c>
      <c r="V858">
        <v>3935</v>
      </c>
    </row>
    <row r="859" spans="1:22" x14ac:dyDescent="0.3">
      <c r="A859">
        <v>186607</v>
      </c>
      <c r="B859">
        <v>456863880</v>
      </c>
      <c r="C859" t="s">
        <v>4739</v>
      </c>
      <c r="D859" s="9" t="s">
        <v>4740</v>
      </c>
      <c r="E859" t="s">
        <v>4620</v>
      </c>
      <c r="F859" t="s">
        <v>770</v>
      </c>
      <c r="G859" t="s">
        <v>28</v>
      </c>
      <c r="H859" t="s">
        <v>29</v>
      </c>
      <c r="I859" t="s">
        <v>34</v>
      </c>
      <c r="J859" t="s">
        <v>30</v>
      </c>
      <c r="K859" t="s">
        <v>27</v>
      </c>
      <c r="L859" t="s">
        <v>4741</v>
      </c>
      <c r="M859" t="s">
        <v>679</v>
      </c>
      <c r="N859" t="s">
        <v>4623</v>
      </c>
      <c r="O859" t="s">
        <v>54</v>
      </c>
      <c r="P859" t="s">
        <v>4742</v>
      </c>
      <c r="Q859" t="s">
        <v>98</v>
      </c>
      <c r="R859" s="26" t="s">
        <v>4743</v>
      </c>
      <c r="S859">
        <v>0.5</v>
      </c>
      <c r="T859">
        <v>3552</v>
      </c>
      <c r="U859">
        <v>0</v>
      </c>
      <c r="V859">
        <v>3552</v>
      </c>
    </row>
    <row r="860" spans="1:22" x14ac:dyDescent="0.3">
      <c r="A860">
        <v>186607</v>
      </c>
      <c r="B860">
        <v>456863882</v>
      </c>
      <c r="C860" t="s">
        <v>4744</v>
      </c>
      <c r="D860" s="9" t="s">
        <v>4745</v>
      </c>
      <c r="E860" t="s">
        <v>4620</v>
      </c>
      <c r="F860" t="s">
        <v>770</v>
      </c>
      <c r="G860" t="s">
        <v>28</v>
      </c>
      <c r="H860" t="s">
        <v>29</v>
      </c>
      <c r="I860" t="s">
        <v>34</v>
      </c>
      <c r="J860" t="s">
        <v>30</v>
      </c>
      <c r="K860" t="s">
        <v>27</v>
      </c>
      <c r="L860" t="s">
        <v>4746</v>
      </c>
      <c r="M860" t="s">
        <v>4747</v>
      </c>
      <c r="N860" t="s">
        <v>4623</v>
      </c>
      <c r="O860" t="s">
        <v>54</v>
      </c>
      <c r="P860" t="s">
        <v>4748</v>
      </c>
      <c r="Q860" t="s">
        <v>137</v>
      </c>
      <c r="R860" s="26" t="s">
        <v>4743</v>
      </c>
      <c r="S860">
        <v>1</v>
      </c>
      <c r="T860">
        <v>3935</v>
      </c>
      <c r="U860">
        <v>0</v>
      </c>
      <c r="V860">
        <v>3935</v>
      </c>
    </row>
    <row r="861" spans="1:22" x14ac:dyDescent="0.3">
      <c r="A861">
        <v>186607</v>
      </c>
      <c r="B861">
        <v>456829161</v>
      </c>
      <c r="C861" t="s">
        <v>4749</v>
      </c>
      <c r="D861" s="9" t="s">
        <v>4750</v>
      </c>
      <c r="E861" t="s">
        <v>4620</v>
      </c>
      <c r="F861" t="s">
        <v>770</v>
      </c>
      <c r="G861" t="s">
        <v>28</v>
      </c>
      <c r="H861" t="s">
        <v>29</v>
      </c>
      <c r="I861" t="s">
        <v>34</v>
      </c>
      <c r="J861" t="s">
        <v>30</v>
      </c>
      <c r="K861" t="s">
        <v>27</v>
      </c>
      <c r="L861" t="s">
        <v>4751</v>
      </c>
      <c r="M861" t="s">
        <v>4752</v>
      </c>
      <c r="N861" t="s">
        <v>4623</v>
      </c>
      <c r="O861" t="s">
        <v>54</v>
      </c>
      <c r="P861" t="s">
        <v>4753</v>
      </c>
      <c r="Q861" t="s">
        <v>144</v>
      </c>
      <c r="R861" s="26" t="s">
        <v>4754</v>
      </c>
      <c r="S861">
        <v>2.5</v>
      </c>
      <c r="T861">
        <v>3653</v>
      </c>
      <c r="U861">
        <v>0</v>
      </c>
      <c r="V861">
        <v>3653</v>
      </c>
    </row>
    <row r="862" spans="1:22" x14ac:dyDescent="0.3">
      <c r="A862">
        <v>186607</v>
      </c>
      <c r="B862">
        <v>456829160</v>
      </c>
      <c r="C862" t="s">
        <v>4755</v>
      </c>
      <c r="D862" s="9" t="s">
        <v>4756</v>
      </c>
      <c r="E862" t="s">
        <v>4620</v>
      </c>
      <c r="F862" t="s">
        <v>770</v>
      </c>
      <c r="G862" t="s">
        <v>28</v>
      </c>
      <c r="H862" t="s">
        <v>29</v>
      </c>
      <c r="I862" t="s">
        <v>34</v>
      </c>
      <c r="J862" t="s">
        <v>30</v>
      </c>
      <c r="K862" t="s">
        <v>27</v>
      </c>
      <c r="L862" t="s">
        <v>4757</v>
      </c>
      <c r="M862" t="s">
        <v>4758</v>
      </c>
      <c r="N862" t="s">
        <v>4623</v>
      </c>
      <c r="O862" t="s">
        <v>54</v>
      </c>
      <c r="P862" t="s">
        <v>4759</v>
      </c>
      <c r="Q862" t="s">
        <v>88</v>
      </c>
      <c r="R862" s="26" t="s">
        <v>4754</v>
      </c>
      <c r="S862">
        <v>2.8</v>
      </c>
      <c r="T862">
        <v>5024</v>
      </c>
      <c r="U862">
        <v>0</v>
      </c>
      <c r="V862">
        <v>5024</v>
      </c>
    </row>
    <row r="863" spans="1:22" x14ac:dyDescent="0.3">
      <c r="A863">
        <v>186607</v>
      </c>
      <c r="B863">
        <v>456863878</v>
      </c>
      <c r="C863" t="s">
        <v>4760</v>
      </c>
      <c r="D863" s="9" t="s">
        <v>4761</v>
      </c>
      <c r="E863" t="s">
        <v>4620</v>
      </c>
      <c r="F863" t="s">
        <v>770</v>
      </c>
      <c r="G863" t="s">
        <v>28</v>
      </c>
      <c r="H863" t="s">
        <v>29</v>
      </c>
      <c r="I863" t="s">
        <v>34</v>
      </c>
      <c r="J863" t="s">
        <v>30</v>
      </c>
      <c r="K863" t="s">
        <v>27</v>
      </c>
      <c r="L863" t="s">
        <v>4762</v>
      </c>
      <c r="M863" t="s">
        <v>4763</v>
      </c>
      <c r="N863" t="s">
        <v>4623</v>
      </c>
      <c r="O863" t="s">
        <v>54</v>
      </c>
      <c r="P863" t="s">
        <v>4764</v>
      </c>
      <c r="Q863" t="s">
        <v>109</v>
      </c>
      <c r="R863" s="26" t="s">
        <v>4743</v>
      </c>
      <c r="S863">
        <v>1</v>
      </c>
      <c r="T863">
        <v>3250</v>
      </c>
      <c r="U863">
        <v>0</v>
      </c>
      <c r="V863">
        <v>3250</v>
      </c>
    </row>
    <row r="864" spans="1:22" x14ac:dyDescent="0.3">
      <c r="A864">
        <v>186607</v>
      </c>
      <c r="B864">
        <v>456863881</v>
      </c>
      <c r="C864" t="s">
        <v>4765</v>
      </c>
      <c r="D864" s="9" t="s">
        <v>4766</v>
      </c>
      <c r="E864" t="s">
        <v>4620</v>
      </c>
      <c r="F864" t="s">
        <v>770</v>
      </c>
      <c r="G864" t="s">
        <v>28</v>
      </c>
      <c r="H864" t="s">
        <v>29</v>
      </c>
      <c r="I864" t="s">
        <v>34</v>
      </c>
      <c r="J864" t="s">
        <v>30</v>
      </c>
      <c r="K864" t="s">
        <v>27</v>
      </c>
      <c r="L864" t="s">
        <v>4767</v>
      </c>
      <c r="M864" t="s">
        <v>4768</v>
      </c>
      <c r="N864" t="s">
        <v>4623</v>
      </c>
      <c r="O864" t="s">
        <v>54</v>
      </c>
      <c r="P864" t="s">
        <v>4769</v>
      </c>
      <c r="Q864" t="s">
        <v>109</v>
      </c>
      <c r="R864" s="26" t="s">
        <v>4743</v>
      </c>
      <c r="S864">
        <v>0.5</v>
      </c>
      <c r="T864">
        <v>3193</v>
      </c>
      <c r="U864">
        <v>0</v>
      </c>
      <c r="V864">
        <v>3193</v>
      </c>
    </row>
    <row r="865" spans="1:22" x14ac:dyDescent="0.3">
      <c r="A865">
        <v>186607</v>
      </c>
      <c r="B865">
        <v>456842763</v>
      </c>
      <c r="C865" t="s">
        <v>4770</v>
      </c>
      <c r="D865" s="9" t="s">
        <v>4771</v>
      </c>
      <c r="E865" t="s">
        <v>4620</v>
      </c>
      <c r="F865" t="s">
        <v>770</v>
      </c>
      <c r="G865" t="s">
        <v>28</v>
      </c>
      <c r="H865" t="s">
        <v>29</v>
      </c>
      <c r="I865" t="s">
        <v>34</v>
      </c>
      <c r="J865" t="s">
        <v>30</v>
      </c>
      <c r="K865" t="s">
        <v>27</v>
      </c>
      <c r="L865" t="s">
        <v>4772</v>
      </c>
      <c r="M865" t="s">
        <v>4773</v>
      </c>
      <c r="N865" t="s">
        <v>4623</v>
      </c>
      <c r="O865" t="s">
        <v>54</v>
      </c>
      <c r="P865" t="s">
        <v>4774</v>
      </c>
      <c r="Q865" t="s">
        <v>85</v>
      </c>
      <c r="R865" s="26" t="s">
        <v>354</v>
      </c>
      <c r="S865">
        <v>1.9</v>
      </c>
      <c r="T865">
        <v>3631</v>
      </c>
      <c r="U865">
        <v>0</v>
      </c>
      <c r="V865">
        <v>3631</v>
      </c>
    </row>
    <row r="866" spans="1:22" x14ac:dyDescent="0.3">
      <c r="A866">
        <v>186607</v>
      </c>
      <c r="B866">
        <v>456842769</v>
      </c>
      <c r="C866" t="s">
        <v>4775</v>
      </c>
      <c r="D866" s="9" t="s">
        <v>4776</v>
      </c>
      <c r="E866" t="s">
        <v>4620</v>
      </c>
      <c r="F866" t="s">
        <v>770</v>
      </c>
      <c r="G866" t="s">
        <v>28</v>
      </c>
      <c r="H866" t="s">
        <v>29</v>
      </c>
      <c r="I866" t="s">
        <v>34</v>
      </c>
      <c r="J866" t="s">
        <v>30</v>
      </c>
      <c r="K866" t="s">
        <v>27</v>
      </c>
      <c r="L866" t="s">
        <v>4777</v>
      </c>
      <c r="M866" t="s">
        <v>4778</v>
      </c>
      <c r="N866" t="s">
        <v>4623</v>
      </c>
      <c r="O866" t="s">
        <v>54</v>
      </c>
      <c r="P866" t="s">
        <v>4779</v>
      </c>
      <c r="Q866" t="s">
        <v>144</v>
      </c>
      <c r="R866" s="26" t="s">
        <v>354</v>
      </c>
      <c r="S866">
        <v>2.2000000000000002</v>
      </c>
      <c r="T866">
        <v>3653</v>
      </c>
      <c r="U866">
        <v>0</v>
      </c>
      <c r="V866">
        <v>3653</v>
      </c>
    </row>
    <row r="867" spans="1:22" x14ac:dyDescent="0.3">
      <c r="A867">
        <v>186607</v>
      </c>
      <c r="B867">
        <v>456829170</v>
      </c>
      <c r="C867" t="s">
        <v>4780</v>
      </c>
      <c r="D867" s="9" t="s">
        <v>4781</v>
      </c>
      <c r="E867" t="s">
        <v>4620</v>
      </c>
      <c r="F867" t="s">
        <v>770</v>
      </c>
      <c r="G867" t="s">
        <v>28</v>
      </c>
      <c r="H867" t="s">
        <v>29</v>
      </c>
      <c r="I867" t="s">
        <v>34</v>
      </c>
      <c r="J867" t="s">
        <v>30</v>
      </c>
      <c r="K867" t="s">
        <v>27</v>
      </c>
      <c r="L867" t="s">
        <v>4782</v>
      </c>
      <c r="M867" t="s">
        <v>4783</v>
      </c>
      <c r="N867" t="s">
        <v>4623</v>
      </c>
      <c r="O867" t="s">
        <v>54</v>
      </c>
      <c r="P867" t="s">
        <v>4784</v>
      </c>
      <c r="Q867" t="s">
        <v>41</v>
      </c>
      <c r="R867" s="26" t="s">
        <v>4754</v>
      </c>
      <c r="S867">
        <v>3</v>
      </c>
      <c r="T867">
        <v>3935</v>
      </c>
      <c r="U867">
        <v>0</v>
      </c>
      <c r="V867">
        <v>3935</v>
      </c>
    </row>
    <row r="868" spans="1:22" x14ac:dyDescent="0.3">
      <c r="A868">
        <v>186607</v>
      </c>
      <c r="B868">
        <v>456829164</v>
      </c>
      <c r="C868" t="s">
        <v>4785</v>
      </c>
      <c r="D868" s="9" t="s">
        <v>4786</v>
      </c>
      <c r="E868" t="s">
        <v>4620</v>
      </c>
      <c r="F868" t="s">
        <v>770</v>
      </c>
      <c r="G868" t="s">
        <v>28</v>
      </c>
      <c r="H868" t="s">
        <v>29</v>
      </c>
      <c r="I868" t="s">
        <v>34</v>
      </c>
      <c r="J868" t="s">
        <v>30</v>
      </c>
      <c r="K868" t="s">
        <v>27</v>
      </c>
      <c r="L868" t="s">
        <v>4787</v>
      </c>
      <c r="M868" t="s">
        <v>4788</v>
      </c>
      <c r="N868" t="s">
        <v>4623</v>
      </c>
      <c r="O868" t="s">
        <v>54</v>
      </c>
      <c r="P868" t="s">
        <v>4789</v>
      </c>
      <c r="Q868" t="s">
        <v>80</v>
      </c>
      <c r="R868" s="26" t="s">
        <v>4754</v>
      </c>
      <c r="S868">
        <v>2.9</v>
      </c>
      <c r="T868">
        <v>3250</v>
      </c>
      <c r="U868">
        <v>0</v>
      </c>
      <c r="V868">
        <v>3250</v>
      </c>
    </row>
    <row r="869" spans="1:22" x14ac:dyDescent="0.3">
      <c r="A869">
        <v>186607</v>
      </c>
      <c r="B869">
        <v>455683836</v>
      </c>
      <c r="C869" t="s">
        <v>4790</v>
      </c>
      <c r="D869" s="9" t="s">
        <v>4791</v>
      </c>
      <c r="E869" t="s">
        <v>4620</v>
      </c>
      <c r="F869" t="s">
        <v>770</v>
      </c>
      <c r="G869" t="s">
        <v>28</v>
      </c>
      <c r="H869" t="s">
        <v>29</v>
      </c>
      <c r="I869" t="s">
        <v>34</v>
      </c>
      <c r="J869" t="s">
        <v>30</v>
      </c>
      <c r="K869" t="s">
        <v>27</v>
      </c>
      <c r="L869" t="s">
        <v>4792</v>
      </c>
      <c r="M869" t="s">
        <v>4793</v>
      </c>
      <c r="N869" t="s">
        <v>4623</v>
      </c>
      <c r="O869" t="s">
        <v>54</v>
      </c>
      <c r="P869" t="s">
        <v>4794</v>
      </c>
      <c r="Q869" t="s">
        <v>286</v>
      </c>
      <c r="R869" s="26" t="s">
        <v>720</v>
      </c>
      <c r="S869">
        <v>1</v>
      </c>
      <c r="T869">
        <v>5295</v>
      </c>
      <c r="U869">
        <v>0</v>
      </c>
      <c r="V869">
        <v>5295</v>
      </c>
    </row>
    <row r="870" spans="1:22" x14ac:dyDescent="0.3">
      <c r="A870">
        <v>186607</v>
      </c>
      <c r="B870">
        <v>456807850</v>
      </c>
      <c r="C870" t="s">
        <v>4795</v>
      </c>
      <c r="D870" s="9" t="s">
        <v>4796</v>
      </c>
      <c r="E870" t="s">
        <v>4620</v>
      </c>
      <c r="F870" t="s">
        <v>770</v>
      </c>
      <c r="G870" t="s">
        <v>28</v>
      </c>
      <c r="H870" t="s">
        <v>29</v>
      </c>
      <c r="I870" t="s">
        <v>34</v>
      </c>
      <c r="J870" t="s">
        <v>30</v>
      </c>
      <c r="K870" t="s">
        <v>27</v>
      </c>
      <c r="L870" t="s">
        <v>4797</v>
      </c>
      <c r="M870" t="s">
        <v>4798</v>
      </c>
      <c r="N870" t="s">
        <v>4623</v>
      </c>
      <c r="O870" t="s">
        <v>54</v>
      </c>
      <c r="P870" t="s">
        <v>4799</v>
      </c>
      <c r="Q870" t="s">
        <v>61</v>
      </c>
      <c r="R870" s="26" t="s">
        <v>753</v>
      </c>
      <c r="S870">
        <v>0.5</v>
      </c>
      <c r="T870">
        <v>3552</v>
      </c>
      <c r="U870">
        <v>0</v>
      </c>
      <c r="V870">
        <v>3552</v>
      </c>
    </row>
    <row r="871" spans="1:22" x14ac:dyDescent="0.3">
      <c r="A871">
        <v>186607</v>
      </c>
      <c r="B871">
        <v>456793313</v>
      </c>
      <c r="C871" t="s">
        <v>4800</v>
      </c>
      <c r="D871" s="9" t="s">
        <v>4801</v>
      </c>
      <c r="E871" t="s">
        <v>4620</v>
      </c>
      <c r="F871" t="s">
        <v>770</v>
      </c>
      <c r="G871" t="s">
        <v>28</v>
      </c>
      <c r="H871" t="s">
        <v>29</v>
      </c>
      <c r="I871" t="s">
        <v>34</v>
      </c>
      <c r="J871" t="s">
        <v>30</v>
      </c>
      <c r="K871" t="s">
        <v>27</v>
      </c>
      <c r="L871" t="s">
        <v>4802</v>
      </c>
      <c r="M871" t="s">
        <v>4803</v>
      </c>
      <c r="N871" t="s">
        <v>4623</v>
      </c>
      <c r="O871" t="s">
        <v>54</v>
      </c>
      <c r="P871" t="s">
        <v>4804</v>
      </c>
      <c r="Q871" t="s">
        <v>94</v>
      </c>
      <c r="R871" s="26" t="s">
        <v>4805</v>
      </c>
      <c r="S871">
        <v>2.2999999999999998</v>
      </c>
      <c r="T871">
        <v>3935</v>
      </c>
      <c r="U871">
        <v>0</v>
      </c>
      <c r="V871">
        <v>3935</v>
      </c>
    </row>
    <row r="872" spans="1:22" x14ac:dyDescent="0.3">
      <c r="A872">
        <v>186607</v>
      </c>
      <c r="B872">
        <v>456793312</v>
      </c>
      <c r="C872" t="s">
        <v>4806</v>
      </c>
      <c r="D872" s="9" t="s">
        <v>4807</v>
      </c>
      <c r="E872" t="s">
        <v>4620</v>
      </c>
      <c r="F872" t="s">
        <v>770</v>
      </c>
      <c r="G872" t="s">
        <v>28</v>
      </c>
      <c r="H872" t="s">
        <v>29</v>
      </c>
      <c r="I872" t="s">
        <v>34</v>
      </c>
      <c r="J872" t="s">
        <v>30</v>
      </c>
      <c r="K872" t="s">
        <v>27</v>
      </c>
      <c r="L872" t="s">
        <v>4808</v>
      </c>
      <c r="M872" t="s">
        <v>4809</v>
      </c>
      <c r="N872" t="s">
        <v>4623</v>
      </c>
      <c r="O872" t="s">
        <v>54</v>
      </c>
      <c r="P872" t="s">
        <v>4810</v>
      </c>
      <c r="Q872" t="s">
        <v>119</v>
      </c>
      <c r="R872" s="26" t="s">
        <v>4805</v>
      </c>
      <c r="S872">
        <v>1</v>
      </c>
      <c r="T872">
        <v>4205</v>
      </c>
      <c r="U872">
        <v>0</v>
      </c>
      <c r="V872">
        <v>4205</v>
      </c>
    </row>
    <row r="873" spans="1:22" x14ac:dyDescent="0.3">
      <c r="A873">
        <v>186607</v>
      </c>
      <c r="B873">
        <v>456751264</v>
      </c>
      <c r="C873" t="s">
        <v>4811</v>
      </c>
      <c r="D873" s="9" t="s">
        <v>4812</v>
      </c>
      <c r="E873" t="s">
        <v>4620</v>
      </c>
      <c r="F873" t="s">
        <v>770</v>
      </c>
      <c r="G873" t="s">
        <v>28</v>
      </c>
      <c r="H873" t="s">
        <v>29</v>
      </c>
      <c r="I873" t="s">
        <v>34</v>
      </c>
      <c r="J873" t="s">
        <v>30</v>
      </c>
      <c r="K873" t="s">
        <v>27</v>
      </c>
      <c r="L873" t="s">
        <v>4813</v>
      </c>
      <c r="M873" t="s">
        <v>4814</v>
      </c>
      <c r="N873" t="s">
        <v>4623</v>
      </c>
      <c r="O873" t="s">
        <v>54</v>
      </c>
      <c r="P873" t="s">
        <v>4815</v>
      </c>
      <c r="Q873" t="s">
        <v>192</v>
      </c>
      <c r="R873" s="26" t="s">
        <v>4630</v>
      </c>
      <c r="S873">
        <v>0.5</v>
      </c>
      <c r="T873">
        <v>3552</v>
      </c>
      <c r="U873">
        <v>0</v>
      </c>
      <c r="V873">
        <v>3552</v>
      </c>
    </row>
    <row r="874" spans="1:22" x14ac:dyDescent="0.3">
      <c r="A874">
        <v>186607</v>
      </c>
      <c r="B874">
        <v>456807860</v>
      </c>
      <c r="C874" t="s">
        <v>4816</v>
      </c>
      <c r="D874" s="9" t="s">
        <v>4817</v>
      </c>
      <c r="E874" t="s">
        <v>4620</v>
      </c>
      <c r="F874" t="s">
        <v>770</v>
      </c>
      <c r="G874" t="s">
        <v>28</v>
      </c>
      <c r="H874" t="s">
        <v>29</v>
      </c>
      <c r="I874" t="s">
        <v>34</v>
      </c>
      <c r="J874" t="s">
        <v>30</v>
      </c>
      <c r="K874" t="s">
        <v>27</v>
      </c>
      <c r="L874" t="s">
        <v>4818</v>
      </c>
      <c r="M874" t="s">
        <v>4819</v>
      </c>
      <c r="N874" t="s">
        <v>4623</v>
      </c>
      <c r="O874" t="s">
        <v>54</v>
      </c>
      <c r="P874" t="s">
        <v>4820</v>
      </c>
      <c r="Q874" t="s">
        <v>137</v>
      </c>
      <c r="R874" s="26" t="s">
        <v>753</v>
      </c>
      <c r="S874">
        <v>0.5</v>
      </c>
      <c r="T874">
        <v>3552</v>
      </c>
      <c r="U874">
        <v>0</v>
      </c>
      <c r="V874">
        <v>3552</v>
      </c>
    </row>
    <row r="875" spans="1:22" x14ac:dyDescent="0.3">
      <c r="A875">
        <v>186607</v>
      </c>
      <c r="B875">
        <v>456676392</v>
      </c>
      <c r="C875" t="s">
        <v>4821</v>
      </c>
      <c r="D875" s="9" t="s">
        <v>4822</v>
      </c>
      <c r="E875" t="s">
        <v>4620</v>
      </c>
      <c r="F875" t="s">
        <v>770</v>
      </c>
      <c r="G875" t="s">
        <v>28</v>
      </c>
      <c r="H875" t="s">
        <v>29</v>
      </c>
      <c r="I875" t="s">
        <v>34</v>
      </c>
      <c r="J875" t="s">
        <v>30</v>
      </c>
      <c r="K875" t="s">
        <v>27</v>
      </c>
      <c r="L875" t="s">
        <v>4823</v>
      </c>
      <c r="M875" t="s">
        <v>4824</v>
      </c>
      <c r="N875" t="s">
        <v>4623</v>
      </c>
      <c r="O875" t="s">
        <v>54</v>
      </c>
      <c r="P875" t="s">
        <v>4825</v>
      </c>
      <c r="Q875" t="s">
        <v>68</v>
      </c>
      <c r="R875" s="26" t="s">
        <v>505</v>
      </c>
      <c r="S875">
        <v>3.7</v>
      </c>
      <c r="T875">
        <v>8250</v>
      </c>
      <c r="U875">
        <v>0</v>
      </c>
      <c r="V875">
        <v>8250</v>
      </c>
    </row>
    <row r="876" spans="1:22" x14ac:dyDescent="0.3">
      <c r="A876">
        <v>186607</v>
      </c>
      <c r="B876">
        <v>456751266</v>
      </c>
      <c r="C876" t="s">
        <v>4826</v>
      </c>
      <c r="D876" s="9" t="s">
        <v>4827</v>
      </c>
      <c r="E876" t="s">
        <v>4620</v>
      </c>
      <c r="F876" t="s">
        <v>770</v>
      </c>
      <c r="G876" t="s">
        <v>28</v>
      </c>
      <c r="H876" t="s">
        <v>29</v>
      </c>
      <c r="I876" t="s">
        <v>34</v>
      </c>
      <c r="J876" t="s">
        <v>30</v>
      </c>
      <c r="K876" t="s">
        <v>27</v>
      </c>
      <c r="L876" t="s">
        <v>4828</v>
      </c>
      <c r="M876" t="s">
        <v>4829</v>
      </c>
      <c r="N876" t="s">
        <v>4623</v>
      </c>
      <c r="O876" t="s">
        <v>54</v>
      </c>
      <c r="P876" t="s">
        <v>4830</v>
      </c>
      <c r="Q876" t="s">
        <v>133</v>
      </c>
      <c r="R876" s="26" t="s">
        <v>4630</v>
      </c>
      <c r="S876">
        <v>2</v>
      </c>
      <c r="T876">
        <v>7868</v>
      </c>
      <c r="U876">
        <v>0</v>
      </c>
      <c r="V876">
        <v>7868</v>
      </c>
    </row>
    <row r="877" spans="1:22" x14ac:dyDescent="0.3">
      <c r="A877">
        <v>186607</v>
      </c>
      <c r="B877">
        <v>456793327</v>
      </c>
      <c r="C877" t="s">
        <v>4831</v>
      </c>
      <c r="D877" s="9" t="s">
        <v>4832</v>
      </c>
      <c r="E877" t="s">
        <v>4620</v>
      </c>
      <c r="F877" t="s">
        <v>770</v>
      </c>
      <c r="G877" t="s">
        <v>28</v>
      </c>
      <c r="H877" t="s">
        <v>29</v>
      </c>
      <c r="I877" t="s">
        <v>34</v>
      </c>
      <c r="J877" t="s">
        <v>30</v>
      </c>
      <c r="K877" t="s">
        <v>27</v>
      </c>
      <c r="L877" t="s">
        <v>4833</v>
      </c>
      <c r="M877" t="s">
        <v>4834</v>
      </c>
      <c r="N877" t="s">
        <v>4623</v>
      </c>
      <c r="O877" t="s">
        <v>54</v>
      </c>
      <c r="P877" t="s">
        <v>4835</v>
      </c>
      <c r="Q877" t="s">
        <v>162</v>
      </c>
      <c r="R877" s="26" t="s">
        <v>4805</v>
      </c>
      <c r="S877">
        <v>1</v>
      </c>
      <c r="T877">
        <v>3737</v>
      </c>
      <c r="U877">
        <v>0</v>
      </c>
      <c r="V877">
        <v>3737</v>
      </c>
    </row>
    <row r="878" spans="1:22" x14ac:dyDescent="0.3">
      <c r="A878">
        <v>186607</v>
      </c>
      <c r="B878">
        <v>456793320</v>
      </c>
      <c r="C878" t="s">
        <v>4836</v>
      </c>
      <c r="D878" s="9" t="s">
        <v>4837</v>
      </c>
      <c r="E878" t="s">
        <v>4620</v>
      </c>
      <c r="F878" t="s">
        <v>770</v>
      </c>
      <c r="G878" t="s">
        <v>28</v>
      </c>
      <c r="H878" t="s">
        <v>29</v>
      </c>
      <c r="I878" t="s">
        <v>34</v>
      </c>
      <c r="J878" t="s">
        <v>30</v>
      </c>
      <c r="K878" t="s">
        <v>27</v>
      </c>
      <c r="L878" t="s">
        <v>4838</v>
      </c>
      <c r="M878" t="s">
        <v>4839</v>
      </c>
      <c r="N878" t="s">
        <v>4623</v>
      </c>
      <c r="O878" t="s">
        <v>54</v>
      </c>
      <c r="P878" t="s">
        <v>4840</v>
      </c>
      <c r="Q878" t="s">
        <v>42</v>
      </c>
      <c r="R878" s="26" t="s">
        <v>4805</v>
      </c>
      <c r="S878">
        <v>3.4</v>
      </c>
      <c r="T878">
        <v>4182</v>
      </c>
      <c r="U878">
        <v>0</v>
      </c>
      <c r="V878">
        <v>4182</v>
      </c>
    </row>
    <row r="879" spans="1:22" x14ac:dyDescent="0.3">
      <c r="A879">
        <v>186607</v>
      </c>
      <c r="B879">
        <v>456793319</v>
      </c>
      <c r="C879" t="s">
        <v>4841</v>
      </c>
      <c r="D879" s="9" t="s">
        <v>4842</v>
      </c>
      <c r="E879" t="s">
        <v>4620</v>
      </c>
      <c r="F879" t="s">
        <v>770</v>
      </c>
      <c r="G879" t="s">
        <v>28</v>
      </c>
      <c r="H879" t="s">
        <v>29</v>
      </c>
      <c r="I879" t="s">
        <v>34</v>
      </c>
      <c r="J879" t="s">
        <v>30</v>
      </c>
      <c r="K879" t="s">
        <v>27</v>
      </c>
      <c r="L879" t="s">
        <v>4843</v>
      </c>
      <c r="M879" t="s">
        <v>4844</v>
      </c>
      <c r="N879" t="s">
        <v>4623</v>
      </c>
      <c r="O879" t="s">
        <v>54</v>
      </c>
      <c r="P879" t="s">
        <v>4845</v>
      </c>
      <c r="Q879" t="s">
        <v>67</v>
      </c>
      <c r="R879" s="26" t="s">
        <v>4805</v>
      </c>
      <c r="S879">
        <v>0.5</v>
      </c>
      <c r="T879">
        <v>3339</v>
      </c>
      <c r="U879">
        <v>0</v>
      </c>
      <c r="V879">
        <v>3339</v>
      </c>
    </row>
    <row r="880" spans="1:22" x14ac:dyDescent="0.3">
      <c r="A880">
        <v>186607</v>
      </c>
      <c r="B880">
        <v>456807846</v>
      </c>
      <c r="C880" t="s">
        <v>4846</v>
      </c>
      <c r="D880" s="9" t="s">
        <v>4847</v>
      </c>
      <c r="E880" t="s">
        <v>4620</v>
      </c>
      <c r="F880" t="s">
        <v>770</v>
      </c>
      <c r="G880" t="s">
        <v>28</v>
      </c>
      <c r="H880" t="s">
        <v>29</v>
      </c>
      <c r="I880" t="s">
        <v>34</v>
      </c>
      <c r="J880" t="s">
        <v>30</v>
      </c>
      <c r="K880" t="s">
        <v>27</v>
      </c>
      <c r="L880" t="s">
        <v>4848</v>
      </c>
      <c r="M880" t="s">
        <v>4849</v>
      </c>
      <c r="N880" t="s">
        <v>4623</v>
      </c>
      <c r="O880" t="s">
        <v>54</v>
      </c>
      <c r="P880" t="s">
        <v>4850</v>
      </c>
      <c r="Q880" t="s">
        <v>122</v>
      </c>
      <c r="R880" s="26" t="s">
        <v>753</v>
      </c>
      <c r="S880">
        <v>0.5</v>
      </c>
      <c r="T880">
        <v>3552</v>
      </c>
      <c r="U880">
        <v>0</v>
      </c>
      <c r="V880">
        <v>3552</v>
      </c>
    </row>
    <row r="881" spans="1:22" x14ac:dyDescent="0.3">
      <c r="A881">
        <v>186607</v>
      </c>
      <c r="B881">
        <v>456793315</v>
      </c>
      <c r="C881" t="s">
        <v>4851</v>
      </c>
      <c r="D881" s="9" t="s">
        <v>4852</v>
      </c>
      <c r="E881" t="s">
        <v>4620</v>
      </c>
      <c r="F881" t="s">
        <v>770</v>
      </c>
      <c r="G881" t="s">
        <v>28</v>
      </c>
      <c r="H881" t="s">
        <v>29</v>
      </c>
      <c r="I881" t="s">
        <v>34</v>
      </c>
      <c r="J881" t="s">
        <v>30</v>
      </c>
      <c r="K881" t="s">
        <v>27</v>
      </c>
      <c r="L881" t="s">
        <v>507</v>
      </c>
      <c r="M881" t="s">
        <v>4853</v>
      </c>
      <c r="N881" t="s">
        <v>4623</v>
      </c>
      <c r="O881" t="s">
        <v>54</v>
      </c>
      <c r="P881" t="s">
        <v>4854</v>
      </c>
      <c r="Q881" t="s">
        <v>171</v>
      </c>
      <c r="R881" s="26" t="s">
        <v>4805</v>
      </c>
      <c r="S881">
        <v>3.6</v>
      </c>
      <c r="T881">
        <v>3664</v>
      </c>
      <c r="U881">
        <v>0</v>
      </c>
      <c r="V881">
        <v>3664</v>
      </c>
    </row>
    <row r="882" spans="1:22" x14ac:dyDescent="0.3">
      <c r="A882">
        <v>186607</v>
      </c>
      <c r="B882">
        <v>456793318</v>
      </c>
      <c r="C882" t="s">
        <v>4855</v>
      </c>
      <c r="D882" s="9" t="s">
        <v>4856</v>
      </c>
      <c r="E882" t="s">
        <v>4620</v>
      </c>
      <c r="F882" t="s">
        <v>770</v>
      </c>
      <c r="G882" t="s">
        <v>28</v>
      </c>
      <c r="H882" t="s">
        <v>29</v>
      </c>
      <c r="I882" t="s">
        <v>34</v>
      </c>
      <c r="J882" t="s">
        <v>30</v>
      </c>
      <c r="K882" t="s">
        <v>27</v>
      </c>
      <c r="L882" t="s">
        <v>4857</v>
      </c>
      <c r="M882" t="s">
        <v>4858</v>
      </c>
      <c r="N882" t="s">
        <v>4623</v>
      </c>
      <c r="O882" t="s">
        <v>54</v>
      </c>
      <c r="P882" t="s">
        <v>4859</v>
      </c>
      <c r="Q882" t="s">
        <v>108</v>
      </c>
      <c r="R882" s="26" t="s">
        <v>4805</v>
      </c>
      <c r="S882">
        <v>0.5</v>
      </c>
      <c r="T882">
        <v>3193</v>
      </c>
      <c r="U882">
        <v>0</v>
      </c>
      <c r="V882">
        <v>3193</v>
      </c>
    </row>
    <row r="883" spans="1:22" x14ac:dyDescent="0.3">
      <c r="A883">
        <v>186607</v>
      </c>
      <c r="B883">
        <v>456703523</v>
      </c>
      <c r="C883" t="s">
        <v>4860</v>
      </c>
      <c r="D883" s="9" t="s">
        <v>4861</v>
      </c>
      <c r="E883" t="s">
        <v>4620</v>
      </c>
      <c r="F883" t="s">
        <v>770</v>
      </c>
      <c r="G883" t="s">
        <v>28</v>
      </c>
      <c r="H883" t="s">
        <v>29</v>
      </c>
      <c r="I883" t="s">
        <v>34</v>
      </c>
      <c r="J883" t="s">
        <v>30</v>
      </c>
      <c r="K883" t="s">
        <v>27</v>
      </c>
      <c r="L883" t="s">
        <v>4862</v>
      </c>
      <c r="M883" t="s">
        <v>4863</v>
      </c>
      <c r="N883" t="s">
        <v>4623</v>
      </c>
      <c r="O883" t="s">
        <v>54</v>
      </c>
      <c r="P883" t="s">
        <v>4864</v>
      </c>
      <c r="Q883" t="s">
        <v>88</v>
      </c>
      <c r="R883" s="26" t="s">
        <v>4865</v>
      </c>
      <c r="S883">
        <v>3.7</v>
      </c>
      <c r="T883">
        <v>7239</v>
      </c>
      <c r="U883">
        <v>0</v>
      </c>
      <c r="V883">
        <v>7239</v>
      </c>
    </row>
    <row r="884" spans="1:22" x14ac:dyDescent="0.3">
      <c r="A884">
        <v>186607</v>
      </c>
      <c r="B884">
        <v>456720924</v>
      </c>
      <c r="C884" t="s">
        <v>4866</v>
      </c>
      <c r="D884" s="9" t="s">
        <v>4867</v>
      </c>
      <c r="E884" t="s">
        <v>4620</v>
      </c>
      <c r="F884" t="s">
        <v>770</v>
      </c>
      <c r="G884" t="s">
        <v>28</v>
      </c>
      <c r="H884" t="s">
        <v>29</v>
      </c>
      <c r="I884" t="s">
        <v>34</v>
      </c>
      <c r="J884" t="s">
        <v>30</v>
      </c>
      <c r="K884" t="s">
        <v>27</v>
      </c>
      <c r="L884" t="s">
        <v>4868</v>
      </c>
      <c r="M884" t="s">
        <v>4869</v>
      </c>
      <c r="N884" t="s">
        <v>4623</v>
      </c>
      <c r="O884" t="s">
        <v>54</v>
      </c>
      <c r="P884" t="s">
        <v>4870</v>
      </c>
      <c r="Q884" t="s">
        <v>69</v>
      </c>
      <c r="R884" s="26" t="s">
        <v>519</v>
      </c>
      <c r="S884">
        <v>1.6</v>
      </c>
      <c r="T884">
        <v>3935</v>
      </c>
      <c r="U884">
        <v>0</v>
      </c>
      <c r="V884">
        <v>3935</v>
      </c>
    </row>
    <row r="885" spans="1:22" x14ac:dyDescent="0.3">
      <c r="A885">
        <v>186607</v>
      </c>
      <c r="B885">
        <v>456703500</v>
      </c>
      <c r="C885" t="s">
        <v>4871</v>
      </c>
      <c r="D885" s="9" t="s">
        <v>4872</v>
      </c>
      <c r="E885" t="s">
        <v>4620</v>
      </c>
      <c r="F885" t="s">
        <v>770</v>
      </c>
      <c r="G885" t="s">
        <v>28</v>
      </c>
      <c r="H885" t="s">
        <v>29</v>
      </c>
      <c r="I885" t="s">
        <v>34</v>
      </c>
      <c r="J885" t="s">
        <v>30</v>
      </c>
      <c r="K885" t="s">
        <v>27</v>
      </c>
      <c r="L885" t="s">
        <v>4873</v>
      </c>
      <c r="M885" t="s">
        <v>692</v>
      </c>
      <c r="N885" t="s">
        <v>4623</v>
      </c>
      <c r="O885" t="s">
        <v>54</v>
      </c>
      <c r="P885" t="s">
        <v>4874</v>
      </c>
      <c r="Q885" t="s">
        <v>84</v>
      </c>
      <c r="R885" s="26" t="s">
        <v>4865</v>
      </c>
      <c r="S885">
        <v>3.7</v>
      </c>
      <c r="T885">
        <v>7745</v>
      </c>
      <c r="U885">
        <v>0</v>
      </c>
      <c r="V885">
        <v>7745</v>
      </c>
    </row>
    <row r="886" spans="1:22" x14ac:dyDescent="0.3">
      <c r="A886">
        <v>186607</v>
      </c>
      <c r="B886">
        <v>456720894</v>
      </c>
      <c r="C886" t="s">
        <v>4875</v>
      </c>
      <c r="D886" s="9" t="s">
        <v>4876</v>
      </c>
      <c r="E886" t="s">
        <v>4620</v>
      </c>
      <c r="F886" t="s">
        <v>770</v>
      </c>
      <c r="G886" t="s">
        <v>28</v>
      </c>
      <c r="H886" t="s">
        <v>29</v>
      </c>
      <c r="I886" t="s">
        <v>34</v>
      </c>
      <c r="J886" t="s">
        <v>30</v>
      </c>
      <c r="K886" t="s">
        <v>27</v>
      </c>
      <c r="L886" t="s">
        <v>4877</v>
      </c>
      <c r="M886" t="s">
        <v>630</v>
      </c>
      <c r="N886" t="s">
        <v>4623</v>
      </c>
      <c r="O886" t="s">
        <v>54</v>
      </c>
      <c r="P886" t="s">
        <v>4878</v>
      </c>
      <c r="Q886" t="s">
        <v>41</v>
      </c>
      <c r="R886" s="26" t="s">
        <v>519</v>
      </c>
      <c r="S886">
        <v>1.7</v>
      </c>
      <c r="T886">
        <v>3935</v>
      </c>
      <c r="U886">
        <v>0</v>
      </c>
      <c r="V886">
        <v>3935</v>
      </c>
    </row>
    <row r="887" spans="1:22" x14ac:dyDescent="0.3">
      <c r="A887">
        <v>186607</v>
      </c>
      <c r="B887">
        <v>456720898</v>
      </c>
      <c r="C887" t="s">
        <v>4879</v>
      </c>
      <c r="D887" s="9" t="s">
        <v>4880</v>
      </c>
      <c r="E887" t="s">
        <v>4620</v>
      </c>
      <c r="F887" t="s">
        <v>770</v>
      </c>
      <c r="G887" t="s">
        <v>28</v>
      </c>
      <c r="H887" t="s">
        <v>29</v>
      </c>
      <c r="I887" t="s">
        <v>34</v>
      </c>
      <c r="J887" t="s">
        <v>30</v>
      </c>
      <c r="K887" t="s">
        <v>27</v>
      </c>
      <c r="L887" t="s">
        <v>4881</v>
      </c>
      <c r="M887" t="s">
        <v>4882</v>
      </c>
      <c r="N887" t="s">
        <v>4623</v>
      </c>
      <c r="O887" t="s">
        <v>54</v>
      </c>
      <c r="P887" t="s">
        <v>4883</v>
      </c>
      <c r="Q887" t="s">
        <v>62</v>
      </c>
      <c r="R887" s="26" t="s">
        <v>519</v>
      </c>
      <c r="S887">
        <v>4.4000000000000004</v>
      </c>
      <c r="T887">
        <v>4182</v>
      </c>
      <c r="U887">
        <v>0</v>
      </c>
      <c r="V887">
        <v>4182</v>
      </c>
    </row>
    <row r="888" spans="1:22" x14ac:dyDescent="0.3">
      <c r="A888">
        <v>186607</v>
      </c>
      <c r="B888">
        <v>456676384</v>
      </c>
      <c r="C888" t="s">
        <v>4884</v>
      </c>
      <c r="D888" s="9" t="s">
        <v>4885</v>
      </c>
      <c r="E888" t="s">
        <v>4620</v>
      </c>
      <c r="F888" t="s">
        <v>770</v>
      </c>
      <c r="G888" t="s">
        <v>28</v>
      </c>
      <c r="H888" t="s">
        <v>29</v>
      </c>
      <c r="I888" t="s">
        <v>34</v>
      </c>
      <c r="J888" t="s">
        <v>30</v>
      </c>
      <c r="K888" t="s">
        <v>27</v>
      </c>
      <c r="L888" t="s">
        <v>4886</v>
      </c>
      <c r="M888" t="s">
        <v>4887</v>
      </c>
      <c r="N888" t="s">
        <v>4623</v>
      </c>
      <c r="O888" t="s">
        <v>54</v>
      </c>
      <c r="P888" t="s">
        <v>4888</v>
      </c>
      <c r="Q888" t="s">
        <v>141</v>
      </c>
      <c r="R888" s="26" t="s">
        <v>505</v>
      </c>
      <c r="S888">
        <v>3.1</v>
      </c>
      <c r="T888">
        <v>4935</v>
      </c>
      <c r="U888">
        <v>0</v>
      </c>
      <c r="V888">
        <v>4935</v>
      </c>
    </row>
    <row r="889" spans="1:22" x14ac:dyDescent="0.3">
      <c r="A889">
        <v>186607</v>
      </c>
      <c r="B889">
        <v>456766310</v>
      </c>
      <c r="C889" t="s">
        <v>4889</v>
      </c>
      <c r="D889" s="9" t="s">
        <v>4890</v>
      </c>
      <c r="E889" t="s">
        <v>4620</v>
      </c>
      <c r="F889" t="s">
        <v>770</v>
      </c>
      <c r="G889" t="s">
        <v>28</v>
      </c>
      <c r="H889" t="s">
        <v>29</v>
      </c>
      <c r="I889" t="s">
        <v>34</v>
      </c>
      <c r="J889" t="s">
        <v>30</v>
      </c>
      <c r="K889" t="s">
        <v>27</v>
      </c>
      <c r="L889" t="s">
        <v>4891</v>
      </c>
      <c r="M889" t="s">
        <v>4892</v>
      </c>
      <c r="N889" t="s">
        <v>4623</v>
      </c>
      <c r="O889" t="s">
        <v>54</v>
      </c>
      <c r="P889" t="s">
        <v>4893</v>
      </c>
      <c r="Q889" t="s">
        <v>109</v>
      </c>
      <c r="R889" s="26" t="s">
        <v>272</v>
      </c>
      <c r="S889">
        <v>0.5</v>
      </c>
      <c r="T889">
        <v>3193</v>
      </c>
      <c r="U889">
        <v>0</v>
      </c>
      <c r="V889">
        <v>3193</v>
      </c>
    </row>
    <row r="890" spans="1:22" x14ac:dyDescent="0.3">
      <c r="A890">
        <v>186607</v>
      </c>
      <c r="B890">
        <v>456767284</v>
      </c>
      <c r="C890" t="s">
        <v>4894</v>
      </c>
      <c r="D890" s="9" t="s">
        <v>4895</v>
      </c>
      <c r="E890" t="s">
        <v>4620</v>
      </c>
      <c r="F890" t="s">
        <v>770</v>
      </c>
      <c r="G890" t="s">
        <v>28</v>
      </c>
      <c r="H890" t="s">
        <v>29</v>
      </c>
      <c r="I890" t="s">
        <v>34</v>
      </c>
      <c r="J890" t="s">
        <v>30</v>
      </c>
      <c r="K890" t="s">
        <v>27</v>
      </c>
      <c r="L890" t="s">
        <v>4896</v>
      </c>
      <c r="M890" t="s">
        <v>4897</v>
      </c>
      <c r="N890" t="s">
        <v>4623</v>
      </c>
      <c r="O890" t="s">
        <v>54</v>
      </c>
      <c r="P890" t="s">
        <v>4898</v>
      </c>
      <c r="Q890" t="s">
        <v>135</v>
      </c>
      <c r="R890" s="26" t="s">
        <v>752</v>
      </c>
      <c r="S890">
        <v>3.1</v>
      </c>
      <c r="T890">
        <v>3664</v>
      </c>
      <c r="U890">
        <v>0</v>
      </c>
      <c r="V890">
        <v>3664</v>
      </c>
    </row>
    <row r="891" spans="1:22" x14ac:dyDescent="0.3">
      <c r="A891">
        <v>186607</v>
      </c>
      <c r="B891">
        <v>456703494</v>
      </c>
      <c r="C891" t="s">
        <v>4899</v>
      </c>
      <c r="D891" s="9" t="s">
        <v>4900</v>
      </c>
      <c r="E891" t="s">
        <v>4620</v>
      </c>
      <c r="F891" t="s">
        <v>770</v>
      </c>
      <c r="G891" t="s">
        <v>28</v>
      </c>
      <c r="H891" t="s">
        <v>29</v>
      </c>
      <c r="I891" t="s">
        <v>34</v>
      </c>
      <c r="J891" t="s">
        <v>30</v>
      </c>
      <c r="K891" t="s">
        <v>27</v>
      </c>
      <c r="L891" t="s">
        <v>4901</v>
      </c>
      <c r="M891" t="s">
        <v>4902</v>
      </c>
      <c r="N891" t="s">
        <v>4623</v>
      </c>
      <c r="O891" t="s">
        <v>54</v>
      </c>
      <c r="P891" t="s">
        <v>4903</v>
      </c>
      <c r="Q891" t="s">
        <v>224</v>
      </c>
      <c r="R891" s="26" t="s">
        <v>4865</v>
      </c>
      <c r="S891">
        <v>3.7</v>
      </c>
      <c r="T891">
        <v>4305</v>
      </c>
      <c r="U891">
        <v>0</v>
      </c>
      <c r="V891">
        <v>4305</v>
      </c>
    </row>
    <row r="892" spans="1:22" x14ac:dyDescent="0.3">
      <c r="A892">
        <v>186607</v>
      </c>
      <c r="B892">
        <v>456766294</v>
      </c>
      <c r="C892" t="s">
        <v>4904</v>
      </c>
      <c r="D892" s="9" t="s">
        <v>4905</v>
      </c>
      <c r="E892" t="s">
        <v>4620</v>
      </c>
      <c r="F892" t="s">
        <v>770</v>
      </c>
      <c r="G892" t="s">
        <v>28</v>
      </c>
      <c r="H892" t="s">
        <v>29</v>
      </c>
      <c r="I892" t="s">
        <v>34</v>
      </c>
      <c r="J892" t="s">
        <v>30</v>
      </c>
      <c r="K892" t="s">
        <v>27</v>
      </c>
      <c r="L892" t="s">
        <v>4906</v>
      </c>
      <c r="M892" t="s">
        <v>580</v>
      </c>
      <c r="N892" t="s">
        <v>4623</v>
      </c>
      <c r="O892" t="s">
        <v>54</v>
      </c>
      <c r="P892" t="s">
        <v>4907</v>
      </c>
      <c r="Q892" t="s">
        <v>80</v>
      </c>
      <c r="R892" s="26" t="s">
        <v>235</v>
      </c>
      <c r="S892">
        <v>1.7</v>
      </c>
      <c r="T892">
        <v>3250</v>
      </c>
      <c r="U892">
        <v>0</v>
      </c>
      <c r="V892">
        <v>3250</v>
      </c>
    </row>
    <row r="893" spans="1:22" x14ac:dyDescent="0.3">
      <c r="A893">
        <v>186607</v>
      </c>
      <c r="B893">
        <v>456703501</v>
      </c>
      <c r="C893" t="s">
        <v>4908</v>
      </c>
      <c r="D893" s="9" t="s">
        <v>4909</v>
      </c>
      <c r="E893" t="s">
        <v>4620</v>
      </c>
      <c r="F893" t="s">
        <v>770</v>
      </c>
      <c r="G893" t="s">
        <v>28</v>
      </c>
      <c r="H893" t="s">
        <v>29</v>
      </c>
      <c r="I893" t="s">
        <v>34</v>
      </c>
      <c r="J893" t="s">
        <v>30</v>
      </c>
      <c r="K893" t="s">
        <v>27</v>
      </c>
      <c r="L893" t="s">
        <v>4910</v>
      </c>
      <c r="M893" t="s">
        <v>4911</v>
      </c>
      <c r="N893" t="s">
        <v>4623</v>
      </c>
      <c r="O893" t="s">
        <v>54</v>
      </c>
      <c r="P893" t="s">
        <v>4912</v>
      </c>
      <c r="Q893" t="s">
        <v>69</v>
      </c>
      <c r="R893" s="26" t="s">
        <v>4865</v>
      </c>
      <c r="S893">
        <v>2.1</v>
      </c>
      <c r="T893">
        <v>3935</v>
      </c>
      <c r="U893">
        <v>0</v>
      </c>
      <c r="V893">
        <v>3935</v>
      </c>
    </row>
    <row r="894" spans="1:22" x14ac:dyDescent="0.3">
      <c r="A894">
        <v>186607</v>
      </c>
      <c r="B894">
        <v>456676379</v>
      </c>
      <c r="C894" t="s">
        <v>4913</v>
      </c>
      <c r="D894" s="9" t="s">
        <v>4914</v>
      </c>
      <c r="E894" t="s">
        <v>4620</v>
      </c>
      <c r="F894" t="s">
        <v>770</v>
      </c>
      <c r="G894" t="s">
        <v>28</v>
      </c>
      <c r="H894" t="s">
        <v>29</v>
      </c>
      <c r="I894" t="s">
        <v>34</v>
      </c>
      <c r="J894" t="s">
        <v>30</v>
      </c>
      <c r="K894" t="s">
        <v>27</v>
      </c>
      <c r="L894" t="s">
        <v>4915</v>
      </c>
      <c r="M894" t="s">
        <v>4916</v>
      </c>
      <c r="N894" t="s">
        <v>4623</v>
      </c>
      <c r="O894" t="s">
        <v>54</v>
      </c>
      <c r="P894" t="s">
        <v>4917</v>
      </c>
      <c r="Q894" t="s">
        <v>154</v>
      </c>
      <c r="R894" s="26" t="s">
        <v>505</v>
      </c>
      <c r="S894">
        <v>3.1</v>
      </c>
      <c r="T894">
        <v>5193</v>
      </c>
      <c r="U894">
        <v>0</v>
      </c>
      <c r="V894">
        <v>5193</v>
      </c>
    </row>
    <row r="895" spans="1:22" x14ac:dyDescent="0.3">
      <c r="A895">
        <v>186607</v>
      </c>
      <c r="B895">
        <v>456703522</v>
      </c>
      <c r="C895" t="s">
        <v>4918</v>
      </c>
      <c r="D895" s="9" t="s">
        <v>4919</v>
      </c>
      <c r="E895" t="s">
        <v>4620</v>
      </c>
      <c r="F895" t="s">
        <v>770</v>
      </c>
      <c r="G895" t="s">
        <v>28</v>
      </c>
      <c r="H895" t="s">
        <v>29</v>
      </c>
      <c r="I895" t="s">
        <v>34</v>
      </c>
      <c r="J895" t="s">
        <v>30</v>
      </c>
      <c r="K895" t="s">
        <v>27</v>
      </c>
      <c r="L895" t="s">
        <v>4920</v>
      </c>
      <c r="M895" t="s">
        <v>602</v>
      </c>
      <c r="N895" t="s">
        <v>4623</v>
      </c>
      <c r="O895" t="s">
        <v>54</v>
      </c>
      <c r="P895" t="s">
        <v>4921</v>
      </c>
      <c r="Q895" t="s">
        <v>109</v>
      </c>
      <c r="R895" s="26" t="s">
        <v>4865</v>
      </c>
      <c r="S895">
        <v>2.1</v>
      </c>
      <c r="T895">
        <v>3250</v>
      </c>
      <c r="U895">
        <v>0</v>
      </c>
      <c r="V895">
        <v>3250</v>
      </c>
    </row>
    <row r="896" spans="1:22" x14ac:dyDescent="0.3">
      <c r="A896">
        <v>186607</v>
      </c>
      <c r="B896">
        <v>456703513</v>
      </c>
      <c r="C896" t="s">
        <v>4922</v>
      </c>
      <c r="D896" s="9" t="s">
        <v>4923</v>
      </c>
      <c r="E896" t="s">
        <v>4620</v>
      </c>
      <c r="F896" t="s">
        <v>770</v>
      </c>
      <c r="G896" t="s">
        <v>28</v>
      </c>
      <c r="H896" t="s">
        <v>29</v>
      </c>
      <c r="I896" t="s">
        <v>34</v>
      </c>
      <c r="J896" t="s">
        <v>30</v>
      </c>
      <c r="K896" t="s">
        <v>27</v>
      </c>
      <c r="L896" t="s">
        <v>4924</v>
      </c>
      <c r="M896" t="s">
        <v>4925</v>
      </c>
      <c r="N896" t="s">
        <v>4623</v>
      </c>
      <c r="O896" t="s">
        <v>54</v>
      </c>
      <c r="P896" t="s">
        <v>4926</v>
      </c>
      <c r="Q896" t="s">
        <v>69</v>
      </c>
      <c r="R896" s="26" t="s">
        <v>4865</v>
      </c>
      <c r="S896">
        <v>1.2</v>
      </c>
      <c r="T896">
        <v>3935</v>
      </c>
      <c r="U896">
        <v>0</v>
      </c>
      <c r="V896">
        <v>3935</v>
      </c>
    </row>
    <row r="897" spans="1:22" x14ac:dyDescent="0.3">
      <c r="A897">
        <v>186607</v>
      </c>
      <c r="B897">
        <v>456703510</v>
      </c>
      <c r="C897" t="s">
        <v>4927</v>
      </c>
      <c r="D897" s="9" t="s">
        <v>4928</v>
      </c>
      <c r="E897" t="s">
        <v>4620</v>
      </c>
      <c r="F897" t="s">
        <v>770</v>
      </c>
      <c r="G897" t="s">
        <v>28</v>
      </c>
      <c r="H897" t="s">
        <v>29</v>
      </c>
      <c r="I897" t="s">
        <v>34</v>
      </c>
      <c r="J897" t="s">
        <v>30</v>
      </c>
      <c r="K897" t="s">
        <v>27</v>
      </c>
      <c r="L897" t="s">
        <v>4929</v>
      </c>
      <c r="M897" t="s">
        <v>4930</v>
      </c>
      <c r="N897" t="s">
        <v>4623</v>
      </c>
      <c r="O897" t="s">
        <v>54</v>
      </c>
      <c r="P897" t="s">
        <v>4931</v>
      </c>
      <c r="Q897" t="s">
        <v>126</v>
      </c>
      <c r="R897" s="26" t="s">
        <v>4865</v>
      </c>
      <c r="S897">
        <v>3.7</v>
      </c>
      <c r="T897">
        <v>4214</v>
      </c>
      <c r="U897">
        <v>0</v>
      </c>
      <c r="V897">
        <v>4214</v>
      </c>
    </row>
    <row r="898" spans="1:22" x14ac:dyDescent="0.3">
      <c r="A898">
        <v>186607</v>
      </c>
      <c r="B898">
        <v>456351762</v>
      </c>
      <c r="C898" t="s">
        <v>4932</v>
      </c>
      <c r="D898" s="9" t="s">
        <v>4933</v>
      </c>
      <c r="E898" t="s">
        <v>4620</v>
      </c>
      <c r="F898" t="s">
        <v>770</v>
      </c>
      <c r="G898" t="s">
        <v>28</v>
      </c>
      <c r="H898" t="s">
        <v>29</v>
      </c>
      <c r="I898" t="s">
        <v>34</v>
      </c>
      <c r="J898" t="s">
        <v>30</v>
      </c>
      <c r="K898" t="s">
        <v>27</v>
      </c>
      <c r="L898" t="s">
        <v>4934</v>
      </c>
      <c r="M898" t="s">
        <v>4935</v>
      </c>
      <c r="N898" t="s">
        <v>4623</v>
      </c>
      <c r="O898" t="s">
        <v>54</v>
      </c>
      <c r="P898" t="s">
        <v>4936</v>
      </c>
      <c r="Q898" t="s">
        <v>197</v>
      </c>
      <c r="R898" s="26" t="s">
        <v>4937</v>
      </c>
      <c r="S898">
        <v>0.5</v>
      </c>
      <c r="T898">
        <v>5193</v>
      </c>
      <c r="U898">
        <v>0</v>
      </c>
      <c r="V898">
        <v>5193</v>
      </c>
    </row>
    <row r="899" spans="1:22" x14ac:dyDescent="0.3">
      <c r="A899">
        <v>186607</v>
      </c>
      <c r="B899">
        <v>456703517</v>
      </c>
      <c r="C899" t="s">
        <v>4938</v>
      </c>
      <c r="D899" s="9" t="s">
        <v>4939</v>
      </c>
      <c r="E899" t="s">
        <v>4620</v>
      </c>
      <c r="F899" t="s">
        <v>770</v>
      </c>
      <c r="G899" t="s">
        <v>28</v>
      </c>
      <c r="H899" t="s">
        <v>29</v>
      </c>
      <c r="I899" t="s">
        <v>34</v>
      </c>
      <c r="J899" t="s">
        <v>30</v>
      </c>
      <c r="K899" t="s">
        <v>27</v>
      </c>
      <c r="L899" t="s">
        <v>4940</v>
      </c>
      <c r="M899" t="s">
        <v>4941</v>
      </c>
      <c r="N899" t="s">
        <v>4623</v>
      </c>
      <c r="O899" t="s">
        <v>54</v>
      </c>
      <c r="P899" t="s">
        <v>4942</v>
      </c>
      <c r="Q899" t="s">
        <v>67</v>
      </c>
      <c r="R899" s="26" t="s">
        <v>4865</v>
      </c>
      <c r="S899">
        <v>1.6</v>
      </c>
      <c r="T899">
        <v>3384</v>
      </c>
      <c r="U899">
        <v>0</v>
      </c>
      <c r="V899">
        <v>3384</v>
      </c>
    </row>
    <row r="900" spans="1:22" x14ac:dyDescent="0.3">
      <c r="A900">
        <v>186607</v>
      </c>
      <c r="B900">
        <v>456703502</v>
      </c>
      <c r="C900" t="s">
        <v>4943</v>
      </c>
      <c r="D900" s="9" t="s">
        <v>4944</v>
      </c>
      <c r="E900" t="s">
        <v>4620</v>
      </c>
      <c r="F900" t="s">
        <v>770</v>
      </c>
      <c r="G900" t="s">
        <v>28</v>
      </c>
      <c r="H900" t="s">
        <v>29</v>
      </c>
      <c r="I900" t="s">
        <v>34</v>
      </c>
      <c r="J900" t="s">
        <v>30</v>
      </c>
      <c r="K900" t="s">
        <v>27</v>
      </c>
      <c r="L900" t="s">
        <v>4945</v>
      </c>
      <c r="M900" t="s">
        <v>4946</v>
      </c>
      <c r="N900" t="s">
        <v>4623</v>
      </c>
      <c r="O900" t="s">
        <v>54</v>
      </c>
      <c r="P900" t="s">
        <v>4947</v>
      </c>
      <c r="Q900" t="s">
        <v>171</v>
      </c>
      <c r="R900" s="26" t="s">
        <v>4865</v>
      </c>
      <c r="S900">
        <v>3.7</v>
      </c>
      <c r="T900">
        <v>3664</v>
      </c>
      <c r="U900">
        <v>0</v>
      </c>
      <c r="V900">
        <v>3664</v>
      </c>
    </row>
    <row r="901" spans="1:22" x14ac:dyDescent="0.3">
      <c r="A901">
        <v>186607</v>
      </c>
      <c r="B901">
        <v>456703525</v>
      </c>
      <c r="C901" t="s">
        <v>4948</v>
      </c>
      <c r="D901" s="9" t="s">
        <v>4949</v>
      </c>
      <c r="E901" t="s">
        <v>4620</v>
      </c>
      <c r="F901" t="s">
        <v>770</v>
      </c>
      <c r="G901" t="s">
        <v>28</v>
      </c>
      <c r="H901" t="s">
        <v>29</v>
      </c>
      <c r="I901" t="s">
        <v>34</v>
      </c>
      <c r="J901" t="s">
        <v>30</v>
      </c>
      <c r="K901" t="s">
        <v>27</v>
      </c>
      <c r="L901" t="s">
        <v>4950</v>
      </c>
      <c r="M901" t="s">
        <v>4951</v>
      </c>
      <c r="N901" t="s">
        <v>4623</v>
      </c>
      <c r="O901" t="s">
        <v>54</v>
      </c>
      <c r="P901" t="s">
        <v>4952</v>
      </c>
      <c r="Q901" t="s">
        <v>191</v>
      </c>
      <c r="R901" s="26" t="s">
        <v>4865</v>
      </c>
      <c r="S901">
        <v>3.7</v>
      </c>
      <c r="T901">
        <v>4935</v>
      </c>
      <c r="U901">
        <v>0</v>
      </c>
      <c r="V901">
        <v>4935</v>
      </c>
    </row>
    <row r="902" spans="1:22" x14ac:dyDescent="0.3">
      <c r="A902">
        <v>186607</v>
      </c>
      <c r="B902">
        <v>456703514</v>
      </c>
      <c r="C902" t="s">
        <v>4953</v>
      </c>
      <c r="D902" s="9" t="s">
        <v>4954</v>
      </c>
      <c r="E902" t="s">
        <v>4620</v>
      </c>
      <c r="F902" t="s">
        <v>770</v>
      </c>
      <c r="G902" t="s">
        <v>28</v>
      </c>
      <c r="H902" t="s">
        <v>29</v>
      </c>
      <c r="I902" t="s">
        <v>34</v>
      </c>
      <c r="J902" t="s">
        <v>30</v>
      </c>
      <c r="K902" t="s">
        <v>27</v>
      </c>
      <c r="L902" t="s">
        <v>4955</v>
      </c>
      <c r="M902" t="s">
        <v>4956</v>
      </c>
      <c r="N902" t="s">
        <v>4623</v>
      </c>
      <c r="O902" t="s">
        <v>54</v>
      </c>
      <c r="P902" t="s">
        <v>4957</v>
      </c>
      <c r="Q902" t="s">
        <v>61</v>
      </c>
      <c r="R902" s="26" t="s">
        <v>4865</v>
      </c>
      <c r="S902">
        <v>2.1</v>
      </c>
      <c r="T902">
        <v>3631</v>
      </c>
      <c r="U902">
        <v>0</v>
      </c>
      <c r="V902">
        <v>3631</v>
      </c>
    </row>
    <row r="903" spans="1:22" x14ac:dyDescent="0.3">
      <c r="A903">
        <v>186607</v>
      </c>
      <c r="B903">
        <v>456703491</v>
      </c>
      <c r="C903" t="s">
        <v>4958</v>
      </c>
      <c r="D903" s="9" t="s">
        <v>4959</v>
      </c>
      <c r="E903" t="s">
        <v>4620</v>
      </c>
      <c r="F903" t="s">
        <v>770</v>
      </c>
      <c r="G903" t="s">
        <v>28</v>
      </c>
      <c r="H903" t="s">
        <v>29</v>
      </c>
      <c r="I903" t="s">
        <v>34</v>
      </c>
      <c r="J903" t="s">
        <v>30</v>
      </c>
      <c r="K903" t="s">
        <v>27</v>
      </c>
      <c r="L903" t="s">
        <v>4960</v>
      </c>
      <c r="M903" t="s">
        <v>4961</v>
      </c>
      <c r="N903" t="s">
        <v>4623</v>
      </c>
      <c r="O903" t="s">
        <v>54</v>
      </c>
      <c r="P903" t="s">
        <v>4962</v>
      </c>
      <c r="Q903" t="s">
        <v>99</v>
      </c>
      <c r="R903" s="26" t="s">
        <v>4865</v>
      </c>
      <c r="S903">
        <v>2.1</v>
      </c>
      <c r="T903">
        <v>3250</v>
      </c>
      <c r="U903">
        <v>0</v>
      </c>
      <c r="V903">
        <v>3250</v>
      </c>
    </row>
    <row r="904" spans="1:22" x14ac:dyDescent="0.3">
      <c r="A904">
        <v>186607</v>
      </c>
      <c r="B904">
        <v>456351758</v>
      </c>
      <c r="C904" t="s">
        <v>4963</v>
      </c>
      <c r="D904" s="9" t="s">
        <v>4964</v>
      </c>
      <c r="E904" t="s">
        <v>4620</v>
      </c>
      <c r="F904" t="s">
        <v>770</v>
      </c>
      <c r="G904" t="s">
        <v>28</v>
      </c>
      <c r="H904" t="s">
        <v>29</v>
      </c>
      <c r="I904" t="s">
        <v>34</v>
      </c>
      <c r="J904" t="s">
        <v>30</v>
      </c>
      <c r="K904" t="s">
        <v>27</v>
      </c>
      <c r="L904" t="s">
        <v>494</v>
      </c>
      <c r="M904" t="s">
        <v>4965</v>
      </c>
      <c r="N904" t="s">
        <v>4623</v>
      </c>
      <c r="O904" t="s">
        <v>54</v>
      </c>
      <c r="P904" t="s">
        <v>4966</v>
      </c>
      <c r="Q904" t="s">
        <v>197</v>
      </c>
      <c r="R904" s="26" t="s">
        <v>4937</v>
      </c>
      <c r="S904">
        <v>1</v>
      </c>
      <c r="T904">
        <v>5564</v>
      </c>
      <c r="U904">
        <v>0</v>
      </c>
      <c r="V904">
        <v>5564</v>
      </c>
    </row>
    <row r="905" spans="1:22" x14ac:dyDescent="0.3">
      <c r="A905">
        <v>186607</v>
      </c>
      <c r="B905">
        <v>456703531</v>
      </c>
      <c r="C905" t="s">
        <v>4967</v>
      </c>
      <c r="D905" s="9" t="s">
        <v>4968</v>
      </c>
      <c r="E905" t="s">
        <v>4620</v>
      </c>
      <c r="F905" t="s">
        <v>770</v>
      </c>
      <c r="G905" t="s">
        <v>28</v>
      </c>
      <c r="H905" t="s">
        <v>29</v>
      </c>
      <c r="I905" t="s">
        <v>34</v>
      </c>
      <c r="J905" t="s">
        <v>30</v>
      </c>
      <c r="K905" t="s">
        <v>27</v>
      </c>
      <c r="L905" t="s">
        <v>4969</v>
      </c>
      <c r="M905" t="s">
        <v>4970</v>
      </c>
      <c r="N905" t="s">
        <v>4623</v>
      </c>
      <c r="O905" t="s">
        <v>54</v>
      </c>
      <c r="P905" t="s">
        <v>4971</v>
      </c>
      <c r="Q905" t="s">
        <v>73</v>
      </c>
      <c r="R905" s="26" t="s">
        <v>4865</v>
      </c>
      <c r="S905">
        <v>0.5</v>
      </c>
      <c r="T905">
        <v>3339</v>
      </c>
      <c r="U905">
        <v>0</v>
      </c>
      <c r="V905">
        <v>3339</v>
      </c>
    </row>
    <row r="906" spans="1:22" x14ac:dyDescent="0.3">
      <c r="A906">
        <v>186607</v>
      </c>
      <c r="B906">
        <v>456551589</v>
      </c>
      <c r="C906" t="s">
        <v>4972</v>
      </c>
      <c r="D906" s="9" t="s">
        <v>4973</v>
      </c>
      <c r="E906" t="s">
        <v>4620</v>
      </c>
      <c r="F906" t="s">
        <v>770</v>
      </c>
      <c r="G906" t="s">
        <v>28</v>
      </c>
      <c r="H906" t="s">
        <v>29</v>
      </c>
      <c r="I906" t="s">
        <v>34</v>
      </c>
      <c r="J906" t="s">
        <v>30</v>
      </c>
      <c r="K906" t="s">
        <v>27</v>
      </c>
      <c r="L906" t="s">
        <v>4974</v>
      </c>
      <c r="M906" t="s">
        <v>4975</v>
      </c>
      <c r="N906" t="s">
        <v>4623</v>
      </c>
      <c r="O906" t="s">
        <v>54</v>
      </c>
      <c r="P906" t="s">
        <v>4976</v>
      </c>
      <c r="Q906" t="s">
        <v>119</v>
      </c>
      <c r="R906" s="26" t="s">
        <v>387</v>
      </c>
      <c r="S906">
        <v>2.8</v>
      </c>
      <c r="T906">
        <v>4205</v>
      </c>
      <c r="U906">
        <v>0</v>
      </c>
      <c r="V906">
        <v>4205</v>
      </c>
    </row>
    <row r="907" spans="1:22" x14ac:dyDescent="0.3">
      <c r="A907">
        <v>186607</v>
      </c>
      <c r="B907">
        <v>456587228</v>
      </c>
      <c r="C907" t="s">
        <v>4977</v>
      </c>
      <c r="D907" s="9" t="s">
        <v>4978</v>
      </c>
      <c r="E907" t="s">
        <v>4620</v>
      </c>
      <c r="F907" t="s">
        <v>770</v>
      </c>
      <c r="G907" t="s">
        <v>28</v>
      </c>
      <c r="H907" t="s">
        <v>29</v>
      </c>
      <c r="I907" t="s">
        <v>34</v>
      </c>
      <c r="J907" t="s">
        <v>30</v>
      </c>
      <c r="K907" t="s">
        <v>27</v>
      </c>
      <c r="L907" t="s">
        <v>4979</v>
      </c>
      <c r="M907" t="s">
        <v>4980</v>
      </c>
      <c r="N907" t="s">
        <v>4623</v>
      </c>
      <c r="O907" t="s">
        <v>54</v>
      </c>
      <c r="P907" t="s">
        <v>4981</v>
      </c>
      <c r="Q907" t="s">
        <v>120</v>
      </c>
      <c r="R907" s="26" t="s">
        <v>4982</v>
      </c>
      <c r="S907">
        <v>2.9</v>
      </c>
      <c r="T907">
        <v>5295</v>
      </c>
      <c r="U907">
        <v>0</v>
      </c>
      <c r="V907">
        <v>5295</v>
      </c>
    </row>
    <row r="908" spans="1:22" x14ac:dyDescent="0.3">
      <c r="A908">
        <v>186607</v>
      </c>
      <c r="B908">
        <v>456651601</v>
      </c>
      <c r="C908" t="s">
        <v>4983</v>
      </c>
      <c r="D908" s="9" t="s">
        <v>4984</v>
      </c>
      <c r="E908" t="s">
        <v>4620</v>
      </c>
      <c r="F908" t="s">
        <v>770</v>
      </c>
      <c r="G908" t="s">
        <v>28</v>
      </c>
      <c r="H908" t="s">
        <v>29</v>
      </c>
      <c r="I908" t="s">
        <v>34</v>
      </c>
      <c r="J908" t="s">
        <v>30</v>
      </c>
      <c r="K908" t="s">
        <v>27</v>
      </c>
      <c r="L908" t="s">
        <v>4985</v>
      </c>
      <c r="M908" t="s">
        <v>4986</v>
      </c>
      <c r="N908" t="s">
        <v>4623</v>
      </c>
      <c r="O908" t="s">
        <v>54</v>
      </c>
      <c r="P908" t="s">
        <v>4987</v>
      </c>
      <c r="Q908" t="s">
        <v>85</v>
      </c>
      <c r="R908" s="26" t="s">
        <v>761</v>
      </c>
      <c r="S908">
        <v>4.4000000000000004</v>
      </c>
      <c r="T908">
        <v>4305</v>
      </c>
      <c r="U908">
        <v>0</v>
      </c>
      <c r="V908">
        <v>4305</v>
      </c>
    </row>
    <row r="909" spans="1:22" x14ac:dyDescent="0.3">
      <c r="A909">
        <v>186607</v>
      </c>
      <c r="B909">
        <v>456646800</v>
      </c>
      <c r="C909" t="s">
        <v>4988</v>
      </c>
      <c r="D909" s="9" t="s">
        <v>4989</v>
      </c>
      <c r="E909" t="s">
        <v>4620</v>
      </c>
      <c r="F909" t="s">
        <v>770</v>
      </c>
      <c r="G909" t="s">
        <v>28</v>
      </c>
      <c r="H909" t="s">
        <v>29</v>
      </c>
      <c r="I909" t="s">
        <v>34</v>
      </c>
      <c r="J909" t="s">
        <v>30</v>
      </c>
      <c r="K909" t="s">
        <v>27</v>
      </c>
      <c r="L909" t="s">
        <v>4990</v>
      </c>
      <c r="M909" t="s">
        <v>302</v>
      </c>
      <c r="N909" t="s">
        <v>4623</v>
      </c>
      <c r="O909" t="s">
        <v>54</v>
      </c>
      <c r="P909" t="s">
        <v>4991</v>
      </c>
      <c r="Q909" t="s">
        <v>108</v>
      </c>
      <c r="R909" s="26" t="s">
        <v>426</v>
      </c>
      <c r="S909">
        <v>5</v>
      </c>
      <c r="T909">
        <v>3664</v>
      </c>
      <c r="U909">
        <v>0</v>
      </c>
      <c r="V909">
        <v>3664</v>
      </c>
    </row>
    <row r="910" spans="1:22" x14ac:dyDescent="0.3">
      <c r="A910">
        <v>186607</v>
      </c>
      <c r="B910">
        <v>455520355</v>
      </c>
      <c r="C910" t="s">
        <v>4992</v>
      </c>
      <c r="D910" s="9" t="s">
        <v>4993</v>
      </c>
      <c r="E910" t="s">
        <v>4620</v>
      </c>
      <c r="F910" t="s">
        <v>770</v>
      </c>
      <c r="G910" t="s">
        <v>28</v>
      </c>
      <c r="H910" t="s">
        <v>29</v>
      </c>
      <c r="I910" t="s">
        <v>34</v>
      </c>
      <c r="J910" t="s">
        <v>30</v>
      </c>
      <c r="K910" t="s">
        <v>27</v>
      </c>
      <c r="L910" t="s">
        <v>4994</v>
      </c>
      <c r="M910" t="s">
        <v>4995</v>
      </c>
      <c r="N910" t="s">
        <v>4623</v>
      </c>
      <c r="O910" t="s">
        <v>54</v>
      </c>
      <c r="P910" t="s">
        <v>4996</v>
      </c>
      <c r="Q910" t="s">
        <v>175</v>
      </c>
      <c r="R910" s="26" t="s">
        <v>547</v>
      </c>
      <c r="S910">
        <v>3.5</v>
      </c>
      <c r="T910">
        <v>7745</v>
      </c>
      <c r="U910">
        <v>0</v>
      </c>
      <c r="V910">
        <v>7745</v>
      </c>
    </row>
    <row r="911" spans="1:22" x14ac:dyDescent="0.3">
      <c r="A911">
        <v>186607</v>
      </c>
      <c r="B911">
        <v>455396173</v>
      </c>
      <c r="C911" t="s">
        <v>4997</v>
      </c>
      <c r="D911" s="9" t="s">
        <v>4998</v>
      </c>
      <c r="E911" t="s">
        <v>4620</v>
      </c>
      <c r="F911" t="s">
        <v>770</v>
      </c>
      <c r="G911" t="s">
        <v>28</v>
      </c>
      <c r="H911" t="s">
        <v>29</v>
      </c>
      <c r="I911" t="s">
        <v>34</v>
      </c>
      <c r="J911" t="s">
        <v>30</v>
      </c>
      <c r="K911" t="s">
        <v>27</v>
      </c>
      <c r="L911" t="s">
        <v>4999</v>
      </c>
      <c r="M911" t="s">
        <v>5000</v>
      </c>
      <c r="N911" t="s">
        <v>4623</v>
      </c>
      <c r="O911" t="s">
        <v>54</v>
      </c>
      <c r="P911" t="s">
        <v>5001</v>
      </c>
      <c r="Q911" t="s">
        <v>303</v>
      </c>
      <c r="R911" s="26" t="s">
        <v>5002</v>
      </c>
      <c r="S911">
        <v>1.5</v>
      </c>
      <c r="T911">
        <v>5564</v>
      </c>
      <c r="U911">
        <v>0</v>
      </c>
      <c r="V911">
        <v>5564</v>
      </c>
    </row>
    <row r="912" spans="1:22" x14ac:dyDescent="0.3">
      <c r="A912">
        <v>186607</v>
      </c>
      <c r="B912">
        <v>456587233</v>
      </c>
      <c r="C912" t="s">
        <v>5003</v>
      </c>
      <c r="D912" s="9" t="s">
        <v>5004</v>
      </c>
      <c r="E912" t="s">
        <v>4620</v>
      </c>
      <c r="F912" t="s">
        <v>770</v>
      </c>
      <c r="G912" t="s">
        <v>28</v>
      </c>
      <c r="H912" t="s">
        <v>29</v>
      </c>
      <c r="I912" t="s">
        <v>34</v>
      </c>
      <c r="J912" t="s">
        <v>30</v>
      </c>
      <c r="K912" t="s">
        <v>27</v>
      </c>
      <c r="L912" t="s">
        <v>5005</v>
      </c>
      <c r="M912" t="s">
        <v>5006</v>
      </c>
      <c r="N912" t="s">
        <v>4623</v>
      </c>
      <c r="O912" t="s">
        <v>54</v>
      </c>
      <c r="P912" t="s">
        <v>5007</v>
      </c>
      <c r="Q912" t="s">
        <v>81</v>
      </c>
      <c r="R912" s="26" t="s">
        <v>4982</v>
      </c>
      <c r="S912">
        <v>3.6</v>
      </c>
      <c r="T912">
        <v>4687</v>
      </c>
      <c r="U912">
        <v>0</v>
      </c>
      <c r="V912">
        <v>4687</v>
      </c>
    </row>
    <row r="913" spans="1:22" x14ac:dyDescent="0.3">
      <c r="A913">
        <v>186607</v>
      </c>
      <c r="B913">
        <v>456271865</v>
      </c>
      <c r="C913" t="s">
        <v>5008</v>
      </c>
      <c r="D913" s="9" t="s">
        <v>5009</v>
      </c>
      <c r="E913" t="s">
        <v>4620</v>
      </c>
      <c r="F913" t="s">
        <v>770</v>
      </c>
      <c r="G913" t="s">
        <v>28</v>
      </c>
      <c r="H913" t="s">
        <v>29</v>
      </c>
      <c r="I913" t="s">
        <v>34</v>
      </c>
      <c r="J913" t="s">
        <v>30</v>
      </c>
      <c r="K913" t="s">
        <v>27</v>
      </c>
      <c r="L913" t="s">
        <v>5010</v>
      </c>
      <c r="M913" t="s">
        <v>268</v>
      </c>
      <c r="N913" t="s">
        <v>4623</v>
      </c>
      <c r="O913" t="s">
        <v>54</v>
      </c>
      <c r="P913" t="s">
        <v>5011</v>
      </c>
      <c r="Q913" t="s">
        <v>88</v>
      </c>
      <c r="R913" s="26" t="s">
        <v>247</v>
      </c>
      <c r="S913">
        <v>0.5</v>
      </c>
      <c r="T913">
        <v>3935</v>
      </c>
      <c r="U913">
        <v>0</v>
      </c>
      <c r="V913">
        <v>3935</v>
      </c>
    </row>
    <row r="914" spans="1:22" x14ac:dyDescent="0.3">
      <c r="A914">
        <v>186607</v>
      </c>
      <c r="B914">
        <v>456603335</v>
      </c>
      <c r="C914" t="s">
        <v>5012</v>
      </c>
      <c r="D914" s="9" t="s">
        <v>5013</v>
      </c>
      <c r="E914" t="s">
        <v>4620</v>
      </c>
      <c r="F914" t="s">
        <v>770</v>
      </c>
      <c r="G914" t="s">
        <v>28</v>
      </c>
      <c r="H914" t="s">
        <v>29</v>
      </c>
      <c r="I914" t="s">
        <v>34</v>
      </c>
      <c r="J914" t="s">
        <v>30</v>
      </c>
      <c r="K914" t="s">
        <v>27</v>
      </c>
      <c r="L914" t="s">
        <v>5014</v>
      </c>
      <c r="M914" t="s">
        <v>5015</v>
      </c>
      <c r="N914" t="s">
        <v>4623</v>
      </c>
      <c r="O914" t="s">
        <v>54</v>
      </c>
      <c r="P914" t="s">
        <v>5016</v>
      </c>
      <c r="Q914" t="s">
        <v>65</v>
      </c>
      <c r="R914" s="26" t="s">
        <v>456</v>
      </c>
      <c r="S914">
        <v>3.2</v>
      </c>
      <c r="T914">
        <v>4305</v>
      </c>
      <c r="U914">
        <v>0</v>
      </c>
      <c r="V914">
        <v>4305</v>
      </c>
    </row>
    <row r="915" spans="1:22" x14ac:dyDescent="0.3">
      <c r="A915">
        <v>186607</v>
      </c>
      <c r="B915">
        <v>456587225</v>
      </c>
      <c r="C915" t="s">
        <v>5017</v>
      </c>
      <c r="D915" s="9" t="s">
        <v>5018</v>
      </c>
      <c r="E915" t="s">
        <v>4620</v>
      </c>
      <c r="F915" t="s">
        <v>770</v>
      </c>
      <c r="G915" t="s">
        <v>28</v>
      </c>
      <c r="H915" t="s">
        <v>29</v>
      </c>
      <c r="I915" t="s">
        <v>34</v>
      </c>
      <c r="J915" t="s">
        <v>30</v>
      </c>
      <c r="K915" t="s">
        <v>27</v>
      </c>
      <c r="L915" t="s">
        <v>5019</v>
      </c>
      <c r="M915" t="s">
        <v>5020</v>
      </c>
      <c r="N915" t="s">
        <v>4623</v>
      </c>
      <c r="O915" t="s">
        <v>54</v>
      </c>
      <c r="P915" t="s">
        <v>5021</v>
      </c>
      <c r="Q915" t="s">
        <v>135</v>
      </c>
      <c r="R915" s="26" t="s">
        <v>4982</v>
      </c>
      <c r="S915">
        <v>3.4</v>
      </c>
      <c r="T915">
        <v>3664</v>
      </c>
      <c r="U915">
        <v>0</v>
      </c>
      <c r="V915">
        <v>3664</v>
      </c>
    </row>
    <row r="916" spans="1:22" x14ac:dyDescent="0.3">
      <c r="A916">
        <v>186607</v>
      </c>
      <c r="B916">
        <v>455683786</v>
      </c>
      <c r="C916" t="s">
        <v>5022</v>
      </c>
      <c r="D916" s="9" t="s">
        <v>5023</v>
      </c>
      <c r="E916" t="s">
        <v>4620</v>
      </c>
      <c r="F916" t="s">
        <v>770</v>
      </c>
      <c r="G916" t="s">
        <v>28</v>
      </c>
      <c r="H916" t="s">
        <v>29</v>
      </c>
      <c r="I916" t="s">
        <v>34</v>
      </c>
      <c r="J916" t="s">
        <v>30</v>
      </c>
      <c r="K916" t="s">
        <v>27</v>
      </c>
      <c r="L916" t="s">
        <v>5024</v>
      </c>
      <c r="M916" t="s">
        <v>5025</v>
      </c>
      <c r="N916" t="s">
        <v>4623</v>
      </c>
      <c r="O916" t="s">
        <v>54</v>
      </c>
      <c r="P916" t="s">
        <v>5026</v>
      </c>
      <c r="Q916" t="s">
        <v>175</v>
      </c>
      <c r="R916" s="26" t="s">
        <v>720</v>
      </c>
      <c r="S916">
        <v>6.1</v>
      </c>
      <c r="T916">
        <v>11027</v>
      </c>
      <c r="U916">
        <v>0</v>
      </c>
      <c r="V916">
        <v>11027</v>
      </c>
    </row>
    <row r="917" spans="1:22" x14ac:dyDescent="0.3">
      <c r="A917">
        <v>186607</v>
      </c>
      <c r="B917">
        <v>456551592</v>
      </c>
      <c r="C917" t="s">
        <v>5027</v>
      </c>
      <c r="D917" s="9" t="s">
        <v>5028</v>
      </c>
      <c r="E917" t="s">
        <v>4620</v>
      </c>
      <c r="F917" t="s">
        <v>770</v>
      </c>
      <c r="G917" t="s">
        <v>28</v>
      </c>
      <c r="H917" t="s">
        <v>29</v>
      </c>
      <c r="I917" t="s">
        <v>34</v>
      </c>
      <c r="J917" t="s">
        <v>30</v>
      </c>
      <c r="K917" t="s">
        <v>27</v>
      </c>
      <c r="L917" t="s">
        <v>5029</v>
      </c>
      <c r="M917" t="s">
        <v>5030</v>
      </c>
      <c r="N917" t="s">
        <v>4623</v>
      </c>
      <c r="O917" t="s">
        <v>54</v>
      </c>
      <c r="P917" t="s">
        <v>5031</v>
      </c>
      <c r="Q917" t="s">
        <v>88</v>
      </c>
      <c r="R917" s="26" t="s">
        <v>387</v>
      </c>
      <c r="S917">
        <v>3.5</v>
      </c>
      <c r="T917">
        <v>7239</v>
      </c>
      <c r="U917">
        <v>0</v>
      </c>
      <c r="V917">
        <v>7239</v>
      </c>
    </row>
    <row r="918" spans="1:22" x14ac:dyDescent="0.3">
      <c r="A918">
        <v>186607</v>
      </c>
      <c r="B918">
        <v>455683819</v>
      </c>
      <c r="C918" t="s">
        <v>5032</v>
      </c>
      <c r="D918" s="9" t="s">
        <v>5033</v>
      </c>
      <c r="E918" t="s">
        <v>4620</v>
      </c>
      <c r="F918" t="s">
        <v>770</v>
      </c>
      <c r="G918" t="s">
        <v>28</v>
      </c>
      <c r="H918" t="s">
        <v>29</v>
      </c>
      <c r="I918" t="s">
        <v>34</v>
      </c>
      <c r="J918" t="s">
        <v>30</v>
      </c>
      <c r="K918" t="s">
        <v>27</v>
      </c>
      <c r="L918" t="s">
        <v>5034</v>
      </c>
      <c r="M918" t="s">
        <v>5035</v>
      </c>
      <c r="N918" t="s">
        <v>4623</v>
      </c>
      <c r="O918" t="s">
        <v>54</v>
      </c>
      <c r="P918" t="s">
        <v>5036</v>
      </c>
      <c r="Q918" t="s">
        <v>175</v>
      </c>
      <c r="R918" s="26" t="s">
        <v>720</v>
      </c>
      <c r="S918">
        <v>1</v>
      </c>
      <c r="T918">
        <v>5564</v>
      </c>
      <c r="U918">
        <v>0</v>
      </c>
      <c r="V918">
        <v>5564</v>
      </c>
    </row>
    <row r="919" spans="1:22" x14ac:dyDescent="0.3">
      <c r="A919">
        <v>186607</v>
      </c>
      <c r="B919">
        <v>455683794</v>
      </c>
      <c r="C919" t="s">
        <v>5037</v>
      </c>
      <c r="D919" s="9" t="s">
        <v>5038</v>
      </c>
      <c r="E919" t="s">
        <v>4620</v>
      </c>
      <c r="F919" t="s">
        <v>770</v>
      </c>
      <c r="G919" t="s">
        <v>28</v>
      </c>
      <c r="H919" t="s">
        <v>29</v>
      </c>
      <c r="I919" t="s">
        <v>34</v>
      </c>
      <c r="J919" t="s">
        <v>30</v>
      </c>
      <c r="K919" t="s">
        <v>27</v>
      </c>
      <c r="L919" t="s">
        <v>5039</v>
      </c>
      <c r="M919" t="s">
        <v>5040</v>
      </c>
      <c r="N919" t="s">
        <v>4623</v>
      </c>
      <c r="O919" t="s">
        <v>54</v>
      </c>
      <c r="P919" t="s">
        <v>5041</v>
      </c>
      <c r="Q919" t="s">
        <v>175</v>
      </c>
      <c r="R919" s="26" t="s">
        <v>720</v>
      </c>
      <c r="S919">
        <v>1.6</v>
      </c>
      <c r="T919">
        <v>5564</v>
      </c>
      <c r="U919">
        <v>0</v>
      </c>
      <c r="V919">
        <v>5564</v>
      </c>
    </row>
    <row r="920" spans="1:22" x14ac:dyDescent="0.3">
      <c r="A920">
        <v>186607</v>
      </c>
      <c r="B920">
        <v>456551584</v>
      </c>
      <c r="C920" t="s">
        <v>5042</v>
      </c>
      <c r="D920" s="9" t="s">
        <v>5043</v>
      </c>
      <c r="E920" t="s">
        <v>4620</v>
      </c>
      <c r="F920" t="s">
        <v>770</v>
      </c>
      <c r="G920" t="s">
        <v>28</v>
      </c>
      <c r="H920" t="s">
        <v>29</v>
      </c>
      <c r="I920" t="s">
        <v>34</v>
      </c>
      <c r="J920" t="s">
        <v>30</v>
      </c>
      <c r="K920" t="s">
        <v>27</v>
      </c>
      <c r="L920" t="s">
        <v>5044</v>
      </c>
      <c r="M920" t="s">
        <v>5045</v>
      </c>
      <c r="N920" t="s">
        <v>4623</v>
      </c>
      <c r="O920" t="s">
        <v>54</v>
      </c>
      <c r="P920" t="s">
        <v>5046</v>
      </c>
      <c r="Q920" t="s">
        <v>88</v>
      </c>
      <c r="R920" s="26" t="s">
        <v>387</v>
      </c>
      <c r="S920">
        <v>4.9000000000000004</v>
      </c>
      <c r="T920">
        <v>7239</v>
      </c>
      <c r="U920">
        <v>0</v>
      </c>
      <c r="V920">
        <v>7239</v>
      </c>
    </row>
    <row r="921" spans="1:22" x14ac:dyDescent="0.3">
      <c r="A921">
        <v>186607</v>
      </c>
      <c r="B921">
        <v>456587229</v>
      </c>
      <c r="C921" t="s">
        <v>5047</v>
      </c>
      <c r="D921" s="9" t="s">
        <v>5048</v>
      </c>
      <c r="E921" t="s">
        <v>4620</v>
      </c>
      <c r="F921" t="s">
        <v>770</v>
      </c>
      <c r="G921" t="s">
        <v>28</v>
      </c>
      <c r="H921" t="s">
        <v>29</v>
      </c>
      <c r="I921" t="s">
        <v>34</v>
      </c>
      <c r="J921" t="s">
        <v>30</v>
      </c>
      <c r="K921" t="s">
        <v>27</v>
      </c>
      <c r="L921" t="s">
        <v>5049</v>
      </c>
      <c r="M921" t="s">
        <v>5050</v>
      </c>
      <c r="N921" t="s">
        <v>4623</v>
      </c>
      <c r="O921" t="s">
        <v>54</v>
      </c>
      <c r="P921" t="s">
        <v>5051</v>
      </c>
      <c r="Q921" t="s">
        <v>103</v>
      </c>
      <c r="R921" s="26" t="s">
        <v>4982</v>
      </c>
      <c r="S921">
        <v>4.5</v>
      </c>
      <c r="T921">
        <v>4214</v>
      </c>
      <c r="U921">
        <v>0</v>
      </c>
      <c r="V921">
        <v>4214</v>
      </c>
    </row>
    <row r="922" spans="1:22" x14ac:dyDescent="0.3">
      <c r="A922">
        <v>186607</v>
      </c>
      <c r="B922">
        <v>455825147</v>
      </c>
      <c r="C922" t="s">
        <v>5052</v>
      </c>
      <c r="D922" s="9" t="s">
        <v>5053</v>
      </c>
      <c r="E922" t="s">
        <v>4620</v>
      </c>
      <c r="F922" t="s">
        <v>770</v>
      </c>
      <c r="G922" t="s">
        <v>28</v>
      </c>
      <c r="H922" t="s">
        <v>29</v>
      </c>
      <c r="I922" t="s">
        <v>34</v>
      </c>
      <c r="J922" t="s">
        <v>30</v>
      </c>
      <c r="K922" t="s">
        <v>27</v>
      </c>
      <c r="L922" t="s">
        <v>5054</v>
      </c>
      <c r="M922" t="s">
        <v>740</v>
      </c>
      <c r="N922" t="s">
        <v>4623</v>
      </c>
      <c r="O922" t="s">
        <v>54</v>
      </c>
      <c r="P922" t="s">
        <v>5055</v>
      </c>
      <c r="Q922" t="s">
        <v>197</v>
      </c>
      <c r="R922" s="26" t="s">
        <v>399</v>
      </c>
      <c r="S922">
        <v>3.8</v>
      </c>
      <c r="T922">
        <v>7745</v>
      </c>
      <c r="U922">
        <v>0</v>
      </c>
      <c r="V922">
        <v>7745</v>
      </c>
    </row>
    <row r="923" spans="1:22" x14ac:dyDescent="0.3">
      <c r="A923">
        <v>186607</v>
      </c>
      <c r="B923">
        <v>456474883</v>
      </c>
      <c r="C923" t="s">
        <v>5056</v>
      </c>
      <c r="D923" s="9" t="s">
        <v>5057</v>
      </c>
      <c r="E923" t="s">
        <v>4620</v>
      </c>
      <c r="F923" t="s">
        <v>770</v>
      </c>
      <c r="G923" t="s">
        <v>28</v>
      </c>
      <c r="H923" t="s">
        <v>29</v>
      </c>
      <c r="I923" t="s">
        <v>34</v>
      </c>
      <c r="J923" t="s">
        <v>30</v>
      </c>
      <c r="K923" t="s">
        <v>27</v>
      </c>
      <c r="L923" t="s">
        <v>5058</v>
      </c>
      <c r="M923" t="s">
        <v>5059</v>
      </c>
      <c r="N923" t="s">
        <v>4623</v>
      </c>
      <c r="O923" t="s">
        <v>54</v>
      </c>
      <c r="P923" t="s">
        <v>5060</v>
      </c>
      <c r="Q923" t="s">
        <v>192</v>
      </c>
      <c r="R923" s="26" t="s">
        <v>521</v>
      </c>
      <c r="S923">
        <v>4</v>
      </c>
      <c r="T923">
        <v>4687</v>
      </c>
      <c r="U923">
        <v>0</v>
      </c>
      <c r="V923">
        <v>4687</v>
      </c>
    </row>
    <row r="924" spans="1:22" x14ac:dyDescent="0.3">
      <c r="A924">
        <v>186607</v>
      </c>
      <c r="B924">
        <v>456532592</v>
      </c>
      <c r="C924" t="s">
        <v>5061</v>
      </c>
      <c r="D924" s="9" t="s">
        <v>5062</v>
      </c>
      <c r="E924" t="s">
        <v>4620</v>
      </c>
      <c r="F924" t="s">
        <v>770</v>
      </c>
      <c r="G924" t="s">
        <v>28</v>
      </c>
      <c r="H924" t="s">
        <v>29</v>
      </c>
      <c r="I924" t="s">
        <v>34</v>
      </c>
      <c r="J924" t="s">
        <v>30</v>
      </c>
      <c r="K924" t="s">
        <v>27</v>
      </c>
      <c r="L924" t="s">
        <v>5063</v>
      </c>
      <c r="M924" t="s">
        <v>5064</v>
      </c>
      <c r="N924" t="s">
        <v>4623</v>
      </c>
      <c r="O924" t="s">
        <v>54</v>
      </c>
      <c r="P924" t="s">
        <v>5065</v>
      </c>
      <c r="Q924" t="s">
        <v>119</v>
      </c>
      <c r="R924" s="26" t="s">
        <v>5066</v>
      </c>
      <c r="S924">
        <v>0.5</v>
      </c>
      <c r="T924">
        <v>3552</v>
      </c>
      <c r="U924">
        <v>0</v>
      </c>
      <c r="V924">
        <v>3552</v>
      </c>
    </row>
    <row r="925" spans="1:22" x14ac:dyDescent="0.3">
      <c r="A925">
        <v>186607</v>
      </c>
      <c r="B925">
        <v>456497353</v>
      </c>
      <c r="C925" t="s">
        <v>5067</v>
      </c>
      <c r="D925" s="9" t="s">
        <v>5068</v>
      </c>
      <c r="E925" t="s">
        <v>4620</v>
      </c>
      <c r="F925" t="s">
        <v>770</v>
      </c>
      <c r="G925" t="s">
        <v>28</v>
      </c>
      <c r="H925" t="s">
        <v>29</v>
      </c>
      <c r="I925" t="s">
        <v>34</v>
      </c>
      <c r="J925" t="s">
        <v>30</v>
      </c>
      <c r="K925" t="s">
        <v>27</v>
      </c>
      <c r="L925" t="s">
        <v>5069</v>
      </c>
      <c r="M925" t="s">
        <v>5070</v>
      </c>
      <c r="N925" t="s">
        <v>4623</v>
      </c>
      <c r="O925" t="s">
        <v>54</v>
      </c>
      <c r="P925" t="s">
        <v>5071</v>
      </c>
      <c r="Q925" t="s">
        <v>133</v>
      </c>
      <c r="R925" s="26" t="s">
        <v>469</v>
      </c>
      <c r="S925">
        <v>3.5</v>
      </c>
      <c r="T925">
        <v>9869</v>
      </c>
      <c r="U925">
        <v>0</v>
      </c>
      <c r="V925">
        <v>9869</v>
      </c>
    </row>
    <row r="926" spans="1:22" x14ac:dyDescent="0.3">
      <c r="A926">
        <v>186607</v>
      </c>
      <c r="B926">
        <v>456409340</v>
      </c>
      <c r="C926" t="s">
        <v>5072</v>
      </c>
      <c r="D926" s="9" t="s">
        <v>5073</v>
      </c>
      <c r="E926" t="s">
        <v>4620</v>
      </c>
      <c r="F926" t="s">
        <v>770</v>
      </c>
      <c r="G926" t="s">
        <v>28</v>
      </c>
      <c r="H926" t="s">
        <v>29</v>
      </c>
      <c r="I926" t="s">
        <v>34</v>
      </c>
      <c r="J926" t="s">
        <v>30</v>
      </c>
      <c r="K926" t="s">
        <v>27</v>
      </c>
      <c r="L926" t="s">
        <v>298</v>
      </c>
      <c r="M926" t="s">
        <v>5074</v>
      </c>
      <c r="N926" t="s">
        <v>4623</v>
      </c>
      <c r="O926" t="s">
        <v>54</v>
      </c>
      <c r="P926" t="s">
        <v>5075</v>
      </c>
      <c r="Q926" t="s">
        <v>62</v>
      </c>
      <c r="R926" s="26" t="s">
        <v>377</v>
      </c>
      <c r="S926">
        <v>0.5</v>
      </c>
      <c r="T926">
        <v>3339</v>
      </c>
      <c r="U926">
        <v>0</v>
      </c>
      <c r="V926">
        <v>3339</v>
      </c>
    </row>
    <row r="927" spans="1:22" x14ac:dyDescent="0.3">
      <c r="A927">
        <v>186607</v>
      </c>
      <c r="B927">
        <v>456532591</v>
      </c>
      <c r="C927" t="s">
        <v>5076</v>
      </c>
      <c r="D927" s="9" t="s">
        <v>5077</v>
      </c>
      <c r="E927" t="s">
        <v>4620</v>
      </c>
      <c r="F927" t="s">
        <v>770</v>
      </c>
      <c r="G927" t="s">
        <v>28</v>
      </c>
      <c r="H927" t="s">
        <v>29</v>
      </c>
      <c r="I927" t="s">
        <v>34</v>
      </c>
      <c r="J927" t="s">
        <v>30</v>
      </c>
      <c r="K927" t="s">
        <v>27</v>
      </c>
      <c r="L927" t="s">
        <v>5078</v>
      </c>
      <c r="M927" t="s">
        <v>5079</v>
      </c>
      <c r="N927" t="s">
        <v>4623</v>
      </c>
      <c r="O927" t="s">
        <v>54</v>
      </c>
      <c r="P927" t="s">
        <v>5080</v>
      </c>
      <c r="Q927" t="s">
        <v>109</v>
      </c>
      <c r="R927" s="26" t="s">
        <v>5066</v>
      </c>
      <c r="S927">
        <v>0.5</v>
      </c>
      <c r="T927">
        <v>3193</v>
      </c>
      <c r="U927">
        <v>0</v>
      </c>
      <c r="V927">
        <v>3193</v>
      </c>
    </row>
    <row r="928" spans="1:22" x14ac:dyDescent="0.3">
      <c r="A928">
        <v>186607</v>
      </c>
      <c r="B928">
        <v>456409322</v>
      </c>
      <c r="C928" t="s">
        <v>5081</v>
      </c>
      <c r="D928" s="9" t="s">
        <v>5082</v>
      </c>
      <c r="E928" t="s">
        <v>4620</v>
      </c>
      <c r="F928" t="s">
        <v>770</v>
      </c>
      <c r="G928" t="s">
        <v>28</v>
      </c>
      <c r="H928" t="s">
        <v>29</v>
      </c>
      <c r="I928" t="s">
        <v>34</v>
      </c>
      <c r="J928" t="s">
        <v>30</v>
      </c>
      <c r="K928" t="s">
        <v>27</v>
      </c>
      <c r="L928" t="s">
        <v>5083</v>
      </c>
      <c r="M928" t="s">
        <v>5084</v>
      </c>
      <c r="N928" t="s">
        <v>4623</v>
      </c>
      <c r="O928" t="s">
        <v>54</v>
      </c>
      <c r="P928" t="s">
        <v>5085</v>
      </c>
      <c r="Q928" t="s">
        <v>207</v>
      </c>
      <c r="R928" s="26" t="s">
        <v>377</v>
      </c>
      <c r="S928">
        <v>1</v>
      </c>
      <c r="T928">
        <v>4749</v>
      </c>
      <c r="U928">
        <v>0</v>
      </c>
      <c r="V928">
        <v>4749</v>
      </c>
    </row>
    <row r="929" spans="1:22" x14ac:dyDescent="0.3">
      <c r="A929">
        <v>186607</v>
      </c>
      <c r="B929">
        <v>456497358</v>
      </c>
      <c r="C929" t="s">
        <v>5086</v>
      </c>
      <c r="D929" s="9" t="s">
        <v>5087</v>
      </c>
      <c r="E929" t="s">
        <v>4620</v>
      </c>
      <c r="F929" t="s">
        <v>770</v>
      </c>
      <c r="G929" t="s">
        <v>28</v>
      </c>
      <c r="H929" t="s">
        <v>29</v>
      </c>
      <c r="I929" t="s">
        <v>34</v>
      </c>
      <c r="J929" t="s">
        <v>30</v>
      </c>
      <c r="K929" t="s">
        <v>27</v>
      </c>
      <c r="L929" t="s">
        <v>5088</v>
      </c>
      <c r="M929" t="s">
        <v>5089</v>
      </c>
      <c r="N929" t="s">
        <v>4623</v>
      </c>
      <c r="O929" t="s">
        <v>54</v>
      </c>
      <c r="P929" t="s">
        <v>5090</v>
      </c>
      <c r="Q929" t="s">
        <v>88</v>
      </c>
      <c r="R929" s="26" t="s">
        <v>469</v>
      </c>
      <c r="S929">
        <v>2.9</v>
      </c>
      <c r="T929">
        <v>5024</v>
      </c>
      <c r="U929">
        <v>0</v>
      </c>
      <c r="V929">
        <v>5024</v>
      </c>
    </row>
    <row r="930" spans="1:22" x14ac:dyDescent="0.3">
      <c r="A930">
        <v>186607</v>
      </c>
      <c r="B930">
        <v>456532596</v>
      </c>
      <c r="C930" t="s">
        <v>5091</v>
      </c>
      <c r="D930" s="9" t="s">
        <v>5092</v>
      </c>
      <c r="E930" t="s">
        <v>4620</v>
      </c>
      <c r="F930" t="s">
        <v>770</v>
      </c>
      <c r="G930" t="s">
        <v>28</v>
      </c>
      <c r="H930" t="s">
        <v>29</v>
      </c>
      <c r="I930" t="s">
        <v>34</v>
      </c>
      <c r="J930" t="s">
        <v>30</v>
      </c>
      <c r="K930" t="s">
        <v>27</v>
      </c>
      <c r="L930" t="s">
        <v>5093</v>
      </c>
      <c r="M930" t="s">
        <v>5094</v>
      </c>
      <c r="N930" t="s">
        <v>4623</v>
      </c>
      <c r="O930" t="s">
        <v>54</v>
      </c>
      <c r="P930" t="s">
        <v>5095</v>
      </c>
      <c r="Q930" t="s">
        <v>67</v>
      </c>
      <c r="R930" s="26" t="s">
        <v>5066</v>
      </c>
      <c r="S930">
        <v>7.8</v>
      </c>
      <c r="T930">
        <v>5295</v>
      </c>
      <c r="U930">
        <v>0</v>
      </c>
      <c r="V930">
        <v>5295</v>
      </c>
    </row>
    <row r="931" spans="1:22" x14ac:dyDescent="0.3">
      <c r="A931">
        <v>186607</v>
      </c>
      <c r="B931">
        <v>456409325</v>
      </c>
      <c r="C931" t="s">
        <v>5096</v>
      </c>
      <c r="D931" s="9" t="s">
        <v>5097</v>
      </c>
      <c r="E931" t="s">
        <v>4620</v>
      </c>
      <c r="F931" t="s">
        <v>770</v>
      </c>
      <c r="G931" t="s">
        <v>28</v>
      </c>
      <c r="H931" t="s">
        <v>29</v>
      </c>
      <c r="I931" t="s">
        <v>34</v>
      </c>
      <c r="J931" t="s">
        <v>30</v>
      </c>
      <c r="K931" t="s">
        <v>27</v>
      </c>
      <c r="L931" t="s">
        <v>5098</v>
      </c>
      <c r="M931" t="s">
        <v>5099</v>
      </c>
      <c r="N931" t="s">
        <v>4623</v>
      </c>
      <c r="O931" t="s">
        <v>54</v>
      </c>
      <c r="P931" t="s">
        <v>5100</v>
      </c>
      <c r="Q931" t="s">
        <v>167</v>
      </c>
      <c r="R931" s="26" t="s">
        <v>377</v>
      </c>
      <c r="S931">
        <v>1</v>
      </c>
      <c r="T931">
        <v>3935</v>
      </c>
      <c r="U931">
        <v>0</v>
      </c>
      <c r="V931">
        <v>3935</v>
      </c>
    </row>
    <row r="932" spans="1:22" x14ac:dyDescent="0.3">
      <c r="A932">
        <v>186607</v>
      </c>
      <c r="B932">
        <v>456334938</v>
      </c>
      <c r="C932" t="s">
        <v>5101</v>
      </c>
      <c r="D932" s="9" t="s">
        <v>5102</v>
      </c>
      <c r="E932" t="s">
        <v>4620</v>
      </c>
      <c r="F932" t="s">
        <v>770</v>
      </c>
      <c r="G932" t="s">
        <v>28</v>
      </c>
      <c r="H932" t="s">
        <v>29</v>
      </c>
      <c r="I932" t="s">
        <v>34</v>
      </c>
      <c r="J932" t="s">
        <v>30</v>
      </c>
      <c r="K932" t="s">
        <v>27</v>
      </c>
      <c r="L932" t="s">
        <v>5103</v>
      </c>
      <c r="M932" t="s">
        <v>572</v>
      </c>
      <c r="N932" t="s">
        <v>4623</v>
      </c>
      <c r="O932" t="s">
        <v>54</v>
      </c>
      <c r="P932" t="s">
        <v>5104</v>
      </c>
      <c r="Q932" t="s">
        <v>118</v>
      </c>
      <c r="R932" s="26" t="s">
        <v>4646</v>
      </c>
      <c r="S932">
        <v>1.5</v>
      </c>
      <c r="T932">
        <v>3935</v>
      </c>
      <c r="U932">
        <v>0</v>
      </c>
      <c r="V932">
        <v>3935</v>
      </c>
    </row>
    <row r="933" spans="1:22" x14ac:dyDescent="0.3">
      <c r="A933">
        <v>186607</v>
      </c>
      <c r="B933">
        <v>456497338</v>
      </c>
      <c r="C933" t="s">
        <v>5105</v>
      </c>
      <c r="D933" s="9" t="s">
        <v>5106</v>
      </c>
      <c r="E933" t="s">
        <v>4620</v>
      </c>
      <c r="F933" t="s">
        <v>770</v>
      </c>
      <c r="G933" t="s">
        <v>28</v>
      </c>
      <c r="H933" t="s">
        <v>29</v>
      </c>
      <c r="I933" t="s">
        <v>34</v>
      </c>
      <c r="J933" t="s">
        <v>30</v>
      </c>
      <c r="K933" t="s">
        <v>27</v>
      </c>
      <c r="L933" t="s">
        <v>5107</v>
      </c>
      <c r="M933" t="s">
        <v>5108</v>
      </c>
      <c r="N933" t="s">
        <v>4623</v>
      </c>
      <c r="O933" t="s">
        <v>54</v>
      </c>
      <c r="P933" t="s">
        <v>5109</v>
      </c>
      <c r="Q933" t="s">
        <v>143</v>
      </c>
      <c r="R933" s="26" t="s">
        <v>469</v>
      </c>
      <c r="S933">
        <v>4.0999999999999996</v>
      </c>
      <c r="T933">
        <v>3664</v>
      </c>
      <c r="U933">
        <v>0</v>
      </c>
      <c r="V933">
        <v>3664</v>
      </c>
    </row>
    <row r="934" spans="1:22" x14ac:dyDescent="0.3">
      <c r="A934">
        <v>186607</v>
      </c>
      <c r="B934">
        <v>456409350</v>
      </c>
      <c r="C934" t="s">
        <v>5110</v>
      </c>
      <c r="D934" s="9" t="s">
        <v>5111</v>
      </c>
      <c r="E934" t="s">
        <v>4620</v>
      </c>
      <c r="F934" t="s">
        <v>770</v>
      </c>
      <c r="G934" t="s">
        <v>28</v>
      </c>
      <c r="H934" t="s">
        <v>29</v>
      </c>
      <c r="I934" t="s">
        <v>34</v>
      </c>
      <c r="J934" t="s">
        <v>30</v>
      </c>
      <c r="K934" t="s">
        <v>27</v>
      </c>
      <c r="L934" t="s">
        <v>5112</v>
      </c>
      <c r="M934" t="s">
        <v>5113</v>
      </c>
      <c r="N934" t="s">
        <v>4623</v>
      </c>
      <c r="O934" t="s">
        <v>54</v>
      </c>
      <c r="P934" t="s">
        <v>5114</v>
      </c>
      <c r="Q934" t="s">
        <v>84</v>
      </c>
      <c r="R934" s="26" t="s">
        <v>377</v>
      </c>
      <c r="S934">
        <v>1</v>
      </c>
      <c r="T934">
        <v>5564</v>
      </c>
      <c r="U934">
        <v>0</v>
      </c>
      <c r="V934">
        <v>5564</v>
      </c>
    </row>
    <row r="935" spans="1:22" x14ac:dyDescent="0.3">
      <c r="A935">
        <v>186607</v>
      </c>
      <c r="B935">
        <v>456409324</v>
      </c>
      <c r="C935" t="s">
        <v>5115</v>
      </c>
      <c r="D935" s="9" t="s">
        <v>5116</v>
      </c>
      <c r="E935" t="s">
        <v>4620</v>
      </c>
      <c r="F935" t="s">
        <v>770</v>
      </c>
      <c r="G935" t="s">
        <v>28</v>
      </c>
      <c r="H935" t="s">
        <v>29</v>
      </c>
      <c r="I935" t="s">
        <v>34</v>
      </c>
      <c r="J935" t="s">
        <v>30</v>
      </c>
      <c r="K935" t="s">
        <v>27</v>
      </c>
      <c r="L935" t="s">
        <v>5117</v>
      </c>
      <c r="M935" t="s">
        <v>5118</v>
      </c>
      <c r="N935" t="s">
        <v>4623</v>
      </c>
      <c r="O935" t="s">
        <v>54</v>
      </c>
      <c r="P935" t="s">
        <v>5119</v>
      </c>
      <c r="Q935" t="s">
        <v>88</v>
      </c>
      <c r="R935" s="26" t="s">
        <v>377</v>
      </c>
      <c r="S935">
        <v>0.5</v>
      </c>
      <c r="T935">
        <v>3935</v>
      </c>
      <c r="U935">
        <v>0</v>
      </c>
      <c r="V935">
        <v>3935</v>
      </c>
    </row>
    <row r="936" spans="1:22" x14ac:dyDescent="0.3">
      <c r="A936">
        <v>186607</v>
      </c>
      <c r="B936">
        <v>456334924</v>
      </c>
      <c r="C936" t="s">
        <v>5120</v>
      </c>
      <c r="D936" s="9" t="s">
        <v>5121</v>
      </c>
      <c r="E936" t="s">
        <v>4620</v>
      </c>
      <c r="F936" t="s">
        <v>770</v>
      </c>
      <c r="G936" t="s">
        <v>28</v>
      </c>
      <c r="H936" t="s">
        <v>29</v>
      </c>
      <c r="I936" t="s">
        <v>34</v>
      </c>
      <c r="J936" t="s">
        <v>30</v>
      </c>
      <c r="K936" t="s">
        <v>27</v>
      </c>
      <c r="L936" t="s">
        <v>5122</v>
      </c>
      <c r="M936" t="s">
        <v>5123</v>
      </c>
      <c r="N936" t="s">
        <v>4623</v>
      </c>
      <c r="O936" t="s">
        <v>54</v>
      </c>
      <c r="P936" t="s">
        <v>5124</v>
      </c>
      <c r="Q936" t="s">
        <v>121</v>
      </c>
      <c r="R936" s="26" t="s">
        <v>4646</v>
      </c>
      <c r="S936">
        <v>2.9</v>
      </c>
      <c r="T936">
        <v>3935</v>
      </c>
      <c r="U936">
        <v>0</v>
      </c>
      <c r="V936">
        <v>3935</v>
      </c>
    </row>
    <row r="937" spans="1:22" x14ac:dyDescent="0.3">
      <c r="A937">
        <v>186607</v>
      </c>
      <c r="B937">
        <v>456409348</v>
      </c>
      <c r="C937" t="s">
        <v>5125</v>
      </c>
      <c r="D937" s="9" t="s">
        <v>5126</v>
      </c>
      <c r="E937" t="s">
        <v>4620</v>
      </c>
      <c r="F937" t="s">
        <v>770</v>
      </c>
      <c r="G937" t="s">
        <v>28</v>
      </c>
      <c r="H937" t="s">
        <v>29</v>
      </c>
      <c r="I937" t="s">
        <v>34</v>
      </c>
      <c r="J937" t="s">
        <v>30</v>
      </c>
      <c r="K937" t="s">
        <v>27</v>
      </c>
      <c r="L937" t="s">
        <v>5127</v>
      </c>
      <c r="M937" t="s">
        <v>5128</v>
      </c>
      <c r="N937" t="s">
        <v>4623</v>
      </c>
      <c r="O937" t="s">
        <v>54</v>
      </c>
      <c r="P937" t="s">
        <v>5129</v>
      </c>
      <c r="Q937" t="s">
        <v>69</v>
      </c>
      <c r="R937" s="26" t="s">
        <v>377</v>
      </c>
      <c r="S937">
        <v>0.5</v>
      </c>
      <c r="T937">
        <v>3552</v>
      </c>
      <c r="U937">
        <v>0</v>
      </c>
      <c r="V937">
        <v>3552</v>
      </c>
    </row>
    <row r="938" spans="1:22" x14ac:dyDescent="0.3">
      <c r="A938">
        <v>186607</v>
      </c>
      <c r="B938">
        <v>456474887</v>
      </c>
      <c r="C938" t="s">
        <v>5130</v>
      </c>
      <c r="D938" s="9" t="s">
        <v>5131</v>
      </c>
      <c r="E938" t="s">
        <v>4620</v>
      </c>
      <c r="F938" t="s">
        <v>770</v>
      </c>
      <c r="G938" t="s">
        <v>28</v>
      </c>
      <c r="H938" t="s">
        <v>29</v>
      </c>
      <c r="I938" t="s">
        <v>34</v>
      </c>
      <c r="J938" t="s">
        <v>30</v>
      </c>
      <c r="K938" t="s">
        <v>27</v>
      </c>
      <c r="L938" t="s">
        <v>5132</v>
      </c>
      <c r="M938" t="s">
        <v>361</v>
      </c>
      <c r="N938" t="s">
        <v>4623</v>
      </c>
      <c r="O938" t="s">
        <v>54</v>
      </c>
      <c r="P938" t="s">
        <v>362</v>
      </c>
      <c r="Q938" t="s">
        <v>203</v>
      </c>
      <c r="R938" s="26" t="s">
        <v>521</v>
      </c>
      <c r="S938">
        <v>5.9</v>
      </c>
      <c r="T938">
        <v>6231</v>
      </c>
      <c r="U938">
        <v>0</v>
      </c>
      <c r="V938">
        <v>6231</v>
      </c>
    </row>
    <row r="939" spans="1:22" x14ac:dyDescent="0.3">
      <c r="A939">
        <v>186607</v>
      </c>
      <c r="B939">
        <v>456409334</v>
      </c>
      <c r="C939" t="s">
        <v>5133</v>
      </c>
      <c r="D939" s="9" t="s">
        <v>5134</v>
      </c>
      <c r="E939" t="s">
        <v>4620</v>
      </c>
      <c r="F939" t="s">
        <v>770</v>
      </c>
      <c r="G939" t="s">
        <v>28</v>
      </c>
      <c r="H939" t="s">
        <v>29</v>
      </c>
      <c r="I939" t="s">
        <v>34</v>
      </c>
      <c r="J939" t="s">
        <v>30</v>
      </c>
      <c r="K939" t="s">
        <v>27</v>
      </c>
      <c r="L939" t="s">
        <v>5135</v>
      </c>
      <c r="M939" t="s">
        <v>5136</v>
      </c>
      <c r="N939" t="s">
        <v>4623</v>
      </c>
      <c r="O939" t="s">
        <v>54</v>
      </c>
      <c r="P939" t="s">
        <v>5137</v>
      </c>
      <c r="Q939" t="s">
        <v>88</v>
      </c>
      <c r="R939" s="26" t="s">
        <v>377</v>
      </c>
      <c r="S939">
        <v>1.9</v>
      </c>
      <c r="T939">
        <v>5024</v>
      </c>
      <c r="U939">
        <v>0</v>
      </c>
      <c r="V939">
        <v>5024</v>
      </c>
    </row>
    <row r="940" spans="1:22" x14ac:dyDescent="0.3">
      <c r="A940">
        <v>186607</v>
      </c>
      <c r="B940">
        <v>456271882</v>
      </c>
      <c r="C940" t="s">
        <v>5138</v>
      </c>
      <c r="D940" s="9" t="s">
        <v>5139</v>
      </c>
      <c r="E940" t="s">
        <v>4620</v>
      </c>
      <c r="F940" t="s">
        <v>770</v>
      </c>
      <c r="G940" t="s">
        <v>28</v>
      </c>
      <c r="H940" t="s">
        <v>29</v>
      </c>
      <c r="I940" t="s">
        <v>34</v>
      </c>
      <c r="J940" t="s">
        <v>30</v>
      </c>
      <c r="K940" t="s">
        <v>27</v>
      </c>
      <c r="L940" t="s">
        <v>5140</v>
      </c>
      <c r="M940" t="s">
        <v>5141</v>
      </c>
      <c r="N940" t="s">
        <v>4623</v>
      </c>
      <c r="O940" t="s">
        <v>54</v>
      </c>
      <c r="P940" t="s">
        <v>5142</v>
      </c>
      <c r="Q940" t="s">
        <v>68</v>
      </c>
      <c r="R940" s="26" t="s">
        <v>5143</v>
      </c>
      <c r="S940">
        <v>4.9000000000000004</v>
      </c>
      <c r="T940">
        <v>8250</v>
      </c>
      <c r="U940">
        <v>0</v>
      </c>
      <c r="V940">
        <v>8250</v>
      </c>
    </row>
    <row r="941" spans="1:22" x14ac:dyDescent="0.3">
      <c r="A941">
        <v>186607</v>
      </c>
      <c r="B941">
        <v>456474882</v>
      </c>
      <c r="C941" t="s">
        <v>5144</v>
      </c>
      <c r="D941" s="9" t="s">
        <v>5145</v>
      </c>
      <c r="E941" t="s">
        <v>4620</v>
      </c>
      <c r="F941" t="s">
        <v>770</v>
      </c>
      <c r="G941" t="s">
        <v>28</v>
      </c>
      <c r="H941" t="s">
        <v>29</v>
      </c>
      <c r="I941" t="s">
        <v>34</v>
      </c>
      <c r="J941" t="s">
        <v>30</v>
      </c>
      <c r="K941" t="s">
        <v>27</v>
      </c>
      <c r="L941" t="s">
        <v>5146</v>
      </c>
      <c r="M941" t="s">
        <v>615</v>
      </c>
      <c r="N941" t="s">
        <v>4623</v>
      </c>
      <c r="O941" t="s">
        <v>54</v>
      </c>
      <c r="P941" t="s">
        <v>5147</v>
      </c>
      <c r="Q941" t="s">
        <v>171</v>
      </c>
      <c r="R941" s="26" t="s">
        <v>521</v>
      </c>
      <c r="S941">
        <v>0.5</v>
      </c>
      <c r="T941">
        <v>3193</v>
      </c>
      <c r="U941">
        <v>0</v>
      </c>
      <c r="V941">
        <v>3193</v>
      </c>
    </row>
    <row r="942" spans="1:22" x14ac:dyDescent="0.3">
      <c r="A942">
        <v>186607</v>
      </c>
      <c r="B942">
        <v>456443834</v>
      </c>
      <c r="C942" t="s">
        <v>5148</v>
      </c>
      <c r="D942" s="9" t="s">
        <v>5149</v>
      </c>
      <c r="E942" t="s">
        <v>4620</v>
      </c>
      <c r="F942" t="s">
        <v>770</v>
      </c>
      <c r="G942" t="s">
        <v>28</v>
      </c>
      <c r="H942" t="s">
        <v>29</v>
      </c>
      <c r="I942" t="s">
        <v>34</v>
      </c>
      <c r="J942" t="s">
        <v>30</v>
      </c>
      <c r="K942" t="s">
        <v>27</v>
      </c>
      <c r="L942" t="s">
        <v>5150</v>
      </c>
      <c r="M942" t="s">
        <v>5151</v>
      </c>
      <c r="N942" t="s">
        <v>4623</v>
      </c>
      <c r="O942" t="s">
        <v>54</v>
      </c>
      <c r="P942" t="s">
        <v>5152</v>
      </c>
      <c r="Q942" t="s">
        <v>108</v>
      </c>
      <c r="R942" s="26" t="s">
        <v>410</v>
      </c>
      <c r="S942">
        <v>0.5</v>
      </c>
      <c r="T942">
        <v>3193</v>
      </c>
      <c r="U942">
        <v>0</v>
      </c>
      <c r="V942">
        <v>3193</v>
      </c>
    </row>
    <row r="943" spans="1:22" x14ac:dyDescent="0.3">
      <c r="A943">
        <v>186607</v>
      </c>
      <c r="B943">
        <v>456497354</v>
      </c>
      <c r="C943" t="s">
        <v>5153</v>
      </c>
      <c r="D943" s="9" t="s">
        <v>5154</v>
      </c>
      <c r="E943" t="s">
        <v>4620</v>
      </c>
      <c r="F943" t="s">
        <v>770</v>
      </c>
      <c r="G943" t="s">
        <v>28</v>
      </c>
      <c r="H943" t="s">
        <v>29</v>
      </c>
      <c r="I943" t="s">
        <v>34</v>
      </c>
      <c r="J943" t="s">
        <v>30</v>
      </c>
      <c r="K943" t="s">
        <v>27</v>
      </c>
      <c r="L943" t="s">
        <v>5155</v>
      </c>
      <c r="M943" t="s">
        <v>5156</v>
      </c>
      <c r="N943" t="s">
        <v>4623</v>
      </c>
      <c r="O943" t="s">
        <v>54</v>
      </c>
      <c r="P943" t="s">
        <v>5157</v>
      </c>
      <c r="Q943" t="s">
        <v>109</v>
      </c>
      <c r="R943" s="26" t="s">
        <v>469</v>
      </c>
      <c r="S943">
        <v>18.899999999999999</v>
      </c>
      <c r="T943">
        <v>10914</v>
      </c>
      <c r="U943">
        <v>0</v>
      </c>
      <c r="V943">
        <v>10914</v>
      </c>
    </row>
    <row r="944" spans="1:22" x14ac:dyDescent="0.3">
      <c r="A944">
        <v>186607</v>
      </c>
      <c r="B944">
        <v>456351755</v>
      </c>
      <c r="C944" t="s">
        <v>5158</v>
      </c>
      <c r="D944" s="9" t="s">
        <v>5159</v>
      </c>
      <c r="E944" t="s">
        <v>4620</v>
      </c>
      <c r="F944" t="s">
        <v>770</v>
      </c>
      <c r="G944" t="s">
        <v>28</v>
      </c>
      <c r="H944" t="s">
        <v>29</v>
      </c>
      <c r="I944" t="s">
        <v>34</v>
      </c>
      <c r="J944" t="s">
        <v>30</v>
      </c>
      <c r="K944" t="s">
        <v>27</v>
      </c>
      <c r="L944" t="s">
        <v>5160</v>
      </c>
      <c r="M944" t="s">
        <v>5161</v>
      </c>
      <c r="N944" t="s">
        <v>4623</v>
      </c>
      <c r="O944" t="s">
        <v>54</v>
      </c>
      <c r="P944" t="s">
        <v>5162</v>
      </c>
      <c r="Q944" t="s">
        <v>85</v>
      </c>
      <c r="R944" s="26" t="s">
        <v>4937</v>
      </c>
      <c r="S944">
        <v>1</v>
      </c>
      <c r="T944">
        <v>3631</v>
      </c>
      <c r="U944">
        <v>0</v>
      </c>
      <c r="V944">
        <v>3631</v>
      </c>
    </row>
    <row r="945" spans="1:22" x14ac:dyDescent="0.3">
      <c r="A945">
        <v>186607</v>
      </c>
      <c r="B945">
        <v>456094085</v>
      </c>
      <c r="C945" t="s">
        <v>5163</v>
      </c>
      <c r="D945" s="9" t="s">
        <v>5164</v>
      </c>
      <c r="E945" t="s">
        <v>4620</v>
      </c>
      <c r="F945" t="s">
        <v>770</v>
      </c>
      <c r="G945" t="s">
        <v>28</v>
      </c>
      <c r="H945" t="s">
        <v>29</v>
      </c>
      <c r="I945" t="s">
        <v>34</v>
      </c>
      <c r="J945" t="s">
        <v>30</v>
      </c>
      <c r="K945" t="s">
        <v>27</v>
      </c>
      <c r="L945" t="s">
        <v>5165</v>
      </c>
      <c r="M945" t="s">
        <v>5166</v>
      </c>
      <c r="N945" t="s">
        <v>4623</v>
      </c>
      <c r="O945" t="s">
        <v>54</v>
      </c>
      <c r="P945" t="s">
        <v>5167</v>
      </c>
      <c r="Q945" t="s">
        <v>68</v>
      </c>
      <c r="R945" s="26" t="s">
        <v>308</v>
      </c>
      <c r="S945">
        <v>1.9</v>
      </c>
      <c r="T945">
        <v>5564</v>
      </c>
      <c r="U945">
        <v>0</v>
      </c>
      <c r="V945">
        <v>5564</v>
      </c>
    </row>
    <row r="946" spans="1:22" x14ac:dyDescent="0.3">
      <c r="A946">
        <v>186607</v>
      </c>
      <c r="B946">
        <v>456271821</v>
      </c>
      <c r="C946" t="s">
        <v>5168</v>
      </c>
      <c r="D946" s="9" t="s">
        <v>5169</v>
      </c>
      <c r="E946" t="s">
        <v>4620</v>
      </c>
      <c r="F946" t="s">
        <v>770</v>
      </c>
      <c r="G946" t="s">
        <v>28</v>
      </c>
      <c r="H946" t="s">
        <v>29</v>
      </c>
      <c r="I946" t="s">
        <v>34</v>
      </c>
      <c r="J946" t="s">
        <v>30</v>
      </c>
      <c r="K946" t="s">
        <v>27</v>
      </c>
      <c r="L946" t="s">
        <v>5170</v>
      </c>
      <c r="M946" t="s">
        <v>5171</v>
      </c>
      <c r="N946" t="s">
        <v>4623</v>
      </c>
      <c r="O946" t="s">
        <v>54</v>
      </c>
      <c r="P946" t="s">
        <v>5172</v>
      </c>
      <c r="Q946" t="s">
        <v>286</v>
      </c>
      <c r="R946" s="26" t="s">
        <v>247</v>
      </c>
      <c r="S946">
        <v>7.4</v>
      </c>
      <c r="T946">
        <v>10206</v>
      </c>
      <c r="U946">
        <v>0</v>
      </c>
      <c r="V946">
        <v>10206</v>
      </c>
    </row>
    <row r="947" spans="1:22" x14ac:dyDescent="0.3">
      <c r="A947">
        <v>186607</v>
      </c>
      <c r="B947">
        <v>456351754</v>
      </c>
      <c r="C947" t="s">
        <v>5173</v>
      </c>
      <c r="D947" s="9" t="s">
        <v>5174</v>
      </c>
      <c r="E947" t="s">
        <v>4620</v>
      </c>
      <c r="F947" t="s">
        <v>770</v>
      </c>
      <c r="G947" t="s">
        <v>28</v>
      </c>
      <c r="H947" t="s">
        <v>29</v>
      </c>
      <c r="I947" t="s">
        <v>34</v>
      </c>
      <c r="J947" t="s">
        <v>30</v>
      </c>
      <c r="K947" t="s">
        <v>27</v>
      </c>
      <c r="L947" t="s">
        <v>5175</v>
      </c>
      <c r="M947" t="s">
        <v>5176</v>
      </c>
      <c r="N947" t="s">
        <v>4623</v>
      </c>
      <c r="O947" t="s">
        <v>54</v>
      </c>
      <c r="P947" t="s">
        <v>5177</v>
      </c>
      <c r="Q947" t="s">
        <v>41</v>
      </c>
      <c r="R947" s="26" t="s">
        <v>4937</v>
      </c>
      <c r="S947">
        <v>1</v>
      </c>
      <c r="T947">
        <v>3935</v>
      </c>
      <c r="U947">
        <v>0</v>
      </c>
      <c r="V947">
        <v>3935</v>
      </c>
    </row>
    <row r="948" spans="1:22" x14ac:dyDescent="0.3">
      <c r="A948">
        <v>186607</v>
      </c>
      <c r="B948">
        <v>456409337</v>
      </c>
      <c r="C948" t="s">
        <v>5178</v>
      </c>
      <c r="D948" s="9" t="s">
        <v>5179</v>
      </c>
      <c r="E948" t="s">
        <v>4620</v>
      </c>
      <c r="F948" t="s">
        <v>770</v>
      </c>
      <c r="G948" t="s">
        <v>28</v>
      </c>
      <c r="H948" t="s">
        <v>29</v>
      </c>
      <c r="I948" t="s">
        <v>34</v>
      </c>
      <c r="J948" t="s">
        <v>30</v>
      </c>
      <c r="K948" t="s">
        <v>27</v>
      </c>
      <c r="L948" t="s">
        <v>5180</v>
      </c>
      <c r="M948" t="s">
        <v>5181</v>
      </c>
      <c r="N948" t="s">
        <v>4623</v>
      </c>
      <c r="O948" t="s">
        <v>54</v>
      </c>
      <c r="P948" t="s">
        <v>5182</v>
      </c>
      <c r="Q948" t="s">
        <v>69</v>
      </c>
      <c r="R948" s="26" t="s">
        <v>377</v>
      </c>
      <c r="S948">
        <v>3.2</v>
      </c>
      <c r="T948">
        <v>4935</v>
      </c>
      <c r="U948">
        <v>0</v>
      </c>
      <c r="V948">
        <v>4935</v>
      </c>
    </row>
    <row r="949" spans="1:22" x14ac:dyDescent="0.3">
      <c r="A949">
        <v>186607</v>
      </c>
      <c r="B949">
        <v>456271781</v>
      </c>
      <c r="C949" t="s">
        <v>5183</v>
      </c>
      <c r="D949" s="9" t="s">
        <v>5184</v>
      </c>
      <c r="E949" t="s">
        <v>4620</v>
      </c>
      <c r="F949" t="s">
        <v>770</v>
      </c>
      <c r="G949" t="s">
        <v>28</v>
      </c>
      <c r="H949" t="s">
        <v>29</v>
      </c>
      <c r="I949" t="s">
        <v>34</v>
      </c>
      <c r="J949" t="s">
        <v>30</v>
      </c>
      <c r="K949" t="s">
        <v>27</v>
      </c>
      <c r="L949" t="s">
        <v>5185</v>
      </c>
      <c r="M949" t="s">
        <v>5186</v>
      </c>
      <c r="N949" t="s">
        <v>4623</v>
      </c>
      <c r="O949" t="s">
        <v>54</v>
      </c>
      <c r="P949" t="s">
        <v>5187</v>
      </c>
      <c r="Q949" t="s">
        <v>138</v>
      </c>
      <c r="R949" s="26" t="s">
        <v>247</v>
      </c>
      <c r="S949">
        <v>3.3</v>
      </c>
      <c r="T949">
        <v>3664</v>
      </c>
      <c r="U949">
        <v>0</v>
      </c>
      <c r="V949">
        <v>3664</v>
      </c>
    </row>
    <row r="950" spans="1:22" x14ac:dyDescent="0.3">
      <c r="A950">
        <v>186607</v>
      </c>
      <c r="B950">
        <v>456409339</v>
      </c>
      <c r="C950" t="s">
        <v>5188</v>
      </c>
      <c r="D950" s="9" t="s">
        <v>5189</v>
      </c>
      <c r="E950" t="s">
        <v>4620</v>
      </c>
      <c r="F950" t="s">
        <v>770</v>
      </c>
      <c r="G950" t="s">
        <v>28</v>
      </c>
      <c r="H950" t="s">
        <v>29</v>
      </c>
      <c r="I950" t="s">
        <v>34</v>
      </c>
      <c r="J950" t="s">
        <v>30</v>
      </c>
      <c r="K950" t="s">
        <v>27</v>
      </c>
      <c r="L950" t="s">
        <v>5190</v>
      </c>
      <c r="M950" t="s">
        <v>697</v>
      </c>
      <c r="N950" t="s">
        <v>4623</v>
      </c>
      <c r="O950" t="s">
        <v>54</v>
      </c>
      <c r="P950" t="s">
        <v>5191</v>
      </c>
      <c r="Q950" t="s">
        <v>73</v>
      </c>
      <c r="R950" s="26" t="s">
        <v>377</v>
      </c>
      <c r="S950">
        <v>0.5</v>
      </c>
      <c r="T950">
        <v>3339</v>
      </c>
      <c r="U950">
        <v>0</v>
      </c>
      <c r="V950">
        <v>3339</v>
      </c>
    </row>
    <row r="951" spans="1:22" x14ac:dyDescent="0.3">
      <c r="A951">
        <v>186607</v>
      </c>
      <c r="B951">
        <v>456334937</v>
      </c>
      <c r="C951" t="s">
        <v>5192</v>
      </c>
      <c r="D951" s="9" t="s">
        <v>5193</v>
      </c>
      <c r="E951" t="s">
        <v>4620</v>
      </c>
      <c r="F951" t="s">
        <v>770</v>
      </c>
      <c r="G951" t="s">
        <v>28</v>
      </c>
      <c r="H951" t="s">
        <v>29</v>
      </c>
      <c r="I951" t="s">
        <v>34</v>
      </c>
      <c r="J951" t="s">
        <v>30</v>
      </c>
      <c r="K951" t="s">
        <v>27</v>
      </c>
      <c r="L951" t="s">
        <v>5194</v>
      </c>
      <c r="M951" t="s">
        <v>5195</v>
      </c>
      <c r="N951" t="s">
        <v>4623</v>
      </c>
      <c r="O951" t="s">
        <v>54</v>
      </c>
      <c r="P951" t="s">
        <v>5196</v>
      </c>
      <c r="Q951" t="s">
        <v>81</v>
      </c>
      <c r="R951" s="26" t="s">
        <v>4646</v>
      </c>
      <c r="S951">
        <v>8</v>
      </c>
      <c r="T951">
        <v>6114</v>
      </c>
      <c r="U951">
        <v>0</v>
      </c>
      <c r="V951">
        <v>6114</v>
      </c>
    </row>
    <row r="952" spans="1:22" x14ac:dyDescent="0.3">
      <c r="A952">
        <v>186607</v>
      </c>
      <c r="B952">
        <v>456271783</v>
      </c>
      <c r="C952" t="s">
        <v>5197</v>
      </c>
      <c r="D952" s="9" t="s">
        <v>5198</v>
      </c>
      <c r="E952" t="s">
        <v>4620</v>
      </c>
      <c r="F952" t="s">
        <v>770</v>
      </c>
      <c r="G952" t="s">
        <v>28</v>
      </c>
      <c r="H952" t="s">
        <v>29</v>
      </c>
      <c r="I952" t="s">
        <v>34</v>
      </c>
      <c r="J952" t="s">
        <v>30</v>
      </c>
      <c r="K952" t="s">
        <v>27</v>
      </c>
      <c r="L952" t="s">
        <v>5199</v>
      </c>
      <c r="M952" t="s">
        <v>603</v>
      </c>
      <c r="N952" t="s">
        <v>4623</v>
      </c>
      <c r="O952" t="s">
        <v>54</v>
      </c>
      <c r="P952" t="s">
        <v>5200</v>
      </c>
      <c r="Q952" t="s">
        <v>135</v>
      </c>
      <c r="R952" s="26" t="s">
        <v>247</v>
      </c>
      <c r="S952">
        <v>1</v>
      </c>
      <c r="T952">
        <v>3250</v>
      </c>
      <c r="U952">
        <v>0</v>
      </c>
      <c r="V952">
        <v>3250</v>
      </c>
    </row>
    <row r="953" spans="1:22" x14ac:dyDescent="0.3">
      <c r="A953">
        <v>186607</v>
      </c>
      <c r="B953">
        <v>456409327</v>
      </c>
      <c r="C953" t="s">
        <v>5201</v>
      </c>
      <c r="D953" s="9" t="s">
        <v>5202</v>
      </c>
      <c r="E953" t="s">
        <v>4620</v>
      </c>
      <c r="F953" t="s">
        <v>770</v>
      </c>
      <c r="G953" t="s">
        <v>28</v>
      </c>
      <c r="H953" t="s">
        <v>29</v>
      </c>
      <c r="I953" t="s">
        <v>34</v>
      </c>
      <c r="J953" t="s">
        <v>30</v>
      </c>
      <c r="K953" t="s">
        <v>27</v>
      </c>
      <c r="L953" t="s">
        <v>5203</v>
      </c>
      <c r="M953" t="s">
        <v>5204</v>
      </c>
      <c r="N953" t="s">
        <v>4623</v>
      </c>
      <c r="O953" t="s">
        <v>54</v>
      </c>
      <c r="P953" t="s">
        <v>5205</v>
      </c>
      <c r="Q953" t="s">
        <v>109</v>
      </c>
      <c r="R953" s="26" t="s">
        <v>377</v>
      </c>
      <c r="S953">
        <v>3.1</v>
      </c>
      <c r="T953">
        <v>3664</v>
      </c>
      <c r="U953">
        <v>0</v>
      </c>
      <c r="V953">
        <v>3664</v>
      </c>
    </row>
    <row r="954" spans="1:22" x14ac:dyDescent="0.3">
      <c r="A954">
        <v>186607</v>
      </c>
      <c r="B954">
        <v>456409326</v>
      </c>
      <c r="C954" t="s">
        <v>5206</v>
      </c>
      <c r="D954" s="9" t="s">
        <v>5207</v>
      </c>
      <c r="E954" t="s">
        <v>4620</v>
      </c>
      <c r="F954" t="s">
        <v>770</v>
      </c>
      <c r="G954" t="s">
        <v>28</v>
      </c>
      <c r="H954" t="s">
        <v>29</v>
      </c>
      <c r="I954" t="s">
        <v>34</v>
      </c>
      <c r="J954" t="s">
        <v>30</v>
      </c>
      <c r="K954" t="s">
        <v>27</v>
      </c>
      <c r="L954" t="s">
        <v>5208</v>
      </c>
      <c r="M954" t="s">
        <v>5209</v>
      </c>
      <c r="N954" t="s">
        <v>4623</v>
      </c>
      <c r="O954" t="s">
        <v>54</v>
      </c>
      <c r="P954" t="s">
        <v>5210</v>
      </c>
      <c r="Q954" t="s">
        <v>69</v>
      </c>
      <c r="R954" s="26" t="s">
        <v>377</v>
      </c>
      <c r="S954">
        <v>1.7</v>
      </c>
      <c r="T954">
        <v>3935</v>
      </c>
      <c r="U954">
        <v>0</v>
      </c>
      <c r="V954">
        <v>3935</v>
      </c>
    </row>
    <row r="955" spans="1:22" x14ac:dyDescent="0.3">
      <c r="A955">
        <v>186607</v>
      </c>
      <c r="B955">
        <v>456409331</v>
      </c>
      <c r="C955" t="s">
        <v>5211</v>
      </c>
      <c r="D955" s="9" t="s">
        <v>5212</v>
      </c>
      <c r="E955" t="s">
        <v>4620</v>
      </c>
      <c r="F955" t="s">
        <v>770</v>
      </c>
      <c r="G955" t="s">
        <v>28</v>
      </c>
      <c r="H955" t="s">
        <v>29</v>
      </c>
      <c r="I955" t="s">
        <v>34</v>
      </c>
      <c r="J955" t="s">
        <v>30</v>
      </c>
      <c r="K955" t="s">
        <v>27</v>
      </c>
      <c r="L955" t="s">
        <v>5213</v>
      </c>
      <c r="M955" t="s">
        <v>5214</v>
      </c>
      <c r="N955" t="s">
        <v>4623</v>
      </c>
      <c r="O955" t="s">
        <v>54</v>
      </c>
      <c r="P955" t="s">
        <v>5215</v>
      </c>
      <c r="Q955" t="s">
        <v>85</v>
      </c>
      <c r="R955" s="26" t="s">
        <v>377</v>
      </c>
      <c r="S955">
        <v>1.3</v>
      </c>
      <c r="T955">
        <v>3631</v>
      </c>
      <c r="U955">
        <v>0</v>
      </c>
      <c r="V955">
        <v>3631</v>
      </c>
    </row>
    <row r="956" spans="1:22" x14ac:dyDescent="0.3">
      <c r="A956">
        <v>186607</v>
      </c>
      <c r="B956">
        <v>456409352</v>
      </c>
      <c r="C956" t="s">
        <v>5216</v>
      </c>
      <c r="D956" s="9" t="s">
        <v>5217</v>
      </c>
      <c r="E956" t="s">
        <v>4620</v>
      </c>
      <c r="F956" t="s">
        <v>770</v>
      </c>
      <c r="G956" t="s">
        <v>28</v>
      </c>
      <c r="H956" t="s">
        <v>29</v>
      </c>
      <c r="I956" t="s">
        <v>34</v>
      </c>
      <c r="J956" t="s">
        <v>30</v>
      </c>
      <c r="K956" t="s">
        <v>27</v>
      </c>
      <c r="L956" t="s">
        <v>495</v>
      </c>
      <c r="M956" t="s">
        <v>5218</v>
      </c>
      <c r="N956" t="s">
        <v>4623</v>
      </c>
      <c r="O956" t="s">
        <v>54</v>
      </c>
      <c r="P956" t="s">
        <v>5219</v>
      </c>
      <c r="Q956" t="s">
        <v>42</v>
      </c>
      <c r="R956" s="26" t="s">
        <v>377</v>
      </c>
      <c r="S956">
        <v>1</v>
      </c>
      <c r="T956">
        <v>3631</v>
      </c>
      <c r="U956">
        <v>0</v>
      </c>
      <c r="V956">
        <v>3631</v>
      </c>
    </row>
    <row r="957" spans="1:22" x14ac:dyDescent="0.3">
      <c r="A957">
        <v>186607</v>
      </c>
      <c r="B957">
        <v>456271879</v>
      </c>
      <c r="C957" t="s">
        <v>5220</v>
      </c>
      <c r="D957" s="9" t="s">
        <v>5221</v>
      </c>
      <c r="E957" t="s">
        <v>4620</v>
      </c>
      <c r="F957" t="s">
        <v>770</v>
      </c>
      <c r="G957" t="s">
        <v>28</v>
      </c>
      <c r="H957" t="s">
        <v>29</v>
      </c>
      <c r="I957" t="s">
        <v>34</v>
      </c>
      <c r="J957" t="s">
        <v>30</v>
      </c>
      <c r="K957" t="s">
        <v>27</v>
      </c>
      <c r="L957" t="s">
        <v>5222</v>
      </c>
      <c r="M957" t="s">
        <v>5223</v>
      </c>
      <c r="N957" t="s">
        <v>4623</v>
      </c>
      <c r="O957" t="s">
        <v>54</v>
      </c>
      <c r="P957" t="s">
        <v>5224</v>
      </c>
      <c r="Q957" t="s">
        <v>68</v>
      </c>
      <c r="R957" s="26" t="s">
        <v>247</v>
      </c>
      <c r="S957">
        <v>3.2</v>
      </c>
      <c r="T957">
        <v>8250</v>
      </c>
      <c r="U957">
        <v>0</v>
      </c>
      <c r="V957">
        <v>8250</v>
      </c>
    </row>
    <row r="958" spans="1:22" x14ac:dyDescent="0.3">
      <c r="A958">
        <v>186607</v>
      </c>
      <c r="B958">
        <v>456351763</v>
      </c>
      <c r="C958" t="s">
        <v>5225</v>
      </c>
      <c r="D958" s="9" t="s">
        <v>5226</v>
      </c>
      <c r="E958" t="s">
        <v>4620</v>
      </c>
      <c r="F958" t="s">
        <v>770</v>
      </c>
      <c r="G958" t="s">
        <v>28</v>
      </c>
      <c r="H958" t="s">
        <v>29</v>
      </c>
      <c r="I958" t="s">
        <v>34</v>
      </c>
      <c r="J958" t="s">
        <v>30</v>
      </c>
      <c r="K958" t="s">
        <v>27</v>
      </c>
      <c r="L958" t="s">
        <v>5227</v>
      </c>
      <c r="M958" t="s">
        <v>561</v>
      </c>
      <c r="N958" t="s">
        <v>4623</v>
      </c>
      <c r="O958" t="s">
        <v>54</v>
      </c>
      <c r="P958" t="s">
        <v>5228</v>
      </c>
      <c r="Q958" t="s">
        <v>135</v>
      </c>
      <c r="R958" s="26" t="s">
        <v>4937</v>
      </c>
      <c r="S958">
        <v>1</v>
      </c>
      <c r="T958">
        <v>3250</v>
      </c>
      <c r="U958">
        <v>0</v>
      </c>
      <c r="V958">
        <v>3250</v>
      </c>
    </row>
    <row r="959" spans="1:22" x14ac:dyDescent="0.3">
      <c r="A959">
        <v>186607</v>
      </c>
      <c r="B959">
        <v>456094328</v>
      </c>
      <c r="C959" t="s">
        <v>5229</v>
      </c>
      <c r="D959" s="9" t="s">
        <v>5230</v>
      </c>
      <c r="E959" t="s">
        <v>4620</v>
      </c>
      <c r="F959" t="s">
        <v>770</v>
      </c>
      <c r="G959" t="s">
        <v>28</v>
      </c>
      <c r="H959" t="s">
        <v>29</v>
      </c>
      <c r="I959" t="s">
        <v>34</v>
      </c>
      <c r="J959" t="s">
        <v>30</v>
      </c>
      <c r="K959" t="s">
        <v>27</v>
      </c>
      <c r="L959" t="s">
        <v>5231</v>
      </c>
      <c r="M959" t="s">
        <v>5232</v>
      </c>
      <c r="N959" t="s">
        <v>4623</v>
      </c>
      <c r="O959" t="s">
        <v>54</v>
      </c>
      <c r="P959" t="s">
        <v>5233</v>
      </c>
      <c r="Q959" t="s">
        <v>202</v>
      </c>
      <c r="R959" s="26" t="s">
        <v>374</v>
      </c>
      <c r="S959">
        <v>3.8</v>
      </c>
      <c r="T959">
        <v>4305</v>
      </c>
      <c r="U959">
        <v>0</v>
      </c>
      <c r="V959">
        <v>4305</v>
      </c>
    </row>
    <row r="960" spans="1:22" x14ac:dyDescent="0.3">
      <c r="A960">
        <v>186607</v>
      </c>
      <c r="B960">
        <v>456334939</v>
      </c>
      <c r="C960" t="s">
        <v>5234</v>
      </c>
      <c r="D960" s="9" t="s">
        <v>5235</v>
      </c>
      <c r="E960" t="s">
        <v>4620</v>
      </c>
      <c r="F960" t="s">
        <v>770</v>
      </c>
      <c r="G960" t="s">
        <v>28</v>
      </c>
      <c r="H960" t="s">
        <v>29</v>
      </c>
      <c r="I960" t="s">
        <v>34</v>
      </c>
      <c r="J960" t="s">
        <v>30</v>
      </c>
      <c r="K960" t="s">
        <v>27</v>
      </c>
      <c r="L960" t="s">
        <v>5236</v>
      </c>
      <c r="M960" t="s">
        <v>5237</v>
      </c>
      <c r="N960" t="s">
        <v>4623</v>
      </c>
      <c r="O960" t="s">
        <v>54</v>
      </c>
      <c r="P960" t="s">
        <v>5238</v>
      </c>
      <c r="Q960" t="s">
        <v>135</v>
      </c>
      <c r="R960" s="26" t="s">
        <v>4646</v>
      </c>
      <c r="S960">
        <v>0.5</v>
      </c>
      <c r="T960">
        <v>3193</v>
      </c>
      <c r="U960">
        <v>0</v>
      </c>
      <c r="V960">
        <v>3193</v>
      </c>
    </row>
    <row r="961" spans="1:22" x14ac:dyDescent="0.3">
      <c r="A961">
        <v>186607</v>
      </c>
      <c r="B961">
        <v>456409319</v>
      </c>
      <c r="C961" t="s">
        <v>5239</v>
      </c>
      <c r="D961" s="9" t="s">
        <v>5240</v>
      </c>
      <c r="E961" t="s">
        <v>4620</v>
      </c>
      <c r="F961" t="s">
        <v>770</v>
      </c>
      <c r="G961" t="s">
        <v>28</v>
      </c>
      <c r="H961" t="s">
        <v>29</v>
      </c>
      <c r="I961" t="s">
        <v>34</v>
      </c>
      <c r="J961" t="s">
        <v>30</v>
      </c>
      <c r="K961" t="s">
        <v>27</v>
      </c>
      <c r="L961" t="s">
        <v>5241</v>
      </c>
      <c r="M961" t="s">
        <v>5242</v>
      </c>
      <c r="N961" t="s">
        <v>4623</v>
      </c>
      <c r="O961" t="s">
        <v>54</v>
      </c>
      <c r="P961" t="s">
        <v>5243</v>
      </c>
      <c r="Q961" t="s">
        <v>80</v>
      </c>
      <c r="R961" s="26" t="s">
        <v>377</v>
      </c>
      <c r="S961">
        <v>0.5</v>
      </c>
      <c r="T961">
        <v>3193</v>
      </c>
      <c r="U961">
        <v>0</v>
      </c>
      <c r="V961">
        <v>3193</v>
      </c>
    </row>
    <row r="962" spans="1:22" x14ac:dyDescent="0.3">
      <c r="A962">
        <v>186607</v>
      </c>
      <c r="B962">
        <v>456271846</v>
      </c>
      <c r="C962" t="s">
        <v>5244</v>
      </c>
      <c r="D962" s="9" t="s">
        <v>5245</v>
      </c>
      <c r="E962" t="s">
        <v>4620</v>
      </c>
      <c r="F962" t="s">
        <v>770</v>
      </c>
      <c r="G962" t="s">
        <v>28</v>
      </c>
      <c r="H962" t="s">
        <v>29</v>
      </c>
      <c r="I962" t="s">
        <v>34</v>
      </c>
      <c r="J962" t="s">
        <v>30</v>
      </c>
      <c r="K962" t="s">
        <v>27</v>
      </c>
      <c r="L962" t="s">
        <v>5246</v>
      </c>
      <c r="M962" t="s">
        <v>5247</v>
      </c>
      <c r="N962" t="s">
        <v>4623</v>
      </c>
      <c r="O962" t="s">
        <v>54</v>
      </c>
      <c r="P962" t="s">
        <v>5248</v>
      </c>
      <c r="Q962" t="s">
        <v>144</v>
      </c>
      <c r="R962" s="26" t="s">
        <v>247</v>
      </c>
      <c r="S962">
        <v>0.5</v>
      </c>
      <c r="T962">
        <v>3339</v>
      </c>
      <c r="U962">
        <v>0</v>
      </c>
      <c r="V962">
        <v>3339</v>
      </c>
    </row>
    <row r="963" spans="1:22" x14ac:dyDescent="0.3">
      <c r="A963">
        <v>186607</v>
      </c>
      <c r="B963">
        <v>456094411</v>
      </c>
      <c r="C963" t="s">
        <v>5249</v>
      </c>
      <c r="D963" s="9" t="s">
        <v>5250</v>
      </c>
      <c r="E963" t="s">
        <v>4620</v>
      </c>
      <c r="F963" t="s">
        <v>770</v>
      </c>
      <c r="G963" t="s">
        <v>28</v>
      </c>
      <c r="H963" t="s">
        <v>29</v>
      </c>
      <c r="I963" t="s">
        <v>34</v>
      </c>
      <c r="J963" t="s">
        <v>30</v>
      </c>
      <c r="K963" t="s">
        <v>27</v>
      </c>
      <c r="L963" t="s">
        <v>5251</v>
      </c>
      <c r="M963" t="s">
        <v>5252</v>
      </c>
      <c r="N963" t="s">
        <v>4623</v>
      </c>
      <c r="O963" t="s">
        <v>54</v>
      </c>
      <c r="P963" t="s">
        <v>5253</v>
      </c>
      <c r="Q963" t="s">
        <v>120</v>
      </c>
      <c r="R963" s="26" t="s">
        <v>374</v>
      </c>
      <c r="S963">
        <v>7.8</v>
      </c>
      <c r="T963">
        <v>10206</v>
      </c>
      <c r="U963">
        <v>0</v>
      </c>
      <c r="V963">
        <v>10206</v>
      </c>
    </row>
    <row r="964" spans="1:22" x14ac:dyDescent="0.3">
      <c r="A964">
        <v>186607</v>
      </c>
      <c r="B964">
        <v>456094133</v>
      </c>
      <c r="C964" t="s">
        <v>5254</v>
      </c>
      <c r="D964" s="9" t="s">
        <v>5255</v>
      </c>
      <c r="E964" t="s">
        <v>4620</v>
      </c>
      <c r="F964" t="s">
        <v>770</v>
      </c>
      <c r="G964" t="s">
        <v>28</v>
      </c>
      <c r="H964" t="s">
        <v>29</v>
      </c>
      <c r="I964" t="s">
        <v>34</v>
      </c>
      <c r="J964" t="s">
        <v>30</v>
      </c>
      <c r="K964" t="s">
        <v>27</v>
      </c>
      <c r="L964" t="s">
        <v>5256</v>
      </c>
      <c r="M964" t="s">
        <v>5257</v>
      </c>
      <c r="N964" t="s">
        <v>4623</v>
      </c>
      <c r="O964" t="s">
        <v>54</v>
      </c>
      <c r="P964" t="s">
        <v>5258</v>
      </c>
      <c r="Q964" t="s">
        <v>68</v>
      </c>
      <c r="R964" s="26" t="s">
        <v>308</v>
      </c>
      <c r="S964">
        <v>36.9</v>
      </c>
      <c r="T964">
        <v>54838</v>
      </c>
      <c r="U964">
        <v>0</v>
      </c>
      <c r="V964">
        <v>54838</v>
      </c>
    </row>
    <row r="965" spans="1:22" x14ac:dyDescent="0.3">
      <c r="A965">
        <v>186607</v>
      </c>
      <c r="B965">
        <v>456094142</v>
      </c>
      <c r="C965" t="s">
        <v>5259</v>
      </c>
      <c r="D965" s="9" t="s">
        <v>5260</v>
      </c>
      <c r="E965" t="s">
        <v>4620</v>
      </c>
      <c r="F965" t="s">
        <v>770</v>
      </c>
      <c r="G965" t="s">
        <v>28</v>
      </c>
      <c r="H965" t="s">
        <v>29</v>
      </c>
      <c r="I965" t="s">
        <v>34</v>
      </c>
      <c r="J965" t="s">
        <v>30</v>
      </c>
      <c r="K965" t="s">
        <v>27</v>
      </c>
      <c r="L965" t="s">
        <v>5256</v>
      </c>
      <c r="M965" t="s">
        <v>5257</v>
      </c>
      <c r="N965" t="s">
        <v>4623</v>
      </c>
      <c r="O965" t="s">
        <v>54</v>
      </c>
      <c r="P965" t="s">
        <v>5258</v>
      </c>
      <c r="Q965" t="s">
        <v>68</v>
      </c>
      <c r="R965" s="26" t="s">
        <v>308</v>
      </c>
      <c r="S965">
        <v>2.9</v>
      </c>
      <c r="T965">
        <v>5564</v>
      </c>
      <c r="U965">
        <v>0</v>
      </c>
      <c r="V965">
        <v>5564</v>
      </c>
    </row>
    <row r="966" spans="1:22" x14ac:dyDescent="0.3">
      <c r="A966">
        <v>186607</v>
      </c>
      <c r="B966">
        <v>456271864</v>
      </c>
      <c r="C966" t="s">
        <v>5261</v>
      </c>
      <c r="D966" s="9" t="s">
        <v>5262</v>
      </c>
      <c r="E966" t="s">
        <v>4620</v>
      </c>
      <c r="F966" t="s">
        <v>770</v>
      </c>
      <c r="G966" t="s">
        <v>28</v>
      </c>
      <c r="H966" t="s">
        <v>29</v>
      </c>
      <c r="I966" t="s">
        <v>34</v>
      </c>
      <c r="J966" t="s">
        <v>30</v>
      </c>
      <c r="K966" t="s">
        <v>27</v>
      </c>
      <c r="L966" t="s">
        <v>537</v>
      </c>
      <c r="M966" t="s">
        <v>5263</v>
      </c>
      <c r="N966" t="s">
        <v>4623</v>
      </c>
      <c r="O966" t="s">
        <v>54</v>
      </c>
      <c r="P966" t="s">
        <v>5264</v>
      </c>
      <c r="Q966" t="s">
        <v>135</v>
      </c>
      <c r="R966" s="26" t="s">
        <v>247</v>
      </c>
      <c r="S966">
        <v>2.2999999999999998</v>
      </c>
      <c r="T966">
        <v>3250</v>
      </c>
      <c r="U966">
        <v>0</v>
      </c>
      <c r="V966">
        <v>3250</v>
      </c>
    </row>
    <row r="967" spans="1:22" x14ac:dyDescent="0.3">
      <c r="A967">
        <v>186607</v>
      </c>
      <c r="B967">
        <v>456094117</v>
      </c>
      <c r="C967" t="s">
        <v>5265</v>
      </c>
      <c r="D967" s="9" t="s">
        <v>5266</v>
      </c>
      <c r="E967" t="s">
        <v>4620</v>
      </c>
      <c r="F967" t="s">
        <v>770</v>
      </c>
      <c r="G967" t="s">
        <v>28</v>
      </c>
      <c r="H967" t="s">
        <v>29</v>
      </c>
      <c r="I967" t="s">
        <v>34</v>
      </c>
      <c r="J967" t="s">
        <v>30</v>
      </c>
      <c r="K967" t="s">
        <v>27</v>
      </c>
      <c r="L967" t="s">
        <v>5267</v>
      </c>
      <c r="M967" t="s">
        <v>732</v>
      </c>
      <c r="N967" t="s">
        <v>4623</v>
      </c>
      <c r="O967" t="s">
        <v>54</v>
      </c>
      <c r="P967" t="s">
        <v>5268</v>
      </c>
      <c r="Q967" t="s">
        <v>69</v>
      </c>
      <c r="R967" s="26" t="s">
        <v>308</v>
      </c>
      <c r="S967">
        <v>4.5999999999999996</v>
      </c>
      <c r="T967">
        <v>4935</v>
      </c>
      <c r="U967">
        <v>0</v>
      </c>
      <c r="V967">
        <v>4935</v>
      </c>
    </row>
    <row r="968" spans="1:22" x14ac:dyDescent="0.3">
      <c r="A968">
        <v>186607</v>
      </c>
      <c r="B968">
        <v>456271799</v>
      </c>
      <c r="C968" t="s">
        <v>5269</v>
      </c>
      <c r="D968" s="9" t="s">
        <v>5270</v>
      </c>
      <c r="E968" t="s">
        <v>4620</v>
      </c>
      <c r="F968" t="s">
        <v>770</v>
      </c>
      <c r="G968" t="s">
        <v>28</v>
      </c>
      <c r="H968" t="s">
        <v>29</v>
      </c>
      <c r="I968" t="s">
        <v>34</v>
      </c>
      <c r="J968" t="s">
        <v>30</v>
      </c>
      <c r="K968" t="s">
        <v>27</v>
      </c>
      <c r="L968" t="s">
        <v>5271</v>
      </c>
      <c r="M968" t="s">
        <v>5272</v>
      </c>
      <c r="N968" t="s">
        <v>4623</v>
      </c>
      <c r="O968" t="s">
        <v>54</v>
      </c>
      <c r="P968" t="s">
        <v>5273</v>
      </c>
      <c r="Q968" t="s">
        <v>203</v>
      </c>
      <c r="R968" s="26" t="s">
        <v>247</v>
      </c>
      <c r="S968">
        <v>3.6</v>
      </c>
      <c r="T968">
        <v>4545</v>
      </c>
      <c r="U968">
        <v>0</v>
      </c>
      <c r="V968">
        <v>4545</v>
      </c>
    </row>
    <row r="969" spans="1:22" x14ac:dyDescent="0.3">
      <c r="A969">
        <v>186607</v>
      </c>
      <c r="B969">
        <v>456094043</v>
      </c>
      <c r="C969" t="s">
        <v>5274</v>
      </c>
      <c r="D969" s="9" t="s">
        <v>5275</v>
      </c>
      <c r="E969" t="s">
        <v>4620</v>
      </c>
      <c r="F969" t="s">
        <v>770</v>
      </c>
      <c r="G969" t="s">
        <v>28</v>
      </c>
      <c r="H969" t="s">
        <v>29</v>
      </c>
      <c r="I969" t="s">
        <v>34</v>
      </c>
      <c r="J969" t="s">
        <v>30</v>
      </c>
      <c r="K969" t="s">
        <v>27</v>
      </c>
      <c r="L969" t="s">
        <v>5276</v>
      </c>
      <c r="M969" t="s">
        <v>604</v>
      </c>
      <c r="N969" t="s">
        <v>4623</v>
      </c>
      <c r="O969" t="s">
        <v>54</v>
      </c>
      <c r="P969" t="s">
        <v>5277</v>
      </c>
      <c r="Q969" t="s">
        <v>68</v>
      </c>
      <c r="R969" s="26" t="s">
        <v>240</v>
      </c>
      <c r="S969">
        <v>3</v>
      </c>
      <c r="T969">
        <v>5564</v>
      </c>
      <c r="U969">
        <v>0</v>
      </c>
      <c r="V969">
        <v>5564</v>
      </c>
    </row>
    <row r="970" spans="1:22" x14ac:dyDescent="0.3">
      <c r="A970">
        <v>186607</v>
      </c>
      <c r="B970">
        <v>456271789</v>
      </c>
      <c r="C970" t="s">
        <v>5278</v>
      </c>
      <c r="D970" s="9" t="s">
        <v>5279</v>
      </c>
      <c r="E970" t="s">
        <v>4620</v>
      </c>
      <c r="F970" t="s">
        <v>770</v>
      </c>
      <c r="G970" t="s">
        <v>28</v>
      </c>
      <c r="H970" t="s">
        <v>29</v>
      </c>
      <c r="I970" t="s">
        <v>34</v>
      </c>
      <c r="J970" t="s">
        <v>30</v>
      </c>
      <c r="K970" t="s">
        <v>27</v>
      </c>
      <c r="L970" t="s">
        <v>5280</v>
      </c>
      <c r="M970" t="s">
        <v>5281</v>
      </c>
      <c r="N970" t="s">
        <v>4623</v>
      </c>
      <c r="O970" t="s">
        <v>54</v>
      </c>
      <c r="P970" t="s">
        <v>5282</v>
      </c>
      <c r="Q970" t="s">
        <v>65</v>
      </c>
      <c r="R970" s="26" t="s">
        <v>247</v>
      </c>
      <c r="S970">
        <v>3.7</v>
      </c>
      <c r="T970">
        <v>4305</v>
      </c>
      <c r="U970">
        <v>0</v>
      </c>
      <c r="V970">
        <v>4305</v>
      </c>
    </row>
    <row r="971" spans="1:22" x14ac:dyDescent="0.3">
      <c r="A971">
        <v>186607</v>
      </c>
      <c r="B971">
        <v>456271776</v>
      </c>
      <c r="C971" t="s">
        <v>5283</v>
      </c>
      <c r="D971" s="9" t="s">
        <v>5284</v>
      </c>
      <c r="E971" t="s">
        <v>4620</v>
      </c>
      <c r="F971" t="s">
        <v>770</v>
      </c>
      <c r="G971" t="s">
        <v>28</v>
      </c>
      <c r="H971" t="s">
        <v>29</v>
      </c>
      <c r="I971" t="s">
        <v>34</v>
      </c>
      <c r="J971" t="s">
        <v>30</v>
      </c>
      <c r="K971" t="s">
        <v>27</v>
      </c>
      <c r="L971" t="s">
        <v>5285</v>
      </c>
      <c r="M971" t="s">
        <v>5286</v>
      </c>
      <c r="N971" t="s">
        <v>4623</v>
      </c>
      <c r="O971" t="s">
        <v>54</v>
      </c>
      <c r="P971" t="s">
        <v>5287</v>
      </c>
      <c r="Q971" t="s">
        <v>88</v>
      </c>
      <c r="R971" s="26" t="s">
        <v>247</v>
      </c>
      <c r="S971">
        <v>3.4</v>
      </c>
      <c r="T971">
        <v>7239</v>
      </c>
      <c r="U971">
        <v>0</v>
      </c>
      <c r="V971">
        <v>7239</v>
      </c>
    </row>
    <row r="972" spans="1:22" x14ac:dyDescent="0.3">
      <c r="A972">
        <v>186607</v>
      </c>
      <c r="B972">
        <v>456271814</v>
      </c>
      <c r="C972" t="s">
        <v>5288</v>
      </c>
      <c r="D972" s="9" t="s">
        <v>5289</v>
      </c>
      <c r="E972" t="s">
        <v>4620</v>
      </c>
      <c r="F972" t="s">
        <v>770</v>
      </c>
      <c r="G972" t="s">
        <v>28</v>
      </c>
      <c r="H972" t="s">
        <v>29</v>
      </c>
      <c r="I972" t="s">
        <v>34</v>
      </c>
      <c r="J972" t="s">
        <v>30</v>
      </c>
      <c r="K972" t="s">
        <v>27</v>
      </c>
      <c r="L972" t="s">
        <v>5290</v>
      </c>
      <c r="M972" t="s">
        <v>5291</v>
      </c>
      <c r="N972" t="s">
        <v>4623</v>
      </c>
      <c r="O972" t="s">
        <v>54</v>
      </c>
      <c r="P972" t="s">
        <v>5292</v>
      </c>
      <c r="Q972" t="s">
        <v>120</v>
      </c>
      <c r="R972" s="26" t="s">
        <v>247</v>
      </c>
      <c r="S972">
        <v>3.4</v>
      </c>
      <c r="T972">
        <v>7487</v>
      </c>
      <c r="U972">
        <v>0</v>
      </c>
      <c r="V972">
        <v>7487</v>
      </c>
    </row>
    <row r="973" spans="1:22" x14ac:dyDescent="0.3">
      <c r="A973">
        <v>186607</v>
      </c>
      <c r="B973">
        <v>456271813</v>
      </c>
      <c r="C973" t="s">
        <v>5293</v>
      </c>
      <c r="D973" s="9" t="s">
        <v>5294</v>
      </c>
      <c r="E973" t="s">
        <v>4620</v>
      </c>
      <c r="F973" t="s">
        <v>770</v>
      </c>
      <c r="G973" t="s">
        <v>28</v>
      </c>
      <c r="H973" t="s">
        <v>29</v>
      </c>
      <c r="I973" t="s">
        <v>34</v>
      </c>
      <c r="J973" t="s">
        <v>30</v>
      </c>
      <c r="K973" t="s">
        <v>27</v>
      </c>
      <c r="L973" t="s">
        <v>5295</v>
      </c>
      <c r="M973" t="s">
        <v>5296</v>
      </c>
      <c r="N973" t="s">
        <v>4623</v>
      </c>
      <c r="O973" t="s">
        <v>54</v>
      </c>
      <c r="P973" t="s">
        <v>5297</v>
      </c>
      <c r="Q973" t="s">
        <v>84</v>
      </c>
      <c r="R973" s="26" t="s">
        <v>247</v>
      </c>
      <c r="S973">
        <v>3</v>
      </c>
      <c r="T973">
        <v>5564</v>
      </c>
      <c r="U973">
        <v>0</v>
      </c>
      <c r="V973">
        <v>5564</v>
      </c>
    </row>
    <row r="974" spans="1:22" x14ac:dyDescent="0.3">
      <c r="A974">
        <v>186607</v>
      </c>
      <c r="B974">
        <v>456271775</v>
      </c>
      <c r="C974" t="s">
        <v>5298</v>
      </c>
      <c r="D974" s="9" t="s">
        <v>5299</v>
      </c>
      <c r="E974" t="s">
        <v>4620</v>
      </c>
      <c r="F974" t="s">
        <v>770</v>
      </c>
      <c r="G974" t="s">
        <v>28</v>
      </c>
      <c r="H974" t="s">
        <v>29</v>
      </c>
      <c r="I974" t="s">
        <v>34</v>
      </c>
      <c r="J974" t="s">
        <v>30</v>
      </c>
      <c r="K974" t="s">
        <v>27</v>
      </c>
      <c r="L974" t="s">
        <v>5300</v>
      </c>
      <c r="M974" t="s">
        <v>5301</v>
      </c>
      <c r="N974" t="s">
        <v>4623</v>
      </c>
      <c r="O974" t="s">
        <v>54</v>
      </c>
      <c r="P974" t="s">
        <v>5302</v>
      </c>
      <c r="Q974" t="s">
        <v>135</v>
      </c>
      <c r="R974" s="26" t="s">
        <v>247</v>
      </c>
      <c r="S974">
        <v>3.7</v>
      </c>
      <c r="T974">
        <v>3664</v>
      </c>
      <c r="U974">
        <v>0</v>
      </c>
      <c r="V974">
        <v>3664</v>
      </c>
    </row>
    <row r="975" spans="1:22" x14ac:dyDescent="0.3">
      <c r="A975">
        <v>186607</v>
      </c>
      <c r="B975">
        <v>456271880</v>
      </c>
      <c r="C975" t="s">
        <v>5303</v>
      </c>
      <c r="D975" s="9" t="s">
        <v>5304</v>
      </c>
      <c r="E975" t="s">
        <v>4620</v>
      </c>
      <c r="F975" t="s">
        <v>770</v>
      </c>
      <c r="G975" t="s">
        <v>28</v>
      </c>
      <c r="H975" t="s">
        <v>29</v>
      </c>
      <c r="I975" t="s">
        <v>34</v>
      </c>
      <c r="J975" t="s">
        <v>30</v>
      </c>
      <c r="K975" t="s">
        <v>27</v>
      </c>
      <c r="L975" t="s">
        <v>5305</v>
      </c>
      <c r="M975" t="s">
        <v>5306</v>
      </c>
      <c r="N975" t="s">
        <v>4623</v>
      </c>
      <c r="O975" t="s">
        <v>54</v>
      </c>
      <c r="P975" t="s">
        <v>5307</v>
      </c>
      <c r="Q975" t="s">
        <v>65</v>
      </c>
      <c r="R975" s="26" t="s">
        <v>247</v>
      </c>
      <c r="S975">
        <v>3.3</v>
      </c>
      <c r="T975">
        <v>4305</v>
      </c>
      <c r="U975">
        <v>0</v>
      </c>
      <c r="V975">
        <v>4305</v>
      </c>
    </row>
    <row r="976" spans="1:22" x14ac:dyDescent="0.3">
      <c r="A976">
        <v>186607</v>
      </c>
      <c r="B976">
        <v>456271845</v>
      </c>
      <c r="C976" t="s">
        <v>5308</v>
      </c>
      <c r="D976" s="9" t="s">
        <v>5309</v>
      </c>
      <c r="E976" t="s">
        <v>4620</v>
      </c>
      <c r="F976" t="s">
        <v>770</v>
      </c>
      <c r="G976" t="s">
        <v>28</v>
      </c>
      <c r="H976" t="s">
        <v>29</v>
      </c>
      <c r="I976" t="s">
        <v>34</v>
      </c>
      <c r="J976" t="s">
        <v>30</v>
      </c>
      <c r="K976" t="s">
        <v>27</v>
      </c>
      <c r="L976" t="s">
        <v>5310</v>
      </c>
      <c r="M976" t="s">
        <v>663</v>
      </c>
      <c r="N976" t="s">
        <v>4623</v>
      </c>
      <c r="O976" t="s">
        <v>54</v>
      </c>
      <c r="P976" t="s">
        <v>5311</v>
      </c>
      <c r="Q976" t="s">
        <v>126</v>
      </c>
      <c r="R976" s="26" t="s">
        <v>247</v>
      </c>
      <c r="S976">
        <v>2.4</v>
      </c>
      <c r="T976">
        <v>3737</v>
      </c>
      <c r="U976">
        <v>0</v>
      </c>
      <c r="V976">
        <v>3737</v>
      </c>
    </row>
    <row r="977" spans="1:22" x14ac:dyDescent="0.3">
      <c r="A977">
        <v>186607</v>
      </c>
      <c r="B977">
        <v>456271824</v>
      </c>
      <c r="C977" t="s">
        <v>5312</v>
      </c>
      <c r="D977" s="9" t="s">
        <v>5313</v>
      </c>
      <c r="E977" t="s">
        <v>4620</v>
      </c>
      <c r="F977" t="s">
        <v>770</v>
      </c>
      <c r="G977" t="s">
        <v>28</v>
      </c>
      <c r="H977" t="s">
        <v>29</v>
      </c>
      <c r="I977" t="s">
        <v>34</v>
      </c>
      <c r="J977" t="s">
        <v>30</v>
      </c>
      <c r="K977" t="s">
        <v>27</v>
      </c>
      <c r="L977" t="s">
        <v>5314</v>
      </c>
      <c r="M977" t="s">
        <v>5315</v>
      </c>
      <c r="N977" t="s">
        <v>4623</v>
      </c>
      <c r="O977" t="s">
        <v>54</v>
      </c>
      <c r="P977" t="s">
        <v>5316</v>
      </c>
      <c r="Q977" t="s">
        <v>119</v>
      </c>
      <c r="R977" s="26" t="s">
        <v>247</v>
      </c>
      <c r="S977">
        <v>5.5</v>
      </c>
      <c r="T977">
        <v>6655</v>
      </c>
      <c r="U977">
        <v>0</v>
      </c>
      <c r="V977">
        <v>6655</v>
      </c>
    </row>
    <row r="978" spans="1:22" x14ac:dyDescent="0.3">
      <c r="A978">
        <v>186607</v>
      </c>
      <c r="B978">
        <v>456271862</v>
      </c>
      <c r="C978" t="s">
        <v>5317</v>
      </c>
      <c r="D978" s="9" t="s">
        <v>5318</v>
      </c>
      <c r="E978" t="s">
        <v>4620</v>
      </c>
      <c r="F978" t="s">
        <v>770</v>
      </c>
      <c r="G978" t="s">
        <v>28</v>
      </c>
      <c r="H978" t="s">
        <v>29</v>
      </c>
      <c r="I978" t="s">
        <v>34</v>
      </c>
      <c r="J978" t="s">
        <v>30</v>
      </c>
      <c r="K978" t="s">
        <v>27</v>
      </c>
      <c r="L978" t="s">
        <v>5319</v>
      </c>
      <c r="M978" t="s">
        <v>5320</v>
      </c>
      <c r="N978" t="s">
        <v>4623</v>
      </c>
      <c r="O978" t="s">
        <v>54</v>
      </c>
      <c r="P978" t="s">
        <v>5321</v>
      </c>
      <c r="Q978" t="s">
        <v>120</v>
      </c>
      <c r="R978" s="26" t="s">
        <v>247</v>
      </c>
      <c r="S978">
        <v>7.5</v>
      </c>
      <c r="T978">
        <v>10206</v>
      </c>
      <c r="U978">
        <v>0</v>
      </c>
      <c r="V978">
        <v>10206</v>
      </c>
    </row>
    <row r="979" spans="1:22" x14ac:dyDescent="0.3">
      <c r="A979">
        <v>186607</v>
      </c>
      <c r="B979">
        <v>456271868</v>
      </c>
      <c r="C979" t="s">
        <v>5322</v>
      </c>
      <c r="D979" s="9" t="s">
        <v>5323</v>
      </c>
      <c r="E979" t="s">
        <v>4620</v>
      </c>
      <c r="F979" t="s">
        <v>770</v>
      </c>
      <c r="G979" t="s">
        <v>28</v>
      </c>
      <c r="H979" t="s">
        <v>29</v>
      </c>
      <c r="I979" t="s">
        <v>34</v>
      </c>
      <c r="J979" t="s">
        <v>30</v>
      </c>
      <c r="K979" t="s">
        <v>27</v>
      </c>
      <c r="L979" t="s">
        <v>5324</v>
      </c>
      <c r="M979" t="s">
        <v>5325</v>
      </c>
      <c r="N979" t="s">
        <v>4623</v>
      </c>
      <c r="O979" t="s">
        <v>54</v>
      </c>
      <c r="P979" t="s">
        <v>5326</v>
      </c>
      <c r="Q979" t="s">
        <v>135</v>
      </c>
      <c r="R979" s="26" t="s">
        <v>247</v>
      </c>
      <c r="S979">
        <v>4.7</v>
      </c>
      <c r="T979">
        <v>3664</v>
      </c>
      <c r="U979">
        <v>0</v>
      </c>
      <c r="V979">
        <v>3664</v>
      </c>
    </row>
    <row r="980" spans="1:22" x14ac:dyDescent="0.3">
      <c r="A980">
        <v>186607</v>
      </c>
      <c r="B980">
        <v>456271801</v>
      </c>
      <c r="C980" t="s">
        <v>5327</v>
      </c>
      <c r="D980" s="9" t="s">
        <v>5328</v>
      </c>
      <c r="E980" t="s">
        <v>4620</v>
      </c>
      <c r="F980" t="s">
        <v>770</v>
      </c>
      <c r="G980" t="s">
        <v>28</v>
      </c>
      <c r="H980" t="s">
        <v>29</v>
      </c>
      <c r="I980" t="s">
        <v>34</v>
      </c>
      <c r="J980" t="s">
        <v>30</v>
      </c>
      <c r="K980" t="s">
        <v>27</v>
      </c>
      <c r="L980" t="s">
        <v>5329</v>
      </c>
      <c r="M980" t="s">
        <v>5330</v>
      </c>
      <c r="N980" t="s">
        <v>4623</v>
      </c>
      <c r="O980" t="s">
        <v>54</v>
      </c>
      <c r="P980" t="s">
        <v>483</v>
      </c>
      <c r="Q980" t="s">
        <v>168</v>
      </c>
      <c r="R980" s="26" t="s">
        <v>247</v>
      </c>
      <c r="S980">
        <v>3.3</v>
      </c>
      <c r="T980">
        <v>4182</v>
      </c>
      <c r="U980">
        <v>0</v>
      </c>
      <c r="V980">
        <v>4182</v>
      </c>
    </row>
    <row r="981" spans="1:22" x14ac:dyDescent="0.3">
      <c r="A981">
        <v>186607</v>
      </c>
      <c r="B981">
        <v>455520347</v>
      </c>
      <c r="C981" t="s">
        <v>5331</v>
      </c>
      <c r="D981" s="9" t="s">
        <v>5332</v>
      </c>
      <c r="E981" t="s">
        <v>4620</v>
      </c>
      <c r="F981" t="s">
        <v>770</v>
      </c>
      <c r="G981" t="s">
        <v>28</v>
      </c>
      <c r="H981" t="s">
        <v>29</v>
      </c>
      <c r="I981" t="s">
        <v>34</v>
      </c>
      <c r="J981" t="s">
        <v>30</v>
      </c>
      <c r="K981" t="s">
        <v>27</v>
      </c>
      <c r="L981" t="s">
        <v>5333</v>
      </c>
      <c r="M981" t="s">
        <v>5334</v>
      </c>
      <c r="N981" t="s">
        <v>4623</v>
      </c>
      <c r="O981" t="s">
        <v>54</v>
      </c>
      <c r="P981" t="s">
        <v>5335</v>
      </c>
      <c r="Q981" t="s">
        <v>197</v>
      </c>
      <c r="R981" s="26" t="s">
        <v>547</v>
      </c>
      <c r="S981">
        <v>1</v>
      </c>
      <c r="T981">
        <v>5564</v>
      </c>
      <c r="U981">
        <v>0</v>
      </c>
      <c r="V981">
        <v>5564</v>
      </c>
    </row>
    <row r="982" spans="1:22" x14ac:dyDescent="0.3">
      <c r="A982">
        <v>186607</v>
      </c>
      <c r="B982">
        <v>456094095</v>
      </c>
      <c r="C982" t="s">
        <v>5336</v>
      </c>
      <c r="D982" s="9" t="s">
        <v>5337</v>
      </c>
      <c r="E982" t="s">
        <v>4620</v>
      </c>
      <c r="F982" t="s">
        <v>770</v>
      </c>
      <c r="G982" t="s">
        <v>28</v>
      </c>
      <c r="H982" t="s">
        <v>29</v>
      </c>
      <c r="I982" t="s">
        <v>34</v>
      </c>
      <c r="J982" t="s">
        <v>30</v>
      </c>
      <c r="K982" t="s">
        <v>27</v>
      </c>
      <c r="L982" t="s">
        <v>5338</v>
      </c>
      <c r="M982" t="s">
        <v>5339</v>
      </c>
      <c r="N982" t="s">
        <v>4623</v>
      </c>
      <c r="O982" t="s">
        <v>54</v>
      </c>
      <c r="P982" t="s">
        <v>5340</v>
      </c>
      <c r="Q982" t="s">
        <v>193</v>
      </c>
      <c r="R982" s="26" t="s">
        <v>308</v>
      </c>
      <c r="S982">
        <v>3.1</v>
      </c>
      <c r="T982">
        <v>4687</v>
      </c>
      <c r="U982">
        <v>0</v>
      </c>
      <c r="V982">
        <v>4687</v>
      </c>
    </row>
    <row r="983" spans="1:22" x14ac:dyDescent="0.3">
      <c r="A983">
        <v>186607</v>
      </c>
      <c r="B983">
        <v>456271870</v>
      </c>
      <c r="C983" t="s">
        <v>5341</v>
      </c>
      <c r="D983" s="9" t="s">
        <v>5342</v>
      </c>
      <c r="E983" t="s">
        <v>4620</v>
      </c>
      <c r="F983" t="s">
        <v>770</v>
      </c>
      <c r="G983" t="s">
        <v>28</v>
      </c>
      <c r="H983" t="s">
        <v>29</v>
      </c>
      <c r="I983" t="s">
        <v>34</v>
      </c>
      <c r="J983" t="s">
        <v>30</v>
      </c>
      <c r="K983" t="s">
        <v>27</v>
      </c>
      <c r="L983" t="s">
        <v>5343</v>
      </c>
      <c r="M983" t="s">
        <v>5344</v>
      </c>
      <c r="N983" t="s">
        <v>4623</v>
      </c>
      <c r="O983" t="s">
        <v>54</v>
      </c>
      <c r="P983" t="s">
        <v>5345</v>
      </c>
      <c r="Q983" t="s">
        <v>119</v>
      </c>
      <c r="R983" s="26" t="s">
        <v>247</v>
      </c>
      <c r="S983">
        <v>5.8</v>
      </c>
      <c r="T983">
        <v>6655</v>
      </c>
      <c r="U983">
        <v>0</v>
      </c>
      <c r="V983">
        <v>6655</v>
      </c>
    </row>
    <row r="984" spans="1:22" x14ac:dyDescent="0.3">
      <c r="A984">
        <v>186607</v>
      </c>
      <c r="B984">
        <v>456094455</v>
      </c>
      <c r="C984" t="s">
        <v>5346</v>
      </c>
      <c r="D984" s="9" t="s">
        <v>5347</v>
      </c>
      <c r="E984" t="s">
        <v>4620</v>
      </c>
      <c r="F984" t="s">
        <v>770</v>
      </c>
      <c r="G984" t="s">
        <v>28</v>
      </c>
      <c r="H984" t="s">
        <v>29</v>
      </c>
      <c r="I984" t="s">
        <v>34</v>
      </c>
      <c r="J984" t="s">
        <v>30</v>
      </c>
      <c r="K984" t="s">
        <v>27</v>
      </c>
      <c r="L984" t="s">
        <v>5348</v>
      </c>
      <c r="M984" t="s">
        <v>5349</v>
      </c>
      <c r="N984" t="s">
        <v>4623</v>
      </c>
      <c r="O984" t="s">
        <v>54</v>
      </c>
      <c r="P984" t="s">
        <v>5350</v>
      </c>
      <c r="Q984" t="s">
        <v>199</v>
      </c>
      <c r="R984" s="26" t="s">
        <v>374</v>
      </c>
      <c r="S984">
        <v>2.8</v>
      </c>
      <c r="T984">
        <v>3384</v>
      </c>
      <c r="U984">
        <v>0</v>
      </c>
      <c r="V984">
        <v>3384</v>
      </c>
    </row>
    <row r="985" spans="1:22" x14ac:dyDescent="0.3">
      <c r="A985">
        <v>186607</v>
      </c>
      <c r="B985">
        <v>456094173</v>
      </c>
      <c r="C985" t="s">
        <v>5351</v>
      </c>
      <c r="D985" s="9" t="s">
        <v>5352</v>
      </c>
      <c r="E985" t="s">
        <v>4620</v>
      </c>
      <c r="F985" t="s">
        <v>770</v>
      </c>
      <c r="G985" t="s">
        <v>28</v>
      </c>
      <c r="H985" t="s">
        <v>29</v>
      </c>
      <c r="I985" t="s">
        <v>34</v>
      </c>
      <c r="J985" t="s">
        <v>30</v>
      </c>
      <c r="K985" t="s">
        <v>27</v>
      </c>
      <c r="L985" t="s">
        <v>5353</v>
      </c>
      <c r="M985" t="s">
        <v>5354</v>
      </c>
      <c r="N985" t="s">
        <v>4623</v>
      </c>
      <c r="O985" t="s">
        <v>54</v>
      </c>
      <c r="P985" t="s">
        <v>5355</v>
      </c>
      <c r="Q985" t="s">
        <v>84</v>
      </c>
      <c r="R985" s="26" t="s">
        <v>308</v>
      </c>
      <c r="S985">
        <v>3.4</v>
      </c>
      <c r="T985">
        <v>7745</v>
      </c>
      <c r="U985">
        <v>0</v>
      </c>
      <c r="V985">
        <v>7745</v>
      </c>
    </row>
    <row r="986" spans="1:22" x14ac:dyDescent="0.3">
      <c r="A986">
        <v>186607</v>
      </c>
      <c r="B986">
        <v>456271765</v>
      </c>
      <c r="C986" t="s">
        <v>5356</v>
      </c>
      <c r="D986" s="9" t="s">
        <v>5357</v>
      </c>
      <c r="E986" t="s">
        <v>4620</v>
      </c>
      <c r="F986" t="s">
        <v>770</v>
      </c>
      <c r="G986" t="s">
        <v>28</v>
      </c>
      <c r="H986" t="s">
        <v>29</v>
      </c>
      <c r="I986" t="s">
        <v>34</v>
      </c>
      <c r="J986" t="s">
        <v>30</v>
      </c>
      <c r="K986" t="s">
        <v>27</v>
      </c>
      <c r="L986" t="s">
        <v>5358</v>
      </c>
      <c r="M986" t="s">
        <v>5359</v>
      </c>
      <c r="N986" t="s">
        <v>4623</v>
      </c>
      <c r="O986" t="s">
        <v>54</v>
      </c>
      <c r="P986" t="s">
        <v>5360</v>
      </c>
      <c r="Q986" t="s">
        <v>42</v>
      </c>
      <c r="R986" s="26" t="s">
        <v>427</v>
      </c>
      <c r="S986">
        <v>2.2000000000000002</v>
      </c>
      <c r="T986">
        <v>3631</v>
      </c>
      <c r="U986">
        <v>0</v>
      </c>
      <c r="V986">
        <v>3631</v>
      </c>
    </row>
    <row r="987" spans="1:22" x14ac:dyDescent="0.3">
      <c r="A987">
        <v>186607</v>
      </c>
      <c r="B987">
        <v>456094285</v>
      </c>
      <c r="C987" t="s">
        <v>5361</v>
      </c>
      <c r="D987" s="9" t="s">
        <v>5362</v>
      </c>
      <c r="E987" t="s">
        <v>4620</v>
      </c>
      <c r="F987" t="s">
        <v>770</v>
      </c>
      <c r="G987" t="s">
        <v>28</v>
      </c>
      <c r="H987" t="s">
        <v>29</v>
      </c>
      <c r="I987" t="s">
        <v>34</v>
      </c>
      <c r="J987" t="s">
        <v>30</v>
      </c>
      <c r="K987" t="s">
        <v>27</v>
      </c>
      <c r="L987" t="s">
        <v>5363</v>
      </c>
      <c r="M987" t="s">
        <v>725</v>
      </c>
      <c r="N987" t="s">
        <v>4623</v>
      </c>
      <c r="O987" t="s">
        <v>54</v>
      </c>
      <c r="P987" t="s">
        <v>5364</v>
      </c>
      <c r="Q987" t="s">
        <v>88</v>
      </c>
      <c r="R987" s="26" t="s">
        <v>308</v>
      </c>
      <c r="S987">
        <v>7.3</v>
      </c>
      <c r="T987">
        <v>9387</v>
      </c>
      <c r="U987">
        <v>0</v>
      </c>
      <c r="V987">
        <v>9387</v>
      </c>
    </row>
    <row r="988" spans="1:22" x14ac:dyDescent="0.3">
      <c r="A988">
        <v>186607</v>
      </c>
      <c r="B988">
        <v>455825217</v>
      </c>
      <c r="C988" t="s">
        <v>5365</v>
      </c>
      <c r="D988" s="9" t="s">
        <v>5366</v>
      </c>
      <c r="E988" t="s">
        <v>4620</v>
      </c>
      <c r="F988" t="s">
        <v>770</v>
      </c>
      <c r="G988" t="s">
        <v>28</v>
      </c>
      <c r="H988" t="s">
        <v>29</v>
      </c>
      <c r="I988" t="s">
        <v>34</v>
      </c>
      <c r="J988" t="s">
        <v>30</v>
      </c>
      <c r="K988" t="s">
        <v>27</v>
      </c>
      <c r="L988" t="s">
        <v>496</v>
      </c>
      <c r="M988" t="s">
        <v>5367</v>
      </c>
      <c r="N988" t="s">
        <v>4623</v>
      </c>
      <c r="O988" t="s">
        <v>54</v>
      </c>
      <c r="P988" t="s">
        <v>5368</v>
      </c>
      <c r="Q988" t="s">
        <v>68</v>
      </c>
      <c r="R988" s="26" t="s">
        <v>75</v>
      </c>
      <c r="S988">
        <v>2.2999999999999998</v>
      </c>
      <c r="T988">
        <v>5564</v>
      </c>
      <c r="U988">
        <v>0</v>
      </c>
      <c r="V988">
        <v>5564</v>
      </c>
    </row>
    <row r="989" spans="1:22" x14ac:dyDescent="0.3">
      <c r="A989">
        <v>186607</v>
      </c>
      <c r="B989">
        <v>456094166</v>
      </c>
      <c r="C989" t="s">
        <v>5369</v>
      </c>
      <c r="D989" s="9" t="s">
        <v>5370</v>
      </c>
      <c r="E989" t="s">
        <v>4620</v>
      </c>
      <c r="F989" t="s">
        <v>770</v>
      </c>
      <c r="G989" t="s">
        <v>28</v>
      </c>
      <c r="H989" t="s">
        <v>29</v>
      </c>
      <c r="I989" t="s">
        <v>34</v>
      </c>
      <c r="J989" t="s">
        <v>30</v>
      </c>
      <c r="K989" t="s">
        <v>27</v>
      </c>
      <c r="L989" t="s">
        <v>5371</v>
      </c>
      <c r="M989" t="s">
        <v>5372</v>
      </c>
      <c r="N989" t="s">
        <v>4623</v>
      </c>
      <c r="O989" t="s">
        <v>54</v>
      </c>
      <c r="P989" t="s">
        <v>5373</v>
      </c>
      <c r="Q989" t="s">
        <v>88</v>
      </c>
      <c r="R989" s="26" t="s">
        <v>308</v>
      </c>
      <c r="S989">
        <v>5.0999999999999996</v>
      </c>
      <c r="T989">
        <v>9387</v>
      </c>
      <c r="U989">
        <v>0</v>
      </c>
      <c r="V989">
        <v>9387</v>
      </c>
    </row>
    <row r="990" spans="1:22" x14ac:dyDescent="0.3">
      <c r="A990">
        <v>186607</v>
      </c>
      <c r="B990">
        <v>456271853</v>
      </c>
      <c r="C990" t="s">
        <v>5374</v>
      </c>
      <c r="D990" s="9" t="s">
        <v>5375</v>
      </c>
      <c r="E990" t="s">
        <v>4620</v>
      </c>
      <c r="F990" t="s">
        <v>770</v>
      </c>
      <c r="G990" t="s">
        <v>28</v>
      </c>
      <c r="H990" t="s">
        <v>29</v>
      </c>
      <c r="I990" t="s">
        <v>34</v>
      </c>
      <c r="J990" t="s">
        <v>30</v>
      </c>
      <c r="K990" t="s">
        <v>27</v>
      </c>
      <c r="L990" t="s">
        <v>5376</v>
      </c>
      <c r="M990" t="s">
        <v>5377</v>
      </c>
      <c r="N990" t="s">
        <v>4623</v>
      </c>
      <c r="O990" t="s">
        <v>54</v>
      </c>
      <c r="P990" t="s">
        <v>5378</v>
      </c>
      <c r="Q990" t="s">
        <v>89</v>
      </c>
      <c r="R990" s="26" t="s">
        <v>247</v>
      </c>
      <c r="S990">
        <v>3.8</v>
      </c>
      <c r="T990">
        <v>3664</v>
      </c>
      <c r="U990">
        <v>0</v>
      </c>
      <c r="V990">
        <v>3664</v>
      </c>
    </row>
    <row r="991" spans="1:22" x14ac:dyDescent="0.3">
      <c r="A991">
        <v>186607</v>
      </c>
      <c r="B991">
        <v>456271762</v>
      </c>
      <c r="C991" t="s">
        <v>5379</v>
      </c>
      <c r="D991" s="9" t="s">
        <v>5380</v>
      </c>
      <c r="E991" t="s">
        <v>4620</v>
      </c>
      <c r="F991" t="s">
        <v>770</v>
      </c>
      <c r="G991" t="s">
        <v>28</v>
      </c>
      <c r="H991" t="s">
        <v>29</v>
      </c>
      <c r="I991" t="s">
        <v>34</v>
      </c>
      <c r="J991" t="s">
        <v>30</v>
      </c>
      <c r="K991" t="s">
        <v>27</v>
      </c>
      <c r="L991" t="s">
        <v>5381</v>
      </c>
      <c r="M991" t="s">
        <v>5382</v>
      </c>
      <c r="N991" t="s">
        <v>4623</v>
      </c>
      <c r="O991" t="s">
        <v>54</v>
      </c>
      <c r="P991" t="s">
        <v>5383</v>
      </c>
      <c r="Q991" t="s">
        <v>42</v>
      </c>
      <c r="R991" s="26" t="s">
        <v>427</v>
      </c>
      <c r="S991">
        <v>2.5</v>
      </c>
      <c r="T991">
        <v>3631</v>
      </c>
      <c r="U991">
        <v>0</v>
      </c>
      <c r="V991">
        <v>3631</v>
      </c>
    </row>
    <row r="992" spans="1:22" x14ac:dyDescent="0.3">
      <c r="A992">
        <v>186607</v>
      </c>
      <c r="B992">
        <v>456094428</v>
      </c>
      <c r="C992" t="s">
        <v>5384</v>
      </c>
      <c r="D992" s="9" t="s">
        <v>5385</v>
      </c>
      <c r="E992" t="s">
        <v>4620</v>
      </c>
      <c r="F992" t="s">
        <v>770</v>
      </c>
      <c r="G992" t="s">
        <v>28</v>
      </c>
      <c r="H992" t="s">
        <v>29</v>
      </c>
      <c r="I992" t="s">
        <v>34</v>
      </c>
      <c r="J992" t="s">
        <v>30</v>
      </c>
      <c r="K992" t="s">
        <v>27</v>
      </c>
      <c r="L992" t="s">
        <v>5386</v>
      </c>
      <c r="M992" t="s">
        <v>5387</v>
      </c>
      <c r="N992" t="s">
        <v>4623</v>
      </c>
      <c r="O992" t="s">
        <v>54</v>
      </c>
      <c r="P992" t="s">
        <v>5388</v>
      </c>
      <c r="Q992" t="s">
        <v>72</v>
      </c>
      <c r="R992" s="26" t="s">
        <v>374</v>
      </c>
      <c r="S992">
        <v>3.7</v>
      </c>
      <c r="T992">
        <v>4429</v>
      </c>
      <c r="U992">
        <v>0</v>
      </c>
      <c r="V992">
        <v>4429</v>
      </c>
    </row>
    <row r="993" spans="1:22" x14ac:dyDescent="0.3">
      <c r="A993">
        <v>186607</v>
      </c>
      <c r="B993">
        <v>456271873</v>
      </c>
      <c r="C993" t="s">
        <v>5389</v>
      </c>
      <c r="D993" s="9" t="s">
        <v>5390</v>
      </c>
      <c r="E993" t="s">
        <v>4620</v>
      </c>
      <c r="F993" t="s">
        <v>770</v>
      </c>
      <c r="G993" t="s">
        <v>28</v>
      </c>
      <c r="H993" t="s">
        <v>29</v>
      </c>
      <c r="I993" t="s">
        <v>34</v>
      </c>
      <c r="J993" t="s">
        <v>30</v>
      </c>
      <c r="K993" t="s">
        <v>60</v>
      </c>
      <c r="L993" t="s">
        <v>157</v>
      </c>
      <c r="M993" t="s">
        <v>5391</v>
      </c>
      <c r="N993" t="s">
        <v>4623</v>
      </c>
      <c r="O993" t="s">
        <v>54</v>
      </c>
      <c r="P993" t="s">
        <v>5392</v>
      </c>
      <c r="Q993" t="s">
        <v>62</v>
      </c>
      <c r="R993" s="26" t="s">
        <v>247</v>
      </c>
      <c r="S993">
        <v>3.4</v>
      </c>
      <c r="T993">
        <v>4182</v>
      </c>
      <c r="U993">
        <v>0</v>
      </c>
      <c r="V993">
        <v>4182</v>
      </c>
    </row>
    <row r="994" spans="1:22" x14ac:dyDescent="0.3">
      <c r="A994">
        <v>186607</v>
      </c>
      <c r="B994">
        <v>456271834</v>
      </c>
      <c r="C994" t="s">
        <v>5393</v>
      </c>
      <c r="D994" s="9" t="s">
        <v>5394</v>
      </c>
      <c r="E994" t="s">
        <v>4620</v>
      </c>
      <c r="F994" t="s">
        <v>770</v>
      </c>
      <c r="G994" t="s">
        <v>28</v>
      </c>
      <c r="H994" t="s">
        <v>29</v>
      </c>
      <c r="I994" t="s">
        <v>34</v>
      </c>
      <c r="J994" t="s">
        <v>30</v>
      </c>
      <c r="K994" t="s">
        <v>27</v>
      </c>
      <c r="L994" t="s">
        <v>5395</v>
      </c>
      <c r="M994" t="s">
        <v>5396</v>
      </c>
      <c r="N994" t="s">
        <v>4623</v>
      </c>
      <c r="O994" t="s">
        <v>54</v>
      </c>
      <c r="P994" t="s">
        <v>5397</v>
      </c>
      <c r="Q994" t="s">
        <v>73</v>
      </c>
      <c r="R994" s="26" t="s">
        <v>247</v>
      </c>
      <c r="S994">
        <v>3.3</v>
      </c>
      <c r="T994">
        <v>4429</v>
      </c>
      <c r="U994">
        <v>0</v>
      </c>
      <c r="V994">
        <v>4429</v>
      </c>
    </row>
    <row r="995" spans="1:22" x14ac:dyDescent="0.3">
      <c r="A995">
        <v>186607</v>
      </c>
      <c r="B995">
        <v>456271837</v>
      </c>
      <c r="C995" t="s">
        <v>5398</v>
      </c>
      <c r="D995" s="9" t="s">
        <v>5399</v>
      </c>
      <c r="E995" t="s">
        <v>4620</v>
      </c>
      <c r="F995" t="s">
        <v>770</v>
      </c>
      <c r="G995" t="s">
        <v>28</v>
      </c>
      <c r="H995" t="s">
        <v>29</v>
      </c>
      <c r="I995" t="s">
        <v>34</v>
      </c>
      <c r="J995" t="s">
        <v>30</v>
      </c>
      <c r="K995" t="s">
        <v>27</v>
      </c>
      <c r="L995" t="s">
        <v>5400</v>
      </c>
      <c r="M995" t="s">
        <v>5401</v>
      </c>
      <c r="N995" t="s">
        <v>4623</v>
      </c>
      <c r="O995" t="s">
        <v>54</v>
      </c>
      <c r="P995" t="s">
        <v>5402</v>
      </c>
      <c r="Q995" t="s">
        <v>160</v>
      </c>
      <c r="R995" s="26" t="s">
        <v>247</v>
      </c>
      <c r="S995">
        <v>3.8</v>
      </c>
      <c r="T995">
        <v>4429</v>
      </c>
      <c r="U995">
        <v>0</v>
      </c>
      <c r="V995">
        <v>4429</v>
      </c>
    </row>
    <row r="996" spans="1:22" x14ac:dyDescent="0.3">
      <c r="A996">
        <v>186607</v>
      </c>
      <c r="B996">
        <v>456271835</v>
      </c>
      <c r="C996" t="s">
        <v>5403</v>
      </c>
      <c r="D996" s="9" t="s">
        <v>5404</v>
      </c>
      <c r="E996" t="s">
        <v>4620</v>
      </c>
      <c r="F996" t="s">
        <v>770</v>
      </c>
      <c r="G996" t="s">
        <v>28</v>
      </c>
      <c r="H996" t="s">
        <v>29</v>
      </c>
      <c r="I996" t="s">
        <v>34</v>
      </c>
      <c r="J996" t="s">
        <v>30</v>
      </c>
      <c r="K996" t="s">
        <v>27</v>
      </c>
      <c r="L996" t="s">
        <v>5405</v>
      </c>
      <c r="M996" t="s">
        <v>5406</v>
      </c>
      <c r="N996" t="s">
        <v>4623</v>
      </c>
      <c r="O996" t="s">
        <v>54</v>
      </c>
      <c r="P996" t="s">
        <v>5407</v>
      </c>
      <c r="Q996" t="s">
        <v>85</v>
      </c>
      <c r="R996" s="26" t="s">
        <v>247</v>
      </c>
      <c r="S996">
        <v>3.5</v>
      </c>
      <c r="T996">
        <v>4305</v>
      </c>
      <c r="U996">
        <v>0</v>
      </c>
      <c r="V996">
        <v>4305</v>
      </c>
    </row>
    <row r="997" spans="1:22" x14ac:dyDescent="0.3">
      <c r="A997">
        <v>186607</v>
      </c>
      <c r="B997">
        <v>456271809</v>
      </c>
      <c r="C997" t="s">
        <v>5408</v>
      </c>
      <c r="D997" s="9" t="s">
        <v>5409</v>
      </c>
      <c r="E997" t="s">
        <v>4620</v>
      </c>
      <c r="F997" t="s">
        <v>770</v>
      </c>
      <c r="G997" t="s">
        <v>28</v>
      </c>
      <c r="H997" t="s">
        <v>29</v>
      </c>
      <c r="I997" t="s">
        <v>34</v>
      </c>
      <c r="J997" t="s">
        <v>30</v>
      </c>
      <c r="K997" t="s">
        <v>27</v>
      </c>
      <c r="L997" t="s">
        <v>5410</v>
      </c>
      <c r="M997" t="s">
        <v>5411</v>
      </c>
      <c r="N997" t="s">
        <v>4623</v>
      </c>
      <c r="O997" t="s">
        <v>54</v>
      </c>
      <c r="P997" t="s">
        <v>5412</v>
      </c>
      <c r="Q997" t="s">
        <v>103</v>
      </c>
      <c r="R997" s="26" t="s">
        <v>247</v>
      </c>
      <c r="S997">
        <v>5.2</v>
      </c>
      <c r="T997">
        <v>5778</v>
      </c>
      <c r="U997">
        <v>0</v>
      </c>
      <c r="V997">
        <v>5778</v>
      </c>
    </row>
    <row r="998" spans="1:22" x14ac:dyDescent="0.3">
      <c r="A998">
        <v>186607</v>
      </c>
      <c r="B998">
        <v>456271812</v>
      </c>
      <c r="C998" t="s">
        <v>5413</v>
      </c>
      <c r="D998" s="9" t="s">
        <v>5414</v>
      </c>
      <c r="E998" t="s">
        <v>4620</v>
      </c>
      <c r="F998" t="s">
        <v>770</v>
      </c>
      <c r="G998" t="s">
        <v>28</v>
      </c>
      <c r="H998" t="s">
        <v>29</v>
      </c>
      <c r="I998" t="s">
        <v>34</v>
      </c>
      <c r="J998" t="s">
        <v>30</v>
      </c>
      <c r="K998" t="s">
        <v>27</v>
      </c>
      <c r="L998" t="s">
        <v>289</v>
      </c>
      <c r="M998" t="s">
        <v>5415</v>
      </c>
      <c r="N998" t="s">
        <v>4623</v>
      </c>
      <c r="O998" t="s">
        <v>54</v>
      </c>
      <c r="P998" t="s">
        <v>5416</v>
      </c>
      <c r="Q998" t="s">
        <v>42</v>
      </c>
      <c r="R998" s="26" t="s">
        <v>247</v>
      </c>
      <c r="S998">
        <v>1</v>
      </c>
      <c r="T998">
        <v>3631</v>
      </c>
      <c r="U998">
        <v>0</v>
      </c>
      <c r="V998">
        <v>3631</v>
      </c>
    </row>
    <row r="999" spans="1:22" x14ac:dyDescent="0.3">
      <c r="A999">
        <v>186607</v>
      </c>
      <c r="B999">
        <v>456271884</v>
      </c>
      <c r="C999" t="s">
        <v>5417</v>
      </c>
      <c r="D999" s="9" t="s">
        <v>5418</v>
      </c>
      <c r="E999" t="s">
        <v>4620</v>
      </c>
      <c r="F999" t="s">
        <v>770</v>
      </c>
      <c r="G999" t="s">
        <v>28</v>
      </c>
      <c r="H999" t="s">
        <v>29</v>
      </c>
      <c r="I999" t="s">
        <v>34</v>
      </c>
      <c r="J999" t="s">
        <v>30</v>
      </c>
      <c r="K999" t="s">
        <v>27</v>
      </c>
      <c r="L999" t="s">
        <v>5419</v>
      </c>
      <c r="M999" t="s">
        <v>5420</v>
      </c>
      <c r="N999" t="s">
        <v>4623</v>
      </c>
      <c r="O999" t="s">
        <v>54</v>
      </c>
      <c r="P999" t="s">
        <v>5421</v>
      </c>
      <c r="Q999" t="s">
        <v>80</v>
      </c>
      <c r="R999" s="26" t="s">
        <v>5143</v>
      </c>
      <c r="S999">
        <v>6.3</v>
      </c>
      <c r="T999">
        <v>5024</v>
      </c>
      <c r="U999">
        <v>0</v>
      </c>
      <c r="V999">
        <v>5024</v>
      </c>
    </row>
    <row r="1000" spans="1:22" x14ac:dyDescent="0.3">
      <c r="A1000">
        <v>186607</v>
      </c>
      <c r="B1000">
        <v>456094374</v>
      </c>
      <c r="C1000" t="s">
        <v>5422</v>
      </c>
      <c r="D1000" s="9" t="s">
        <v>5423</v>
      </c>
      <c r="E1000" t="s">
        <v>4620</v>
      </c>
      <c r="F1000" t="s">
        <v>770</v>
      </c>
      <c r="G1000" t="s">
        <v>28</v>
      </c>
      <c r="H1000" t="s">
        <v>29</v>
      </c>
      <c r="I1000" t="s">
        <v>34</v>
      </c>
      <c r="J1000" t="s">
        <v>30</v>
      </c>
      <c r="K1000" t="s">
        <v>27</v>
      </c>
      <c r="L1000" t="s">
        <v>5424</v>
      </c>
      <c r="M1000" t="s">
        <v>554</v>
      </c>
      <c r="N1000" t="s">
        <v>4623</v>
      </c>
      <c r="O1000" t="s">
        <v>54</v>
      </c>
      <c r="P1000" t="s">
        <v>5425</v>
      </c>
      <c r="Q1000" t="s">
        <v>144</v>
      </c>
      <c r="R1000" s="26" t="s">
        <v>374</v>
      </c>
      <c r="S1000">
        <v>7.8</v>
      </c>
      <c r="T1000">
        <v>5295</v>
      </c>
      <c r="U1000">
        <v>0</v>
      </c>
      <c r="V1000">
        <v>5295</v>
      </c>
    </row>
    <row r="1001" spans="1:22" x14ac:dyDescent="0.3">
      <c r="A1001">
        <v>186607</v>
      </c>
      <c r="B1001">
        <v>456094351</v>
      </c>
      <c r="C1001" t="s">
        <v>5426</v>
      </c>
      <c r="D1001" s="9" t="s">
        <v>5427</v>
      </c>
      <c r="E1001" t="s">
        <v>4620</v>
      </c>
      <c r="F1001" t="s">
        <v>770</v>
      </c>
      <c r="G1001" t="s">
        <v>28</v>
      </c>
      <c r="H1001" t="s">
        <v>29</v>
      </c>
      <c r="I1001" t="s">
        <v>34</v>
      </c>
      <c r="J1001" t="s">
        <v>30</v>
      </c>
      <c r="K1001" t="s">
        <v>27</v>
      </c>
      <c r="L1001" t="s">
        <v>5428</v>
      </c>
      <c r="M1001" t="s">
        <v>5429</v>
      </c>
      <c r="N1001" t="s">
        <v>4623</v>
      </c>
      <c r="O1001" t="s">
        <v>54</v>
      </c>
      <c r="P1001" t="s">
        <v>5430</v>
      </c>
      <c r="Q1001" t="s">
        <v>42</v>
      </c>
      <c r="R1001" s="26" t="s">
        <v>374</v>
      </c>
      <c r="S1001">
        <v>2.8</v>
      </c>
      <c r="T1001">
        <v>3631</v>
      </c>
      <c r="U1001">
        <v>0</v>
      </c>
      <c r="V1001">
        <v>3631</v>
      </c>
    </row>
    <row r="1002" spans="1:22" x14ac:dyDescent="0.3">
      <c r="A1002">
        <v>186607</v>
      </c>
      <c r="B1002">
        <v>455825280</v>
      </c>
      <c r="C1002" t="s">
        <v>5431</v>
      </c>
      <c r="D1002" s="9" t="s">
        <v>5432</v>
      </c>
      <c r="E1002" t="s">
        <v>4620</v>
      </c>
      <c r="F1002" t="s">
        <v>770</v>
      </c>
      <c r="G1002" t="s">
        <v>28</v>
      </c>
      <c r="H1002" t="s">
        <v>29</v>
      </c>
      <c r="I1002" t="s">
        <v>34</v>
      </c>
      <c r="J1002" t="s">
        <v>30</v>
      </c>
      <c r="K1002" t="s">
        <v>27</v>
      </c>
      <c r="L1002" t="s">
        <v>5433</v>
      </c>
      <c r="M1002" t="s">
        <v>624</v>
      </c>
      <c r="N1002" t="s">
        <v>4623</v>
      </c>
      <c r="O1002" t="s">
        <v>54</v>
      </c>
      <c r="P1002" t="s">
        <v>5434</v>
      </c>
      <c r="Q1002" t="s">
        <v>59</v>
      </c>
      <c r="R1002" s="26" t="s">
        <v>75</v>
      </c>
      <c r="S1002">
        <v>5.8</v>
      </c>
      <c r="T1002">
        <v>5564</v>
      </c>
      <c r="U1002">
        <v>0</v>
      </c>
      <c r="V1002">
        <v>5564</v>
      </c>
    </row>
    <row r="1003" spans="1:22" x14ac:dyDescent="0.3">
      <c r="A1003">
        <v>186607</v>
      </c>
      <c r="B1003">
        <v>456094275</v>
      </c>
      <c r="C1003" t="s">
        <v>5435</v>
      </c>
      <c r="D1003" s="9" t="s">
        <v>5436</v>
      </c>
      <c r="E1003" t="s">
        <v>4620</v>
      </c>
      <c r="F1003" t="s">
        <v>770</v>
      </c>
      <c r="G1003" t="s">
        <v>28</v>
      </c>
      <c r="H1003" t="s">
        <v>29</v>
      </c>
      <c r="I1003" t="s">
        <v>34</v>
      </c>
      <c r="J1003" t="s">
        <v>30</v>
      </c>
      <c r="K1003" t="s">
        <v>27</v>
      </c>
      <c r="L1003" t="s">
        <v>5437</v>
      </c>
      <c r="M1003" t="s">
        <v>539</v>
      </c>
      <c r="N1003" t="s">
        <v>4623</v>
      </c>
      <c r="O1003" t="s">
        <v>54</v>
      </c>
      <c r="P1003" t="s">
        <v>5438</v>
      </c>
      <c r="Q1003" t="s">
        <v>85</v>
      </c>
      <c r="R1003" s="26" t="s">
        <v>308</v>
      </c>
      <c r="S1003">
        <v>3.6</v>
      </c>
      <c r="T1003">
        <v>4305</v>
      </c>
      <c r="U1003">
        <v>0</v>
      </c>
      <c r="V1003">
        <v>4305</v>
      </c>
    </row>
    <row r="1004" spans="1:22" x14ac:dyDescent="0.3">
      <c r="A1004">
        <v>186607</v>
      </c>
      <c r="B1004">
        <v>456094081</v>
      </c>
      <c r="C1004" t="s">
        <v>5439</v>
      </c>
      <c r="D1004" s="9" t="s">
        <v>5440</v>
      </c>
      <c r="E1004" t="s">
        <v>4620</v>
      </c>
      <c r="F1004" t="s">
        <v>770</v>
      </c>
      <c r="G1004" t="s">
        <v>28</v>
      </c>
      <c r="H1004" t="s">
        <v>29</v>
      </c>
      <c r="I1004" t="s">
        <v>34</v>
      </c>
      <c r="J1004" t="s">
        <v>30</v>
      </c>
      <c r="K1004" t="s">
        <v>27</v>
      </c>
      <c r="L1004" t="s">
        <v>5441</v>
      </c>
      <c r="M1004" t="s">
        <v>5442</v>
      </c>
      <c r="N1004" t="s">
        <v>4623</v>
      </c>
      <c r="O1004" t="s">
        <v>54</v>
      </c>
      <c r="P1004" t="s">
        <v>5443</v>
      </c>
      <c r="Q1004" t="s">
        <v>203</v>
      </c>
      <c r="R1004" s="26" t="s">
        <v>308</v>
      </c>
      <c r="S1004">
        <v>3.5</v>
      </c>
      <c r="T1004">
        <v>4545</v>
      </c>
      <c r="U1004">
        <v>0</v>
      </c>
      <c r="V1004">
        <v>4545</v>
      </c>
    </row>
    <row r="1005" spans="1:22" x14ac:dyDescent="0.3">
      <c r="A1005">
        <v>186607</v>
      </c>
      <c r="B1005">
        <v>456094239</v>
      </c>
      <c r="C1005" t="s">
        <v>5444</v>
      </c>
      <c r="D1005" s="9" t="s">
        <v>5445</v>
      </c>
      <c r="E1005" t="s">
        <v>4620</v>
      </c>
      <c r="F1005" t="s">
        <v>770</v>
      </c>
      <c r="G1005" t="s">
        <v>28</v>
      </c>
      <c r="H1005" t="s">
        <v>29</v>
      </c>
      <c r="I1005" t="s">
        <v>34</v>
      </c>
      <c r="J1005" t="s">
        <v>30</v>
      </c>
      <c r="K1005" t="s">
        <v>27</v>
      </c>
      <c r="L1005" t="s">
        <v>5446</v>
      </c>
      <c r="M1005" t="s">
        <v>5447</v>
      </c>
      <c r="N1005" t="s">
        <v>4623</v>
      </c>
      <c r="O1005" t="s">
        <v>54</v>
      </c>
      <c r="P1005" t="s">
        <v>5448</v>
      </c>
      <c r="Q1005" t="s">
        <v>62</v>
      </c>
      <c r="R1005" s="26" t="s">
        <v>308</v>
      </c>
      <c r="S1005">
        <v>3.1</v>
      </c>
      <c r="T1005">
        <v>4182</v>
      </c>
      <c r="U1005">
        <v>0</v>
      </c>
      <c r="V1005">
        <v>4182</v>
      </c>
    </row>
    <row r="1006" spans="1:22" x14ac:dyDescent="0.3">
      <c r="A1006">
        <v>186607</v>
      </c>
      <c r="B1006">
        <v>456094050</v>
      </c>
      <c r="C1006" t="s">
        <v>5449</v>
      </c>
      <c r="D1006" s="9" t="s">
        <v>5450</v>
      </c>
      <c r="E1006" t="s">
        <v>4620</v>
      </c>
      <c r="F1006" t="s">
        <v>770</v>
      </c>
      <c r="G1006" t="s">
        <v>28</v>
      </c>
      <c r="H1006" t="s">
        <v>29</v>
      </c>
      <c r="I1006" t="s">
        <v>34</v>
      </c>
      <c r="J1006" t="s">
        <v>30</v>
      </c>
      <c r="K1006" t="s">
        <v>27</v>
      </c>
      <c r="L1006" t="s">
        <v>5451</v>
      </c>
      <c r="M1006" t="s">
        <v>5452</v>
      </c>
      <c r="N1006" t="s">
        <v>4623</v>
      </c>
      <c r="O1006" t="s">
        <v>54</v>
      </c>
      <c r="P1006" t="s">
        <v>5453</v>
      </c>
      <c r="Q1006" t="s">
        <v>125</v>
      </c>
      <c r="R1006" s="26" t="s">
        <v>308</v>
      </c>
      <c r="S1006">
        <v>2.2000000000000002</v>
      </c>
      <c r="T1006">
        <v>3653</v>
      </c>
      <c r="U1006">
        <v>0</v>
      </c>
      <c r="V1006">
        <v>3653</v>
      </c>
    </row>
    <row r="1007" spans="1:22" x14ac:dyDescent="0.3">
      <c r="A1007">
        <v>186607</v>
      </c>
      <c r="B1007">
        <v>456094407</v>
      </c>
      <c r="C1007" t="s">
        <v>5454</v>
      </c>
      <c r="D1007" s="9" t="s">
        <v>5455</v>
      </c>
      <c r="E1007" t="s">
        <v>4620</v>
      </c>
      <c r="F1007" t="s">
        <v>770</v>
      </c>
      <c r="G1007" t="s">
        <v>28</v>
      </c>
      <c r="H1007" t="s">
        <v>29</v>
      </c>
      <c r="I1007" t="s">
        <v>34</v>
      </c>
      <c r="J1007" t="s">
        <v>30</v>
      </c>
      <c r="K1007" t="s">
        <v>27</v>
      </c>
      <c r="L1007" t="s">
        <v>507</v>
      </c>
      <c r="M1007" t="s">
        <v>5456</v>
      </c>
      <c r="N1007" t="s">
        <v>4623</v>
      </c>
      <c r="O1007" t="s">
        <v>54</v>
      </c>
      <c r="P1007" t="s">
        <v>5457</v>
      </c>
      <c r="Q1007" t="s">
        <v>171</v>
      </c>
      <c r="R1007" s="26" t="s">
        <v>374</v>
      </c>
      <c r="S1007">
        <v>5.9</v>
      </c>
      <c r="T1007">
        <v>5024</v>
      </c>
      <c r="U1007">
        <v>0</v>
      </c>
      <c r="V1007">
        <v>5024</v>
      </c>
    </row>
    <row r="1008" spans="1:22" x14ac:dyDescent="0.3">
      <c r="A1008">
        <v>186607</v>
      </c>
      <c r="B1008">
        <v>456094345</v>
      </c>
      <c r="C1008" t="s">
        <v>5458</v>
      </c>
      <c r="D1008" s="9" t="s">
        <v>5459</v>
      </c>
      <c r="E1008" t="s">
        <v>4620</v>
      </c>
      <c r="F1008" t="s">
        <v>770</v>
      </c>
      <c r="G1008" t="s">
        <v>28</v>
      </c>
      <c r="H1008" t="s">
        <v>29</v>
      </c>
      <c r="I1008" t="s">
        <v>34</v>
      </c>
      <c r="J1008" t="s">
        <v>30</v>
      </c>
      <c r="K1008" t="s">
        <v>27</v>
      </c>
      <c r="L1008" t="s">
        <v>510</v>
      </c>
      <c r="M1008" t="s">
        <v>5460</v>
      </c>
      <c r="N1008" t="s">
        <v>4623</v>
      </c>
      <c r="O1008" t="s">
        <v>54</v>
      </c>
      <c r="P1008" t="s">
        <v>5461</v>
      </c>
      <c r="Q1008" t="s">
        <v>69</v>
      </c>
      <c r="R1008" s="26" t="s">
        <v>374</v>
      </c>
      <c r="S1008">
        <v>2.8</v>
      </c>
      <c r="T1008">
        <v>3935</v>
      </c>
      <c r="U1008">
        <v>0</v>
      </c>
      <c r="V1008">
        <v>3935</v>
      </c>
    </row>
    <row r="1009" spans="1:22" x14ac:dyDescent="0.3">
      <c r="A1009">
        <v>186607</v>
      </c>
      <c r="B1009">
        <v>456094178</v>
      </c>
      <c r="C1009" t="s">
        <v>5462</v>
      </c>
      <c r="D1009" s="9" t="s">
        <v>5463</v>
      </c>
      <c r="E1009" t="s">
        <v>4620</v>
      </c>
      <c r="F1009" t="s">
        <v>770</v>
      </c>
      <c r="G1009" t="s">
        <v>28</v>
      </c>
      <c r="H1009" t="s">
        <v>29</v>
      </c>
      <c r="I1009" t="s">
        <v>34</v>
      </c>
      <c r="J1009" t="s">
        <v>30</v>
      </c>
      <c r="K1009" t="s">
        <v>27</v>
      </c>
      <c r="L1009" t="s">
        <v>5464</v>
      </c>
      <c r="M1009" t="s">
        <v>5465</v>
      </c>
      <c r="N1009" t="s">
        <v>4623</v>
      </c>
      <c r="O1009" t="s">
        <v>54</v>
      </c>
      <c r="P1009" t="s">
        <v>5466</v>
      </c>
      <c r="Q1009" t="s">
        <v>162</v>
      </c>
      <c r="R1009" s="26" t="s">
        <v>308</v>
      </c>
      <c r="S1009">
        <v>3</v>
      </c>
      <c r="T1009">
        <v>3737</v>
      </c>
      <c r="U1009">
        <v>0</v>
      </c>
      <c r="V1009">
        <v>3737</v>
      </c>
    </row>
    <row r="1010" spans="1:22" x14ac:dyDescent="0.3">
      <c r="A1010">
        <v>186607</v>
      </c>
      <c r="B1010">
        <v>455520336</v>
      </c>
      <c r="C1010" t="s">
        <v>5467</v>
      </c>
      <c r="D1010" s="9" t="s">
        <v>5468</v>
      </c>
      <c r="E1010" t="s">
        <v>4620</v>
      </c>
      <c r="F1010" t="s">
        <v>770</v>
      </c>
      <c r="G1010" t="s">
        <v>28</v>
      </c>
      <c r="H1010" t="s">
        <v>29</v>
      </c>
      <c r="I1010" t="s">
        <v>34</v>
      </c>
      <c r="J1010" t="s">
        <v>30</v>
      </c>
      <c r="K1010" t="s">
        <v>27</v>
      </c>
      <c r="L1010" t="s">
        <v>5469</v>
      </c>
      <c r="M1010" t="s">
        <v>5470</v>
      </c>
      <c r="N1010" t="s">
        <v>4623</v>
      </c>
      <c r="O1010" t="s">
        <v>54</v>
      </c>
      <c r="P1010" t="s">
        <v>5471</v>
      </c>
      <c r="Q1010" t="s">
        <v>154</v>
      </c>
      <c r="R1010" s="26" t="s">
        <v>547</v>
      </c>
      <c r="S1010">
        <v>14.7</v>
      </c>
      <c r="T1010">
        <v>14499</v>
      </c>
      <c r="U1010">
        <v>0</v>
      </c>
      <c r="V1010">
        <v>14499</v>
      </c>
    </row>
    <row r="1011" spans="1:22" x14ac:dyDescent="0.3">
      <c r="A1011">
        <v>186607</v>
      </c>
      <c r="B1011">
        <v>456094355</v>
      </c>
      <c r="C1011" t="s">
        <v>5472</v>
      </c>
      <c r="D1011" s="9" t="s">
        <v>5473</v>
      </c>
      <c r="E1011" t="s">
        <v>4620</v>
      </c>
      <c r="F1011" t="s">
        <v>770</v>
      </c>
      <c r="G1011" t="s">
        <v>28</v>
      </c>
      <c r="H1011" t="s">
        <v>29</v>
      </c>
      <c r="I1011" t="s">
        <v>34</v>
      </c>
      <c r="J1011" t="s">
        <v>30</v>
      </c>
      <c r="K1011" t="s">
        <v>27</v>
      </c>
      <c r="L1011" t="s">
        <v>5474</v>
      </c>
      <c r="M1011" t="s">
        <v>5475</v>
      </c>
      <c r="N1011" t="s">
        <v>4623</v>
      </c>
      <c r="O1011" t="s">
        <v>54</v>
      </c>
      <c r="P1011" t="s">
        <v>5476</v>
      </c>
      <c r="Q1011" t="s">
        <v>171</v>
      </c>
      <c r="R1011" s="26" t="s">
        <v>374</v>
      </c>
      <c r="S1011">
        <v>3.4</v>
      </c>
      <c r="T1011">
        <v>3664</v>
      </c>
      <c r="U1011">
        <v>0</v>
      </c>
      <c r="V1011">
        <v>3664</v>
      </c>
    </row>
    <row r="1012" spans="1:22" x14ac:dyDescent="0.3">
      <c r="A1012">
        <v>186607</v>
      </c>
      <c r="B1012">
        <v>456094438</v>
      </c>
      <c r="C1012" t="s">
        <v>5477</v>
      </c>
      <c r="D1012" s="9" t="s">
        <v>5478</v>
      </c>
      <c r="E1012" t="s">
        <v>4620</v>
      </c>
      <c r="F1012" t="s">
        <v>770</v>
      </c>
      <c r="G1012" t="s">
        <v>28</v>
      </c>
      <c r="H1012" t="s">
        <v>29</v>
      </c>
      <c r="I1012" t="s">
        <v>34</v>
      </c>
      <c r="J1012" t="s">
        <v>30</v>
      </c>
      <c r="K1012" t="s">
        <v>27</v>
      </c>
      <c r="L1012" t="s">
        <v>5479</v>
      </c>
      <c r="M1012" t="s">
        <v>677</v>
      </c>
      <c r="N1012" t="s">
        <v>4623</v>
      </c>
      <c r="O1012" t="s">
        <v>54</v>
      </c>
      <c r="P1012" t="s">
        <v>5480</v>
      </c>
      <c r="Q1012" t="s">
        <v>171</v>
      </c>
      <c r="R1012" s="26" t="s">
        <v>374</v>
      </c>
      <c r="S1012">
        <v>3.6</v>
      </c>
      <c r="T1012">
        <v>3664</v>
      </c>
      <c r="U1012">
        <v>0</v>
      </c>
      <c r="V1012">
        <v>3664</v>
      </c>
    </row>
    <row r="1013" spans="1:22" x14ac:dyDescent="0.3">
      <c r="A1013">
        <v>186607</v>
      </c>
      <c r="B1013">
        <v>455825204</v>
      </c>
      <c r="C1013" t="s">
        <v>5481</v>
      </c>
      <c r="D1013" s="9" t="s">
        <v>5482</v>
      </c>
      <c r="E1013" t="s">
        <v>4620</v>
      </c>
      <c r="F1013" t="s">
        <v>770</v>
      </c>
      <c r="G1013" t="s">
        <v>28</v>
      </c>
      <c r="H1013" t="s">
        <v>29</v>
      </c>
      <c r="I1013" t="s">
        <v>34</v>
      </c>
      <c r="J1013" t="s">
        <v>30</v>
      </c>
      <c r="K1013" t="s">
        <v>27</v>
      </c>
      <c r="L1013" t="s">
        <v>5483</v>
      </c>
      <c r="M1013" t="s">
        <v>525</v>
      </c>
      <c r="N1013" t="s">
        <v>4623</v>
      </c>
      <c r="O1013" t="s">
        <v>54</v>
      </c>
      <c r="P1013" t="s">
        <v>5484</v>
      </c>
      <c r="Q1013" t="s">
        <v>120</v>
      </c>
      <c r="R1013" s="26" t="s">
        <v>75</v>
      </c>
      <c r="S1013">
        <v>6.7</v>
      </c>
      <c r="T1013">
        <v>10206</v>
      </c>
      <c r="U1013">
        <v>0</v>
      </c>
      <c r="V1013">
        <v>10206</v>
      </c>
    </row>
    <row r="1014" spans="1:22" x14ac:dyDescent="0.3">
      <c r="A1014">
        <v>186607</v>
      </c>
      <c r="B1014">
        <v>456093998</v>
      </c>
      <c r="C1014" t="s">
        <v>5485</v>
      </c>
      <c r="D1014" s="9" t="s">
        <v>5486</v>
      </c>
      <c r="E1014" t="s">
        <v>4620</v>
      </c>
      <c r="F1014" t="s">
        <v>770</v>
      </c>
      <c r="G1014" t="s">
        <v>28</v>
      </c>
      <c r="H1014" t="s">
        <v>29</v>
      </c>
      <c r="I1014" t="s">
        <v>34</v>
      </c>
      <c r="J1014" t="s">
        <v>30</v>
      </c>
      <c r="K1014" t="s">
        <v>27</v>
      </c>
      <c r="L1014" t="s">
        <v>5487</v>
      </c>
      <c r="M1014" t="s">
        <v>5488</v>
      </c>
      <c r="N1014" t="s">
        <v>4623</v>
      </c>
      <c r="O1014" t="s">
        <v>54</v>
      </c>
      <c r="P1014" t="s">
        <v>5489</v>
      </c>
      <c r="Q1014" t="s">
        <v>69</v>
      </c>
      <c r="R1014" s="26" t="s">
        <v>240</v>
      </c>
      <c r="S1014">
        <v>3.5</v>
      </c>
      <c r="T1014">
        <v>4935</v>
      </c>
      <c r="U1014">
        <v>0</v>
      </c>
      <c r="V1014">
        <v>4935</v>
      </c>
    </row>
    <row r="1015" spans="1:22" x14ac:dyDescent="0.3">
      <c r="A1015">
        <v>186607</v>
      </c>
      <c r="B1015">
        <v>456094387</v>
      </c>
      <c r="C1015" t="s">
        <v>5490</v>
      </c>
      <c r="D1015" s="9" t="s">
        <v>5491</v>
      </c>
      <c r="E1015" t="s">
        <v>4620</v>
      </c>
      <c r="F1015" t="s">
        <v>770</v>
      </c>
      <c r="G1015" t="s">
        <v>28</v>
      </c>
      <c r="H1015" t="s">
        <v>29</v>
      </c>
      <c r="I1015" t="s">
        <v>34</v>
      </c>
      <c r="J1015" t="s">
        <v>30</v>
      </c>
      <c r="K1015" t="s">
        <v>27</v>
      </c>
      <c r="L1015" t="s">
        <v>5492</v>
      </c>
      <c r="M1015" t="s">
        <v>5493</v>
      </c>
      <c r="N1015" t="s">
        <v>4623</v>
      </c>
      <c r="O1015" t="s">
        <v>54</v>
      </c>
      <c r="P1015" t="s">
        <v>5494</v>
      </c>
      <c r="Q1015" t="s">
        <v>135</v>
      </c>
      <c r="R1015" s="26" t="s">
        <v>374</v>
      </c>
      <c r="S1015">
        <v>2.4</v>
      </c>
      <c r="T1015">
        <v>3250</v>
      </c>
      <c r="U1015">
        <v>0</v>
      </c>
      <c r="V1015">
        <v>3250</v>
      </c>
    </row>
    <row r="1016" spans="1:22" x14ac:dyDescent="0.3">
      <c r="A1016">
        <v>186607</v>
      </c>
      <c r="B1016">
        <v>455825307</v>
      </c>
      <c r="C1016" t="s">
        <v>5495</v>
      </c>
      <c r="D1016" s="9" t="s">
        <v>5496</v>
      </c>
      <c r="E1016" t="s">
        <v>4620</v>
      </c>
      <c r="F1016" t="s">
        <v>770</v>
      </c>
      <c r="G1016" t="s">
        <v>28</v>
      </c>
      <c r="H1016" t="s">
        <v>29</v>
      </c>
      <c r="I1016" t="s">
        <v>34</v>
      </c>
      <c r="J1016" t="s">
        <v>30</v>
      </c>
      <c r="K1016" t="s">
        <v>27</v>
      </c>
      <c r="L1016" t="s">
        <v>5497</v>
      </c>
      <c r="M1016" t="s">
        <v>569</v>
      </c>
      <c r="N1016" t="s">
        <v>4623</v>
      </c>
      <c r="O1016" t="s">
        <v>54</v>
      </c>
      <c r="P1016" t="s">
        <v>5498</v>
      </c>
      <c r="Q1016" t="s">
        <v>108</v>
      </c>
      <c r="R1016" s="26" t="s">
        <v>75</v>
      </c>
      <c r="S1016">
        <v>3.6</v>
      </c>
      <c r="T1016">
        <v>3664</v>
      </c>
      <c r="U1016">
        <v>0</v>
      </c>
      <c r="V1016">
        <v>3664</v>
      </c>
    </row>
    <row r="1017" spans="1:22" x14ac:dyDescent="0.3">
      <c r="A1017">
        <v>186607</v>
      </c>
      <c r="B1017">
        <v>456094253</v>
      </c>
      <c r="C1017" t="s">
        <v>5499</v>
      </c>
      <c r="D1017" s="9" t="s">
        <v>5500</v>
      </c>
      <c r="E1017" t="s">
        <v>4620</v>
      </c>
      <c r="F1017" t="s">
        <v>770</v>
      </c>
      <c r="G1017" t="s">
        <v>28</v>
      </c>
      <c r="H1017" t="s">
        <v>29</v>
      </c>
      <c r="I1017" t="s">
        <v>34</v>
      </c>
      <c r="J1017" t="s">
        <v>30</v>
      </c>
      <c r="K1017" t="s">
        <v>27</v>
      </c>
      <c r="L1017" t="s">
        <v>5501</v>
      </c>
      <c r="M1017" t="s">
        <v>227</v>
      </c>
      <c r="N1017" t="s">
        <v>4623</v>
      </c>
      <c r="O1017" t="s">
        <v>54</v>
      </c>
      <c r="P1017" t="s">
        <v>5502</v>
      </c>
      <c r="Q1017" t="s">
        <v>126</v>
      </c>
      <c r="R1017" s="26" t="s">
        <v>308</v>
      </c>
      <c r="S1017">
        <v>3.4</v>
      </c>
      <c r="T1017">
        <v>4214</v>
      </c>
      <c r="U1017">
        <v>0</v>
      </c>
      <c r="V1017">
        <v>4214</v>
      </c>
    </row>
    <row r="1018" spans="1:22" x14ac:dyDescent="0.3">
      <c r="A1018">
        <v>186607</v>
      </c>
      <c r="B1018">
        <v>455825267</v>
      </c>
      <c r="C1018" t="s">
        <v>5503</v>
      </c>
      <c r="D1018" s="9" t="s">
        <v>5504</v>
      </c>
      <c r="E1018" t="s">
        <v>4620</v>
      </c>
      <c r="F1018" t="s">
        <v>770</v>
      </c>
      <c r="G1018" t="s">
        <v>28</v>
      </c>
      <c r="H1018" t="s">
        <v>29</v>
      </c>
      <c r="I1018" t="s">
        <v>34</v>
      </c>
      <c r="J1018" t="s">
        <v>30</v>
      </c>
      <c r="K1018" t="s">
        <v>27</v>
      </c>
      <c r="L1018" t="s">
        <v>5505</v>
      </c>
      <c r="M1018" t="s">
        <v>709</v>
      </c>
      <c r="N1018" t="s">
        <v>4623</v>
      </c>
      <c r="O1018" t="s">
        <v>54</v>
      </c>
      <c r="P1018" t="s">
        <v>5506</v>
      </c>
      <c r="Q1018" t="s">
        <v>120</v>
      </c>
      <c r="R1018" s="26" t="s">
        <v>75</v>
      </c>
      <c r="S1018">
        <v>3.2</v>
      </c>
      <c r="T1018">
        <v>7487</v>
      </c>
      <c r="U1018">
        <v>0</v>
      </c>
      <c r="V1018">
        <v>7487</v>
      </c>
    </row>
    <row r="1019" spans="1:22" x14ac:dyDescent="0.3">
      <c r="A1019">
        <v>186607</v>
      </c>
      <c r="B1019">
        <v>456094330</v>
      </c>
      <c r="C1019" t="s">
        <v>5507</v>
      </c>
      <c r="D1019" s="9" t="s">
        <v>5508</v>
      </c>
      <c r="E1019" t="s">
        <v>4620</v>
      </c>
      <c r="F1019" t="s">
        <v>770</v>
      </c>
      <c r="G1019" t="s">
        <v>28</v>
      </c>
      <c r="H1019" t="s">
        <v>29</v>
      </c>
      <c r="I1019" t="s">
        <v>34</v>
      </c>
      <c r="J1019" t="s">
        <v>30</v>
      </c>
      <c r="K1019" t="s">
        <v>27</v>
      </c>
      <c r="L1019" t="s">
        <v>5509</v>
      </c>
      <c r="M1019" t="s">
        <v>5510</v>
      </c>
      <c r="N1019" t="s">
        <v>4623</v>
      </c>
      <c r="O1019" t="s">
        <v>54</v>
      </c>
      <c r="P1019" t="s">
        <v>5511</v>
      </c>
      <c r="Q1019" t="s">
        <v>69</v>
      </c>
      <c r="R1019" s="26" t="s">
        <v>374</v>
      </c>
      <c r="S1019">
        <v>4.5999999999999996</v>
      </c>
      <c r="T1019">
        <v>4935</v>
      </c>
      <c r="U1019">
        <v>0</v>
      </c>
      <c r="V1019">
        <v>4935</v>
      </c>
    </row>
    <row r="1020" spans="1:22" x14ac:dyDescent="0.3">
      <c r="A1020">
        <v>186607</v>
      </c>
      <c r="B1020">
        <v>456094021</v>
      </c>
      <c r="C1020" t="s">
        <v>5512</v>
      </c>
      <c r="D1020" s="9" t="s">
        <v>5513</v>
      </c>
      <c r="E1020" t="s">
        <v>4620</v>
      </c>
      <c r="F1020" t="s">
        <v>770</v>
      </c>
      <c r="G1020" t="s">
        <v>28</v>
      </c>
      <c r="H1020" t="s">
        <v>29</v>
      </c>
      <c r="I1020" t="s">
        <v>34</v>
      </c>
      <c r="J1020" t="s">
        <v>30</v>
      </c>
      <c r="K1020" t="s">
        <v>27</v>
      </c>
      <c r="L1020" t="s">
        <v>5514</v>
      </c>
      <c r="M1020" t="s">
        <v>5515</v>
      </c>
      <c r="N1020" t="s">
        <v>4623</v>
      </c>
      <c r="O1020" t="s">
        <v>54</v>
      </c>
      <c r="P1020" t="s">
        <v>5516</v>
      </c>
      <c r="Q1020" t="s">
        <v>125</v>
      </c>
      <c r="R1020" s="26" t="s">
        <v>240</v>
      </c>
      <c r="S1020">
        <v>2.8</v>
      </c>
      <c r="T1020">
        <v>3653</v>
      </c>
      <c r="U1020">
        <v>0</v>
      </c>
      <c r="V1020">
        <v>3653</v>
      </c>
    </row>
    <row r="1021" spans="1:22" x14ac:dyDescent="0.3">
      <c r="A1021">
        <v>186607</v>
      </c>
      <c r="B1021">
        <v>456094335</v>
      </c>
      <c r="C1021" t="s">
        <v>5517</v>
      </c>
      <c r="D1021" s="9" t="s">
        <v>5518</v>
      </c>
      <c r="E1021" t="s">
        <v>4620</v>
      </c>
      <c r="F1021" t="s">
        <v>770</v>
      </c>
      <c r="G1021" t="s">
        <v>28</v>
      </c>
      <c r="H1021" t="s">
        <v>29</v>
      </c>
      <c r="I1021" t="s">
        <v>34</v>
      </c>
      <c r="J1021" t="s">
        <v>30</v>
      </c>
      <c r="K1021" t="s">
        <v>27</v>
      </c>
      <c r="L1021" t="s">
        <v>5519</v>
      </c>
      <c r="M1021" t="s">
        <v>5520</v>
      </c>
      <c r="N1021" t="s">
        <v>4623</v>
      </c>
      <c r="O1021" t="s">
        <v>54</v>
      </c>
      <c r="P1021" t="s">
        <v>5521</v>
      </c>
      <c r="Q1021" t="s">
        <v>104</v>
      </c>
      <c r="R1021" s="26" t="s">
        <v>374</v>
      </c>
      <c r="S1021">
        <v>3</v>
      </c>
      <c r="T1021">
        <v>3631</v>
      </c>
      <c r="U1021">
        <v>0</v>
      </c>
      <c r="V1021">
        <v>3631</v>
      </c>
    </row>
    <row r="1022" spans="1:22" x14ac:dyDescent="0.3">
      <c r="A1022">
        <v>186607</v>
      </c>
      <c r="B1022">
        <v>456094342</v>
      </c>
      <c r="C1022" t="s">
        <v>5522</v>
      </c>
      <c r="D1022" s="9" t="s">
        <v>5523</v>
      </c>
      <c r="E1022" t="s">
        <v>4620</v>
      </c>
      <c r="F1022" t="s">
        <v>770</v>
      </c>
      <c r="G1022" t="s">
        <v>28</v>
      </c>
      <c r="H1022" t="s">
        <v>29</v>
      </c>
      <c r="I1022" t="s">
        <v>34</v>
      </c>
      <c r="J1022" t="s">
        <v>30</v>
      </c>
      <c r="K1022" t="s">
        <v>60</v>
      </c>
      <c r="L1022" t="s">
        <v>157</v>
      </c>
      <c r="M1022" t="s">
        <v>5524</v>
      </c>
      <c r="N1022" t="s">
        <v>4623</v>
      </c>
      <c r="O1022" t="s">
        <v>54</v>
      </c>
      <c r="P1022" t="s">
        <v>5525</v>
      </c>
      <c r="Q1022" t="s">
        <v>102</v>
      </c>
      <c r="R1022" s="26" t="s">
        <v>374</v>
      </c>
      <c r="S1022">
        <v>2.9</v>
      </c>
      <c r="T1022">
        <v>3935</v>
      </c>
      <c r="U1022">
        <v>0</v>
      </c>
      <c r="V1022">
        <v>3935</v>
      </c>
    </row>
    <row r="1023" spans="1:22" x14ac:dyDescent="0.3">
      <c r="A1023">
        <v>186607</v>
      </c>
      <c r="B1023">
        <v>456094184</v>
      </c>
      <c r="C1023" t="s">
        <v>5526</v>
      </c>
      <c r="D1023" s="9" t="s">
        <v>5527</v>
      </c>
      <c r="E1023" t="s">
        <v>4620</v>
      </c>
      <c r="F1023" t="s">
        <v>770</v>
      </c>
      <c r="G1023" t="s">
        <v>28</v>
      </c>
      <c r="H1023" t="s">
        <v>29</v>
      </c>
      <c r="I1023" t="s">
        <v>34</v>
      </c>
      <c r="J1023" t="s">
        <v>30</v>
      </c>
      <c r="K1023" t="s">
        <v>27</v>
      </c>
      <c r="L1023" t="s">
        <v>5528</v>
      </c>
      <c r="M1023" t="s">
        <v>628</v>
      </c>
      <c r="N1023" t="s">
        <v>4623</v>
      </c>
      <c r="O1023" t="s">
        <v>54</v>
      </c>
      <c r="P1023" t="s">
        <v>5529</v>
      </c>
      <c r="Q1023" t="s">
        <v>69</v>
      </c>
      <c r="R1023" s="26" t="s">
        <v>308</v>
      </c>
      <c r="S1023">
        <v>3.2</v>
      </c>
      <c r="T1023">
        <v>4935</v>
      </c>
      <c r="U1023">
        <v>0</v>
      </c>
      <c r="V1023">
        <v>4935</v>
      </c>
    </row>
    <row r="1024" spans="1:22" x14ac:dyDescent="0.3">
      <c r="A1024">
        <v>186607</v>
      </c>
      <c r="B1024">
        <v>456094245</v>
      </c>
      <c r="C1024" t="s">
        <v>5530</v>
      </c>
      <c r="D1024" s="9" t="s">
        <v>5531</v>
      </c>
      <c r="E1024" t="s">
        <v>4620</v>
      </c>
      <c r="F1024" t="s">
        <v>770</v>
      </c>
      <c r="G1024" t="s">
        <v>28</v>
      </c>
      <c r="H1024" t="s">
        <v>29</v>
      </c>
      <c r="I1024" t="s">
        <v>34</v>
      </c>
      <c r="J1024" t="s">
        <v>30</v>
      </c>
      <c r="K1024" t="s">
        <v>27</v>
      </c>
      <c r="L1024" t="s">
        <v>5532</v>
      </c>
      <c r="M1024" t="s">
        <v>735</v>
      </c>
      <c r="N1024" t="s">
        <v>4623</v>
      </c>
      <c r="O1024" t="s">
        <v>54</v>
      </c>
      <c r="P1024" t="s">
        <v>5533</v>
      </c>
      <c r="Q1024" t="s">
        <v>108</v>
      </c>
      <c r="R1024" s="26" t="s">
        <v>308</v>
      </c>
      <c r="S1024">
        <v>3</v>
      </c>
      <c r="T1024">
        <v>3250</v>
      </c>
      <c r="U1024">
        <v>0</v>
      </c>
      <c r="V1024">
        <v>3250</v>
      </c>
    </row>
    <row r="1025" spans="1:22" x14ac:dyDescent="0.3">
      <c r="A1025">
        <v>186607</v>
      </c>
      <c r="B1025">
        <v>456094327</v>
      </c>
      <c r="C1025" t="s">
        <v>5534</v>
      </c>
      <c r="D1025" s="9" t="s">
        <v>5535</v>
      </c>
      <c r="E1025" t="s">
        <v>4620</v>
      </c>
      <c r="F1025" t="s">
        <v>770</v>
      </c>
      <c r="G1025" t="s">
        <v>28</v>
      </c>
      <c r="H1025" t="s">
        <v>29</v>
      </c>
      <c r="I1025" t="s">
        <v>34</v>
      </c>
      <c r="J1025" t="s">
        <v>30</v>
      </c>
      <c r="K1025" t="s">
        <v>27</v>
      </c>
      <c r="L1025" t="s">
        <v>5536</v>
      </c>
      <c r="M1025" t="s">
        <v>5537</v>
      </c>
      <c r="N1025" t="s">
        <v>4623</v>
      </c>
      <c r="O1025" t="s">
        <v>54</v>
      </c>
      <c r="P1025" t="s">
        <v>5538</v>
      </c>
      <c r="Q1025" t="s">
        <v>72</v>
      </c>
      <c r="R1025" s="26" t="s">
        <v>374</v>
      </c>
      <c r="S1025">
        <v>2.7</v>
      </c>
      <c r="T1025">
        <v>3653</v>
      </c>
      <c r="U1025">
        <v>0</v>
      </c>
      <c r="V1025">
        <v>3653</v>
      </c>
    </row>
    <row r="1026" spans="1:22" x14ac:dyDescent="0.3">
      <c r="A1026">
        <v>186607</v>
      </c>
      <c r="B1026">
        <v>456094301</v>
      </c>
      <c r="C1026" t="s">
        <v>5539</v>
      </c>
      <c r="D1026" s="9" t="s">
        <v>5540</v>
      </c>
      <c r="E1026" t="s">
        <v>4620</v>
      </c>
      <c r="F1026" t="s">
        <v>770</v>
      </c>
      <c r="G1026" t="s">
        <v>28</v>
      </c>
      <c r="H1026" t="s">
        <v>29</v>
      </c>
      <c r="I1026" t="s">
        <v>34</v>
      </c>
      <c r="J1026" t="s">
        <v>30</v>
      </c>
      <c r="K1026" t="s">
        <v>27</v>
      </c>
      <c r="L1026" t="s">
        <v>5541</v>
      </c>
      <c r="M1026" t="s">
        <v>5542</v>
      </c>
      <c r="N1026" t="s">
        <v>4623</v>
      </c>
      <c r="O1026" t="s">
        <v>54</v>
      </c>
      <c r="P1026" t="s">
        <v>5543</v>
      </c>
      <c r="Q1026" t="s">
        <v>109</v>
      </c>
      <c r="R1026" s="26" t="s">
        <v>374</v>
      </c>
      <c r="S1026">
        <v>2.6</v>
      </c>
      <c r="T1026">
        <v>3250</v>
      </c>
      <c r="U1026">
        <v>0</v>
      </c>
      <c r="V1026">
        <v>3250</v>
      </c>
    </row>
    <row r="1027" spans="1:22" x14ac:dyDescent="0.3">
      <c r="A1027">
        <v>186607</v>
      </c>
      <c r="B1027">
        <v>456094424</v>
      </c>
      <c r="C1027" t="s">
        <v>5544</v>
      </c>
      <c r="D1027" s="9" t="s">
        <v>5545</v>
      </c>
      <c r="E1027" t="s">
        <v>4620</v>
      </c>
      <c r="F1027" t="s">
        <v>770</v>
      </c>
      <c r="G1027" t="s">
        <v>28</v>
      </c>
      <c r="H1027" t="s">
        <v>29</v>
      </c>
      <c r="I1027" t="s">
        <v>34</v>
      </c>
      <c r="J1027" t="s">
        <v>30</v>
      </c>
      <c r="K1027" t="s">
        <v>27</v>
      </c>
      <c r="L1027" t="s">
        <v>5546</v>
      </c>
      <c r="M1027" t="s">
        <v>5547</v>
      </c>
      <c r="N1027" t="s">
        <v>4623</v>
      </c>
      <c r="O1027" t="s">
        <v>54</v>
      </c>
      <c r="P1027" t="s">
        <v>5548</v>
      </c>
      <c r="Q1027" t="s">
        <v>42</v>
      </c>
      <c r="R1027" s="26" t="s">
        <v>374</v>
      </c>
      <c r="S1027">
        <v>5.5</v>
      </c>
      <c r="T1027">
        <v>5564</v>
      </c>
      <c r="U1027">
        <v>0</v>
      </c>
      <c r="V1027">
        <v>5564</v>
      </c>
    </row>
    <row r="1028" spans="1:22" x14ac:dyDescent="0.3">
      <c r="A1028">
        <v>186607</v>
      </c>
      <c r="B1028">
        <v>456094214</v>
      </c>
      <c r="C1028" t="s">
        <v>5549</v>
      </c>
      <c r="D1028" s="9" t="s">
        <v>5550</v>
      </c>
      <c r="E1028" t="s">
        <v>4620</v>
      </c>
      <c r="F1028" t="s">
        <v>770</v>
      </c>
      <c r="G1028" t="s">
        <v>28</v>
      </c>
      <c r="H1028" t="s">
        <v>29</v>
      </c>
      <c r="I1028" t="s">
        <v>34</v>
      </c>
      <c r="J1028" t="s">
        <v>30</v>
      </c>
      <c r="K1028" t="s">
        <v>27</v>
      </c>
      <c r="L1028" t="s">
        <v>5551</v>
      </c>
      <c r="M1028" t="s">
        <v>5552</v>
      </c>
      <c r="N1028" t="s">
        <v>4623</v>
      </c>
      <c r="O1028" t="s">
        <v>54</v>
      </c>
      <c r="P1028" t="s">
        <v>5553</v>
      </c>
      <c r="Q1028" t="s">
        <v>69</v>
      </c>
      <c r="R1028" s="26" t="s">
        <v>308</v>
      </c>
      <c r="S1028">
        <v>3.4</v>
      </c>
      <c r="T1028">
        <v>4935</v>
      </c>
      <c r="U1028">
        <v>0</v>
      </c>
      <c r="V1028">
        <v>4935</v>
      </c>
    </row>
    <row r="1029" spans="1:22" x14ac:dyDescent="0.3">
      <c r="A1029">
        <v>186607</v>
      </c>
      <c r="B1029">
        <v>456094162</v>
      </c>
      <c r="C1029" t="s">
        <v>5554</v>
      </c>
      <c r="D1029" s="9" t="s">
        <v>5555</v>
      </c>
      <c r="E1029" t="s">
        <v>4620</v>
      </c>
      <c r="F1029" t="s">
        <v>770</v>
      </c>
      <c r="G1029" t="s">
        <v>28</v>
      </c>
      <c r="H1029" t="s">
        <v>29</v>
      </c>
      <c r="I1029" t="s">
        <v>34</v>
      </c>
      <c r="J1029" t="s">
        <v>30</v>
      </c>
      <c r="K1029" t="s">
        <v>27</v>
      </c>
      <c r="L1029" t="s">
        <v>5556</v>
      </c>
      <c r="M1029" t="s">
        <v>5557</v>
      </c>
      <c r="N1029" t="s">
        <v>4623</v>
      </c>
      <c r="O1029" t="s">
        <v>54</v>
      </c>
      <c r="P1029" t="s">
        <v>5558</v>
      </c>
      <c r="Q1029" t="s">
        <v>62</v>
      </c>
      <c r="R1029" s="26" t="s">
        <v>308</v>
      </c>
      <c r="S1029">
        <v>9.6</v>
      </c>
      <c r="T1029">
        <v>6800</v>
      </c>
      <c r="U1029">
        <v>0</v>
      </c>
      <c r="V1029">
        <v>6800</v>
      </c>
    </row>
    <row r="1030" spans="1:22" x14ac:dyDescent="0.3">
      <c r="A1030">
        <v>186607</v>
      </c>
      <c r="B1030">
        <v>456094206</v>
      </c>
      <c r="C1030" t="s">
        <v>5559</v>
      </c>
      <c r="D1030" s="9" t="s">
        <v>5560</v>
      </c>
      <c r="E1030" t="s">
        <v>4620</v>
      </c>
      <c r="F1030" t="s">
        <v>770</v>
      </c>
      <c r="G1030" t="s">
        <v>28</v>
      </c>
      <c r="H1030" t="s">
        <v>29</v>
      </c>
      <c r="I1030" t="s">
        <v>34</v>
      </c>
      <c r="J1030" t="s">
        <v>30</v>
      </c>
      <c r="K1030" t="s">
        <v>27</v>
      </c>
      <c r="L1030" t="s">
        <v>5561</v>
      </c>
      <c r="M1030" t="s">
        <v>5562</v>
      </c>
      <c r="N1030" t="s">
        <v>4623</v>
      </c>
      <c r="O1030" t="s">
        <v>54</v>
      </c>
      <c r="P1030" t="s">
        <v>5563</v>
      </c>
      <c r="Q1030" t="s">
        <v>41</v>
      </c>
      <c r="R1030" s="26" t="s">
        <v>308</v>
      </c>
      <c r="S1030">
        <v>3.1</v>
      </c>
      <c r="T1030">
        <v>4935</v>
      </c>
      <c r="U1030">
        <v>0</v>
      </c>
      <c r="V1030">
        <v>4935</v>
      </c>
    </row>
    <row r="1031" spans="1:22" x14ac:dyDescent="0.3">
      <c r="A1031">
        <v>186607</v>
      </c>
      <c r="B1031">
        <v>456094150</v>
      </c>
      <c r="C1031" t="s">
        <v>5564</v>
      </c>
      <c r="D1031" s="9" t="s">
        <v>5565</v>
      </c>
      <c r="E1031" t="s">
        <v>4620</v>
      </c>
      <c r="F1031" t="s">
        <v>770</v>
      </c>
      <c r="G1031" t="s">
        <v>28</v>
      </c>
      <c r="H1031" t="s">
        <v>29</v>
      </c>
      <c r="I1031" t="s">
        <v>34</v>
      </c>
      <c r="J1031" t="s">
        <v>30</v>
      </c>
      <c r="K1031" t="s">
        <v>27</v>
      </c>
      <c r="L1031" t="s">
        <v>5566</v>
      </c>
      <c r="M1031" t="s">
        <v>565</v>
      </c>
      <c r="N1031" t="s">
        <v>4623</v>
      </c>
      <c r="O1031" t="s">
        <v>54</v>
      </c>
      <c r="P1031" t="s">
        <v>5567</v>
      </c>
      <c r="Q1031" t="s">
        <v>42</v>
      </c>
      <c r="R1031" s="26" t="s">
        <v>308</v>
      </c>
      <c r="S1031">
        <v>2.9</v>
      </c>
      <c r="T1031">
        <v>3631</v>
      </c>
      <c r="U1031">
        <v>0</v>
      </c>
      <c r="V1031">
        <v>3631</v>
      </c>
    </row>
    <row r="1032" spans="1:22" x14ac:dyDescent="0.3">
      <c r="A1032">
        <v>186607</v>
      </c>
      <c r="B1032">
        <v>456094175</v>
      </c>
      <c r="C1032" t="s">
        <v>5568</v>
      </c>
      <c r="D1032" s="9" t="s">
        <v>5569</v>
      </c>
      <c r="E1032" t="s">
        <v>4620</v>
      </c>
      <c r="F1032" t="s">
        <v>770</v>
      </c>
      <c r="G1032" t="s">
        <v>28</v>
      </c>
      <c r="H1032" t="s">
        <v>29</v>
      </c>
      <c r="I1032" t="s">
        <v>34</v>
      </c>
      <c r="J1032" t="s">
        <v>30</v>
      </c>
      <c r="K1032" t="s">
        <v>27</v>
      </c>
      <c r="L1032" t="s">
        <v>5570</v>
      </c>
      <c r="M1032" t="s">
        <v>5571</v>
      </c>
      <c r="N1032" t="s">
        <v>4623</v>
      </c>
      <c r="O1032" t="s">
        <v>54</v>
      </c>
      <c r="P1032" t="s">
        <v>5572</v>
      </c>
      <c r="Q1032" t="s">
        <v>109</v>
      </c>
      <c r="R1032" s="26" t="s">
        <v>308</v>
      </c>
      <c r="S1032">
        <v>4.5</v>
      </c>
      <c r="T1032">
        <v>3664</v>
      </c>
      <c r="U1032">
        <v>0</v>
      </c>
      <c r="V1032">
        <v>3664</v>
      </c>
    </row>
    <row r="1033" spans="1:22" x14ac:dyDescent="0.3">
      <c r="A1033">
        <v>186607</v>
      </c>
      <c r="B1033">
        <v>456094353</v>
      </c>
      <c r="C1033" t="s">
        <v>5573</v>
      </c>
      <c r="D1033" s="9" t="s">
        <v>5574</v>
      </c>
      <c r="E1033" t="s">
        <v>4620</v>
      </c>
      <c r="F1033" t="s">
        <v>770</v>
      </c>
      <c r="G1033" t="s">
        <v>28</v>
      </c>
      <c r="H1033" t="s">
        <v>29</v>
      </c>
      <c r="I1033" t="s">
        <v>34</v>
      </c>
      <c r="J1033" t="s">
        <v>30</v>
      </c>
      <c r="K1033" t="s">
        <v>27</v>
      </c>
      <c r="L1033" t="s">
        <v>5575</v>
      </c>
      <c r="M1033" t="s">
        <v>5576</v>
      </c>
      <c r="N1033" t="s">
        <v>4623</v>
      </c>
      <c r="O1033" t="s">
        <v>54</v>
      </c>
      <c r="P1033" t="s">
        <v>5577</v>
      </c>
      <c r="Q1033" t="s">
        <v>73</v>
      </c>
      <c r="R1033" s="26" t="s">
        <v>374</v>
      </c>
      <c r="S1033">
        <v>1.7</v>
      </c>
      <c r="T1033">
        <v>3653</v>
      </c>
      <c r="U1033">
        <v>0</v>
      </c>
      <c r="V1033">
        <v>3653</v>
      </c>
    </row>
    <row r="1034" spans="1:22" x14ac:dyDescent="0.3">
      <c r="A1034">
        <v>186607</v>
      </c>
      <c r="B1034">
        <v>456094193</v>
      </c>
      <c r="C1034" t="s">
        <v>5578</v>
      </c>
      <c r="D1034" s="9" t="s">
        <v>5579</v>
      </c>
      <c r="E1034" t="s">
        <v>4620</v>
      </c>
      <c r="F1034" t="s">
        <v>770</v>
      </c>
      <c r="G1034" t="s">
        <v>28</v>
      </c>
      <c r="H1034" t="s">
        <v>29</v>
      </c>
      <c r="I1034" t="s">
        <v>34</v>
      </c>
      <c r="J1034" t="s">
        <v>30</v>
      </c>
      <c r="K1034" t="s">
        <v>27</v>
      </c>
      <c r="L1034" t="s">
        <v>5580</v>
      </c>
      <c r="M1034" t="s">
        <v>5581</v>
      </c>
      <c r="N1034" t="s">
        <v>4623</v>
      </c>
      <c r="O1034" t="s">
        <v>54</v>
      </c>
      <c r="P1034" t="s">
        <v>5582</v>
      </c>
      <c r="Q1034" t="s">
        <v>41</v>
      </c>
      <c r="R1034" s="26" t="s">
        <v>308</v>
      </c>
      <c r="S1034">
        <v>4.4000000000000004</v>
      </c>
      <c r="T1034">
        <v>4935</v>
      </c>
      <c r="U1034">
        <v>0</v>
      </c>
      <c r="V1034">
        <v>4935</v>
      </c>
    </row>
    <row r="1035" spans="1:22" x14ac:dyDescent="0.3">
      <c r="A1035">
        <v>186607</v>
      </c>
      <c r="B1035">
        <v>455683676</v>
      </c>
      <c r="C1035" t="s">
        <v>5583</v>
      </c>
      <c r="D1035" s="9" t="s">
        <v>5584</v>
      </c>
      <c r="E1035" t="s">
        <v>4620</v>
      </c>
      <c r="F1035" t="s">
        <v>770</v>
      </c>
      <c r="G1035" t="s">
        <v>28</v>
      </c>
      <c r="H1035" t="s">
        <v>29</v>
      </c>
      <c r="I1035" t="s">
        <v>34</v>
      </c>
      <c r="J1035" t="s">
        <v>30</v>
      </c>
      <c r="K1035" t="s">
        <v>27</v>
      </c>
      <c r="L1035" t="s">
        <v>5585</v>
      </c>
      <c r="M1035" t="s">
        <v>5586</v>
      </c>
      <c r="N1035" t="s">
        <v>4623</v>
      </c>
      <c r="O1035" t="s">
        <v>54</v>
      </c>
      <c r="P1035" t="s">
        <v>5587</v>
      </c>
      <c r="Q1035" t="s">
        <v>117</v>
      </c>
      <c r="R1035" s="26" t="s">
        <v>528</v>
      </c>
      <c r="S1035">
        <v>1</v>
      </c>
      <c r="T1035">
        <v>5564</v>
      </c>
      <c r="U1035">
        <v>0</v>
      </c>
      <c r="V1035">
        <v>5564</v>
      </c>
    </row>
    <row r="1036" spans="1:22" x14ac:dyDescent="0.3">
      <c r="A1036">
        <v>186607</v>
      </c>
      <c r="B1036">
        <v>455825252</v>
      </c>
      <c r="C1036" t="s">
        <v>5588</v>
      </c>
      <c r="D1036" s="9" t="s">
        <v>5589</v>
      </c>
      <c r="E1036" t="s">
        <v>4620</v>
      </c>
      <c r="F1036" t="s">
        <v>770</v>
      </c>
      <c r="G1036" t="s">
        <v>28</v>
      </c>
      <c r="H1036" t="s">
        <v>29</v>
      </c>
      <c r="I1036" t="s">
        <v>34</v>
      </c>
      <c r="J1036" t="s">
        <v>30</v>
      </c>
      <c r="K1036" t="s">
        <v>27</v>
      </c>
      <c r="L1036" t="s">
        <v>5590</v>
      </c>
      <c r="M1036" t="s">
        <v>5591</v>
      </c>
      <c r="N1036" t="s">
        <v>4623</v>
      </c>
      <c r="O1036" t="s">
        <v>54</v>
      </c>
      <c r="P1036" t="s">
        <v>5592</v>
      </c>
      <c r="Q1036" t="s">
        <v>80</v>
      </c>
      <c r="R1036" s="26" t="s">
        <v>75</v>
      </c>
      <c r="S1036">
        <v>1.8</v>
      </c>
      <c r="T1036">
        <v>3250</v>
      </c>
      <c r="U1036">
        <v>0</v>
      </c>
      <c r="V1036">
        <v>3250</v>
      </c>
    </row>
    <row r="1037" spans="1:22" x14ac:dyDescent="0.3">
      <c r="A1037">
        <v>186607</v>
      </c>
      <c r="B1037">
        <v>456094011</v>
      </c>
      <c r="C1037" t="s">
        <v>5593</v>
      </c>
      <c r="D1037" s="9" t="s">
        <v>5594</v>
      </c>
      <c r="E1037" t="s">
        <v>4620</v>
      </c>
      <c r="F1037" t="s">
        <v>770</v>
      </c>
      <c r="G1037" t="s">
        <v>28</v>
      </c>
      <c r="H1037" t="s">
        <v>29</v>
      </c>
      <c r="I1037" t="s">
        <v>34</v>
      </c>
      <c r="J1037" t="s">
        <v>30</v>
      </c>
      <c r="K1037" t="s">
        <v>27</v>
      </c>
      <c r="L1037" t="s">
        <v>5595</v>
      </c>
      <c r="M1037" t="s">
        <v>5596</v>
      </c>
      <c r="N1037" t="s">
        <v>4623</v>
      </c>
      <c r="O1037" t="s">
        <v>54</v>
      </c>
      <c r="P1037" t="s">
        <v>5597</v>
      </c>
      <c r="Q1037" t="s">
        <v>143</v>
      </c>
      <c r="R1037" s="26" t="s">
        <v>240</v>
      </c>
      <c r="S1037">
        <v>3.6</v>
      </c>
      <c r="T1037">
        <v>3664</v>
      </c>
      <c r="U1037">
        <v>0</v>
      </c>
      <c r="V1037">
        <v>3664</v>
      </c>
    </row>
    <row r="1038" spans="1:22" x14ac:dyDescent="0.3">
      <c r="A1038">
        <v>186607</v>
      </c>
      <c r="B1038">
        <v>455825162</v>
      </c>
      <c r="C1038" t="s">
        <v>5598</v>
      </c>
      <c r="D1038" s="9" t="s">
        <v>5599</v>
      </c>
      <c r="E1038" t="s">
        <v>4620</v>
      </c>
      <c r="F1038" t="s">
        <v>770</v>
      </c>
      <c r="G1038" t="s">
        <v>28</v>
      </c>
      <c r="H1038" t="s">
        <v>29</v>
      </c>
      <c r="I1038" t="s">
        <v>34</v>
      </c>
      <c r="J1038" t="s">
        <v>30</v>
      </c>
      <c r="K1038" t="s">
        <v>27</v>
      </c>
      <c r="L1038" t="s">
        <v>5600</v>
      </c>
      <c r="M1038" t="s">
        <v>5601</v>
      </c>
      <c r="N1038" t="s">
        <v>4623</v>
      </c>
      <c r="O1038" t="s">
        <v>54</v>
      </c>
      <c r="P1038" t="s">
        <v>5602</v>
      </c>
      <c r="Q1038" t="s">
        <v>120</v>
      </c>
      <c r="R1038" s="26" t="s">
        <v>75</v>
      </c>
      <c r="S1038">
        <v>5</v>
      </c>
      <c r="T1038">
        <v>7487</v>
      </c>
      <c r="U1038">
        <v>0</v>
      </c>
      <c r="V1038">
        <v>7487</v>
      </c>
    </row>
    <row r="1039" spans="1:22" x14ac:dyDescent="0.3">
      <c r="A1039">
        <v>186607</v>
      </c>
      <c r="B1039">
        <v>455493382</v>
      </c>
      <c r="C1039" t="s">
        <v>5603</v>
      </c>
      <c r="D1039" s="9" t="s">
        <v>5604</v>
      </c>
      <c r="E1039" t="s">
        <v>4620</v>
      </c>
      <c r="F1039" t="s">
        <v>770</v>
      </c>
      <c r="G1039" t="s">
        <v>28</v>
      </c>
      <c r="H1039" t="s">
        <v>29</v>
      </c>
      <c r="I1039" t="s">
        <v>34</v>
      </c>
      <c r="J1039" t="s">
        <v>30</v>
      </c>
      <c r="K1039" t="s">
        <v>27</v>
      </c>
      <c r="L1039" t="s">
        <v>5605</v>
      </c>
      <c r="M1039" t="s">
        <v>5606</v>
      </c>
      <c r="N1039" t="s">
        <v>4623</v>
      </c>
      <c r="O1039" t="s">
        <v>54</v>
      </c>
      <c r="P1039" t="s">
        <v>5607</v>
      </c>
      <c r="Q1039" t="s">
        <v>137</v>
      </c>
      <c r="R1039" s="26" t="s">
        <v>5608</v>
      </c>
      <c r="S1039">
        <v>4.7</v>
      </c>
      <c r="T1039">
        <v>5193</v>
      </c>
      <c r="U1039">
        <v>0</v>
      </c>
      <c r="V1039">
        <v>5193</v>
      </c>
    </row>
    <row r="1040" spans="1:22" x14ac:dyDescent="0.3">
      <c r="A1040">
        <v>186607</v>
      </c>
      <c r="B1040">
        <v>455825238</v>
      </c>
      <c r="C1040" t="s">
        <v>5609</v>
      </c>
      <c r="D1040" s="9" t="s">
        <v>5610</v>
      </c>
      <c r="E1040" t="s">
        <v>4620</v>
      </c>
      <c r="F1040" t="s">
        <v>770</v>
      </c>
      <c r="G1040" t="s">
        <v>28</v>
      </c>
      <c r="H1040" t="s">
        <v>29</v>
      </c>
      <c r="I1040" t="s">
        <v>34</v>
      </c>
      <c r="J1040" t="s">
        <v>30</v>
      </c>
      <c r="K1040" t="s">
        <v>27</v>
      </c>
      <c r="L1040" t="s">
        <v>300</v>
      </c>
      <c r="M1040" t="s">
        <v>5611</v>
      </c>
      <c r="N1040" t="s">
        <v>4623</v>
      </c>
      <c r="O1040" t="s">
        <v>54</v>
      </c>
      <c r="P1040" t="s">
        <v>5612</v>
      </c>
      <c r="Q1040" t="s">
        <v>144</v>
      </c>
      <c r="R1040" s="26" t="s">
        <v>75</v>
      </c>
      <c r="S1040">
        <v>4.9000000000000004</v>
      </c>
      <c r="T1040">
        <v>4429</v>
      </c>
      <c r="U1040">
        <v>0</v>
      </c>
      <c r="V1040">
        <v>4429</v>
      </c>
    </row>
    <row r="1041" spans="1:22" x14ac:dyDescent="0.3">
      <c r="A1041">
        <v>186607</v>
      </c>
      <c r="B1041">
        <v>455825197</v>
      </c>
      <c r="C1041" t="s">
        <v>5613</v>
      </c>
      <c r="D1041" s="9" t="s">
        <v>5614</v>
      </c>
      <c r="E1041" t="s">
        <v>4620</v>
      </c>
      <c r="F1041" t="s">
        <v>770</v>
      </c>
      <c r="G1041" t="s">
        <v>28</v>
      </c>
      <c r="H1041" t="s">
        <v>29</v>
      </c>
      <c r="I1041" t="s">
        <v>34</v>
      </c>
      <c r="J1041" t="s">
        <v>30</v>
      </c>
      <c r="K1041" t="s">
        <v>27</v>
      </c>
      <c r="L1041" t="s">
        <v>5615</v>
      </c>
      <c r="M1041" t="s">
        <v>5616</v>
      </c>
      <c r="N1041" t="s">
        <v>4623</v>
      </c>
      <c r="O1041" t="s">
        <v>54</v>
      </c>
      <c r="P1041" t="s">
        <v>5617</v>
      </c>
      <c r="Q1041" t="s">
        <v>102</v>
      </c>
      <c r="R1041" s="26" t="s">
        <v>75</v>
      </c>
      <c r="S1041">
        <v>2.2999999999999998</v>
      </c>
      <c r="T1041">
        <v>3935</v>
      </c>
      <c r="U1041">
        <v>0</v>
      </c>
      <c r="V1041">
        <v>3935</v>
      </c>
    </row>
    <row r="1042" spans="1:22" x14ac:dyDescent="0.3">
      <c r="A1042">
        <v>186607</v>
      </c>
      <c r="B1042">
        <v>455683772</v>
      </c>
      <c r="C1042" t="s">
        <v>5618</v>
      </c>
      <c r="D1042" s="9" t="s">
        <v>5619</v>
      </c>
      <c r="E1042" t="s">
        <v>4620</v>
      </c>
      <c r="F1042" t="s">
        <v>770</v>
      </c>
      <c r="G1042" t="s">
        <v>28</v>
      </c>
      <c r="H1042" t="s">
        <v>29</v>
      </c>
      <c r="I1042" t="s">
        <v>34</v>
      </c>
      <c r="J1042" t="s">
        <v>30</v>
      </c>
      <c r="K1042" t="s">
        <v>60</v>
      </c>
      <c r="L1042" t="s">
        <v>157</v>
      </c>
      <c r="M1042" t="s">
        <v>5620</v>
      </c>
      <c r="N1042" t="s">
        <v>4623</v>
      </c>
      <c r="O1042" t="s">
        <v>54</v>
      </c>
      <c r="P1042" t="s">
        <v>5621</v>
      </c>
      <c r="Q1042" t="s">
        <v>68</v>
      </c>
      <c r="R1042" s="26" t="s">
        <v>720</v>
      </c>
      <c r="S1042">
        <v>3.1</v>
      </c>
      <c r="T1042">
        <v>8250</v>
      </c>
      <c r="U1042">
        <v>0</v>
      </c>
      <c r="V1042">
        <v>8250</v>
      </c>
    </row>
    <row r="1043" spans="1:22" x14ac:dyDescent="0.3">
      <c r="A1043">
        <v>186607</v>
      </c>
      <c r="B1043">
        <v>455825148</v>
      </c>
      <c r="C1043" t="s">
        <v>5622</v>
      </c>
      <c r="D1043" s="9" t="s">
        <v>5623</v>
      </c>
      <c r="E1043" t="s">
        <v>4620</v>
      </c>
      <c r="F1043" t="s">
        <v>770</v>
      </c>
      <c r="G1043" t="s">
        <v>28</v>
      </c>
      <c r="H1043" t="s">
        <v>29</v>
      </c>
      <c r="I1043" t="s">
        <v>34</v>
      </c>
      <c r="J1043" t="s">
        <v>30</v>
      </c>
      <c r="K1043" t="s">
        <v>27</v>
      </c>
      <c r="L1043" t="s">
        <v>5624</v>
      </c>
      <c r="M1043" t="s">
        <v>5625</v>
      </c>
      <c r="N1043" t="s">
        <v>4623</v>
      </c>
      <c r="O1043" t="s">
        <v>54</v>
      </c>
      <c r="P1043" t="s">
        <v>5626</v>
      </c>
      <c r="Q1043" t="s">
        <v>69</v>
      </c>
      <c r="R1043" s="26" t="s">
        <v>399</v>
      </c>
      <c r="S1043">
        <v>3.4</v>
      </c>
      <c r="T1043">
        <v>4935</v>
      </c>
      <c r="U1043">
        <v>0</v>
      </c>
      <c r="V1043">
        <v>4935</v>
      </c>
    </row>
    <row r="1044" spans="1:22" x14ac:dyDescent="0.3">
      <c r="A1044">
        <v>186607</v>
      </c>
      <c r="B1044">
        <v>455825277</v>
      </c>
      <c r="C1044" t="s">
        <v>5627</v>
      </c>
      <c r="D1044" s="9" t="s">
        <v>5628</v>
      </c>
      <c r="E1044" t="s">
        <v>4620</v>
      </c>
      <c r="F1044" t="s">
        <v>770</v>
      </c>
      <c r="G1044" t="s">
        <v>28</v>
      </c>
      <c r="H1044" t="s">
        <v>29</v>
      </c>
      <c r="I1044" t="s">
        <v>34</v>
      </c>
      <c r="J1044" t="s">
        <v>30</v>
      </c>
      <c r="K1044" t="s">
        <v>27</v>
      </c>
      <c r="L1044" t="s">
        <v>5629</v>
      </c>
      <c r="M1044" t="s">
        <v>5630</v>
      </c>
      <c r="N1044" t="s">
        <v>4623</v>
      </c>
      <c r="O1044" t="s">
        <v>54</v>
      </c>
      <c r="P1044" t="s">
        <v>5631</v>
      </c>
      <c r="Q1044" t="s">
        <v>119</v>
      </c>
      <c r="R1044" s="26" t="s">
        <v>75</v>
      </c>
      <c r="S1044">
        <v>3.3</v>
      </c>
      <c r="T1044">
        <v>5193</v>
      </c>
      <c r="U1044">
        <v>0</v>
      </c>
      <c r="V1044">
        <v>5193</v>
      </c>
    </row>
    <row r="1045" spans="1:22" x14ac:dyDescent="0.3">
      <c r="A1045">
        <v>186607</v>
      </c>
      <c r="B1045">
        <v>455825206</v>
      </c>
      <c r="C1045" t="s">
        <v>5632</v>
      </c>
      <c r="D1045" s="9" t="s">
        <v>5633</v>
      </c>
      <c r="E1045" t="s">
        <v>4620</v>
      </c>
      <c r="F1045" t="s">
        <v>770</v>
      </c>
      <c r="G1045" t="s">
        <v>28</v>
      </c>
      <c r="H1045" t="s">
        <v>29</v>
      </c>
      <c r="I1045" t="s">
        <v>34</v>
      </c>
      <c r="J1045" t="s">
        <v>30</v>
      </c>
      <c r="K1045" t="s">
        <v>27</v>
      </c>
      <c r="L1045" t="s">
        <v>5634</v>
      </c>
      <c r="M1045" t="s">
        <v>5635</v>
      </c>
      <c r="N1045" t="s">
        <v>4623</v>
      </c>
      <c r="O1045" t="s">
        <v>54</v>
      </c>
      <c r="P1045" t="s">
        <v>5636</v>
      </c>
      <c r="Q1045" t="s">
        <v>85</v>
      </c>
      <c r="R1045" s="26" t="s">
        <v>75</v>
      </c>
      <c r="S1045">
        <v>2.2000000000000002</v>
      </c>
      <c r="T1045">
        <v>3631</v>
      </c>
      <c r="U1045">
        <v>0</v>
      </c>
      <c r="V1045">
        <v>3631</v>
      </c>
    </row>
    <row r="1046" spans="1:22" x14ac:dyDescent="0.3">
      <c r="A1046">
        <v>186607</v>
      </c>
      <c r="B1046">
        <v>455825225</v>
      </c>
      <c r="C1046" t="s">
        <v>5637</v>
      </c>
      <c r="D1046" s="9" t="s">
        <v>5638</v>
      </c>
      <c r="E1046" t="s">
        <v>4620</v>
      </c>
      <c r="F1046" t="s">
        <v>770</v>
      </c>
      <c r="G1046" t="s">
        <v>28</v>
      </c>
      <c r="H1046" t="s">
        <v>29</v>
      </c>
      <c r="I1046" t="s">
        <v>34</v>
      </c>
      <c r="J1046" t="s">
        <v>30</v>
      </c>
      <c r="K1046" t="s">
        <v>27</v>
      </c>
      <c r="L1046" t="s">
        <v>5639</v>
      </c>
      <c r="M1046" t="s">
        <v>5640</v>
      </c>
      <c r="N1046" t="s">
        <v>4623</v>
      </c>
      <c r="O1046" t="s">
        <v>54</v>
      </c>
      <c r="P1046" t="s">
        <v>5641</v>
      </c>
      <c r="Q1046" t="s">
        <v>97</v>
      </c>
      <c r="R1046" s="26" t="s">
        <v>75</v>
      </c>
      <c r="S1046">
        <v>7.8</v>
      </c>
      <c r="T1046">
        <v>5564</v>
      </c>
      <c r="U1046">
        <v>0</v>
      </c>
      <c r="V1046">
        <v>5564</v>
      </c>
    </row>
    <row r="1047" spans="1:22" x14ac:dyDescent="0.3">
      <c r="A1047">
        <v>186607</v>
      </c>
      <c r="B1047">
        <v>455683851</v>
      </c>
      <c r="C1047" t="s">
        <v>5642</v>
      </c>
      <c r="D1047" s="9" t="s">
        <v>5643</v>
      </c>
      <c r="E1047" t="s">
        <v>4620</v>
      </c>
      <c r="F1047" t="s">
        <v>770</v>
      </c>
      <c r="G1047" t="s">
        <v>28</v>
      </c>
      <c r="H1047" t="s">
        <v>29</v>
      </c>
      <c r="I1047" t="s">
        <v>34</v>
      </c>
      <c r="J1047" t="s">
        <v>30</v>
      </c>
      <c r="K1047" t="s">
        <v>27</v>
      </c>
      <c r="L1047" t="s">
        <v>5644</v>
      </c>
      <c r="M1047" t="s">
        <v>5645</v>
      </c>
      <c r="N1047" t="s">
        <v>4623</v>
      </c>
      <c r="O1047" t="s">
        <v>54</v>
      </c>
      <c r="P1047" t="s">
        <v>5646</v>
      </c>
      <c r="Q1047" t="s">
        <v>209</v>
      </c>
      <c r="R1047" s="26" t="s">
        <v>720</v>
      </c>
      <c r="S1047">
        <v>1</v>
      </c>
      <c r="T1047">
        <v>4205</v>
      </c>
      <c r="U1047">
        <v>0</v>
      </c>
      <c r="V1047">
        <v>4205</v>
      </c>
    </row>
    <row r="1048" spans="1:22" x14ac:dyDescent="0.3">
      <c r="A1048">
        <v>186607</v>
      </c>
      <c r="B1048">
        <v>455433304</v>
      </c>
      <c r="C1048" t="s">
        <v>5647</v>
      </c>
      <c r="D1048" s="9" t="s">
        <v>5648</v>
      </c>
      <c r="E1048" t="s">
        <v>4620</v>
      </c>
      <c r="F1048" t="s">
        <v>770</v>
      </c>
      <c r="G1048" t="s">
        <v>28</v>
      </c>
      <c r="H1048" t="s">
        <v>29</v>
      </c>
      <c r="I1048" t="s">
        <v>34</v>
      </c>
      <c r="J1048" t="s">
        <v>30</v>
      </c>
      <c r="K1048" t="s">
        <v>27</v>
      </c>
      <c r="L1048" t="s">
        <v>5649</v>
      </c>
      <c r="M1048" t="s">
        <v>5650</v>
      </c>
      <c r="N1048" t="s">
        <v>4623</v>
      </c>
      <c r="O1048" t="s">
        <v>54</v>
      </c>
      <c r="P1048" t="s">
        <v>5651</v>
      </c>
      <c r="Q1048" t="s">
        <v>88</v>
      </c>
      <c r="R1048" s="26" t="s">
        <v>5652</v>
      </c>
      <c r="S1048">
        <v>0.5</v>
      </c>
      <c r="T1048">
        <v>3935</v>
      </c>
      <c r="U1048">
        <v>0</v>
      </c>
      <c r="V1048">
        <v>3935</v>
      </c>
    </row>
    <row r="1049" spans="1:22" x14ac:dyDescent="0.3">
      <c r="A1049">
        <v>186607</v>
      </c>
      <c r="B1049">
        <v>455683827</v>
      </c>
      <c r="C1049" t="s">
        <v>5653</v>
      </c>
      <c r="D1049" s="9" t="s">
        <v>5654</v>
      </c>
      <c r="E1049" t="s">
        <v>4620</v>
      </c>
      <c r="F1049" t="s">
        <v>770</v>
      </c>
      <c r="G1049" t="s">
        <v>28</v>
      </c>
      <c r="H1049" t="s">
        <v>29</v>
      </c>
      <c r="I1049" t="s">
        <v>34</v>
      </c>
      <c r="J1049" t="s">
        <v>30</v>
      </c>
      <c r="K1049" t="s">
        <v>27</v>
      </c>
      <c r="L1049" t="s">
        <v>5655</v>
      </c>
      <c r="M1049" t="s">
        <v>667</v>
      </c>
      <c r="N1049" t="s">
        <v>4623</v>
      </c>
      <c r="O1049" t="s">
        <v>54</v>
      </c>
      <c r="P1049" t="s">
        <v>5656</v>
      </c>
      <c r="Q1049" t="s">
        <v>84</v>
      </c>
      <c r="R1049" s="26" t="s">
        <v>720</v>
      </c>
      <c r="S1049">
        <v>1</v>
      </c>
      <c r="T1049">
        <v>5564</v>
      </c>
      <c r="U1049">
        <v>0</v>
      </c>
      <c r="V1049">
        <v>5564</v>
      </c>
    </row>
    <row r="1050" spans="1:22" x14ac:dyDescent="0.3">
      <c r="A1050">
        <v>186607</v>
      </c>
      <c r="B1050">
        <v>455683683</v>
      </c>
      <c r="C1050" t="s">
        <v>5657</v>
      </c>
      <c r="D1050" s="9" t="s">
        <v>5658</v>
      </c>
      <c r="E1050" t="s">
        <v>4620</v>
      </c>
      <c r="F1050" t="s">
        <v>770</v>
      </c>
      <c r="G1050" t="s">
        <v>28</v>
      </c>
      <c r="H1050" t="s">
        <v>29</v>
      </c>
      <c r="I1050" t="s">
        <v>34</v>
      </c>
      <c r="J1050" t="s">
        <v>30</v>
      </c>
      <c r="K1050" t="s">
        <v>27</v>
      </c>
      <c r="L1050" t="s">
        <v>5659</v>
      </c>
      <c r="M1050" t="s">
        <v>5660</v>
      </c>
      <c r="N1050" t="s">
        <v>4623</v>
      </c>
      <c r="O1050" t="s">
        <v>54</v>
      </c>
      <c r="P1050" t="s">
        <v>5661</v>
      </c>
      <c r="Q1050" t="s">
        <v>120</v>
      </c>
      <c r="R1050" s="26" t="s">
        <v>528</v>
      </c>
      <c r="S1050">
        <v>3.3</v>
      </c>
      <c r="T1050">
        <v>7487</v>
      </c>
      <c r="U1050">
        <v>0</v>
      </c>
      <c r="V1050">
        <v>7487</v>
      </c>
    </row>
    <row r="1051" spans="1:22" x14ac:dyDescent="0.3">
      <c r="A1051">
        <v>186607</v>
      </c>
      <c r="B1051">
        <v>455825262</v>
      </c>
      <c r="C1051" t="s">
        <v>5662</v>
      </c>
      <c r="D1051" s="9" t="s">
        <v>5663</v>
      </c>
      <c r="E1051" t="s">
        <v>4620</v>
      </c>
      <c r="F1051" t="s">
        <v>770</v>
      </c>
      <c r="G1051" t="s">
        <v>28</v>
      </c>
      <c r="H1051" t="s">
        <v>29</v>
      </c>
      <c r="I1051" t="s">
        <v>34</v>
      </c>
      <c r="J1051" t="s">
        <v>30</v>
      </c>
      <c r="K1051" t="s">
        <v>27</v>
      </c>
      <c r="L1051" t="s">
        <v>5664</v>
      </c>
      <c r="M1051" t="s">
        <v>5665</v>
      </c>
      <c r="N1051" t="s">
        <v>4623</v>
      </c>
      <c r="O1051" t="s">
        <v>54</v>
      </c>
      <c r="P1051" t="s">
        <v>5666</v>
      </c>
      <c r="Q1051" t="s">
        <v>171</v>
      </c>
      <c r="R1051" s="26" t="s">
        <v>75</v>
      </c>
      <c r="S1051">
        <v>4.9000000000000004</v>
      </c>
      <c r="T1051">
        <v>3664</v>
      </c>
      <c r="U1051">
        <v>0</v>
      </c>
      <c r="V1051">
        <v>3664</v>
      </c>
    </row>
    <row r="1052" spans="1:22" x14ac:dyDescent="0.3">
      <c r="A1052">
        <v>186607</v>
      </c>
      <c r="B1052">
        <v>455825306</v>
      </c>
      <c r="C1052" t="s">
        <v>5667</v>
      </c>
      <c r="D1052" s="9" t="s">
        <v>5668</v>
      </c>
      <c r="E1052" t="s">
        <v>4620</v>
      </c>
      <c r="F1052" t="s">
        <v>770</v>
      </c>
      <c r="G1052" t="s">
        <v>28</v>
      </c>
      <c r="H1052" t="s">
        <v>29</v>
      </c>
      <c r="I1052" t="s">
        <v>34</v>
      </c>
      <c r="J1052" t="s">
        <v>30</v>
      </c>
      <c r="K1052" t="s">
        <v>27</v>
      </c>
      <c r="L1052" t="s">
        <v>504</v>
      </c>
      <c r="M1052" t="s">
        <v>5669</v>
      </c>
      <c r="N1052" t="s">
        <v>4623</v>
      </c>
      <c r="O1052" t="s">
        <v>54</v>
      </c>
      <c r="P1052" t="s">
        <v>5670</v>
      </c>
      <c r="Q1052" t="s">
        <v>171</v>
      </c>
      <c r="R1052" s="26" t="s">
        <v>75</v>
      </c>
      <c r="S1052">
        <v>3</v>
      </c>
      <c r="T1052">
        <v>3250</v>
      </c>
      <c r="U1052">
        <v>0</v>
      </c>
      <c r="V1052">
        <v>3250</v>
      </c>
    </row>
    <row r="1053" spans="1:22" x14ac:dyDescent="0.3">
      <c r="A1053">
        <v>186607</v>
      </c>
      <c r="B1053">
        <v>455683695</v>
      </c>
      <c r="C1053" t="s">
        <v>5671</v>
      </c>
      <c r="D1053" s="9" t="s">
        <v>5672</v>
      </c>
      <c r="E1053" t="s">
        <v>4620</v>
      </c>
      <c r="F1053" t="s">
        <v>770</v>
      </c>
      <c r="G1053" t="s">
        <v>28</v>
      </c>
      <c r="H1053" t="s">
        <v>29</v>
      </c>
      <c r="I1053" t="s">
        <v>34</v>
      </c>
      <c r="J1053" t="s">
        <v>30</v>
      </c>
      <c r="K1053" t="s">
        <v>27</v>
      </c>
      <c r="L1053" t="s">
        <v>5673</v>
      </c>
      <c r="M1053" t="s">
        <v>5674</v>
      </c>
      <c r="N1053" t="s">
        <v>4623</v>
      </c>
      <c r="O1053" t="s">
        <v>54</v>
      </c>
      <c r="P1053" t="s">
        <v>5675</v>
      </c>
      <c r="Q1053" t="s">
        <v>88</v>
      </c>
      <c r="R1053" s="26" t="s">
        <v>720</v>
      </c>
      <c r="S1053">
        <v>2</v>
      </c>
      <c r="T1053">
        <v>5024</v>
      </c>
      <c r="U1053">
        <v>0</v>
      </c>
      <c r="V1053">
        <v>5024</v>
      </c>
    </row>
    <row r="1054" spans="1:22" x14ac:dyDescent="0.3">
      <c r="A1054">
        <v>186607</v>
      </c>
      <c r="B1054">
        <v>455825331</v>
      </c>
      <c r="C1054" t="s">
        <v>5676</v>
      </c>
      <c r="D1054" s="9" t="s">
        <v>5677</v>
      </c>
      <c r="E1054" t="s">
        <v>4620</v>
      </c>
      <c r="F1054" t="s">
        <v>770</v>
      </c>
      <c r="G1054" t="s">
        <v>28</v>
      </c>
      <c r="H1054" t="s">
        <v>29</v>
      </c>
      <c r="I1054" t="s">
        <v>34</v>
      </c>
      <c r="J1054" t="s">
        <v>30</v>
      </c>
      <c r="K1054" t="s">
        <v>27</v>
      </c>
      <c r="L1054" t="s">
        <v>500</v>
      </c>
      <c r="M1054" t="s">
        <v>312</v>
      </c>
      <c r="N1054" t="s">
        <v>4623</v>
      </c>
      <c r="O1054" t="s">
        <v>54</v>
      </c>
      <c r="P1054" t="s">
        <v>5678</v>
      </c>
      <c r="Q1054" t="s">
        <v>85</v>
      </c>
      <c r="R1054" s="26" t="s">
        <v>75</v>
      </c>
      <c r="S1054">
        <v>3.5</v>
      </c>
      <c r="T1054">
        <v>4305</v>
      </c>
      <c r="U1054">
        <v>0</v>
      </c>
      <c r="V1054">
        <v>4305</v>
      </c>
    </row>
    <row r="1055" spans="1:22" x14ac:dyDescent="0.3">
      <c r="A1055">
        <v>186607</v>
      </c>
      <c r="B1055">
        <v>455825223</v>
      </c>
      <c r="C1055" t="s">
        <v>5679</v>
      </c>
      <c r="D1055" s="9" t="s">
        <v>5680</v>
      </c>
      <c r="E1055" t="s">
        <v>4620</v>
      </c>
      <c r="F1055" t="s">
        <v>770</v>
      </c>
      <c r="G1055" t="s">
        <v>28</v>
      </c>
      <c r="H1055" t="s">
        <v>29</v>
      </c>
      <c r="I1055" t="s">
        <v>34</v>
      </c>
      <c r="J1055" t="s">
        <v>30</v>
      </c>
      <c r="K1055" t="s">
        <v>27</v>
      </c>
      <c r="L1055" t="s">
        <v>5681</v>
      </c>
      <c r="M1055" t="s">
        <v>5682</v>
      </c>
      <c r="N1055" t="s">
        <v>4623</v>
      </c>
      <c r="O1055" t="s">
        <v>54</v>
      </c>
      <c r="P1055" t="s">
        <v>5683</v>
      </c>
      <c r="Q1055" t="s">
        <v>154</v>
      </c>
      <c r="R1055" s="26" t="s">
        <v>75</v>
      </c>
      <c r="S1055">
        <v>3.6</v>
      </c>
      <c r="T1055">
        <v>5193</v>
      </c>
      <c r="U1055">
        <v>0</v>
      </c>
      <c r="V1055">
        <v>5193</v>
      </c>
    </row>
    <row r="1056" spans="1:22" x14ac:dyDescent="0.3">
      <c r="A1056">
        <v>186607</v>
      </c>
      <c r="B1056">
        <v>455825327</v>
      </c>
      <c r="C1056" t="s">
        <v>5684</v>
      </c>
      <c r="D1056" s="9" t="s">
        <v>5685</v>
      </c>
      <c r="E1056" t="s">
        <v>4620</v>
      </c>
      <c r="F1056" t="s">
        <v>770</v>
      </c>
      <c r="G1056" t="s">
        <v>28</v>
      </c>
      <c r="H1056" t="s">
        <v>29</v>
      </c>
      <c r="I1056" t="s">
        <v>34</v>
      </c>
      <c r="J1056" t="s">
        <v>30</v>
      </c>
      <c r="K1056" t="s">
        <v>27</v>
      </c>
      <c r="L1056" t="s">
        <v>5686</v>
      </c>
      <c r="M1056" t="s">
        <v>5687</v>
      </c>
      <c r="N1056" t="s">
        <v>4623</v>
      </c>
      <c r="O1056" t="s">
        <v>54</v>
      </c>
      <c r="P1056" t="s">
        <v>5688</v>
      </c>
      <c r="Q1056" t="s">
        <v>102</v>
      </c>
      <c r="R1056" s="26" t="s">
        <v>75</v>
      </c>
      <c r="S1056">
        <v>6.9</v>
      </c>
      <c r="T1056">
        <v>6655</v>
      </c>
      <c r="U1056">
        <v>0</v>
      </c>
      <c r="V1056">
        <v>6655</v>
      </c>
    </row>
    <row r="1057" spans="1:22" x14ac:dyDescent="0.3">
      <c r="A1057">
        <v>186607</v>
      </c>
      <c r="B1057">
        <v>455825270</v>
      </c>
      <c r="C1057" t="s">
        <v>5689</v>
      </c>
      <c r="D1057" s="9" t="s">
        <v>5690</v>
      </c>
      <c r="E1057" t="s">
        <v>4620</v>
      </c>
      <c r="F1057" t="s">
        <v>770</v>
      </c>
      <c r="G1057" t="s">
        <v>28</v>
      </c>
      <c r="H1057" t="s">
        <v>29</v>
      </c>
      <c r="I1057" t="s">
        <v>34</v>
      </c>
      <c r="J1057" t="s">
        <v>30</v>
      </c>
      <c r="K1057" t="s">
        <v>27</v>
      </c>
      <c r="L1057" t="s">
        <v>5691</v>
      </c>
      <c r="M1057" t="s">
        <v>574</v>
      </c>
      <c r="N1057" t="s">
        <v>4623</v>
      </c>
      <c r="O1057" t="s">
        <v>54</v>
      </c>
      <c r="P1057" t="s">
        <v>5692</v>
      </c>
      <c r="Q1057" t="s">
        <v>85</v>
      </c>
      <c r="R1057" s="26" t="s">
        <v>75</v>
      </c>
      <c r="S1057">
        <v>3.5</v>
      </c>
      <c r="T1057">
        <v>4305</v>
      </c>
      <c r="U1057">
        <v>0</v>
      </c>
      <c r="V1057">
        <v>4305</v>
      </c>
    </row>
    <row r="1058" spans="1:22" x14ac:dyDescent="0.3">
      <c r="A1058">
        <v>186607</v>
      </c>
      <c r="B1058">
        <v>455683767</v>
      </c>
      <c r="C1058" t="s">
        <v>5693</v>
      </c>
      <c r="D1058" s="9" t="s">
        <v>5694</v>
      </c>
      <c r="E1058" t="s">
        <v>4620</v>
      </c>
      <c r="F1058" t="s">
        <v>770</v>
      </c>
      <c r="G1058" t="s">
        <v>28</v>
      </c>
      <c r="H1058" t="s">
        <v>29</v>
      </c>
      <c r="I1058" t="s">
        <v>34</v>
      </c>
      <c r="J1058" t="s">
        <v>30</v>
      </c>
      <c r="K1058" t="s">
        <v>27</v>
      </c>
      <c r="L1058" t="s">
        <v>5695</v>
      </c>
      <c r="M1058" t="s">
        <v>5696</v>
      </c>
      <c r="N1058" t="s">
        <v>4623</v>
      </c>
      <c r="O1058" t="s">
        <v>54</v>
      </c>
      <c r="P1058" t="s">
        <v>5697</v>
      </c>
      <c r="Q1058" t="s">
        <v>61</v>
      </c>
      <c r="R1058" s="26" t="s">
        <v>720</v>
      </c>
      <c r="S1058">
        <v>1</v>
      </c>
      <c r="T1058">
        <v>3631</v>
      </c>
      <c r="U1058">
        <v>0</v>
      </c>
      <c r="V1058">
        <v>3631</v>
      </c>
    </row>
    <row r="1059" spans="1:22" x14ac:dyDescent="0.3">
      <c r="A1059">
        <v>186607</v>
      </c>
      <c r="B1059">
        <v>455825250</v>
      </c>
      <c r="C1059" t="s">
        <v>5698</v>
      </c>
      <c r="D1059" s="9" t="s">
        <v>5699</v>
      </c>
      <c r="E1059" t="s">
        <v>4620</v>
      </c>
      <c r="F1059" t="s">
        <v>770</v>
      </c>
      <c r="G1059" t="s">
        <v>28</v>
      </c>
      <c r="H1059" t="s">
        <v>29</v>
      </c>
      <c r="I1059" t="s">
        <v>34</v>
      </c>
      <c r="J1059" t="s">
        <v>30</v>
      </c>
      <c r="K1059" t="s">
        <v>27</v>
      </c>
      <c r="L1059" t="s">
        <v>5700</v>
      </c>
      <c r="M1059" t="s">
        <v>612</v>
      </c>
      <c r="N1059" t="s">
        <v>4623</v>
      </c>
      <c r="O1059" t="s">
        <v>54</v>
      </c>
      <c r="P1059" t="s">
        <v>5701</v>
      </c>
      <c r="Q1059" t="s">
        <v>119</v>
      </c>
      <c r="R1059" s="26" t="s">
        <v>75</v>
      </c>
      <c r="S1059">
        <v>3.9</v>
      </c>
      <c r="T1059">
        <v>5193</v>
      </c>
      <c r="U1059">
        <v>0</v>
      </c>
      <c r="V1059">
        <v>5193</v>
      </c>
    </row>
    <row r="1060" spans="1:22" x14ac:dyDescent="0.3">
      <c r="A1060">
        <v>186607</v>
      </c>
      <c r="B1060">
        <v>455683687</v>
      </c>
      <c r="C1060" t="s">
        <v>5702</v>
      </c>
      <c r="D1060" s="9" t="s">
        <v>5703</v>
      </c>
      <c r="E1060" t="s">
        <v>4620</v>
      </c>
      <c r="F1060" t="s">
        <v>770</v>
      </c>
      <c r="G1060" t="s">
        <v>28</v>
      </c>
      <c r="H1060" t="s">
        <v>29</v>
      </c>
      <c r="I1060" t="s">
        <v>34</v>
      </c>
      <c r="J1060" t="s">
        <v>30</v>
      </c>
      <c r="K1060" t="s">
        <v>27</v>
      </c>
      <c r="L1060" t="s">
        <v>5704</v>
      </c>
      <c r="M1060" t="s">
        <v>598</v>
      </c>
      <c r="N1060" t="s">
        <v>4623</v>
      </c>
      <c r="O1060" t="s">
        <v>54</v>
      </c>
      <c r="P1060" t="s">
        <v>5705</v>
      </c>
      <c r="Q1060" t="s">
        <v>68</v>
      </c>
      <c r="R1060" s="26" t="s">
        <v>528</v>
      </c>
      <c r="S1060">
        <v>2.5</v>
      </c>
      <c r="T1060">
        <v>5564</v>
      </c>
      <c r="U1060">
        <v>0</v>
      </c>
      <c r="V1060">
        <v>5564</v>
      </c>
    </row>
    <row r="1061" spans="1:22" x14ac:dyDescent="0.3">
      <c r="A1061">
        <v>186607</v>
      </c>
      <c r="B1061">
        <v>455825284</v>
      </c>
      <c r="C1061" t="s">
        <v>5706</v>
      </c>
      <c r="D1061" s="9" t="s">
        <v>5707</v>
      </c>
      <c r="E1061" t="s">
        <v>4620</v>
      </c>
      <c r="F1061" t="s">
        <v>770</v>
      </c>
      <c r="G1061" t="s">
        <v>28</v>
      </c>
      <c r="H1061" t="s">
        <v>29</v>
      </c>
      <c r="I1061" t="s">
        <v>34</v>
      </c>
      <c r="J1061" t="s">
        <v>30</v>
      </c>
      <c r="K1061" t="s">
        <v>27</v>
      </c>
      <c r="L1061" t="s">
        <v>5708</v>
      </c>
      <c r="M1061" t="s">
        <v>707</v>
      </c>
      <c r="N1061" t="s">
        <v>4623</v>
      </c>
      <c r="O1061" t="s">
        <v>54</v>
      </c>
      <c r="P1061" t="s">
        <v>5709</v>
      </c>
      <c r="Q1061" t="s">
        <v>109</v>
      </c>
      <c r="R1061" s="26" t="s">
        <v>75</v>
      </c>
      <c r="S1061">
        <v>5.8</v>
      </c>
      <c r="T1061">
        <v>5024</v>
      </c>
      <c r="U1061">
        <v>0</v>
      </c>
      <c r="V1061">
        <v>5024</v>
      </c>
    </row>
    <row r="1062" spans="1:22" x14ac:dyDescent="0.3">
      <c r="A1062">
        <v>186607</v>
      </c>
      <c r="B1062">
        <v>455683698</v>
      </c>
      <c r="C1062" t="s">
        <v>5710</v>
      </c>
      <c r="D1062" s="9" t="s">
        <v>5711</v>
      </c>
      <c r="E1062" t="s">
        <v>4620</v>
      </c>
      <c r="F1062" t="s">
        <v>770</v>
      </c>
      <c r="G1062" t="s">
        <v>28</v>
      </c>
      <c r="H1062" t="s">
        <v>29</v>
      </c>
      <c r="I1062" t="s">
        <v>34</v>
      </c>
      <c r="J1062" t="s">
        <v>30</v>
      </c>
      <c r="K1062" t="s">
        <v>27</v>
      </c>
      <c r="L1062" t="s">
        <v>5712</v>
      </c>
      <c r="M1062" t="s">
        <v>5713</v>
      </c>
      <c r="N1062" t="s">
        <v>4623</v>
      </c>
      <c r="O1062" t="s">
        <v>54</v>
      </c>
      <c r="P1062" t="s">
        <v>5714</v>
      </c>
      <c r="Q1062" t="s">
        <v>88</v>
      </c>
      <c r="R1062" s="26" t="s">
        <v>720</v>
      </c>
      <c r="S1062">
        <v>1</v>
      </c>
      <c r="T1062">
        <v>5024</v>
      </c>
      <c r="U1062">
        <v>0</v>
      </c>
      <c r="V1062">
        <v>5024</v>
      </c>
    </row>
    <row r="1063" spans="1:22" x14ac:dyDescent="0.3">
      <c r="A1063">
        <v>186607</v>
      </c>
      <c r="B1063">
        <v>455825290</v>
      </c>
      <c r="C1063" t="s">
        <v>5715</v>
      </c>
      <c r="D1063" s="9" t="s">
        <v>5716</v>
      </c>
      <c r="E1063" t="s">
        <v>4620</v>
      </c>
      <c r="F1063" t="s">
        <v>770</v>
      </c>
      <c r="G1063" t="s">
        <v>28</v>
      </c>
      <c r="H1063" t="s">
        <v>29</v>
      </c>
      <c r="I1063" t="s">
        <v>34</v>
      </c>
      <c r="J1063" t="s">
        <v>30</v>
      </c>
      <c r="K1063" t="s">
        <v>27</v>
      </c>
      <c r="L1063" t="s">
        <v>5717</v>
      </c>
      <c r="M1063" t="s">
        <v>699</v>
      </c>
      <c r="N1063" t="s">
        <v>4623</v>
      </c>
      <c r="O1063" t="s">
        <v>54</v>
      </c>
      <c r="P1063" t="s">
        <v>5718</v>
      </c>
      <c r="Q1063" t="s">
        <v>109</v>
      </c>
      <c r="R1063" s="26" t="s">
        <v>75</v>
      </c>
      <c r="S1063">
        <v>1.9</v>
      </c>
      <c r="T1063">
        <v>3250</v>
      </c>
      <c r="U1063">
        <v>0</v>
      </c>
      <c r="V1063">
        <v>3250</v>
      </c>
    </row>
    <row r="1064" spans="1:22" x14ac:dyDescent="0.3">
      <c r="A1064">
        <v>186607</v>
      </c>
      <c r="B1064">
        <v>455825276</v>
      </c>
      <c r="C1064" t="s">
        <v>5719</v>
      </c>
      <c r="D1064" s="9" t="s">
        <v>5720</v>
      </c>
      <c r="E1064" t="s">
        <v>4620</v>
      </c>
      <c r="F1064" t="s">
        <v>770</v>
      </c>
      <c r="G1064" t="s">
        <v>28</v>
      </c>
      <c r="H1064" t="s">
        <v>29</v>
      </c>
      <c r="I1064" t="s">
        <v>34</v>
      </c>
      <c r="J1064" t="s">
        <v>30</v>
      </c>
      <c r="K1064" t="s">
        <v>27</v>
      </c>
      <c r="L1064" t="s">
        <v>5721</v>
      </c>
      <c r="M1064" t="s">
        <v>5722</v>
      </c>
      <c r="N1064" t="s">
        <v>4623</v>
      </c>
      <c r="O1064" t="s">
        <v>54</v>
      </c>
      <c r="P1064" t="s">
        <v>5723</v>
      </c>
      <c r="Q1064" t="s">
        <v>109</v>
      </c>
      <c r="R1064" s="26" t="s">
        <v>75</v>
      </c>
      <c r="S1064">
        <v>3.5</v>
      </c>
      <c r="T1064">
        <v>3664</v>
      </c>
      <c r="U1064">
        <v>0</v>
      </c>
      <c r="V1064">
        <v>3664</v>
      </c>
    </row>
    <row r="1065" spans="1:22" x14ac:dyDescent="0.3">
      <c r="A1065">
        <v>186607</v>
      </c>
      <c r="B1065">
        <v>455825255</v>
      </c>
      <c r="C1065" t="s">
        <v>5724</v>
      </c>
      <c r="D1065" s="9" t="s">
        <v>5725</v>
      </c>
      <c r="E1065" t="s">
        <v>4620</v>
      </c>
      <c r="F1065" t="s">
        <v>770</v>
      </c>
      <c r="G1065" t="s">
        <v>28</v>
      </c>
      <c r="H1065" t="s">
        <v>29</v>
      </c>
      <c r="I1065" t="s">
        <v>34</v>
      </c>
      <c r="J1065" t="s">
        <v>30</v>
      </c>
      <c r="K1065" t="s">
        <v>27</v>
      </c>
      <c r="L1065" t="s">
        <v>5726</v>
      </c>
      <c r="M1065" t="s">
        <v>5727</v>
      </c>
      <c r="N1065" t="s">
        <v>4623</v>
      </c>
      <c r="O1065" t="s">
        <v>54</v>
      </c>
      <c r="P1065" t="s">
        <v>5728</v>
      </c>
      <c r="Q1065" t="s">
        <v>126</v>
      </c>
      <c r="R1065" s="26" t="s">
        <v>75</v>
      </c>
      <c r="S1065">
        <v>3.4</v>
      </c>
      <c r="T1065">
        <v>4214</v>
      </c>
      <c r="U1065">
        <v>0</v>
      </c>
      <c r="V1065">
        <v>4214</v>
      </c>
    </row>
    <row r="1066" spans="1:22" x14ac:dyDescent="0.3">
      <c r="A1066">
        <v>186607</v>
      </c>
      <c r="B1066">
        <v>455825177</v>
      </c>
      <c r="C1066" t="s">
        <v>5729</v>
      </c>
      <c r="D1066" s="9" t="s">
        <v>5730</v>
      </c>
      <c r="E1066" t="s">
        <v>4620</v>
      </c>
      <c r="F1066" t="s">
        <v>770</v>
      </c>
      <c r="G1066" t="s">
        <v>28</v>
      </c>
      <c r="H1066" t="s">
        <v>29</v>
      </c>
      <c r="I1066" t="s">
        <v>34</v>
      </c>
      <c r="J1066" t="s">
        <v>30</v>
      </c>
      <c r="K1066" t="s">
        <v>27</v>
      </c>
      <c r="L1066" t="s">
        <v>5731</v>
      </c>
      <c r="M1066" t="s">
        <v>583</v>
      </c>
      <c r="N1066" t="s">
        <v>4623</v>
      </c>
      <c r="O1066" t="s">
        <v>54</v>
      </c>
      <c r="P1066" t="s">
        <v>5732</v>
      </c>
      <c r="Q1066" t="s">
        <v>109</v>
      </c>
      <c r="R1066" s="26" t="s">
        <v>75</v>
      </c>
      <c r="S1066">
        <v>11</v>
      </c>
      <c r="T1066">
        <v>6183</v>
      </c>
      <c r="U1066">
        <v>0</v>
      </c>
      <c r="V1066">
        <v>6183</v>
      </c>
    </row>
    <row r="1067" spans="1:22" x14ac:dyDescent="0.3">
      <c r="A1067">
        <v>186607</v>
      </c>
      <c r="B1067">
        <v>455825308</v>
      </c>
      <c r="C1067" t="s">
        <v>5733</v>
      </c>
      <c r="D1067" s="9" t="s">
        <v>5734</v>
      </c>
      <c r="E1067" t="s">
        <v>4620</v>
      </c>
      <c r="F1067" t="s">
        <v>770</v>
      </c>
      <c r="G1067" t="s">
        <v>28</v>
      </c>
      <c r="H1067" t="s">
        <v>29</v>
      </c>
      <c r="I1067" t="s">
        <v>34</v>
      </c>
      <c r="J1067" t="s">
        <v>30</v>
      </c>
      <c r="K1067" t="s">
        <v>27</v>
      </c>
      <c r="L1067" t="s">
        <v>5735</v>
      </c>
      <c r="M1067" t="s">
        <v>5736</v>
      </c>
      <c r="N1067" t="s">
        <v>4623</v>
      </c>
      <c r="O1067" t="s">
        <v>54</v>
      </c>
      <c r="P1067" t="s">
        <v>5737</v>
      </c>
      <c r="Q1067" t="s">
        <v>135</v>
      </c>
      <c r="R1067" s="26" t="s">
        <v>75</v>
      </c>
      <c r="S1067">
        <v>2.1</v>
      </c>
      <c r="T1067">
        <v>3250</v>
      </c>
      <c r="U1067">
        <v>0</v>
      </c>
      <c r="V1067">
        <v>3250</v>
      </c>
    </row>
    <row r="1068" spans="1:22" x14ac:dyDescent="0.3">
      <c r="A1068">
        <v>186607</v>
      </c>
      <c r="B1068">
        <v>455825213</v>
      </c>
      <c r="C1068" t="s">
        <v>5738</v>
      </c>
      <c r="D1068" s="9" t="s">
        <v>5739</v>
      </c>
      <c r="E1068" t="s">
        <v>4620</v>
      </c>
      <c r="F1068" t="s">
        <v>770</v>
      </c>
      <c r="G1068" t="s">
        <v>28</v>
      </c>
      <c r="H1068" t="s">
        <v>29</v>
      </c>
      <c r="I1068" t="s">
        <v>34</v>
      </c>
      <c r="J1068" t="s">
        <v>30</v>
      </c>
      <c r="K1068" t="s">
        <v>27</v>
      </c>
      <c r="L1068" t="s">
        <v>5740</v>
      </c>
      <c r="M1068" t="s">
        <v>633</v>
      </c>
      <c r="N1068" t="s">
        <v>4623</v>
      </c>
      <c r="O1068" t="s">
        <v>54</v>
      </c>
      <c r="P1068" t="s">
        <v>5741</v>
      </c>
      <c r="Q1068" t="s">
        <v>115</v>
      </c>
      <c r="R1068" s="26" t="s">
        <v>75</v>
      </c>
      <c r="S1068">
        <v>3.6</v>
      </c>
      <c r="T1068">
        <v>3664</v>
      </c>
      <c r="U1068">
        <v>0</v>
      </c>
      <c r="V1068">
        <v>3664</v>
      </c>
    </row>
    <row r="1069" spans="1:22" x14ac:dyDescent="0.3">
      <c r="A1069">
        <v>186607</v>
      </c>
      <c r="B1069">
        <v>455433308</v>
      </c>
      <c r="C1069" t="s">
        <v>5742</v>
      </c>
      <c r="D1069" s="9" t="s">
        <v>5743</v>
      </c>
      <c r="E1069" t="s">
        <v>4620</v>
      </c>
      <c r="F1069" t="s">
        <v>770</v>
      </c>
      <c r="G1069" t="s">
        <v>28</v>
      </c>
      <c r="H1069" t="s">
        <v>29</v>
      </c>
      <c r="I1069" t="s">
        <v>34</v>
      </c>
      <c r="J1069" t="s">
        <v>30</v>
      </c>
      <c r="K1069" t="s">
        <v>27</v>
      </c>
      <c r="L1069" t="s">
        <v>5744</v>
      </c>
      <c r="M1069" t="s">
        <v>5745</v>
      </c>
      <c r="N1069" t="s">
        <v>4623</v>
      </c>
      <c r="O1069" t="s">
        <v>54</v>
      </c>
      <c r="P1069" t="s">
        <v>5746</v>
      </c>
      <c r="Q1069" t="s">
        <v>125</v>
      </c>
      <c r="R1069" s="26" t="s">
        <v>5652</v>
      </c>
      <c r="S1069">
        <v>0.5</v>
      </c>
      <c r="T1069">
        <v>3339</v>
      </c>
      <c r="U1069">
        <v>0</v>
      </c>
      <c r="V1069">
        <v>3339</v>
      </c>
    </row>
    <row r="1070" spans="1:22" x14ac:dyDescent="0.3">
      <c r="A1070">
        <v>186607</v>
      </c>
      <c r="B1070">
        <v>455683677</v>
      </c>
      <c r="C1070" t="s">
        <v>5747</v>
      </c>
      <c r="D1070" s="9" t="s">
        <v>5748</v>
      </c>
      <c r="E1070" t="s">
        <v>4620</v>
      </c>
      <c r="F1070" t="s">
        <v>770</v>
      </c>
      <c r="G1070" t="s">
        <v>28</v>
      </c>
      <c r="H1070" t="s">
        <v>29</v>
      </c>
      <c r="I1070" t="s">
        <v>34</v>
      </c>
      <c r="J1070" t="s">
        <v>30</v>
      </c>
      <c r="K1070" t="s">
        <v>60</v>
      </c>
      <c r="L1070" t="s">
        <v>157</v>
      </c>
      <c r="M1070" t="s">
        <v>600</v>
      </c>
      <c r="N1070" t="s">
        <v>4623</v>
      </c>
      <c r="O1070" t="s">
        <v>54</v>
      </c>
      <c r="P1070" t="s">
        <v>5749</v>
      </c>
      <c r="Q1070" t="s">
        <v>119</v>
      </c>
      <c r="R1070" s="26" t="s">
        <v>528</v>
      </c>
      <c r="S1070">
        <v>3.3</v>
      </c>
      <c r="T1070">
        <v>5193</v>
      </c>
      <c r="U1070">
        <v>0</v>
      </c>
      <c r="V1070">
        <v>5193</v>
      </c>
    </row>
    <row r="1071" spans="1:22" x14ac:dyDescent="0.3">
      <c r="A1071">
        <v>186607</v>
      </c>
      <c r="B1071">
        <v>455520395</v>
      </c>
      <c r="C1071" t="s">
        <v>5750</v>
      </c>
      <c r="D1071" s="9" t="s">
        <v>5751</v>
      </c>
      <c r="E1071" t="s">
        <v>4620</v>
      </c>
      <c r="F1071" t="s">
        <v>770</v>
      </c>
      <c r="G1071" t="s">
        <v>28</v>
      </c>
      <c r="H1071" t="s">
        <v>29</v>
      </c>
      <c r="I1071" t="s">
        <v>34</v>
      </c>
      <c r="J1071" t="s">
        <v>30</v>
      </c>
      <c r="K1071" t="s">
        <v>27</v>
      </c>
      <c r="L1071" t="s">
        <v>5752</v>
      </c>
      <c r="M1071" t="s">
        <v>5753</v>
      </c>
      <c r="N1071" t="s">
        <v>4623</v>
      </c>
      <c r="O1071" t="s">
        <v>54</v>
      </c>
      <c r="P1071" t="s">
        <v>5754</v>
      </c>
      <c r="Q1071" t="s">
        <v>120</v>
      </c>
      <c r="R1071" s="26" t="s">
        <v>547</v>
      </c>
      <c r="S1071">
        <v>1</v>
      </c>
      <c r="T1071">
        <v>5295</v>
      </c>
      <c r="U1071">
        <v>0</v>
      </c>
      <c r="V1071">
        <v>5295</v>
      </c>
    </row>
    <row r="1072" spans="1:22" x14ac:dyDescent="0.3">
      <c r="A1072">
        <v>186607</v>
      </c>
      <c r="B1072">
        <v>455683843</v>
      </c>
      <c r="C1072" t="s">
        <v>5755</v>
      </c>
      <c r="D1072" s="9" t="s">
        <v>5756</v>
      </c>
      <c r="E1072" t="s">
        <v>4620</v>
      </c>
      <c r="F1072" t="s">
        <v>770</v>
      </c>
      <c r="G1072" t="s">
        <v>28</v>
      </c>
      <c r="H1072" t="s">
        <v>29</v>
      </c>
      <c r="I1072" t="s">
        <v>34</v>
      </c>
      <c r="J1072" t="s">
        <v>30</v>
      </c>
      <c r="K1072" t="s">
        <v>27</v>
      </c>
      <c r="L1072" t="s">
        <v>5757</v>
      </c>
      <c r="M1072" t="s">
        <v>5758</v>
      </c>
      <c r="N1072" t="s">
        <v>4623</v>
      </c>
      <c r="O1072" t="s">
        <v>54</v>
      </c>
      <c r="P1072" t="s">
        <v>5759</v>
      </c>
      <c r="Q1072" t="s">
        <v>108</v>
      </c>
      <c r="R1072" s="26" t="s">
        <v>720</v>
      </c>
      <c r="S1072">
        <v>1</v>
      </c>
      <c r="T1072">
        <v>3250</v>
      </c>
      <c r="U1072">
        <v>0</v>
      </c>
      <c r="V1072">
        <v>3250</v>
      </c>
    </row>
    <row r="1073" spans="1:22" x14ac:dyDescent="0.3">
      <c r="A1073">
        <v>186607</v>
      </c>
      <c r="B1073">
        <v>455446261</v>
      </c>
      <c r="C1073" t="s">
        <v>5760</v>
      </c>
      <c r="D1073" s="9" t="s">
        <v>5761</v>
      </c>
      <c r="E1073" t="s">
        <v>4620</v>
      </c>
      <c r="F1073" t="s">
        <v>770</v>
      </c>
      <c r="G1073" t="s">
        <v>28</v>
      </c>
      <c r="H1073" t="s">
        <v>29</v>
      </c>
      <c r="I1073" t="s">
        <v>34</v>
      </c>
      <c r="J1073" t="s">
        <v>30</v>
      </c>
      <c r="K1073" t="s">
        <v>27</v>
      </c>
      <c r="L1073" t="s">
        <v>5762</v>
      </c>
      <c r="M1073" t="s">
        <v>259</v>
      </c>
      <c r="N1073" t="s">
        <v>4623</v>
      </c>
      <c r="O1073" t="s">
        <v>54</v>
      </c>
      <c r="P1073" t="s">
        <v>5763</v>
      </c>
      <c r="Q1073" t="s">
        <v>165</v>
      </c>
      <c r="R1073" s="26" t="s">
        <v>311</v>
      </c>
      <c r="S1073">
        <v>0.5</v>
      </c>
      <c r="T1073">
        <v>3339</v>
      </c>
      <c r="U1073">
        <v>0</v>
      </c>
      <c r="V1073">
        <v>3339</v>
      </c>
    </row>
    <row r="1074" spans="1:22" x14ac:dyDescent="0.3">
      <c r="A1074">
        <v>186607</v>
      </c>
      <c r="B1074">
        <v>455683672</v>
      </c>
      <c r="C1074" t="s">
        <v>5764</v>
      </c>
      <c r="D1074" s="9" t="s">
        <v>5765</v>
      </c>
      <c r="E1074" t="s">
        <v>4620</v>
      </c>
      <c r="F1074" t="s">
        <v>770</v>
      </c>
      <c r="G1074" t="s">
        <v>28</v>
      </c>
      <c r="H1074" t="s">
        <v>29</v>
      </c>
      <c r="I1074" t="s">
        <v>34</v>
      </c>
      <c r="J1074" t="s">
        <v>30</v>
      </c>
      <c r="K1074" t="s">
        <v>27</v>
      </c>
      <c r="L1074" t="s">
        <v>5766</v>
      </c>
      <c r="M1074" t="s">
        <v>5767</v>
      </c>
      <c r="N1074" t="s">
        <v>4623</v>
      </c>
      <c r="O1074" t="s">
        <v>54</v>
      </c>
      <c r="P1074" t="s">
        <v>5768</v>
      </c>
      <c r="Q1074" t="s">
        <v>125</v>
      </c>
      <c r="R1074" s="26" t="s">
        <v>528</v>
      </c>
      <c r="S1074">
        <v>1</v>
      </c>
      <c r="T1074">
        <v>3653</v>
      </c>
      <c r="U1074">
        <v>0</v>
      </c>
      <c r="V1074">
        <v>3653</v>
      </c>
    </row>
    <row r="1075" spans="1:22" x14ac:dyDescent="0.3">
      <c r="A1075">
        <v>186607</v>
      </c>
      <c r="B1075">
        <v>455683761</v>
      </c>
      <c r="C1075" t="s">
        <v>5769</v>
      </c>
      <c r="D1075" s="9" t="s">
        <v>5770</v>
      </c>
      <c r="E1075" t="s">
        <v>4620</v>
      </c>
      <c r="F1075" t="s">
        <v>770</v>
      </c>
      <c r="G1075" t="s">
        <v>28</v>
      </c>
      <c r="H1075" t="s">
        <v>29</v>
      </c>
      <c r="I1075" t="s">
        <v>34</v>
      </c>
      <c r="J1075" t="s">
        <v>30</v>
      </c>
      <c r="K1075" t="s">
        <v>27</v>
      </c>
      <c r="L1075" t="s">
        <v>5771</v>
      </c>
      <c r="M1075" t="s">
        <v>5772</v>
      </c>
      <c r="N1075" t="s">
        <v>4623</v>
      </c>
      <c r="O1075" t="s">
        <v>54</v>
      </c>
      <c r="P1075" t="s">
        <v>5773</v>
      </c>
      <c r="Q1075" t="s">
        <v>144</v>
      </c>
      <c r="R1075" s="26" t="s">
        <v>720</v>
      </c>
      <c r="S1075">
        <v>1</v>
      </c>
      <c r="T1075">
        <v>3653</v>
      </c>
      <c r="U1075">
        <v>0</v>
      </c>
      <c r="V1075">
        <v>3653</v>
      </c>
    </row>
    <row r="1076" spans="1:22" x14ac:dyDescent="0.3">
      <c r="A1076">
        <v>186607</v>
      </c>
      <c r="B1076">
        <v>455433311</v>
      </c>
      <c r="C1076" t="s">
        <v>5774</v>
      </c>
      <c r="D1076" s="9" t="s">
        <v>5775</v>
      </c>
      <c r="E1076" t="s">
        <v>4620</v>
      </c>
      <c r="F1076" t="s">
        <v>770</v>
      </c>
      <c r="G1076" t="s">
        <v>28</v>
      </c>
      <c r="H1076" t="s">
        <v>29</v>
      </c>
      <c r="I1076" t="s">
        <v>34</v>
      </c>
      <c r="J1076" t="s">
        <v>30</v>
      </c>
      <c r="K1076" t="s">
        <v>27</v>
      </c>
      <c r="L1076" t="s">
        <v>5776</v>
      </c>
      <c r="M1076" t="s">
        <v>601</v>
      </c>
      <c r="N1076" t="s">
        <v>4623</v>
      </c>
      <c r="O1076" t="s">
        <v>54</v>
      </c>
      <c r="P1076" t="s">
        <v>5777</v>
      </c>
      <c r="Q1076" t="s">
        <v>69</v>
      </c>
      <c r="R1076" s="26" t="s">
        <v>391</v>
      </c>
      <c r="S1076">
        <v>1</v>
      </c>
      <c r="T1076">
        <v>3935</v>
      </c>
      <c r="U1076">
        <v>0</v>
      </c>
      <c r="V1076">
        <v>3935</v>
      </c>
    </row>
    <row r="1077" spans="1:22" x14ac:dyDescent="0.3">
      <c r="A1077">
        <v>186607</v>
      </c>
      <c r="B1077">
        <v>455683714</v>
      </c>
      <c r="C1077" t="s">
        <v>5778</v>
      </c>
      <c r="D1077" s="9" t="s">
        <v>5779</v>
      </c>
      <c r="E1077" t="s">
        <v>4620</v>
      </c>
      <c r="F1077" t="s">
        <v>770</v>
      </c>
      <c r="G1077" t="s">
        <v>28</v>
      </c>
      <c r="H1077" t="s">
        <v>29</v>
      </c>
      <c r="I1077" t="s">
        <v>34</v>
      </c>
      <c r="J1077" t="s">
        <v>30</v>
      </c>
      <c r="K1077" t="s">
        <v>27</v>
      </c>
      <c r="L1077" t="s">
        <v>5780</v>
      </c>
      <c r="M1077" t="s">
        <v>5781</v>
      </c>
      <c r="N1077" t="s">
        <v>4623</v>
      </c>
      <c r="O1077" t="s">
        <v>54</v>
      </c>
      <c r="P1077" t="s">
        <v>5782</v>
      </c>
      <c r="Q1077" t="s">
        <v>69</v>
      </c>
      <c r="R1077" s="26" t="s">
        <v>720</v>
      </c>
      <c r="S1077">
        <v>1</v>
      </c>
      <c r="T1077">
        <v>3935</v>
      </c>
      <c r="U1077">
        <v>0</v>
      </c>
      <c r="V1077">
        <v>3935</v>
      </c>
    </row>
    <row r="1078" spans="1:22" x14ac:dyDescent="0.3">
      <c r="A1078">
        <v>186607</v>
      </c>
      <c r="B1078">
        <v>455683685</v>
      </c>
      <c r="C1078" t="s">
        <v>5783</v>
      </c>
      <c r="D1078" s="9" t="s">
        <v>5784</v>
      </c>
      <c r="E1078" t="s">
        <v>4620</v>
      </c>
      <c r="F1078" t="s">
        <v>770</v>
      </c>
      <c r="G1078" t="s">
        <v>28</v>
      </c>
      <c r="H1078" t="s">
        <v>29</v>
      </c>
      <c r="I1078" t="s">
        <v>34</v>
      </c>
      <c r="J1078" t="s">
        <v>30</v>
      </c>
      <c r="K1078" t="s">
        <v>27</v>
      </c>
      <c r="L1078" t="s">
        <v>5785</v>
      </c>
      <c r="M1078" t="s">
        <v>5786</v>
      </c>
      <c r="N1078" t="s">
        <v>4623</v>
      </c>
      <c r="O1078" t="s">
        <v>54</v>
      </c>
      <c r="P1078" t="s">
        <v>5787</v>
      </c>
      <c r="Q1078" t="s">
        <v>42</v>
      </c>
      <c r="R1078" s="26" t="s">
        <v>528</v>
      </c>
      <c r="S1078">
        <v>1</v>
      </c>
      <c r="T1078">
        <v>3631</v>
      </c>
      <c r="U1078">
        <v>0</v>
      </c>
      <c r="V1078">
        <v>3631</v>
      </c>
    </row>
    <row r="1079" spans="1:22" x14ac:dyDescent="0.3">
      <c r="A1079">
        <v>186607</v>
      </c>
      <c r="B1079">
        <v>455683717</v>
      </c>
      <c r="C1079" t="s">
        <v>5788</v>
      </c>
      <c r="D1079" s="9" t="s">
        <v>5789</v>
      </c>
      <c r="E1079" t="s">
        <v>4620</v>
      </c>
      <c r="F1079" t="s">
        <v>770</v>
      </c>
      <c r="G1079" t="s">
        <v>28</v>
      </c>
      <c r="H1079" t="s">
        <v>29</v>
      </c>
      <c r="I1079" t="s">
        <v>34</v>
      </c>
      <c r="J1079" t="s">
        <v>30</v>
      </c>
      <c r="K1079" t="s">
        <v>27</v>
      </c>
      <c r="L1079" t="s">
        <v>5790</v>
      </c>
      <c r="M1079" t="s">
        <v>5791</v>
      </c>
      <c r="N1079" t="s">
        <v>4623</v>
      </c>
      <c r="O1079" t="s">
        <v>54</v>
      </c>
      <c r="P1079" t="s">
        <v>5792</v>
      </c>
      <c r="Q1079" t="s">
        <v>42</v>
      </c>
      <c r="R1079" s="26" t="s">
        <v>720</v>
      </c>
      <c r="S1079">
        <v>1</v>
      </c>
      <c r="T1079">
        <v>3631</v>
      </c>
      <c r="U1079">
        <v>0</v>
      </c>
      <c r="V1079">
        <v>3631</v>
      </c>
    </row>
    <row r="1080" spans="1:22" x14ac:dyDescent="0.3">
      <c r="A1080">
        <v>186607</v>
      </c>
      <c r="B1080">
        <v>455683708</v>
      </c>
      <c r="C1080" t="s">
        <v>5793</v>
      </c>
      <c r="D1080" s="9" t="s">
        <v>5794</v>
      </c>
      <c r="E1080" t="s">
        <v>4620</v>
      </c>
      <c r="F1080" t="s">
        <v>770</v>
      </c>
      <c r="G1080" t="s">
        <v>28</v>
      </c>
      <c r="H1080" t="s">
        <v>29</v>
      </c>
      <c r="I1080" t="s">
        <v>34</v>
      </c>
      <c r="J1080" t="s">
        <v>30</v>
      </c>
      <c r="K1080" t="s">
        <v>27</v>
      </c>
      <c r="L1080" t="s">
        <v>5795</v>
      </c>
      <c r="M1080" t="s">
        <v>204</v>
      </c>
      <c r="N1080" t="s">
        <v>4623</v>
      </c>
      <c r="O1080" t="s">
        <v>54</v>
      </c>
      <c r="P1080" t="s">
        <v>5796</v>
      </c>
      <c r="Q1080" t="s">
        <v>102</v>
      </c>
      <c r="R1080" s="26" t="s">
        <v>720</v>
      </c>
      <c r="S1080">
        <v>1</v>
      </c>
      <c r="T1080">
        <v>3935</v>
      </c>
      <c r="U1080">
        <v>0</v>
      </c>
      <c r="V1080">
        <v>3935</v>
      </c>
    </row>
    <row r="1081" spans="1:22" x14ac:dyDescent="0.3">
      <c r="A1081">
        <v>186607</v>
      </c>
      <c r="B1081">
        <v>455683777</v>
      </c>
      <c r="C1081" t="s">
        <v>5797</v>
      </c>
      <c r="D1081" s="9" t="s">
        <v>5798</v>
      </c>
      <c r="E1081" t="s">
        <v>4620</v>
      </c>
      <c r="F1081" t="s">
        <v>770</v>
      </c>
      <c r="G1081" t="s">
        <v>28</v>
      </c>
      <c r="H1081" t="s">
        <v>29</v>
      </c>
      <c r="I1081" t="s">
        <v>34</v>
      </c>
      <c r="J1081" t="s">
        <v>30</v>
      </c>
      <c r="K1081" t="s">
        <v>27</v>
      </c>
      <c r="L1081" t="s">
        <v>5799</v>
      </c>
      <c r="M1081" t="s">
        <v>5800</v>
      </c>
      <c r="N1081" t="s">
        <v>4623</v>
      </c>
      <c r="O1081" t="s">
        <v>54</v>
      </c>
      <c r="P1081" t="s">
        <v>5801</v>
      </c>
      <c r="Q1081" t="s">
        <v>65</v>
      </c>
      <c r="R1081" s="26" t="s">
        <v>720</v>
      </c>
      <c r="S1081">
        <v>3.6</v>
      </c>
      <c r="T1081">
        <v>4305</v>
      </c>
      <c r="U1081">
        <v>0</v>
      </c>
      <c r="V1081">
        <v>4305</v>
      </c>
    </row>
    <row r="1082" spans="1:22" x14ac:dyDescent="0.3">
      <c r="A1082">
        <v>186607</v>
      </c>
      <c r="B1082">
        <v>455520334</v>
      </c>
      <c r="C1082" t="s">
        <v>5802</v>
      </c>
      <c r="D1082" s="9" t="s">
        <v>5803</v>
      </c>
      <c r="E1082" t="s">
        <v>4620</v>
      </c>
      <c r="F1082" t="s">
        <v>770</v>
      </c>
      <c r="G1082" t="s">
        <v>28</v>
      </c>
      <c r="H1082" t="s">
        <v>29</v>
      </c>
      <c r="I1082" t="s">
        <v>34</v>
      </c>
      <c r="J1082" t="s">
        <v>30</v>
      </c>
      <c r="K1082" t="s">
        <v>27</v>
      </c>
      <c r="L1082" t="s">
        <v>5804</v>
      </c>
      <c r="M1082" t="s">
        <v>5805</v>
      </c>
      <c r="N1082" t="s">
        <v>4623</v>
      </c>
      <c r="O1082" t="s">
        <v>54</v>
      </c>
      <c r="P1082" t="s">
        <v>5806</v>
      </c>
      <c r="Q1082" t="s">
        <v>68</v>
      </c>
      <c r="R1082" s="26" t="s">
        <v>547</v>
      </c>
      <c r="S1082">
        <v>3.4</v>
      </c>
      <c r="T1082">
        <v>8250</v>
      </c>
      <c r="U1082">
        <v>0</v>
      </c>
      <c r="V1082">
        <v>8250</v>
      </c>
    </row>
    <row r="1083" spans="1:22" x14ac:dyDescent="0.3">
      <c r="A1083">
        <v>186607</v>
      </c>
      <c r="B1083">
        <v>455683798</v>
      </c>
      <c r="C1083" t="s">
        <v>5807</v>
      </c>
      <c r="D1083" s="9" t="s">
        <v>5808</v>
      </c>
      <c r="E1083" t="s">
        <v>4620</v>
      </c>
      <c r="F1083" t="s">
        <v>770</v>
      </c>
      <c r="G1083" t="s">
        <v>28</v>
      </c>
      <c r="H1083" t="s">
        <v>29</v>
      </c>
      <c r="I1083" t="s">
        <v>34</v>
      </c>
      <c r="J1083" t="s">
        <v>30</v>
      </c>
      <c r="K1083" t="s">
        <v>27</v>
      </c>
      <c r="L1083" t="s">
        <v>5809</v>
      </c>
      <c r="M1083" t="s">
        <v>5810</v>
      </c>
      <c r="N1083" t="s">
        <v>4623</v>
      </c>
      <c r="O1083" t="s">
        <v>54</v>
      </c>
      <c r="P1083" t="s">
        <v>5811</v>
      </c>
      <c r="Q1083" t="s">
        <v>201</v>
      </c>
      <c r="R1083" s="26" t="s">
        <v>720</v>
      </c>
      <c r="S1083">
        <v>3.2</v>
      </c>
      <c r="T1083">
        <v>3664</v>
      </c>
      <c r="U1083">
        <v>0</v>
      </c>
      <c r="V1083">
        <v>3664</v>
      </c>
    </row>
    <row r="1084" spans="1:22" x14ac:dyDescent="0.3">
      <c r="A1084">
        <v>186607</v>
      </c>
      <c r="B1084">
        <v>455683769</v>
      </c>
      <c r="C1084" t="s">
        <v>5812</v>
      </c>
      <c r="D1084" s="9" t="s">
        <v>5813</v>
      </c>
      <c r="E1084" t="s">
        <v>4620</v>
      </c>
      <c r="F1084" t="s">
        <v>770</v>
      </c>
      <c r="G1084" t="s">
        <v>28</v>
      </c>
      <c r="H1084" t="s">
        <v>29</v>
      </c>
      <c r="I1084" t="s">
        <v>34</v>
      </c>
      <c r="J1084" t="s">
        <v>30</v>
      </c>
      <c r="K1084" t="s">
        <v>27</v>
      </c>
      <c r="L1084" t="s">
        <v>5814</v>
      </c>
      <c r="M1084" t="s">
        <v>5815</v>
      </c>
      <c r="N1084" t="s">
        <v>4623</v>
      </c>
      <c r="O1084" t="s">
        <v>54</v>
      </c>
      <c r="P1084" t="s">
        <v>5816</v>
      </c>
      <c r="Q1084" t="s">
        <v>41</v>
      </c>
      <c r="R1084" s="26" t="s">
        <v>720</v>
      </c>
      <c r="S1084">
        <v>1</v>
      </c>
      <c r="T1084">
        <v>3935</v>
      </c>
      <c r="U1084">
        <v>0</v>
      </c>
      <c r="V1084">
        <v>3935</v>
      </c>
    </row>
    <row r="1085" spans="1:22" x14ac:dyDescent="0.3">
      <c r="A1085">
        <v>186607</v>
      </c>
      <c r="B1085">
        <v>455446247</v>
      </c>
      <c r="C1085" t="s">
        <v>5817</v>
      </c>
      <c r="D1085" s="9" t="s">
        <v>5818</v>
      </c>
      <c r="E1085" t="s">
        <v>4620</v>
      </c>
      <c r="F1085" t="s">
        <v>770</v>
      </c>
      <c r="G1085" t="s">
        <v>28</v>
      </c>
      <c r="H1085" t="s">
        <v>29</v>
      </c>
      <c r="I1085" t="s">
        <v>34</v>
      </c>
      <c r="J1085" t="s">
        <v>30</v>
      </c>
      <c r="K1085" t="s">
        <v>27</v>
      </c>
      <c r="L1085" t="s">
        <v>5819</v>
      </c>
      <c r="M1085" t="s">
        <v>5820</v>
      </c>
      <c r="N1085" t="s">
        <v>4623</v>
      </c>
      <c r="O1085" t="s">
        <v>54</v>
      </c>
      <c r="P1085" t="s">
        <v>5821</v>
      </c>
      <c r="Q1085" t="s">
        <v>109</v>
      </c>
      <c r="R1085" s="26" t="s">
        <v>311</v>
      </c>
      <c r="S1085">
        <v>0.5</v>
      </c>
      <c r="T1085">
        <v>3193</v>
      </c>
      <c r="U1085">
        <v>0</v>
      </c>
      <c r="V1085">
        <v>3193</v>
      </c>
    </row>
    <row r="1086" spans="1:22" x14ac:dyDescent="0.3">
      <c r="A1086">
        <v>186607</v>
      </c>
      <c r="B1086">
        <v>455683722</v>
      </c>
      <c r="C1086" t="s">
        <v>5822</v>
      </c>
      <c r="D1086" s="9" t="s">
        <v>5823</v>
      </c>
      <c r="E1086" t="s">
        <v>4620</v>
      </c>
      <c r="F1086" t="s">
        <v>770</v>
      </c>
      <c r="G1086" t="s">
        <v>28</v>
      </c>
      <c r="H1086" t="s">
        <v>29</v>
      </c>
      <c r="I1086" t="s">
        <v>34</v>
      </c>
      <c r="J1086" t="s">
        <v>30</v>
      </c>
      <c r="K1086" t="s">
        <v>27</v>
      </c>
      <c r="L1086" t="s">
        <v>5824</v>
      </c>
      <c r="M1086" t="s">
        <v>5825</v>
      </c>
      <c r="N1086" t="s">
        <v>4623</v>
      </c>
      <c r="O1086" t="s">
        <v>54</v>
      </c>
      <c r="P1086" t="s">
        <v>5826</v>
      </c>
      <c r="Q1086" t="s">
        <v>108</v>
      </c>
      <c r="R1086" s="26" t="s">
        <v>720</v>
      </c>
      <c r="S1086">
        <v>1</v>
      </c>
      <c r="T1086">
        <v>3250</v>
      </c>
      <c r="U1086">
        <v>0</v>
      </c>
      <c r="V1086">
        <v>3250</v>
      </c>
    </row>
    <row r="1087" spans="1:22" x14ac:dyDescent="0.3">
      <c r="A1087">
        <v>186607</v>
      </c>
      <c r="B1087">
        <v>455520325</v>
      </c>
      <c r="C1087" t="s">
        <v>5827</v>
      </c>
      <c r="D1087" s="9" t="s">
        <v>5828</v>
      </c>
      <c r="E1087" t="s">
        <v>4620</v>
      </c>
      <c r="F1087" t="s">
        <v>770</v>
      </c>
      <c r="G1087" t="s">
        <v>28</v>
      </c>
      <c r="H1087" t="s">
        <v>29</v>
      </c>
      <c r="I1087" t="s">
        <v>34</v>
      </c>
      <c r="J1087" t="s">
        <v>30</v>
      </c>
      <c r="K1087" t="s">
        <v>27</v>
      </c>
      <c r="L1087" t="s">
        <v>546</v>
      </c>
      <c r="M1087" t="s">
        <v>5829</v>
      </c>
      <c r="N1087" t="s">
        <v>4623</v>
      </c>
      <c r="O1087" t="s">
        <v>54</v>
      </c>
      <c r="P1087" t="s">
        <v>5830</v>
      </c>
      <c r="Q1087" t="s">
        <v>88</v>
      </c>
      <c r="R1087" s="26" t="s">
        <v>547</v>
      </c>
      <c r="S1087">
        <v>1</v>
      </c>
      <c r="T1087">
        <v>5024</v>
      </c>
      <c r="U1087">
        <v>0</v>
      </c>
      <c r="V1087">
        <v>5024</v>
      </c>
    </row>
    <row r="1088" spans="1:22" x14ac:dyDescent="0.3">
      <c r="A1088">
        <v>186607</v>
      </c>
      <c r="B1088">
        <v>455520316</v>
      </c>
      <c r="C1088" t="s">
        <v>5831</v>
      </c>
      <c r="D1088" s="9" t="s">
        <v>5832</v>
      </c>
      <c r="E1088" t="s">
        <v>4620</v>
      </c>
      <c r="F1088" t="s">
        <v>770</v>
      </c>
      <c r="G1088" t="s">
        <v>28</v>
      </c>
      <c r="H1088" t="s">
        <v>29</v>
      </c>
      <c r="I1088" t="s">
        <v>34</v>
      </c>
      <c r="J1088" t="s">
        <v>30</v>
      </c>
      <c r="K1088" t="s">
        <v>27</v>
      </c>
      <c r="L1088" t="s">
        <v>529</v>
      </c>
      <c r="M1088" t="s">
        <v>5833</v>
      </c>
      <c r="N1088" t="s">
        <v>4623</v>
      </c>
      <c r="O1088" t="s">
        <v>54</v>
      </c>
      <c r="P1088" t="s">
        <v>5834</v>
      </c>
      <c r="Q1088" t="s">
        <v>85</v>
      </c>
      <c r="R1088" s="26" t="s">
        <v>547</v>
      </c>
      <c r="S1088">
        <v>1.5</v>
      </c>
      <c r="T1088">
        <v>3631</v>
      </c>
      <c r="U1088">
        <v>0</v>
      </c>
      <c r="V1088">
        <v>3631</v>
      </c>
    </row>
    <row r="1089" spans="1:22" x14ac:dyDescent="0.3">
      <c r="A1089">
        <v>186607</v>
      </c>
      <c r="B1089">
        <v>455683815</v>
      </c>
      <c r="C1089" t="s">
        <v>5835</v>
      </c>
      <c r="D1089" s="9" t="s">
        <v>5836</v>
      </c>
      <c r="E1089" t="s">
        <v>4620</v>
      </c>
      <c r="F1089" t="s">
        <v>770</v>
      </c>
      <c r="G1089" t="s">
        <v>28</v>
      </c>
      <c r="H1089" t="s">
        <v>29</v>
      </c>
      <c r="I1089" t="s">
        <v>34</v>
      </c>
      <c r="J1089" t="s">
        <v>30</v>
      </c>
      <c r="K1089" t="s">
        <v>27</v>
      </c>
      <c r="L1089" t="s">
        <v>5837</v>
      </c>
      <c r="M1089" t="s">
        <v>5838</v>
      </c>
      <c r="N1089" t="s">
        <v>4623</v>
      </c>
      <c r="O1089" t="s">
        <v>54</v>
      </c>
      <c r="P1089" t="s">
        <v>5839</v>
      </c>
      <c r="Q1089" t="s">
        <v>108</v>
      </c>
      <c r="R1089" s="26" t="s">
        <v>720</v>
      </c>
      <c r="S1089">
        <v>1</v>
      </c>
      <c r="T1089">
        <v>3250</v>
      </c>
      <c r="U1089">
        <v>0</v>
      </c>
      <c r="V1089">
        <v>3250</v>
      </c>
    </row>
    <row r="1090" spans="1:22" x14ac:dyDescent="0.3">
      <c r="A1090">
        <v>186607</v>
      </c>
      <c r="B1090">
        <v>455683739</v>
      </c>
      <c r="C1090" t="s">
        <v>5840</v>
      </c>
      <c r="D1090" s="9" t="s">
        <v>5841</v>
      </c>
      <c r="E1090" t="s">
        <v>4620</v>
      </c>
      <c r="F1090" t="s">
        <v>770</v>
      </c>
      <c r="G1090" t="s">
        <v>28</v>
      </c>
      <c r="H1090" t="s">
        <v>29</v>
      </c>
      <c r="I1090" t="s">
        <v>34</v>
      </c>
      <c r="J1090" t="s">
        <v>30</v>
      </c>
      <c r="K1090" t="s">
        <v>27</v>
      </c>
      <c r="L1090" t="s">
        <v>5842</v>
      </c>
      <c r="M1090" t="s">
        <v>5843</v>
      </c>
      <c r="N1090" t="s">
        <v>4623</v>
      </c>
      <c r="O1090" t="s">
        <v>54</v>
      </c>
      <c r="P1090" t="s">
        <v>5844</v>
      </c>
      <c r="Q1090" t="s">
        <v>168</v>
      </c>
      <c r="R1090" s="26" t="s">
        <v>720</v>
      </c>
      <c r="S1090">
        <v>3.3</v>
      </c>
      <c r="T1090">
        <v>4182</v>
      </c>
      <c r="U1090">
        <v>0</v>
      </c>
      <c r="V1090">
        <v>4182</v>
      </c>
    </row>
    <row r="1091" spans="1:22" x14ac:dyDescent="0.3">
      <c r="A1091">
        <v>186607</v>
      </c>
      <c r="B1091">
        <v>455683670</v>
      </c>
      <c r="C1091" t="s">
        <v>5845</v>
      </c>
      <c r="D1091" s="9" t="s">
        <v>5846</v>
      </c>
      <c r="E1091" t="s">
        <v>4620</v>
      </c>
      <c r="F1091" t="s">
        <v>770</v>
      </c>
      <c r="G1091" t="s">
        <v>28</v>
      </c>
      <c r="H1091" t="s">
        <v>29</v>
      </c>
      <c r="I1091" t="s">
        <v>34</v>
      </c>
      <c r="J1091" t="s">
        <v>30</v>
      </c>
      <c r="K1091" t="s">
        <v>27</v>
      </c>
      <c r="L1091" t="s">
        <v>5847</v>
      </c>
      <c r="M1091" t="s">
        <v>5848</v>
      </c>
      <c r="N1091" t="s">
        <v>4623</v>
      </c>
      <c r="O1091" t="s">
        <v>54</v>
      </c>
      <c r="P1091" t="s">
        <v>5849</v>
      </c>
      <c r="Q1091" t="s">
        <v>65</v>
      </c>
      <c r="R1091" s="26" t="s">
        <v>528</v>
      </c>
      <c r="S1091">
        <v>1</v>
      </c>
      <c r="T1091">
        <v>3631</v>
      </c>
      <c r="U1091">
        <v>0</v>
      </c>
      <c r="V1091">
        <v>3631</v>
      </c>
    </row>
    <row r="1092" spans="1:22" x14ac:dyDescent="0.3">
      <c r="A1092">
        <v>186607</v>
      </c>
      <c r="B1092">
        <v>455683802</v>
      </c>
      <c r="C1092" t="s">
        <v>5850</v>
      </c>
      <c r="D1092" s="9" t="s">
        <v>5851</v>
      </c>
      <c r="E1092" t="s">
        <v>4620</v>
      </c>
      <c r="F1092" t="s">
        <v>770</v>
      </c>
      <c r="G1092" t="s">
        <v>28</v>
      </c>
      <c r="H1092" t="s">
        <v>29</v>
      </c>
      <c r="I1092" t="s">
        <v>34</v>
      </c>
      <c r="J1092" t="s">
        <v>30</v>
      </c>
      <c r="K1092" t="s">
        <v>27</v>
      </c>
      <c r="L1092" t="s">
        <v>5852</v>
      </c>
      <c r="M1092" t="s">
        <v>5853</v>
      </c>
      <c r="N1092" t="s">
        <v>4623</v>
      </c>
      <c r="O1092" t="s">
        <v>54</v>
      </c>
      <c r="P1092" t="s">
        <v>5854</v>
      </c>
      <c r="Q1092" t="s">
        <v>125</v>
      </c>
      <c r="R1092" s="26" t="s">
        <v>720</v>
      </c>
      <c r="S1092">
        <v>1</v>
      </c>
      <c r="T1092">
        <v>3653</v>
      </c>
      <c r="U1092">
        <v>0</v>
      </c>
      <c r="V1092">
        <v>3653</v>
      </c>
    </row>
    <row r="1093" spans="1:22" x14ac:dyDescent="0.3">
      <c r="A1093">
        <v>186607</v>
      </c>
      <c r="B1093">
        <v>455683837</v>
      </c>
      <c r="C1093" t="s">
        <v>5855</v>
      </c>
      <c r="D1093" s="9" t="s">
        <v>5856</v>
      </c>
      <c r="E1093" t="s">
        <v>4620</v>
      </c>
      <c r="F1093" t="s">
        <v>770</v>
      </c>
      <c r="G1093" t="s">
        <v>28</v>
      </c>
      <c r="H1093" t="s">
        <v>29</v>
      </c>
      <c r="I1093" t="s">
        <v>34</v>
      </c>
      <c r="J1093" t="s">
        <v>30</v>
      </c>
      <c r="K1093" t="s">
        <v>27</v>
      </c>
      <c r="L1093" t="s">
        <v>5857</v>
      </c>
      <c r="M1093" t="s">
        <v>5858</v>
      </c>
      <c r="N1093" t="s">
        <v>4623</v>
      </c>
      <c r="O1093" t="s">
        <v>54</v>
      </c>
      <c r="P1093" t="s">
        <v>5859</v>
      </c>
      <c r="Q1093" t="s">
        <v>65</v>
      </c>
      <c r="R1093" s="26" t="s">
        <v>720</v>
      </c>
      <c r="S1093">
        <v>2</v>
      </c>
      <c r="T1093">
        <v>3631</v>
      </c>
      <c r="U1093">
        <v>0</v>
      </c>
      <c r="V1093">
        <v>3631</v>
      </c>
    </row>
    <row r="1094" spans="1:22" x14ac:dyDescent="0.3">
      <c r="A1094">
        <v>186607</v>
      </c>
      <c r="B1094">
        <v>455683813</v>
      </c>
      <c r="C1094" t="s">
        <v>5860</v>
      </c>
      <c r="D1094" s="9" t="s">
        <v>5861</v>
      </c>
      <c r="E1094" t="s">
        <v>4620</v>
      </c>
      <c r="F1094" t="s">
        <v>770</v>
      </c>
      <c r="G1094" t="s">
        <v>28</v>
      </c>
      <c r="H1094" t="s">
        <v>29</v>
      </c>
      <c r="I1094" t="s">
        <v>34</v>
      </c>
      <c r="J1094" t="s">
        <v>30</v>
      </c>
      <c r="K1094" t="s">
        <v>27</v>
      </c>
      <c r="L1094" t="s">
        <v>5862</v>
      </c>
      <c r="M1094" t="s">
        <v>5863</v>
      </c>
      <c r="N1094" t="s">
        <v>4623</v>
      </c>
      <c r="O1094" t="s">
        <v>54</v>
      </c>
      <c r="P1094" t="s">
        <v>5864</v>
      </c>
      <c r="Q1094" t="s">
        <v>119</v>
      </c>
      <c r="R1094" s="26" t="s">
        <v>720</v>
      </c>
      <c r="S1094">
        <v>3.5</v>
      </c>
      <c r="T1094">
        <v>5193</v>
      </c>
      <c r="U1094">
        <v>0</v>
      </c>
      <c r="V1094">
        <v>5193</v>
      </c>
    </row>
    <row r="1095" spans="1:22" x14ac:dyDescent="0.3">
      <c r="A1095">
        <v>186607</v>
      </c>
      <c r="B1095">
        <v>455683783</v>
      </c>
      <c r="C1095" t="s">
        <v>5865</v>
      </c>
      <c r="D1095" s="9" t="s">
        <v>5866</v>
      </c>
      <c r="E1095" t="s">
        <v>4620</v>
      </c>
      <c r="F1095" t="s">
        <v>770</v>
      </c>
      <c r="G1095" t="s">
        <v>28</v>
      </c>
      <c r="H1095" t="s">
        <v>29</v>
      </c>
      <c r="I1095" t="s">
        <v>34</v>
      </c>
      <c r="J1095" t="s">
        <v>30</v>
      </c>
      <c r="K1095" t="s">
        <v>27</v>
      </c>
      <c r="L1095" t="s">
        <v>5867</v>
      </c>
      <c r="M1095" t="s">
        <v>5868</v>
      </c>
      <c r="N1095" t="s">
        <v>4623</v>
      </c>
      <c r="O1095" t="s">
        <v>54</v>
      </c>
      <c r="P1095" t="s">
        <v>5869</v>
      </c>
      <c r="Q1095" t="s">
        <v>85</v>
      </c>
      <c r="R1095" s="26" t="s">
        <v>720</v>
      </c>
      <c r="S1095">
        <v>3</v>
      </c>
      <c r="T1095">
        <v>3631</v>
      </c>
      <c r="U1095">
        <v>0</v>
      </c>
      <c r="V1095">
        <v>3631</v>
      </c>
    </row>
    <row r="1096" spans="1:22" x14ac:dyDescent="0.3">
      <c r="A1096">
        <v>186607</v>
      </c>
      <c r="B1096">
        <v>455683705</v>
      </c>
      <c r="C1096" t="s">
        <v>5870</v>
      </c>
      <c r="D1096" s="9" t="s">
        <v>5871</v>
      </c>
      <c r="E1096" t="s">
        <v>4620</v>
      </c>
      <c r="F1096" t="s">
        <v>770</v>
      </c>
      <c r="G1096" t="s">
        <v>28</v>
      </c>
      <c r="H1096" t="s">
        <v>29</v>
      </c>
      <c r="I1096" t="s">
        <v>34</v>
      </c>
      <c r="J1096" t="s">
        <v>30</v>
      </c>
      <c r="K1096" t="s">
        <v>27</v>
      </c>
      <c r="L1096" t="s">
        <v>5872</v>
      </c>
      <c r="M1096" t="s">
        <v>5873</v>
      </c>
      <c r="N1096" t="s">
        <v>4623</v>
      </c>
      <c r="O1096" t="s">
        <v>54</v>
      </c>
      <c r="P1096" t="s">
        <v>5874</v>
      </c>
      <c r="Q1096" t="s">
        <v>72</v>
      </c>
      <c r="R1096" s="26" t="s">
        <v>720</v>
      </c>
      <c r="S1096">
        <v>1</v>
      </c>
      <c r="T1096">
        <v>3653</v>
      </c>
      <c r="U1096">
        <v>0</v>
      </c>
      <c r="V1096">
        <v>3653</v>
      </c>
    </row>
    <row r="1097" spans="1:22" x14ac:dyDescent="0.3">
      <c r="A1097">
        <v>186607</v>
      </c>
      <c r="B1097">
        <v>455683693</v>
      </c>
      <c r="C1097" t="s">
        <v>5875</v>
      </c>
      <c r="D1097" s="9" t="s">
        <v>5876</v>
      </c>
      <c r="E1097" t="s">
        <v>4620</v>
      </c>
      <c r="F1097" t="s">
        <v>770</v>
      </c>
      <c r="G1097" t="s">
        <v>28</v>
      </c>
      <c r="H1097" t="s">
        <v>29</v>
      </c>
      <c r="I1097" t="s">
        <v>34</v>
      </c>
      <c r="J1097" t="s">
        <v>30</v>
      </c>
      <c r="K1097" t="s">
        <v>27</v>
      </c>
      <c r="L1097" t="s">
        <v>5877</v>
      </c>
      <c r="M1097" t="s">
        <v>5878</v>
      </c>
      <c r="N1097" t="s">
        <v>4623</v>
      </c>
      <c r="O1097" t="s">
        <v>54</v>
      </c>
      <c r="P1097" t="s">
        <v>5879</v>
      </c>
      <c r="Q1097" t="s">
        <v>109</v>
      </c>
      <c r="R1097" s="26" t="s">
        <v>720</v>
      </c>
      <c r="S1097">
        <v>1</v>
      </c>
      <c r="T1097">
        <v>3250</v>
      </c>
      <c r="U1097">
        <v>0</v>
      </c>
      <c r="V1097">
        <v>3250</v>
      </c>
    </row>
    <row r="1098" spans="1:22" x14ac:dyDescent="0.3">
      <c r="A1098">
        <v>186607</v>
      </c>
      <c r="B1098">
        <v>455683697</v>
      </c>
      <c r="C1098" t="s">
        <v>5880</v>
      </c>
      <c r="D1098" s="9" t="s">
        <v>5881</v>
      </c>
      <c r="E1098" t="s">
        <v>4620</v>
      </c>
      <c r="F1098" t="s">
        <v>770</v>
      </c>
      <c r="G1098" t="s">
        <v>28</v>
      </c>
      <c r="H1098" t="s">
        <v>29</v>
      </c>
      <c r="I1098" t="s">
        <v>34</v>
      </c>
      <c r="J1098" t="s">
        <v>30</v>
      </c>
      <c r="K1098" t="s">
        <v>27</v>
      </c>
      <c r="L1098" t="s">
        <v>5882</v>
      </c>
      <c r="M1098" t="s">
        <v>5883</v>
      </c>
      <c r="N1098" t="s">
        <v>4623</v>
      </c>
      <c r="O1098" t="s">
        <v>54</v>
      </c>
      <c r="P1098" t="s">
        <v>5884</v>
      </c>
      <c r="Q1098" t="s">
        <v>59</v>
      </c>
      <c r="R1098" s="26" t="s">
        <v>720</v>
      </c>
      <c r="S1098">
        <v>3.5</v>
      </c>
      <c r="T1098">
        <v>4305</v>
      </c>
      <c r="U1098">
        <v>0</v>
      </c>
      <c r="V1098">
        <v>4305</v>
      </c>
    </row>
    <row r="1099" spans="1:22" x14ac:dyDescent="0.3">
      <c r="A1099">
        <v>186607</v>
      </c>
      <c r="B1099">
        <v>455683756</v>
      </c>
      <c r="C1099" t="s">
        <v>5885</v>
      </c>
      <c r="D1099" s="9" t="s">
        <v>5886</v>
      </c>
      <c r="E1099" t="s">
        <v>4620</v>
      </c>
      <c r="F1099" t="s">
        <v>770</v>
      </c>
      <c r="G1099" t="s">
        <v>28</v>
      </c>
      <c r="H1099" t="s">
        <v>29</v>
      </c>
      <c r="I1099" t="s">
        <v>34</v>
      </c>
      <c r="J1099" t="s">
        <v>30</v>
      </c>
      <c r="K1099" t="s">
        <v>27</v>
      </c>
      <c r="L1099" t="s">
        <v>5887</v>
      </c>
      <c r="M1099" t="s">
        <v>5888</v>
      </c>
      <c r="N1099" t="s">
        <v>4623</v>
      </c>
      <c r="O1099" t="s">
        <v>54</v>
      </c>
      <c r="P1099" t="s">
        <v>5889</v>
      </c>
      <c r="Q1099" t="s">
        <v>121</v>
      </c>
      <c r="R1099" s="26" t="s">
        <v>720</v>
      </c>
      <c r="S1099">
        <v>4.0999999999999996</v>
      </c>
      <c r="T1099">
        <v>4935</v>
      </c>
      <c r="U1099">
        <v>0</v>
      </c>
      <c r="V1099">
        <v>4935</v>
      </c>
    </row>
    <row r="1100" spans="1:22" x14ac:dyDescent="0.3">
      <c r="A1100">
        <v>186607</v>
      </c>
      <c r="B1100">
        <v>455446251</v>
      </c>
      <c r="C1100" t="s">
        <v>5890</v>
      </c>
      <c r="D1100" s="9" t="s">
        <v>5891</v>
      </c>
      <c r="E1100" t="s">
        <v>4620</v>
      </c>
      <c r="F1100" t="s">
        <v>770</v>
      </c>
      <c r="G1100" t="s">
        <v>28</v>
      </c>
      <c r="H1100" t="s">
        <v>29</v>
      </c>
      <c r="I1100" t="s">
        <v>34</v>
      </c>
      <c r="J1100" t="s">
        <v>30</v>
      </c>
      <c r="K1100" t="s">
        <v>27</v>
      </c>
      <c r="L1100" t="s">
        <v>5892</v>
      </c>
      <c r="M1100" t="s">
        <v>5893</v>
      </c>
      <c r="N1100" t="s">
        <v>4623</v>
      </c>
      <c r="O1100" t="s">
        <v>54</v>
      </c>
      <c r="P1100" t="s">
        <v>5894</v>
      </c>
      <c r="Q1100" t="s">
        <v>73</v>
      </c>
      <c r="R1100" s="26" t="s">
        <v>311</v>
      </c>
      <c r="S1100">
        <v>0.5</v>
      </c>
      <c r="T1100">
        <v>3339</v>
      </c>
      <c r="U1100">
        <v>0</v>
      </c>
      <c r="V1100">
        <v>3339</v>
      </c>
    </row>
    <row r="1101" spans="1:22" x14ac:dyDescent="0.3">
      <c r="A1101">
        <v>186607</v>
      </c>
      <c r="B1101">
        <v>455683845</v>
      </c>
      <c r="C1101" t="s">
        <v>5895</v>
      </c>
      <c r="D1101" s="9" t="s">
        <v>5896</v>
      </c>
      <c r="E1101" t="s">
        <v>4620</v>
      </c>
      <c r="F1101" t="s">
        <v>770</v>
      </c>
      <c r="G1101" t="s">
        <v>28</v>
      </c>
      <c r="H1101" t="s">
        <v>29</v>
      </c>
      <c r="I1101" t="s">
        <v>34</v>
      </c>
      <c r="J1101" t="s">
        <v>30</v>
      </c>
      <c r="K1101" t="s">
        <v>27</v>
      </c>
      <c r="L1101" t="s">
        <v>5897</v>
      </c>
      <c r="M1101" t="s">
        <v>5898</v>
      </c>
      <c r="N1101" t="s">
        <v>4623</v>
      </c>
      <c r="O1101" t="s">
        <v>54</v>
      </c>
      <c r="P1101" t="s">
        <v>5899</v>
      </c>
      <c r="Q1101" t="s">
        <v>62</v>
      </c>
      <c r="R1101" s="26" t="s">
        <v>720</v>
      </c>
      <c r="S1101">
        <v>0.5</v>
      </c>
      <c r="T1101">
        <v>3339</v>
      </c>
      <c r="U1101">
        <v>0</v>
      </c>
      <c r="V1101">
        <v>3339</v>
      </c>
    </row>
    <row r="1102" spans="1:22" x14ac:dyDescent="0.3">
      <c r="A1102">
        <v>186607</v>
      </c>
      <c r="B1102">
        <v>455683715</v>
      </c>
      <c r="C1102" t="s">
        <v>5900</v>
      </c>
      <c r="D1102" s="9" t="s">
        <v>5901</v>
      </c>
      <c r="E1102" t="s">
        <v>4620</v>
      </c>
      <c r="F1102" t="s">
        <v>770</v>
      </c>
      <c r="G1102" t="s">
        <v>28</v>
      </c>
      <c r="H1102" t="s">
        <v>29</v>
      </c>
      <c r="I1102" t="s">
        <v>34</v>
      </c>
      <c r="J1102" t="s">
        <v>30</v>
      </c>
      <c r="K1102" t="s">
        <v>27</v>
      </c>
      <c r="L1102" t="s">
        <v>5902</v>
      </c>
      <c r="M1102" t="s">
        <v>5903</v>
      </c>
      <c r="N1102" t="s">
        <v>4623</v>
      </c>
      <c r="O1102" t="s">
        <v>54</v>
      </c>
      <c r="P1102" t="s">
        <v>5904</v>
      </c>
      <c r="Q1102" t="s">
        <v>85</v>
      </c>
      <c r="R1102" s="26" t="s">
        <v>720</v>
      </c>
      <c r="S1102">
        <v>1</v>
      </c>
      <c r="T1102">
        <v>3631</v>
      </c>
      <c r="U1102">
        <v>0</v>
      </c>
      <c r="V1102">
        <v>3631</v>
      </c>
    </row>
    <row r="1103" spans="1:22" x14ac:dyDescent="0.3">
      <c r="A1103">
        <v>186607</v>
      </c>
      <c r="B1103">
        <v>455520328</v>
      </c>
      <c r="C1103" t="s">
        <v>5905</v>
      </c>
      <c r="D1103" s="9" t="s">
        <v>5906</v>
      </c>
      <c r="E1103" t="s">
        <v>4620</v>
      </c>
      <c r="F1103" t="s">
        <v>770</v>
      </c>
      <c r="G1103" t="s">
        <v>28</v>
      </c>
      <c r="H1103" t="s">
        <v>29</v>
      </c>
      <c r="I1103" t="s">
        <v>34</v>
      </c>
      <c r="J1103" t="s">
        <v>30</v>
      </c>
      <c r="K1103" t="s">
        <v>27</v>
      </c>
      <c r="L1103" t="s">
        <v>5907</v>
      </c>
      <c r="M1103" t="s">
        <v>5908</v>
      </c>
      <c r="N1103" t="s">
        <v>4623</v>
      </c>
      <c r="O1103" t="s">
        <v>54</v>
      </c>
      <c r="P1103" t="s">
        <v>5909</v>
      </c>
      <c r="Q1103" t="s">
        <v>135</v>
      </c>
      <c r="R1103" s="26" t="s">
        <v>547</v>
      </c>
      <c r="S1103">
        <v>1</v>
      </c>
      <c r="T1103">
        <v>3250</v>
      </c>
      <c r="U1103">
        <v>0</v>
      </c>
      <c r="V1103">
        <v>3250</v>
      </c>
    </row>
    <row r="1104" spans="1:22" x14ac:dyDescent="0.3">
      <c r="A1104">
        <v>186607</v>
      </c>
      <c r="B1104">
        <v>455520379</v>
      </c>
      <c r="C1104" t="s">
        <v>5910</v>
      </c>
      <c r="D1104" s="9" t="s">
        <v>5911</v>
      </c>
      <c r="E1104" t="s">
        <v>4620</v>
      </c>
      <c r="F1104" t="s">
        <v>770</v>
      </c>
      <c r="G1104" t="s">
        <v>28</v>
      </c>
      <c r="H1104" t="s">
        <v>29</v>
      </c>
      <c r="I1104" t="s">
        <v>34</v>
      </c>
      <c r="J1104" t="s">
        <v>30</v>
      </c>
      <c r="K1104" t="s">
        <v>27</v>
      </c>
      <c r="L1104" t="s">
        <v>5912</v>
      </c>
      <c r="M1104" t="s">
        <v>5913</v>
      </c>
      <c r="N1104" t="s">
        <v>4623</v>
      </c>
      <c r="O1104" t="s">
        <v>54</v>
      </c>
      <c r="P1104" t="s">
        <v>5914</v>
      </c>
      <c r="Q1104" t="s">
        <v>154</v>
      </c>
      <c r="R1104" s="26" t="s">
        <v>547</v>
      </c>
      <c r="S1104">
        <v>1</v>
      </c>
      <c r="T1104">
        <v>4205</v>
      </c>
      <c r="U1104">
        <v>0</v>
      </c>
      <c r="V1104">
        <v>4205</v>
      </c>
    </row>
    <row r="1105" spans="1:22" x14ac:dyDescent="0.3">
      <c r="A1105">
        <v>186607</v>
      </c>
      <c r="B1105">
        <v>455520396</v>
      </c>
      <c r="C1105" t="s">
        <v>5915</v>
      </c>
      <c r="D1105" s="9" t="s">
        <v>5916</v>
      </c>
      <c r="E1105" t="s">
        <v>4620</v>
      </c>
      <c r="F1105" t="s">
        <v>770</v>
      </c>
      <c r="G1105" t="s">
        <v>28</v>
      </c>
      <c r="H1105" t="s">
        <v>29</v>
      </c>
      <c r="I1105" t="s">
        <v>34</v>
      </c>
      <c r="J1105" t="s">
        <v>30</v>
      </c>
      <c r="K1105" t="s">
        <v>27</v>
      </c>
      <c r="L1105" t="s">
        <v>5917</v>
      </c>
      <c r="M1105" t="s">
        <v>5918</v>
      </c>
      <c r="N1105" t="s">
        <v>4623</v>
      </c>
      <c r="O1105" t="s">
        <v>54</v>
      </c>
      <c r="P1105" t="s">
        <v>5919</v>
      </c>
      <c r="Q1105" t="s">
        <v>62</v>
      </c>
      <c r="R1105" s="26" t="s">
        <v>547</v>
      </c>
      <c r="S1105">
        <v>0.5</v>
      </c>
      <c r="T1105">
        <v>3339</v>
      </c>
      <c r="U1105">
        <v>0</v>
      </c>
      <c r="V1105">
        <v>3339</v>
      </c>
    </row>
    <row r="1106" spans="1:22" x14ac:dyDescent="0.3">
      <c r="A1106">
        <v>186607</v>
      </c>
      <c r="B1106">
        <v>455493390</v>
      </c>
      <c r="C1106" t="s">
        <v>5920</v>
      </c>
      <c r="D1106" s="9" t="s">
        <v>5921</v>
      </c>
      <c r="E1106" t="s">
        <v>4620</v>
      </c>
      <c r="F1106" t="s">
        <v>770</v>
      </c>
      <c r="G1106" t="s">
        <v>28</v>
      </c>
      <c r="H1106" t="s">
        <v>29</v>
      </c>
      <c r="I1106" t="s">
        <v>34</v>
      </c>
      <c r="J1106" t="s">
        <v>30</v>
      </c>
      <c r="K1106" t="s">
        <v>27</v>
      </c>
      <c r="L1106" t="s">
        <v>5922</v>
      </c>
      <c r="M1106" t="s">
        <v>5923</v>
      </c>
      <c r="N1106" t="s">
        <v>4623</v>
      </c>
      <c r="O1106" t="s">
        <v>54</v>
      </c>
      <c r="P1106" t="s">
        <v>5924</v>
      </c>
      <c r="Q1106" t="s">
        <v>108</v>
      </c>
      <c r="R1106" s="26" t="s">
        <v>5608</v>
      </c>
      <c r="S1106">
        <v>0.5</v>
      </c>
      <c r="T1106">
        <v>3193</v>
      </c>
      <c r="U1106">
        <v>0</v>
      </c>
      <c r="V1106">
        <v>3193</v>
      </c>
    </row>
    <row r="1107" spans="1:22" x14ac:dyDescent="0.3">
      <c r="A1107">
        <v>186607</v>
      </c>
      <c r="B1107">
        <v>455520404</v>
      </c>
      <c r="C1107" t="s">
        <v>5925</v>
      </c>
      <c r="D1107" s="9" t="s">
        <v>5926</v>
      </c>
      <c r="E1107" t="s">
        <v>4620</v>
      </c>
      <c r="F1107" t="s">
        <v>770</v>
      </c>
      <c r="G1107" t="s">
        <v>28</v>
      </c>
      <c r="H1107" t="s">
        <v>29</v>
      </c>
      <c r="I1107" t="s">
        <v>34</v>
      </c>
      <c r="J1107" t="s">
        <v>30</v>
      </c>
      <c r="K1107" t="s">
        <v>27</v>
      </c>
      <c r="L1107" t="s">
        <v>5927</v>
      </c>
      <c r="M1107" t="s">
        <v>5928</v>
      </c>
      <c r="N1107" t="s">
        <v>4623</v>
      </c>
      <c r="O1107" t="s">
        <v>54</v>
      </c>
      <c r="P1107" t="s">
        <v>5929</v>
      </c>
      <c r="Q1107" t="s">
        <v>69</v>
      </c>
      <c r="R1107" s="26" t="s">
        <v>547</v>
      </c>
      <c r="S1107">
        <v>1</v>
      </c>
      <c r="T1107">
        <v>3935</v>
      </c>
      <c r="U1107">
        <v>0</v>
      </c>
      <c r="V1107">
        <v>3935</v>
      </c>
    </row>
    <row r="1108" spans="1:22" x14ac:dyDescent="0.3">
      <c r="A1108">
        <v>186607</v>
      </c>
      <c r="B1108">
        <v>455520408</v>
      </c>
      <c r="C1108" t="s">
        <v>5930</v>
      </c>
      <c r="D1108" s="9" t="s">
        <v>5931</v>
      </c>
      <c r="E1108" t="s">
        <v>4620</v>
      </c>
      <c r="F1108" t="s">
        <v>770</v>
      </c>
      <c r="G1108" t="s">
        <v>28</v>
      </c>
      <c r="H1108" t="s">
        <v>29</v>
      </c>
      <c r="I1108" t="s">
        <v>34</v>
      </c>
      <c r="J1108" t="s">
        <v>30</v>
      </c>
      <c r="K1108" t="s">
        <v>27</v>
      </c>
      <c r="L1108" t="s">
        <v>531</v>
      </c>
      <c r="M1108" t="s">
        <v>5932</v>
      </c>
      <c r="N1108" t="s">
        <v>4623</v>
      </c>
      <c r="O1108" t="s">
        <v>54</v>
      </c>
      <c r="P1108" t="s">
        <v>5933</v>
      </c>
      <c r="Q1108" t="s">
        <v>85</v>
      </c>
      <c r="R1108" s="26" t="s">
        <v>547</v>
      </c>
      <c r="S1108">
        <v>1</v>
      </c>
      <c r="T1108">
        <v>3631</v>
      </c>
      <c r="U1108">
        <v>0</v>
      </c>
      <c r="V1108">
        <v>3631</v>
      </c>
    </row>
    <row r="1109" spans="1:22" x14ac:dyDescent="0.3">
      <c r="A1109">
        <v>186607</v>
      </c>
      <c r="B1109">
        <v>455520338</v>
      </c>
      <c r="C1109" t="s">
        <v>5934</v>
      </c>
      <c r="D1109" s="9" t="s">
        <v>5935</v>
      </c>
      <c r="E1109" t="s">
        <v>4620</v>
      </c>
      <c r="F1109" t="s">
        <v>770</v>
      </c>
      <c r="G1109" t="s">
        <v>28</v>
      </c>
      <c r="H1109" t="s">
        <v>29</v>
      </c>
      <c r="I1109" t="s">
        <v>34</v>
      </c>
      <c r="J1109" t="s">
        <v>30</v>
      </c>
      <c r="K1109" t="s">
        <v>27</v>
      </c>
      <c r="L1109" t="s">
        <v>5936</v>
      </c>
      <c r="M1109" t="s">
        <v>5937</v>
      </c>
      <c r="N1109" t="s">
        <v>4623</v>
      </c>
      <c r="O1109" t="s">
        <v>54</v>
      </c>
      <c r="P1109" t="s">
        <v>5938</v>
      </c>
      <c r="Q1109" t="s">
        <v>109</v>
      </c>
      <c r="R1109" s="26" t="s">
        <v>547</v>
      </c>
      <c r="S1109">
        <v>3.7</v>
      </c>
      <c r="T1109">
        <v>3664</v>
      </c>
      <c r="U1109">
        <v>0</v>
      </c>
      <c r="V1109">
        <v>3664</v>
      </c>
    </row>
    <row r="1110" spans="1:22" x14ac:dyDescent="0.3">
      <c r="A1110">
        <v>186607</v>
      </c>
      <c r="B1110">
        <v>455493389</v>
      </c>
      <c r="C1110" t="s">
        <v>5939</v>
      </c>
      <c r="D1110" s="9" t="s">
        <v>5940</v>
      </c>
      <c r="E1110" t="s">
        <v>4620</v>
      </c>
      <c r="F1110" t="s">
        <v>770</v>
      </c>
      <c r="G1110" t="s">
        <v>28</v>
      </c>
      <c r="H1110" t="s">
        <v>29</v>
      </c>
      <c r="I1110" t="s">
        <v>34</v>
      </c>
      <c r="J1110" t="s">
        <v>30</v>
      </c>
      <c r="K1110" t="s">
        <v>27</v>
      </c>
      <c r="L1110" t="s">
        <v>5941</v>
      </c>
      <c r="M1110" t="s">
        <v>5942</v>
      </c>
      <c r="N1110" t="s">
        <v>4623</v>
      </c>
      <c r="O1110" t="s">
        <v>54</v>
      </c>
      <c r="P1110" t="s">
        <v>5943</v>
      </c>
      <c r="Q1110" t="s">
        <v>135</v>
      </c>
      <c r="R1110" s="26" t="s">
        <v>5608</v>
      </c>
      <c r="S1110">
        <v>0.5</v>
      </c>
      <c r="T1110">
        <v>3193</v>
      </c>
      <c r="U1110">
        <v>0</v>
      </c>
      <c r="V1110">
        <v>3193</v>
      </c>
    </row>
    <row r="1111" spans="1:22" x14ac:dyDescent="0.3">
      <c r="A1111">
        <v>186607</v>
      </c>
      <c r="B1111">
        <v>455520358</v>
      </c>
      <c r="C1111" t="s">
        <v>5944</v>
      </c>
      <c r="D1111" s="9" t="s">
        <v>5945</v>
      </c>
      <c r="E1111" t="s">
        <v>4620</v>
      </c>
      <c r="F1111" t="s">
        <v>770</v>
      </c>
      <c r="G1111" t="s">
        <v>28</v>
      </c>
      <c r="H1111" t="s">
        <v>29</v>
      </c>
      <c r="I1111" t="s">
        <v>34</v>
      </c>
      <c r="J1111" t="s">
        <v>30</v>
      </c>
      <c r="K1111" t="s">
        <v>27</v>
      </c>
      <c r="L1111" t="s">
        <v>5946</v>
      </c>
      <c r="M1111" t="s">
        <v>5947</v>
      </c>
      <c r="N1111" t="s">
        <v>4623</v>
      </c>
      <c r="O1111" t="s">
        <v>54</v>
      </c>
      <c r="P1111" t="s">
        <v>5948</v>
      </c>
      <c r="Q1111" t="s">
        <v>144</v>
      </c>
      <c r="R1111" s="26" t="s">
        <v>547</v>
      </c>
      <c r="S1111">
        <v>1</v>
      </c>
      <c r="T1111">
        <v>3653</v>
      </c>
      <c r="U1111">
        <v>0</v>
      </c>
      <c r="V1111">
        <v>3653</v>
      </c>
    </row>
    <row r="1112" spans="1:22" x14ac:dyDescent="0.3">
      <c r="A1112">
        <v>186607</v>
      </c>
      <c r="B1112">
        <v>455493395</v>
      </c>
      <c r="C1112" t="s">
        <v>5949</v>
      </c>
      <c r="D1112" s="9" t="s">
        <v>5950</v>
      </c>
      <c r="E1112" t="s">
        <v>4620</v>
      </c>
      <c r="F1112" t="s">
        <v>770</v>
      </c>
      <c r="G1112" t="s">
        <v>28</v>
      </c>
      <c r="H1112" t="s">
        <v>29</v>
      </c>
      <c r="I1112" t="s">
        <v>34</v>
      </c>
      <c r="J1112" t="s">
        <v>30</v>
      </c>
      <c r="K1112" t="s">
        <v>27</v>
      </c>
      <c r="L1112" t="s">
        <v>5951</v>
      </c>
      <c r="M1112" t="s">
        <v>5952</v>
      </c>
      <c r="N1112" t="s">
        <v>4623</v>
      </c>
      <c r="O1112" t="s">
        <v>54</v>
      </c>
      <c r="P1112" t="s">
        <v>5953</v>
      </c>
      <c r="Q1112" t="s">
        <v>99</v>
      </c>
      <c r="R1112" s="26" t="s">
        <v>5608</v>
      </c>
      <c r="S1112">
        <v>0.5</v>
      </c>
      <c r="T1112">
        <v>3193</v>
      </c>
      <c r="U1112">
        <v>0</v>
      </c>
      <c r="V1112">
        <v>3193</v>
      </c>
    </row>
    <row r="1113" spans="1:22" x14ac:dyDescent="0.3">
      <c r="A1113">
        <v>186607</v>
      </c>
      <c r="B1113">
        <v>455493402</v>
      </c>
      <c r="C1113" t="s">
        <v>5954</v>
      </c>
      <c r="D1113" s="9" t="s">
        <v>5955</v>
      </c>
      <c r="E1113" t="s">
        <v>4620</v>
      </c>
      <c r="F1113" t="s">
        <v>770</v>
      </c>
      <c r="G1113" t="s">
        <v>28</v>
      </c>
      <c r="H1113" t="s">
        <v>29</v>
      </c>
      <c r="I1113" t="s">
        <v>34</v>
      </c>
      <c r="J1113" t="s">
        <v>30</v>
      </c>
      <c r="K1113" t="s">
        <v>27</v>
      </c>
      <c r="L1113" t="s">
        <v>5956</v>
      </c>
      <c r="M1113" t="s">
        <v>5957</v>
      </c>
      <c r="N1113" t="s">
        <v>4623</v>
      </c>
      <c r="O1113" t="s">
        <v>54</v>
      </c>
      <c r="P1113" t="s">
        <v>5958</v>
      </c>
      <c r="Q1113" t="s">
        <v>102</v>
      </c>
      <c r="R1113" s="26" t="s">
        <v>5608</v>
      </c>
      <c r="S1113">
        <v>0.5</v>
      </c>
      <c r="T1113">
        <v>3552</v>
      </c>
      <c r="U1113">
        <v>0</v>
      </c>
      <c r="V1113">
        <v>3552</v>
      </c>
    </row>
    <row r="1114" spans="1:22" x14ac:dyDescent="0.3">
      <c r="A1114">
        <v>186607</v>
      </c>
      <c r="B1114">
        <v>455520410</v>
      </c>
      <c r="C1114" t="s">
        <v>5959</v>
      </c>
      <c r="D1114" s="9" t="s">
        <v>5960</v>
      </c>
      <c r="E1114" t="s">
        <v>4620</v>
      </c>
      <c r="F1114" t="s">
        <v>770</v>
      </c>
      <c r="G1114" t="s">
        <v>28</v>
      </c>
      <c r="H1114" t="s">
        <v>29</v>
      </c>
      <c r="I1114" t="s">
        <v>34</v>
      </c>
      <c r="J1114" t="s">
        <v>30</v>
      </c>
      <c r="K1114" t="s">
        <v>27</v>
      </c>
      <c r="L1114" t="s">
        <v>5961</v>
      </c>
      <c r="M1114" t="s">
        <v>5962</v>
      </c>
      <c r="N1114" t="s">
        <v>4623</v>
      </c>
      <c r="O1114" t="s">
        <v>54</v>
      </c>
      <c r="P1114" t="s">
        <v>5963</v>
      </c>
      <c r="Q1114" t="s">
        <v>65</v>
      </c>
      <c r="R1114" s="26" t="s">
        <v>547</v>
      </c>
      <c r="S1114">
        <v>1</v>
      </c>
      <c r="T1114">
        <v>3631</v>
      </c>
      <c r="U1114">
        <v>0</v>
      </c>
      <c r="V1114">
        <v>3631</v>
      </c>
    </row>
    <row r="1115" spans="1:22" x14ac:dyDescent="0.3">
      <c r="A1115">
        <v>186607</v>
      </c>
      <c r="B1115">
        <v>455520373</v>
      </c>
      <c r="C1115" t="s">
        <v>5964</v>
      </c>
      <c r="D1115" s="9" t="s">
        <v>5965</v>
      </c>
      <c r="E1115" t="s">
        <v>4620</v>
      </c>
      <c r="F1115" t="s">
        <v>770</v>
      </c>
      <c r="G1115" t="s">
        <v>28</v>
      </c>
      <c r="H1115" t="s">
        <v>29</v>
      </c>
      <c r="I1115" t="s">
        <v>34</v>
      </c>
      <c r="J1115" t="s">
        <v>30</v>
      </c>
      <c r="K1115" t="s">
        <v>27</v>
      </c>
      <c r="L1115" t="s">
        <v>5966</v>
      </c>
      <c r="M1115" t="s">
        <v>5967</v>
      </c>
      <c r="N1115" t="s">
        <v>4623</v>
      </c>
      <c r="O1115" t="s">
        <v>54</v>
      </c>
      <c r="P1115" t="s">
        <v>5968</v>
      </c>
      <c r="Q1115" t="s">
        <v>67</v>
      </c>
      <c r="R1115" s="26" t="s">
        <v>547</v>
      </c>
      <c r="S1115">
        <v>2.7</v>
      </c>
      <c r="T1115">
        <v>3384</v>
      </c>
      <c r="U1115">
        <v>0</v>
      </c>
      <c r="V1115">
        <v>3384</v>
      </c>
    </row>
    <row r="1116" spans="1:22" x14ac:dyDescent="0.3">
      <c r="A1116">
        <v>186607</v>
      </c>
      <c r="B1116">
        <v>455414553</v>
      </c>
      <c r="C1116" t="s">
        <v>5969</v>
      </c>
      <c r="D1116" s="9" t="s">
        <v>5970</v>
      </c>
      <c r="E1116" t="s">
        <v>4620</v>
      </c>
      <c r="F1116" t="s">
        <v>770</v>
      </c>
      <c r="G1116" t="s">
        <v>28</v>
      </c>
      <c r="H1116" t="s">
        <v>29</v>
      </c>
      <c r="I1116" t="s">
        <v>34</v>
      </c>
      <c r="J1116" t="s">
        <v>30</v>
      </c>
      <c r="K1116" t="s">
        <v>27</v>
      </c>
      <c r="L1116" t="s">
        <v>5971</v>
      </c>
      <c r="M1116" t="s">
        <v>5972</v>
      </c>
      <c r="N1116" t="s">
        <v>4623</v>
      </c>
      <c r="O1116" t="s">
        <v>54</v>
      </c>
      <c r="P1116" t="s">
        <v>5973</v>
      </c>
      <c r="Q1116" t="s">
        <v>88</v>
      </c>
      <c r="R1116" s="26" t="s">
        <v>349</v>
      </c>
      <c r="S1116">
        <v>1.5</v>
      </c>
      <c r="T1116">
        <v>5024</v>
      </c>
      <c r="U1116">
        <v>0</v>
      </c>
      <c r="V1116">
        <v>5024</v>
      </c>
    </row>
    <row r="1117" spans="1:22" x14ac:dyDescent="0.3">
      <c r="A1117">
        <v>186607</v>
      </c>
      <c r="B1117">
        <v>455409351</v>
      </c>
      <c r="C1117" t="s">
        <v>5974</v>
      </c>
      <c r="D1117" s="9" t="s">
        <v>5975</v>
      </c>
      <c r="E1117" t="s">
        <v>4620</v>
      </c>
      <c r="F1117" t="s">
        <v>770</v>
      </c>
      <c r="G1117" t="s">
        <v>28</v>
      </c>
      <c r="H1117" t="s">
        <v>29</v>
      </c>
      <c r="I1117" t="s">
        <v>34</v>
      </c>
      <c r="J1117" t="s">
        <v>30</v>
      </c>
      <c r="K1117" t="s">
        <v>27</v>
      </c>
      <c r="L1117" t="s">
        <v>5976</v>
      </c>
      <c r="M1117" t="s">
        <v>635</v>
      </c>
      <c r="N1117" t="s">
        <v>4623</v>
      </c>
      <c r="O1117" t="s">
        <v>54</v>
      </c>
      <c r="P1117" t="s">
        <v>5977</v>
      </c>
      <c r="Q1117" t="s">
        <v>84</v>
      </c>
      <c r="R1117" s="26" t="s">
        <v>301</v>
      </c>
      <c r="S1117">
        <v>1.5</v>
      </c>
      <c r="T1117">
        <v>5564</v>
      </c>
      <c r="U1117">
        <v>0</v>
      </c>
      <c r="V1117">
        <v>5564</v>
      </c>
    </row>
    <row r="1118" spans="1:22" x14ac:dyDescent="0.3">
      <c r="A1118">
        <v>186607</v>
      </c>
      <c r="B1118">
        <v>455358386</v>
      </c>
      <c r="C1118" t="s">
        <v>5978</v>
      </c>
      <c r="D1118" s="9" t="s">
        <v>5979</v>
      </c>
      <c r="E1118" t="s">
        <v>4620</v>
      </c>
      <c r="F1118" t="s">
        <v>770</v>
      </c>
      <c r="G1118" t="s">
        <v>28</v>
      </c>
      <c r="H1118" t="s">
        <v>29</v>
      </c>
      <c r="I1118" t="s">
        <v>34</v>
      </c>
      <c r="J1118" t="s">
        <v>30</v>
      </c>
      <c r="K1118" t="s">
        <v>27</v>
      </c>
      <c r="L1118" t="s">
        <v>5980</v>
      </c>
      <c r="M1118" t="s">
        <v>5981</v>
      </c>
      <c r="N1118" t="s">
        <v>4623</v>
      </c>
      <c r="O1118" t="s">
        <v>54</v>
      </c>
      <c r="P1118" t="s">
        <v>5982</v>
      </c>
      <c r="Q1118" t="s">
        <v>120</v>
      </c>
      <c r="R1118" s="26" t="s">
        <v>5983</v>
      </c>
      <c r="S1118">
        <v>5.6</v>
      </c>
      <c r="T1118">
        <v>10206</v>
      </c>
      <c r="U1118">
        <v>0</v>
      </c>
      <c r="V1118">
        <v>10206</v>
      </c>
    </row>
    <row r="1119" spans="1:22" x14ac:dyDescent="0.3">
      <c r="A1119">
        <v>186607</v>
      </c>
      <c r="B1119">
        <v>455396168</v>
      </c>
      <c r="C1119" t="s">
        <v>5984</v>
      </c>
      <c r="D1119" s="9" t="s">
        <v>5985</v>
      </c>
      <c r="E1119" t="s">
        <v>4620</v>
      </c>
      <c r="F1119" t="s">
        <v>770</v>
      </c>
      <c r="G1119" t="s">
        <v>28</v>
      </c>
      <c r="H1119" t="s">
        <v>29</v>
      </c>
      <c r="I1119" t="s">
        <v>34</v>
      </c>
      <c r="J1119" t="s">
        <v>30</v>
      </c>
      <c r="K1119" t="s">
        <v>27</v>
      </c>
      <c r="L1119" t="s">
        <v>5986</v>
      </c>
      <c r="M1119" t="s">
        <v>5987</v>
      </c>
      <c r="N1119" t="s">
        <v>4623</v>
      </c>
      <c r="O1119" t="s">
        <v>54</v>
      </c>
      <c r="P1119" t="s">
        <v>5988</v>
      </c>
      <c r="Q1119" t="s">
        <v>61</v>
      </c>
      <c r="R1119" s="26" t="s">
        <v>5002</v>
      </c>
      <c r="S1119">
        <v>1.7</v>
      </c>
      <c r="T1119">
        <v>3631</v>
      </c>
      <c r="U1119">
        <v>0</v>
      </c>
      <c r="V1119">
        <v>3631</v>
      </c>
    </row>
    <row r="1120" spans="1:22" x14ac:dyDescent="0.3">
      <c r="A1120">
        <v>186607</v>
      </c>
      <c r="B1120">
        <v>455414557</v>
      </c>
      <c r="C1120" t="s">
        <v>5989</v>
      </c>
      <c r="D1120" s="9" t="s">
        <v>5990</v>
      </c>
      <c r="E1120" t="s">
        <v>4620</v>
      </c>
      <c r="F1120" t="s">
        <v>770</v>
      </c>
      <c r="G1120" t="s">
        <v>28</v>
      </c>
      <c r="H1120" t="s">
        <v>29</v>
      </c>
      <c r="I1120" t="s">
        <v>34</v>
      </c>
      <c r="J1120" t="s">
        <v>30</v>
      </c>
      <c r="K1120" t="s">
        <v>27</v>
      </c>
      <c r="L1120" t="s">
        <v>5991</v>
      </c>
      <c r="M1120" t="s">
        <v>5992</v>
      </c>
      <c r="N1120" t="s">
        <v>4623</v>
      </c>
      <c r="O1120" t="s">
        <v>54</v>
      </c>
      <c r="P1120" t="s">
        <v>5993</v>
      </c>
      <c r="Q1120" t="s">
        <v>42</v>
      </c>
      <c r="R1120" s="26" t="s">
        <v>349</v>
      </c>
      <c r="S1120">
        <v>3.1</v>
      </c>
      <c r="T1120">
        <v>4182</v>
      </c>
      <c r="U1120">
        <v>0</v>
      </c>
      <c r="V1120">
        <v>4182</v>
      </c>
    </row>
    <row r="1121" spans="1:22" x14ac:dyDescent="0.3">
      <c r="A1121">
        <v>186607</v>
      </c>
      <c r="B1121">
        <v>455396160</v>
      </c>
      <c r="C1121" t="s">
        <v>5994</v>
      </c>
      <c r="D1121" s="9" t="s">
        <v>5995</v>
      </c>
      <c r="E1121" t="s">
        <v>4620</v>
      </c>
      <c r="F1121" t="s">
        <v>770</v>
      </c>
      <c r="G1121" t="s">
        <v>28</v>
      </c>
      <c r="H1121" t="s">
        <v>29</v>
      </c>
      <c r="I1121" t="s">
        <v>34</v>
      </c>
      <c r="J1121" t="s">
        <v>30</v>
      </c>
      <c r="K1121" t="s">
        <v>27</v>
      </c>
      <c r="L1121" t="s">
        <v>5996</v>
      </c>
      <c r="M1121" t="s">
        <v>5997</v>
      </c>
      <c r="N1121" t="s">
        <v>4623</v>
      </c>
      <c r="O1121" t="s">
        <v>54</v>
      </c>
      <c r="P1121" t="s">
        <v>5998</v>
      </c>
      <c r="Q1121" t="s">
        <v>143</v>
      </c>
      <c r="R1121" s="26" t="s">
        <v>5002</v>
      </c>
      <c r="S1121">
        <v>3.2</v>
      </c>
      <c r="T1121">
        <v>3664</v>
      </c>
      <c r="U1121">
        <v>0</v>
      </c>
      <c r="V1121">
        <v>3664</v>
      </c>
    </row>
    <row r="1122" spans="1:22" x14ac:dyDescent="0.3">
      <c r="A1122">
        <v>186607</v>
      </c>
      <c r="B1122">
        <v>455358393</v>
      </c>
      <c r="C1122" t="s">
        <v>5999</v>
      </c>
      <c r="D1122" s="9" t="s">
        <v>6000</v>
      </c>
      <c r="E1122" t="s">
        <v>4620</v>
      </c>
      <c r="F1122" t="s">
        <v>770</v>
      </c>
      <c r="G1122" t="s">
        <v>28</v>
      </c>
      <c r="H1122" t="s">
        <v>29</v>
      </c>
      <c r="I1122" t="s">
        <v>34</v>
      </c>
      <c r="J1122" t="s">
        <v>30</v>
      </c>
      <c r="K1122" t="s">
        <v>27</v>
      </c>
      <c r="L1122" t="s">
        <v>6001</v>
      </c>
      <c r="M1122" t="s">
        <v>6002</v>
      </c>
      <c r="N1122" t="s">
        <v>4623</v>
      </c>
      <c r="O1122" t="s">
        <v>54</v>
      </c>
      <c r="P1122" t="s">
        <v>6003</v>
      </c>
      <c r="Q1122" t="s">
        <v>88</v>
      </c>
      <c r="R1122" s="26" t="s">
        <v>5983</v>
      </c>
      <c r="S1122">
        <v>5.6</v>
      </c>
      <c r="T1122">
        <v>9387</v>
      </c>
      <c r="U1122">
        <v>0</v>
      </c>
      <c r="V1122">
        <v>9387</v>
      </c>
    </row>
    <row r="1123" spans="1:22" x14ac:dyDescent="0.3">
      <c r="A1123">
        <v>186607</v>
      </c>
      <c r="B1123">
        <v>455334197</v>
      </c>
      <c r="C1123" t="s">
        <v>6004</v>
      </c>
      <c r="D1123" s="9" t="s">
        <v>6005</v>
      </c>
      <c r="E1123" t="s">
        <v>4620</v>
      </c>
      <c r="F1123" t="s">
        <v>770</v>
      </c>
      <c r="G1123" t="s">
        <v>28</v>
      </c>
      <c r="H1123" t="s">
        <v>29</v>
      </c>
      <c r="I1123" t="s">
        <v>34</v>
      </c>
      <c r="J1123" t="s">
        <v>30</v>
      </c>
      <c r="K1123" t="s">
        <v>27</v>
      </c>
      <c r="L1123" t="s">
        <v>6006</v>
      </c>
      <c r="M1123" t="s">
        <v>6007</v>
      </c>
      <c r="N1123" t="s">
        <v>4623</v>
      </c>
      <c r="O1123" t="s">
        <v>54</v>
      </c>
      <c r="P1123" t="s">
        <v>6008</v>
      </c>
      <c r="Q1123" t="s">
        <v>88</v>
      </c>
      <c r="R1123" s="26" t="s">
        <v>6009</v>
      </c>
      <c r="S1123">
        <v>2.6</v>
      </c>
      <c r="T1123">
        <v>5024</v>
      </c>
      <c r="U1123">
        <v>0</v>
      </c>
      <c r="V1123">
        <v>5024</v>
      </c>
    </row>
    <row r="1124" spans="1:22" x14ac:dyDescent="0.3">
      <c r="A1124">
        <v>186607</v>
      </c>
      <c r="B1124">
        <v>455358396</v>
      </c>
      <c r="C1124" t="s">
        <v>6010</v>
      </c>
      <c r="D1124" s="9" t="s">
        <v>6011</v>
      </c>
      <c r="E1124" t="s">
        <v>4620</v>
      </c>
      <c r="F1124" t="s">
        <v>770</v>
      </c>
      <c r="G1124" t="s">
        <v>28</v>
      </c>
      <c r="H1124" t="s">
        <v>29</v>
      </c>
      <c r="I1124" t="s">
        <v>34</v>
      </c>
      <c r="J1124" t="s">
        <v>30</v>
      </c>
      <c r="K1124" t="s">
        <v>27</v>
      </c>
      <c r="L1124" t="s">
        <v>6012</v>
      </c>
      <c r="M1124" t="s">
        <v>386</v>
      </c>
      <c r="N1124" t="s">
        <v>4623</v>
      </c>
      <c r="O1124" t="s">
        <v>54</v>
      </c>
      <c r="P1124" t="s">
        <v>6013</v>
      </c>
      <c r="Q1124" t="s">
        <v>154</v>
      </c>
      <c r="R1124" s="26" t="s">
        <v>6014</v>
      </c>
      <c r="S1124">
        <v>5.6</v>
      </c>
      <c r="T1124">
        <v>6655</v>
      </c>
      <c r="U1124">
        <v>0</v>
      </c>
      <c r="V1124">
        <v>6655</v>
      </c>
    </row>
    <row r="1125" spans="1:22" x14ac:dyDescent="0.3">
      <c r="A1125">
        <v>186607</v>
      </c>
      <c r="B1125">
        <v>455358392</v>
      </c>
      <c r="C1125" t="s">
        <v>6015</v>
      </c>
      <c r="D1125" s="9" t="s">
        <v>6016</v>
      </c>
      <c r="E1125" t="s">
        <v>4620</v>
      </c>
      <c r="F1125" t="s">
        <v>770</v>
      </c>
      <c r="G1125" t="s">
        <v>28</v>
      </c>
      <c r="H1125" t="s">
        <v>29</v>
      </c>
      <c r="I1125" t="s">
        <v>34</v>
      </c>
      <c r="J1125" t="s">
        <v>30</v>
      </c>
      <c r="K1125" t="s">
        <v>27</v>
      </c>
      <c r="L1125" t="s">
        <v>6017</v>
      </c>
      <c r="M1125" t="s">
        <v>6018</v>
      </c>
      <c r="N1125" t="s">
        <v>4623</v>
      </c>
      <c r="O1125" t="s">
        <v>54</v>
      </c>
      <c r="P1125" t="s">
        <v>6019</v>
      </c>
      <c r="Q1125" t="s">
        <v>61</v>
      </c>
      <c r="R1125" s="26" t="s">
        <v>5983</v>
      </c>
      <c r="S1125">
        <v>5.6</v>
      </c>
      <c r="T1125">
        <v>5564</v>
      </c>
      <c r="U1125">
        <v>0</v>
      </c>
      <c r="V1125">
        <v>5564</v>
      </c>
    </row>
    <row r="1126" spans="1:22" x14ac:dyDescent="0.3">
      <c r="A1126">
        <v>186607</v>
      </c>
      <c r="B1126">
        <v>455358395</v>
      </c>
      <c r="C1126" t="s">
        <v>6020</v>
      </c>
      <c r="D1126" s="9" t="s">
        <v>6021</v>
      </c>
      <c r="E1126" t="s">
        <v>4620</v>
      </c>
      <c r="F1126" t="s">
        <v>770</v>
      </c>
      <c r="G1126" t="s">
        <v>28</v>
      </c>
      <c r="H1126" t="s">
        <v>29</v>
      </c>
      <c r="I1126" t="s">
        <v>34</v>
      </c>
      <c r="J1126" t="s">
        <v>30</v>
      </c>
      <c r="K1126" t="s">
        <v>27</v>
      </c>
      <c r="L1126" t="s">
        <v>6022</v>
      </c>
      <c r="M1126" t="s">
        <v>6023</v>
      </c>
      <c r="N1126" t="s">
        <v>4623</v>
      </c>
      <c r="O1126" t="s">
        <v>54</v>
      </c>
      <c r="P1126" t="s">
        <v>6024</v>
      </c>
      <c r="Q1126" t="s">
        <v>104</v>
      </c>
      <c r="R1126" s="26" t="s">
        <v>6014</v>
      </c>
      <c r="S1126">
        <v>5.6</v>
      </c>
      <c r="T1126">
        <v>5564</v>
      </c>
      <c r="U1126">
        <v>0</v>
      </c>
      <c r="V1126">
        <v>5564</v>
      </c>
    </row>
    <row r="1127" spans="1:22" x14ac:dyDescent="0.3">
      <c r="A1127">
        <v>186607</v>
      </c>
      <c r="B1127">
        <v>455322609</v>
      </c>
      <c r="C1127" t="s">
        <v>6025</v>
      </c>
      <c r="D1127" s="9" t="s">
        <v>6026</v>
      </c>
      <c r="E1127" t="s">
        <v>4620</v>
      </c>
      <c r="F1127" t="s">
        <v>770</v>
      </c>
      <c r="G1127" t="s">
        <v>28</v>
      </c>
      <c r="H1127" t="s">
        <v>29</v>
      </c>
      <c r="I1127" t="s">
        <v>34</v>
      </c>
      <c r="J1127" t="s">
        <v>30</v>
      </c>
      <c r="K1127" t="s">
        <v>27</v>
      </c>
      <c r="L1127" t="s">
        <v>6027</v>
      </c>
      <c r="M1127" t="s">
        <v>6028</v>
      </c>
      <c r="N1127" t="s">
        <v>4623</v>
      </c>
      <c r="O1127" t="s">
        <v>54</v>
      </c>
      <c r="P1127" t="s">
        <v>6029</v>
      </c>
      <c r="Q1127" t="s">
        <v>88</v>
      </c>
      <c r="R1127" s="26" t="s">
        <v>3656</v>
      </c>
      <c r="S1127">
        <v>2.6</v>
      </c>
      <c r="T1127">
        <v>5024</v>
      </c>
      <c r="U1127">
        <v>0</v>
      </c>
      <c r="V1127">
        <v>5024</v>
      </c>
    </row>
    <row r="1128" spans="1:22" x14ac:dyDescent="0.3">
      <c r="A1128">
        <v>186607</v>
      </c>
      <c r="B1128">
        <v>455358398</v>
      </c>
      <c r="C1128" t="s">
        <v>6030</v>
      </c>
      <c r="D1128" s="9" t="s">
        <v>6031</v>
      </c>
      <c r="E1128" t="s">
        <v>4620</v>
      </c>
      <c r="F1128" t="s">
        <v>770</v>
      </c>
      <c r="G1128" t="s">
        <v>28</v>
      </c>
      <c r="H1128" t="s">
        <v>29</v>
      </c>
      <c r="I1128" t="s">
        <v>34</v>
      </c>
      <c r="J1128" t="s">
        <v>30</v>
      </c>
      <c r="K1128" t="s">
        <v>27</v>
      </c>
      <c r="L1128" t="s">
        <v>6032</v>
      </c>
      <c r="M1128" t="s">
        <v>6033</v>
      </c>
      <c r="N1128" t="s">
        <v>4623</v>
      </c>
      <c r="O1128" t="s">
        <v>54</v>
      </c>
      <c r="P1128" t="s">
        <v>6034</v>
      </c>
      <c r="Q1128" t="s">
        <v>171</v>
      </c>
      <c r="R1128" s="26" t="s">
        <v>6014</v>
      </c>
      <c r="S1128">
        <v>5.6</v>
      </c>
      <c r="T1128">
        <v>5024</v>
      </c>
      <c r="U1128">
        <v>0</v>
      </c>
      <c r="V1128">
        <v>5024</v>
      </c>
    </row>
    <row r="1129" spans="1:22" x14ac:dyDescent="0.3">
      <c r="A1129">
        <v>186607</v>
      </c>
      <c r="B1129">
        <v>455322614</v>
      </c>
      <c r="C1129" t="s">
        <v>6035</v>
      </c>
      <c r="D1129" s="9" t="s">
        <v>6036</v>
      </c>
      <c r="E1129" t="s">
        <v>4620</v>
      </c>
      <c r="F1129" t="s">
        <v>770</v>
      </c>
      <c r="G1129" t="s">
        <v>28</v>
      </c>
      <c r="H1129" t="s">
        <v>29</v>
      </c>
      <c r="I1129" t="s">
        <v>34</v>
      </c>
      <c r="J1129" t="s">
        <v>30</v>
      </c>
      <c r="K1129" t="s">
        <v>27</v>
      </c>
      <c r="L1129" t="s">
        <v>6037</v>
      </c>
      <c r="M1129" t="s">
        <v>6038</v>
      </c>
      <c r="N1129" t="s">
        <v>4623</v>
      </c>
      <c r="O1129" t="s">
        <v>54</v>
      </c>
      <c r="P1129" t="s">
        <v>6039</v>
      </c>
      <c r="Q1129" t="s">
        <v>113</v>
      </c>
      <c r="R1129" s="26" t="s">
        <v>6040</v>
      </c>
      <c r="S1129">
        <v>2.6</v>
      </c>
      <c r="T1129">
        <v>5024</v>
      </c>
      <c r="U1129">
        <v>0</v>
      </c>
      <c r="V1129">
        <v>5024</v>
      </c>
    </row>
    <row r="1130" spans="1:22" x14ac:dyDescent="0.3">
      <c r="A1130">
        <v>186607</v>
      </c>
      <c r="B1130">
        <v>455358399</v>
      </c>
      <c r="C1130" t="s">
        <v>6041</v>
      </c>
      <c r="D1130" s="9" t="s">
        <v>6042</v>
      </c>
      <c r="E1130" t="s">
        <v>4620</v>
      </c>
      <c r="F1130" t="s">
        <v>770</v>
      </c>
      <c r="G1130" t="s">
        <v>28</v>
      </c>
      <c r="H1130" t="s">
        <v>29</v>
      </c>
      <c r="I1130" t="s">
        <v>34</v>
      </c>
      <c r="J1130" t="s">
        <v>30</v>
      </c>
      <c r="K1130" t="s">
        <v>27</v>
      </c>
      <c r="L1130" t="s">
        <v>6043</v>
      </c>
      <c r="M1130" t="s">
        <v>6044</v>
      </c>
      <c r="N1130" t="s">
        <v>4623</v>
      </c>
      <c r="O1130" t="s">
        <v>54</v>
      </c>
      <c r="P1130" t="s">
        <v>6045</v>
      </c>
      <c r="Q1130" t="s">
        <v>154</v>
      </c>
      <c r="R1130" s="26" t="s">
        <v>6014</v>
      </c>
      <c r="S1130">
        <v>5.6</v>
      </c>
      <c r="T1130">
        <v>6655</v>
      </c>
      <c r="U1130">
        <v>0</v>
      </c>
      <c r="V1130">
        <v>6655</v>
      </c>
    </row>
    <row r="1131" spans="1:22" x14ac:dyDescent="0.3">
      <c r="A1131">
        <v>186607</v>
      </c>
      <c r="B1131">
        <v>455376327</v>
      </c>
      <c r="C1131" t="s">
        <v>6046</v>
      </c>
      <c r="D1131" s="9" t="s">
        <v>6047</v>
      </c>
      <c r="E1131" t="s">
        <v>4620</v>
      </c>
      <c r="F1131" t="s">
        <v>770</v>
      </c>
      <c r="G1131" t="s">
        <v>28</v>
      </c>
      <c r="H1131" t="s">
        <v>29</v>
      </c>
      <c r="I1131" t="s">
        <v>34</v>
      </c>
      <c r="J1131" t="s">
        <v>30</v>
      </c>
      <c r="K1131" t="s">
        <v>27</v>
      </c>
      <c r="L1131" t="s">
        <v>6048</v>
      </c>
      <c r="M1131" t="s">
        <v>6049</v>
      </c>
      <c r="N1131" t="s">
        <v>4623</v>
      </c>
      <c r="O1131" t="s">
        <v>54</v>
      </c>
      <c r="P1131" t="s">
        <v>6050</v>
      </c>
      <c r="Q1131" t="s">
        <v>73</v>
      </c>
      <c r="R1131" s="26" t="s">
        <v>6051</v>
      </c>
      <c r="S1131">
        <v>5.6</v>
      </c>
      <c r="T1131">
        <v>5295</v>
      </c>
      <c r="U1131">
        <v>0</v>
      </c>
      <c r="V1131">
        <v>5295</v>
      </c>
    </row>
    <row r="1132" spans="1:22" x14ac:dyDescent="0.3">
      <c r="A1132">
        <v>186607</v>
      </c>
      <c r="B1132">
        <v>455358383</v>
      </c>
      <c r="C1132" t="s">
        <v>6052</v>
      </c>
      <c r="D1132" s="9" t="s">
        <v>6053</v>
      </c>
      <c r="E1132" t="s">
        <v>4620</v>
      </c>
      <c r="F1132" t="s">
        <v>770</v>
      </c>
      <c r="G1132" t="s">
        <v>28</v>
      </c>
      <c r="H1132" t="s">
        <v>29</v>
      </c>
      <c r="I1132" t="s">
        <v>34</v>
      </c>
      <c r="J1132" t="s">
        <v>30</v>
      </c>
      <c r="K1132" t="s">
        <v>27</v>
      </c>
      <c r="L1132" t="s">
        <v>6054</v>
      </c>
      <c r="M1132" t="s">
        <v>734</v>
      </c>
      <c r="N1132" t="s">
        <v>4623</v>
      </c>
      <c r="O1132" t="s">
        <v>54</v>
      </c>
      <c r="P1132" t="s">
        <v>6055</v>
      </c>
      <c r="Q1132" t="s">
        <v>85</v>
      </c>
      <c r="R1132" s="26" t="s">
        <v>5983</v>
      </c>
      <c r="S1132">
        <v>1.7</v>
      </c>
      <c r="T1132">
        <v>3631</v>
      </c>
      <c r="U1132">
        <v>0</v>
      </c>
      <c r="V1132">
        <v>3631</v>
      </c>
    </row>
    <row r="1133" spans="1:22" x14ac:dyDescent="0.3">
      <c r="A1133">
        <v>186607</v>
      </c>
      <c r="B1133">
        <v>455358394</v>
      </c>
      <c r="C1133" t="s">
        <v>6056</v>
      </c>
      <c r="D1133" s="9" t="s">
        <v>6057</v>
      </c>
      <c r="E1133" t="s">
        <v>4620</v>
      </c>
      <c r="F1133" t="s">
        <v>770</v>
      </c>
      <c r="G1133" t="s">
        <v>28</v>
      </c>
      <c r="H1133" t="s">
        <v>29</v>
      </c>
      <c r="I1133" t="s">
        <v>34</v>
      </c>
      <c r="J1133" t="s">
        <v>30</v>
      </c>
      <c r="K1133" t="s">
        <v>27</v>
      </c>
      <c r="L1133" t="s">
        <v>6058</v>
      </c>
      <c r="M1133" t="s">
        <v>6059</v>
      </c>
      <c r="N1133" t="s">
        <v>4623</v>
      </c>
      <c r="O1133" t="s">
        <v>54</v>
      </c>
      <c r="P1133" t="s">
        <v>6060</v>
      </c>
      <c r="Q1133" t="s">
        <v>65</v>
      </c>
      <c r="R1133" s="26" t="s">
        <v>5983</v>
      </c>
      <c r="S1133">
        <v>1.7</v>
      </c>
      <c r="T1133">
        <v>3631</v>
      </c>
      <c r="U1133">
        <v>0</v>
      </c>
      <c r="V1133">
        <v>3631</v>
      </c>
    </row>
    <row r="1134" spans="1:22" x14ac:dyDescent="0.3">
      <c r="A1134">
        <v>186607</v>
      </c>
      <c r="B1134">
        <v>455322616</v>
      </c>
      <c r="C1134" t="s">
        <v>6061</v>
      </c>
      <c r="D1134" s="9" t="s">
        <v>6062</v>
      </c>
      <c r="E1134" t="s">
        <v>4620</v>
      </c>
      <c r="F1134" t="s">
        <v>770</v>
      </c>
      <c r="G1134" t="s">
        <v>28</v>
      </c>
      <c r="H1134" t="s">
        <v>29</v>
      </c>
      <c r="I1134" t="s">
        <v>34</v>
      </c>
      <c r="J1134" t="s">
        <v>30</v>
      </c>
      <c r="K1134" t="s">
        <v>27</v>
      </c>
      <c r="L1134" t="s">
        <v>6063</v>
      </c>
      <c r="M1134" t="s">
        <v>6064</v>
      </c>
      <c r="N1134" t="s">
        <v>4623</v>
      </c>
      <c r="O1134" t="s">
        <v>54</v>
      </c>
      <c r="P1134" t="s">
        <v>6065</v>
      </c>
      <c r="Q1134" t="s">
        <v>125</v>
      </c>
      <c r="R1134" s="26" t="s">
        <v>6040</v>
      </c>
      <c r="S1134">
        <v>2.6</v>
      </c>
      <c r="T1134">
        <v>3653</v>
      </c>
      <c r="U1134">
        <v>0</v>
      </c>
      <c r="V1134">
        <v>3653</v>
      </c>
    </row>
    <row r="1135" spans="1:22" x14ac:dyDescent="0.3">
      <c r="A1135">
        <v>186607</v>
      </c>
      <c r="B1135">
        <v>455334200</v>
      </c>
      <c r="C1135" t="s">
        <v>6066</v>
      </c>
      <c r="D1135" s="9" t="s">
        <v>6067</v>
      </c>
      <c r="E1135" t="s">
        <v>4620</v>
      </c>
      <c r="F1135" t="s">
        <v>770</v>
      </c>
      <c r="G1135" t="s">
        <v>28</v>
      </c>
      <c r="H1135" t="s">
        <v>29</v>
      </c>
      <c r="I1135" t="s">
        <v>34</v>
      </c>
      <c r="J1135" t="s">
        <v>30</v>
      </c>
      <c r="K1135" t="s">
        <v>27</v>
      </c>
      <c r="L1135" t="s">
        <v>6068</v>
      </c>
      <c r="M1135" t="s">
        <v>6069</v>
      </c>
      <c r="N1135" t="s">
        <v>4623</v>
      </c>
      <c r="O1135" t="s">
        <v>54</v>
      </c>
      <c r="P1135" t="s">
        <v>6070</v>
      </c>
      <c r="Q1135" t="s">
        <v>65</v>
      </c>
      <c r="R1135" s="26" t="s">
        <v>6009</v>
      </c>
      <c r="S1135">
        <v>2.6</v>
      </c>
      <c r="T1135">
        <v>3631</v>
      </c>
      <c r="U1135">
        <v>0</v>
      </c>
      <c r="V1135">
        <v>3631</v>
      </c>
    </row>
    <row r="1136" spans="1:22" x14ac:dyDescent="0.3">
      <c r="A1136">
        <v>186607</v>
      </c>
      <c r="B1136">
        <v>454863094</v>
      </c>
      <c r="C1136" t="s">
        <v>6071</v>
      </c>
      <c r="D1136" s="9" t="s">
        <v>6072</v>
      </c>
      <c r="E1136" t="s">
        <v>4620</v>
      </c>
      <c r="F1136" t="s">
        <v>770</v>
      </c>
      <c r="G1136" t="s">
        <v>28</v>
      </c>
      <c r="H1136" t="s">
        <v>29</v>
      </c>
      <c r="I1136" t="s">
        <v>34</v>
      </c>
      <c r="J1136" t="s">
        <v>30</v>
      </c>
      <c r="K1136" t="s">
        <v>27</v>
      </c>
      <c r="L1136" t="s">
        <v>6073</v>
      </c>
      <c r="M1136" t="s">
        <v>6074</v>
      </c>
      <c r="N1136" t="s">
        <v>4623</v>
      </c>
      <c r="O1136" t="s">
        <v>54</v>
      </c>
      <c r="P1136" t="s">
        <v>6075</v>
      </c>
      <c r="Q1136" t="s">
        <v>197</v>
      </c>
      <c r="R1136" s="26" t="s">
        <v>6076</v>
      </c>
      <c r="S1136">
        <v>1</v>
      </c>
      <c r="T1136">
        <v>5564</v>
      </c>
      <c r="U1136">
        <v>0</v>
      </c>
      <c r="V1136">
        <v>5564</v>
      </c>
    </row>
    <row r="1137" spans="1:22" x14ac:dyDescent="0.3">
      <c r="A1137">
        <v>186607</v>
      </c>
      <c r="B1137">
        <v>455298731</v>
      </c>
      <c r="C1137" t="s">
        <v>6077</v>
      </c>
      <c r="D1137" s="9" t="s">
        <v>6078</v>
      </c>
      <c r="E1137" t="s">
        <v>4620</v>
      </c>
      <c r="F1137" t="s">
        <v>770</v>
      </c>
      <c r="G1137" t="s">
        <v>28</v>
      </c>
      <c r="H1137" t="s">
        <v>29</v>
      </c>
      <c r="I1137" t="s">
        <v>34</v>
      </c>
      <c r="J1137" t="s">
        <v>30</v>
      </c>
      <c r="K1137" t="s">
        <v>27</v>
      </c>
      <c r="L1137" t="s">
        <v>6079</v>
      </c>
      <c r="M1137" t="s">
        <v>6080</v>
      </c>
      <c r="N1137" t="s">
        <v>4623</v>
      </c>
      <c r="O1137" t="s">
        <v>54</v>
      </c>
      <c r="P1137" t="s">
        <v>6081</v>
      </c>
      <c r="Q1137" t="s">
        <v>125</v>
      </c>
      <c r="R1137" s="26" t="s">
        <v>364</v>
      </c>
      <c r="S1137">
        <v>3.7</v>
      </c>
      <c r="T1137">
        <v>4429</v>
      </c>
      <c r="U1137">
        <v>0</v>
      </c>
      <c r="V1137">
        <v>4429</v>
      </c>
    </row>
    <row r="1138" spans="1:22" x14ac:dyDescent="0.3">
      <c r="A1138">
        <v>186607</v>
      </c>
      <c r="B1138">
        <v>455229303</v>
      </c>
      <c r="C1138" t="s">
        <v>6082</v>
      </c>
      <c r="D1138" s="9" t="s">
        <v>6083</v>
      </c>
      <c r="E1138" t="s">
        <v>4620</v>
      </c>
      <c r="F1138" t="s">
        <v>770</v>
      </c>
      <c r="G1138" t="s">
        <v>28</v>
      </c>
      <c r="H1138" t="s">
        <v>29</v>
      </c>
      <c r="I1138" t="s">
        <v>34</v>
      </c>
      <c r="J1138" t="s">
        <v>30</v>
      </c>
      <c r="K1138" t="s">
        <v>27</v>
      </c>
      <c r="L1138" t="s">
        <v>6084</v>
      </c>
      <c r="M1138" t="s">
        <v>6085</v>
      </c>
      <c r="N1138" t="s">
        <v>4623</v>
      </c>
      <c r="O1138" t="s">
        <v>54</v>
      </c>
      <c r="P1138" t="s">
        <v>6086</v>
      </c>
      <c r="Q1138" t="s">
        <v>118</v>
      </c>
      <c r="R1138" s="26" t="s">
        <v>6087</v>
      </c>
      <c r="S1138">
        <v>2.4</v>
      </c>
      <c r="T1138">
        <v>3935</v>
      </c>
      <c r="U1138">
        <v>0</v>
      </c>
      <c r="V1138">
        <v>3935</v>
      </c>
    </row>
    <row r="1139" spans="1:22" x14ac:dyDescent="0.3">
      <c r="A1139">
        <v>186607</v>
      </c>
      <c r="B1139">
        <v>455249248</v>
      </c>
      <c r="C1139" t="s">
        <v>6088</v>
      </c>
      <c r="D1139" s="9" t="s">
        <v>6089</v>
      </c>
      <c r="E1139" t="s">
        <v>4620</v>
      </c>
      <c r="F1139" t="s">
        <v>770</v>
      </c>
      <c r="G1139" t="s">
        <v>28</v>
      </c>
      <c r="H1139" t="s">
        <v>29</v>
      </c>
      <c r="I1139" t="s">
        <v>34</v>
      </c>
      <c r="J1139" t="s">
        <v>30</v>
      </c>
      <c r="K1139" t="s">
        <v>27</v>
      </c>
      <c r="L1139" t="s">
        <v>6090</v>
      </c>
      <c r="M1139" t="s">
        <v>667</v>
      </c>
      <c r="N1139" t="s">
        <v>4623</v>
      </c>
      <c r="O1139" t="s">
        <v>54</v>
      </c>
      <c r="P1139" t="s">
        <v>5656</v>
      </c>
      <c r="Q1139" t="s">
        <v>84</v>
      </c>
      <c r="R1139" s="26" t="s">
        <v>470</v>
      </c>
      <c r="S1139">
        <v>1</v>
      </c>
      <c r="T1139">
        <v>5564</v>
      </c>
      <c r="U1139">
        <v>0</v>
      </c>
      <c r="V1139">
        <v>5564</v>
      </c>
    </row>
    <row r="1140" spans="1:22" x14ac:dyDescent="0.3">
      <c r="A1140">
        <v>186607</v>
      </c>
      <c r="B1140">
        <v>454568387</v>
      </c>
      <c r="C1140" t="s">
        <v>6091</v>
      </c>
      <c r="D1140" s="9" t="s">
        <v>6092</v>
      </c>
      <c r="E1140" t="s">
        <v>4620</v>
      </c>
      <c r="F1140" t="s">
        <v>770</v>
      </c>
      <c r="G1140" t="s">
        <v>28</v>
      </c>
      <c r="H1140" t="s">
        <v>29</v>
      </c>
      <c r="I1140" t="s">
        <v>34</v>
      </c>
      <c r="J1140" t="s">
        <v>30</v>
      </c>
      <c r="K1140" t="s">
        <v>27</v>
      </c>
      <c r="L1140" t="s">
        <v>6093</v>
      </c>
      <c r="M1140" t="s">
        <v>6094</v>
      </c>
      <c r="N1140" t="s">
        <v>4623</v>
      </c>
      <c r="O1140" t="s">
        <v>54</v>
      </c>
      <c r="P1140" t="s">
        <v>6095</v>
      </c>
      <c r="Q1140" t="s">
        <v>109</v>
      </c>
      <c r="R1140" s="26" t="s">
        <v>6096</v>
      </c>
      <c r="S1140">
        <v>2.5</v>
      </c>
      <c r="T1140">
        <v>3250</v>
      </c>
      <c r="U1140">
        <v>0</v>
      </c>
      <c r="V1140">
        <v>3250</v>
      </c>
    </row>
    <row r="1141" spans="1:22" x14ac:dyDescent="0.3">
      <c r="A1141">
        <v>186607</v>
      </c>
      <c r="B1141">
        <v>455298733</v>
      </c>
      <c r="C1141" t="s">
        <v>6097</v>
      </c>
      <c r="D1141" s="9" t="s">
        <v>6098</v>
      </c>
      <c r="E1141" t="s">
        <v>4620</v>
      </c>
      <c r="F1141" t="s">
        <v>770</v>
      </c>
      <c r="G1141" t="s">
        <v>28</v>
      </c>
      <c r="H1141" t="s">
        <v>29</v>
      </c>
      <c r="I1141" t="s">
        <v>34</v>
      </c>
      <c r="J1141" t="s">
        <v>30</v>
      </c>
      <c r="K1141" t="s">
        <v>27</v>
      </c>
      <c r="L1141" t="s">
        <v>6099</v>
      </c>
      <c r="M1141" t="s">
        <v>6100</v>
      </c>
      <c r="N1141" t="s">
        <v>4623</v>
      </c>
      <c r="O1141" t="s">
        <v>54</v>
      </c>
      <c r="P1141" t="s">
        <v>6101</v>
      </c>
      <c r="Q1141" t="s">
        <v>137</v>
      </c>
      <c r="R1141" s="26" t="s">
        <v>364</v>
      </c>
      <c r="S1141">
        <v>0.5</v>
      </c>
      <c r="T1141">
        <v>3552</v>
      </c>
      <c r="U1141">
        <v>0</v>
      </c>
      <c r="V1141">
        <v>3552</v>
      </c>
    </row>
    <row r="1142" spans="1:22" x14ac:dyDescent="0.3">
      <c r="A1142">
        <v>186607</v>
      </c>
      <c r="B1142">
        <v>455249253</v>
      </c>
      <c r="C1142" t="s">
        <v>6102</v>
      </c>
      <c r="D1142" s="9" t="s">
        <v>6103</v>
      </c>
      <c r="E1142" t="s">
        <v>4620</v>
      </c>
      <c r="F1142" t="s">
        <v>770</v>
      </c>
      <c r="G1142" t="s">
        <v>49</v>
      </c>
      <c r="H1142" t="s">
        <v>50</v>
      </c>
      <c r="I1142" t="s">
        <v>34</v>
      </c>
      <c r="J1142" t="s">
        <v>155</v>
      </c>
      <c r="K1142" t="s">
        <v>27</v>
      </c>
      <c r="L1142" t="s">
        <v>52</v>
      </c>
      <c r="M1142" t="s">
        <v>6104</v>
      </c>
      <c r="N1142" t="s">
        <v>4623</v>
      </c>
      <c r="O1142" t="s">
        <v>54</v>
      </c>
      <c r="P1142" t="s">
        <v>6105</v>
      </c>
      <c r="Q1142" t="s">
        <v>100</v>
      </c>
      <c r="R1142" s="26" t="s">
        <v>470</v>
      </c>
      <c r="S1142">
        <v>3.1</v>
      </c>
      <c r="T1142">
        <v>7414</v>
      </c>
      <c r="U1142">
        <v>0</v>
      </c>
      <c r="V1142">
        <v>7414</v>
      </c>
    </row>
    <row r="1143" spans="1:22" x14ac:dyDescent="0.3">
      <c r="A1143">
        <v>186607</v>
      </c>
      <c r="B1143">
        <v>455229305</v>
      </c>
      <c r="C1143" t="s">
        <v>6106</v>
      </c>
      <c r="D1143" s="9" t="s">
        <v>6107</v>
      </c>
      <c r="E1143" t="s">
        <v>4620</v>
      </c>
      <c r="F1143" t="s">
        <v>770</v>
      </c>
      <c r="G1143" t="s">
        <v>28</v>
      </c>
      <c r="H1143" t="s">
        <v>29</v>
      </c>
      <c r="I1143" t="s">
        <v>34</v>
      </c>
      <c r="J1143" t="s">
        <v>30</v>
      </c>
      <c r="K1143" t="s">
        <v>27</v>
      </c>
      <c r="L1143" t="s">
        <v>6108</v>
      </c>
      <c r="M1143" t="s">
        <v>6109</v>
      </c>
      <c r="N1143" t="s">
        <v>4623</v>
      </c>
      <c r="O1143" t="s">
        <v>54</v>
      </c>
      <c r="P1143" t="s">
        <v>6110</v>
      </c>
      <c r="Q1143" t="s">
        <v>141</v>
      </c>
      <c r="R1143" s="26" t="s">
        <v>6087</v>
      </c>
      <c r="S1143">
        <v>1.9</v>
      </c>
      <c r="T1143">
        <v>3935</v>
      </c>
      <c r="U1143">
        <v>0</v>
      </c>
      <c r="V1143">
        <v>3935</v>
      </c>
    </row>
    <row r="1144" spans="1:22" x14ac:dyDescent="0.3">
      <c r="A1144">
        <v>186607</v>
      </c>
      <c r="B1144">
        <v>455229301</v>
      </c>
      <c r="C1144" t="s">
        <v>6111</v>
      </c>
      <c r="D1144" s="9" t="s">
        <v>6112</v>
      </c>
      <c r="E1144" t="s">
        <v>4620</v>
      </c>
      <c r="F1144" t="s">
        <v>770</v>
      </c>
      <c r="G1144" t="s">
        <v>28</v>
      </c>
      <c r="H1144" t="s">
        <v>29</v>
      </c>
      <c r="I1144" t="s">
        <v>34</v>
      </c>
      <c r="J1144" t="s">
        <v>30</v>
      </c>
      <c r="K1144" t="s">
        <v>27</v>
      </c>
      <c r="L1144" t="s">
        <v>6113</v>
      </c>
      <c r="M1144" t="s">
        <v>698</v>
      </c>
      <c r="N1144" t="s">
        <v>4623</v>
      </c>
      <c r="O1144" t="s">
        <v>54</v>
      </c>
      <c r="P1144" t="s">
        <v>6114</v>
      </c>
      <c r="Q1144" t="s">
        <v>88</v>
      </c>
      <c r="R1144" s="26" t="s">
        <v>6087</v>
      </c>
      <c r="S1144">
        <v>3.1</v>
      </c>
      <c r="T1144">
        <v>7239</v>
      </c>
      <c r="U1144">
        <v>0</v>
      </c>
      <c r="V1144">
        <v>7239</v>
      </c>
    </row>
    <row r="1145" spans="1:22" x14ac:dyDescent="0.3">
      <c r="A1145">
        <v>186607</v>
      </c>
      <c r="B1145">
        <v>455205248</v>
      </c>
      <c r="C1145" t="s">
        <v>6115</v>
      </c>
      <c r="D1145" s="9" t="s">
        <v>6116</v>
      </c>
      <c r="E1145" t="s">
        <v>4620</v>
      </c>
      <c r="F1145" t="s">
        <v>770</v>
      </c>
      <c r="G1145" t="s">
        <v>49</v>
      </c>
      <c r="H1145" t="s">
        <v>50</v>
      </c>
      <c r="I1145" t="s">
        <v>34</v>
      </c>
      <c r="J1145" t="s">
        <v>155</v>
      </c>
      <c r="K1145" t="s">
        <v>27</v>
      </c>
      <c r="L1145" t="s">
        <v>52</v>
      </c>
      <c r="M1145" t="s">
        <v>606</v>
      </c>
      <c r="N1145" t="s">
        <v>4623</v>
      </c>
      <c r="O1145" t="s">
        <v>54</v>
      </c>
      <c r="P1145" t="s">
        <v>6117</v>
      </c>
      <c r="Q1145" t="s">
        <v>187</v>
      </c>
      <c r="R1145" s="26" t="s">
        <v>6118</v>
      </c>
      <c r="S1145">
        <v>3.94</v>
      </c>
      <c r="T1145">
        <v>7278</v>
      </c>
      <c r="U1145">
        <v>0</v>
      </c>
      <c r="V1145">
        <v>7278</v>
      </c>
    </row>
    <row r="1146" spans="1:22" x14ac:dyDescent="0.3">
      <c r="A1146">
        <v>186607</v>
      </c>
      <c r="B1146">
        <v>455196937</v>
      </c>
      <c r="C1146" t="s">
        <v>6119</v>
      </c>
      <c r="D1146" s="9" t="s">
        <v>6120</v>
      </c>
      <c r="E1146" t="s">
        <v>4620</v>
      </c>
      <c r="F1146" t="s">
        <v>770</v>
      </c>
      <c r="G1146" t="s">
        <v>49</v>
      </c>
      <c r="H1146" t="s">
        <v>50</v>
      </c>
      <c r="I1146" t="s">
        <v>34</v>
      </c>
      <c r="J1146" t="s">
        <v>155</v>
      </c>
      <c r="K1146" t="s">
        <v>27</v>
      </c>
      <c r="L1146" t="s">
        <v>52</v>
      </c>
      <c r="M1146" t="s">
        <v>6121</v>
      </c>
      <c r="N1146" t="s">
        <v>4623</v>
      </c>
      <c r="O1146" t="s">
        <v>54</v>
      </c>
      <c r="P1146" t="s">
        <v>690</v>
      </c>
      <c r="Q1146" t="s">
        <v>405</v>
      </c>
      <c r="R1146" s="26" t="s">
        <v>6122</v>
      </c>
      <c r="S1146">
        <v>3.69</v>
      </c>
      <c r="T1146">
        <v>8777</v>
      </c>
      <c r="U1146">
        <v>0</v>
      </c>
      <c r="V1146">
        <v>8777</v>
      </c>
    </row>
    <row r="1147" spans="1:22" x14ac:dyDescent="0.3">
      <c r="A1147">
        <v>186607</v>
      </c>
      <c r="B1147">
        <v>455275211</v>
      </c>
      <c r="C1147" t="s">
        <v>6123</v>
      </c>
      <c r="D1147" s="9" t="s">
        <v>6124</v>
      </c>
      <c r="E1147" t="s">
        <v>4620</v>
      </c>
      <c r="F1147" t="s">
        <v>770</v>
      </c>
      <c r="G1147" t="s">
        <v>28</v>
      </c>
      <c r="H1147" t="s">
        <v>29</v>
      </c>
      <c r="I1147" t="s">
        <v>34</v>
      </c>
      <c r="J1147" t="s">
        <v>30</v>
      </c>
      <c r="K1147" t="s">
        <v>27</v>
      </c>
      <c r="L1147" t="s">
        <v>6125</v>
      </c>
      <c r="M1147" t="s">
        <v>6126</v>
      </c>
      <c r="N1147" t="s">
        <v>4623</v>
      </c>
      <c r="O1147" t="s">
        <v>54</v>
      </c>
      <c r="P1147" t="s">
        <v>6127</v>
      </c>
      <c r="Q1147" t="s">
        <v>67</v>
      </c>
      <c r="R1147" s="26" t="s">
        <v>538</v>
      </c>
      <c r="S1147">
        <v>2.8</v>
      </c>
      <c r="T1147">
        <v>3384</v>
      </c>
      <c r="U1147">
        <v>0</v>
      </c>
      <c r="V1147">
        <v>3384</v>
      </c>
    </row>
    <row r="1148" spans="1:22" x14ac:dyDescent="0.3">
      <c r="A1148">
        <v>186607</v>
      </c>
      <c r="B1148">
        <v>455275204</v>
      </c>
      <c r="C1148" t="s">
        <v>6128</v>
      </c>
      <c r="D1148" s="9" t="s">
        <v>6129</v>
      </c>
      <c r="E1148" t="s">
        <v>4620</v>
      </c>
      <c r="F1148" t="s">
        <v>770</v>
      </c>
      <c r="G1148" t="s">
        <v>28</v>
      </c>
      <c r="H1148" t="s">
        <v>29</v>
      </c>
      <c r="I1148" t="s">
        <v>34</v>
      </c>
      <c r="J1148" t="s">
        <v>30</v>
      </c>
      <c r="K1148" t="s">
        <v>27</v>
      </c>
      <c r="L1148" t="s">
        <v>6130</v>
      </c>
      <c r="M1148" t="s">
        <v>6131</v>
      </c>
      <c r="N1148" t="s">
        <v>4623</v>
      </c>
      <c r="O1148" t="s">
        <v>54</v>
      </c>
      <c r="P1148" t="s">
        <v>6132</v>
      </c>
      <c r="Q1148" t="s">
        <v>65</v>
      </c>
      <c r="R1148" s="26" t="s">
        <v>538</v>
      </c>
      <c r="S1148">
        <v>2.7</v>
      </c>
      <c r="T1148">
        <v>3631</v>
      </c>
      <c r="U1148">
        <v>0</v>
      </c>
      <c r="V1148">
        <v>3631</v>
      </c>
    </row>
    <row r="1149" spans="1:22" x14ac:dyDescent="0.3">
      <c r="A1149">
        <v>186607</v>
      </c>
      <c r="B1149">
        <v>455229290</v>
      </c>
      <c r="C1149" t="s">
        <v>6133</v>
      </c>
      <c r="D1149" s="9" t="s">
        <v>6134</v>
      </c>
      <c r="E1149" t="s">
        <v>4620</v>
      </c>
      <c r="F1149" t="s">
        <v>770</v>
      </c>
      <c r="G1149" t="s">
        <v>28</v>
      </c>
      <c r="H1149" t="s">
        <v>29</v>
      </c>
      <c r="I1149" t="s">
        <v>34</v>
      </c>
      <c r="J1149" t="s">
        <v>30</v>
      </c>
      <c r="K1149" t="s">
        <v>27</v>
      </c>
      <c r="L1149" t="s">
        <v>6135</v>
      </c>
      <c r="M1149" t="s">
        <v>6136</v>
      </c>
      <c r="N1149" t="s">
        <v>4623</v>
      </c>
      <c r="O1149" t="s">
        <v>54</v>
      </c>
      <c r="P1149" t="s">
        <v>6137</v>
      </c>
      <c r="Q1149" t="s">
        <v>102</v>
      </c>
      <c r="R1149" s="26" t="s">
        <v>6087</v>
      </c>
      <c r="S1149">
        <v>1.9</v>
      </c>
      <c r="T1149">
        <v>3935</v>
      </c>
      <c r="U1149">
        <v>0</v>
      </c>
      <c r="V1149">
        <v>3935</v>
      </c>
    </row>
    <row r="1150" spans="1:22" x14ac:dyDescent="0.3">
      <c r="A1150">
        <v>186607</v>
      </c>
      <c r="B1150">
        <v>455229299</v>
      </c>
      <c r="C1150" t="s">
        <v>6138</v>
      </c>
      <c r="D1150" s="9" t="s">
        <v>6139</v>
      </c>
      <c r="E1150" t="s">
        <v>4620</v>
      </c>
      <c r="F1150" t="s">
        <v>770</v>
      </c>
      <c r="G1150" t="s">
        <v>28</v>
      </c>
      <c r="H1150" t="s">
        <v>29</v>
      </c>
      <c r="I1150" t="s">
        <v>34</v>
      </c>
      <c r="J1150" t="s">
        <v>30</v>
      </c>
      <c r="K1150" t="s">
        <v>27</v>
      </c>
      <c r="L1150" t="s">
        <v>6140</v>
      </c>
      <c r="M1150" t="s">
        <v>6141</v>
      </c>
      <c r="N1150" t="s">
        <v>4623</v>
      </c>
      <c r="O1150" t="s">
        <v>54</v>
      </c>
      <c r="P1150" t="s">
        <v>6142</v>
      </c>
      <c r="Q1150" t="s">
        <v>69</v>
      </c>
      <c r="R1150" s="26" t="s">
        <v>6087</v>
      </c>
      <c r="S1150">
        <v>2.2999999999999998</v>
      </c>
      <c r="T1150">
        <v>3935</v>
      </c>
      <c r="U1150">
        <v>0</v>
      </c>
      <c r="V1150">
        <v>3935</v>
      </c>
    </row>
    <row r="1151" spans="1:22" x14ac:dyDescent="0.3">
      <c r="A1151">
        <v>186607</v>
      </c>
      <c r="B1151">
        <v>455229286</v>
      </c>
      <c r="C1151" t="s">
        <v>6143</v>
      </c>
      <c r="D1151" s="9" t="s">
        <v>6144</v>
      </c>
      <c r="E1151" t="s">
        <v>4620</v>
      </c>
      <c r="F1151" t="s">
        <v>770</v>
      </c>
      <c r="G1151" t="s">
        <v>28</v>
      </c>
      <c r="H1151" t="s">
        <v>29</v>
      </c>
      <c r="I1151" t="s">
        <v>34</v>
      </c>
      <c r="J1151" t="s">
        <v>30</v>
      </c>
      <c r="K1151" t="s">
        <v>27</v>
      </c>
      <c r="L1151" t="s">
        <v>6145</v>
      </c>
      <c r="M1151" t="s">
        <v>6146</v>
      </c>
      <c r="N1151" t="s">
        <v>4623</v>
      </c>
      <c r="O1151" t="s">
        <v>54</v>
      </c>
      <c r="P1151" t="s">
        <v>6147</v>
      </c>
      <c r="Q1151" t="s">
        <v>42</v>
      </c>
      <c r="R1151" s="26" t="s">
        <v>6087</v>
      </c>
      <c r="S1151">
        <v>1.7</v>
      </c>
      <c r="T1151">
        <v>3631</v>
      </c>
      <c r="U1151">
        <v>0</v>
      </c>
      <c r="V1151">
        <v>3631</v>
      </c>
    </row>
    <row r="1152" spans="1:22" x14ac:dyDescent="0.3">
      <c r="A1152">
        <v>186607</v>
      </c>
      <c r="B1152">
        <v>455229307</v>
      </c>
      <c r="C1152" t="s">
        <v>6148</v>
      </c>
      <c r="D1152" s="9" t="s">
        <v>6149</v>
      </c>
      <c r="E1152" t="s">
        <v>4620</v>
      </c>
      <c r="F1152" t="s">
        <v>770</v>
      </c>
      <c r="G1152" t="s">
        <v>28</v>
      </c>
      <c r="H1152" t="s">
        <v>29</v>
      </c>
      <c r="I1152" t="s">
        <v>34</v>
      </c>
      <c r="J1152" t="s">
        <v>30</v>
      </c>
      <c r="K1152" t="s">
        <v>27</v>
      </c>
      <c r="L1152" t="s">
        <v>486</v>
      </c>
      <c r="M1152" t="s">
        <v>6150</v>
      </c>
      <c r="N1152" t="s">
        <v>4623</v>
      </c>
      <c r="O1152" t="s">
        <v>54</v>
      </c>
      <c r="P1152" t="s">
        <v>6151</v>
      </c>
      <c r="Q1152" t="s">
        <v>102</v>
      </c>
      <c r="R1152" s="26" t="s">
        <v>6087</v>
      </c>
      <c r="S1152">
        <v>3.3</v>
      </c>
      <c r="T1152">
        <v>5193</v>
      </c>
      <c r="U1152">
        <v>0</v>
      </c>
      <c r="V1152">
        <v>5193</v>
      </c>
    </row>
    <row r="1153" spans="1:22" x14ac:dyDescent="0.3">
      <c r="A1153">
        <v>186607</v>
      </c>
      <c r="B1153">
        <v>455229300</v>
      </c>
      <c r="C1153" t="s">
        <v>6152</v>
      </c>
      <c r="D1153" s="9" t="s">
        <v>6153</v>
      </c>
      <c r="E1153" t="s">
        <v>4620</v>
      </c>
      <c r="F1153" t="s">
        <v>770</v>
      </c>
      <c r="G1153" t="s">
        <v>28</v>
      </c>
      <c r="H1153" t="s">
        <v>29</v>
      </c>
      <c r="I1153" t="s">
        <v>34</v>
      </c>
      <c r="J1153" t="s">
        <v>30</v>
      </c>
      <c r="K1153" t="s">
        <v>27</v>
      </c>
      <c r="L1153" t="s">
        <v>6154</v>
      </c>
      <c r="M1153" t="s">
        <v>6155</v>
      </c>
      <c r="N1153" t="s">
        <v>4623</v>
      </c>
      <c r="O1153" t="s">
        <v>54</v>
      </c>
      <c r="P1153" t="s">
        <v>6156</v>
      </c>
      <c r="Q1153" t="s">
        <v>109</v>
      </c>
      <c r="R1153" s="26" t="s">
        <v>6087</v>
      </c>
      <c r="S1153">
        <v>3</v>
      </c>
      <c r="T1153">
        <v>3250</v>
      </c>
      <c r="U1153">
        <v>0</v>
      </c>
      <c r="V1153">
        <v>3250</v>
      </c>
    </row>
    <row r="1154" spans="1:22" x14ac:dyDescent="0.3">
      <c r="A1154">
        <v>186607</v>
      </c>
      <c r="B1154">
        <v>455196932</v>
      </c>
      <c r="C1154" t="s">
        <v>6157</v>
      </c>
      <c r="D1154" s="9" t="s">
        <v>6158</v>
      </c>
      <c r="E1154" t="s">
        <v>4620</v>
      </c>
      <c r="F1154" t="s">
        <v>770</v>
      </c>
      <c r="G1154" t="s">
        <v>28</v>
      </c>
      <c r="H1154" t="s">
        <v>29</v>
      </c>
      <c r="I1154" t="s">
        <v>34</v>
      </c>
      <c r="J1154" t="s">
        <v>30</v>
      </c>
      <c r="K1154" t="s">
        <v>27</v>
      </c>
      <c r="L1154" t="s">
        <v>6159</v>
      </c>
      <c r="M1154" t="s">
        <v>6160</v>
      </c>
      <c r="N1154" t="s">
        <v>4623</v>
      </c>
      <c r="O1154" t="s">
        <v>54</v>
      </c>
      <c r="P1154" t="s">
        <v>6161</v>
      </c>
      <c r="Q1154" t="s">
        <v>125</v>
      </c>
      <c r="R1154" s="26" t="s">
        <v>6122</v>
      </c>
      <c r="S1154">
        <v>4.2</v>
      </c>
      <c r="T1154">
        <v>4429</v>
      </c>
      <c r="U1154">
        <v>0</v>
      </c>
      <c r="V1154">
        <v>4429</v>
      </c>
    </row>
    <row r="1155" spans="1:22" x14ac:dyDescent="0.3">
      <c r="A1155">
        <v>186607</v>
      </c>
      <c r="B1155">
        <v>455205250</v>
      </c>
      <c r="C1155" t="s">
        <v>6162</v>
      </c>
      <c r="D1155" s="9" t="s">
        <v>6163</v>
      </c>
      <c r="E1155" t="s">
        <v>4620</v>
      </c>
      <c r="F1155" t="s">
        <v>770</v>
      </c>
      <c r="G1155" t="s">
        <v>28</v>
      </c>
      <c r="H1155" t="s">
        <v>29</v>
      </c>
      <c r="I1155" t="s">
        <v>34</v>
      </c>
      <c r="J1155" t="s">
        <v>30</v>
      </c>
      <c r="K1155" t="s">
        <v>27</v>
      </c>
      <c r="L1155" t="s">
        <v>6164</v>
      </c>
      <c r="M1155" t="s">
        <v>651</v>
      </c>
      <c r="N1155" t="s">
        <v>4623</v>
      </c>
      <c r="O1155" t="s">
        <v>54</v>
      </c>
      <c r="P1155" t="s">
        <v>6165</v>
      </c>
      <c r="Q1155" t="s">
        <v>69</v>
      </c>
      <c r="R1155" s="26" t="s">
        <v>6118</v>
      </c>
      <c r="S1155">
        <v>1.3</v>
      </c>
      <c r="T1155">
        <v>3935</v>
      </c>
      <c r="U1155">
        <v>0</v>
      </c>
      <c r="V1155">
        <v>3935</v>
      </c>
    </row>
    <row r="1156" spans="1:22" x14ac:dyDescent="0.3">
      <c r="A1156">
        <v>186607</v>
      </c>
      <c r="B1156">
        <v>455229309</v>
      </c>
      <c r="C1156" t="s">
        <v>6166</v>
      </c>
      <c r="D1156" s="9" t="s">
        <v>6167</v>
      </c>
      <c r="E1156" t="s">
        <v>4620</v>
      </c>
      <c r="F1156" t="s">
        <v>770</v>
      </c>
      <c r="G1156" t="s">
        <v>28</v>
      </c>
      <c r="H1156" t="s">
        <v>29</v>
      </c>
      <c r="I1156" t="s">
        <v>34</v>
      </c>
      <c r="J1156" t="s">
        <v>30</v>
      </c>
      <c r="K1156" t="s">
        <v>27</v>
      </c>
      <c r="L1156" t="s">
        <v>6168</v>
      </c>
      <c r="M1156" t="s">
        <v>6169</v>
      </c>
      <c r="N1156" t="s">
        <v>4623</v>
      </c>
      <c r="O1156" t="s">
        <v>54</v>
      </c>
      <c r="P1156" t="s">
        <v>6170</v>
      </c>
      <c r="Q1156" t="s">
        <v>171</v>
      </c>
      <c r="R1156" s="26" t="s">
        <v>6087</v>
      </c>
      <c r="S1156">
        <v>2.1</v>
      </c>
      <c r="T1156">
        <v>3250</v>
      </c>
      <c r="U1156">
        <v>0</v>
      </c>
      <c r="V1156">
        <v>3250</v>
      </c>
    </row>
    <row r="1157" spans="1:22" x14ac:dyDescent="0.3">
      <c r="A1157">
        <v>186607</v>
      </c>
      <c r="B1157">
        <v>455196933</v>
      </c>
      <c r="C1157" t="s">
        <v>6171</v>
      </c>
      <c r="D1157" s="9" t="s">
        <v>6172</v>
      </c>
      <c r="E1157" t="s">
        <v>4620</v>
      </c>
      <c r="F1157" t="s">
        <v>770</v>
      </c>
      <c r="G1157" t="s">
        <v>28</v>
      </c>
      <c r="H1157" t="s">
        <v>29</v>
      </c>
      <c r="I1157" t="s">
        <v>34</v>
      </c>
      <c r="J1157" t="s">
        <v>30</v>
      </c>
      <c r="K1157" t="s">
        <v>27</v>
      </c>
      <c r="L1157" t="s">
        <v>6173</v>
      </c>
      <c r="M1157" t="s">
        <v>6174</v>
      </c>
      <c r="N1157" t="s">
        <v>4623</v>
      </c>
      <c r="O1157" t="s">
        <v>54</v>
      </c>
      <c r="P1157" t="s">
        <v>6175</v>
      </c>
      <c r="Q1157" t="s">
        <v>135</v>
      </c>
      <c r="R1157" s="26" t="s">
        <v>6122</v>
      </c>
      <c r="S1157">
        <v>2.1</v>
      </c>
      <c r="T1157">
        <v>3250</v>
      </c>
      <c r="U1157">
        <v>0</v>
      </c>
      <c r="V1157">
        <v>3250</v>
      </c>
    </row>
    <row r="1158" spans="1:22" x14ac:dyDescent="0.3">
      <c r="A1158">
        <v>186607</v>
      </c>
      <c r="B1158">
        <v>457113455</v>
      </c>
      <c r="C1158" t="s">
        <v>6176</v>
      </c>
      <c r="D1158" s="9" t="s">
        <v>6177</v>
      </c>
      <c r="E1158" t="s">
        <v>4620</v>
      </c>
      <c r="F1158" t="s">
        <v>770</v>
      </c>
      <c r="G1158" t="s">
        <v>56</v>
      </c>
      <c r="H1158" t="s">
        <v>57</v>
      </c>
      <c r="I1158" t="s">
        <v>34</v>
      </c>
      <c r="J1158" t="s">
        <v>58</v>
      </c>
      <c r="K1158" t="s">
        <v>60</v>
      </c>
      <c r="L1158" t="s">
        <v>92</v>
      </c>
      <c r="M1158" t="s">
        <v>6178</v>
      </c>
      <c r="N1158" t="s">
        <v>4623</v>
      </c>
      <c r="O1158" t="s">
        <v>54</v>
      </c>
      <c r="P1158" t="s">
        <v>6179</v>
      </c>
      <c r="Q1158" t="s">
        <v>82</v>
      </c>
      <c r="R1158" s="26" t="s">
        <v>419</v>
      </c>
      <c r="S1158">
        <v>0.79</v>
      </c>
      <c r="T1158">
        <v>3963</v>
      </c>
      <c r="U1158">
        <v>124.95</v>
      </c>
      <c r="V1158">
        <v>4087.95</v>
      </c>
    </row>
    <row r="1159" spans="1:22" x14ac:dyDescent="0.3">
      <c r="A1159">
        <v>186607</v>
      </c>
      <c r="B1159">
        <v>457161506</v>
      </c>
      <c r="C1159" t="s">
        <v>6180</v>
      </c>
      <c r="D1159" s="9" t="s">
        <v>6181</v>
      </c>
      <c r="E1159" t="s">
        <v>4620</v>
      </c>
      <c r="F1159" t="s">
        <v>770</v>
      </c>
      <c r="G1159" t="s">
        <v>56</v>
      </c>
      <c r="H1159" t="s">
        <v>57</v>
      </c>
      <c r="I1159" t="s">
        <v>34</v>
      </c>
      <c r="J1159" t="s">
        <v>58</v>
      </c>
      <c r="K1159" t="s">
        <v>148</v>
      </c>
      <c r="L1159" t="s">
        <v>749</v>
      </c>
      <c r="M1159" t="s">
        <v>6182</v>
      </c>
      <c r="N1159" t="s">
        <v>4623</v>
      </c>
      <c r="O1159" t="s">
        <v>54</v>
      </c>
      <c r="P1159" t="s">
        <v>6183</v>
      </c>
      <c r="Q1159" t="s">
        <v>116</v>
      </c>
      <c r="R1159" s="26" t="s">
        <v>6184</v>
      </c>
      <c r="S1159">
        <v>1.44</v>
      </c>
      <c r="T1159">
        <v>18465</v>
      </c>
      <c r="U1159">
        <v>249.9</v>
      </c>
      <c r="V1159">
        <v>18714.900000000001</v>
      </c>
    </row>
    <row r="1160" spans="1:22" x14ac:dyDescent="0.3">
      <c r="A1160">
        <v>186607</v>
      </c>
      <c r="B1160">
        <v>456988485</v>
      </c>
      <c r="C1160" t="s">
        <v>6185</v>
      </c>
      <c r="D1160" s="9" t="s">
        <v>6186</v>
      </c>
      <c r="E1160" t="s">
        <v>4620</v>
      </c>
      <c r="F1160" t="s">
        <v>770</v>
      </c>
      <c r="G1160" t="s">
        <v>56</v>
      </c>
      <c r="H1160" t="s">
        <v>57</v>
      </c>
      <c r="I1160" t="s">
        <v>34</v>
      </c>
      <c r="J1160" t="s">
        <v>58</v>
      </c>
      <c r="K1160" t="s">
        <v>27</v>
      </c>
      <c r="L1160" t="s">
        <v>6187</v>
      </c>
      <c r="M1160" t="s">
        <v>6188</v>
      </c>
      <c r="N1160" t="s">
        <v>4623</v>
      </c>
      <c r="O1160" t="s">
        <v>54</v>
      </c>
      <c r="P1160" t="s">
        <v>6189</v>
      </c>
      <c r="Q1160" t="s">
        <v>116</v>
      </c>
      <c r="R1160" s="26" t="s">
        <v>4661</v>
      </c>
      <c r="S1160">
        <v>0.77</v>
      </c>
      <c r="T1160">
        <v>11369</v>
      </c>
      <c r="U1160">
        <v>124.95</v>
      </c>
      <c r="V1160">
        <v>11493.95</v>
      </c>
    </row>
    <row r="1161" spans="1:22" x14ac:dyDescent="0.3">
      <c r="A1161">
        <v>186607</v>
      </c>
      <c r="B1161">
        <v>456953992</v>
      </c>
      <c r="C1161" t="s">
        <v>6190</v>
      </c>
      <c r="D1161" s="9" t="s">
        <v>6191</v>
      </c>
      <c r="E1161" t="s">
        <v>4620</v>
      </c>
      <c r="F1161" t="s">
        <v>770</v>
      </c>
      <c r="G1161" t="s">
        <v>56</v>
      </c>
      <c r="H1161" t="s">
        <v>57</v>
      </c>
      <c r="I1161" t="s">
        <v>34</v>
      </c>
      <c r="J1161" t="s">
        <v>58</v>
      </c>
      <c r="K1161" t="s">
        <v>27</v>
      </c>
      <c r="L1161" t="s">
        <v>6192</v>
      </c>
      <c r="M1161" t="s">
        <v>6193</v>
      </c>
      <c r="N1161" t="s">
        <v>4623</v>
      </c>
      <c r="O1161" t="s">
        <v>54</v>
      </c>
      <c r="P1161" t="s">
        <v>6194</v>
      </c>
      <c r="Q1161" t="s">
        <v>174</v>
      </c>
      <c r="R1161" s="26" t="s">
        <v>4701</v>
      </c>
      <c r="S1161">
        <v>9.2100000000000009</v>
      </c>
      <c r="T1161">
        <v>13928</v>
      </c>
      <c r="U1161">
        <v>249.9</v>
      </c>
      <c r="V1161">
        <v>14177.9</v>
      </c>
    </row>
    <row r="1162" spans="1:22" x14ac:dyDescent="0.3">
      <c r="A1162">
        <v>186607</v>
      </c>
      <c r="B1162">
        <v>456751269</v>
      </c>
      <c r="C1162" t="s">
        <v>6195</v>
      </c>
      <c r="D1162" s="9" t="s">
        <v>6196</v>
      </c>
      <c r="E1162" t="s">
        <v>4620</v>
      </c>
      <c r="F1162" t="s">
        <v>770</v>
      </c>
      <c r="G1162" t="s">
        <v>56</v>
      </c>
      <c r="H1162" t="s">
        <v>57</v>
      </c>
      <c r="I1162" t="s">
        <v>34</v>
      </c>
      <c r="J1162" t="s">
        <v>58</v>
      </c>
      <c r="K1162" t="s">
        <v>27</v>
      </c>
      <c r="L1162" t="s">
        <v>6197</v>
      </c>
      <c r="M1162" t="s">
        <v>6198</v>
      </c>
      <c r="N1162" t="s">
        <v>4623</v>
      </c>
      <c r="O1162" t="s">
        <v>54</v>
      </c>
      <c r="P1162" t="s">
        <v>6199</v>
      </c>
      <c r="Q1162" t="s">
        <v>455</v>
      </c>
      <c r="R1162" s="26" t="s">
        <v>4630</v>
      </c>
      <c r="S1162">
        <v>1.44</v>
      </c>
      <c r="T1162">
        <v>7679</v>
      </c>
      <c r="U1162">
        <v>249.9</v>
      </c>
      <c r="V1162">
        <v>7928.9</v>
      </c>
    </row>
    <row r="1163" spans="1:22" x14ac:dyDescent="0.3">
      <c r="A1163">
        <v>186607</v>
      </c>
      <c r="B1163">
        <v>456676390</v>
      </c>
      <c r="C1163" t="s">
        <v>6200</v>
      </c>
      <c r="D1163" s="9" t="s">
        <v>6201</v>
      </c>
      <c r="E1163" t="s">
        <v>4620</v>
      </c>
      <c r="F1163" t="s">
        <v>770</v>
      </c>
      <c r="G1163" t="s">
        <v>56</v>
      </c>
      <c r="H1163" t="s">
        <v>57</v>
      </c>
      <c r="I1163" t="s">
        <v>34</v>
      </c>
      <c r="J1163" t="s">
        <v>58</v>
      </c>
      <c r="K1163" t="s">
        <v>27</v>
      </c>
      <c r="L1163" t="s">
        <v>6202</v>
      </c>
      <c r="M1163" t="s">
        <v>6203</v>
      </c>
      <c r="N1163" t="s">
        <v>4623</v>
      </c>
      <c r="O1163" t="s">
        <v>54</v>
      </c>
      <c r="P1163" t="s">
        <v>6204</v>
      </c>
      <c r="Q1163" t="s">
        <v>252</v>
      </c>
      <c r="R1163" s="26" t="s">
        <v>505</v>
      </c>
      <c r="S1163">
        <v>1.45</v>
      </c>
      <c r="T1163">
        <v>9149</v>
      </c>
      <c r="U1163">
        <v>249.9</v>
      </c>
      <c r="V1163">
        <v>9398.9</v>
      </c>
    </row>
    <row r="1164" spans="1:22" x14ac:dyDescent="0.3">
      <c r="A1164">
        <v>186607</v>
      </c>
      <c r="B1164">
        <v>456703508</v>
      </c>
      <c r="C1164" t="s">
        <v>6205</v>
      </c>
      <c r="D1164" s="9" t="s">
        <v>6206</v>
      </c>
      <c r="E1164" t="s">
        <v>4620</v>
      </c>
      <c r="F1164" t="s">
        <v>770</v>
      </c>
      <c r="G1164" t="s">
        <v>56</v>
      </c>
      <c r="H1164" t="s">
        <v>57</v>
      </c>
      <c r="I1164" t="s">
        <v>34</v>
      </c>
      <c r="J1164" t="s">
        <v>58</v>
      </c>
      <c r="K1164" t="s">
        <v>27</v>
      </c>
      <c r="L1164" t="s">
        <v>6207</v>
      </c>
      <c r="M1164" t="s">
        <v>6208</v>
      </c>
      <c r="N1164" t="s">
        <v>4623</v>
      </c>
      <c r="O1164" t="s">
        <v>54</v>
      </c>
      <c r="P1164" t="s">
        <v>6209</v>
      </c>
      <c r="Q1164" t="s">
        <v>320</v>
      </c>
      <c r="R1164" s="26" t="s">
        <v>4865</v>
      </c>
      <c r="S1164">
        <v>0.76</v>
      </c>
      <c r="T1164">
        <v>6448</v>
      </c>
      <c r="U1164">
        <v>124.95</v>
      </c>
      <c r="V1164">
        <v>6572.95</v>
      </c>
    </row>
    <row r="1165" spans="1:22" x14ac:dyDescent="0.3">
      <c r="A1165">
        <v>186607</v>
      </c>
      <c r="B1165">
        <v>456703496</v>
      </c>
      <c r="C1165" t="s">
        <v>6210</v>
      </c>
      <c r="D1165" s="9" t="s">
        <v>6211</v>
      </c>
      <c r="E1165" t="s">
        <v>4620</v>
      </c>
      <c r="F1165" t="s">
        <v>770</v>
      </c>
      <c r="G1165" t="s">
        <v>56</v>
      </c>
      <c r="H1165" t="s">
        <v>57</v>
      </c>
      <c r="I1165" t="s">
        <v>34</v>
      </c>
      <c r="J1165" t="s">
        <v>58</v>
      </c>
      <c r="K1165" t="s">
        <v>27</v>
      </c>
      <c r="L1165" t="s">
        <v>6212</v>
      </c>
      <c r="M1165" t="s">
        <v>592</v>
      </c>
      <c r="N1165" t="s">
        <v>4623</v>
      </c>
      <c r="O1165" t="s">
        <v>54</v>
      </c>
      <c r="P1165" t="s">
        <v>6213</v>
      </c>
      <c r="Q1165" t="s">
        <v>96</v>
      </c>
      <c r="R1165" s="26" t="s">
        <v>4865</v>
      </c>
      <c r="S1165">
        <v>1.51</v>
      </c>
      <c r="T1165">
        <v>6488</v>
      </c>
      <c r="U1165">
        <v>249.9</v>
      </c>
      <c r="V1165">
        <v>6737.9</v>
      </c>
    </row>
    <row r="1166" spans="1:22" x14ac:dyDescent="0.3">
      <c r="A1166">
        <v>186607</v>
      </c>
      <c r="B1166">
        <v>456703507</v>
      </c>
      <c r="C1166" t="s">
        <v>6214</v>
      </c>
      <c r="D1166" s="9" t="s">
        <v>6215</v>
      </c>
      <c r="E1166" t="s">
        <v>4620</v>
      </c>
      <c r="F1166" t="s">
        <v>770</v>
      </c>
      <c r="G1166" t="s">
        <v>56</v>
      </c>
      <c r="H1166" t="s">
        <v>57</v>
      </c>
      <c r="I1166" t="s">
        <v>34</v>
      </c>
      <c r="J1166" t="s">
        <v>58</v>
      </c>
      <c r="K1166" t="s">
        <v>27</v>
      </c>
      <c r="L1166" t="s">
        <v>6216</v>
      </c>
      <c r="M1166" t="s">
        <v>6217</v>
      </c>
      <c r="N1166" t="s">
        <v>4623</v>
      </c>
      <c r="O1166" t="s">
        <v>54</v>
      </c>
      <c r="P1166" t="s">
        <v>6218</v>
      </c>
      <c r="Q1166" t="s">
        <v>493</v>
      </c>
      <c r="R1166" s="26" t="s">
        <v>4865</v>
      </c>
      <c r="S1166">
        <v>0.75</v>
      </c>
      <c r="T1166">
        <v>11256</v>
      </c>
      <c r="U1166">
        <v>124.95</v>
      </c>
      <c r="V1166">
        <v>11380.95</v>
      </c>
    </row>
    <row r="1167" spans="1:22" x14ac:dyDescent="0.3">
      <c r="A1167">
        <v>186607</v>
      </c>
      <c r="B1167">
        <v>456631263</v>
      </c>
      <c r="C1167" t="s">
        <v>6219</v>
      </c>
      <c r="D1167" s="9" t="s">
        <v>6220</v>
      </c>
      <c r="E1167" t="s">
        <v>4620</v>
      </c>
      <c r="F1167" t="s">
        <v>770</v>
      </c>
      <c r="G1167" t="s">
        <v>56</v>
      </c>
      <c r="H1167" t="s">
        <v>57</v>
      </c>
      <c r="I1167" t="s">
        <v>34</v>
      </c>
      <c r="J1167" t="s">
        <v>58</v>
      </c>
      <c r="K1167" t="s">
        <v>27</v>
      </c>
      <c r="L1167" t="s">
        <v>6221</v>
      </c>
      <c r="M1167" t="s">
        <v>6222</v>
      </c>
      <c r="N1167" t="s">
        <v>4623</v>
      </c>
      <c r="O1167" t="s">
        <v>54</v>
      </c>
      <c r="P1167" t="s">
        <v>6223</v>
      </c>
      <c r="Q1167" t="s">
        <v>96</v>
      </c>
      <c r="R1167" s="26" t="s">
        <v>467</v>
      </c>
      <c r="S1167">
        <v>0.76</v>
      </c>
      <c r="T1167">
        <v>5641</v>
      </c>
      <c r="U1167">
        <v>124.95</v>
      </c>
      <c r="V1167">
        <v>5765.95</v>
      </c>
    </row>
    <row r="1168" spans="1:22" x14ac:dyDescent="0.3">
      <c r="A1168">
        <v>186607</v>
      </c>
      <c r="B1168">
        <v>456603337</v>
      </c>
      <c r="C1168" t="s">
        <v>6224</v>
      </c>
      <c r="D1168" s="9" t="s">
        <v>6225</v>
      </c>
      <c r="E1168" t="s">
        <v>4620</v>
      </c>
      <c r="F1168" t="s">
        <v>770</v>
      </c>
      <c r="G1168" t="s">
        <v>56</v>
      </c>
      <c r="H1168" t="s">
        <v>57</v>
      </c>
      <c r="I1168" t="s">
        <v>34</v>
      </c>
      <c r="J1168" t="s">
        <v>58</v>
      </c>
      <c r="K1168" t="s">
        <v>27</v>
      </c>
      <c r="L1168" t="s">
        <v>6226</v>
      </c>
      <c r="M1168" t="s">
        <v>6227</v>
      </c>
      <c r="N1168" t="s">
        <v>4623</v>
      </c>
      <c r="O1168" t="s">
        <v>54</v>
      </c>
      <c r="P1168" t="s">
        <v>6228</v>
      </c>
      <c r="Q1168" t="s">
        <v>79</v>
      </c>
      <c r="R1168" s="26" t="s">
        <v>456</v>
      </c>
      <c r="S1168">
        <v>1.51</v>
      </c>
      <c r="T1168">
        <v>14268</v>
      </c>
      <c r="U1168">
        <v>249.9</v>
      </c>
      <c r="V1168">
        <v>14517.9</v>
      </c>
    </row>
    <row r="1169" spans="1:22" x14ac:dyDescent="0.3">
      <c r="A1169">
        <v>186607</v>
      </c>
      <c r="B1169">
        <v>456532594</v>
      </c>
      <c r="C1169" t="s">
        <v>6229</v>
      </c>
      <c r="D1169" s="9" t="s">
        <v>6230</v>
      </c>
      <c r="E1169" t="s">
        <v>4620</v>
      </c>
      <c r="F1169" t="s">
        <v>770</v>
      </c>
      <c r="G1169" t="s">
        <v>56</v>
      </c>
      <c r="H1169" t="s">
        <v>57</v>
      </c>
      <c r="I1169" t="s">
        <v>34</v>
      </c>
      <c r="J1169" t="s">
        <v>58</v>
      </c>
      <c r="K1169" t="s">
        <v>27</v>
      </c>
      <c r="L1169" t="s">
        <v>6231</v>
      </c>
      <c r="M1169" t="s">
        <v>6232</v>
      </c>
      <c r="N1169" t="s">
        <v>4623</v>
      </c>
      <c r="O1169" t="s">
        <v>54</v>
      </c>
      <c r="P1169" t="s">
        <v>6233</v>
      </c>
      <c r="Q1169" t="s">
        <v>146</v>
      </c>
      <c r="R1169" s="26" t="s">
        <v>5066</v>
      </c>
      <c r="S1169">
        <v>0.82</v>
      </c>
      <c r="T1169">
        <v>4495</v>
      </c>
      <c r="U1169">
        <v>124.95</v>
      </c>
      <c r="V1169">
        <v>4619.95</v>
      </c>
    </row>
    <row r="1170" spans="1:22" x14ac:dyDescent="0.3">
      <c r="A1170">
        <v>186607</v>
      </c>
      <c r="B1170">
        <v>456474885</v>
      </c>
      <c r="C1170" t="s">
        <v>6234</v>
      </c>
      <c r="D1170" s="9" t="s">
        <v>6235</v>
      </c>
      <c r="E1170" t="s">
        <v>4620</v>
      </c>
      <c r="F1170" t="s">
        <v>770</v>
      </c>
      <c r="G1170" t="s">
        <v>56</v>
      </c>
      <c r="H1170" t="s">
        <v>57</v>
      </c>
      <c r="I1170" t="s">
        <v>34</v>
      </c>
      <c r="J1170" t="s">
        <v>58</v>
      </c>
      <c r="K1170" t="s">
        <v>27</v>
      </c>
      <c r="L1170" t="s">
        <v>6236</v>
      </c>
      <c r="M1170" t="s">
        <v>6237</v>
      </c>
      <c r="N1170" t="s">
        <v>4623</v>
      </c>
      <c r="O1170" t="s">
        <v>54</v>
      </c>
      <c r="P1170" t="s">
        <v>6238</v>
      </c>
      <c r="Q1170" t="s">
        <v>313</v>
      </c>
      <c r="R1170" s="26" t="s">
        <v>521</v>
      </c>
      <c r="S1170">
        <v>1.48</v>
      </c>
      <c r="T1170">
        <v>7222</v>
      </c>
      <c r="U1170">
        <v>249.9</v>
      </c>
      <c r="V1170">
        <v>7471.9</v>
      </c>
    </row>
    <row r="1171" spans="1:22" x14ac:dyDescent="0.3">
      <c r="A1171">
        <v>186607</v>
      </c>
      <c r="B1171">
        <v>456497351</v>
      </c>
      <c r="C1171" t="s">
        <v>6239</v>
      </c>
      <c r="D1171" s="9" t="s">
        <v>6240</v>
      </c>
      <c r="E1171" t="s">
        <v>4620</v>
      </c>
      <c r="F1171" t="s">
        <v>770</v>
      </c>
      <c r="G1171" t="s">
        <v>56</v>
      </c>
      <c r="H1171" t="s">
        <v>57</v>
      </c>
      <c r="I1171" t="s">
        <v>34</v>
      </c>
      <c r="J1171" t="s">
        <v>58</v>
      </c>
      <c r="K1171" t="s">
        <v>27</v>
      </c>
      <c r="L1171" t="s">
        <v>6241</v>
      </c>
      <c r="M1171" t="s">
        <v>6242</v>
      </c>
      <c r="N1171" t="s">
        <v>4623</v>
      </c>
      <c r="O1171" t="s">
        <v>54</v>
      </c>
      <c r="P1171" t="s">
        <v>6243</v>
      </c>
      <c r="Q1171" t="s">
        <v>63</v>
      </c>
      <c r="R1171" s="26" t="s">
        <v>469</v>
      </c>
      <c r="S1171">
        <v>1.48</v>
      </c>
      <c r="T1171">
        <v>5027</v>
      </c>
      <c r="U1171">
        <v>249.9</v>
      </c>
      <c r="V1171">
        <v>5276.9</v>
      </c>
    </row>
    <row r="1172" spans="1:22" x14ac:dyDescent="0.3">
      <c r="A1172">
        <v>186607</v>
      </c>
      <c r="B1172">
        <v>456271773</v>
      </c>
      <c r="C1172" t="s">
        <v>6244</v>
      </c>
      <c r="D1172" s="9" t="s">
        <v>6245</v>
      </c>
      <c r="E1172" t="s">
        <v>4620</v>
      </c>
      <c r="F1172" t="s">
        <v>770</v>
      </c>
      <c r="G1172" t="s">
        <v>56</v>
      </c>
      <c r="H1172" t="s">
        <v>57</v>
      </c>
      <c r="I1172" t="s">
        <v>34</v>
      </c>
      <c r="J1172" t="s">
        <v>58</v>
      </c>
      <c r="K1172" t="s">
        <v>27</v>
      </c>
      <c r="L1172" t="s">
        <v>6246</v>
      </c>
      <c r="M1172" t="s">
        <v>559</v>
      </c>
      <c r="N1172" t="s">
        <v>4623</v>
      </c>
      <c r="O1172" t="s">
        <v>54</v>
      </c>
      <c r="P1172" t="s">
        <v>6247</v>
      </c>
      <c r="Q1172" t="s">
        <v>63</v>
      </c>
      <c r="R1172" s="26" t="s">
        <v>247</v>
      </c>
      <c r="S1172">
        <v>1.53</v>
      </c>
      <c r="T1172">
        <v>5027</v>
      </c>
      <c r="U1172">
        <v>249.9</v>
      </c>
      <c r="V1172">
        <v>5276.9</v>
      </c>
    </row>
    <row r="1173" spans="1:22" x14ac:dyDescent="0.3">
      <c r="A1173">
        <v>186607</v>
      </c>
      <c r="B1173">
        <v>456271782</v>
      </c>
      <c r="C1173" t="s">
        <v>6248</v>
      </c>
      <c r="D1173" s="9" t="s">
        <v>6249</v>
      </c>
      <c r="E1173" t="s">
        <v>4620</v>
      </c>
      <c r="F1173" t="s">
        <v>770</v>
      </c>
      <c r="G1173" t="s">
        <v>56</v>
      </c>
      <c r="H1173" t="s">
        <v>57</v>
      </c>
      <c r="I1173" t="s">
        <v>34</v>
      </c>
      <c r="J1173" t="s">
        <v>58</v>
      </c>
      <c r="K1173" t="s">
        <v>27</v>
      </c>
      <c r="L1173" t="s">
        <v>6250</v>
      </c>
      <c r="M1173" t="s">
        <v>6251</v>
      </c>
      <c r="N1173" t="s">
        <v>4623</v>
      </c>
      <c r="O1173" t="s">
        <v>54</v>
      </c>
      <c r="P1173" t="s">
        <v>6252</v>
      </c>
      <c r="Q1173" t="s">
        <v>63</v>
      </c>
      <c r="R1173" s="26" t="s">
        <v>247</v>
      </c>
      <c r="S1173">
        <v>1.52</v>
      </c>
      <c r="T1173">
        <v>5027</v>
      </c>
      <c r="U1173">
        <v>249.9</v>
      </c>
      <c r="V1173">
        <v>5276.9</v>
      </c>
    </row>
    <row r="1174" spans="1:22" x14ac:dyDescent="0.3">
      <c r="A1174">
        <v>186607</v>
      </c>
      <c r="B1174">
        <v>456271797</v>
      </c>
      <c r="C1174" t="s">
        <v>6253</v>
      </c>
      <c r="D1174" s="9" t="s">
        <v>6254</v>
      </c>
      <c r="E1174" t="s">
        <v>4620</v>
      </c>
      <c r="F1174" t="s">
        <v>770</v>
      </c>
      <c r="G1174" t="s">
        <v>56</v>
      </c>
      <c r="H1174" t="s">
        <v>57</v>
      </c>
      <c r="I1174" t="s">
        <v>34</v>
      </c>
      <c r="J1174" t="s">
        <v>58</v>
      </c>
      <c r="K1174" t="s">
        <v>27</v>
      </c>
      <c r="L1174" t="s">
        <v>6255</v>
      </c>
      <c r="M1174" t="s">
        <v>6256</v>
      </c>
      <c r="N1174" t="s">
        <v>4623</v>
      </c>
      <c r="O1174" t="s">
        <v>54</v>
      </c>
      <c r="P1174" t="s">
        <v>6257</v>
      </c>
      <c r="Q1174" t="s">
        <v>163</v>
      </c>
      <c r="R1174" s="26" t="s">
        <v>247</v>
      </c>
      <c r="S1174">
        <v>1.5</v>
      </c>
      <c r="T1174">
        <v>17179</v>
      </c>
      <c r="U1174">
        <v>249.9</v>
      </c>
      <c r="V1174">
        <v>17428.900000000001</v>
      </c>
    </row>
    <row r="1175" spans="1:22" x14ac:dyDescent="0.3">
      <c r="A1175">
        <v>186607</v>
      </c>
      <c r="B1175">
        <v>456271831</v>
      </c>
      <c r="C1175" t="s">
        <v>6258</v>
      </c>
      <c r="D1175" s="9" t="s">
        <v>6259</v>
      </c>
      <c r="E1175" t="s">
        <v>4620</v>
      </c>
      <c r="F1175" t="s">
        <v>770</v>
      </c>
      <c r="G1175" t="s">
        <v>56</v>
      </c>
      <c r="H1175" t="s">
        <v>57</v>
      </c>
      <c r="I1175" t="s">
        <v>34</v>
      </c>
      <c r="J1175" t="s">
        <v>58</v>
      </c>
      <c r="K1175" t="s">
        <v>27</v>
      </c>
      <c r="L1175" t="s">
        <v>6260</v>
      </c>
      <c r="M1175" t="s">
        <v>6261</v>
      </c>
      <c r="N1175" t="s">
        <v>4623</v>
      </c>
      <c r="O1175" t="s">
        <v>54</v>
      </c>
      <c r="P1175" t="s">
        <v>6262</v>
      </c>
      <c r="Q1175" t="s">
        <v>329</v>
      </c>
      <c r="R1175" s="26" t="s">
        <v>247</v>
      </c>
      <c r="S1175">
        <v>8.8000000000000007</v>
      </c>
      <c r="T1175">
        <v>13578</v>
      </c>
      <c r="U1175">
        <v>249.9</v>
      </c>
      <c r="V1175">
        <v>13827.9</v>
      </c>
    </row>
    <row r="1176" spans="1:22" x14ac:dyDescent="0.3">
      <c r="A1176">
        <v>186607</v>
      </c>
      <c r="B1176">
        <v>456094228</v>
      </c>
      <c r="C1176" t="s">
        <v>6263</v>
      </c>
      <c r="D1176" s="9" t="s">
        <v>6264</v>
      </c>
      <c r="E1176" t="s">
        <v>4620</v>
      </c>
      <c r="F1176" t="s">
        <v>770</v>
      </c>
      <c r="G1176" t="s">
        <v>56</v>
      </c>
      <c r="H1176" t="s">
        <v>57</v>
      </c>
      <c r="I1176" t="s">
        <v>34</v>
      </c>
      <c r="J1176" t="s">
        <v>58</v>
      </c>
      <c r="K1176" t="s">
        <v>27</v>
      </c>
      <c r="L1176" t="s">
        <v>6265</v>
      </c>
      <c r="M1176" t="s">
        <v>619</v>
      </c>
      <c r="N1176" t="s">
        <v>4623</v>
      </c>
      <c r="O1176" t="s">
        <v>54</v>
      </c>
      <c r="P1176" t="s">
        <v>6266</v>
      </c>
      <c r="Q1176" t="s">
        <v>79</v>
      </c>
      <c r="R1176" s="26" t="s">
        <v>308</v>
      </c>
      <c r="S1176">
        <v>1.81</v>
      </c>
      <c r="T1176">
        <v>14268</v>
      </c>
      <c r="U1176">
        <v>249.9</v>
      </c>
      <c r="V1176">
        <v>14517.9</v>
      </c>
    </row>
    <row r="1177" spans="1:22" x14ac:dyDescent="0.3">
      <c r="A1177">
        <v>186607</v>
      </c>
      <c r="B1177">
        <v>456334922</v>
      </c>
      <c r="C1177" t="s">
        <v>6267</v>
      </c>
      <c r="D1177" s="9" t="s">
        <v>6268</v>
      </c>
      <c r="E1177" t="s">
        <v>4620</v>
      </c>
      <c r="F1177" t="s">
        <v>770</v>
      </c>
      <c r="G1177" t="s">
        <v>56</v>
      </c>
      <c r="H1177" t="s">
        <v>57</v>
      </c>
      <c r="I1177" t="s">
        <v>34</v>
      </c>
      <c r="J1177" t="s">
        <v>58</v>
      </c>
      <c r="K1177" t="s">
        <v>27</v>
      </c>
      <c r="L1177" t="s">
        <v>6269</v>
      </c>
      <c r="M1177" t="s">
        <v>6270</v>
      </c>
      <c r="N1177" t="s">
        <v>4623</v>
      </c>
      <c r="O1177" t="s">
        <v>54</v>
      </c>
      <c r="P1177" t="s">
        <v>6271</v>
      </c>
      <c r="Q1177" t="s">
        <v>79</v>
      </c>
      <c r="R1177" s="26" t="s">
        <v>4646</v>
      </c>
      <c r="S1177">
        <v>1.57</v>
      </c>
      <c r="T1177">
        <v>14268</v>
      </c>
      <c r="U1177">
        <v>249.9</v>
      </c>
      <c r="V1177">
        <v>14517.9</v>
      </c>
    </row>
    <row r="1178" spans="1:22" x14ac:dyDescent="0.3">
      <c r="A1178">
        <v>186607</v>
      </c>
      <c r="B1178">
        <v>456334927</v>
      </c>
      <c r="C1178" t="s">
        <v>6272</v>
      </c>
      <c r="D1178" s="9" t="s">
        <v>6273</v>
      </c>
      <c r="E1178" t="s">
        <v>4620</v>
      </c>
      <c r="F1178" t="s">
        <v>770</v>
      </c>
      <c r="G1178" t="s">
        <v>56</v>
      </c>
      <c r="H1178" t="s">
        <v>57</v>
      </c>
      <c r="I1178" t="s">
        <v>34</v>
      </c>
      <c r="J1178" t="s">
        <v>58</v>
      </c>
      <c r="K1178" t="s">
        <v>27</v>
      </c>
      <c r="L1178" t="s">
        <v>6274</v>
      </c>
      <c r="M1178" t="s">
        <v>6275</v>
      </c>
      <c r="N1178" t="s">
        <v>4623</v>
      </c>
      <c r="O1178" t="s">
        <v>54</v>
      </c>
      <c r="P1178" t="s">
        <v>6276</v>
      </c>
      <c r="Q1178" t="s">
        <v>83</v>
      </c>
      <c r="R1178" s="26" t="s">
        <v>4646</v>
      </c>
      <c r="S1178">
        <v>1.51</v>
      </c>
      <c r="T1178">
        <v>7784</v>
      </c>
      <c r="U1178">
        <v>249.9</v>
      </c>
      <c r="V1178">
        <v>8033.9</v>
      </c>
    </row>
    <row r="1179" spans="1:22" x14ac:dyDescent="0.3">
      <c r="A1179">
        <v>186607</v>
      </c>
      <c r="B1179">
        <v>456094440</v>
      </c>
      <c r="C1179" t="s">
        <v>6277</v>
      </c>
      <c r="D1179" s="9" t="s">
        <v>6278</v>
      </c>
      <c r="E1179" t="s">
        <v>4620</v>
      </c>
      <c r="F1179" t="s">
        <v>770</v>
      </c>
      <c r="G1179" t="s">
        <v>56</v>
      </c>
      <c r="H1179" t="s">
        <v>57</v>
      </c>
      <c r="I1179" t="s">
        <v>34</v>
      </c>
      <c r="J1179" t="s">
        <v>58</v>
      </c>
      <c r="K1179" t="s">
        <v>27</v>
      </c>
      <c r="L1179" t="s">
        <v>6279</v>
      </c>
      <c r="M1179" t="s">
        <v>481</v>
      </c>
      <c r="N1179" t="s">
        <v>4623</v>
      </c>
      <c r="O1179" t="s">
        <v>54</v>
      </c>
      <c r="P1179" t="s">
        <v>6280</v>
      </c>
      <c r="Q1179" t="s">
        <v>63</v>
      </c>
      <c r="R1179" s="26" t="s">
        <v>374</v>
      </c>
      <c r="S1179">
        <v>1.54</v>
      </c>
      <c r="T1179">
        <v>5027</v>
      </c>
      <c r="U1179">
        <v>249.9</v>
      </c>
      <c r="V1179">
        <v>5276.9</v>
      </c>
    </row>
    <row r="1180" spans="1:22" x14ac:dyDescent="0.3">
      <c r="A1180">
        <v>186607</v>
      </c>
      <c r="B1180">
        <v>456094272</v>
      </c>
      <c r="C1180" t="s">
        <v>6281</v>
      </c>
      <c r="D1180" s="9" t="s">
        <v>6282</v>
      </c>
      <c r="E1180" t="s">
        <v>4620</v>
      </c>
      <c r="F1180" t="s">
        <v>770</v>
      </c>
      <c r="G1180" t="s">
        <v>56</v>
      </c>
      <c r="H1180" t="s">
        <v>57</v>
      </c>
      <c r="I1180" t="s">
        <v>34</v>
      </c>
      <c r="J1180" t="s">
        <v>58</v>
      </c>
      <c r="K1180" t="s">
        <v>27</v>
      </c>
      <c r="L1180" t="s">
        <v>6283</v>
      </c>
      <c r="M1180" t="s">
        <v>6284</v>
      </c>
      <c r="N1180" t="s">
        <v>4623</v>
      </c>
      <c r="O1180" t="s">
        <v>54</v>
      </c>
      <c r="P1180" t="s">
        <v>6285</v>
      </c>
      <c r="Q1180" t="s">
        <v>220</v>
      </c>
      <c r="R1180" s="26" t="s">
        <v>308</v>
      </c>
      <c r="S1180">
        <v>0.83</v>
      </c>
      <c r="T1180">
        <v>6448</v>
      </c>
      <c r="U1180">
        <v>124.95</v>
      </c>
      <c r="V1180">
        <v>6572.95</v>
      </c>
    </row>
    <row r="1181" spans="1:22" x14ac:dyDescent="0.3">
      <c r="A1181">
        <v>186607</v>
      </c>
      <c r="B1181">
        <v>456093978</v>
      </c>
      <c r="C1181" t="s">
        <v>6286</v>
      </c>
      <c r="D1181" s="9" t="s">
        <v>6287</v>
      </c>
      <c r="E1181" t="s">
        <v>4620</v>
      </c>
      <c r="F1181" t="s">
        <v>770</v>
      </c>
      <c r="G1181" t="s">
        <v>56</v>
      </c>
      <c r="H1181" t="s">
        <v>57</v>
      </c>
      <c r="I1181" t="s">
        <v>34</v>
      </c>
      <c r="J1181" t="s">
        <v>58</v>
      </c>
      <c r="K1181" t="s">
        <v>27</v>
      </c>
      <c r="L1181" t="s">
        <v>6288</v>
      </c>
      <c r="M1181" t="s">
        <v>6289</v>
      </c>
      <c r="N1181" t="s">
        <v>4623</v>
      </c>
      <c r="O1181" t="s">
        <v>54</v>
      </c>
      <c r="P1181" t="s">
        <v>6290</v>
      </c>
      <c r="Q1181" t="s">
        <v>96</v>
      </c>
      <c r="R1181" s="26" t="s">
        <v>240</v>
      </c>
      <c r="S1181">
        <v>0.83</v>
      </c>
      <c r="T1181">
        <v>5641</v>
      </c>
      <c r="U1181">
        <v>124.95</v>
      </c>
      <c r="V1181">
        <v>5765.95</v>
      </c>
    </row>
    <row r="1182" spans="1:22" x14ac:dyDescent="0.3">
      <c r="A1182">
        <v>186607</v>
      </c>
      <c r="B1182">
        <v>456409316</v>
      </c>
      <c r="C1182" t="s">
        <v>6291</v>
      </c>
      <c r="D1182" s="9" t="s">
        <v>6292</v>
      </c>
      <c r="E1182" t="s">
        <v>4620</v>
      </c>
      <c r="F1182" t="s">
        <v>770</v>
      </c>
      <c r="G1182" t="s">
        <v>56</v>
      </c>
      <c r="H1182" t="s">
        <v>57</v>
      </c>
      <c r="I1182" t="s">
        <v>34</v>
      </c>
      <c r="J1182" t="s">
        <v>58</v>
      </c>
      <c r="K1182" t="s">
        <v>27</v>
      </c>
      <c r="L1182" t="s">
        <v>6293</v>
      </c>
      <c r="M1182" t="s">
        <v>6294</v>
      </c>
      <c r="N1182" t="s">
        <v>4623</v>
      </c>
      <c r="O1182" t="s">
        <v>54</v>
      </c>
      <c r="P1182" t="s">
        <v>6295</v>
      </c>
      <c r="Q1182" t="s">
        <v>96</v>
      </c>
      <c r="R1182" s="26" t="s">
        <v>6296</v>
      </c>
      <c r="S1182">
        <v>1.58</v>
      </c>
      <c r="T1182">
        <v>6488</v>
      </c>
      <c r="U1182">
        <v>249.9</v>
      </c>
      <c r="V1182">
        <v>6737.9</v>
      </c>
    </row>
    <row r="1183" spans="1:22" x14ac:dyDescent="0.3">
      <c r="A1183">
        <v>186607</v>
      </c>
      <c r="B1183">
        <v>456271802</v>
      </c>
      <c r="C1183" t="s">
        <v>6297</v>
      </c>
      <c r="D1183" s="9" t="s">
        <v>6298</v>
      </c>
      <c r="E1183" t="s">
        <v>4620</v>
      </c>
      <c r="F1183" t="s">
        <v>770</v>
      </c>
      <c r="G1183" t="s">
        <v>56</v>
      </c>
      <c r="H1183" t="s">
        <v>57</v>
      </c>
      <c r="I1183" t="s">
        <v>34</v>
      </c>
      <c r="J1183" t="s">
        <v>58</v>
      </c>
      <c r="K1183" t="s">
        <v>27</v>
      </c>
      <c r="L1183" t="s">
        <v>6299</v>
      </c>
      <c r="M1183" t="s">
        <v>437</v>
      </c>
      <c r="N1183" t="s">
        <v>4623</v>
      </c>
      <c r="O1183" t="s">
        <v>54</v>
      </c>
      <c r="P1183" t="s">
        <v>6300</v>
      </c>
      <c r="Q1183" t="s">
        <v>78</v>
      </c>
      <c r="R1183" s="26" t="s">
        <v>247</v>
      </c>
      <c r="S1183">
        <v>2.2400000000000002</v>
      </c>
      <c r="T1183">
        <v>6488</v>
      </c>
      <c r="U1183">
        <v>374.85</v>
      </c>
      <c r="V1183">
        <v>6862.85</v>
      </c>
    </row>
    <row r="1184" spans="1:22" x14ac:dyDescent="0.3">
      <c r="A1184">
        <v>186607</v>
      </c>
      <c r="B1184">
        <v>456094222</v>
      </c>
      <c r="C1184" t="s">
        <v>6301</v>
      </c>
      <c r="D1184" s="9" t="s">
        <v>6302</v>
      </c>
      <c r="E1184" t="s">
        <v>4620</v>
      </c>
      <c r="F1184" t="s">
        <v>770</v>
      </c>
      <c r="G1184" t="s">
        <v>56</v>
      </c>
      <c r="H1184" t="s">
        <v>57</v>
      </c>
      <c r="I1184" t="s">
        <v>34</v>
      </c>
      <c r="J1184" t="s">
        <v>58</v>
      </c>
      <c r="K1184" t="s">
        <v>27</v>
      </c>
      <c r="L1184" t="s">
        <v>6303</v>
      </c>
      <c r="M1184" t="s">
        <v>6304</v>
      </c>
      <c r="N1184" t="s">
        <v>4623</v>
      </c>
      <c r="O1184" t="s">
        <v>54</v>
      </c>
      <c r="P1184" t="s">
        <v>6305</v>
      </c>
      <c r="Q1184" t="s">
        <v>251</v>
      </c>
      <c r="R1184" s="26" t="s">
        <v>308</v>
      </c>
      <c r="S1184">
        <v>1.55</v>
      </c>
      <c r="T1184">
        <v>9149</v>
      </c>
      <c r="U1184">
        <v>249.9</v>
      </c>
      <c r="V1184">
        <v>9398.9</v>
      </c>
    </row>
    <row r="1185" spans="1:22" x14ac:dyDescent="0.3">
      <c r="A1185">
        <v>186607</v>
      </c>
      <c r="B1185">
        <v>455520326</v>
      </c>
      <c r="C1185" t="s">
        <v>6306</v>
      </c>
      <c r="D1185" s="9" t="s">
        <v>6307</v>
      </c>
      <c r="E1185" t="s">
        <v>4620</v>
      </c>
      <c r="F1185" t="s">
        <v>770</v>
      </c>
      <c r="G1185" t="s">
        <v>56</v>
      </c>
      <c r="H1185" t="s">
        <v>57</v>
      </c>
      <c r="I1185" t="s">
        <v>34</v>
      </c>
      <c r="J1185" t="s">
        <v>58</v>
      </c>
      <c r="K1185" t="s">
        <v>27</v>
      </c>
      <c r="L1185" t="s">
        <v>6308</v>
      </c>
      <c r="M1185" t="s">
        <v>6309</v>
      </c>
      <c r="N1185" t="s">
        <v>4623</v>
      </c>
      <c r="O1185" t="s">
        <v>54</v>
      </c>
      <c r="P1185" t="s">
        <v>6310</v>
      </c>
      <c r="Q1185" t="s">
        <v>211</v>
      </c>
      <c r="R1185" s="26" t="s">
        <v>547</v>
      </c>
      <c r="S1185">
        <v>1.5</v>
      </c>
      <c r="T1185">
        <v>6304</v>
      </c>
      <c r="U1185">
        <v>249.9</v>
      </c>
      <c r="V1185">
        <v>6553.9</v>
      </c>
    </row>
    <row r="1186" spans="1:22" x14ac:dyDescent="0.3">
      <c r="A1186">
        <v>186607</v>
      </c>
      <c r="B1186">
        <v>455825151</v>
      </c>
      <c r="C1186" t="s">
        <v>6311</v>
      </c>
      <c r="D1186" s="9" t="s">
        <v>6312</v>
      </c>
      <c r="E1186" t="s">
        <v>4620</v>
      </c>
      <c r="F1186" t="s">
        <v>770</v>
      </c>
      <c r="G1186" t="s">
        <v>56</v>
      </c>
      <c r="H1186" t="s">
        <v>57</v>
      </c>
      <c r="I1186" t="s">
        <v>34</v>
      </c>
      <c r="J1186" t="s">
        <v>58</v>
      </c>
      <c r="K1186" t="s">
        <v>27</v>
      </c>
      <c r="L1186" t="s">
        <v>6313</v>
      </c>
      <c r="M1186" t="s">
        <v>228</v>
      </c>
      <c r="N1186" t="s">
        <v>4623</v>
      </c>
      <c r="O1186" t="s">
        <v>54</v>
      </c>
      <c r="P1186" t="s">
        <v>6314</v>
      </c>
      <c r="Q1186" t="s">
        <v>63</v>
      </c>
      <c r="R1186" s="26" t="s">
        <v>399</v>
      </c>
      <c r="S1186">
        <v>2.29</v>
      </c>
      <c r="T1186">
        <v>5027</v>
      </c>
      <c r="U1186">
        <v>374.85</v>
      </c>
      <c r="V1186">
        <v>5401.85</v>
      </c>
    </row>
    <row r="1187" spans="1:22" x14ac:dyDescent="0.3">
      <c r="A1187">
        <v>186607</v>
      </c>
      <c r="B1187">
        <v>455493388</v>
      </c>
      <c r="C1187" t="s">
        <v>6315</v>
      </c>
      <c r="D1187" s="9" t="s">
        <v>6316</v>
      </c>
      <c r="E1187" t="s">
        <v>4620</v>
      </c>
      <c r="F1187" t="s">
        <v>770</v>
      </c>
      <c r="G1187" t="s">
        <v>56</v>
      </c>
      <c r="H1187" t="s">
        <v>57</v>
      </c>
      <c r="I1187" t="s">
        <v>34</v>
      </c>
      <c r="J1187" t="s">
        <v>58</v>
      </c>
      <c r="K1187" t="s">
        <v>27</v>
      </c>
      <c r="L1187" t="s">
        <v>6317</v>
      </c>
      <c r="M1187" t="s">
        <v>6318</v>
      </c>
      <c r="N1187" t="s">
        <v>4623</v>
      </c>
      <c r="O1187" t="s">
        <v>54</v>
      </c>
      <c r="P1187" t="s">
        <v>6319</v>
      </c>
      <c r="Q1187" t="s">
        <v>252</v>
      </c>
      <c r="R1187" s="26" t="s">
        <v>5608</v>
      </c>
      <c r="S1187">
        <v>0.73</v>
      </c>
      <c r="T1187">
        <v>6997</v>
      </c>
      <c r="U1187">
        <v>124.95</v>
      </c>
      <c r="V1187">
        <v>7121.95</v>
      </c>
    </row>
    <row r="1188" spans="1:22" x14ac:dyDescent="0.3">
      <c r="A1188">
        <v>186607</v>
      </c>
      <c r="B1188">
        <v>455520391</v>
      </c>
      <c r="C1188" t="s">
        <v>6320</v>
      </c>
      <c r="D1188" s="9" t="s">
        <v>6321</v>
      </c>
      <c r="E1188" t="s">
        <v>4620</v>
      </c>
      <c r="F1188" t="s">
        <v>770</v>
      </c>
      <c r="G1188" t="s">
        <v>56</v>
      </c>
      <c r="H1188" t="s">
        <v>57</v>
      </c>
      <c r="I1188" t="s">
        <v>34</v>
      </c>
      <c r="J1188" t="s">
        <v>58</v>
      </c>
      <c r="K1188" t="s">
        <v>27</v>
      </c>
      <c r="L1188" t="s">
        <v>6322</v>
      </c>
      <c r="M1188" t="s">
        <v>6323</v>
      </c>
      <c r="N1188" t="s">
        <v>4623</v>
      </c>
      <c r="O1188" t="s">
        <v>54</v>
      </c>
      <c r="P1188" t="s">
        <v>6324</v>
      </c>
      <c r="Q1188" t="s">
        <v>252</v>
      </c>
      <c r="R1188" s="26" t="s">
        <v>547</v>
      </c>
      <c r="S1188">
        <v>2.97</v>
      </c>
      <c r="T1188">
        <v>9149</v>
      </c>
      <c r="U1188">
        <v>499.8</v>
      </c>
      <c r="V1188">
        <v>9648.7999999999993</v>
      </c>
    </row>
    <row r="1189" spans="1:22" x14ac:dyDescent="0.3">
      <c r="A1189">
        <v>186607</v>
      </c>
      <c r="B1189">
        <v>455493403</v>
      </c>
      <c r="C1189" t="s">
        <v>6325</v>
      </c>
      <c r="D1189" s="9" t="s">
        <v>6326</v>
      </c>
      <c r="E1189" t="s">
        <v>4620</v>
      </c>
      <c r="F1189" t="s">
        <v>770</v>
      </c>
      <c r="G1189" t="s">
        <v>56</v>
      </c>
      <c r="H1189" t="s">
        <v>57</v>
      </c>
      <c r="I1189" t="s">
        <v>34</v>
      </c>
      <c r="J1189" t="s">
        <v>58</v>
      </c>
      <c r="K1189" t="s">
        <v>27</v>
      </c>
      <c r="L1189" t="s">
        <v>92</v>
      </c>
      <c r="M1189" t="s">
        <v>6327</v>
      </c>
      <c r="N1189" t="s">
        <v>4623</v>
      </c>
      <c r="O1189" t="s">
        <v>54</v>
      </c>
      <c r="P1189" t="s">
        <v>6328</v>
      </c>
      <c r="Q1189" t="s">
        <v>79</v>
      </c>
      <c r="R1189" s="26" t="s">
        <v>5608</v>
      </c>
      <c r="S1189">
        <v>2.27</v>
      </c>
      <c r="T1189">
        <v>14268</v>
      </c>
      <c r="U1189">
        <v>374.85</v>
      </c>
      <c r="V1189">
        <v>14642.85</v>
      </c>
    </row>
    <row r="1190" spans="1:22" x14ac:dyDescent="0.3">
      <c r="A1190">
        <v>186607</v>
      </c>
      <c r="B1190">
        <v>455683704</v>
      </c>
      <c r="C1190" t="s">
        <v>6329</v>
      </c>
      <c r="D1190" s="9" t="s">
        <v>6330</v>
      </c>
      <c r="E1190" t="s">
        <v>4620</v>
      </c>
      <c r="F1190" t="s">
        <v>770</v>
      </c>
      <c r="G1190" t="s">
        <v>56</v>
      </c>
      <c r="H1190" t="s">
        <v>57</v>
      </c>
      <c r="I1190" t="s">
        <v>34</v>
      </c>
      <c r="J1190" t="s">
        <v>58</v>
      </c>
      <c r="K1190" t="s">
        <v>27</v>
      </c>
      <c r="L1190" t="s">
        <v>6331</v>
      </c>
      <c r="M1190" t="s">
        <v>6332</v>
      </c>
      <c r="N1190" t="s">
        <v>4623</v>
      </c>
      <c r="O1190" t="s">
        <v>54</v>
      </c>
      <c r="P1190" t="s">
        <v>6333</v>
      </c>
      <c r="Q1190" t="s">
        <v>336</v>
      </c>
      <c r="R1190" s="26" t="s">
        <v>720</v>
      </c>
      <c r="S1190">
        <v>1.55</v>
      </c>
      <c r="T1190">
        <v>13489</v>
      </c>
      <c r="U1190">
        <v>249.9</v>
      </c>
      <c r="V1190">
        <v>13738.9</v>
      </c>
    </row>
    <row r="1191" spans="1:22" x14ac:dyDescent="0.3">
      <c r="A1191">
        <v>186607</v>
      </c>
      <c r="B1191">
        <v>455446250</v>
      </c>
      <c r="C1191" t="s">
        <v>6334</v>
      </c>
      <c r="D1191" s="9" t="s">
        <v>6335</v>
      </c>
      <c r="E1191" t="s">
        <v>4620</v>
      </c>
      <c r="F1191" t="s">
        <v>770</v>
      </c>
      <c r="G1191" t="s">
        <v>56</v>
      </c>
      <c r="H1191" t="s">
        <v>57</v>
      </c>
      <c r="I1191" t="s">
        <v>34</v>
      </c>
      <c r="J1191" t="s">
        <v>58</v>
      </c>
      <c r="K1191" t="s">
        <v>27</v>
      </c>
      <c r="L1191" t="s">
        <v>6336</v>
      </c>
      <c r="M1191" t="s">
        <v>6337</v>
      </c>
      <c r="N1191" t="s">
        <v>4623</v>
      </c>
      <c r="O1191" t="s">
        <v>54</v>
      </c>
      <c r="P1191" t="s">
        <v>6338</v>
      </c>
      <c r="Q1191" t="s">
        <v>186</v>
      </c>
      <c r="R1191" s="26" t="s">
        <v>311</v>
      </c>
      <c r="S1191">
        <v>0.75</v>
      </c>
      <c r="T1191">
        <v>6246</v>
      </c>
      <c r="U1191">
        <v>124.95</v>
      </c>
      <c r="V1191">
        <v>6370.95</v>
      </c>
    </row>
    <row r="1192" spans="1:22" x14ac:dyDescent="0.3">
      <c r="A1192">
        <v>186607</v>
      </c>
      <c r="B1192">
        <v>455520380</v>
      </c>
      <c r="C1192" t="s">
        <v>6339</v>
      </c>
      <c r="D1192" s="9" t="s">
        <v>6340</v>
      </c>
      <c r="E1192" t="s">
        <v>4620</v>
      </c>
      <c r="F1192" t="s">
        <v>770</v>
      </c>
      <c r="G1192" t="s">
        <v>56</v>
      </c>
      <c r="H1192" t="s">
        <v>57</v>
      </c>
      <c r="I1192" t="s">
        <v>34</v>
      </c>
      <c r="J1192" t="s">
        <v>58</v>
      </c>
      <c r="K1192" t="s">
        <v>27</v>
      </c>
      <c r="L1192" t="s">
        <v>6341</v>
      </c>
      <c r="M1192" t="s">
        <v>6342</v>
      </c>
      <c r="N1192" t="s">
        <v>4623</v>
      </c>
      <c r="O1192" t="s">
        <v>54</v>
      </c>
      <c r="P1192" t="s">
        <v>6343</v>
      </c>
      <c r="Q1192" t="s">
        <v>63</v>
      </c>
      <c r="R1192" s="26" t="s">
        <v>547</v>
      </c>
      <c r="S1192">
        <v>1.5</v>
      </c>
      <c r="T1192">
        <v>5027</v>
      </c>
      <c r="U1192">
        <v>249.9</v>
      </c>
      <c r="V1192">
        <v>5276.9</v>
      </c>
    </row>
    <row r="1193" spans="1:22" x14ac:dyDescent="0.3">
      <c r="A1193">
        <v>186607</v>
      </c>
      <c r="B1193">
        <v>455520369</v>
      </c>
      <c r="C1193" t="s">
        <v>6344</v>
      </c>
      <c r="D1193" s="9" t="s">
        <v>6345</v>
      </c>
      <c r="E1193" t="s">
        <v>4620</v>
      </c>
      <c r="F1193" t="s">
        <v>770</v>
      </c>
      <c r="G1193" t="s">
        <v>56</v>
      </c>
      <c r="H1193" t="s">
        <v>57</v>
      </c>
      <c r="I1193" t="s">
        <v>34</v>
      </c>
      <c r="J1193" t="s">
        <v>58</v>
      </c>
      <c r="K1193" t="s">
        <v>27</v>
      </c>
      <c r="L1193" t="s">
        <v>6346</v>
      </c>
      <c r="M1193" t="s">
        <v>6347</v>
      </c>
      <c r="N1193" t="s">
        <v>4623</v>
      </c>
      <c r="O1193" t="s">
        <v>54</v>
      </c>
      <c r="P1193" t="s">
        <v>6348</v>
      </c>
      <c r="Q1193" t="s">
        <v>63</v>
      </c>
      <c r="R1193" s="26" t="s">
        <v>547</v>
      </c>
      <c r="S1193">
        <v>1.59</v>
      </c>
      <c r="T1193">
        <v>5027</v>
      </c>
      <c r="U1193">
        <v>249.9</v>
      </c>
      <c r="V1193">
        <v>5276.9</v>
      </c>
    </row>
    <row r="1194" spans="1:22" x14ac:dyDescent="0.3">
      <c r="A1194">
        <v>186607</v>
      </c>
      <c r="B1194">
        <v>455683699</v>
      </c>
      <c r="C1194" t="s">
        <v>6349</v>
      </c>
      <c r="D1194" s="9" t="s">
        <v>6350</v>
      </c>
      <c r="E1194" t="s">
        <v>4620</v>
      </c>
      <c r="F1194" t="s">
        <v>770</v>
      </c>
      <c r="G1194" t="s">
        <v>56</v>
      </c>
      <c r="H1194" t="s">
        <v>57</v>
      </c>
      <c r="I1194" t="s">
        <v>34</v>
      </c>
      <c r="J1194" t="s">
        <v>58</v>
      </c>
      <c r="K1194" t="s">
        <v>27</v>
      </c>
      <c r="L1194" t="s">
        <v>6351</v>
      </c>
      <c r="M1194" t="s">
        <v>6352</v>
      </c>
      <c r="N1194" t="s">
        <v>4623</v>
      </c>
      <c r="O1194" t="s">
        <v>54</v>
      </c>
      <c r="P1194" t="s">
        <v>6353</v>
      </c>
      <c r="Q1194" t="s">
        <v>142</v>
      </c>
      <c r="R1194" s="26" t="s">
        <v>720</v>
      </c>
      <c r="S1194">
        <v>1.62</v>
      </c>
      <c r="T1194">
        <v>9149</v>
      </c>
      <c r="U1194">
        <v>249.9</v>
      </c>
      <c r="V1194">
        <v>9398.9</v>
      </c>
    </row>
    <row r="1195" spans="1:22" x14ac:dyDescent="0.3">
      <c r="A1195">
        <v>186607</v>
      </c>
      <c r="B1195">
        <v>455683753</v>
      </c>
      <c r="C1195" t="s">
        <v>6354</v>
      </c>
      <c r="D1195" s="9" t="s">
        <v>6355</v>
      </c>
      <c r="E1195" t="s">
        <v>4620</v>
      </c>
      <c r="F1195" t="s">
        <v>770</v>
      </c>
      <c r="G1195" t="s">
        <v>56</v>
      </c>
      <c r="H1195" t="s">
        <v>57</v>
      </c>
      <c r="I1195" t="s">
        <v>34</v>
      </c>
      <c r="J1195" t="s">
        <v>58</v>
      </c>
      <c r="K1195" t="s">
        <v>27</v>
      </c>
      <c r="L1195" t="s">
        <v>6356</v>
      </c>
      <c r="M1195" t="s">
        <v>6357</v>
      </c>
      <c r="N1195" t="s">
        <v>4623</v>
      </c>
      <c r="O1195" t="s">
        <v>54</v>
      </c>
      <c r="P1195" t="s">
        <v>6358</v>
      </c>
      <c r="Q1195" t="s">
        <v>263</v>
      </c>
      <c r="R1195" s="26" t="s">
        <v>720</v>
      </c>
      <c r="S1195">
        <v>1.52</v>
      </c>
      <c r="T1195">
        <v>5983</v>
      </c>
      <c r="U1195">
        <v>249.9</v>
      </c>
      <c r="V1195">
        <v>6232.9</v>
      </c>
    </row>
    <row r="1196" spans="1:22" x14ac:dyDescent="0.3">
      <c r="A1196">
        <v>186607</v>
      </c>
      <c r="B1196">
        <v>455683736</v>
      </c>
      <c r="C1196" t="s">
        <v>6359</v>
      </c>
      <c r="D1196" s="9" t="s">
        <v>6360</v>
      </c>
      <c r="E1196" t="s">
        <v>4620</v>
      </c>
      <c r="F1196" t="s">
        <v>770</v>
      </c>
      <c r="G1196" t="s">
        <v>56</v>
      </c>
      <c r="H1196" t="s">
        <v>57</v>
      </c>
      <c r="I1196" t="s">
        <v>34</v>
      </c>
      <c r="J1196" t="s">
        <v>58</v>
      </c>
      <c r="K1196" t="s">
        <v>27</v>
      </c>
      <c r="L1196" t="s">
        <v>6361</v>
      </c>
      <c r="M1196" t="s">
        <v>596</v>
      </c>
      <c r="N1196" t="s">
        <v>4623</v>
      </c>
      <c r="O1196" t="s">
        <v>54</v>
      </c>
      <c r="P1196" t="s">
        <v>6362</v>
      </c>
      <c r="Q1196" t="s">
        <v>325</v>
      </c>
      <c r="R1196" s="26" t="s">
        <v>720</v>
      </c>
      <c r="S1196">
        <v>1.5</v>
      </c>
      <c r="T1196">
        <v>9149</v>
      </c>
      <c r="U1196">
        <v>249.9</v>
      </c>
      <c r="V1196">
        <v>9398.9</v>
      </c>
    </row>
    <row r="1197" spans="1:22" x14ac:dyDescent="0.3">
      <c r="A1197">
        <v>186607</v>
      </c>
      <c r="B1197">
        <v>455340787</v>
      </c>
      <c r="C1197" t="s">
        <v>6363</v>
      </c>
      <c r="D1197" s="9" t="s">
        <v>6364</v>
      </c>
      <c r="E1197" t="s">
        <v>4620</v>
      </c>
      <c r="F1197" t="s">
        <v>770</v>
      </c>
      <c r="G1197" t="s">
        <v>49</v>
      </c>
      <c r="H1197" t="s">
        <v>50</v>
      </c>
      <c r="I1197" t="s">
        <v>34</v>
      </c>
      <c r="J1197" t="s">
        <v>155</v>
      </c>
      <c r="K1197" t="s">
        <v>27</v>
      </c>
      <c r="L1197" t="s">
        <v>52</v>
      </c>
      <c r="M1197" t="s">
        <v>6365</v>
      </c>
      <c r="N1197" t="s">
        <v>4623</v>
      </c>
      <c r="O1197" t="s">
        <v>54</v>
      </c>
      <c r="P1197" t="s">
        <v>6366</v>
      </c>
      <c r="Q1197" t="s">
        <v>100</v>
      </c>
      <c r="R1197" s="26" t="s">
        <v>508</v>
      </c>
      <c r="S1197">
        <v>4.1900000000000004</v>
      </c>
      <c r="T1197">
        <v>7414</v>
      </c>
      <c r="U1197">
        <v>0</v>
      </c>
      <c r="V1197">
        <v>7414</v>
      </c>
    </row>
    <row r="1198" spans="1:22" x14ac:dyDescent="0.3">
      <c r="A1198">
        <v>186607</v>
      </c>
      <c r="B1198">
        <v>456988482</v>
      </c>
      <c r="C1198" t="s">
        <v>6367</v>
      </c>
      <c r="D1198" s="9" t="s">
        <v>6368</v>
      </c>
      <c r="E1198" t="s">
        <v>4620</v>
      </c>
      <c r="F1198" t="s">
        <v>770</v>
      </c>
      <c r="G1198" t="s">
        <v>49</v>
      </c>
      <c r="H1198" t="s">
        <v>50</v>
      </c>
      <c r="I1198" t="s">
        <v>34</v>
      </c>
      <c r="J1198" t="s">
        <v>155</v>
      </c>
      <c r="K1198" t="s">
        <v>27</v>
      </c>
      <c r="L1198" t="s">
        <v>52</v>
      </c>
      <c r="M1198" t="s">
        <v>6369</v>
      </c>
      <c r="N1198" t="s">
        <v>4623</v>
      </c>
      <c r="O1198" t="s">
        <v>54</v>
      </c>
      <c r="P1198" t="s">
        <v>6370</v>
      </c>
      <c r="Q1198" t="s">
        <v>101</v>
      </c>
      <c r="R1198" s="26" t="s">
        <v>4661</v>
      </c>
      <c r="S1198">
        <v>2.58</v>
      </c>
      <c r="T1198">
        <v>7619</v>
      </c>
      <c r="U1198">
        <v>0</v>
      </c>
      <c r="V1198">
        <v>7619</v>
      </c>
    </row>
    <row r="1199" spans="1:22" x14ac:dyDescent="0.3">
      <c r="A1199">
        <v>186607</v>
      </c>
      <c r="B1199">
        <v>456988479</v>
      </c>
      <c r="C1199" t="s">
        <v>6371</v>
      </c>
      <c r="D1199" s="9" t="s">
        <v>6372</v>
      </c>
      <c r="E1199" t="s">
        <v>4620</v>
      </c>
      <c r="F1199" t="s">
        <v>770</v>
      </c>
      <c r="G1199" t="s">
        <v>49</v>
      </c>
      <c r="H1199" t="s">
        <v>50</v>
      </c>
      <c r="I1199" t="s">
        <v>34</v>
      </c>
      <c r="J1199" t="s">
        <v>155</v>
      </c>
      <c r="K1199" t="s">
        <v>27</v>
      </c>
      <c r="L1199" t="s">
        <v>52</v>
      </c>
      <c r="M1199" t="s">
        <v>6373</v>
      </c>
      <c r="N1199" t="s">
        <v>4623</v>
      </c>
      <c r="O1199" t="s">
        <v>54</v>
      </c>
      <c r="P1199" t="s">
        <v>6374</v>
      </c>
      <c r="Q1199" t="s">
        <v>338</v>
      </c>
      <c r="R1199" s="26" t="s">
        <v>4661</v>
      </c>
      <c r="S1199">
        <v>2.1</v>
      </c>
      <c r="T1199">
        <v>7619</v>
      </c>
      <c r="U1199">
        <v>0</v>
      </c>
      <c r="V1199">
        <v>7619</v>
      </c>
    </row>
    <row r="1200" spans="1:22" x14ac:dyDescent="0.3">
      <c r="A1200">
        <v>186607</v>
      </c>
      <c r="B1200">
        <v>456909143</v>
      </c>
      <c r="C1200" t="s">
        <v>6375</v>
      </c>
      <c r="D1200" s="9" t="s">
        <v>6376</v>
      </c>
      <c r="E1200" t="s">
        <v>4620</v>
      </c>
      <c r="F1200" t="s">
        <v>770</v>
      </c>
      <c r="G1200" t="s">
        <v>49</v>
      </c>
      <c r="H1200" t="s">
        <v>50</v>
      </c>
      <c r="I1200" t="s">
        <v>34</v>
      </c>
      <c r="J1200" t="s">
        <v>155</v>
      </c>
      <c r="K1200" t="s">
        <v>27</v>
      </c>
      <c r="L1200" t="s">
        <v>52</v>
      </c>
      <c r="M1200" t="s">
        <v>6377</v>
      </c>
      <c r="N1200" t="s">
        <v>4623</v>
      </c>
      <c r="O1200" t="s">
        <v>54</v>
      </c>
      <c r="P1200" t="s">
        <v>6378</v>
      </c>
      <c r="Q1200" t="s">
        <v>100</v>
      </c>
      <c r="R1200" s="26" t="s">
        <v>775</v>
      </c>
      <c r="S1200">
        <v>3.06</v>
      </c>
      <c r="T1200">
        <v>7414</v>
      </c>
      <c r="U1200">
        <v>0</v>
      </c>
      <c r="V1200">
        <v>7414</v>
      </c>
    </row>
    <row r="1201" spans="1:22" x14ac:dyDescent="0.3">
      <c r="A1201">
        <v>186607</v>
      </c>
      <c r="B1201">
        <v>456909160</v>
      </c>
      <c r="C1201" t="s">
        <v>6379</v>
      </c>
      <c r="D1201" s="9" t="s">
        <v>6380</v>
      </c>
      <c r="E1201" t="s">
        <v>4620</v>
      </c>
      <c r="F1201" t="s">
        <v>770</v>
      </c>
      <c r="G1201" t="s">
        <v>49</v>
      </c>
      <c r="H1201" t="s">
        <v>50</v>
      </c>
      <c r="I1201" t="s">
        <v>34</v>
      </c>
      <c r="J1201" t="s">
        <v>155</v>
      </c>
      <c r="K1201" t="s">
        <v>27</v>
      </c>
      <c r="L1201" t="s">
        <v>52</v>
      </c>
      <c r="M1201" t="s">
        <v>627</v>
      </c>
      <c r="N1201" t="s">
        <v>4623</v>
      </c>
      <c r="O1201" t="s">
        <v>54</v>
      </c>
      <c r="P1201" t="s">
        <v>6381</v>
      </c>
      <c r="Q1201" t="s">
        <v>74</v>
      </c>
      <c r="R1201" s="26" t="s">
        <v>775</v>
      </c>
      <c r="S1201">
        <v>3.97</v>
      </c>
      <c r="T1201">
        <v>4718</v>
      </c>
      <c r="U1201">
        <v>0</v>
      </c>
      <c r="V1201">
        <v>4718</v>
      </c>
    </row>
    <row r="1202" spans="1:22" x14ac:dyDescent="0.3">
      <c r="A1202">
        <v>186607</v>
      </c>
      <c r="B1202">
        <v>456933625</v>
      </c>
      <c r="C1202" t="s">
        <v>6382</v>
      </c>
      <c r="D1202" s="9" t="s">
        <v>6383</v>
      </c>
      <c r="E1202" t="s">
        <v>4620</v>
      </c>
      <c r="F1202" t="s">
        <v>770</v>
      </c>
      <c r="G1202" t="s">
        <v>49</v>
      </c>
      <c r="H1202" t="s">
        <v>50</v>
      </c>
      <c r="I1202" t="s">
        <v>34</v>
      </c>
      <c r="J1202" t="s">
        <v>155</v>
      </c>
      <c r="K1202" t="s">
        <v>27</v>
      </c>
      <c r="L1202" t="s">
        <v>52</v>
      </c>
      <c r="M1202" t="s">
        <v>6384</v>
      </c>
      <c r="N1202" t="s">
        <v>4623</v>
      </c>
      <c r="O1202" t="s">
        <v>54</v>
      </c>
      <c r="P1202" t="s">
        <v>6385</v>
      </c>
      <c r="Q1202" t="s">
        <v>156</v>
      </c>
      <c r="R1202" s="26" t="s">
        <v>215</v>
      </c>
      <c r="S1202">
        <v>2.2200000000000002</v>
      </c>
      <c r="T1202">
        <v>4335</v>
      </c>
      <c r="U1202">
        <v>0</v>
      </c>
      <c r="V1202">
        <v>4335</v>
      </c>
    </row>
    <row r="1203" spans="1:22" x14ac:dyDescent="0.3">
      <c r="A1203">
        <v>186607</v>
      </c>
      <c r="B1203">
        <v>456946989</v>
      </c>
      <c r="C1203" t="s">
        <v>6386</v>
      </c>
      <c r="D1203" s="9" t="s">
        <v>6387</v>
      </c>
      <c r="E1203" t="s">
        <v>4620</v>
      </c>
      <c r="F1203" t="s">
        <v>770</v>
      </c>
      <c r="G1203" t="s">
        <v>49</v>
      </c>
      <c r="H1203" t="s">
        <v>50</v>
      </c>
      <c r="I1203" t="s">
        <v>34</v>
      </c>
      <c r="J1203" t="s">
        <v>155</v>
      </c>
      <c r="K1203" t="s">
        <v>27</v>
      </c>
      <c r="L1203" t="s">
        <v>52</v>
      </c>
      <c r="M1203" t="s">
        <v>6388</v>
      </c>
      <c r="N1203" t="s">
        <v>4623</v>
      </c>
      <c r="O1203" t="s">
        <v>54</v>
      </c>
      <c r="P1203" t="s">
        <v>6389</v>
      </c>
      <c r="Q1203" t="s">
        <v>181</v>
      </c>
      <c r="R1203" s="26" t="s">
        <v>375</v>
      </c>
      <c r="S1203">
        <v>3.77</v>
      </c>
      <c r="T1203">
        <v>4718</v>
      </c>
      <c r="U1203">
        <v>0</v>
      </c>
      <c r="V1203">
        <v>4718</v>
      </c>
    </row>
    <row r="1204" spans="1:22" x14ac:dyDescent="0.3">
      <c r="A1204">
        <v>186607</v>
      </c>
      <c r="B1204">
        <v>456863879</v>
      </c>
      <c r="C1204" t="s">
        <v>6390</v>
      </c>
      <c r="D1204" s="9" t="s">
        <v>6391</v>
      </c>
      <c r="E1204" t="s">
        <v>4620</v>
      </c>
      <c r="F1204" t="s">
        <v>770</v>
      </c>
      <c r="G1204" t="s">
        <v>49</v>
      </c>
      <c r="H1204" t="s">
        <v>50</v>
      </c>
      <c r="I1204" t="s">
        <v>34</v>
      </c>
      <c r="J1204" t="s">
        <v>155</v>
      </c>
      <c r="K1204" t="s">
        <v>27</v>
      </c>
      <c r="L1204" t="s">
        <v>52</v>
      </c>
      <c r="M1204" t="s">
        <v>6392</v>
      </c>
      <c r="N1204" t="s">
        <v>4623</v>
      </c>
      <c r="O1204" t="s">
        <v>54</v>
      </c>
      <c r="P1204" t="s">
        <v>6393</v>
      </c>
      <c r="Q1204" t="s">
        <v>315</v>
      </c>
      <c r="R1204" s="26" t="s">
        <v>4743</v>
      </c>
      <c r="S1204">
        <v>1.44</v>
      </c>
      <c r="T1204">
        <v>9554</v>
      </c>
      <c r="U1204">
        <v>0</v>
      </c>
      <c r="V1204">
        <v>9554</v>
      </c>
    </row>
    <row r="1205" spans="1:22" x14ac:dyDescent="0.3">
      <c r="A1205">
        <v>186607</v>
      </c>
      <c r="B1205">
        <v>456863884</v>
      </c>
      <c r="C1205" t="s">
        <v>6394</v>
      </c>
      <c r="D1205" s="9" t="s">
        <v>6395</v>
      </c>
      <c r="E1205" t="s">
        <v>4620</v>
      </c>
      <c r="F1205" t="s">
        <v>770</v>
      </c>
      <c r="G1205" t="s">
        <v>49</v>
      </c>
      <c r="H1205" t="s">
        <v>50</v>
      </c>
      <c r="I1205" t="s">
        <v>34</v>
      </c>
      <c r="J1205" t="s">
        <v>155</v>
      </c>
      <c r="K1205" t="s">
        <v>27</v>
      </c>
      <c r="L1205" t="s">
        <v>52</v>
      </c>
      <c r="M1205" t="s">
        <v>728</v>
      </c>
      <c r="N1205" t="s">
        <v>4623</v>
      </c>
      <c r="O1205" t="s">
        <v>54</v>
      </c>
      <c r="P1205" t="s">
        <v>6396</v>
      </c>
      <c r="Q1205" t="s">
        <v>101</v>
      </c>
      <c r="R1205" s="26" t="s">
        <v>4743</v>
      </c>
      <c r="S1205">
        <v>1.1100000000000001</v>
      </c>
      <c r="T1205">
        <v>6636</v>
      </c>
      <c r="U1205">
        <v>0</v>
      </c>
      <c r="V1205">
        <v>6636</v>
      </c>
    </row>
    <row r="1206" spans="1:22" x14ac:dyDescent="0.3">
      <c r="A1206">
        <v>186607</v>
      </c>
      <c r="B1206">
        <v>456720931</v>
      </c>
      <c r="C1206" t="s">
        <v>6397</v>
      </c>
      <c r="D1206" s="9" t="s">
        <v>6398</v>
      </c>
      <c r="E1206" t="s">
        <v>4620</v>
      </c>
      <c r="F1206" t="s">
        <v>770</v>
      </c>
      <c r="G1206" t="s">
        <v>49</v>
      </c>
      <c r="H1206" t="s">
        <v>50</v>
      </c>
      <c r="I1206" t="s">
        <v>34</v>
      </c>
      <c r="J1206" t="s">
        <v>155</v>
      </c>
      <c r="K1206" t="s">
        <v>27</v>
      </c>
      <c r="L1206" t="s">
        <v>52</v>
      </c>
      <c r="M1206" t="s">
        <v>6399</v>
      </c>
      <c r="N1206" t="s">
        <v>4623</v>
      </c>
      <c r="O1206" t="s">
        <v>54</v>
      </c>
      <c r="P1206" t="s">
        <v>6400</v>
      </c>
      <c r="Q1206" t="s">
        <v>66</v>
      </c>
      <c r="R1206" s="26" t="s">
        <v>519</v>
      </c>
      <c r="S1206">
        <v>1.43</v>
      </c>
      <c r="T1206">
        <v>4072</v>
      </c>
      <c r="U1206">
        <v>0</v>
      </c>
      <c r="V1206">
        <v>4072</v>
      </c>
    </row>
    <row r="1207" spans="1:22" x14ac:dyDescent="0.3">
      <c r="A1207">
        <v>186607</v>
      </c>
      <c r="B1207">
        <v>456751271</v>
      </c>
      <c r="C1207" t="s">
        <v>6401</v>
      </c>
      <c r="D1207" s="9" t="s">
        <v>6402</v>
      </c>
      <c r="E1207" t="s">
        <v>4620</v>
      </c>
      <c r="F1207" t="s">
        <v>770</v>
      </c>
      <c r="G1207" t="s">
        <v>49</v>
      </c>
      <c r="H1207" t="s">
        <v>50</v>
      </c>
      <c r="I1207" t="s">
        <v>34</v>
      </c>
      <c r="J1207" t="s">
        <v>155</v>
      </c>
      <c r="K1207" t="s">
        <v>27</v>
      </c>
      <c r="L1207" t="s">
        <v>52</v>
      </c>
      <c r="M1207" t="s">
        <v>6403</v>
      </c>
      <c r="N1207" t="s">
        <v>4623</v>
      </c>
      <c r="O1207" t="s">
        <v>54</v>
      </c>
      <c r="P1207" t="s">
        <v>6404</v>
      </c>
      <c r="Q1207" t="s">
        <v>100</v>
      </c>
      <c r="R1207" s="26" t="s">
        <v>4630</v>
      </c>
      <c r="S1207">
        <v>1.77</v>
      </c>
      <c r="T1207">
        <v>7072</v>
      </c>
      <c r="U1207">
        <v>0</v>
      </c>
      <c r="V1207">
        <v>7072</v>
      </c>
    </row>
    <row r="1208" spans="1:22" x14ac:dyDescent="0.3">
      <c r="A1208">
        <v>186607</v>
      </c>
      <c r="B1208">
        <v>456703521</v>
      </c>
      <c r="C1208" t="s">
        <v>6405</v>
      </c>
      <c r="D1208" s="9" t="s">
        <v>6406</v>
      </c>
      <c r="E1208" t="s">
        <v>4620</v>
      </c>
      <c r="F1208" t="s">
        <v>770</v>
      </c>
      <c r="G1208" t="s">
        <v>49</v>
      </c>
      <c r="H1208" t="s">
        <v>50</v>
      </c>
      <c r="I1208" t="s">
        <v>34</v>
      </c>
      <c r="J1208" t="s">
        <v>155</v>
      </c>
      <c r="K1208" t="s">
        <v>27</v>
      </c>
      <c r="L1208" t="s">
        <v>52</v>
      </c>
      <c r="M1208" t="s">
        <v>6407</v>
      </c>
      <c r="N1208" t="s">
        <v>4623</v>
      </c>
      <c r="O1208" t="s">
        <v>54</v>
      </c>
      <c r="P1208" t="s">
        <v>6408</v>
      </c>
      <c r="Q1208" t="s">
        <v>100</v>
      </c>
      <c r="R1208" s="26" t="s">
        <v>4865</v>
      </c>
      <c r="S1208">
        <v>2.81</v>
      </c>
      <c r="T1208">
        <v>7072</v>
      </c>
      <c r="U1208">
        <v>0</v>
      </c>
      <c r="V1208">
        <v>7072</v>
      </c>
    </row>
    <row r="1209" spans="1:22" x14ac:dyDescent="0.3">
      <c r="A1209">
        <v>186607</v>
      </c>
      <c r="B1209">
        <v>456631259</v>
      </c>
      <c r="C1209" t="s">
        <v>6409</v>
      </c>
      <c r="D1209" s="9" t="s">
        <v>6410</v>
      </c>
      <c r="E1209" t="s">
        <v>4620</v>
      </c>
      <c r="F1209" t="s">
        <v>770</v>
      </c>
      <c r="G1209" t="s">
        <v>49</v>
      </c>
      <c r="H1209" t="s">
        <v>50</v>
      </c>
      <c r="I1209" t="s">
        <v>34</v>
      </c>
      <c r="J1209" t="s">
        <v>155</v>
      </c>
      <c r="K1209" t="s">
        <v>27</v>
      </c>
      <c r="L1209" t="s">
        <v>52</v>
      </c>
      <c r="M1209" t="s">
        <v>6411</v>
      </c>
      <c r="N1209" t="s">
        <v>4623</v>
      </c>
      <c r="O1209" t="s">
        <v>54</v>
      </c>
      <c r="P1209" t="s">
        <v>6412</v>
      </c>
      <c r="Q1209" t="s">
        <v>100</v>
      </c>
      <c r="R1209" s="26" t="s">
        <v>467</v>
      </c>
      <c r="S1209">
        <v>11.37</v>
      </c>
      <c r="T1209">
        <v>10408</v>
      </c>
      <c r="U1209">
        <v>0</v>
      </c>
      <c r="V1209">
        <v>10408</v>
      </c>
    </row>
    <row r="1210" spans="1:22" x14ac:dyDescent="0.3">
      <c r="A1210">
        <v>186607</v>
      </c>
      <c r="B1210">
        <v>456334931</v>
      </c>
      <c r="C1210" t="s">
        <v>6413</v>
      </c>
      <c r="D1210" s="9" t="s">
        <v>6414</v>
      </c>
      <c r="E1210" t="s">
        <v>4620</v>
      </c>
      <c r="F1210" t="s">
        <v>770</v>
      </c>
      <c r="G1210" t="s">
        <v>49</v>
      </c>
      <c r="H1210" t="s">
        <v>50</v>
      </c>
      <c r="I1210" t="s">
        <v>34</v>
      </c>
      <c r="J1210" t="s">
        <v>155</v>
      </c>
      <c r="K1210" t="s">
        <v>27</v>
      </c>
      <c r="L1210" t="s">
        <v>52</v>
      </c>
      <c r="M1210" t="s">
        <v>705</v>
      </c>
      <c r="N1210" t="s">
        <v>4623</v>
      </c>
      <c r="O1210" t="s">
        <v>54</v>
      </c>
      <c r="P1210" t="s">
        <v>6415</v>
      </c>
      <c r="Q1210" t="s">
        <v>294</v>
      </c>
      <c r="R1210" s="26" t="s">
        <v>4646</v>
      </c>
      <c r="S1210">
        <v>6.1</v>
      </c>
      <c r="T1210">
        <v>9041</v>
      </c>
      <c r="U1210">
        <v>0</v>
      </c>
      <c r="V1210">
        <v>9041</v>
      </c>
    </row>
    <row r="1211" spans="1:22" x14ac:dyDescent="0.3">
      <c r="A1211">
        <v>186607</v>
      </c>
      <c r="B1211">
        <v>456409320</v>
      </c>
      <c r="C1211" t="s">
        <v>6416</v>
      </c>
      <c r="D1211" s="9" t="s">
        <v>6417</v>
      </c>
      <c r="E1211" t="s">
        <v>4620</v>
      </c>
      <c r="F1211" t="s">
        <v>770</v>
      </c>
      <c r="G1211" t="s">
        <v>49</v>
      </c>
      <c r="H1211" t="s">
        <v>50</v>
      </c>
      <c r="I1211" t="s">
        <v>34</v>
      </c>
      <c r="J1211" t="s">
        <v>155</v>
      </c>
      <c r="K1211" t="s">
        <v>27</v>
      </c>
      <c r="L1211" t="s">
        <v>52</v>
      </c>
      <c r="M1211" t="s">
        <v>6418</v>
      </c>
      <c r="N1211" t="s">
        <v>4623</v>
      </c>
      <c r="O1211" t="s">
        <v>54</v>
      </c>
      <c r="P1211" t="s">
        <v>6419</v>
      </c>
      <c r="Q1211" t="s">
        <v>136</v>
      </c>
      <c r="R1211" s="26" t="s">
        <v>377</v>
      </c>
      <c r="S1211">
        <v>5.09</v>
      </c>
      <c r="T1211">
        <v>4718</v>
      </c>
      <c r="U1211">
        <v>0</v>
      </c>
      <c r="V1211">
        <v>4718</v>
      </c>
    </row>
    <row r="1212" spans="1:22" x14ac:dyDescent="0.3">
      <c r="A1212">
        <v>186607</v>
      </c>
      <c r="B1212">
        <v>456409336</v>
      </c>
      <c r="C1212" t="s">
        <v>6420</v>
      </c>
      <c r="D1212" s="9" t="s">
        <v>6421</v>
      </c>
      <c r="E1212" t="s">
        <v>4620</v>
      </c>
      <c r="F1212" t="s">
        <v>770</v>
      </c>
      <c r="G1212" t="s">
        <v>49</v>
      </c>
      <c r="H1212" t="s">
        <v>50</v>
      </c>
      <c r="I1212" t="s">
        <v>34</v>
      </c>
      <c r="J1212" t="s">
        <v>155</v>
      </c>
      <c r="K1212" t="s">
        <v>27</v>
      </c>
      <c r="L1212" t="s">
        <v>52</v>
      </c>
      <c r="M1212" t="s">
        <v>6422</v>
      </c>
      <c r="N1212" t="s">
        <v>4623</v>
      </c>
      <c r="O1212" t="s">
        <v>54</v>
      </c>
      <c r="P1212" t="s">
        <v>6423</v>
      </c>
      <c r="Q1212" t="s">
        <v>219</v>
      </c>
      <c r="R1212" s="26" t="s">
        <v>377</v>
      </c>
      <c r="S1212">
        <v>5.84</v>
      </c>
      <c r="T1212">
        <v>12513</v>
      </c>
      <c r="U1212">
        <v>0</v>
      </c>
      <c r="V1212">
        <v>12513</v>
      </c>
    </row>
    <row r="1213" spans="1:22" x14ac:dyDescent="0.3">
      <c r="A1213">
        <v>186607</v>
      </c>
      <c r="B1213">
        <v>456409356</v>
      </c>
      <c r="C1213" t="s">
        <v>6424</v>
      </c>
      <c r="D1213" s="9" t="s">
        <v>6425</v>
      </c>
      <c r="E1213" t="s">
        <v>4620</v>
      </c>
      <c r="F1213" t="s">
        <v>770</v>
      </c>
      <c r="G1213" t="s">
        <v>49</v>
      </c>
      <c r="H1213" t="s">
        <v>50</v>
      </c>
      <c r="I1213" t="s">
        <v>34</v>
      </c>
      <c r="J1213" t="s">
        <v>155</v>
      </c>
      <c r="K1213" t="s">
        <v>27</v>
      </c>
      <c r="L1213" t="s">
        <v>52</v>
      </c>
      <c r="M1213" t="s">
        <v>6426</v>
      </c>
      <c r="N1213" t="s">
        <v>4623</v>
      </c>
      <c r="O1213" t="s">
        <v>54</v>
      </c>
      <c r="P1213" t="s">
        <v>6427</v>
      </c>
      <c r="Q1213" t="s">
        <v>100</v>
      </c>
      <c r="R1213" s="26" t="s">
        <v>377</v>
      </c>
      <c r="S1213">
        <v>5.59</v>
      </c>
      <c r="T1213">
        <v>7414</v>
      </c>
      <c r="U1213">
        <v>0</v>
      </c>
      <c r="V1213">
        <v>7414</v>
      </c>
    </row>
    <row r="1214" spans="1:22" x14ac:dyDescent="0.3">
      <c r="A1214">
        <v>186607</v>
      </c>
      <c r="B1214">
        <v>456409343</v>
      </c>
      <c r="C1214" t="s">
        <v>6428</v>
      </c>
      <c r="D1214" s="9" t="s">
        <v>6429</v>
      </c>
      <c r="E1214" t="s">
        <v>4620</v>
      </c>
      <c r="F1214" t="s">
        <v>770</v>
      </c>
      <c r="G1214" t="s">
        <v>49</v>
      </c>
      <c r="H1214" t="s">
        <v>50</v>
      </c>
      <c r="I1214" t="s">
        <v>34</v>
      </c>
      <c r="J1214" t="s">
        <v>155</v>
      </c>
      <c r="K1214" t="s">
        <v>27</v>
      </c>
      <c r="L1214" t="s">
        <v>52</v>
      </c>
      <c r="M1214" t="s">
        <v>6430</v>
      </c>
      <c r="N1214" t="s">
        <v>4623</v>
      </c>
      <c r="O1214" t="s">
        <v>54</v>
      </c>
      <c r="P1214" t="s">
        <v>6431</v>
      </c>
      <c r="Q1214" t="s">
        <v>74</v>
      </c>
      <c r="R1214" s="26" t="s">
        <v>377</v>
      </c>
      <c r="S1214">
        <v>5.38</v>
      </c>
      <c r="T1214">
        <v>4718</v>
      </c>
      <c r="U1214">
        <v>0</v>
      </c>
      <c r="V1214">
        <v>4718</v>
      </c>
    </row>
    <row r="1215" spans="1:22" x14ac:dyDescent="0.3">
      <c r="A1215">
        <v>186607</v>
      </c>
      <c r="B1215">
        <v>456271768</v>
      </c>
      <c r="C1215" t="s">
        <v>6432</v>
      </c>
      <c r="D1215" s="9" t="s">
        <v>6433</v>
      </c>
      <c r="E1215" t="s">
        <v>4620</v>
      </c>
      <c r="F1215" t="s">
        <v>770</v>
      </c>
      <c r="G1215" t="s">
        <v>49</v>
      </c>
      <c r="H1215" t="s">
        <v>50</v>
      </c>
      <c r="I1215" t="s">
        <v>34</v>
      </c>
      <c r="J1215" t="s">
        <v>155</v>
      </c>
      <c r="K1215" t="s">
        <v>27</v>
      </c>
      <c r="L1215" t="s">
        <v>52</v>
      </c>
      <c r="M1215" t="s">
        <v>6434</v>
      </c>
      <c r="N1215" t="s">
        <v>4623</v>
      </c>
      <c r="O1215" t="s">
        <v>54</v>
      </c>
      <c r="P1215" t="s">
        <v>6435</v>
      </c>
      <c r="Q1215" t="s">
        <v>74</v>
      </c>
      <c r="R1215" s="26" t="s">
        <v>247</v>
      </c>
      <c r="S1215">
        <v>3.99</v>
      </c>
      <c r="T1215">
        <v>4718</v>
      </c>
      <c r="U1215">
        <v>0</v>
      </c>
      <c r="V1215">
        <v>4718</v>
      </c>
    </row>
    <row r="1216" spans="1:22" x14ac:dyDescent="0.3">
      <c r="A1216">
        <v>186607</v>
      </c>
      <c r="B1216">
        <v>456271795</v>
      </c>
      <c r="C1216" t="s">
        <v>6436</v>
      </c>
      <c r="D1216" s="9" t="s">
        <v>6437</v>
      </c>
      <c r="E1216" t="s">
        <v>4620</v>
      </c>
      <c r="F1216" t="s">
        <v>770</v>
      </c>
      <c r="G1216" t="s">
        <v>49</v>
      </c>
      <c r="H1216" t="s">
        <v>50</v>
      </c>
      <c r="I1216" t="s">
        <v>34</v>
      </c>
      <c r="J1216" t="s">
        <v>155</v>
      </c>
      <c r="K1216" t="s">
        <v>27</v>
      </c>
      <c r="L1216" t="s">
        <v>52</v>
      </c>
      <c r="M1216" t="s">
        <v>6438</v>
      </c>
      <c r="N1216" t="s">
        <v>4623</v>
      </c>
      <c r="O1216" t="s">
        <v>54</v>
      </c>
      <c r="P1216" t="s">
        <v>6439</v>
      </c>
      <c r="Q1216" t="s">
        <v>100</v>
      </c>
      <c r="R1216" s="26" t="s">
        <v>247</v>
      </c>
      <c r="S1216">
        <v>5.98</v>
      </c>
      <c r="T1216">
        <v>7414</v>
      </c>
      <c r="U1216">
        <v>0</v>
      </c>
      <c r="V1216">
        <v>7414</v>
      </c>
    </row>
    <row r="1217" spans="1:22" x14ac:dyDescent="0.3">
      <c r="A1217">
        <v>186607</v>
      </c>
      <c r="B1217">
        <v>456094049</v>
      </c>
      <c r="C1217" t="s">
        <v>6440</v>
      </c>
      <c r="D1217" s="9" t="s">
        <v>6441</v>
      </c>
      <c r="E1217" t="s">
        <v>4620</v>
      </c>
      <c r="F1217" t="s">
        <v>770</v>
      </c>
      <c r="G1217" t="s">
        <v>49</v>
      </c>
      <c r="H1217" t="s">
        <v>50</v>
      </c>
      <c r="I1217" t="s">
        <v>34</v>
      </c>
      <c r="J1217" t="s">
        <v>155</v>
      </c>
      <c r="K1217" t="s">
        <v>27</v>
      </c>
      <c r="L1217" t="s">
        <v>52</v>
      </c>
      <c r="M1217" t="s">
        <v>6442</v>
      </c>
      <c r="N1217" t="s">
        <v>4623</v>
      </c>
      <c r="O1217" t="s">
        <v>54</v>
      </c>
      <c r="P1217" t="s">
        <v>6443</v>
      </c>
      <c r="Q1217" t="s">
        <v>145</v>
      </c>
      <c r="R1217" s="26" t="s">
        <v>308</v>
      </c>
      <c r="S1217">
        <v>5.59</v>
      </c>
      <c r="T1217">
        <v>4718</v>
      </c>
      <c r="U1217">
        <v>0</v>
      </c>
      <c r="V1217">
        <v>4718</v>
      </c>
    </row>
    <row r="1218" spans="1:22" x14ac:dyDescent="0.3">
      <c r="A1218">
        <v>186607</v>
      </c>
      <c r="B1218">
        <v>456094075</v>
      </c>
      <c r="C1218" t="s">
        <v>6444</v>
      </c>
      <c r="D1218" s="9" t="s">
        <v>6445</v>
      </c>
      <c r="E1218" t="s">
        <v>4620</v>
      </c>
      <c r="F1218" t="s">
        <v>770</v>
      </c>
      <c r="G1218" t="s">
        <v>49</v>
      </c>
      <c r="H1218" t="s">
        <v>50</v>
      </c>
      <c r="I1218" t="s">
        <v>34</v>
      </c>
      <c r="J1218" t="s">
        <v>155</v>
      </c>
      <c r="K1218" t="s">
        <v>27</v>
      </c>
      <c r="L1218" t="s">
        <v>52</v>
      </c>
      <c r="M1218" t="s">
        <v>6446</v>
      </c>
      <c r="N1218" t="s">
        <v>4623</v>
      </c>
      <c r="O1218" t="s">
        <v>54</v>
      </c>
      <c r="P1218" t="s">
        <v>6447</v>
      </c>
      <c r="Q1218" t="s">
        <v>216</v>
      </c>
      <c r="R1218" s="26" t="s">
        <v>308</v>
      </c>
      <c r="S1218">
        <v>3.54</v>
      </c>
      <c r="T1218">
        <v>7747</v>
      </c>
      <c r="U1218">
        <v>0</v>
      </c>
      <c r="V1218">
        <v>7747</v>
      </c>
    </row>
    <row r="1219" spans="1:22" x14ac:dyDescent="0.3">
      <c r="A1219">
        <v>186607</v>
      </c>
      <c r="B1219">
        <v>456094079</v>
      </c>
      <c r="C1219" t="s">
        <v>6448</v>
      </c>
      <c r="D1219" s="9" t="s">
        <v>6449</v>
      </c>
      <c r="E1219" t="s">
        <v>4620</v>
      </c>
      <c r="F1219" t="s">
        <v>770</v>
      </c>
      <c r="G1219" t="s">
        <v>49</v>
      </c>
      <c r="H1219" t="s">
        <v>50</v>
      </c>
      <c r="I1219" t="s">
        <v>34</v>
      </c>
      <c r="J1219" t="s">
        <v>155</v>
      </c>
      <c r="K1219" t="s">
        <v>27</v>
      </c>
      <c r="L1219" t="s">
        <v>52</v>
      </c>
      <c r="M1219" t="s">
        <v>6450</v>
      </c>
      <c r="N1219" t="s">
        <v>4623</v>
      </c>
      <c r="O1219" t="s">
        <v>54</v>
      </c>
      <c r="P1219" t="s">
        <v>6451</v>
      </c>
      <c r="Q1219" t="s">
        <v>406</v>
      </c>
      <c r="R1219" s="26" t="s">
        <v>308</v>
      </c>
      <c r="S1219">
        <v>4.67</v>
      </c>
      <c r="T1219">
        <v>13165</v>
      </c>
      <c r="U1219">
        <v>0</v>
      </c>
      <c r="V1219">
        <v>13165</v>
      </c>
    </row>
    <row r="1220" spans="1:22" x14ac:dyDescent="0.3">
      <c r="A1220">
        <v>186607</v>
      </c>
      <c r="B1220">
        <v>456094241</v>
      </c>
      <c r="C1220" t="s">
        <v>6452</v>
      </c>
      <c r="D1220" s="9" t="s">
        <v>6453</v>
      </c>
      <c r="E1220" t="s">
        <v>4620</v>
      </c>
      <c r="F1220" t="s">
        <v>770</v>
      </c>
      <c r="G1220" t="s">
        <v>49</v>
      </c>
      <c r="H1220" t="s">
        <v>50</v>
      </c>
      <c r="I1220" t="s">
        <v>34</v>
      </c>
      <c r="J1220" t="s">
        <v>155</v>
      </c>
      <c r="K1220" t="s">
        <v>27</v>
      </c>
      <c r="L1220" t="s">
        <v>52</v>
      </c>
      <c r="M1220" t="s">
        <v>6454</v>
      </c>
      <c r="N1220" t="s">
        <v>4623</v>
      </c>
      <c r="O1220" t="s">
        <v>54</v>
      </c>
      <c r="P1220" t="s">
        <v>6455</v>
      </c>
      <c r="Q1220" t="s">
        <v>159</v>
      </c>
      <c r="R1220" s="26" t="s">
        <v>308</v>
      </c>
      <c r="S1220">
        <v>4.05</v>
      </c>
      <c r="T1220">
        <v>7589</v>
      </c>
      <c r="U1220">
        <v>0</v>
      </c>
      <c r="V1220">
        <v>7589</v>
      </c>
    </row>
    <row r="1221" spans="1:22" x14ac:dyDescent="0.3">
      <c r="A1221">
        <v>186607</v>
      </c>
      <c r="B1221">
        <v>456094298</v>
      </c>
      <c r="C1221" t="s">
        <v>6456</v>
      </c>
      <c r="D1221" s="9" t="s">
        <v>6457</v>
      </c>
      <c r="E1221" t="s">
        <v>4620</v>
      </c>
      <c r="F1221" t="s">
        <v>770</v>
      </c>
      <c r="G1221" t="s">
        <v>49</v>
      </c>
      <c r="H1221" t="s">
        <v>50</v>
      </c>
      <c r="I1221" t="s">
        <v>34</v>
      </c>
      <c r="J1221" t="s">
        <v>155</v>
      </c>
      <c r="K1221" t="s">
        <v>27</v>
      </c>
      <c r="L1221" t="s">
        <v>52</v>
      </c>
      <c r="M1221" t="s">
        <v>646</v>
      </c>
      <c r="N1221" t="s">
        <v>4623</v>
      </c>
      <c r="O1221" t="s">
        <v>54</v>
      </c>
      <c r="P1221" t="s">
        <v>6458</v>
      </c>
      <c r="Q1221" t="s">
        <v>182</v>
      </c>
      <c r="R1221" s="26" t="s">
        <v>374</v>
      </c>
      <c r="S1221">
        <v>6.58</v>
      </c>
      <c r="T1221">
        <v>9287</v>
      </c>
      <c r="U1221">
        <v>0</v>
      </c>
      <c r="V1221">
        <v>9287</v>
      </c>
    </row>
    <row r="1222" spans="1:22" x14ac:dyDescent="0.3">
      <c r="A1222">
        <v>186607</v>
      </c>
      <c r="B1222">
        <v>456094321</v>
      </c>
      <c r="C1222" t="s">
        <v>6459</v>
      </c>
      <c r="D1222" s="9" t="s">
        <v>6460</v>
      </c>
      <c r="E1222" t="s">
        <v>4620</v>
      </c>
      <c r="F1222" t="s">
        <v>770</v>
      </c>
      <c r="G1222" t="s">
        <v>49</v>
      </c>
      <c r="H1222" t="s">
        <v>50</v>
      </c>
      <c r="I1222" t="s">
        <v>34</v>
      </c>
      <c r="J1222" t="s">
        <v>155</v>
      </c>
      <c r="K1222" t="s">
        <v>27</v>
      </c>
      <c r="L1222" t="s">
        <v>52</v>
      </c>
      <c r="M1222" t="s">
        <v>6461</v>
      </c>
      <c r="N1222" t="s">
        <v>4623</v>
      </c>
      <c r="O1222" t="s">
        <v>54</v>
      </c>
      <c r="P1222" t="s">
        <v>6462</v>
      </c>
      <c r="Q1222" t="s">
        <v>183</v>
      </c>
      <c r="R1222" s="26" t="s">
        <v>374</v>
      </c>
      <c r="S1222">
        <v>4.1399999999999997</v>
      </c>
      <c r="T1222">
        <v>7513</v>
      </c>
      <c r="U1222">
        <v>0</v>
      </c>
      <c r="V1222">
        <v>7513</v>
      </c>
    </row>
    <row r="1223" spans="1:22" x14ac:dyDescent="0.3">
      <c r="A1223">
        <v>186607</v>
      </c>
      <c r="B1223">
        <v>456094322</v>
      </c>
      <c r="C1223" t="s">
        <v>6463</v>
      </c>
      <c r="D1223" s="9" t="s">
        <v>6464</v>
      </c>
      <c r="E1223" t="s">
        <v>4620</v>
      </c>
      <c r="F1223" t="s">
        <v>770</v>
      </c>
      <c r="G1223" t="s">
        <v>49</v>
      </c>
      <c r="H1223" t="s">
        <v>50</v>
      </c>
      <c r="I1223" t="s">
        <v>34</v>
      </c>
      <c r="J1223" t="s">
        <v>155</v>
      </c>
      <c r="K1223" t="s">
        <v>27</v>
      </c>
      <c r="L1223" t="s">
        <v>52</v>
      </c>
      <c r="M1223" t="s">
        <v>6465</v>
      </c>
      <c r="N1223" t="s">
        <v>4623</v>
      </c>
      <c r="O1223" t="s">
        <v>54</v>
      </c>
      <c r="P1223" t="s">
        <v>6466</v>
      </c>
      <c r="Q1223" t="s">
        <v>107</v>
      </c>
      <c r="R1223" s="26" t="s">
        <v>374</v>
      </c>
      <c r="S1223">
        <v>5.31</v>
      </c>
      <c r="T1223">
        <v>7513</v>
      </c>
      <c r="U1223">
        <v>0</v>
      </c>
      <c r="V1223">
        <v>7513</v>
      </c>
    </row>
    <row r="1224" spans="1:22" x14ac:dyDescent="0.3">
      <c r="A1224">
        <v>186607</v>
      </c>
      <c r="B1224">
        <v>455825202</v>
      </c>
      <c r="C1224" t="s">
        <v>6467</v>
      </c>
      <c r="D1224" s="9" t="s">
        <v>6468</v>
      </c>
      <c r="E1224" t="s">
        <v>4620</v>
      </c>
      <c r="F1224" t="s">
        <v>770</v>
      </c>
      <c r="G1224" t="s">
        <v>49</v>
      </c>
      <c r="H1224" t="s">
        <v>50</v>
      </c>
      <c r="I1224" t="s">
        <v>34</v>
      </c>
      <c r="J1224" t="s">
        <v>155</v>
      </c>
      <c r="K1224" t="s">
        <v>27</v>
      </c>
      <c r="L1224" t="s">
        <v>52</v>
      </c>
      <c r="M1224" t="s">
        <v>6469</v>
      </c>
      <c r="N1224" t="s">
        <v>4623</v>
      </c>
      <c r="O1224" t="s">
        <v>54</v>
      </c>
      <c r="P1224" t="s">
        <v>6470</v>
      </c>
      <c r="Q1224" t="s">
        <v>188</v>
      </c>
      <c r="R1224" s="26" t="s">
        <v>75</v>
      </c>
      <c r="S1224">
        <v>4.4800000000000004</v>
      </c>
      <c r="T1224">
        <v>7278</v>
      </c>
      <c r="U1224">
        <v>0</v>
      </c>
      <c r="V1224">
        <v>7278</v>
      </c>
    </row>
    <row r="1225" spans="1:22" x14ac:dyDescent="0.3">
      <c r="A1225">
        <v>186607</v>
      </c>
      <c r="B1225">
        <v>455825239</v>
      </c>
      <c r="C1225" t="s">
        <v>6471</v>
      </c>
      <c r="D1225" s="9" t="s">
        <v>6472</v>
      </c>
      <c r="E1225" t="s">
        <v>4620</v>
      </c>
      <c r="F1225" t="s">
        <v>770</v>
      </c>
      <c r="G1225" t="s">
        <v>49</v>
      </c>
      <c r="H1225" t="s">
        <v>50</v>
      </c>
      <c r="I1225" t="s">
        <v>34</v>
      </c>
      <c r="J1225" t="s">
        <v>155</v>
      </c>
      <c r="K1225" t="s">
        <v>27</v>
      </c>
      <c r="L1225" t="s">
        <v>52</v>
      </c>
      <c r="M1225" t="s">
        <v>6473</v>
      </c>
      <c r="N1225" t="s">
        <v>4623</v>
      </c>
      <c r="O1225" t="s">
        <v>54</v>
      </c>
      <c r="P1225" t="s">
        <v>6474</v>
      </c>
      <c r="Q1225" t="s">
        <v>178</v>
      </c>
      <c r="R1225" s="26" t="s">
        <v>75</v>
      </c>
      <c r="S1225">
        <v>5.49</v>
      </c>
      <c r="T1225">
        <v>4718</v>
      </c>
      <c r="U1225">
        <v>0</v>
      </c>
      <c r="V1225">
        <v>4718</v>
      </c>
    </row>
    <row r="1226" spans="1:22" x14ac:dyDescent="0.3">
      <c r="A1226">
        <v>186607</v>
      </c>
      <c r="B1226">
        <v>455683660</v>
      </c>
      <c r="C1226" t="s">
        <v>6475</v>
      </c>
      <c r="D1226" s="9" t="s">
        <v>6476</v>
      </c>
      <c r="E1226" t="s">
        <v>4620</v>
      </c>
      <c r="F1226" t="s">
        <v>770</v>
      </c>
      <c r="G1226" t="s">
        <v>49</v>
      </c>
      <c r="H1226" t="s">
        <v>50</v>
      </c>
      <c r="I1226" t="s">
        <v>34</v>
      </c>
      <c r="J1226" t="s">
        <v>155</v>
      </c>
      <c r="K1226" t="s">
        <v>27</v>
      </c>
      <c r="L1226" t="s">
        <v>52</v>
      </c>
      <c r="M1226" t="s">
        <v>6477</v>
      </c>
      <c r="N1226" t="s">
        <v>4623</v>
      </c>
      <c r="O1226" t="s">
        <v>54</v>
      </c>
      <c r="P1226" t="s">
        <v>6478</v>
      </c>
      <c r="Q1226" t="s">
        <v>294</v>
      </c>
      <c r="R1226" s="26" t="s">
        <v>528</v>
      </c>
      <c r="S1226">
        <v>3.32</v>
      </c>
      <c r="T1226">
        <v>7278</v>
      </c>
      <c r="U1226">
        <v>0</v>
      </c>
      <c r="V1226">
        <v>7278</v>
      </c>
    </row>
    <row r="1227" spans="1:22" x14ac:dyDescent="0.3">
      <c r="A1227">
        <v>186607</v>
      </c>
      <c r="B1227">
        <v>455683671</v>
      </c>
      <c r="C1227" t="s">
        <v>6479</v>
      </c>
      <c r="D1227" s="9" t="s">
        <v>6480</v>
      </c>
      <c r="E1227" t="s">
        <v>4620</v>
      </c>
      <c r="F1227" t="s">
        <v>770</v>
      </c>
      <c r="G1227" t="s">
        <v>49</v>
      </c>
      <c r="H1227" t="s">
        <v>50</v>
      </c>
      <c r="I1227" t="s">
        <v>34</v>
      </c>
      <c r="J1227" t="s">
        <v>155</v>
      </c>
      <c r="K1227" t="s">
        <v>27</v>
      </c>
      <c r="L1227" t="s">
        <v>52</v>
      </c>
      <c r="M1227" t="s">
        <v>617</v>
      </c>
      <c r="N1227" t="s">
        <v>4623</v>
      </c>
      <c r="O1227" t="s">
        <v>54</v>
      </c>
      <c r="P1227" t="s">
        <v>6481</v>
      </c>
      <c r="Q1227" t="s">
        <v>257</v>
      </c>
      <c r="R1227" s="26" t="s">
        <v>528</v>
      </c>
      <c r="S1227">
        <v>4.1900000000000004</v>
      </c>
      <c r="T1227">
        <v>7589</v>
      </c>
      <c r="U1227">
        <v>0</v>
      </c>
      <c r="V1227">
        <v>7589</v>
      </c>
    </row>
    <row r="1228" spans="1:22" x14ac:dyDescent="0.3">
      <c r="A1228">
        <v>186607</v>
      </c>
      <c r="B1228">
        <v>455683673</v>
      </c>
      <c r="C1228" t="s">
        <v>6482</v>
      </c>
      <c r="D1228" s="9" t="s">
        <v>6483</v>
      </c>
      <c r="E1228" t="s">
        <v>4620</v>
      </c>
      <c r="F1228" t="s">
        <v>770</v>
      </c>
      <c r="G1228" t="s">
        <v>49</v>
      </c>
      <c r="H1228" t="s">
        <v>50</v>
      </c>
      <c r="I1228" t="s">
        <v>34</v>
      </c>
      <c r="J1228" t="s">
        <v>155</v>
      </c>
      <c r="K1228" t="s">
        <v>27</v>
      </c>
      <c r="L1228" t="s">
        <v>52</v>
      </c>
      <c r="M1228" t="s">
        <v>6484</v>
      </c>
      <c r="N1228" t="s">
        <v>4623</v>
      </c>
      <c r="O1228" t="s">
        <v>54</v>
      </c>
      <c r="P1228" t="s">
        <v>6485</v>
      </c>
      <c r="Q1228" t="s">
        <v>134</v>
      </c>
      <c r="R1228" s="26" t="s">
        <v>528</v>
      </c>
      <c r="S1228">
        <v>7.54</v>
      </c>
      <c r="T1228">
        <v>5465</v>
      </c>
      <c r="U1228">
        <v>0</v>
      </c>
      <c r="V1228">
        <v>5465</v>
      </c>
    </row>
    <row r="1229" spans="1:22" x14ac:dyDescent="0.3">
      <c r="A1229">
        <v>186607</v>
      </c>
      <c r="B1229">
        <v>455683829</v>
      </c>
      <c r="C1229" t="s">
        <v>6486</v>
      </c>
      <c r="D1229" s="9" t="s">
        <v>6487</v>
      </c>
      <c r="E1229" t="s">
        <v>4620</v>
      </c>
      <c r="F1229" t="s">
        <v>770</v>
      </c>
      <c r="G1229" t="s">
        <v>49</v>
      </c>
      <c r="H1229" t="s">
        <v>50</v>
      </c>
      <c r="I1229" t="s">
        <v>34</v>
      </c>
      <c r="J1229" t="s">
        <v>155</v>
      </c>
      <c r="K1229" t="s">
        <v>27</v>
      </c>
      <c r="L1229" t="s">
        <v>52</v>
      </c>
      <c r="M1229" t="s">
        <v>6488</v>
      </c>
      <c r="N1229" t="s">
        <v>4623</v>
      </c>
      <c r="O1229" t="s">
        <v>54</v>
      </c>
      <c r="P1229" t="s">
        <v>6489</v>
      </c>
      <c r="Q1229" t="s">
        <v>188</v>
      </c>
      <c r="R1229" s="26" t="s">
        <v>720</v>
      </c>
      <c r="S1229">
        <v>4.01</v>
      </c>
      <c r="T1229">
        <v>7278</v>
      </c>
      <c r="U1229">
        <v>0</v>
      </c>
      <c r="V1229">
        <v>7278</v>
      </c>
    </row>
    <row r="1230" spans="1:22" x14ac:dyDescent="0.3">
      <c r="A1230">
        <v>186607</v>
      </c>
      <c r="B1230">
        <v>455683831</v>
      </c>
      <c r="C1230" t="s">
        <v>6490</v>
      </c>
      <c r="D1230" s="9" t="s">
        <v>6491</v>
      </c>
      <c r="E1230" t="s">
        <v>4620</v>
      </c>
      <c r="F1230" t="s">
        <v>770</v>
      </c>
      <c r="G1230" t="s">
        <v>49</v>
      </c>
      <c r="H1230" t="s">
        <v>50</v>
      </c>
      <c r="I1230" t="s">
        <v>34</v>
      </c>
      <c r="J1230" t="s">
        <v>155</v>
      </c>
      <c r="K1230" t="s">
        <v>27</v>
      </c>
      <c r="L1230" t="s">
        <v>52</v>
      </c>
      <c r="M1230" t="s">
        <v>6492</v>
      </c>
      <c r="N1230" t="s">
        <v>4623</v>
      </c>
      <c r="O1230" t="s">
        <v>54</v>
      </c>
      <c r="P1230" t="s">
        <v>6493</v>
      </c>
      <c r="Q1230" t="s">
        <v>100</v>
      </c>
      <c r="R1230" s="26" t="s">
        <v>720</v>
      </c>
      <c r="S1230">
        <v>4.25</v>
      </c>
      <c r="T1230">
        <v>7414</v>
      </c>
      <c r="U1230">
        <v>0</v>
      </c>
      <c r="V1230">
        <v>7414</v>
      </c>
    </row>
    <row r="1231" spans="1:22" x14ac:dyDescent="0.3">
      <c r="A1231">
        <v>186607</v>
      </c>
      <c r="B1231">
        <v>455493398</v>
      </c>
      <c r="C1231" t="s">
        <v>6494</v>
      </c>
      <c r="D1231" s="9" t="s">
        <v>6495</v>
      </c>
      <c r="E1231" t="s">
        <v>4620</v>
      </c>
      <c r="F1231" t="s">
        <v>770</v>
      </c>
      <c r="G1231" t="s">
        <v>49</v>
      </c>
      <c r="H1231" t="s">
        <v>50</v>
      </c>
      <c r="I1231" t="s">
        <v>34</v>
      </c>
      <c r="J1231" t="s">
        <v>155</v>
      </c>
      <c r="K1231" t="s">
        <v>27</v>
      </c>
      <c r="L1231" t="s">
        <v>52</v>
      </c>
      <c r="M1231" t="s">
        <v>280</v>
      </c>
      <c r="N1231" t="s">
        <v>4623</v>
      </c>
      <c r="O1231" t="s">
        <v>54</v>
      </c>
      <c r="P1231" t="s">
        <v>6496</v>
      </c>
      <c r="Q1231" t="s">
        <v>71</v>
      </c>
      <c r="R1231" s="26" t="s">
        <v>5608</v>
      </c>
      <c r="S1231">
        <v>6.24</v>
      </c>
      <c r="T1231">
        <v>9706</v>
      </c>
      <c r="U1231">
        <v>0</v>
      </c>
      <c r="V1231">
        <v>9706</v>
      </c>
    </row>
    <row r="1232" spans="1:22" x14ac:dyDescent="0.3">
      <c r="A1232">
        <v>186607</v>
      </c>
      <c r="B1232">
        <v>455493401</v>
      </c>
      <c r="C1232" t="s">
        <v>6497</v>
      </c>
      <c r="D1232" s="9" t="s">
        <v>6498</v>
      </c>
      <c r="E1232" t="s">
        <v>4620</v>
      </c>
      <c r="F1232" t="s">
        <v>770</v>
      </c>
      <c r="G1232" t="s">
        <v>49</v>
      </c>
      <c r="H1232" t="s">
        <v>50</v>
      </c>
      <c r="I1232" t="s">
        <v>34</v>
      </c>
      <c r="J1232" t="s">
        <v>155</v>
      </c>
      <c r="K1232" t="s">
        <v>27</v>
      </c>
      <c r="L1232" t="s">
        <v>52</v>
      </c>
      <c r="M1232" t="s">
        <v>6499</v>
      </c>
      <c r="N1232" t="s">
        <v>4623</v>
      </c>
      <c r="O1232" t="s">
        <v>54</v>
      </c>
      <c r="P1232" t="s">
        <v>6500</v>
      </c>
      <c r="Q1232" t="s">
        <v>347</v>
      </c>
      <c r="R1232" s="26" t="s">
        <v>5608</v>
      </c>
      <c r="S1232">
        <v>2.79</v>
      </c>
      <c r="T1232">
        <v>13945</v>
      </c>
      <c r="U1232">
        <v>0</v>
      </c>
      <c r="V1232">
        <v>13945</v>
      </c>
    </row>
    <row r="1233" spans="1:22" x14ac:dyDescent="0.3">
      <c r="A1233">
        <v>186607</v>
      </c>
      <c r="B1233">
        <v>455520344</v>
      </c>
      <c r="C1233" t="s">
        <v>6501</v>
      </c>
      <c r="D1233" s="9" t="s">
        <v>6502</v>
      </c>
      <c r="E1233" t="s">
        <v>4620</v>
      </c>
      <c r="F1233" t="s">
        <v>770</v>
      </c>
      <c r="G1233" t="s">
        <v>49</v>
      </c>
      <c r="H1233" t="s">
        <v>50</v>
      </c>
      <c r="I1233" t="s">
        <v>34</v>
      </c>
      <c r="J1233" t="s">
        <v>155</v>
      </c>
      <c r="K1233" t="s">
        <v>27</v>
      </c>
      <c r="L1233" t="s">
        <v>52</v>
      </c>
      <c r="M1233" t="s">
        <v>6503</v>
      </c>
      <c r="N1233" t="s">
        <v>4623</v>
      </c>
      <c r="O1233" t="s">
        <v>54</v>
      </c>
      <c r="P1233" t="s">
        <v>6504</v>
      </c>
      <c r="Q1233" t="s">
        <v>347</v>
      </c>
      <c r="R1233" s="26" t="s">
        <v>547</v>
      </c>
      <c r="S1233">
        <v>6.1</v>
      </c>
      <c r="T1233">
        <v>17322</v>
      </c>
      <c r="U1233">
        <v>0</v>
      </c>
      <c r="V1233">
        <v>17322</v>
      </c>
    </row>
    <row r="1234" spans="1:22" x14ac:dyDescent="0.3">
      <c r="A1234">
        <v>186607</v>
      </c>
      <c r="B1234">
        <v>455396162</v>
      </c>
      <c r="C1234" t="s">
        <v>6505</v>
      </c>
      <c r="D1234" s="9" t="s">
        <v>6506</v>
      </c>
      <c r="E1234" t="s">
        <v>4620</v>
      </c>
      <c r="F1234" t="s">
        <v>770</v>
      </c>
      <c r="G1234" t="s">
        <v>49</v>
      </c>
      <c r="H1234" t="s">
        <v>50</v>
      </c>
      <c r="I1234" t="s">
        <v>34</v>
      </c>
      <c r="J1234" t="s">
        <v>155</v>
      </c>
      <c r="K1234" t="s">
        <v>27</v>
      </c>
      <c r="L1234" t="s">
        <v>52</v>
      </c>
      <c r="M1234" t="s">
        <v>6507</v>
      </c>
      <c r="N1234" t="s">
        <v>4623</v>
      </c>
      <c r="O1234" t="s">
        <v>54</v>
      </c>
      <c r="P1234" t="s">
        <v>6508</v>
      </c>
      <c r="Q1234" t="s">
        <v>74</v>
      </c>
      <c r="R1234" s="26" t="s">
        <v>5002</v>
      </c>
      <c r="S1234">
        <v>2.42</v>
      </c>
      <c r="T1234">
        <v>4335</v>
      </c>
      <c r="U1234">
        <v>0</v>
      </c>
      <c r="V1234">
        <v>4335</v>
      </c>
    </row>
    <row r="1235" spans="1:22" x14ac:dyDescent="0.3">
      <c r="A1235">
        <v>186607</v>
      </c>
      <c r="B1235">
        <v>455396171</v>
      </c>
      <c r="C1235" t="s">
        <v>6509</v>
      </c>
      <c r="D1235" s="9" t="s">
        <v>6510</v>
      </c>
      <c r="E1235" t="s">
        <v>4620</v>
      </c>
      <c r="F1235" t="s">
        <v>770</v>
      </c>
      <c r="G1235" t="s">
        <v>49</v>
      </c>
      <c r="H1235" t="s">
        <v>50</v>
      </c>
      <c r="I1235" t="s">
        <v>34</v>
      </c>
      <c r="J1235" t="s">
        <v>155</v>
      </c>
      <c r="K1235" t="s">
        <v>27</v>
      </c>
      <c r="L1235" t="s">
        <v>52</v>
      </c>
      <c r="M1235" t="s">
        <v>6511</v>
      </c>
      <c r="N1235" t="s">
        <v>4623</v>
      </c>
      <c r="O1235" t="s">
        <v>54</v>
      </c>
      <c r="P1235" t="s">
        <v>6512</v>
      </c>
      <c r="Q1235" t="s">
        <v>234</v>
      </c>
      <c r="R1235" s="26" t="s">
        <v>5002</v>
      </c>
      <c r="S1235">
        <v>3.74</v>
      </c>
      <c r="T1235">
        <v>8343</v>
      </c>
      <c r="U1235">
        <v>0</v>
      </c>
      <c r="V1235">
        <v>8343</v>
      </c>
    </row>
    <row r="1236" spans="1:22" x14ac:dyDescent="0.3">
      <c r="A1236">
        <v>186607</v>
      </c>
      <c r="B1236">
        <v>455409340</v>
      </c>
      <c r="C1236" t="s">
        <v>6513</v>
      </c>
      <c r="D1236" s="9" t="s">
        <v>6514</v>
      </c>
      <c r="E1236" t="s">
        <v>4620</v>
      </c>
      <c r="F1236" t="s">
        <v>770</v>
      </c>
      <c r="G1236" t="s">
        <v>49</v>
      </c>
      <c r="H1236" t="s">
        <v>50</v>
      </c>
      <c r="I1236" t="s">
        <v>34</v>
      </c>
      <c r="J1236" t="s">
        <v>155</v>
      </c>
      <c r="K1236" t="s">
        <v>27</v>
      </c>
      <c r="L1236" t="s">
        <v>52</v>
      </c>
      <c r="M1236" t="s">
        <v>6515</v>
      </c>
      <c r="N1236" t="s">
        <v>4623</v>
      </c>
      <c r="O1236" t="s">
        <v>54</v>
      </c>
      <c r="P1236" t="s">
        <v>6516</v>
      </c>
      <c r="Q1236" t="s">
        <v>169</v>
      </c>
      <c r="R1236" s="26" t="s">
        <v>745</v>
      </c>
      <c r="S1236">
        <v>1.25</v>
      </c>
      <c r="T1236">
        <v>6232</v>
      </c>
      <c r="U1236">
        <v>0</v>
      </c>
      <c r="V1236">
        <v>6232</v>
      </c>
    </row>
    <row r="1237" spans="1:22" x14ac:dyDescent="0.3">
      <c r="A1237">
        <v>186607</v>
      </c>
      <c r="B1237">
        <v>455275203</v>
      </c>
      <c r="C1237" t="s">
        <v>6517</v>
      </c>
      <c r="D1237" s="9" t="s">
        <v>6518</v>
      </c>
      <c r="E1237" t="s">
        <v>4620</v>
      </c>
      <c r="F1237" t="s">
        <v>770</v>
      </c>
      <c r="G1237" t="s">
        <v>49</v>
      </c>
      <c r="H1237" t="s">
        <v>50</v>
      </c>
      <c r="I1237" t="s">
        <v>34</v>
      </c>
      <c r="J1237" t="s">
        <v>155</v>
      </c>
      <c r="K1237" t="s">
        <v>27</v>
      </c>
      <c r="L1237" t="s">
        <v>52</v>
      </c>
      <c r="M1237" t="s">
        <v>6519</v>
      </c>
      <c r="N1237" t="s">
        <v>4623</v>
      </c>
      <c r="O1237" t="s">
        <v>54</v>
      </c>
      <c r="P1237" t="s">
        <v>6520</v>
      </c>
      <c r="Q1237" t="s">
        <v>206</v>
      </c>
      <c r="R1237" s="26" t="s">
        <v>538</v>
      </c>
      <c r="S1237">
        <v>4.5599999999999996</v>
      </c>
      <c r="T1237">
        <v>8261</v>
      </c>
      <c r="U1237">
        <v>0</v>
      </c>
      <c r="V1237">
        <v>8261</v>
      </c>
    </row>
    <row r="1238" spans="1:22" x14ac:dyDescent="0.3">
      <c r="A1238">
        <v>198256</v>
      </c>
      <c r="B1238">
        <v>456663758</v>
      </c>
      <c r="C1238" t="s">
        <v>6521</v>
      </c>
      <c r="D1238" s="9" t="s">
        <v>6522</v>
      </c>
      <c r="E1238" t="s">
        <v>6523</v>
      </c>
      <c r="F1238" t="s">
        <v>770</v>
      </c>
      <c r="G1238" t="s">
        <v>28</v>
      </c>
      <c r="H1238" t="s">
        <v>29</v>
      </c>
      <c r="I1238" t="s">
        <v>34</v>
      </c>
      <c r="J1238" t="s">
        <v>30</v>
      </c>
      <c r="K1238" t="s">
        <v>27</v>
      </c>
      <c r="L1238" t="s">
        <v>6524</v>
      </c>
      <c r="M1238" t="s">
        <v>314</v>
      </c>
      <c r="N1238" t="s">
        <v>773</v>
      </c>
      <c r="O1238" t="s">
        <v>31</v>
      </c>
      <c r="P1238" t="s">
        <v>6525</v>
      </c>
      <c r="Q1238" t="s">
        <v>175</v>
      </c>
      <c r="R1238" s="26" t="s">
        <v>414</v>
      </c>
      <c r="S1238">
        <v>0.5</v>
      </c>
      <c r="T1238">
        <v>5193</v>
      </c>
      <c r="U1238">
        <v>0</v>
      </c>
      <c r="V1238">
        <v>5193</v>
      </c>
    </row>
    <row r="1239" spans="1:22" x14ac:dyDescent="0.3">
      <c r="A1239">
        <v>198256</v>
      </c>
      <c r="B1239">
        <v>456887440</v>
      </c>
      <c r="C1239" t="s">
        <v>6526</v>
      </c>
      <c r="D1239" s="9" t="s">
        <v>6527</v>
      </c>
      <c r="E1239" t="s">
        <v>6523</v>
      </c>
      <c r="F1239" t="s">
        <v>770</v>
      </c>
      <c r="G1239" t="s">
        <v>28</v>
      </c>
      <c r="H1239" t="s">
        <v>29</v>
      </c>
      <c r="I1239" t="s">
        <v>34</v>
      </c>
      <c r="J1239" t="s">
        <v>30</v>
      </c>
      <c r="K1239" t="s">
        <v>27</v>
      </c>
      <c r="L1239" t="s">
        <v>6528</v>
      </c>
      <c r="M1239" t="s">
        <v>6529</v>
      </c>
      <c r="N1239" t="s">
        <v>773</v>
      </c>
      <c r="O1239" t="s">
        <v>31</v>
      </c>
      <c r="P1239" t="s">
        <v>6530</v>
      </c>
      <c r="Q1239" t="s">
        <v>88</v>
      </c>
      <c r="R1239" s="26" t="s">
        <v>173</v>
      </c>
      <c r="S1239">
        <v>0.4</v>
      </c>
      <c r="T1239">
        <v>3935</v>
      </c>
      <c r="U1239">
        <v>0</v>
      </c>
      <c r="V1239">
        <v>3935</v>
      </c>
    </row>
    <row r="1240" spans="1:22" x14ac:dyDescent="0.3">
      <c r="A1240">
        <v>198256</v>
      </c>
      <c r="B1240">
        <v>456786291</v>
      </c>
      <c r="C1240" t="s">
        <v>6531</v>
      </c>
      <c r="D1240" s="9" t="s">
        <v>6532</v>
      </c>
      <c r="E1240" t="s">
        <v>6523</v>
      </c>
      <c r="F1240" t="s">
        <v>770</v>
      </c>
      <c r="G1240" t="s">
        <v>28</v>
      </c>
      <c r="H1240" t="s">
        <v>29</v>
      </c>
      <c r="I1240" t="s">
        <v>34</v>
      </c>
      <c r="J1240" t="s">
        <v>30</v>
      </c>
      <c r="K1240" t="s">
        <v>27</v>
      </c>
      <c r="L1240" t="s">
        <v>6533</v>
      </c>
      <c r="M1240" t="s">
        <v>6534</v>
      </c>
      <c r="N1240" t="s">
        <v>773</v>
      </c>
      <c r="O1240" t="s">
        <v>31</v>
      </c>
      <c r="P1240" t="s">
        <v>6535</v>
      </c>
      <c r="Q1240" t="s">
        <v>68</v>
      </c>
      <c r="R1240" s="26" t="s">
        <v>424</v>
      </c>
      <c r="S1240">
        <v>0.4</v>
      </c>
      <c r="T1240">
        <v>3935</v>
      </c>
      <c r="U1240">
        <v>0</v>
      </c>
      <c r="V1240">
        <v>3935</v>
      </c>
    </row>
    <row r="1241" spans="1:22" x14ac:dyDescent="0.3">
      <c r="A1241">
        <v>198256</v>
      </c>
      <c r="B1241">
        <v>455024608</v>
      </c>
      <c r="C1241" t="s">
        <v>6536</v>
      </c>
      <c r="D1241" s="9" t="s">
        <v>6537</v>
      </c>
      <c r="E1241" t="s">
        <v>6523</v>
      </c>
      <c r="F1241" t="s">
        <v>770</v>
      </c>
      <c r="G1241" t="s">
        <v>49</v>
      </c>
      <c r="H1241" t="s">
        <v>50</v>
      </c>
      <c r="I1241" t="s">
        <v>34</v>
      </c>
      <c r="J1241" t="s">
        <v>155</v>
      </c>
      <c r="K1241" t="s">
        <v>27</v>
      </c>
      <c r="L1241" t="s">
        <v>52</v>
      </c>
      <c r="M1241" t="s">
        <v>452</v>
      </c>
      <c r="N1241" t="s">
        <v>773</v>
      </c>
      <c r="O1241" t="s">
        <v>31</v>
      </c>
      <c r="P1241" t="s">
        <v>6538</v>
      </c>
      <c r="Q1241" t="s">
        <v>159</v>
      </c>
      <c r="R1241" s="26" t="s">
        <v>6539</v>
      </c>
      <c r="S1241">
        <v>1.88</v>
      </c>
      <c r="T1241">
        <v>7370</v>
      </c>
      <c r="U1241">
        <v>0</v>
      </c>
      <c r="V1241">
        <v>7370</v>
      </c>
    </row>
    <row r="1242" spans="1:22" x14ac:dyDescent="0.3">
      <c r="A1242">
        <v>198256</v>
      </c>
      <c r="B1242">
        <v>456786286</v>
      </c>
      <c r="C1242" t="s">
        <v>6540</v>
      </c>
      <c r="D1242" s="9" t="s">
        <v>6541</v>
      </c>
      <c r="E1242" t="s">
        <v>6523</v>
      </c>
      <c r="F1242" t="s">
        <v>770</v>
      </c>
      <c r="G1242" t="s">
        <v>28</v>
      </c>
      <c r="H1242" t="s">
        <v>29</v>
      </c>
      <c r="I1242" t="s">
        <v>34</v>
      </c>
      <c r="J1242" t="s">
        <v>30</v>
      </c>
      <c r="K1242" t="s">
        <v>27</v>
      </c>
      <c r="L1242" t="s">
        <v>6542</v>
      </c>
      <c r="M1242" t="s">
        <v>6543</v>
      </c>
      <c r="N1242" t="s">
        <v>773</v>
      </c>
      <c r="O1242" t="s">
        <v>31</v>
      </c>
      <c r="P1242" t="s">
        <v>6544</v>
      </c>
      <c r="Q1242" t="s">
        <v>88</v>
      </c>
      <c r="R1242" s="26" t="s">
        <v>424</v>
      </c>
      <c r="S1242">
        <v>0.5</v>
      </c>
      <c r="T1242">
        <v>3935</v>
      </c>
      <c r="U1242">
        <v>0</v>
      </c>
      <c r="V1242">
        <v>3935</v>
      </c>
    </row>
    <row r="1243" spans="1:22" x14ac:dyDescent="0.3">
      <c r="A1243">
        <v>198256</v>
      </c>
      <c r="B1243">
        <v>456663928</v>
      </c>
      <c r="C1243" t="s">
        <v>6545</v>
      </c>
      <c r="D1243" s="9" t="s">
        <v>6546</v>
      </c>
      <c r="E1243" t="s">
        <v>6523</v>
      </c>
      <c r="F1243" t="s">
        <v>770</v>
      </c>
      <c r="G1243" t="s">
        <v>28</v>
      </c>
      <c r="H1243" t="s">
        <v>29</v>
      </c>
      <c r="I1243" t="s">
        <v>34</v>
      </c>
      <c r="J1243" t="s">
        <v>30</v>
      </c>
      <c r="K1243" t="s">
        <v>27</v>
      </c>
      <c r="L1243" t="s">
        <v>6547</v>
      </c>
      <c r="M1243" t="s">
        <v>6548</v>
      </c>
      <c r="N1243" t="s">
        <v>773</v>
      </c>
      <c r="O1243" t="s">
        <v>31</v>
      </c>
      <c r="P1243" t="s">
        <v>6549</v>
      </c>
      <c r="Q1243" t="s">
        <v>68</v>
      </c>
      <c r="R1243" s="26" t="s">
        <v>478</v>
      </c>
      <c r="S1243">
        <v>0.4</v>
      </c>
      <c r="T1243">
        <v>3935</v>
      </c>
      <c r="U1243">
        <v>0</v>
      </c>
      <c r="V1243">
        <v>3935</v>
      </c>
    </row>
    <row r="1244" spans="1:22" x14ac:dyDescent="0.3">
      <c r="A1244">
        <v>198256</v>
      </c>
      <c r="B1244">
        <v>456663949</v>
      </c>
      <c r="C1244" t="s">
        <v>6550</v>
      </c>
      <c r="D1244" s="9" t="s">
        <v>6551</v>
      </c>
      <c r="E1244" t="s">
        <v>6523</v>
      </c>
      <c r="F1244" t="s">
        <v>770</v>
      </c>
      <c r="G1244" t="s">
        <v>28</v>
      </c>
      <c r="H1244" t="s">
        <v>29</v>
      </c>
      <c r="I1244" t="s">
        <v>34</v>
      </c>
      <c r="J1244" t="s">
        <v>30</v>
      </c>
      <c r="K1244" t="s">
        <v>27</v>
      </c>
      <c r="L1244" t="s">
        <v>6552</v>
      </c>
      <c r="M1244" t="s">
        <v>682</v>
      </c>
      <c r="N1244" t="s">
        <v>773</v>
      </c>
      <c r="O1244" t="s">
        <v>31</v>
      </c>
      <c r="P1244" t="s">
        <v>6553</v>
      </c>
      <c r="Q1244" t="s">
        <v>144</v>
      </c>
      <c r="R1244" s="26" t="s">
        <v>478</v>
      </c>
      <c r="S1244">
        <v>0.4</v>
      </c>
      <c r="T1244">
        <v>3339</v>
      </c>
      <c r="U1244">
        <v>0</v>
      </c>
      <c r="V1244">
        <v>3339</v>
      </c>
    </row>
    <row r="1245" spans="1:22" x14ac:dyDescent="0.3">
      <c r="A1245">
        <v>198256</v>
      </c>
      <c r="B1245">
        <v>456663901</v>
      </c>
      <c r="C1245" t="s">
        <v>6554</v>
      </c>
      <c r="D1245" s="9" t="s">
        <v>6555</v>
      </c>
      <c r="E1245" t="s">
        <v>6523</v>
      </c>
      <c r="F1245" t="s">
        <v>770</v>
      </c>
      <c r="G1245" t="s">
        <v>28</v>
      </c>
      <c r="H1245" t="s">
        <v>29</v>
      </c>
      <c r="I1245" t="s">
        <v>34</v>
      </c>
      <c r="J1245" t="s">
        <v>30</v>
      </c>
      <c r="K1245" t="s">
        <v>27</v>
      </c>
      <c r="L1245" t="s">
        <v>6556</v>
      </c>
      <c r="M1245" t="s">
        <v>6557</v>
      </c>
      <c r="N1245" t="s">
        <v>773</v>
      </c>
      <c r="O1245" t="s">
        <v>31</v>
      </c>
      <c r="P1245" t="s">
        <v>6558</v>
      </c>
      <c r="Q1245" t="s">
        <v>68</v>
      </c>
      <c r="R1245" s="26" t="s">
        <v>6559</v>
      </c>
      <c r="S1245">
        <v>0.4</v>
      </c>
      <c r="T1245">
        <v>3935</v>
      </c>
      <c r="U1245">
        <v>0</v>
      </c>
      <c r="V1245">
        <v>3935</v>
      </c>
    </row>
    <row r="1246" spans="1:22" x14ac:dyDescent="0.3">
      <c r="A1246">
        <v>198256</v>
      </c>
      <c r="B1246">
        <v>456786290</v>
      </c>
      <c r="C1246" t="s">
        <v>6560</v>
      </c>
      <c r="D1246" s="9" t="s">
        <v>6561</v>
      </c>
      <c r="E1246" t="s">
        <v>6523</v>
      </c>
      <c r="F1246" t="s">
        <v>770</v>
      </c>
      <c r="G1246" t="s">
        <v>28</v>
      </c>
      <c r="H1246" t="s">
        <v>29</v>
      </c>
      <c r="I1246" t="s">
        <v>34</v>
      </c>
      <c r="J1246" t="s">
        <v>30</v>
      </c>
      <c r="K1246" t="s">
        <v>27</v>
      </c>
      <c r="L1246" t="s">
        <v>6562</v>
      </c>
      <c r="M1246" t="s">
        <v>6563</v>
      </c>
      <c r="N1246" t="s">
        <v>773</v>
      </c>
      <c r="O1246" t="s">
        <v>31</v>
      </c>
      <c r="P1246" t="s">
        <v>6564</v>
      </c>
      <c r="Q1246" t="s">
        <v>65</v>
      </c>
      <c r="R1246" s="26" t="s">
        <v>424</v>
      </c>
      <c r="S1246">
        <v>0.3</v>
      </c>
      <c r="T1246">
        <v>3552</v>
      </c>
      <c r="U1246">
        <v>0</v>
      </c>
      <c r="V1246">
        <v>3552</v>
      </c>
    </row>
    <row r="1247" spans="1:22" x14ac:dyDescent="0.3">
      <c r="A1247">
        <v>198256</v>
      </c>
      <c r="B1247">
        <v>456786289</v>
      </c>
      <c r="C1247" t="s">
        <v>6565</v>
      </c>
      <c r="D1247" s="9" t="s">
        <v>6566</v>
      </c>
      <c r="E1247" t="s">
        <v>6523</v>
      </c>
      <c r="F1247" t="s">
        <v>770</v>
      </c>
      <c r="G1247" t="s">
        <v>28</v>
      </c>
      <c r="H1247" t="s">
        <v>29</v>
      </c>
      <c r="I1247" t="s">
        <v>34</v>
      </c>
      <c r="J1247" t="s">
        <v>30</v>
      </c>
      <c r="K1247" t="s">
        <v>27</v>
      </c>
      <c r="L1247" t="s">
        <v>6567</v>
      </c>
      <c r="M1247" t="s">
        <v>676</v>
      </c>
      <c r="N1247" t="s">
        <v>773</v>
      </c>
      <c r="O1247" t="s">
        <v>31</v>
      </c>
      <c r="P1247" t="s">
        <v>6568</v>
      </c>
      <c r="Q1247" t="s">
        <v>125</v>
      </c>
      <c r="R1247" s="26" t="s">
        <v>424</v>
      </c>
      <c r="S1247">
        <v>1.3</v>
      </c>
      <c r="T1247">
        <v>3653</v>
      </c>
      <c r="U1247">
        <v>0</v>
      </c>
      <c r="V1247">
        <v>3653</v>
      </c>
    </row>
    <row r="1248" spans="1:22" x14ac:dyDescent="0.3">
      <c r="A1248">
        <v>198256</v>
      </c>
      <c r="B1248">
        <v>456786287</v>
      </c>
      <c r="C1248" t="s">
        <v>6569</v>
      </c>
      <c r="D1248" s="9" t="s">
        <v>6570</v>
      </c>
      <c r="E1248" t="s">
        <v>6523</v>
      </c>
      <c r="F1248" t="s">
        <v>770</v>
      </c>
      <c r="G1248" t="s">
        <v>28</v>
      </c>
      <c r="H1248" t="s">
        <v>29</v>
      </c>
      <c r="I1248" t="s">
        <v>34</v>
      </c>
      <c r="J1248" t="s">
        <v>30</v>
      </c>
      <c r="K1248" t="s">
        <v>27</v>
      </c>
      <c r="L1248" t="s">
        <v>6571</v>
      </c>
      <c r="M1248" t="s">
        <v>6572</v>
      </c>
      <c r="N1248" t="s">
        <v>773</v>
      </c>
      <c r="O1248" t="s">
        <v>31</v>
      </c>
      <c r="P1248" t="s">
        <v>6573</v>
      </c>
      <c r="Q1248" t="s">
        <v>73</v>
      </c>
      <c r="R1248" s="26" t="s">
        <v>424</v>
      </c>
      <c r="S1248">
        <v>0.5</v>
      </c>
      <c r="T1248">
        <v>3339</v>
      </c>
      <c r="U1248">
        <v>0</v>
      </c>
      <c r="V1248">
        <v>3339</v>
      </c>
    </row>
    <row r="1249" spans="1:22" x14ac:dyDescent="0.3">
      <c r="A1249">
        <v>198256</v>
      </c>
      <c r="B1249">
        <v>456663935</v>
      </c>
      <c r="C1249" t="s">
        <v>6574</v>
      </c>
      <c r="D1249" s="9" t="s">
        <v>6575</v>
      </c>
      <c r="E1249" t="s">
        <v>6523</v>
      </c>
      <c r="F1249" t="s">
        <v>770</v>
      </c>
      <c r="G1249" t="s">
        <v>28</v>
      </c>
      <c r="H1249" t="s">
        <v>29</v>
      </c>
      <c r="I1249" t="s">
        <v>34</v>
      </c>
      <c r="J1249" t="s">
        <v>30</v>
      </c>
      <c r="K1249" t="s">
        <v>27</v>
      </c>
      <c r="L1249" t="s">
        <v>532</v>
      </c>
      <c r="M1249" t="s">
        <v>533</v>
      </c>
      <c r="N1249" t="s">
        <v>773</v>
      </c>
      <c r="O1249" t="s">
        <v>31</v>
      </c>
      <c r="P1249" t="s">
        <v>534</v>
      </c>
      <c r="Q1249" t="s">
        <v>194</v>
      </c>
      <c r="R1249" s="26" t="s">
        <v>478</v>
      </c>
      <c r="S1249">
        <v>0.4</v>
      </c>
      <c r="T1249">
        <v>3552</v>
      </c>
      <c r="U1249">
        <v>0</v>
      </c>
      <c r="V1249">
        <v>3552</v>
      </c>
    </row>
    <row r="1250" spans="1:22" x14ac:dyDescent="0.3">
      <c r="A1250">
        <v>198256</v>
      </c>
      <c r="B1250">
        <v>456663800</v>
      </c>
      <c r="C1250" t="s">
        <v>6576</v>
      </c>
      <c r="D1250" s="9" t="s">
        <v>6577</v>
      </c>
      <c r="E1250" t="s">
        <v>6523</v>
      </c>
      <c r="F1250" t="s">
        <v>770</v>
      </c>
      <c r="G1250" t="s">
        <v>28</v>
      </c>
      <c r="H1250" t="s">
        <v>29</v>
      </c>
      <c r="I1250" t="s">
        <v>34</v>
      </c>
      <c r="J1250" t="s">
        <v>30</v>
      </c>
      <c r="K1250" t="s">
        <v>27</v>
      </c>
      <c r="L1250" t="s">
        <v>6578</v>
      </c>
      <c r="M1250" t="s">
        <v>6579</v>
      </c>
      <c r="N1250" t="s">
        <v>773</v>
      </c>
      <c r="O1250" t="s">
        <v>31</v>
      </c>
      <c r="P1250" t="s">
        <v>6580</v>
      </c>
      <c r="Q1250" t="s">
        <v>224</v>
      </c>
      <c r="R1250" s="26" t="s">
        <v>413</v>
      </c>
      <c r="S1250">
        <v>0.4</v>
      </c>
      <c r="T1250">
        <v>3552</v>
      </c>
      <c r="U1250">
        <v>0</v>
      </c>
      <c r="V1250">
        <v>3552</v>
      </c>
    </row>
    <row r="1251" spans="1:22" x14ac:dyDescent="0.3">
      <c r="A1251">
        <v>198256</v>
      </c>
      <c r="B1251">
        <v>456663943</v>
      </c>
      <c r="C1251" t="s">
        <v>6581</v>
      </c>
      <c r="D1251" s="9" t="s">
        <v>6582</v>
      </c>
      <c r="E1251" t="s">
        <v>6523</v>
      </c>
      <c r="F1251" t="s">
        <v>770</v>
      </c>
      <c r="G1251" t="s">
        <v>28</v>
      </c>
      <c r="H1251" t="s">
        <v>29</v>
      </c>
      <c r="I1251" t="s">
        <v>34</v>
      </c>
      <c r="J1251" t="s">
        <v>30</v>
      </c>
      <c r="K1251" t="s">
        <v>27</v>
      </c>
      <c r="L1251" t="s">
        <v>6583</v>
      </c>
      <c r="M1251" t="s">
        <v>6584</v>
      </c>
      <c r="N1251" t="s">
        <v>773</v>
      </c>
      <c r="O1251" t="s">
        <v>31</v>
      </c>
      <c r="P1251" t="s">
        <v>6585</v>
      </c>
      <c r="Q1251" t="s">
        <v>120</v>
      </c>
      <c r="R1251" s="26" t="s">
        <v>478</v>
      </c>
      <c r="S1251">
        <v>0.3</v>
      </c>
      <c r="T1251">
        <v>3935</v>
      </c>
      <c r="U1251">
        <v>0</v>
      </c>
      <c r="V1251">
        <v>3935</v>
      </c>
    </row>
    <row r="1252" spans="1:22" x14ac:dyDescent="0.3">
      <c r="A1252">
        <v>198256</v>
      </c>
      <c r="B1252">
        <v>456663947</v>
      </c>
      <c r="C1252" t="s">
        <v>6586</v>
      </c>
      <c r="D1252" s="9" t="s">
        <v>6587</v>
      </c>
      <c r="E1252" t="s">
        <v>6523</v>
      </c>
      <c r="F1252" t="s">
        <v>770</v>
      </c>
      <c r="G1252" t="s">
        <v>28</v>
      </c>
      <c r="H1252" t="s">
        <v>29</v>
      </c>
      <c r="I1252" t="s">
        <v>34</v>
      </c>
      <c r="J1252" t="s">
        <v>30</v>
      </c>
      <c r="K1252" t="s">
        <v>27</v>
      </c>
      <c r="L1252" t="s">
        <v>6588</v>
      </c>
      <c r="M1252" t="s">
        <v>6589</v>
      </c>
      <c r="N1252" t="s">
        <v>773</v>
      </c>
      <c r="O1252" t="s">
        <v>31</v>
      </c>
      <c r="P1252" t="s">
        <v>6590</v>
      </c>
      <c r="Q1252" t="s">
        <v>151</v>
      </c>
      <c r="R1252" s="26" t="s">
        <v>478</v>
      </c>
      <c r="S1252">
        <v>0.5</v>
      </c>
      <c r="T1252">
        <v>3193</v>
      </c>
      <c r="U1252">
        <v>0</v>
      </c>
      <c r="V1252">
        <v>3193</v>
      </c>
    </row>
    <row r="1253" spans="1:22" x14ac:dyDescent="0.3">
      <c r="A1253">
        <v>198256</v>
      </c>
      <c r="B1253">
        <v>456786281</v>
      </c>
      <c r="C1253" t="s">
        <v>6591</v>
      </c>
      <c r="D1253" s="9" t="s">
        <v>6592</v>
      </c>
      <c r="E1253" t="s">
        <v>6523</v>
      </c>
      <c r="F1253" t="s">
        <v>770</v>
      </c>
      <c r="G1253" t="s">
        <v>28</v>
      </c>
      <c r="H1253" t="s">
        <v>29</v>
      </c>
      <c r="I1253" t="s">
        <v>34</v>
      </c>
      <c r="J1253" t="s">
        <v>30</v>
      </c>
      <c r="K1253" t="s">
        <v>27</v>
      </c>
      <c r="L1253" t="s">
        <v>6593</v>
      </c>
      <c r="M1253" t="s">
        <v>6594</v>
      </c>
      <c r="N1253" t="s">
        <v>773</v>
      </c>
      <c r="O1253" t="s">
        <v>31</v>
      </c>
      <c r="P1253" t="s">
        <v>6595</v>
      </c>
      <c r="Q1253" t="s">
        <v>143</v>
      </c>
      <c r="R1253" s="26" t="s">
        <v>424</v>
      </c>
      <c r="S1253">
        <v>0.4</v>
      </c>
      <c r="T1253">
        <v>3193</v>
      </c>
      <c r="U1253">
        <v>0</v>
      </c>
      <c r="V1253">
        <v>3193</v>
      </c>
    </row>
    <row r="1254" spans="1:22" x14ac:dyDescent="0.3">
      <c r="A1254">
        <v>198256</v>
      </c>
      <c r="B1254">
        <v>456786273</v>
      </c>
      <c r="C1254" t="s">
        <v>6596</v>
      </c>
      <c r="D1254" s="9" t="s">
        <v>6597</v>
      </c>
      <c r="E1254" t="s">
        <v>6523</v>
      </c>
      <c r="F1254" t="s">
        <v>770</v>
      </c>
      <c r="G1254" t="s">
        <v>28</v>
      </c>
      <c r="H1254" t="s">
        <v>29</v>
      </c>
      <c r="I1254" t="s">
        <v>34</v>
      </c>
      <c r="J1254" t="s">
        <v>30</v>
      </c>
      <c r="K1254" t="s">
        <v>27</v>
      </c>
      <c r="L1254" t="s">
        <v>6598</v>
      </c>
      <c r="M1254" t="s">
        <v>6599</v>
      </c>
      <c r="N1254" t="s">
        <v>773</v>
      </c>
      <c r="O1254" t="s">
        <v>31</v>
      </c>
      <c r="P1254" t="s">
        <v>6600</v>
      </c>
      <c r="Q1254" t="s">
        <v>85</v>
      </c>
      <c r="R1254" s="26" t="s">
        <v>297</v>
      </c>
      <c r="S1254">
        <v>0.5</v>
      </c>
      <c r="T1254">
        <v>3552</v>
      </c>
      <c r="U1254">
        <v>0</v>
      </c>
      <c r="V1254">
        <v>3552</v>
      </c>
    </row>
    <row r="1255" spans="1:22" x14ac:dyDescent="0.3">
      <c r="A1255">
        <v>198256</v>
      </c>
      <c r="B1255">
        <v>456663631</v>
      </c>
      <c r="C1255" t="s">
        <v>6601</v>
      </c>
      <c r="D1255" s="9" t="s">
        <v>6602</v>
      </c>
      <c r="E1255" t="s">
        <v>6523</v>
      </c>
      <c r="F1255" t="s">
        <v>770</v>
      </c>
      <c r="G1255" t="s">
        <v>28</v>
      </c>
      <c r="H1255" t="s">
        <v>29</v>
      </c>
      <c r="I1255" t="s">
        <v>34</v>
      </c>
      <c r="J1255" t="s">
        <v>30</v>
      </c>
      <c r="K1255" t="s">
        <v>27</v>
      </c>
      <c r="L1255" t="s">
        <v>6603</v>
      </c>
      <c r="M1255" t="s">
        <v>6604</v>
      </c>
      <c r="N1255" t="s">
        <v>773</v>
      </c>
      <c r="O1255" t="s">
        <v>31</v>
      </c>
      <c r="P1255" t="s">
        <v>6605</v>
      </c>
      <c r="Q1255" t="s">
        <v>68</v>
      </c>
      <c r="R1255" s="26" t="s">
        <v>274</v>
      </c>
      <c r="S1255">
        <v>0.4</v>
      </c>
      <c r="T1255">
        <v>3935</v>
      </c>
      <c r="U1255">
        <v>0</v>
      </c>
      <c r="V1255">
        <v>3935</v>
      </c>
    </row>
    <row r="1256" spans="1:22" x14ac:dyDescent="0.3">
      <c r="A1256">
        <v>198256</v>
      </c>
      <c r="B1256">
        <v>456663829</v>
      </c>
      <c r="C1256" t="s">
        <v>6606</v>
      </c>
      <c r="D1256" s="9" t="s">
        <v>6607</v>
      </c>
      <c r="E1256" t="s">
        <v>6523</v>
      </c>
      <c r="F1256" t="s">
        <v>770</v>
      </c>
      <c r="G1256" t="s">
        <v>28</v>
      </c>
      <c r="H1256" t="s">
        <v>29</v>
      </c>
      <c r="I1256" t="s">
        <v>34</v>
      </c>
      <c r="J1256" t="s">
        <v>30</v>
      </c>
      <c r="K1256" t="s">
        <v>27</v>
      </c>
      <c r="L1256" t="s">
        <v>6608</v>
      </c>
      <c r="M1256" t="s">
        <v>6609</v>
      </c>
      <c r="N1256" t="s">
        <v>773</v>
      </c>
      <c r="O1256" t="s">
        <v>31</v>
      </c>
      <c r="P1256" t="s">
        <v>6610</v>
      </c>
      <c r="Q1256" t="s">
        <v>81</v>
      </c>
      <c r="R1256" s="26" t="s">
        <v>413</v>
      </c>
      <c r="S1256">
        <v>0.4</v>
      </c>
      <c r="T1256">
        <v>3552</v>
      </c>
      <c r="U1256">
        <v>0</v>
      </c>
      <c r="V1256">
        <v>3552</v>
      </c>
    </row>
    <row r="1257" spans="1:22" x14ac:dyDescent="0.3">
      <c r="A1257">
        <v>198256</v>
      </c>
      <c r="B1257">
        <v>456663786</v>
      </c>
      <c r="C1257" t="s">
        <v>6611</v>
      </c>
      <c r="D1257" s="9" t="s">
        <v>6612</v>
      </c>
      <c r="E1257" t="s">
        <v>6523</v>
      </c>
      <c r="F1257" t="s">
        <v>770</v>
      </c>
      <c r="G1257" t="s">
        <v>28</v>
      </c>
      <c r="H1257" t="s">
        <v>29</v>
      </c>
      <c r="I1257" t="s">
        <v>34</v>
      </c>
      <c r="J1257" t="s">
        <v>30</v>
      </c>
      <c r="K1257" t="s">
        <v>27</v>
      </c>
      <c r="L1257" t="s">
        <v>6613</v>
      </c>
      <c r="M1257" t="s">
        <v>6614</v>
      </c>
      <c r="N1257" t="s">
        <v>773</v>
      </c>
      <c r="O1257" t="s">
        <v>31</v>
      </c>
      <c r="P1257" t="s">
        <v>727</v>
      </c>
      <c r="Q1257" t="s">
        <v>154</v>
      </c>
      <c r="R1257" s="26" t="s">
        <v>413</v>
      </c>
      <c r="S1257">
        <v>0.4</v>
      </c>
      <c r="T1257">
        <v>3552</v>
      </c>
      <c r="U1257">
        <v>0</v>
      </c>
      <c r="V1257">
        <v>3552</v>
      </c>
    </row>
    <row r="1258" spans="1:22" x14ac:dyDescent="0.3">
      <c r="A1258">
        <v>198256</v>
      </c>
      <c r="B1258">
        <v>456663754</v>
      </c>
      <c r="C1258" t="s">
        <v>6615</v>
      </c>
      <c r="D1258" s="9" t="s">
        <v>6616</v>
      </c>
      <c r="E1258" t="s">
        <v>6523</v>
      </c>
      <c r="F1258" t="s">
        <v>770</v>
      </c>
      <c r="G1258" t="s">
        <v>28</v>
      </c>
      <c r="H1258" t="s">
        <v>29</v>
      </c>
      <c r="I1258" t="s">
        <v>34</v>
      </c>
      <c r="J1258" t="s">
        <v>30</v>
      </c>
      <c r="K1258" t="s">
        <v>27</v>
      </c>
      <c r="L1258" t="s">
        <v>6617</v>
      </c>
      <c r="M1258" t="s">
        <v>6618</v>
      </c>
      <c r="N1258" t="s">
        <v>773</v>
      </c>
      <c r="O1258" t="s">
        <v>31</v>
      </c>
      <c r="P1258" t="s">
        <v>6619</v>
      </c>
      <c r="Q1258" t="s">
        <v>69</v>
      </c>
      <c r="R1258" s="26" t="s">
        <v>414</v>
      </c>
      <c r="S1258">
        <v>0.4</v>
      </c>
      <c r="T1258">
        <v>3552</v>
      </c>
      <c r="U1258">
        <v>0</v>
      </c>
      <c r="V1258">
        <v>3552</v>
      </c>
    </row>
    <row r="1259" spans="1:22" x14ac:dyDescent="0.3">
      <c r="A1259">
        <v>198256</v>
      </c>
      <c r="B1259">
        <v>456663944</v>
      </c>
      <c r="C1259" t="s">
        <v>6620</v>
      </c>
      <c r="D1259" s="9" t="s">
        <v>6621</v>
      </c>
      <c r="E1259" t="s">
        <v>6523</v>
      </c>
      <c r="F1259" t="s">
        <v>770</v>
      </c>
      <c r="G1259" t="s">
        <v>28</v>
      </c>
      <c r="H1259" t="s">
        <v>29</v>
      </c>
      <c r="I1259" t="s">
        <v>34</v>
      </c>
      <c r="J1259" t="s">
        <v>30</v>
      </c>
      <c r="K1259" t="s">
        <v>27</v>
      </c>
      <c r="L1259" t="s">
        <v>6622</v>
      </c>
      <c r="M1259" t="s">
        <v>6623</v>
      </c>
      <c r="N1259" t="s">
        <v>773</v>
      </c>
      <c r="O1259" t="s">
        <v>31</v>
      </c>
      <c r="P1259" t="s">
        <v>6624</v>
      </c>
      <c r="Q1259" t="s">
        <v>65</v>
      </c>
      <c r="R1259" s="26" t="s">
        <v>478</v>
      </c>
      <c r="S1259">
        <v>0.3</v>
      </c>
      <c r="T1259">
        <v>3552</v>
      </c>
      <c r="U1259">
        <v>0</v>
      </c>
      <c r="V1259">
        <v>3552</v>
      </c>
    </row>
    <row r="1260" spans="1:22" x14ac:dyDescent="0.3">
      <c r="A1260">
        <v>198256</v>
      </c>
      <c r="B1260">
        <v>456663926</v>
      </c>
      <c r="C1260" t="s">
        <v>6625</v>
      </c>
      <c r="D1260" s="9" t="s">
        <v>6626</v>
      </c>
      <c r="E1260" t="s">
        <v>6523</v>
      </c>
      <c r="F1260" t="s">
        <v>770</v>
      </c>
      <c r="G1260" t="s">
        <v>28</v>
      </c>
      <c r="H1260" t="s">
        <v>29</v>
      </c>
      <c r="I1260" t="s">
        <v>34</v>
      </c>
      <c r="J1260" t="s">
        <v>30</v>
      </c>
      <c r="K1260" t="s">
        <v>27</v>
      </c>
      <c r="L1260" t="s">
        <v>6627</v>
      </c>
      <c r="M1260" t="s">
        <v>6628</v>
      </c>
      <c r="N1260" t="s">
        <v>773</v>
      </c>
      <c r="O1260" t="s">
        <v>31</v>
      </c>
      <c r="P1260" t="s">
        <v>6629</v>
      </c>
      <c r="Q1260" t="s">
        <v>69</v>
      </c>
      <c r="R1260" s="26" t="s">
        <v>478</v>
      </c>
      <c r="S1260">
        <v>0.4</v>
      </c>
      <c r="T1260">
        <v>3552</v>
      </c>
      <c r="U1260">
        <v>0</v>
      </c>
      <c r="V1260">
        <v>3552</v>
      </c>
    </row>
    <row r="1261" spans="1:22" x14ac:dyDescent="0.3">
      <c r="A1261">
        <v>198256</v>
      </c>
      <c r="B1261">
        <v>456663920</v>
      </c>
      <c r="C1261" t="s">
        <v>6630</v>
      </c>
      <c r="D1261" s="9" t="s">
        <v>6631</v>
      </c>
      <c r="E1261" t="s">
        <v>6523</v>
      </c>
      <c r="F1261" t="s">
        <v>770</v>
      </c>
      <c r="G1261" t="s">
        <v>28</v>
      </c>
      <c r="H1261" t="s">
        <v>29</v>
      </c>
      <c r="I1261" t="s">
        <v>34</v>
      </c>
      <c r="J1261" t="s">
        <v>30</v>
      </c>
      <c r="K1261" t="s">
        <v>27</v>
      </c>
      <c r="L1261" t="s">
        <v>6632</v>
      </c>
      <c r="M1261" t="s">
        <v>6633</v>
      </c>
      <c r="N1261" t="s">
        <v>773</v>
      </c>
      <c r="O1261" t="s">
        <v>31</v>
      </c>
      <c r="P1261" t="s">
        <v>6634</v>
      </c>
      <c r="Q1261" t="s">
        <v>171</v>
      </c>
      <c r="R1261" s="26" t="s">
        <v>478</v>
      </c>
      <c r="S1261">
        <v>1.4</v>
      </c>
      <c r="T1261">
        <v>3250</v>
      </c>
      <c r="U1261">
        <v>0</v>
      </c>
      <c r="V1261">
        <v>3250</v>
      </c>
    </row>
    <row r="1262" spans="1:22" x14ac:dyDescent="0.3">
      <c r="A1262">
        <v>198256</v>
      </c>
      <c r="B1262">
        <v>456663790</v>
      </c>
      <c r="C1262" t="s">
        <v>6635</v>
      </c>
      <c r="D1262" s="9" t="s">
        <v>6636</v>
      </c>
      <c r="E1262" t="s">
        <v>6523</v>
      </c>
      <c r="F1262" t="s">
        <v>770</v>
      </c>
      <c r="G1262" t="s">
        <v>28</v>
      </c>
      <c r="H1262" t="s">
        <v>29</v>
      </c>
      <c r="I1262" t="s">
        <v>34</v>
      </c>
      <c r="J1262" t="s">
        <v>30</v>
      </c>
      <c r="K1262" t="s">
        <v>27</v>
      </c>
      <c r="L1262" t="s">
        <v>6637</v>
      </c>
      <c r="M1262" t="s">
        <v>6638</v>
      </c>
      <c r="N1262" t="s">
        <v>773</v>
      </c>
      <c r="O1262" t="s">
        <v>31</v>
      </c>
      <c r="P1262" t="s">
        <v>6639</v>
      </c>
      <c r="Q1262" t="s">
        <v>99</v>
      </c>
      <c r="R1262" s="26" t="s">
        <v>413</v>
      </c>
      <c r="S1262">
        <v>0.4</v>
      </c>
      <c r="T1262">
        <v>3193</v>
      </c>
      <c r="U1262">
        <v>0</v>
      </c>
      <c r="V1262">
        <v>3193</v>
      </c>
    </row>
    <row r="1263" spans="1:22" x14ac:dyDescent="0.3">
      <c r="A1263">
        <v>198256</v>
      </c>
      <c r="B1263">
        <v>456663832</v>
      </c>
      <c r="C1263" t="s">
        <v>6640</v>
      </c>
      <c r="D1263" s="9" t="s">
        <v>6641</v>
      </c>
      <c r="E1263" t="s">
        <v>6523</v>
      </c>
      <c r="F1263" t="s">
        <v>770</v>
      </c>
      <c r="G1263" t="s">
        <v>28</v>
      </c>
      <c r="H1263" t="s">
        <v>29</v>
      </c>
      <c r="I1263" t="s">
        <v>34</v>
      </c>
      <c r="J1263" t="s">
        <v>30</v>
      </c>
      <c r="K1263" t="s">
        <v>27</v>
      </c>
      <c r="L1263" t="s">
        <v>6642</v>
      </c>
      <c r="M1263" t="s">
        <v>6643</v>
      </c>
      <c r="N1263" t="s">
        <v>773</v>
      </c>
      <c r="O1263" t="s">
        <v>31</v>
      </c>
      <c r="P1263" t="s">
        <v>6644</v>
      </c>
      <c r="Q1263" t="s">
        <v>81</v>
      </c>
      <c r="R1263" s="26" t="s">
        <v>413</v>
      </c>
      <c r="S1263">
        <v>0.4</v>
      </c>
      <c r="T1263">
        <v>3552</v>
      </c>
      <c r="U1263">
        <v>0</v>
      </c>
      <c r="V1263">
        <v>3552</v>
      </c>
    </row>
    <row r="1264" spans="1:22" x14ac:dyDescent="0.3">
      <c r="A1264">
        <v>198256</v>
      </c>
      <c r="B1264">
        <v>456663922</v>
      </c>
      <c r="C1264" t="s">
        <v>6645</v>
      </c>
      <c r="D1264" s="9" t="s">
        <v>6646</v>
      </c>
      <c r="E1264" t="s">
        <v>6523</v>
      </c>
      <c r="F1264" t="s">
        <v>770</v>
      </c>
      <c r="G1264" t="s">
        <v>28</v>
      </c>
      <c r="H1264" t="s">
        <v>29</v>
      </c>
      <c r="I1264" t="s">
        <v>34</v>
      </c>
      <c r="J1264" t="s">
        <v>30</v>
      </c>
      <c r="K1264" t="s">
        <v>27</v>
      </c>
      <c r="L1264" t="s">
        <v>6647</v>
      </c>
      <c r="M1264" t="s">
        <v>310</v>
      </c>
      <c r="N1264" t="s">
        <v>773</v>
      </c>
      <c r="O1264" t="s">
        <v>31</v>
      </c>
      <c r="P1264" t="s">
        <v>6648</v>
      </c>
      <c r="Q1264" t="s">
        <v>73</v>
      </c>
      <c r="R1264" s="26" t="s">
        <v>478</v>
      </c>
      <c r="S1264">
        <v>0.3</v>
      </c>
      <c r="T1264">
        <v>3339</v>
      </c>
      <c r="U1264">
        <v>0</v>
      </c>
      <c r="V1264">
        <v>3339</v>
      </c>
    </row>
    <row r="1265" spans="1:22" x14ac:dyDescent="0.3">
      <c r="A1265">
        <v>198256</v>
      </c>
      <c r="B1265">
        <v>456663808</v>
      </c>
      <c r="C1265" t="s">
        <v>6649</v>
      </c>
      <c r="D1265" s="9" t="s">
        <v>6650</v>
      </c>
      <c r="E1265" t="s">
        <v>6523</v>
      </c>
      <c r="F1265" t="s">
        <v>770</v>
      </c>
      <c r="G1265" t="s">
        <v>28</v>
      </c>
      <c r="H1265" t="s">
        <v>29</v>
      </c>
      <c r="I1265" t="s">
        <v>34</v>
      </c>
      <c r="J1265" t="s">
        <v>30</v>
      </c>
      <c r="K1265" t="s">
        <v>27</v>
      </c>
      <c r="L1265" t="s">
        <v>6651</v>
      </c>
      <c r="M1265" t="s">
        <v>6652</v>
      </c>
      <c r="N1265" t="s">
        <v>773</v>
      </c>
      <c r="O1265" t="s">
        <v>31</v>
      </c>
      <c r="P1265" t="s">
        <v>6653</v>
      </c>
      <c r="Q1265" t="s">
        <v>125</v>
      </c>
      <c r="R1265" s="26" t="s">
        <v>413</v>
      </c>
      <c r="S1265">
        <v>0.5</v>
      </c>
      <c r="T1265">
        <v>3339</v>
      </c>
      <c r="U1265">
        <v>0</v>
      </c>
      <c r="V1265">
        <v>3339</v>
      </c>
    </row>
    <row r="1266" spans="1:22" x14ac:dyDescent="0.3">
      <c r="A1266">
        <v>198256</v>
      </c>
      <c r="B1266">
        <v>456663924</v>
      </c>
      <c r="C1266" t="s">
        <v>6654</v>
      </c>
      <c r="D1266" s="9" t="s">
        <v>6655</v>
      </c>
      <c r="E1266" t="s">
        <v>6523</v>
      </c>
      <c r="F1266" t="s">
        <v>770</v>
      </c>
      <c r="G1266" t="s">
        <v>28</v>
      </c>
      <c r="H1266" t="s">
        <v>29</v>
      </c>
      <c r="I1266" t="s">
        <v>34</v>
      </c>
      <c r="J1266" t="s">
        <v>30</v>
      </c>
      <c r="K1266" t="s">
        <v>27</v>
      </c>
      <c r="L1266" t="s">
        <v>6656</v>
      </c>
      <c r="M1266" t="s">
        <v>6657</v>
      </c>
      <c r="N1266" t="s">
        <v>773</v>
      </c>
      <c r="O1266" t="s">
        <v>31</v>
      </c>
      <c r="P1266" t="s">
        <v>6658</v>
      </c>
      <c r="Q1266" t="s">
        <v>62</v>
      </c>
      <c r="R1266" s="26" t="s">
        <v>478</v>
      </c>
      <c r="S1266">
        <v>0.4</v>
      </c>
      <c r="T1266">
        <v>3339</v>
      </c>
      <c r="U1266">
        <v>0</v>
      </c>
      <c r="V1266">
        <v>3339</v>
      </c>
    </row>
    <row r="1267" spans="1:22" x14ac:dyDescent="0.3">
      <c r="A1267">
        <v>198256</v>
      </c>
      <c r="B1267">
        <v>456663787</v>
      </c>
      <c r="C1267" t="s">
        <v>6659</v>
      </c>
      <c r="D1267" s="9" t="s">
        <v>6660</v>
      </c>
      <c r="E1267" t="s">
        <v>6523</v>
      </c>
      <c r="F1267" t="s">
        <v>770</v>
      </c>
      <c r="G1267" t="s">
        <v>28</v>
      </c>
      <c r="H1267" t="s">
        <v>29</v>
      </c>
      <c r="I1267" t="s">
        <v>34</v>
      </c>
      <c r="J1267" t="s">
        <v>30</v>
      </c>
      <c r="K1267" t="s">
        <v>27</v>
      </c>
      <c r="L1267" t="s">
        <v>6661</v>
      </c>
      <c r="M1267" t="s">
        <v>6662</v>
      </c>
      <c r="N1267" t="s">
        <v>773</v>
      </c>
      <c r="O1267" t="s">
        <v>31</v>
      </c>
      <c r="P1267" t="s">
        <v>6663</v>
      </c>
      <c r="Q1267" t="s">
        <v>102</v>
      </c>
      <c r="R1267" s="26" t="s">
        <v>413</v>
      </c>
      <c r="S1267">
        <v>0.6</v>
      </c>
      <c r="T1267">
        <v>3935</v>
      </c>
      <c r="U1267">
        <v>0</v>
      </c>
      <c r="V1267">
        <v>3935</v>
      </c>
    </row>
    <row r="1268" spans="1:22" x14ac:dyDescent="0.3">
      <c r="A1268">
        <v>198256</v>
      </c>
      <c r="B1268">
        <v>456663766</v>
      </c>
      <c r="C1268" t="s">
        <v>6664</v>
      </c>
      <c r="D1268" s="9" t="s">
        <v>6665</v>
      </c>
      <c r="E1268" t="s">
        <v>6523</v>
      </c>
      <c r="F1268" t="s">
        <v>770</v>
      </c>
      <c r="G1268" t="s">
        <v>28</v>
      </c>
      <c r="H1268" t="s">
        <v>29</v>
      </c>
      <c r="I1268" t="s">
        <v>34</v>
      </c>
      <c r="J1268" t="s">
        <v>30</v>
      </c>
      <c r="K1268" t="s">
        <v>27</v>
      </c>
      <c r="L1268" t="s">
        <v>6666</v>
      </c>
      <c r="M1268" t="s">
        <v>6667</v>
      </c>
      <c r="N1268" t="s">
        <v>773</v>
      </c>
      <c r="O1268" t="s">
        <v>31</v>
      </c>
      <c r="P1268" t="s">
        <v>6668</v>
      </c>
      <c r="Q1268" t="s">
        <v>99</v>
      </c>
      <c r="R1268" s="26" t="s">
        <v>414</v>
      </c>
      <c r="S1268">
        <v>0.4</v>
      </c>
      <c r="T1268">
        <v>3193</v>
      </c>
      <c r="U1268">
        <v>0</v>
      </c>
      <c r="V1268">
        <v>3193</v>
      </c>
    </row>
    <row r="1269" spans="1:22" x14ac:dyDescent="0.3">
      <c r="A1269">
        <v>198256</v>
      </c>
      <c r="B1269">
        <v>456663925</v>
      </c>
      <c r="C1269" t="s">
        <v>6669</v>
      </c>
      <c r="D1269" s="9" t="s">
        <v>6670</v>
      </c>
      <c r="E1269" t="s">
        <v>6523</v>
      </c>
      <c r="F1269" t="s">
        <v>770</v>
      </c>
      <c r="G1269" t="s">
        <v>28</v>
      </c>
      <c r="H1269" t="s">
        <v>29</v>
      </c>
      <c r="I1269" t="s">
        <v>34</v>
      </c>
      <c r="J1269" t="s">
        <v>30</v>
      </c>
      <c r="K1269" t="s">
        <v>27</v>
      </c>
      <c r="L1269" t="s">
        <v>6671</v>
      </c>
      <c r="M1269" t="s">
        <v>443</v>
      </c>
      <c r="N1269" t="s">
        <v>773</v>
      </c>
      <c r="O1269" t="s">
        <v>31</v>
      </c>
      <c r="P1269" t="s">
        <v>6672</v>
      </c>
      <c r="Q1269" t="s">
        <v>135</v>
      </c>
      <c r="R1269" s="26" t="s">
        <v>478</v>
      </c>
      <c r="S1269">
        <v>0.4</v>
      </c>
      <c r="T1269">
        <v>3193</v>
      </c>
      <c r="U1269">
        <v>0</v>
      </c>
      <c r="V1269">
        <v>3193</v>
      </c>
    </row>
    <row r="1270" spans="1:22" x14ac:dyDescent="0.3">
      <c r="A1270">
        <v>198256</v>
      </c>
      <c r="B1270">
        <v>456663806</v>
      </c>
      <c r="C1270" t="s">
        <v>6673</v>
      </c>
      <c r="D1270" s="9" t="s">
        <v>6674</v>
      </c>
      <c r="E1270" t="s">
        <v>6523</v>
      </c>
      <c r="F1270" t="s">
        <v>770</v>
      </c>
      <c r="G1270" t="s">
        <v>28</v>
      </c>
      <c r="H1270" t="s">
        <v>29</v>
      </c>
      <c r="I1270" t="s">
        <v>34</v>
      </c>
      <c r="J1270" t="s">
        <v>30</v>
      </c>
      <c r="K1270" t="s">
        <v>27</v>
      </c>
      <c r="L1270" t="s">
        <v>6675</v>
      </c>
      <c r="M1270" t="s">
        <v>6676</v>
      </c>
      <c r="N1270" t="s">
        <v>773</v>
      </c>
      <c r="O1270" t="s">
        <v>31</v>
      </c>
      <c r="P1270" t="s">
        <v>6677</v>
      </c>
      <c r="Q1270" t="s">
        <v>89</v>
      </c>
      <c r="R1270" s="26" t="s">
        <v>413</v>
      </c>
      <c r="S1270">
        <v>0.34</v>
      </c>
      <c r="T1270">
        <v>3193</v>
      </c>
      <c r="U1270">
        <v>0</v>
      </c>
      <c r="V1270">
        <v>3193</v>
      </c>
    </row>
    <row r="1271" spans="1:22" x14ac:dyDescent="0.3">
      <c r="A1271">
        <v>198256</v>
      </c>
      <c r="B1271">
        <v>456663746</v>
      </c>
      <c r="C1271" t="s">
        <v>6678</v>
      </c>
      <c r="D1271" s="9" t="s">
        <v>6679</v>
      </c>
      <c r="E1271" t="s">
        <v>6523</v>
      </c>
      <c r="F1271" t="s">
        <v>770</v>
      </c>
      <c r="G1271" t="s">
        <v>28</v>
      </c>
      <c r="H1271" t="s">
        <v>29</v>
      </c>
      <c r="I1271" t="s">
        <v>34</v>
      </c>
      <c r="J1271" t="s">
        <v>30</v>
      </c>
      <c r="K1271" t="s">
        <v>27</v>
      </c>
      <c r="L1271" t="s">
        <v>6680</v>
      </c>
      <c r="M1271" t="s">
        <v>6681</v>
      </c>
      <c r="N1271" t="s">
        <v>773</v>
      </c>
      <c r="O1271" t="s">
        <v>31</v>
      </c>
      <c r="P1271" t="s">
        <v>6682</v>
      </c>
      <c r="Q1271" t="s">
        <v>118</v>
      </c>
      <c r="R1271" s="26" t="s">
        <v>414</v>
      </c>
      <c r="S1271">
        <v>0.5</v>
      </c>
      <c r="T1271">
        <v>3552</v>
      </c>
      <c r="U1271">
        <v>0</v>
      </c>
      <c r="V1271">
        <v>3552</v>
      </c>
    </row>
    <row r="1272" spans="1:22" x14ac:dyDescent="0.3">
      <c r="A1272">
        <v>198256</v>
      </c>
      <c r="B1272">
        <v>456663900</v>
      </c>
      <c r="C1272" t="s">
        <v>6683</v>
      </c>
      <c r="D1272" s="9" t="s">
        <v>6684</v>
      </c>
      <c r="E1272" t="s">
        <v>6523</v>
      </c>
      <c r="F1272" t="s">
        <v>770</v>
      </c>
      <c r="G1272" t="s">
        <v>28</v>
      </c>
      <c r="H1272" t="s">
        <v>29</v>
      </c>
      <c r="I1272" t="s">
        <v>34</v>
      </c>
      <c r="J1272" t="s">
        <v>30</v>
      </c>
      <c r="K1272" t="s">
        <v>27</v>
      </c>
      <c r="L1272" t="s">
        <v>6685</v>
      </c>
      <c r="M1272" t="s">
        <v>6686</v>
      </c>
      <c r="N1272" t="s">
        <v>773</v>
      </c>
      <c r="O1272" t="s">
        <v>31</v>
      </c>
      <c r="P1272" t="s">
        <v>6687</v>
      </c>
      <c r="Q1272" t="s">
        <v>69</v>
      </c>
      <c r="R1272" s="26" t="s">
        <v>6559</v>
      </c>
      <c r="S1272">
        <v>0.4</v>
      </c>
      <c r="T1272">
        <v>3552</v>
      </c>
      <c r="U1272">
        <v>0</v>
      </c>
      <c r="V1272">
        <v>3552</v>
      </c>
    </row>
    <row r="1273" spans="1:22" x14ac:dyDescent="0.3">
      <c r="A1273">
        <v>198256</v>
      </c>
      <c r="B1273">
        <v>456663635</v>
      </c>
      <c r="C1273" t="s">
        <v>6688</v>
      </c>
      <c r="D1273" s="9" t="s">
        <v>6689</v>
      </c>
      <c r="E1273" t="s">
        <v>6523</v>
      </c>
      <c r="F1273" t="s">
        <v>770</v>
      </c>
      <c r="G1273" t="s">
        <v>28</v>
      </c>
      <c r="H1273" t="s">
        <v>29</v>
      </c>
      <c r="I1273" t="s">
        <v>34</v>
      </c>
      <c r="J1273" t="s">
        <v>30</v>
      </c>
      <c r="K1273" t="s">
        <v>27</v>
      </c>
      <c r="L1273" t="s">
        <v>6690</v>
      </c>
      <c r="M1273" t="s">
        <v>6691</v>
      </c>
      <c r="N1273" t="s">
        <v>773</v>
      </c>
      <c r="O1273" t="s">
        <v>31</v>
      </c>
      <c r="P1273" t="s">
        <v>6692</v>
      </c>
      <c r="Q1273" t="s">
        <v>118</v>
      </c>
      <c r="R1273" s="26" t="s">
        <v>274</v>
      </c>
      <c r="S1273">
        <v>0.5</v>
      </c>
      <c r="T1273">
        <v>3552</v>
      </c>
      <c r="U1273">
        <v>0</v>
      </c>
      <c r="V1273">
        <v>3552</v>
      </c>
    </row>
    <row r="1274" spans="1:22" x14ac:dyDescent="0.3">
      <c r="A1274">
        <v>198256</v>
      </c>
      <c r="B1274">
        <v>456663789</v>
      </c>
      <c r="C1274" t="s">
        <v>6693</v>
      </c>
      <c r="D1274" s="9" t="s">
        <v>6694</v>
      </c>
      <c r="E1274" t="s">
        <v>6523</v>
      </c>
      <c r="F1274" t="s">
        <v>770</v>
      </c>
      <c r="G1274" t="s">
        <v>28</v>
      </c>
      <c r="H1274" t="s">
        <v>29</v>
      </c>
      <c r="I1274" t="s">
        <v>34</v>
      </c>
      <c r="J1274" t="s">
        <v>30</v>
      </c>
      <c r="K1274" t="s">
        <v>27</v>
      </c>
      <c r="L1274" t="s">
        <v>6695</v>
      </c>
      <c r="M1274" t="s">
        <v>6696</v>
      </c>
      <c r="N1274" t="s">
        <v>773</v>
      </c>
      <c r="O1274" t="s">
        <v>31</v>
      </c>
      <c r="P1274" t="s">
        <v>6697</v>
      </c>
      <c r="Q1274" t="s">
        <v>125</v>
      </c>
      <c r="R1274" s="26" t="s">
        <v>413</v>
      </c>
      <c r="S1274">
        <v>0.4</v>
      </c>
      <c r="T1274">
        <v>3339</v>
      </c>
      <c r="U1274">
        <v>0</v>
      </c>
      <c r="V1274">
        <v>3339</v>
      </c>
    </row>
    <row r="1275" spans="1:22" x14ac:dyDescent="0.3">
      <c r="A1275">
        <v>198256</v>
      </c>
      <c r="B1275">
        <v>456663948</v>
      </c>
      <c r="C1275" t="s">
        <v>6698</v>
      </c>
      <c r="D1275" s="9" t="s">
        <v>6699</v>
      </c>
      <c r="E1275" t="s">
        <v>6523</v>
      </c>
      <c r="F1275" t="s">
        <v>770</v>
      </c>
      <c r="G1275" t="s">
        <v>28</v>
      </c>
      <c r="H1275" t="s">
        <v>29</v>
      </c>
      <c r="I1275" t="s">
        <v>34</v>
      </c>
      <c r="J1275" t="s">
        <v>30</v>
      </c>
      <c r="K1275" t="s">
        <v>27</v>
      </c>
      <c r="L1275" t="s">
        <v>6700</v>
      </c>
      <c r="M1275" t="s">
        <v>6701</v>
      </c>
      <c r="N1275" t="s">
        <v>773</v>
      </c>
      <c r="O1275" t="s">
        <v>31</v>
      </c>
      <c r="P1275" t="s">
        <v>6702</v>
      </c>
      <c r="Q1275" t="s">
        <v>108</v>
      </c>
      <c r="R1275" s="26" t="s">
        <v>478</v>
      </c>
      <c r="S1275">
        <v>0.4</v>
      </c>
      <c r="T1275">
        <v>3193</v>
      </c>
      <c r="U1275">
        <v>0</v>
      </c>
      <c r="V1275">
        <v>3193</v>
      </c>
    </row>
    <row r="1276" spans="1:22" x14ac:dyDescent="0.3">
      <c r="A1276">
        <v>198256</v>
      </c>
      <c r="B1276">
        <v>456663747</v>
      </c>
      <c r="C1276" t="s">
        <v>6703</v>
      </c>
      <c r="D1276" s="9" t="s">
        <v>6704</v>
      </c>
      <c r="E1276" t="s">
        <v>6523</v>
      </c>
      <c r="F1276" t="s">
        <v>770</v>
      </c>
      <c r="G1276" t="s">
        <v>28</v>
      </c>
      <c r="H1276" t="s">
        <v>29</v>
      </c>
      <c r="I1276" t="s">
        <v>34</v>
      </c>
      <c r="J1276" t="s">
        <v>30</v>
      </c>
      <c r="K1276" t="s">
        <v>27</v>
      </c>
      <c r="L1276" t="s">
        <v>6705</v>
      </c>
      <c r="M1276" t="s">
        <v>6706</v>
      </c>
      <c r="N1276" t="s">
        <v>773</v>
      </c>
      <c r="O1276" t="s">
        <v>31</v>
      </c>
      <c r="P1276" t="s">
        <v>6707</v>
      </c>
      <c r="Q1276" t="s">
        <v>84</v>
      </c>
      <c r="R1276" s="26" t="s">
        <v>414</v>
      </c>
      <c r="S1276">
        <v>0.4</v>
      </c>
      <c r="T1276">
        <v>3935</v>
      </c>
      <c r="U1276">
        <v>0</v>
      </c>
      <c r="V1276">
        <v>3935</v>
      </c>
    </row>
    <row r="1277" spans="1:22" x14ac:dyDescent="0.3">
      <c r="A1277">
        <v>198256</v>
      </c>
      <c r="B1277">
        <v>455233517</v>
      </c>
      <c r="C1277" t="s">
        <v>6708</v>
      </c>
      <c r="D1277" s="9" t="s">
        <v>6709</v>
      </c>
      <c r="E1277" t="s">
        <v>6523</v>
      </c>
      <c r="F1277" t="s">
        <v>770</v>
      </c>
      <c r="G1277" t="s">
        <v>28</v>
      </c>
      <c r="H1277" t="s">
        <v>29</v>
      </c>
      <c r="I1277" t="s">
        <v>34</v>
      </c>
      <c r="J1277" t="s">
        <v>30</v>
      </c>
      <c r="K1277" t="s">
        <v>27</v>
      </c>
      <c r="L1277" t="s">
        <v>6710</v>
      </c>
      <c r="M1277" t="s">
        <v>563</v>
      </c>
      <c r="N1277" t="s">
        <v>773</v>
      </c>
      <c r="O1277" t="s">
        <v>31</v>
      </c>
      <c r="P1277" t="s">
        <v>6711</v>
      </c>
      <c r="Q1277" t="s">
        <v>88</v>
      </c>
      <c r="R1277" s="26" t="s">
        <v>6712</v>
      </c>
      <c r="S1277">
        <v>0.4</v>
      </c>
      <c r="T1277">
        <v>3935</v>
      </c>
      <c r="U1277">
        <v>0</v>
      </c>
      <c r="V1277">
        <v>3935</v>
      </c>
    </row>
    <row r="1278" spans="1:22" x14ac:dyDescent="0.3">
      <c r="A1278">
        <v>198256</v>
      </c>
      <c r="B1278">
        <v>456663749</v>
      </c>
      <c r="C1278" t="s">
        <v>6713</v>
      </c>
      <c r="D1278" s="9" t="s">
        <v>6714</v>
      </c>
      <c r="E1278" t="s">
        <v>6523</v>
      </c>
      <c r="F1278" t="s">
        <v>770</v>
      </c>
      <c r="G1278" t="s">
        <v>28</v>
      </c>
      <c r="H1278" t="s">
        <v>29</v>
      </c>
      <c r="I1278" t="s">
        <v>34</v>
      </c>
      <c r="J1278" t="s">
        <v>30</v>
      </c>
      <c r="K1278" t="s">
        <v>27</v>
      </c>
      <c r="L1278" t="s">
        <v>3058</v>
      </c>
      <c r="M1278" t="s">
        <v>6715</v>
      </c>
      <c r="N1278" t="s">
        <v>773</v>
      </c>
      <c r="O1278" t="s">
        <v>31</v>
      </c>
      <c r="P1278" t="s">
        <v>6716</v>
      </c>
      <c r="Q1278" t="s">
        <v>88</v>
      </c>
      <c r="R1278" s="26" t="s">
        <v>414</v>
      </c>
      <c r="S1278">
        <v>0.3</v>
      </c>
      <c r="T1278">
        <v>3935</v>
      </c>
      <c r="U1278">
        <v>0</v>
      </c>
      <c r="V1278">
        <v>3935</v>
      </c>
    </row>
    <row r="1279" spans="1:22" x14ac:dyDescent="0.3">
      <c r="A1279">
        <v>198256</v>
      </c>
      <c r="B1279">
        <v>456663751</v>
      </c>
      <c r="C1279" t="s">
        <v>6717</v>
      </c>
      <c r="D1279" s="9" t="s">
        <v>6718</v>
      </c>
      <c r="E1279" t="s">
        <v>6523</v>
      </c>
      <c r="F1279" t="s">
        <v>770</v>
      </c>
      <c r="G1279" t="s">
        <v>28</v>
      </c>
      <c r="H1279" t="s">
        <v>29</v>
      </c>
      <c r="I1279" t="s">
        <v>34</v>
      </c>
      <c r="J1279" t="s">
        <v>30</v>
      </c>
      <c r="K1279" t="s">
        <v>27</v>
      </c>
      <c r="L1279" t="s">
        <v>6719</v>
      </c>
      <c r="M1279" t="s">
        <v>6720</v>
      </c>
      <c r="N1279" t="s">
        <v>773</v>
      </c>
      <c r="O1279" t="s">
        <v>31</v>
      </c>
      <c r="P1279" t="s">
        <v>6721</v>
      </c>
      <c r="Q1279" t="s">
        <v>88</v>
      </c>
      <c r="R1279" s="26" t="s">
        <v>414</v>
      </c>
      <c r="S1279">
        <v>0.5</v>
      </c>
      <c r="T1279">
        <v>3935</v>
      </c>
      <c r="U1279">
        <v>0</v>
      </c>
      <c r="V1279">
        <v>3935</v>
      </c>
    </row>
    <row r="1280" spans="1:22" x14ac:dyDescent="0.3">
      <c r="A1280">
        <v>198256</v>
      </c>
      <c r="B1280">
        <v>456663657</v>
      </c>
      <c r="C1280" t="s">
        <v>6722</v>
      </c>
      <c r="D1280" s="9" t="s">
        <v>6723</v>
      </c>
      <c r="E1280" t="s">
        <v>6523</v>
      </c>
      <c r="F1280" t="s">
        <v>770</v>
      </c>
      <c r="G1280" t="s">
        <v>28</v>
      </c>
      <c r="H1280" t="s">
        <v>29</v>
      </c>
      <c r="I1280" t="s">
        <v>34</v>
      </c>
      <c r="J1280" t="s">
        <v>30</v>
      </c>
      <c r="K1280" t="s">
        <v>27</v>
      </c>
      <c r="L1280" t="s">
        <v>6724</v>
      </c>
      <c r="M1280" t="s">
        <v>6725</v>
      </c>
      <c r="N1280" t="s">
        <v>773</v>
      </c>
      <c r="O1280" t="s">
        <v>31</v>
      </c>
      <c r="P1280" t="s">
        <v>6726</v>
      </c>
      <c r="Q1280" t="s">
        <v>68</v>
      </c>
      <c r="R1280" s="26" t="s">
        <v>274</v>
      </c>
      <c r="S1280">
        <v>0.4</v>
      </c>
      <c r="T1280">
        <v>3935</v>
      </c>
      <c r="U1280">
        <v>0</v>
      </c>
      <c r="V1280">
        <v>3935</v>
      </c>
    </row>
    <row r="1281" spans="1:22" x14ac:dyDescent="0.3">
      <c r="A1281">
        <v>198256</v>
      </c>
      <c r="B1281">
        <v>456663709</v>
      </c>
      <c r="C1281" t="s">
        <v>6727</v>
      </c>
      <c r="D1281" s="9" t="s">
        <v>6728</v>
      </c>
      <c r="E1281" t="s">
        <v>6523</v>
      </c>
      <c r="F1281" t="s">
        <v>770</v>
      </c>
      <c r="G1281" t="s">
        <v>28</v>
      </c>
      <c r="H1281" t="s">
        <v>29</v>
      </c>
      <c r="I1281" t="s">
        <v>34</v>
      </c>
      <c r="J1281" t="s">
        <v>30</v>
      </c>
      <c r="K1281" t="s">
        <v>27</v>
      </c>
      <c r="L1281" t="s">
        <v>6729</v>
      </c>
      <c r="M1281" t="s">
        <v>6730</v>
      </c>
      <c r="N1281" t="s">
        <v>773</v>
      </c>
      <c r="O1281" t="s">
        <v>31</v>
      </c>
      <c r="P1281" t="s">
        <v>6731</v>
      </c>
      <c r="Q1281" t="s">
        <v>160</v>
      </c>
      <c r="R1281" s="26" t="s">
        <v>6732</v>
      </c>
      <c r="S1281">
        <v>1</v>
      </c>
      <c r="T1281">
        <v>3653</v>
      </c>
      <c r="U1281">
        <v>0</v>
      </c>
      <c r="V1281">
        <v>3653</v>
      </c>
    </row>
    <row r="1282" spans="1:22" x14ac:dyDescent="0.3">
      <c r="A1282">
        <v>198256</v>
      </c>
      <c r="B1282">
        <v>456663756</v>
      </c>
      <c r="C1282" t="s">
        <v>6733</v>
      </c>
      <c r="D1282" s="9" t="s">
        <v>6734</v>
      </c>
      <c r="E1282" t="s">
        <v>6523</v>
      </c>
      <c r="F1282" t="s">
        <v>770</v>
      </c>
      <c r="G1282" t="s">
        <v>28</v>
      </c>
      <c r="H1282" t="s">
        <v>29</v>
      </c>
      <c r="I1282" t="s">
        <v>34</v>
      </c>
      <c r="J1282" t="s">
        <v>30</v>
      </c>
      <c r="K1282" t="s">
        <v>27</v>
      </c>
      <c r="L1282" t="s">
        <v>6735</v>
      </c>
      <c r="M1282" t="s">
        <v>648</v>
      </c>
      <c r="N1282" t="s">
        <v>773</v>
      </c>
      <c r="O1282" t="s">
        <v>31</v>
      </c>
      <c r="P1282" t="s">
        <v>6736</v>
      </c>
      <c r="Q1282" t="s">
        <v>81</v>
      </c>
      <c r="R1282" s="26" t="s">
        <v>414</v>
      </c>
      <c r="S1282">
        <v>0.51</v>
      </c>
      <c r="T1282">
        <v>3935</v>
      </c>
      <c r="U1282">
        <v>0</v>
      </c>
      <c r="V1282">
        <v>3935</v>
      </c>
    </row>
    <row r="1283" spans="1:22" x14ac:dyDescent="0.3">
      <c r="A1283">
        <v>198256</v>
      </c>
      <c r="B1283">
        <v>456663702</v>
      </c>
      <c r="C1283" t="s">
        <v>6737</v>
      </c>
      <c r="D1283" s="9" t="s">
        <v>6738</v>
      </c>
      <c r="E1283" t="s">
        <v>6523</v>
      </c>
      <c r="F1283" t="s">
        <v>770</v>
      </c>
      <c r="G1283" t="s">
        <v>28</v>
      </c>
      <c r="H1283" t="s">
        <v>29</v>
      </c>
      <c r="I1283" t="s">
        <v>34</v>
      </c>
      <c r="J1283" t="s">
        <v>30</v>
      </c>
      <c r="K1283" t="s">
        <v>27</v>
      </c>
      <c r="L1283" t="s">
        <v>6739</v>
      </c>
      <c r="M1283" t="s">
        <v>6740</v>
      </c>
      <c r="N1283" t="s">
        <v>773</v>
      </c>
      <c r="O1283" t="s">
        <v>31</v>
      </c>
      <c r="P1283" t="s">
        <v>6741</v>
      </c>
      <c r="Q1283" t="s">
        <v>143</v>
      </c>
      <c r="R1283" s="26" t="s">
        <v>6732</v>
      </c>
      <c r="S1283">
        <v>1</v>
      </c>
      <c r="T1283">
        <v>3250</v>
      </c>
      <c r="U1283">
        <v>0</v>
      </c>
      <c r="V1283">
        <v>3250</v>
      </c>
    </row>
    <row r="1284" spans="1:22" x14ac:dyDescent="0.3">
      <c r="A1284">
        <v>198256</v>
      </c>
      <c r="B1284">
        <v>456663698</v>
      </c>
      <c r="C1284" t="s">
        <v>6742</v>
      </c>
      <c r="D1284" s="9" t="s">
        <v>6743</v>
      </c>
      <c r="E1284" t="s">
        <v>6523</v>
      </c>
      <c r="F1284" t="s">
        <v>770</v>
      </c>
      <c r="G1284" t="s">
        <v>28</v>
      </c>
      <c r="H1284" t="s">
        <v>29</v>
      </c>
      <c r="I1284" t="s">
        <v>34</v>
      </c>
      <c r="J1284" t="s">
        <v>30</v>
      </c>
      <c r="K1284" t="s">
        <v>27</v>
      </c>
      <c r="L1284" t="s">
        <v>6744</v>
      </c>
      <c r="M1284" t="s">
        <v>1308</v>
      </c>
      <c r="N1284" t="s">
        <v>773</v>
      </c>
      <c r="O1284" t="s">
        <v>31</v>
      </c>
      <c r="P1284" t="s">
        <v>6745</v>
      </c>
      <c r="Q1284" t="s">
        <v>73</v>
      </c>
      <c r="R1284" s="26" t="s">
        <v>6732</v>
      </c>
      <c r="S1284">
        <v>1</v>
      </c>
      <c r="T1284">
        <v>3653</v>
      </c>
      <c r="U1284">
        <v>0</v>
      </c>
      <c r="V1284">
        <v>3653</v>
      </c>
    </row>
    <row r="1285" spans="1:22" x14ac:dyDescent="0.3">
      <c r="A1285">
        <v>198256</v>
      </c>
      <c r="B1285">
        <v>456663725</v>
      </c>
      <c r="C1285" t="s">
        <v>6746</v>
      </c>
      <c r="D1285" s="9" t="s">
        <v>6747</v>
      </c>
      <c r="E1285" t="s">
        <v>6523</v>
      </c>
      <c r="F1285" t="s">
        <v>770</v>
      </c>
      <c r="G1285" t="s">
        <v>28</v>
      </c>
      <c r="H1285" t="s">
        <v>29</v>
      </c>
      <c r="I1285" t="s">
        <v>34</v>
      </c>
      <c r="J1285" t="s">
        <v>30</v>
      </c>
      <c r="K1285" t="s">
        <v>27</v>
      </c>
      <c r="L1285" t="s">
        <v>6748</v>
      </c>
      <c r="M1285" t="s">
        <v>6749</v>
      </c>
      <c r="N1285" t="s">
        <v>773</v>
      </c>
      <c r="O1285" t="s">
        <v>31</v>
      </c>
      <c r="P1285" t="s">
        <v>6750</v>
      </c>
      <c r="Q1285" t="s">
        <v>109</v>
      </c>
      <c r="R1285" s="26" t="s">
        <v>6732</v>
      </c>
      <c r="S1285">
        <v>0.4</v>
      </c>
      <c r="T1285">
        <v>3193</v>
      </c>
      <c r="U1285">
        <v>0</v>
      </c>
      <c r="V1285">
        <v>3193</v>
      </c>
    </row>
    <row r="1286" spans="1:22" x14ac:dyDescent="0.3">
      <c r="A1286">
        <v>198256</v>
      </c>
      <c r="B1286">
        <v>456663716</v>
      </c>
      <c r="C1286" t="s">
        <v>6751</v>
      </c>
      <c r="D1286" s="9" t="s">
        <v>6752</v>
      </c>
      <c r="E1286" t="s">
        <v>6523</v>
      </c>
      <c r="F1286" t="s">
        <v>770</v>
      </c>
      <c r="G1286" t="s">
        <v>28</v>
      </c>
      <c r="H1286" t="s">
        <v>29</v>
      </c>
      <c r="I1286" t="s">
        <v>34</v>
      </c>
      <c r="J1286" t="s">
        <v>30</v>
      </c>
      <c r="K1286" t="s">
        <v>27</v>
      </c>
      <c r="L1286" t="s">
        <v>6753</v>
      </c>
      <c r="M1286" t="s">
        <v>6754</v>
      </c>
      <c r="N1286" t="s">
        <v>773</v>
      </c>
      <c r="O1286" t="s">
        <v>31</v>
      </c>
      <c r="P1286" t="s">
        <v>6755</v>
      </c>
      <c r="Q1286" t="s">
        <v>69</v>
      </c>
      <c r="R1286" s="26" t="s">
        <v>6732</v>
      </c>
      <c r="S1286">
        <v>0.4</v>
      </c>
      <c r="T1286">
        <v>3552</v>
      </c>
      <c r="U1286">
        <v>0</v>
      </c>
      <c r="V1286">
        <v>3552</v>
      </c>
    </row>
    <row r="1287" spans="1:22" x14ac:dyDescent="0.3">
      <c r="A1287">
        <v>198256</v>
      </c>
      <c r="B1287">
        <v>456663701</v>
      </c>
      <c r="C1287" t="s">
        <v>6756</v>
      </c>
      <c r="D1287" s="9" t="s">
        <v>6757</v>
      </c>
      <c r="E1287" t="s">
        <v>6523</v>
      </c>
      <c r="F1287" t="s">
        <v>770</v>
      </c>
      <c r="G1287" t="s">
        <v>28</v>
      </c>
      <c r="H1287" t="s">
        <v>29</v>
      </c>
      <c r="I1287" t="s">
        <v>34</v>
      </c>
      <c r="J1287" t="s">
        <v>30</v>
      </c>
      <c r="K1287" t="s">
        <v>27</v>
      </c>
      <c r="L1287" t="s">
        <v>6758</v>
      </c>
      <c r="M1287" t="s">
        <v>395</v>
      </c>
      <c r="N1287" t="s">
        <v>773</v>
      </c>
      <c r="O1287" t="s">
        <v>31</v>
      </c>
      <c r="P1287" t="s">
        <v>6759</v>
      </c>
      <c r="Q1287" t="s">
        <v>81</v>
      </c>
      <c r="R1287" s="26" t="s">
        <v>6732</v>
      </c>
      <c r="S1287">
        <v>0.4</v>
      </c>
      <c r="T1287">
        <v>3552</v>
      </c>
      <c r="U1287">
        <v>0</v>
      </c>
      <c r="V1287">
        <v>3552</v>
      </c>
    </row>
    <row r="1288" spans="1:22" x14ac:dyDescent="0.3">
      <c r="A1288">
        <v>198256</v>
      </c>
      <c r="B1288">
        <v>456663697</v>
      </c>
      <c r="C1288" t="s">
        <v>6760</v>
      </c>
      <c r="D1288" s="9" t="s">
        <v>6761</v>
      </c>
      <c r="E1288" t="s">
        <v>6523</v>
      </c>
      <c r="F1288" t="s">
        <v>770</v>
      </c>
      <c r="G1288" t="s">
        <v>28</v>
      </c>
      <c r="H1288" t="s">
        <v>29</v>
      </c>
      <c r="I1288" t="s">
        <v>34</v>
      </c>
      <c r="J1288" t="s">
        <v>30</v>
      </c>
      <c r="K1288" t="s">
        <v>27</v>
      </c>
      <c r="L1288" t="s">
        <v>6762</v>
      </c>
      <c r="M1288" t="s">
        <v>6763</v>
      </c>
      <c r="N1288" t="s">
        <v>773</v>
      </c>
      <c r="O1288" t="s">
        <v>31</v>
      </c>
      <c r="P1288" t="s">
        <v>6764</v>
      </c>
      <c r="Q1288" t="s">
        <v>165</v>
      </c>
      <c r="R1288" s="26" t="s">
        <v>6732</v>
      </c>
      <c r="S1288">
        <v>0.4</v>
      </c>
      <c r="T1288">
        <v>3339</v>
      </c>
      <c r="U1288">
        <v>0</v>
      </c>
      <c r="V1288">
        <v>3339</v>
      </c>
    </row>
    <row r="1289" spans="1:22" x14ac:dyDescent="0.3">
      <c r="A1289">
        <v>198256</v>
      </c>
      <c r="B1289">
        <v>456663705</v>
      </c>
      <c r="C1289" t="s">
        <v>6765</v>
      </c>
      <c r="D1289" s="9" t="s">
        <v>6766</v>
      </c>
      <c r="E1289" t="s">
        <v>6523</v>
      </c>
      <c r="F1289" t="s">
        <v>770</v>
      </c>
      <c r="G1289" t="s">
        <v>28</v>
      </c>
      <c r="H1289" t="s">
        <v>29</v>
      </c>
      <c r="I1289" t="s">
        <v>34</v>
      </c>
      <c r="J1289" t="s">
        <v>30</v>
      </c>
      <c r="K1289" t="s">
        <v>27</v>
      </c>
      <c r="L1289" t="s">
        <v>6767</v>
      </c>
      <c r="M1289" t="s">
        <v>418</v>
      </c>
      <c r="N1289" t="s">
        <v>773</v>
      </c>
      <c r="O1289" t="s">
        <v>31</v>
      </c>
      <c r="P1289" t="s">
        <v>6768</v>
      </c>
      <c r="Q1289" t="s">
        <v>190</v>
      </c>
      <c r="R1289" s="26" t="s">
        <v>6732</v>
      </c>
      <c r="S1289">
        <v>1</v>
      </c>
      <c r="T1289">
        <v>3250</v>
      </c>
      <c r="U1289">
        <v>0</v>
      </c>
      <c r="V1289">
        <v>3250</v>
      </c>
    </row>
    <row r="1290" spans="1:22" x14ac:dyDescent="0.3">
      <c r="A1290">
        <v>198256</v>
      </c>
      <c r="B1290">
        <v>456663742</v>
      </c>
      <c r="C1290" t="s">
        <v>6769</v>
      </c>
      <c r="D1290" s="9" t="s">
        <v>6770</v>
      </c>
      <c r="E1290" t="s">
        <v>6523</v>
      </c>
      <c r="F1290" t="s">
        <v>770</v>
      </c>
      <c r="G1290" t="s">
        <v>28</v>
      </c>
      <c r="H1290" t="s">
        <v>29</v>
      </c>
      <c r="I1290" t="s">
        <v>34</v>
      </c>
      <c r="J1290" t="s">
        <v>30</v>
      </c>
      <c r="K1290" t="s">
        <v>27</v>
      </c>
      <c r="L1290" t="s">
        <v>6771</v>
      </c>
      <c r="M1290" t="s">
        <v>6772</v>
      </c>
      <c r="N1290" t="s">
        <v>773</v>
      </c>
      <c r="O1290" t="s">
        <v>31</v>
      </c>
      <c r="P1290" t="s">
        <v>6773</v>
      </c>
      <c r="Q1290" t="s">
        <v>143</v>
      </c>
      <c r="R1290" s="26" t="s">
        <v>414</v>
      </c>
      <c r="S1290">
        <v>1</v>
      </c>
      <c r="T1290">
        <v>3250</v>
      </c>
      <c r="U1290">
        <v>0</v>
      </c>
      <c r="V1290">
        <v>3250</v>
      </c>
    </row>
    <row r="1291" spans="1:22" x14ac:dyDescent="0.3">
      <c r="A1291">
        <v>198256</v>
      </c>
      <c r="B1291">
        <v>456663700</v>
      </c>
      <c r="C1291" t="s">
        <v>6774</v>
      </c>
      <c r="D1291" s="9" t="s">
        <v>6775</v>
      </c>
      <c r="E1291" t="s">
        <v>6523</v>
      </c>
      <c r="F1291" t="s">
        <v>770</v>
      </c>
      <c r="G1291" t="s">
        <v>28</v>
      </c>
      <c r="H1291" t="s">
        <v>29</v>
      </c>
      <c r="I1291" t="s">
        <v>34</v>
      </c>
      <c r="J1291" t="s">
        <v>30</v>
      </c>
      <c r="K1291" t="s">
        <v>27</v>
      </c>
      <c r="L1291" t="s">
        <v>6776</v>
      </c>
      <c r="M1291" t="s">
        <v>6777</v>
      </c>
      <c r="N1291" t="s">
        <v>773</v>
      </c>
      <c r="O1291" t="s">
        <v>31</v>
      </c>
      <c r="P1291" t="s">
        <v>6778</v>
      </c>
      <c r="Q1291" t="s">
        <v>85</v>
      </c>
      <c r="R1291" s="26" t="s">
        <v>6732</v>
      </c>
      <c r="S1291">
        <v>1</v>
      </c>
      <c r="T1291">
        <v>3631</v>
      </c>
      <c r="U1291">
        <v>0</v>
      </c>
      <c r="V1291">
        <v>3631</v>
      </c>
    </row>
    <row r="1292" spans="1:22" x14ac:dyDescent="0.3">
      <c r="A1292">
        <v>198256</v>
      </c>
      <c r="B1292">
        <v>456663708</v>
      </c>
      <c r="C1292" t="s">
        <v>6779</v>
      </c>
      <c r="D1292" s="9" t="s">
        <v>6780</v>
      </c>
      <c r="E1292" t="s">
        <v>6523</v>
      </c>
      <c r="F1292" t="s">
        <v>770</v>
      </c>
      <c r="G1292" t="s">
        <v>28</v>
      </c>
      <c r="H1292" t="s">
        <v>29</v>
      </c>
      <c r="I1292" t="s">
        <v>34</v>
      </c>
      <c r="J1292" t="s">
        <v>30</v>
      </c>
      <c r="K1292" t="s">
        <v>27</v>
      </c>
      <c r="L1292" t="s">
        <v>6781</v>
      </c>
      <c r="M1292" t="s">
        <v>6782</v>
      </c>
      <c r="N1292" t="s">
        <v>773</v>
      </c>
      <c r="O1292" t="s">
        <v>31</v>
      </c>
      <c r="P1292" t="s">
        <v>6783</v>
      </c>
      <c r="Q1292" t="s">
        <v>99</v>
      </c>
      <c r="R1292" s="26" t="s">
        <v>6732</v>
      </c>
      <c r="S1292">
        <v>0.4</v>
      </c>
      <c r="T1292">
        <v>3193</v>
      </c>
      <c r="U1292">
        <v>0</v>
      </c>
      <c r="V1292">
        <v>3193</v>
      </c>
    </row>
    <row r="1293" spans="1:22" x14ac:dyDescent="0.3">
      <c r="A1293">
        <v>198256</v>
      </c>
      <c r="B1293">
        <v>456663744</v>
      </c>
      <c r="C1293" t="s">
        <v>6784</v>
      </c>
      <c r="D1293" s="9" t="s">
        <v>6785</v>
      </c>
      <c r="E1293" t="s">
        <v>6523</v>
      </c>
      <c r="F1293" t="s">
        <v>770</v>
      </c>
      <c r="G1293" t="s">
        <v>28</v>
      </c>
      <c r="H1293" t="s">
        <v>29</v>
      </c>
      <c r="I1293" t="s">
        <v>34</v>
      </c>
      <c r="J1293" t="s">
        <v>30</v>
      </c>
      <c r="K1293" t="s">
        <v>27</v>
      </c>
      <c r="L1293" t="s">
        <v>436</v>
      </c>
      <c r="M1293" t="s">
        <v>6786</v>
      </c>
      <c r="N1293" t="s">
        <v>773</v>
      </c>
      <c r="O1293" t="s">
        <v>31</v>
      </c>
      <c r="P1293" t="s">
        <v>6787</v>
      </c>
      <c r="Q1293" t="s">
        <v>94</v>
      </c>
      <c r="R1293" s="26" t="s">
        <v>414</v>
      </c>
      <c r="S1293">
        <v>1</v>
      </c>
      <c r="T1293">
        <v>3935</v>
      </c>
      <c r="U1293">
        <v>0</v>
      </c>
      <c r="V1293">
        <v>3935</v>
      </c>
    </row>
    <row r="1294" spans="1:22" x14ac:dyDescent="0.3">
      <c r="A1294">
        <v>198256</v>
      </c>
      <c r="B1294">
        <v>456663717</v>
      </c>
      <c r="C1294" t="s">
        <v>6788</v>
      </c>
      <c r="D1294" s="9" t="s">
        <v>6789</v>
      </c>
      <c r="E1294" t="s">
        <v>6523</v>
      </c>
      <c r="F1294" t="s">
        <v>770</v>
      </c>
      <c r="G1294" t="s">
        <v>28</v>
      </c>
      <c r="H1294" t="s">
        <v>29</v>
      </c>
      <c r="I1294" t="s">
        <v>34</v>
      </c>
      <c r="J1294" t="s">
        <v>30</v>
      </c>
      <c r="K1294" t="s">
        <v>27</v>
      </c>
      <c r="L1294" t="s">
        <v>6790</v>
      </c>
      <c r="M1294" t="s">
        <v>6791</v>
      </c>
      <c r="N1294" t="s">
        <v>773</v>
      </c>
      <c r="O1294" t="s">
        <v>31</v>
      </c>
      <c r="P1294" t="s">
        <v>6792</v>
      </c>
      <c r="Q1294" t="s">
        <v>65</v>
      </c>
      <c r="R1294" s="26" t="s">
        <v>6732</v>
      </c>
      <c r="S1294">
        <v>1</v>
      </c>
      <c r="T1294">
        <v>3631</v>
      </c>
      <c r="U1294">
        <v>0</v>
      </c>
      <c r="V1294">
        <v>3631</v>
      </c>
    </row>
    <row r="1295" spans="1:22" x14ac:dyDescent="0.3">
      <c r="A1295">
        <v>198256</v>
      </c>
      <c r="B1295">
        <v>456663706</v>
      </c>
      <c r="C1295" t="s">
        <v>6793</v>
      </c>
      <c r="D1295" s="9" t="s">
        <v>6794</v>
      </c>
      <c r="E1295" t="s">
        <v>6523</v>
      </c>
      <c r="F1295" t="s">
        <v>770</v>
      </c>
      <c r="G1295" t="s">
        <v>28</v>
      </c>
      <c r="H1295" t="s">
        <v>29</v>
      </c>
      <c r="I1295" t="s">
        <v>34</v>
      </c>
      <c r="J1295" t="s">
        <v>30</v>
      </c>
      <c r="K1295" t="s">
        <v>27</v>
      </c>
      <c r="L1295" t="s">
        <v>6795</v>
      </c>
      <c r="M1295" t="s">
        <v>6796</v>
      </c>
      <c r="N1295" t="s">
        <v>773</v>
      </c>
      <c r="O1295" t="s">
        <v>31</v>
      </c>
      <c r="P1295" t="s">
        <v>6797</v>
      </c>
      <c r="Q1295" t="s">
        <v>73</v>
      </c>
      <c r="R1295" s="26" t="s">
        <v>6732</v>
      </c>
      <c r="S1295">
        <v>0.4</v>
      </c>
      <c r="T1295">
        <v>3339</v>
      </c>
      <c r="U1295">
        <v>0</v>
      </c>
      <c r="V1295">
        <v>3339</v>
      </c>
    </row>
    <row r="1296" spans="1:22" x14ac:dyDescent="0.3">
      <c r="A1296">
        <v>198256</v>
      </c>
      <c r="B1296">
        <v>456663712</v>
      </c>
      <c r="C1296" t="s">
        <v>6798</v>
      </c>
      <c r="D1296" s="9" t="s">
        <v>6799</v>
      </c>
      <c r="E1296" t="s">
        <v>6523</v>
      </c>
      <c r="F1296" t="s">
        <v>770</v>
      </c>
      <c r="G1296" t="s">
        <v>28</v>
      </c>
      <c r="H1296" t="s">
        <v>29</v>
      </c>
      <c r="I1296" t="s">
        <v>34</v>
      </c>
      <c r="J1296" t="s">
        <v>30</v>
      </c>
      <c r="K1296" t="s">
        <v>27</v>
      </c>
      <c r="L1296" t="s">
        <v>6800</v>
      </c>
      <c r="M1296" t="s">
        <v>6801</v>
      </c>
      <c r="N1296" t="s">
        <v>773</v>
      </c>
      <c r="O1296" t="s">
        <v>31</v>
      </c>
      <c r="P1296" t="s">
        <v>6802</v>
      </c>
      <c r="Q1296" t="s">
        <v>109</v>
      </c>
      <c r="R1296" s="26" t="s">
        <v>6732</v>
      </c>
      <c r="S1296">
        <v>0.4</v>
      </c>
      <c r="T1296">
        <v>3193</v>
      </c>
      <c r="U1296">
        <v>0</v>
      </c>
      <c r="V1296">
        <v>3193</v>
      </c>
    </row>
    <row r="1297" spans="1:22" x14ac:dyDescent="0.3">
      <c r="A1297">
        <v>198256</v>
      </c>
      <c r="B1297">
        <v>456663762</v>
      </c>
      <c r="C1297" t="s">
        <v>6803</v>
      </c>
      <c r="D1297" s="9" t="s">
        <v>6804</v>
      </c>
      <c r="E1297" t="s">
        <v>6523</v>
      </c>
      <c r="F1297" t="s">
        <v>770</v>
      </c>
      <c r="G1297" t="s">
        <v>28</v>
      </c>
      <c r="H1297" t="s">
        <v>29</v>
      </c>
      <c r="I1297" t="s">
        <v>34</v>
      </c>
      <c r="J1297" t="s">
        <v>30</v>
      </c>
      <c r="K1297" t="s">
        <v>27</v>
      </c>
      <c r="L1297" t="s">
        <v>6805</v>
      </c>
      <c r="M1297" t="s">
        <v>6806</v>
      </c>
      <c r="N1297" t="s">
        <v>773</v>
      </c>
      <c r="O1297" t="s">
        <v>31</v>
      </c>
      <c r="P1297" t="s">
        <v>6807</v>
      </c>
      <c r="Q1297" t="s">
        <v>72</v>
      </c>
      <c r="R1297" s="26" t="s">
        <v>414</v>
      </c>
      <c r="S1297">
        <v>1</v>
      </c>
      <c r="T1297">
        <v>3653</v>
      </c>
      <c r="U1297">
        <v>0</v>
      </c>
      <c r="V1297">
        <v>3653</v>
      </c>
    </row>
    <row r="1298" spans="1:22" x14ac:dyDescent="0.3">
      <c r="A1298">
        <v>198256</v>
      </c>
      <c r="B1298">
        <v>455208137</v>
      </c>
      <c r="C1298" t="s">
        <v>6808</v>
      </c>
      <c r="D1298" s="9" t="s">
        <v>6809</v>
      </c>
      <c r="E1298" t="s">
        <v>6523</v>
      </c>
      <c r="F1298" t="s">
        <v>770</v>
      </c>
      <c r="G1298" t="s">
        <v>49</v>
      </c>
      <c r="H1298" t="s">
        <v>50</v>
      </c>
      <c r="I1298" t="s">
        <v>34</v>
      </c>
      <c r="J1298" t="s">
        <v>155</v>
      </c>
      <c r="K1298" t="s">
        <v>27</v>
      </c>
      <c r="L1298" t="s">
        <v>52</v>
      </c>
      <c r="M1298" t="s">
        <v>6810</v>
      </c>
      <c r="N1298" t="s">
        <v>773</v>
      </c>
      <c r="O1298" t="s">
        <v>31</v>
      </c>
      <c r="P1298" t="s">
        <v>6811</v>
      </c>
      <c r="Q1298" t="s">
        <v>187</v>
      </c>
      <c r="R1298" s="26" t="s">
        <v>482</v>
      </c>
      <c r="S1298">
        <v>0.22</v>
      </c>
      <c r="T1298">
        <v>5825</v>
      </c>
      <c r="U1298">
        <v>0</v>
      </c>
      <c r="V1298">
        <v>5825</v>
      </c>
    </row>
    <row r="1299" spans="1:22" x14ac:dyDescent="0.3">
      <c r="A1299">
        <v>198256</v>
      </c>
      <c r="B1299">
        <v>455024610</v>
      </c>
      <c r="C1299" t="s">
        <v>6812</v>
      </c>
      <c r="D1299" s="9" t="s">
        <v>6813</v>
      </c>
      <c r="E1299" t="s">
        <v>6523</v>
      </c>
      <c r="F1299" t="s">
        <v>770</v>
      </c>
      <c r="G1299" t="s">
        <v>28</v>
      </c>
      <c r="H1299" t="s">
        <v>29</v>
      </c>
      <c r="I1299" t="s">
        <v>34</v>
      </c>
      <c r="J1299" t="s">
        <v>30</v>
      </c>
      <c r="K1299" t="s">
        <v>27</v>
      </c>
      <c r="L1299" t="s">
        <v>6814</v>
      </c>
      <c r="M1299" t="s">
        <v>562</v>
      </c>
      <c r="N1299" t="s">
        <v>773</v>
      </c>
      <c r="O1299" t="s">
        <v>31</v>
      </c>
      <c r="P1299" t="s">
        <v>6815</v>
      </c>
      <c r="Q1299" t="s">
        <v>175</v>
      </c>
      <c r="R1299" s="26" t="s">
        <v>6539</v>
      </c>
      <c r="S1299">
        <v>1</v>
      </c>
      <c r="T1299">
        <v>5564</v>
      </c>
      <c r="U1299">
        <v>0</v>
      </c>
      <c r="V1299">
        <v>5564</v>
      </c>
    </row>
    <row r="1300" spans="1:22" x14ac:dyDescent="0.3">
      <c r="A1300">
        <v>198256</v>
      </c>
      <c r="B1300">
        <v>454965947</v>
      </c>
      <c r="C1300" t="s">
        <v>6816</v>
      </c>
      <c r="D1300" s="9" t="s">
        <v>6817</v>
      </c>
      <c r="E1300" t="s">
        <v>6523</v>
      </c>
      <c r="F1300" t="s">
        <v>770</v>
      </c>
      <c r="G1300" t="s">
        <v>28</v>
      </c>
      <c r="H1300" t="s">
        <v>29</v>
      </c>
      <c r="I1300" t="s">
        <v>34</v>
      </c>
      <c r="J1300" t="s">
        <v>30</v>
      </c>
      <c r="K1300" t="s">
        <v>27</v>
      </c>
      <c r="L1300" t="s">
        <v>6818</v>
      </c>
      <c r="M1300" t="s">
        <v>6819</v>
      </c>
      <c r="N1300" t="s">
        <v>773</v>
      </c>
      <c r="O1300" t="s">
        <v>31</v>
      </c>
      <c r="P1300" t="s">
        <v>6820</v>
      </c>
      <c r="Q1300" t="s">
        <v>175</v>
      </c>
      <c r="R1300" s="26" t="s">
        <v>6821</v>
      </c>
      <c r="S1300">
        <v>1</v>
      </c>
      <c r="T1300">
        <v>5564</v>
      </c>
      <c r="U1300">
        <v>0</v>
      </c>
      <c r="V1300">
        <v>5564</v>
      </c>
    </row>
    <row r="1301" spans="1:22" x14ac:dyDescent="0.3">
      <c r="A1301">
        <v>198256</v>
      </c>
      <c r="B1301">
        <v>455208136</v>
      </c>
      <c r="C1301" t="s">
        <v>6822</v>
      </c>
      <c r="D1301" s="9" t="s">
        <v>6823</v>
      </c>
      <c r="E1301" t="s">
        <v>6523</v>
      </c>
      <c r="F1301" t="s">
        <v>770</v>
      </c>
      <c r="G1301" t="s">
        <v>28</v>
      </c>
      <c r="H1301" t="s">
        <v>29</v>
      </c>
      <c r="I1301" t="s">
        <v>34</v>
      </c>
      <c r="J1301" t="s">
        <v>30</v>
      </c>
      <c r="K1301" t="s">
        <v>27</v>
      </c>
      <c r="L1301" t="s">
        <v>6824</v>
      </c>
      <c r="M1301" t="s">
        <v>428</v>
      </c>
      <c r="N1301" t="s">
        <v>773</v>
      </c>
      <c r="O1301" t="s">
        <v>31</v>
      </c>
      <c r="P1301" t="s">
        <v>6825</v>
      </c>
      <c r="Q1301" t="s">
        <v>73</v>
      </c>
      <c r="R1301" s="26" t="s">
        <v>482</v>
      </c>
      <c r="S1301">
        <v>1</v>
      </c>
      <c r="T1301">
        <v>3653</v>
      </c>
      <c r="U1301">
        <v>0</v>
      </c>
      <c r="V1301">
        <v>3653</v>
      </c>
    </row>
    <row r="1302" spans="1:22" x14ac:dyDescent="0.3">
      <c r="A1302">
        <v>198256</v>
      </c>
      <c r="B1302">
        <v>455208142</v>
      </c>
      <c r="C1302" t="s">
        <v>6826</v>
      </c>
      <c r="D1302" s="9" t="s">
        <v>6827</v>
      </c>
      <c r="E1302" t="s">
        <v>6523</v>
      </c>
      <c r="F1302" t="s">
        <v>770</v>
      </c>
      <c r="G1302" t="s">
        <v>28</v>
      </c>
      <c r="H1302" t="s">
        <v>29</v>
      </c>
      <c r="I1302" t="s">
        <v>34</v>
      </c>
      <c r="J1302" t="s">
        <v>30</v>
      </c>
      <c r="K1302" t="s">
        <v>27</v>
      </c>
      <c r="L1302" t="s">
        <v>6828</v>
      </c>
      <c r="M1302" t="s">
        <v>6829</v>
      </c>
      <c r="N1302" t="s">
        <v>773</v>
      </c>
      <c r="O1302" t="s">
        <v>31</v>
      </c>
      <c r="P1302" t="s">
        <v>6830</v>
      </c>
      <c r="Q1302" t="s">
        <v>108</v>
      </c>
      <c r="R1302" s="26" t="s">
        <v>482</v>
      </c>
      <c r="S1302">
        <v>0.3</v>
      </c>
      <c r="T1302">
        <v>3193</v>
      </c>
      <c r="U1302">
        <v>0</v>
      </c>
      <c r="V1302">
        <v>3193</v>
      </c>
    </row>
    <row r="1303" spans="1:22" x14ac:dyDescent="0.3">
      <c r="A1303">
        <v>198256</v>
      </c>
      <c r="B1303">
        <v>455208144</v>
      </c>
      <c r="C1303" t="s">
        <v>6831</v>
      </c>
      <c r="D1303" s="9" t="s">
        <v>6832</v>
      </c>
      <c r="E1303" t="s">
        <v>6523</v>
      </c>
      <c r="F1303" t="s">
        <v>770</v>
      </c>
      <c r="G1303" t="s">
        <v>28</v>
      </c>
      <c r="H1303" t="s">
        <v>29</v>
      </c>
      <c r="I1303" t="s">
        <v>34</v>
      </c>
      <c r="J1303" t="s">
        <v>30</v>
      </c>
      <c r="K1303" t="s">
        <v>27</v>
      </c>
      <c r="L1303" t="s">
        <v>6833</v>
      </c>
      <c r="M1303" t="s">
        <v>6834</v>
      </c>
      <c r="N1303" t="s">
        <v>773</v>
      </c>
      <c r="O1303" t="s">
        <v>31</v>
      </c>
      <c r="P1303" t="s">
        <v>6835</v>
      </c>
      <c r="Q1303" t="s">
        <v>115</v>
      </c>
      <c r="R1303" s="26" t="s">
        <v>482</v>
      </c>
      <c r="S1303">
        <v>1</v>
      </c>
      <c r="T1303">
        <v>3250</v>
      </c>
      <c r="U1303">
        <v>0</v>
      </c>
      <c r="V1303">
        <v>3250</v>
      </c>
    </row>
    <row r="1304" spans="1:22" x14ac:dyDescent="0.3">
      <c r="A1304">
        <v>198256</v>
      </c>
      <c r="B1304">
        <v>456663913</v>
      </c>
      <c r="C1304" t="s">
        <v>6836</v>
      </c>
      <c r="D1304" s="9" t="s">
        <v>6837</v>
      </c>
      <c r="E1304" t="s">
        <v>6523</v>
      </c>
      <c r="F1304" t="s">
        <v>770</v>
      </c>
      <c r="G1304" t="s">
        <v>56</v>
      </c>
      <c r="H1304" t="s">
        <v>57</v>
      </c>
      <c r="I1304" t="s">
        <v>34</v>
      </c>
      <c r="J1304" t="s">
        <v>58</v>
      </c>
      <c r="K1304" t="s">
        <v>27</v>
      </c>
      <c r="L1304" t="s">
        <v>6838</v>
      </c>
      <c r="M1304" t="s">
        <v>6839</v>
      </c>
      <c r="N1304" t="s">
        <v>773</v>
      </c>
      <c r="O1304" t="s">
        <v>31</v>
      </c>
      <c r="P1304" t="s">
        <v>6840</v>
      </c>
      <c r="Q1304" t="s">
        <v>246</v>
      </c>
      <c r="R1304" s="26" t="s">
        <v>478</v>
      </c>
      <c r="S1304">
        <v>0.06</v>
      </c>
      <c r="T1304">
        <v>7085</v>
      </c>
      <c r="U1304">
        <v>149.94999999999999</v>
      </c>
      <c r="V1304">
        <v>7234.95</v>
      </c>
    </row>
    <row r="1305" spans="1:22" x14ac:dyDescent="0.3">
      <c r="A1305">
        <v>198256</v>
      </c>
      <c r="B1305">
        <v>456663711</v>
      </c>
      <c r="C1305" t="s">
        <v>6841</v>
      </c>
      <c r="D1305" s="9" t="s">
        <v>6842</v>
      </c>
      <c r="E1305" t="s">
        <v>6523</v>
      </c>
      <c r="F1305" t="s">
        <v>770</v>
      </c>
      <c r="G1305" t="s">
        <v>56</v>
      </c>
      <c r="H1305" t="s">
        <v>57</v>
      </c>
      <c r="I1305" t="s">
        <v>34</v>
      </c>
      <c r="J1305" t="s">
        <v>58</v>
      </c>
      <c r="K1305" t="s">
        <v>27</v>
      </c>
      <c r="L1305" t="s">
        <v>6843</v>
      </c>
      <c r="M1305" t="s">
        <v>551</v>
      </c>
      <c r="N1305" t="s">
        <v>773</v>
      </c>
      <c r="O1305" t="s">
        <v>31</v>
      </c>
      <c r="P1305" t="s">
        <v>6844</v>
      </c>
      <c r="Q1305" t="s">
        <v>82</v>
      </c>
      <c r="R1305" s="26" t="s">
        <v>6732</v>
      </c>
      <c r="S1305">
        <v>0.03</v>
      </c>
      <c r="T1305">
        <v>3963</v>
      </c>
      <c r="U1305">
        <v>149.94999999999999</v>
      </c>
      <c r="V1305">
        <v>4112.95</v>
      </c>
    </row>
    <row r="1306" spans="1:22" x14ac:dyDescent="0.3">
      <c r="A1306">
        <v>198256</v>
      </c>
      <c r="B1306">
        <v>456663740</v>
      </c>
      <c r="C1306" t="s">
        <v>6845</v>
      </c>
      <c r="D1306" s="9" t="s">
        <v>6846</v>
      </c>
      <c r="E1306" t="s">
        <v>6523</v>
      </c>
      <c r="F1306" t="s">
        <v>770</v>
      </c>
      <c r="G1306" t="s">
        <v>56</v>
      </c>
      <c r="H1306" t="s">
        <v>57</v>
      </c>
      <c r="I1306" t="s">
        <v>34</v>
      </c>
      <c r="J1306" t="s">
        <v>58</v>
      </c>
      <c r="K1306" t="s">
        <v>27</v>
      </c>
      <c r="L1306" t="s">
        <v>6847</v>
      </c>
      <c r="M1306" t="s">
        <v>6848</v>
      </c>
      <c r="N1306" t="s">
        <v>773</v>
      </c>
      <c r="O1306" t="s">
        <v>31</v>
      </c>
      <c r="P1306" t="s">
        <v>6849</v>
      </c>
      <c r="Q1306" t="s">
        <v>96</v>
      </c>
      <c r="R1306" s="26" t="s">
        <v>414</v>
      </c>
      <c r="S1306">
        <v>0.46</v>
      </c>
      <c r="T1306">
        <v>5641</v>
      </c>
      <c r="U1306">
        <v>299.89999999999998</v>
      </c>
      <c r="V1306">
        <v>5940.9</v>
      </c>
    </row>
    <row r="1307" spans="1:22" x14ac:dyDescent="0.3">
      <c r="A1307">
        <v>198256</v>
      </c>
      <c r="B1307">
        <v>454594835</v>
      </c>
      <c r="C1307" t="s">
        <v>6850</v>
      </c>
      <c r="D1307" s="9" t="s">
        <v>6851</v>
      </c>
      <c r="E1307" t="s">
        <v>6523</v>
      </c>
      <c r="F1307" t="s">
        <v>770</v>
      </c>
      <c r="G1307" t="s">
        <v>49</v>
      </c>
      <c r="H1307" t="s">
        <v>50</v>
      </c>
      <c r="I1307" t="s">
        <v>34</v>
      </c>
      <c r="J1307" t="s">
        <v>155</v>
      </c>
      <c r="K1307" t="s">
        <v>27</v>
      </c>
      <c r="L1307" t="s">
        <v>52</v>
      </c>
      <c r="M1307" t="s">
        <v>6852</v>
      </c>
      <c r="N1307" t="s">
        <v>773</v>
      </c>
      <c r="O1307" t="s">
        <v>31</v>
      </c>
      <c r="P1307" t="s">
        <v>6853</v>
      </c>
      <c r="Q1307" t="s">
        <v>397</v>
      </c>
      <c r="R1307" s="26" t="s">
        <v>6854</v>
      </c>
      <c r="S1307">
        <v>0.27</v>
      </c>
      <c r="T1307">
        <v>14463</v>
      </c>
      <c r="U1307">
        <v>0</v>
      </c>
      <c r="V1307">
        <v>14463</v>
      </c>
    </row>
    <row r="1308" spans="1:22" x14ac:dyDescent="0.3">
      <c r="A1308">
        <v>198256</v>
      </c>
      <c r="B1308">
        <v>456663927</v>
      </c>
      <c r="C1308" t="s">
        <v>6855</v>
      </c>
      <c r="D1308" s="9" t="s">
        <v>6856</v>
      </c>
      <c r="E1308" t="s">
        <v>6523</v>
      </c>
      <c r="F1308" t="s">
        <v>770</v>
      </c>
      <c r="G1308" t="s">
        <v>49</v>
      </c>
      <c r="H1308" t="s">
        <v>50</v>
      </c>
      <c r="I1308" t="s">
        <v>34</v>
      </c>
      <c r="J1308" t="s">
        <v>155</v>
      </c>
      <c r="K1308" t="s">
        <v>27</v>
      </c>
      <c r="L1308" t="s">
        <v>52</v>
      </c>
      <c r="M1308" t="s">
        <v>6857</v>
      </c>
      <c r="N1308" t="s">
        <v>773</v>
      </c>
      <c r="O1308" t="s">
        <v>31</v>
      </c>
      <c r="P1308" t="s">
        <v>6858</v>
      </c>
      <c r="Q1308" t="s">
        <v>100</v>
      </c>
      <c r="R1308" s="26" t="s">
        <v>478</v>
      </c>
      <c r="S1308">
        <v>0.22</v>
      </c>
      <c r="T1308">
        <v>5825</v>
      </c>
      <c r="U1308">
        <v>0</v>
      </c>
      <c r="V1308">
        <v>5825</v>
      </c>
    </row>
    <row r="1309" spans="1:22" x14ac:dyDescent="0.3">
      <c r="A1309">
        <v>198256</v>
      </c>
      <c r="B1309">
        <v>456663839</v>
      </c>
      <c r="C1309" t="s">
        <v>6859</v>
      </c>
      <c r="D1309" s="9" t="s">
        <v>6860</v>
      </c>
      <c r="E1309" t="s">
        <v>6523</v>
      </c>
      <c r="F1309" t="s">
        <v>770</v>
      </c>
      <c r="G1309" t="s">
        <v>49</v>
      </c>
      <c r="H1309" t="s">
        <v>50</v>
      </c>
      <c r="I1309" t="s">
        <v>34</v>
      </c>
      <c r="J1309" t="s">
        <v>155</v>
      </c>
      <c r="K1309" t="s">
        <v>27</v>
      </c>
      <c r="L1309" t="s">
        <v>52</v>
      </c>
      <c r="M1309" t="s">
        <v>594</v>
      </c>
      <c r="N1309" t="s">
        <v>773</v>
      </c>
      <c r="O1309" t="s">
        <v>31</v>
      </c>
      <c r="P1309" t="s">
        <v>6861</v>
      </c>
      <c r="Q1309" t="s">
        <v>134</v>
      </c>
      <c r="R1309" s="26" t="s">
        <v>413</v>
      </c>
      <c r="S1309">
        <v>0.28000000000000003</v>
      </c>
      <c r="T1309">
        <v>3927</v>
      </c>
      <c r="U1309">
        <v>0</v>
      </c>
      <c r="V1309">
        <v>3927</v>
      </c>
    </row>
    <row r="1310" spans="1:22" x14ac:dyDescent="0.3">
      <c r="A1310">
        <v>198256</v>
      </c>
      <c r="B1310">
        <v>456663693</v>
      </c>
      <c r="C1310" t="s">
        <v>6862</v>
      </c>
      <c r="D1310" s="9" t="s">
        <v>6863</v>
      </c>
      <c r="E1310" t="s">
        <v>6523</v>
      </c>
      <c r="F1310" t="s">
        <v>770</v>
      </c>
      <c r="G1310" t="s">
        <v>49</v>
      </c>
      <c r="H1310" t="s">
        <v>50</v>
      </c>
      <c r="I1310" t="s">
        <v>34</v>
      </c>
      <c r="J1310" t="s">
        <v>155</v>
      </c>
      <c r="K1310" t="s">
        <v>27</v>
      </c>
      <c r="L1310" t="s">
        <v>52</v>
      </c>
      <c r="M1310" t="s">
        <v>6864</v>
      </c>
      <c r="N1310" t="s">
        <v>773</v>
      </c>
      <c r="O1310" t="s">
        <v>31</v>
      </c>
      <c r="P1310" t="s">
        <v>6865</v>
      </c>
      <c r="Q1310" t="s">
        <v>169</v>
      </c>
      <c r="R1310" s="26" t="s">
        <v>6732</v>
      </c>
      <c r="S1310">
        <v>0.2</v>
      </c>
      <c r="T1310">
        <v>5825</v>
      </c>
      <c r="U1310">
        <v>0</v>
      </c>
      <c r="V1310">
        <v>5825</v>
      </c>
    </row>
    <row r="1311" spans="1:22" x14ac:dyDescent="0.3">
      <c r="A1311">
        <v>198256</v>
      </c>
      <c r="B1311">
        <v>456663644</v>
      </c>
      <c r="C1311" t="s">
        <v>6866</v>
      </c>
      <c r="D1311" s="9" t="s">
        <v>6867</v>
      </c>
      <c r="E1311" t="s">
        <v>6523</v>
      </c>
      <c r="F1311" t="s">
        <v>770</v>
      </c>
      <c r="G1311" t="s">
        <v>49</v>
      </c>
      <c r="H1311" t="s">
        <v>50</v>
      </c>
      <c r="I1311" t="s">
        <v>34</v>
      </c>
      <c r="J1311" t="s">
        <v>155</v>
      </c>
      <c r="K1311" t="s">
        <v>27</v>
      </c>
      <c r="L1311" t="s">
        <v>52</v>
      </c>
      <c r="M1311" t="s">
        <v>608</v>
      </c>
      <c r="N1311" t="s">
        <v>773</v>
      </c>
      <c r="O1311" t="s">
        <v>31</v>
      </c>
      <c r="P1311" t="s">
        <v>6868</v>
      </c>
      <c r="Q1311" t="s">
        <v>184</v>
      </c>
      <c r="R1311" s="26" t="s">
        <v>274</v>
      </c>
      <c r="S1311">
        <v>0.31</v>
      </c>
      <c r="T1311">
        <v>6203</v>
      </c>
      <c r="U1311">
        <v>0</v>
      </c>
      <c r="V1311">
        <v>6203</v>
      </c>
    </row>
    <row r="1312" spans="1:22" x14ac:dyDescent="0.3">
      <c r="A1312">
        <v>198256</v>
      </c>
      <c r="B1312">
        <v>456663640</v>
      </c>
      <c r="C1312" t="s">
        <v>6869</v>
      </c>
      <c r="D1312" s="9" t="s">
        <v>6870</v>
      </c>
      <c r="E1312" t="s">
        <v>6523</v>
      </c>
      <c r="F1312" t="s">
        <v>770</v>
      </c>
      <c r="G1312" t="s">
        <v>49</v>
      </c>
      <c r="H1312" t="s">
        <v>50</v>
      </c>
      <c r="I1312" t="s">
        <v>34</v>
      </c>
      <c r="J1312" t="s">
        <v>155</v>
      </c>
      <c r="K1312" t="s">
        <v>27</v>
      </c>
      <c r="L1312" t="s">
        <v>52</v>
      </c>
      <c r="M1312" t="s">
        <v>6871</v>
      </c>
      <c r="N1312" t="s">
        <v>773</v>
      </c>
      <c r="O1312" t="s">
        <v>31</v>
      </c>
      <c r="P1312" t="s">
        <v>6872</v>
      </c>
      <c r="Q1312" t="s">
        <v>134</v>
      </c>
      <c r="R1312" s="26" t="s">
        <v>274</v>
      </c>
      <c r="S1312">
        <v>0.22</v>
      </c>
      <c r="T1312">
        <v>3927</v>
      </c>
      <c r="U1312">
        <v>0</v>
      </c>
      <c r="V1312">
        <v>3927</v>
      </c>
    </row>
    <row r="1313" spans="1:22" x14ac:dyDescent="0.3">
      <c r="A1313">
        <v>198256</v>
      </c>
      <c r="B1313">
        <v>456663629</v>
      </c>
      <c r="C1313" t="s">
        <v>6873</v>
      </c>
      <c r="D1313" s="9" t="s">
        <v>6874</v>
      </c>
      <c r="E1313" t="s">
        <v>6523</v>
      </c>
      <c r="F1313" t="s">
        <v>770</v>
      </c>
      <c r="G1313" t="s">
        <v>49</v>
      </c>
      <c r="H1313" t="s">
        <v>50</v>
      </c>
      <c r="I1313" t="s">
        <v>34</v>
      </c>
      <c r="J1313" t="s">
        <v>155</v>
      </c>
      <c r="K1313" t="s">
        <v>27</v>
      </c>
      <c r="L1313" t="s">
        <v>52</v>
      </c>
      <c r="M1313" t="s">
        <v>6875</v>
      </c>
      <c r="N1313" t="s">
        <v>773</v>
      </c>
      <c r="O1313" t="s">
        <v>31</v>
      </c>
      <c r="P1313" t="s">
        <v>6876</v>
      </c>
      <c r="Q1313" t="s">
        <v>257</v>
      </c>
      <c r="R1313" s="26" t="s">
        <v>274</v>
      </c>
      <c r="S1313">
        <v>0.22</v>
      </c>
      <c r="T1313">
        <v>6021</v>
      </c>
      <c r="U1313">
        <v>0</v>
      </c>
      <c r="V1313">
        <v>6021</v>
      </c>
    </row>
    <row r="1314" spans="1:22" x14ac:dyDescent="0.3">
      <c r="A1314">
        <v>198256</v>
      </c>
      <c r="B1314">
        <v>456663628</v>
      </c>
      <c r="C1314" t="s">
        <v>6877</v>
      </c>
      <c r="D1314" s="9" t="s">
        <v>6878</v>
      </c>
      <c r="E1314" t="s">
        <v>6523</v>
      </c>
      <c r="F1314" t="s">
        <v>770</v>
      </c>
      <c r="G1314" t="s">
        <v>49</v>
      </c>
      <c r="H1314" t="s">
        <v>50</v>
      </c>
      <c r="I1314" t="s">
        <v>34</v>
      </c>
      <c r="J1314" t="s">
        <v>155</v>
      </c>
      <c r="K1314" t="s">
        <v>27</v>
      </c>
      <c r="L1314" t="s">
        <v>52</v>
      </c>
      <c r="M1314" t="s">
        <v>6879</v>
      </c>
      <c r="N1314" t="s">
        <v>773</v>
      </c>
      <c r="O1314" t="s">
        <v>31</v>
      </c>
      <c r="P1314" t="s">
        <v>6880</v>
      </c>
      <c r="Q1314" t="s">
        <v>187</v>
      </c>
      <c r="R1314" s="26" t="s">
        <v>274</v>
      </c>
      <c r="S1314">
        <v>0.19</v>
      </c>
      <c r="T1314">
        <v>5825</v>
      </c>
      <c r="U1314">
        <v>0</v>
      </c>
      <c r="V1314">
        <v>5825</v>
      </c>
    </row>
    <row r="1315" spans="1:22" x14ac:dyDescent="0.3">
      <c r="A1315">
        <v>197597</v>
      </c>
      <c r="B1315">
        <v>456441349</v>
      </c>
      <c r="C1315" t="s">
        <v>6881</v>
      </c>
      <c r="D1315" s="9" t="s">
        <v>6882</v>
      </c>
      <c r="E1315" t="s">
        <v>6883</v>
      </c>
      <c r="F1315" t="s">
        <v>770</v>
      </c>
      <c r="G1315" t="s">
        <v>28</v>
      </c>
      <c r="H1315" t="s">
        <v>29</v>
      </c>
      <c r="I1315" t="s">
        <v>34</v>
      </c>
      <c r="J1315" t="s">
        <v>150</v>
      </c>
      <c r="K1315" t="s">
        <v>27</v>
      </c>
      <c r="L1315" t="s">
        <v>6884</v>
      </c>
      <c r="M1315" t="s">
        <v>6885</v>
      </c>
      <c r="N1315" t="s">
        <v>773</v>
      </c>
      <c r="O1315" t="s">
        <v>31</v>
      </c>
      <c r="P1315" t="s">
        <v>6886</v>
      </c>
      <c r="Q1315" t="s">
        <v>118</v>
      </c>
      <c r="R1315" s="26" t="s">
        <v>149</v>
      </c>
      <c r="S1315">
        <v>1</v>
      </c>
      <c r="T1315">
        <v>3935</v>
      </c>
      <c r="U1315">
        <v>0</v>
      </c>
      <c r="V1315">
        <v>3935</v>
      </c>
    </row>
    <row r="1316" spans="1:22" x14ac:dyDescent="0.3">
      <c r="A1316">
        <v>8326</v>
      </c>
      <c r="B1316">
        <v>456845615</v>
      </c>
      <c r="C1316" t="s">
        <v>6887</v>
      </c>
      <c r="D1316" s="9" t="s">
        <v>6888</v>
      </c>
      <c r="E1316" t="s">
        <v>6889</v>
      </c>
      <c r="F1316" t="s">
        <v>770</v>
      </c>
      <c r="G1316" t="s">
        <v>28</v>
      </c>
      <c r="H1316" t="s">
        <v>29</v>
      </c>
      <c r="I1316" t="s">
        <v>34</v>
      </c>
      <c r="J1316" t="s">
        <v>150</v>
      </c>
      <c r="K1316" t="s">
        <v>27</v>
      </c>
      <c r="L1316" t="s">
        <v>515</v>
      </c>
      <c r="M1316" t="s">
        <v>6890</v>
      </c>
      <c r="N1316" t="s">
        <v>773</v>
      </c>
      <c r="O1316" t="s">
        <v>31</v>
      </c>
      <c r="P1316" t="s">
        <v>6891</v>
      </c>
      <c r="Q1316" t="s">
        <v>104</v>
      </c>
      <c r="R1316" s="26" t="s">
        <v>511</v>
      </c>
      <c r="S1316">
        <v>1.2</v>
      </c>
      <c r="T1316">
        <v>3631</v>
      </c>
      <c r="U1316">
        <v>0</v>
      </c>
      <c r="V1316">
        <v>3631</v>
      </c>
    </row>
    <row r="1317" spans="1:22" x14ac:dyDescent="0.3">
      <c r="A1317">
        <v>8326</v>
      </c>
      <c r="B1317">
        <v>456811761</v>
      </c>
      <c r="C1317" t="s">
        <v>6892</v>
      </c>
      <c r="D1317" s="9" t="s">
        <v>6893</v>
      </c>
      <c r="E1317" t="s">
        <v>6889</v>
      </c>
      <c r="F1317" t="s">
        <v>770</v>
      </c>
      <c r="G1317" t="s">
        <v>28</v>
      </c>
      <c r="H1317" t="s">
        <v>29</v>
      </c>
      <c r="I1317" t="s">
        <v>34</v>
      </c>
      <c r="J1317" t="s">
        <v>150</v>
      </c>
      <c r="K1317" t="s">
        <v>27</v>
      </c>
      <c r="L1317" t="s">
        <v>517</v>
      </c>
      <c r="M1317" t="s">
        <v>6894</v>
      </c>
      <c r="N1317" t="s">
        <v>773</v>
      </c>
      <c r="O1317" t="s">
        <v>31</v>
      </c>
      <c r="P1317" t="s">
        <v>6895</v>
      </c>
      <c r="Q1317" t="s">
        <v>102</v>
      </c>
      <c r="R1317" s="26" t="s">
        <v>401</v>
      </c>
      <c r="S1317">
        <v>0.6</v>
      </c>
      <c r="T1317">
        <v>3935</v>
      </c>
      <c r="U1317">
        <v>0</v>
      </c>
      <c r="V1317">
        <v>3935</v>
      </c>
    </row>
    <row r="1318" spans="1:22" x14ac:dyDescent="0.3">
      <c r="A1318">
        <v>8326</v>
      </c>
      <c r="B1318">
        <v>456809734</v>
      </c>
      <c r="C1318" t="s">
        <v>6896</v>
      </c>
      <c r="D1318" s="9" t="s">
        <v>6897</v>
      </c>
      <c r="E1318" t="s">
        <v>6889</v>
      </c>
      <c r="F1318" t="s">
        <v>770</v>
      </c>
      <c r="G1318" t="s">
        <v>28</v>
      </c>
      <c r="H1318" t="s">
        <v>29</v>
      </c>
      <c r="I1318" t="s">
        <v>34</v>
      </c>
      <c r="J1318" t="s">
        <v>150</v>
      </c>
      <c r="K1318" t="s">
        <v>27</v>
      </c>
      <c r="L1318" t="s">
        <v>6898</v>
      </c>
      <c r="M1318" t="s">
        <v>640</v>
      </c>
      <c r="N1318" t="s">
        <v>773</v>
      </c>
      <c r="O1318" t="s">
        <v>31</v>
      </c>
      <c r="P1318" t="s">
        <v>6899</v>
      </c>
      <c r="Q1318" t="s">
        <v>101</v>
      </c>
      <c r="R1318" s="26" t="s">
        <v>6900</v>
      </c>
      <c r="S1318">
        <v>2.2000000000000002</v>
      </c>
      <c r="T1318">
        <v>6767</v>
      </c>
      <c r="U1318">
        <v>0</v>
      </c>
      <c r="V1318">
        <v>6767</v>
      </c>
    </row>
    <row r="1319" spans="1:22" x14ac:dyDescent="0.3">
      <c r="A1319">
        <v>8326</v>
      </c>
      <c r="B1319">
        <v>456723929</v>
      </c>
      <c r="C1319" t="s">
        <v>6901</v>
      </c>
      <c r="D1319" s="9" t="s">
        <v>6902</v>
      </c>
      <c r="E1319" t="s">
        <v>6889</v>
      </c>
      <c r="F1319" t="s">
        <v>770</v>
      </c>
      <c r="G1319" t="s">
        <v>28</v>
      </c>
      <c r="H1319" t="s">
        <v>29</v>
      </c>
      <c r="I1319" t="s">
        <v>34</v>
      </c>
      <c r="J1319" t="s">
        <v>150</v>
      </c>
      <c r="K1319" t="s">
        <v>27</v>
      </c>
      <c r="L1319" t="s">
        <v>6903</v>
      </c>
      <c r="M1319" t="s">
        <v>6904</v>
      </c>
      <c r="N1319" t="s">
        <v>773</v>
      </c>
      <c r="O1319" t="s">
        <v>31</v>
      </c>
      <c r="P1319" t="s">
        <v>6905</v>
      </c>
      <c r="Q1319" t="s">
        <v>68</v>
      </c>
      <c r="R1319" s="26" t="s">
        <v>273</v>
      </c>
      <c r="S1319">
        <v>1.4</v>
      </c>
      <c r="T1319">
        <v>5564</v>
      </c>
      <c r="U1319">
        <v>0</v>
      </c>
      <c r="V1319">
        <v>5564</v>
      </c>
    </row>
    <row r="1320" spans="1:22" x14ac:dyDescent="0.3">
      <c r="A1320">
        <v>8326</v>
      </c>
      <c r="B1320">
        <v>456768829</v>
      </c>
      <c r="C1320" t="s">
        <v>6906</v>
      </c>
      <c r="D1320" s="9" t="s">
        <v>6907</v>
      </c>
      <c r="E1320" t="s">
        <v>6889</v>
      </c>
      <c r="F1320" t="s">
        <v>770</v>
      </c>
      <c r="G1320" t="s">
        <v>28</v>
      </c>
      <c r="H1320" t="s">
        <v>29</v>
      </c>
      <c r="I1320" t="s">
        <v>34</v>
      </c>
      <c r="J1320" t="s">
        <v>150</v>
      </c>
      <c r="K1320" t="s">
        <v>27</v>
      </c>
      <c r="L1320" t="s">
        <v>6908</v>
      </c>
      <c r="M1320" t="s">
        <v>230</v>
      </c>
      <c r="N1320" t="s">
        <v>773</v>
      </c>
      <c r="O1320" t="s">
        <v>31</v>
      </c>
      <c r="P1320" t="s">
        <v>6909</v>
      </c>
      <c r="Q1320" t="s">
        <v>135</v>
      </c>
      <c r="R1320" s="26" t="s">
        <v>461</v>
      </c>
      <c r="S1320">
        <v>0.6</v>
      </c>
      <c r="T1320">
        <v>3250</v>
      </c>
      <c r="U1320">
        <v>0</v>
      </c>
      <c r="V1320">
        <v>3250</v>
      </c>
    </row>
    <row r="1321" spans="1:22" x14ac:dyDescent="0.3">
      <c r="A1321">
        <v>8326</v>
      </c>
      <c r="B1321">
        <v>455581161</v>
      </c>
      <c r="C1321" t="s">
        <v>6910</v>
      </c>
      <c r="D1321" s="9" t="s">
        <v>6911</v>
      </c>
      <c r="E1321" t="s">
        <v>6889</v>
      </c>
      <c r="F1321" t="s">
        <v>770</v>
      </c>
      <c r="G1321" t="s">
        <v>28</v>
      </c>
      <c r="H1321" t="s">
        <v>29</v>
      </c>
      <c r="I1321" t="s">
        <v>34</v>
      </c>
      <c r="J1321" t="s">
        <v>150</v>
      </c>
      <c r="K1321" t="s">
        <v>27</v>
      </c>
      <c r="L1321" t="s">
        <v>6912</v>
      </c>
      <c r="M1321" t="s">
        <v>6913</v>
      </c>
      <c r="N1321" t="s">
        <v>773</v>
      </c>
      <c r="O1321" t="s">
        <v>31</v>
      </c>
      <c r="P1321" t="s">
        <v>6914</v>
      </c>
      <c r="Q1321" t="s">
        <v>175</v>
      </c>
      <c r="R1321" s="26" t="s">
        <v>214</v>
      </c>
      <c r="S1321">
        <v>3.6</v>
      </c>
      <c r="T1321">
        <v>7745</v>
      </c>
      <c r="U1321">
        <v>0</v>
      </c>
      <c r="V1321">
        <v>7745</v>
      </c>
    </row>
    <row r="1322" spans="1:22" x14ac:dyDescent="0.3">
      <c r="A1322">
        <v>8326</v>
      </c>
      <c r="B1322">
        <v>456507175</v>
      </c>
      <c r="C1322" t="s">
        <v>6915</v>
      </c>
      <c r="D1322" s="9" t="s">
        <v>6916</v>
      </c>
      <c r="E1322" t="s">
        <v>6889</v>
      </c>
      <c r="F1322" t="s">
        <v>770</v>
      </c>
      <c r="G1322" t="s">
        <v>28</v>
      </c>
      <c r="H1322" t="s">
        <v>29</v>
      </c>
      <c r="I1322" t="s">
        <v>34</v>
      </c>
      <c r="J1322" t="s">
        <v>150</v>
      </c>
      <c r="K1322" t="s">
        <v>27</v>
      </c>
      <c r="L1322" t="s">
        <v>6917</v>
      </c>
      <c r="M1322" t="s">
        <v>6918</v>
      </c>
      <c r="N1322" t="s">
        <v>773</v>
      </c>
      <c r="O1322" t="s">
        <v>31</v>
      </c>
      <c r="P1322" t="s">
        <v>6919</v>
      </c>
      <c r="Q1322" t="s">
        <v>66</v>
      </c>
      <c r="R1322" s="26" t="s">
        <v>744</v>
      </c>
      <c r="S1322">
        <v>0.6</v>
      </c>
      <c r="T1322">
        <v>4946</v>
      </c>
      <c r="U1322">
        <v>0</v>
      </c>
      <c r="V1322">
        <v>4946</v>
      </c>
    </row>
    <row r="1323" spans="1:22" x14ac:dyDescent="0.3">
      <c r="A1323">
        <v>8326</v>
      </c>
      <c r="B1323">
        <v>456440422</v>
      </c>
      <c r="C1323" t="s">
        <v>6920</v>
      </c>
      <c r="D1323" s="9" t="s">
        <v>6921</v>
      </c>
      <c r="E1323" t="s">
        <v>6889</v>
      </c>
      <c r="F1323" t="s">
        <v>770</v>
      </c>
      <c r="G1323" t="s">
        <v>28</v>
      </c>
      <c r="H1323" t="s">
        <v>29</v>
      </c>
      <c r="I1323" t="s">
        <v>34</v>
      </c>
      <c r="J1323" t="s">
        <v>150</v>
      </c>
      <c r="K1323" t="s">
        <v>27</v>
      </c>
      <c r="L1323" t="s">
        <v>6922</v>
      </c>
      <c r="M1323" t="s">
        <v>6923</v>
      </c>
      <c r="N1323" t="s">
        <v>773</v>
      </c>
      <c r="O1323" t="s">
        <v>31</v>
      </c>
      <c r="P1323" t="s">
        <v>6924</v>
      </c>
      <c r="Q1323" t="s">
        <v>69</v>
      </c>
      <c r="R1323" s="26" t="s">
        <v>460</v>
      </c>
      <c r="S1323">
        <v>1</v>
      </c>
      <c r="T1323">
        <v>3935</v>
      </c>
      <c r="U1323">
        <v>0</v>
      </c>
      <c r="V1323">
        <v>3935</v>
      </c>
    </row>
    <row r="1324" spans="1:22" x14ac:dyDescent="0.3">
      <c r="A1324">
        <v>8326</v>
      </c>
      <c r="B1324">
        <v>456308581</v>
      </c>
      <c r="C1324" t="s">
        <v>6925</v>
      </c>
      <c r="D1324" s="9" t="s">
        <v>6926</v>
      </c>
      <c r="E1324" t="s">
        <v>6889</v>
      </c>
      <c r="F1324" t="s">
        <v>770</v>
      </c>
      <c r="G1324" t="s">
        <v>28</v>
      </c>
      <c r="H1324" t="s">
        <v>29</v>
      </c>
      <c r="I1324" t="s">
        <v>34</v>
      </c>
      <c r="J1324" t="s">
        <v>150</v>
      </c>
      <c r="K1324" t="s">
        <v>27</v>
      </c>
      <c r="L1324" t="s">
        <v>545</v>
      </c>
      <c r="M1324" t="s">
        <v>618</v>
      </c>
      <c r="N1324" t="s">
        <v>773</v>
      </c>
      <c r="O1324" t="s">
        <v>31</v>
      </c>
      <c r="P1324" t="s">
        <v>6927</v>
      </c>
      <c r="Q1324" t="s">
        <v>109</v>
      </c>
      <c r="R1324" s="26" t="s">
        <v>416</v>
      </c>
      <c r="S1324">
        <v>11.4</v>
      </c>
      <c r="T1324">
        <v>6183</v>
      </c>
      <c r="U1324">
        <v>0</v>
      </c>
      <c r="V1324">
        <v>6183</v>
      </c>
    </row>
    <row r="1325" spans="1:22" x14ac:dyDescent="0.3">
      <c r="A1325">
        <v>8326</v>
      </c>
      <c r="B1325">
        <v>455997127</v>
      </c>
      <c r="C1325" t="s">
        <v>6928</v>
      </c>
      <c r="D1325" s="9" t="s">
        <v>6929</v>
      </c>
      <c r="E1325" t="s">
        <v>6889</v>
      </c>
      <c r="F1325" t="s">
        <v>770</v>
      </c>
      <c r="G1325" t="s">
        <v>28</v>
      </c>
      <c r="H1325" t="s">
        <v>29</v>
      </c>
      <c r="I1325" t="s">
        <v>34</v>
      </c>
      <c r="J1325" t="s">
        <v>150</v>
      </c>
      <c r="K1325" t="s">
        <v>27</v>
      </c>
      <c r="L1325" t="s">
        <v>6930</v>
      </c>
      <c r="M1325" t="s">
        <v>332</v>
      </c>
      <c r="N1325" t="s">
        <v>773</v>
      </c>
      <c r="O1325" t="s">
        <v>31</v>
      </c>
      <c r="P1325" t="s">
        <v>6931</v>
      </c>
      <c r="Q1325" t="s">
        <v>65</v>
      </c>
      <c r="R1325" s="26" t="s">
        <v>438</v>
      </c>
      <c r="S1325">
        <v>1.1000000000000001</v>
      </c>
      <c r="T1325">
        <v>3631</v>
      </c>
      <c r="U1325">
        <v>0</v>
      </c>
      <c r="V1325">
        <v>3631</v>
      </c>
    </row>
    <row r="1326" spans="1:22" x14ac:dyDescent="0.3">
      <c r="A1326">
        <v>8326</v>
      </c>
      <c r="B1326">
        <v>455709194</v>
      </c>
      <c r="C1326" t="s">
        <v>6932</v>
      </c>
      <c r="D1326" s="9" t="s">
        <v>6933</v>
      </c>
      <c r="E1326" t="s">
        <v>6889</v>
      </c>
      <c r="F1326" t="s">
        <v>770</v>
      </c>
      <c r="G1326" t="s">
        <v>28</v>
      </c>
      <c r="H1326" t="s">
        <v>29</v>
      </c>
      <c r="I1326" t="s">
        <v>34</v>
      </c>
      <c r="J1326" t="s">
        <v>150</v>
      </c>
      <c r="K1326" t="s">
        <v>27</v>
      </c>
      <c r="L1326" t="s">
        <v>6934</v>
      </c>
      <c r="M1326" t="s">
        <v>711</v>
      </c>
      <c r="N1326" t="s">
        <v>773</v>
      </c>
      <c r="O1326" t="s">
        <v>31</v>
      </c>
      <c r="P1326" t="s">
        <v>6935</v>
      </c>
      <c r="Q1326" t="s">
        <v>124</v>
      </c>
      <c r="R1326" s="26" t="s">
        <v>382</v>
      </c>
      <c r="S1326">
        <v>1.1000000000000001</v>
      </c>
      <c r="T1326">
        <v>3935</v>
      </c>
      <c r="U1326">
        <v>0</v>
      </c>
      <c r="V1326">
        <v>3935</v>
      </c>
    </row>
    <row r="1327" spans="1:22" x14ac:dyDescent="0.3">
      <c r="A1327">
        <v>8326</v>
      </c>
      <c r="B1327">
        <v>455415802</v>
      </c>
      <c r="C1327" t="s">
        <v>6936</v>
      </c>
      <c r="D1327" s="9" t="s">
        <v>6937</v>
      </c>
      <c r="E1327" t="s">
        <v>6889</v>
      </c>
      <c r="F1327" t="s">
        <v>770</v>
      </c>
      <c r="G1327" t="s">
        <v>28</v>
      </c>
      <c r="H1327" t="s">
        <v>29</v>
      </c>
      <c r="I1327" t="s">
        <v>34</v>
      </c>
      <c r="J1327" t="s">
        <v>150</v>
      </c>
      <c r="K1327" t="s">
        <v>27</v>
      </c>
      <c r="L1327" t="s">
        <v>6938</v>
      </c>
      <c r="M1327" t="s">
        <v>6939</v>
      </c>
      <c r="N1327" t="s">
        <v>773</v>
      </c>
      <c r="O1327" t="s">
        <v>31</v>
      </c>
      <c r="P1327" t="s">
        <v>6940</v>
      </c>
      <c r="Q1327" t="s">
        <v>252</v>
      </c>
      <c r="R1327" s="26" t="s">
        <v>389</v>
      </c>
      <c r="S1327">
        <v>0.7</v>
      </c>
      <c r="T1327">
        <v>4205</v>
      </c>
      <c r="U1327">
        <v>0</v>
      </c>
      <c r="V1327">
        <v>4205</v>
      </c>
    </row>
    <row r="1328" spans="1:22" x14ac:dyDescent="0.3">
      <c r="A1328">
        <v>8326</v>
      </c>
      <c r="B1328">
        <v>455593847</v>
      </c>
      <c r="C1328" t="s">
        <v>6941</v>
      </c>
      <c r="D1328" s="9" t="s">
        <v>6942</v>
      </c>
      <c r="E1328" t="s">
        <v>6889</v>
      </c>
      <c r="F1328" t="s">
        <v>770</v>
      </c>
      <c r="G1328" t="s">
        <v>28</v>
      </c>
      <c r="H1328" t="s">
        <v>29</v>
      </c>
      <c r="I1328" t="s">
        <v>34</v>
      </c>
      <c r="J1328" t="s">
        <v>150</v>
      </c>
      <c r="K1328" t="s">
        <v>27</v>
      </c>
      <c r="L1328" t="s">
        <v>6943</v>
      </c>
      <c r="M1328" t="s">
        <v>430</v>
      </c>
      <c r="N1328" t="s">
        <v>773</v>
      </c>
      <c r="O1328" t="s">
        <v>31</v>
      </c>
      <c r="P1328" t="s">
        <v>6944</v>
      </c>
      <c r="Q1328" t="s">
        <v>88</v>
      </c>
      <c r="R1328" s="26" t="s">
        <v>351</v>
      </c>
      <c r="S1328">
        <v>1</v>
      </c>
      <c r="T1328">
        <v>5024</v>
      </c>
      <c r="U1328">
        <v>0</v>
      </c>
      <c r="V1328">
        <v>5024</v>
      </c>
    </row>
    <row r="1329" spans="1:22" x14ac:dyDescent="0.3">
      <c r="A1329">
        <v>8326</v>
      </c>
      <c r="B1329">
        <v>455594078</v>
      </c>
      <c r="C1329" t="s">
        <v>6945</v>
      </c>
      <c r="D1329" s="9" t="s">
        <v>6946</v>
      </c>
      <c r="E1329" t="s">
        <v>6889</v>
      </c>
      <c r="F1329" t="s">
        <v>770</v>
      </c>
      <c r="G1329" t="s">
        <v>28</v>
      </c>
      <c r="H1329" t="s">
        <v>29</v>
      </c>
      <c r="I1329" t="s">
        <v>34</v>
      </c>
      <c r="J1329" t="s">
        <v>150</v>
      </c>
      <c r="K1329" t="s">
        <v>27</v>
      </c>
      <c r="L1329" t="s">
        <v>6947</v>
      </c>
      <c r="M1329" t="s">
        <v>6948</v>
      </c>
      <c r="N1329" t="s">
        <v>773</v>
      </c>
      <c r="O1329" t="s">
        <v>31</v>
      </c>
      <c r="P1329" t="s">
        <v>6949</v>
      </c>
      <c r="Q1329" t="s">
        <v>154</v>
      </c>
      <c r="R1329" s="26" t="s">
        <v>487</v>
      </c>
      <c r="S1329">
        <v>0.2</v>
      </c>
      <c r="T1329">
        <v>3552</v>
      </c>
      <c r="U1329">
        <v>0</v>
      </c>
      <c r="V1329">
        <v>3552</v>
      </c>
    </row>
    <row r="1330" spans="1:22" x14ac:dyDescent="0.3">
      <c r="A1330">
        <v>8326</v>
      </c>
      <c r="B1330">
        <v>455578205</v>
      </c>
      <c r="C1330" t="s">
        <v>6950</v>
      </c>
      <c r="D1330" s="9" t="s">
        <v>6951</v>
      </c>
      <c r="E1330" t="s">
        <v>6889</v>
      </c>
      <c r="F1330" t="s">
        <v>770</v>
      </c>
      <c r="G1330" t="s">
        <v>28</v>
      </c>
      <c r="H1330" t="s">
        <v>29</v>
      </c>
      <c r="I1330" t="s">
        <v>34</v>
      </c>
      <c r="J1330" t="s">
        <v>150</v>
      </c>
      <c r="K1330" t="s">
        <v>27</v>
      </c>
      <c r="L1330" t="s">
        <v>6952</v>
      </c>
      <c r="M1330" t="s">
        <v>491</v>
      </c>
      <c r="N1330" t="s">
        <v>773</v>
      </c>
      <c r="O1330" t="s">
        <v>31</v>
      </c>
      <c r="P1330" t="s">
        <v>6953</v>
      </c>
      <c r="Q1330" t="s">
        <v>41</v>
      </c>
      <c r="R1330" s="26" t="s">
        <v>205</v>
      </c>
      <c r="S1330">
        <v>1</v>
      </c>
      <c r="T1330">
        <v>3935</v>
      </c>
      <c r="U1330">
        <v>0</v>
      </c>
      <c r="V1330">
        <v>3935</v>
      </c>
    </row>
    <row r="1331" spans="1:22" x14ac:dyDescent="0.3">
      <c r="A1331">
        <v>8326</v>
      </c>
      <c r="B1331">
        <v>455449002</v>
      </c>
      <c r="C1331" t="s">
        <v>6954</v>
      </c>
      <c r="D1331" s="9" t="s">
        <v>6955</v>
      </c>
      <c r="E1331" t="s">
        <v>6889</v>
      </c>
      <c r="F1331" t="s">
        <v>770</v>
      </c>
      <c r="G1331" t="s">
        <v>28</v>
      </c>
      <c r="H1331" t="s">
        <v>29</v>
      </c>
      <c r="I1331" t="s">
        <v>34</v>
      </c>
      <c r="J1331" t="s">
        <v>150</v>
      </c>
      <c r="K1331" t="s">
        <v>27</v>
      </c>
      <c r="L1331" t="s">
        <v>6956</v>
      </c>
      <c r="M1331" t="s">
        <v>6957</v>
      </c>
      <c r="N1331" t="s">
        <v>773</v>
      </c>
      <c r="O1331" t="s">
        <v>31</v>
      </c>
      <c r="P1331" t="s">
        <v>6958</v>
      </c>
      <c r="Q1331" t="s">
        <v>109</v>
      </c>
      <c r="R1331" s="26" t="s">
        <v>6959</v>
      </c>
      <c r="S1331">
        <v>1.4</v>
      </c>
      <c r="T1331">
        <v>3250</v>
      </c>
      <c r="U1331">
        <v>0</v>
      </c>
      <c r="V1331">
        <v>3250</v>
      </c>
    </row>
    <row r="1332" spans="1:22" x14ac:dyDescent="0.3">
      <c r="A1332">
        <v>8326</v>
      </c>
      <c r="B1332">
        <v>455377159</v>
      </c>
      <c r="C1332" t="s">
        <v>6960</v>
      </c>
      <c r="D1332" s="9" t="s">
        <v>6961</v>
      </c>
      <c r="E1332" t="s">
        <v>6889</v>
      </c>
      <c r="F1332" t="s">
        <v>770</v>
      </c>
      <c r="G1332" t="s">
        <v>28</v>
      </c>
      <c r="H1332" t="s">
        <v>29</v>
      </c>
      <c r="I1332" t="s">
        <v>34</v>
      </c>
      <c r="J1332" t="s">
        <v>150</v>
      </c>
      <c r="K1332" t="s">
        <v>27</v>
      </c>
      <c r="L1332" t="s">
        <v>6962</v>
      </c>
      <c r="M1332" t="s">
        <v>6963</v>
      </c>
      <c r="N1332" t="s">
        <v>773</v>
      </c>
      <c r="O1332" t="s">
        <v>31</v>
      </c>
      <c r="P1332" t="s">
        <v>6964</v>
      </c>
      <c r="Q1332" t="s">
        <v>118</v>
      </c>
      <c r="R1332" s="26" t="s">
        <v>535</v>
      </c>
      <c r="S1332">
        <v>0.8</v>
      </c>
      <c r="T1332">
        <v>3935</v>
      </c>
      <c r="U1332">
        <v>0</v>
      </c>
      <c r="V1332">
        <v>3935</v>
      </c>
    </row>
    <row r="1333" spans="1:22" x14ac:dyDescent="0.3">
      <c r="A1333">
        <v>8326</v>
      </c>
      <c r="B1333">
        <v>455339809</v>
      </c>
      <c r="C1333" t="s">
        <v>6965</v>
      </c>
      <c r="D1333" s="9" t="s">
        <v>6966</v>
      </c>
      <c r="E1333" t="s">
        <v>6889</v>
      </c>
      <c r="F1333" t="s">
        <v>770</v>
      </c>
      <c r="G1333" t="s">
        <v>28</v>
      </c>
      <c r="H1333" t="s">
        <v>29</v>
      </c>
      <c r="I1333" t="s">
        <v>34</v>
      </c>
      <c r="J1333" t="s">
        <v>150</v>
      </c>
      <c r="K1333" t="s">
        <v>27</v>
      </c>
      <c r="L1333" t="s">
        <v>6967</v>
      </c>
      <c r="M1333" t="s">
        <v>712</v>
      </c>
      <c r="N1333" t="s">
        <v>773</v>
      </c>
      <c r="O1333" t="s">
        <v>31</v>
      </c>
      <c r="P1333" t="s">
        <v>6968</v>
      </c>
      <c r="Q1333" t="s">
        <v>88</v>
      </c>
      <c r="R1333" s="26" t="s">
        <v>6969</v>
      </c>
      <c r="S1333">
        <v>1.4</v>
      </c>
      <c r="T1333">
        <v>5024</v>
      </c>
      <c r="U1333">
        <v>0</v>
      </c>
      <c r="V1333">
        <v>5024</v>
      </c>
    </row>
    <row r="1334" spans="1:22" x14ac:dyDescent="0.3">
      <c r="A1334">
        <v>8326</v>
      </c>
      <c r="B1334">
        <v>455340924</v>
      </c>
      <c r="C1334" t="s">
        <v>6970</v>
      </c>
      <c r="D1334" s="9" t="s">
        <v>6971</v>
      </c>
      <c r="E1334" t="s">
        <v>6889</v>
      </c>
      <c r="F1334" t="s">
        <v>770</v>
      </c>
      <c r="G1334" t="s">
        <v>28</v>
      </c>
      <c r="H1334" t="s">
        <v>29</v>
      </c>
      <c r="I1334" t="s">
        <v>34</v>
      </c>
      <c r="J1334" t="s">
        <v>150</v>
      </c>
      <c r="K1334" t="s">
        <v>27</v>
      </c>
      <c r="L1334" t="s">
        <v>6972</v>
      </c>
      <c r="M1334" t="s">
        <v>6973</v>
      </c>
      <c r="N1334" t="s">
        <v>773</v>
      </c>
      <c r="O1334" t="s">
        <v>31</v>
      </c>
      <c r="P1334" t="s">
        <v>6974</v>
      </c>
      <c r="Q1334" t="s">
        <v>340</v>
      </c>
      <c r="R1334" s="26" t="s">
        <v>290</v>
      </c>
      <c r="S1334">
        <v>1</v>
      </c>
      <c r="T1334">
        <v>6767</v>
      </c>
      <c r="U1334">
        <v>0</v>
      </c>
      <c r="V1334">
        <v>6767</v>
      </c>
    </row>
    <row r="1335" spans="1:22" x14ac:dyDescent="0.3">
      <c r="A1335">
        <v>8326</v>
      </c>
      <c r="B1335">
        <v>455345585</v>
      </c>
      <c r="C1335" t="s">
        <v>6975</v>
      </c>
      <c r="D1335" s="9" t="s">
        <v>6976</v>
      </c>
      <c r="E1335" t="s">
        <v>6889</v>
      </c>
      <c r="F1335" t="s">
        <v>770</v>
      </c>
      <c r="G1335" t="s">
        <v>28</v>
      </c>
      <c r="H1335" t="s">
        <v>29</v>
      </c>
      <c r="I1335" t="s">
        <v>34</v>
      </c>
      <c r="J1335" t="s">
        <v>150</v>
      </c>
      <c r="K1335" t="s">
        <v>27</v>
      </c>
      <c r="L1335" t="s">
        <v>6977</v>
      </c>
      <c r="M1335" t="s">
        <v>6978</v>
      </c>
      <c r="N1335" t="s">
        <v>773</v>
      </c>
      <c r="O1335" t="s">
        <v>31</v>
      </c>
      <c r="P1335" t="s">
        <v>6979</v>
      </c>
      <c r="Q1335" t="s">
        <v>73</v>
      </c>
      <c r="R1335" s="26" t="s">
        <v>6980</v>
      </c>
      <c r="S1335">
        <v>0.5</v>
      </c>
      <c r="T1335">
        <v>3339</v>
      </c>
      <c r="U1335">
        <v>0</v>
      </c>
      <c r="V1335">
        <v>3339</v>
      </c>
    </row>
    <row r="1336" spans="1:22" x14ac:dyDescent="0.3">
      <c r="A1336">
        <v>8326</v>
      </c>
      <c r="B1336">
        <v>455323380</v>
      </c>
      <c r="C1336" t="s">
        <v>6981</v>
      </c>
      <c r="D1336" s="9" t="s">
        <v>6982</v>
      </c>
      <c r="E1336" t="s">
        <v>6889</v>
      </c>
      <c r="F1336" t="s">
        <v>770</v>
      </c>
      <c r="G1336" t="s">
        <v>28</v>
      </c>
      <c r="H1336" t="s">
        <v>29</v>
      </c>
      <c r="I1336" t="s">
        <v>34</v>
      </c>
      <c r="J1336" t="s">
        <v>150</v>
      </c>
      <c r="K1336" t="s">
        <v>27</v>
      </c>
      <c r="L1336" t="s">
        <v>6983</v>
      </c>
      <c r="M1336" t="s">
        <v>6984</v>
      </c>
      <c r="N1336" t="s">
        <v>773</v>
      </c>
      <c r="O1336" t="s">
        <v>31</v>
      </c>
      <c r="P1336" t="s">
        <v>6985</v>
      </c>
      <c r="Q1336" t="s">
        <v>62</v>
      </c>
      <c r="R1336" s="26" t="s">
        <v>472</v>
      </c>
      <c r="S1336">
        <v>1.3</v>
      </c>
      <c r="T1336">
        <v>3384</v>
      </c>
      <c r="U1336">
        <v>0</v>
      </c>
      <c r="V1336">
        <v>3384</v>
      </c>
    </row>
    <row r="1337" spans="1:22" x14ac:dyDescent="0.3">
      <c r="A1337">
        <v>8326</v>
      </c>
      <c r="B1337">
        <v>455092246</v>
      </c>
      <c r="C1337" t="s">
        <v>6986</v>
      </c>
      <c r="D1337" s="9" t="s">
        <v>6987</v>
      </c>
      <c r="E1337" t="s">
        <v>6889</v>
      </c>
      <c r="F1337" t="s">
        <v>770</v>
      </c>
      <c r="G1337" t="s">
        <v>28</v>
      </c>
      <c r="H1337" t="s">
        <v>29</v>
      </c>
      <c r="I1337" t="s">
        <v>34</v>
      </c>
      <c r="J1337" t="s">
        <v>150</v>
      </c>
      <c r="K1337" t="s">
        <v>27</v>
      </c>
      <c r="L1337" t="s">
        <v>6988</v>
      </c>
      <c r="M1337" t="s">
        <v>6989</v>
      </c>
      <c r="N1337" t="s">
        <v>773</v>
      </c>
      <c r="O1337" t="s">
        <v>31</v>
      </c>
      <c r="P1337" t="s">
        <v>6990</v>
      </c>
      <c r="Q1337" t="s">
        <v>344</v>
      </c>
      <c r="R1337" s="26" t="s">
        <v>6991</v>
      </c>
      <c r="S1337">
        <v>0.8</v>
      </c>
      <c r="T1337">
        <v>7306</v>
      </c>
      <c r="U1337">
        <v>0</v>
      </c>
      <c r="V1337">
        <v>7306</v>
      </c>
    </row>
    <row r="1338" spans="1:22" x14ac:dyDescent="0.3">
      <c r="A1338">
        <v>8326</v>
      </c>
      <c r="B1338">
        <v>455277035</v>
      </c>
      <c r="C1338" t="s">
        <v>6992</v>
      </c>
      <c r="D1338" s="9" t="s">
        <v>6993</v>
      </c>
      <c r="E1338" t="s">
        <v>6889</v>
      </c>
      <c r="F1338" t="s">
        <v>770</v>
      </c>
      <c r="G1338" t="s">
        <v>28</v>
      </c>
      <c r="H1338" t="s">
        <v>29</v>
      </c>
      <c r="I1338" t="s">
        <v>34</v>
      </c>
      <c r="J1338" t="s">
        <v>150</v>
      </c>
      <c r="K1338" t="s">
        <v>27</v>
      </c>
      <c r="L1338" t="s">
        <v>6994</v>
      </c>
      <c r="M1338" t="s">
        <v>6995</v>
      </c>
      <c r="N1338" t="s">
        <v>773</v>
      </c>
      <c r="O1338" t="s">
        <v>31</v>
      </c>
      <c r="P1338" t="s">
        <v>6996</v>
      </c>
      <c r="Q1338" t="s">
        <v>97</v>
      </c>
      <c r="R1338" s="26" t="s">
        <v>6997</v>
      </c>
      <c r="S1338">
        <v>1</v>
      </c>
      <c r="T1338">
        <v>3631</v>
      </c>
      <c r="U1338">
        <v>0</v>
      </c>
      <c r="V1338">
        <v>3631</v>
      </c>
    </row>
    <row r="1339" spans="1:22" x14ac:dyDescent="0.3">
      <c r="A1339">
        <v>8326</v>
      </c>
      <c r="B1339">
        <v>455248092</v>
      </c>
      <c r="C1339" t="s">
        <v>6998</v>
      </c>
      <c r="D1339" s="9" t="s">
        <v>6999</v>
      </c>
      <c r="E1339" t="s">
        <v>6889</v>
      </c>
      <c r="F1339" t="s">
        <v>770</v>
      </c>
      <c r="G1339" t="s">
        <v>28</v>
      </c>
      <c r="H1339" t="s">
        <v>29</v>
      </c>
      <c r="I1339" t="s">
        <v>34</v>
      </c>
      <c r="J1339" t="s">
        <v>150</v>
      </c>
      <c r="K1339" t="s">
        <v>27</v>
      </c>
      <c r="L1339" t="s">
        <v>7000</v>
      </c>
      <c r="M1339" t="s">
        <v>7001</v>
      </c>
      <c r="N1339" t="s">
        <v>773</v>
      </c>
      <c r="O1339" t="s">
        <v>31</v>
      </c>
      <c r="P1339" t="s">
        <v>7002</v>
      </c>
      <c r="Q1339" t="s">
        <v>68</v>
      </c>
      <c r="R1339" s="26" t="s">
        <v>210</v>
      </c>
      <c r="S1339">
        <v>0.6</v>
      </c>
      <c r="T1339">
        <v>5564</v>
      </c>
      <c r="U1339">
        <v>0</v>
      </c>
      <c r="V1339">
        <v>5564</v>
      </c>
    </row>
    <row r="1340" spans="1:22" x14ac:dyDescent="0.3">
      <c r="A1340">
        <v>8326</v>
      </c>
      <c r="B1340">
        <v>455307991</v>
      </c>
      <c r="C1340" t="s">
        <v>7003</v>
      </c>
      <c r="D1340" s="9" t="s">
        <v>7004</v>
      </c>
      <c r="E1340" t="s">
        <v>6889</v>
      </c>
      <c r="F1340" t="s">
        <v>770</v>
      </c>
      <c r="G1340" t="s">
        <v>28</v>
      </c>
      <c r="H1340" t="s">
        <v>29</v>
      </c>
      <c r="I1340" t="s">
        <v>34</v>
      </c>
      <c r="J1340" t="s">
        <v>30</v>
      </c>
      <c r="K1340" t="s">
        <v>27</v>
      </c>
      <c r="L1340" t="s">
        <v>7005</v>
      </c>
      <c r="M1340" t="s">
        <v>7006</v>
      </c>
      <c r="N1340" t="s">
        <v>773</v>
      </c>
      <c r="O1340" t="s">
        <v>31</v>
      </c>
      <c r="P1340" t="s">
        <v>7007</v>
      </c>
      <c r="Q1340" t="s">
        <v>126</v>
      </c>
      <c r="R1340" s="26" t="s">
        <v>445</v>
      </c>
      <c r="S1340">
        <v>20</v>
      </c>
      <c r="T1340">
        <v>12552</v>
      </c>
      <c r="U1340">
        <v>4746.46</v>
      </c>
      <c r="V1340">
        <v>17298.46</v>
      </c>
    </row>
    <row r="1341" spans="1:22" x14ac:dyDescent="0.3">
      <c r="A1341">
        <v>8326</v>
      </c>
      <c r="B1341">
        <v>455248138</v>
      </c>
      <c r="C1341" t="s">
        <v>7008</v>
      </c>
      <c r="D1341" s="9" t="s">
        <v>7009</v>
      </c>
      <c r="E1341" t="s">
        <v>6889</v>
      </c>
      <c r="F1341" t="s">
        <v>770</v>
      </c>
      <c r="G1341" t="s">
        <v>28</v>
      </c>
      <c r="H1341" t="s">
        <v>29</v>
      </c>
      <c r="I1341" t="s">
        <v>34</v>
      </c>
      <c r="J1341" t="s">
        <v>150</v>
      </c>
      <c r="K1341" t="s">
        <v>27</v>
      </c>
      <c r="L1341" t="s">
        <v>7010</v>
      </c>
      <c r="M1341" t="s">
        <v>7011</v>
      </c>
      <c r="N1341" t="s">
        <v>773</v>
      </c>
      <c r="O1341" t="s">
        <v>31</v>
      </c>
      <c r="P1341" t="s">
        <v>7012</v>
      </c>
      <c r="Q1341" t="s">
        <v>62</v>
      </c>
      <c r="R1341" s="26" t="s">
        <v>446</v>
      </c>
      <c r="S1341">
        <v>1</v>
      </c>
      <c r="T1341">
        <v>3384</v>
      </c>
      <c r="U1341">
        <v>0</v>
      </c>
      <c r="V1341">
        <v>3384</v>
      </c>
    </row>
    <row r="1342" spans="1:22" x14ac:dyDescent="0.3">
      <c r="A1342">
        <v>8326</v>
      </c>
      <c r="B1342">
        <v>454357656</v>
      </c>
      <c r="C1342" t="s">
        <v>7013</v>
      </c>
      <c r="D1342" s="9" t="s">
        <v>7014</v>
      </c>
      <c r="E1342" t="s">
        <v>6889</v>
      </c>
      <c r="F1342" t="s">
        <v>770</v>
      </c>
      <c r="G1342" t="s">
        <v>28</v>
      </c>
      <c r="H1342" t="s">
        <v>29</v>
      </c>
      <c r="I1342" t="s">
        <v>34</v>
      </c>
      <c r="J1342" t="s">
        <v>150</v>
      </c>
      <c r="K1342" t="s">
        <v>27</v>
      </c>
      <c r="L1342" t="s">
        <v>7015</v>
      </c>
      <c r="M1342" t="s">
        <v>7016</v>
      </c>
      <c r="N1342" t="s">
        <v>773</v>
      </c>
      <c r="O1342" t="s">
        <v>31</v>
      </c>
      <c r="P1342" t="s">
        <v>7017</v>
      </c>
      <c r="Q1342" t="s">
        <v>303</v>
      </c>
      <c r="R1342" s="26" t="s">
        <v>7018</v>
      </c>
      <c r="S1342">
        <v>0.4</v>
      </c>
      <c r="T1342">
        <v>11428.58</v>
      </c>
      <c r="U1342">
        <v>0</v>
      </c>
      <c r="V1342">
        <v>11428.58</v>
      </c>
    </row>
    <row r="1343" spans="1:22" x14ac:dyDescent="0.3">
      <c r="A1343">
        <v>8326</v>
      </c>
      <c r="B1343">
        <v>455339728</v>
      </c>
      <c r="C1343" t="s">
        <v>7019</v>
      </c>
      <c r="D1343" s="9" t="s">
        <v>7020</v>
      </c>
      <c r="E1343" t="s">
        <v>6889</v>
      </c>
      <c r="F1343" t="s">
        <v>770</v>
      </c>
      <c r="G1343" t="s">
        <v>49</v>
      </c>
      <c r="H1343" t="s">
        <v>50</v>
      </c>
      <c r="I1343" t="s">
        <v>34</v>
      </c>
      <c r="J1343" t="s">
        <v>155</v>
      </c>
      <c r="K1343" t="s">
        <v>27</v>
      </c>
      <c r="L1343" t="s">
        <v>52</v>
      </c>
      <c r="M1343" t="s">
        <v>4495</v>
      </c>
      <c r="N1343" t="s">
        <v>773</v>
      </c>
      <c r="O1343" t="s">
        <v>31</v>
      </c>
      <c r="P1343" t="s">
        <v>7021</v>
      </c>
      <c r="Q1343" t="s">
        <v>125</v>
      </c>
      <c r="R1343" s="26" t="s">
        <v>763</v>
      </c>
      <c r="S1343">
        <v>3.16</v>
      </c>
      <c r="T1343">
        <v>8430</v>
      </c>
      <c r="U1343">
        <v>0</v>
      </c>
      <c r="V1343">
        <v>8430</v>
      </c>
    </row>
    <row r="1344" spans="1:22" x14ac:dyDescent="0.3">
      <c r="A1344">
        <v>192770</v>
      </c>
      <c r="B1344">
        <v>456362465</v>
      </c>
      <c r="C1344" t="s">
        <v>7022</v>
      </c>
      <c r="D1344" s="9" t="s">
        <v>7023</v>
      </c>
      <c r="E1344" t="s">
        <v>7024</v>
      </c>
      <c r="F1344" t="s">
        <v>770</v>
      </c>
      <c r="G1344" t="s">
        <v>28</v>
      </c>
      <c r="H1344" t="s">
        <v>29</v>
      </c>
      <c r="I1344" t="s">
        <v>34</v>
      </c>
      <c r="J1344" t="s">
        <v>150</v>
      </c>
      <c r="K1344" t="s">
        <v>27</v>
      </c>
      <c r="L1344" t="s">
        <v>7025</v>
      </c>
      <c r="M1344" t="s">
        <v>7026</v>
      </c>
      <c r="N1344" t="s">
        <v>773</v>
      </c>
      <c r="O1344" t="s">
        <v>31</v>
      </c>
      <c r="P1344" t="s">
        <v>7027</v>
      </c>
      <c r="Q1344" t="s">
        <v>190</v>
      </c>
      <c r="R1344" s="26" t="s">
        <v>276</v>
      </c>
      <c r="S1344">
        <v>1</v>
      </c>
      <c r="T1344">
        <v>3250</v>
      </c>
      <c r="U1344">
        <v>0</v>
      </c>
      <c r="V1344">
        <v>3250</v>
      </c>
    </row>
    <row r="1345" spans="1:22" x14ac:dyDescent="0.3">
      <c r="A1345">
        <v>198243</v>
      </c>
      <c r="B1345">
        <v>456652876</v>
      </c>
      <c r="C1345" t="s">
        <v>7028</v>
      </c>
      <c r="D1345" s="9" t="s">
        <v>7029</v>
      </c>
      <c r="E1345" t="s">
        <v>7030</v>
      </c>
      <c r="F1345" t="s">
        <v>770</v>
      </c>
      <c r="G1345" t="s">
        <v>28</v>
      </c>
      <c r="H1345" t="s">
        <v>29</v>
      </c>
      <c r="I1345" t="s">
        <v>34</v>
      </c>
      <c r="J1345" t="s">
        <v>30</v>
      </c>
      <c r="K1345" t="s">
        <v>27</v>
      </c>
      <c r="L1345" t="s">
        <v>7031</v>
      </c>
      <c r="M1345" t="s">
        <v>7032</v>
      </c>
      <c r="N1345" t="s">
        <v>773</v>
      </c>
      <c r="O1345" t="s">
        <v>31</v>
      </c>
      <c r="P1345" t="s">
        <v>7033</v>
      </c>
      <c r="Q1345" t="s">
        <v>120</v>
      </c>
      <c r="R1345" s="26" t="s">
        <v>176</v>
      </c>
      <c r="S1345">
        <v>0.7</v>
      </c>
      <c r="T1345">
        <v>5295</v>
      </c>
      <c r="U1345">
        <v>0</v>
      </c>
      <c r="V1345">
        <v>5295</v>
      </c>
    </row>
    <row r="1346" spans="1:22" x14ac:dyDescent="0.3">
      <c r="A1346">
        <v>198243</v>
      </c>
      <c r="B1346">
        <v>456587394</v>
      </c>
      <c r="C1346" t="s">
        <v>7034</v>
      </c>
      <c r="D1346" s="9" t="s">
        <v>7035</v>
      </c>
      <c r="E1346" t="s">
        <v>7030</v>
      </c>
      <c r="F1346" t="s">
        <v>770</v>
      </c>
      <c r="G1346" t="s">
        <v>28</v>
      </c>
      <c r="H1346" t="s">
        <v>29</v>
      </c>
      <c r="I1346" t="s">
        <v>34</v>
      </c>
      <c r="J1346" t="s">
        <v>30</v>
      </c>
      <c r="K1346" t="s">
        <v>27</v>
      </c>
      <c r="L1346" t="s">
        <v>7036</v>
      </c>
      <c r="M1346" t="s">
        <v>542</v>
      </c>
      <c r="N1346" t="s">
        <v>773</v>
      </c>
      <c r="O1346" t="s">
        <v>31</v>
      </c>
      <c r="P1346" t="s">
        <v>7037</v>
      </c>
      <c r="Q1346" t="s">
        <v>85</v>
      </c>
      <c r="R1346" s="26" t="s">
        <v>7038</v>
      </c>
      <c r="S1346">
        <v>1.2</v>
      </c>
      <c r="T1346">
        <v>3631</v>
      </c>
      <c r="U1346">
        <v>0</v>
      </c>
      <c r="V1346">
        <v>3631</v>
      </c>
    </row>
    <row r="1347" spans="1:22" x14ac:dyDescent="0.3">
      <c r="A1347">
        <v>198243</v>
      </c>
      <c r="B1347">
        <v>456505213</v>
      </c>
      <c r="C1347" t="s">
        <v>7039</v>
      </c>
      <c r="D1347" s="9" t="s">
        <v>7040</v>
      </c>
      <c r="E1347" t="s">
        <v>7030</v>
      </c>
      <c r="F1347" t="s">
        <v>770</v>
      </c>
      <c r="G1347" t="s">
        <v>28</v>
      </c>
      <c r="H1347" t="s">
        <v>29</v>
      </c>
      <c r="I1347" t="s">
        <v>34</v>
      </c>
      <c r="J1347" t="s">
        <v>30</v>
      </c>
      <c r="K1347" t="s">
        <v>27</v>
      </c>
      <c r="L1347" t="s">
        <v>7041</v>
      </c>
      <c r="M1347" t="s">
        <v>7042</v>
      </c>
      <c r="N1347" t="s">
        <v>773</v>
      </c>
      <c r="O1347" t="s">
        <v>31</v>
      </c>
      <c r="P1347" t="s">
        <v>7043</v>
      </c>
      <c r="Q1347" t="s">
        <v>164</v>
      </c>
      <c r="R1347" s="26" t="s">
        <v>463</v>
      </c>
      <c r="S1347">
        <v>1</v>
      </c>
      <c r="T1347">
        <v>3250</v>
      </c>
      <c r="U1347">
        <v>0</v>
      </c>
      <c r="V1347">
        <v>3250</v>
      </c>
    </row>
    <row r="1348" spans="1:22" x14ac:dyDescent="0.3">
      <c r="A1348">
        <v>198243</v>
      </c>
      <c r="B1348">
        <v>456333915</v>
      </c>
      <c r="C1348" t="s">
        <v>7044</v>
      </c>
      <c r="D1348" s="9" t="s">
        <v>7045</v>
      </c>
      <c r="E1348" t="s">
        <v>7030</v>
      </c>
      <c r="F1348" t="s">
        <v>770</v>
      </c>
      <c r="G1348" t="s">
        <v>28</v>
      </c>
      <c r="H1348" t="s">
        <v>29</v>
      </c>
      <c r="I1348" t="s">
        <v>34</v>
      </c>
      <c r="J1348" t="s">
        <v>30</v>
      </c>
      <c r="K1348" t="s">
        <v>27</v>
      </c>
      <c r="L1348" t="s">
        <v>7046</v>
      </c>
      <c r="M1348" t="s">
        <v>704</v>
      </c>
      <c r="N1348" t="s">
        <v>773</v>
      </c>
      <c r="O1348" t="s">
        <v>31</v>
      </c>
      <c r="P1348" t="s">
        <v>7047</v>
      </c>
      <c r="Q1348" t="s">
        <v>109</v>
      </c>
      <c r="R1348" s="26" t="s">
        <v>90</v>
      </c>
      <c r="S1348">
        <v>1.3</v>
      </c>
      <c r="T1348">
        <v>3250</v>
      </c>
      <c r="U1348">
        <v>0</v>
      </c>
      <c r="V1348">
        <v>3250</v>
      </c>
    </row>
    <row r="1349" spans="1:22" x14ac:dyDescent="0.3">
      <c r="A1349">
        <v>198243</v>
      </c>
      <c r="B1349">
        <v>455494721</v>
      </c>
      <c r="C1349" t="s">
        <v>7048</v>
      </c>
      <c r="D1349" s="9" t="s">
        <v>7049</v>
      </c>
      <c r="E1349" t="s">
        <v>7030</v>
      </c>
      <c r="F1349" t="s">
        <v>770</v>
      </c>
      <c r="G1349" t="s">
        <v>28</v>
      </c>
      <c r="H1349" t="s">
        <v>29</v>
      </c>
      <c r="I1349" t="s">
        <v>34</v>
      </c>
      <c r="J1349" t="s">
        <v>30</v>
      </c>
      <c r="K1349" t="s">
        <v>27</v>
      </c>
      <c r="L1349" t="s">
        <v>7050</v>
      </c>
      <c r="M1349" t="s">
        <v>7051</v>
      </c>
      <c r="N1349" t="s">
        <v>773</v>
      </c>
      <c r="O1349" t="s">
        <v>31</v>
      </c>
      <c r="P1349" t="s">
        <v>7052</v>
      </c>
      <c r="Q1349" t="s">
        <v>67</v>
      </c>
      <c r="R1349" s="26" t="s">
        <v>492</v>
      </c>
      <c r="S1349">
        <v>1.3</v>
      </c>
      <c r="T1349">
        <v>3384</v>
      </c>
      <c r="U1349">
        <v>0</v>
      </c>
      <c r="V1349">
        <v>3384</v>
      </c>
    </row>
    <row r="1350" spans="1:22" x14ac:dyDescent="0.3">
      <c r="A1350">
        <v>198243</v>
      </c>
      <c r="B1350">
        <v>455450616</v>
      </c>
      <c r="C1350" t="s">
        <v>7053</v>
      </c>
      <c r="D1350" s="9" t="s">
        <v>7054</v>
      </c>
      <c r="E1350" t="s">
        <v>7030</v>
      </c>
      <c r="F1350" t="s">
        <v>770</v>
      </c>
      <c r="G1350" t="s">
        <v>28</v>
      </c>
      <c r="H1350" t="s">
        <v>29</v>
      </c>
      <c r="I1350" t="s">
        <v>34</v>
      </c>
      <c r="J1350" t="s">
        <v>30</v>
      </c>
      <c r="K1350" t="s">
        <v>27</v>
      </c>
      <c r="L1350" t="s">
        <v>7055</v>
      </c>
      <c r="M1350" t="s">
        <v>7056</v>
      </c>
      <c r="N1350" t="s">
        <v>773</v>
      </c>
      <c r="O1350" t="s">
        <v>31</v>
      </c>
      <c r="P1350" t="s">
        <v>7057</v>
      </c>
      <c r="Q1350" t="s">
        <v>119</v>
      </c>
      <c r="R1350" s="26" t="s">
        <v>489</v>
      </c>
      <c r="S1350">
        <v>1.4</v>
      </c>
      <c r="T1350">
        <v>4205</v>
      </c>
      <c r="U1350">
        <v>0</v>
      </c>
      <c r="V1350">
        <v>4205</v>
      </c>
    </row>
    <row r="1351" spans="1:22" x14ac:dyDescent="0.3">
      <c r="A1351">
        <v>0</v>
      </c>
      <c r="F1351" t="s">
        <v>770</v>
      </c>
      <c r="I1351" t="s">
        <v>45</v>
      </c>
      <c r="S1351">
        <v>18</v>
      </c>
      <c r="T1351">
        <v>146300</v>
      </c>
      <c r="U1351">
        <v>0</v>
      </c>
      <c r="V1351">
        <v>146300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paola yojanna quiroga cepeda</cp:lastModifiedBy>
  <cp:lastPrinted>2023-05-10T17:03:30Z</cp:lastPrinted>
  <dcterms:created xsi:type="dcterms:W3CDTF">2015-10-14T18:59:17Z</dcterms:created>
  <dcterms:modified xsi:type="dcterms:W3CDTF">2026-07-10T16:46:46Z</dcterms:modified>
</cp:coreProperties>
</file>