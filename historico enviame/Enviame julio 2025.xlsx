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5\Facturación 2025-07 Julio\Detalles\"/>
    </mc:Choice>
  </mc:AlternateContent>
  <xr:revisionPtr revIDLastSave="0" documentId="8_{34226C96-3C33-4228-83EB-6D05D8A5E2A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2" l="1"/>
  <c r="E5" i="2"/>
  <c r="D5" i="2"/>
  <c r="E10" i="2"/>
  <c r="D10" i="2"/>
  <c r="E8" i="2" l="1"/>
  <c r="D8" i="2"/>
  <c r="E7" i="2"/>
  <c r="D7" i="2"/>
  <c r="E9" i="2"/>
  <c r="E12" i="2"/>
  <c r="D12" i="2"/>
  <c r="D2" i="2" l="1"/>
  <c r="D11" i="2"/>
  <c r="E11" i="2"/>
  <c r="D6" i="2"/>
  <c r="E6" i="2"/>
  <c r="E16" i="2" l="1"/>
  <c r="E18" i="2" s="1"/>
  <c r="E19" i="2" s="1"/>
</calcChain>
</file>

<file path=xl/sharedStrings.xml><?xml version="1.0" encoding="utf-8"?>
<sst xmlns="http://schemas.openxmlformats.org/spreadsheetml/2006/main" count="19310" uniqueCount="5606">
  <si>
    <t>IVA</t>
  </si>
  <si>
    <t>Total</t>
  </si>
  <si>
    <t>Entregado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</si>
  <si>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</si>
  <si>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</si>
  <si>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</si>
  <si>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</si>
  <si>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</si>
  <si>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</si>
  <si>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</si>
  <si>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</si>
  <si>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</si>
  <si>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</si>
  <si>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</si>
  <si>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carrier_service_name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</si>
  <si>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</si>
  <si>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</si>
  <si>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</si>
  <si>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</si>
  <si>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</si>
  <si>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</si>
  <si>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</si>
  <si>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</si>
  <si>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</si>
  <si>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</si>
  <si>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</si>
  <si>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</si>
  <si>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</si>
  <si>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</si>
  <si>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</si>
  <si>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</si>
  <si>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seguro</t>
  </si>
  <si>
    <t>total</t>
  </si>
  <si>
    <t>Connect</t>
  </si>
  <si>
    <t>Distribución</t>
  </si>
  <si>
    <t>Pasarelapro</t>
  </si>
  <si>
    <t>Enviatrack</t>
  </si>
  <si>
    <t>Colina</t>
  </si>
  <si>
    <t>Concepción</t>
  </si>
  <si>
    <t>BLUEXPRESS</t>
  </si>
  <si>
    <t>Chillán</t>
  </si>
  <si>
    <t>Talagante</t>
  </si>
  <si>
    <t>MKP</t>
  </si>
  <si>
    <t>contract_type</t>
  </si>
  <si>
    <t>peso informado por carrier</t>
  </si>
  <si>
    <t>Macul</t>
  </si>
  <si>
    <t>En Reparto</t>
  </si>
  <si>
    <t>Melipilla</t>
  </si>
  <si>
    <t>Santiago</t>
  </si>
  <si>
    <t>Puente Alto</t>
  </si>
  <si>
    <t>Providencia</t>
  </si>
  <si>
    <t>Lo Barnechea</t>
  </si>
  <si>
    <t>Lampa</t>
  </si>
  <si>
    <t>Ñuñoa</t>
  </si>
  <si>
    <t>San Bernardo</t>
  </si>
  <si>
    <t>Renca</t>
  </si>
  <si>
    <t>Maipú</t>
  </si>
  <si>
    <t>Pedro Aguirre Cerda</t>
  </si>
  <si>
    <t>La Florida</t>
  </si>
  <si>
    <t>La Reina</t>
  </si>
  <si>
    <t>San Miguel</t>
  </si>
  <si>
    <t>Buin</t>
  </si>
  <si>
    <t>Las Condes</t>
  </si>
  <si>
    <t>Vitacura</t>
  </si>
  <si>
    <t>Huechuraba</t>
  </si>
  <si>
    <t>Peñalolén</t>
  </si>
  <si>
    <t>Paine</t>
  </si>
  <si>
    <t>Rinconada</t>
  </si>
  <si>
    <t>Pudahuel</t>
  </si>
  <si>
    <t>Isla de Maipo</t>
  </si>
  <si>
    <t>Peñaflor</t>
  </si>
  <si>
    <t>El Bosque</t>
  </si>
  <si>
    <t>Lo Prado</t>
  </si>
  <si>
    <t>Quinta Normal</t>
  </si>
  <si>
    <t>Envío no pudo ser entregado</t>
  </si>
  <si>
    <t>Tucapel</t>
  </si>
  <si>
    <t>Cerrillos</t>
  </si>
  <si>
    <t>Recoleta</t>
  </si>
  <si>
    <t>Independencia</t>
  </si>
  <si>
    <t>La Granja</t>
  </si>
  <si>
    <t>Alto Hospicio</t>
  </si>
  <si>
    <t>La Cisterna</t>
  </si>
  <si>
    <t>En planta destino</t>
  </si>
  <si>
    <t>WELIVERY</t>
  </si>
  <si>
    <t>Carolina Gonzalez</t>
  </si>
  <si>
    <t>Carolina Lopez</t>
  </si>
  <si>
    <t>CHILEXPRESS</t>
  </si>
  <si>
    <t>CHX</t>
  </si>
  <si>
    <t>distribucion</t>
  </si>
  <si>
    <t>Dia Hábil Siguiente (Express Aéreo)</t>
  </si>
  <si>
    <t>PIEZA ENTREGADA A DESTINATARIO</t>
  </si>
  <si>
    <t>Chiguayante</t>
  </si>
  <si>
    <t>San Pedro de la Paz</t>
  </si>
  <si>
    <t>Talca</t>
  </si>
  <si>
    <t>Cañete</t>
  </si>
  <si>
    <t>Valdivia</t>
  </si>
  <si>
    <t>San Fernando</t>
  </si>
  <si>
    <t>Arica</t>
  </si>
  <si>
    <t>Yungay</t>
  </si>
  <si>
    <t>San Antonio</t>
  </si>
  <si>
    <t>Pitrufquén</t>
  </si>
  <si>
    <t>Futrono</t>
  </si>
  <si>
    <t>2025-07-15 12:39</t>
  </si>
  <si>
    <t>Lebu</t>
  </si>
  <si>
    <t>Curicó</t>
  </si>
  <si>
    <t>Villarrica</t>
  </si>
  <si>
    <t>San Felipe</t>
  </si>
  <si>
    <t>Puerto Montt</t>
  </si>
  <si>
    <t>Vallenar</t>
  </si>
  <si>
    <t>Los Ángeles</t>
  </si>
  <si>
    <t>Coyhaique</t>
  </si>
  <si>
    <t>Copiapó</t>
  </si>
  <si>
    <t>Tomé</t>
  </si>
  <si>
    <t>La Serena</t>
  </si>
  <si>
    <t>2025-07-22 13:18</t>
  </si>
  <si>
    <t>2025-07-02 14:43</t>
  </si>
  <si>
    <t>San Esteban</t>
  </si>
  <si>
    <t>El Monte</t>
  </si>
  <si>
    <t>Cisnes</t>
  </si>
  <si>
    <t>Osorno</t>
  </si>
  <si>
    <t>Temuco</t>
  </si>
  <si>
    <t>Hualqui</t>
  </si>
  <si>
    <t>Coquimbo</t>
  </si>
  <si>
    <t>Calera de Tango</t>
  </si>
  <si>
    <t>Viña del Mar</t>
  </si>
  <si>
    <t>Valparaíso</t>
  </si>
  <si>
    <t>Maule</t>
  </si>
  <si>
    <t>2025-07-28 10:52</t>
  </si>
  <si>
    <t>Iquique</t>
  </si>
  <si>
    <t>Antofagasta</t>
  </si>
  <si>
    <t>Hualpén</t>
  </si>
  <si>
    <t>Nueva Imperial</t>
  </si>
  <si>
    <t>La Cruz</t>
  </si>
  <si>
    <t>Illapel</t>
  </si>
  <si>
    <t>Angol</t>
  </si>
  <si>
    <t>Concón</t>
  </si>
  <si>
    <t>Salamanca</t>
  </si>
  <si>
    <t>Rancagua</t>
  </si>
  <si>
    <t>2025-07-28 12:32</t>
  </si>
  <si>
    <t>Linares</t>
  </si>
  <si>
    <t>Talcahuano</t>
  </si>
  <si>
    <t>2025-07-22 08:45</t>
  </si>
  <si>
    <t>Villa Alemana</t>
  </si>
  <si>
    <t>El Tabo</t>
  </si>
  <si>
    <t>Calera</t>
  </si>
  <si>
    <t>Parral</t>
  </si>
  <si>
    <t>El Carmen</t>
  </si>
  <si>
    <t>San Javier</t>
  </si>
  <si>
    <t>Los Lagos</t>
  </si>
  <si>
    <t>STARKEN</t>
  </si>
  <si>
    <t>SKN</t>
  </si>
  <si>
    <t>Normal</t>
  </si>
  <si>
    <t>Quillota</t>
  </si>
  <si>
    <t>BLX</t>
  </si>
  <si>
    <t>Standard</t>
  </si>
  <si>
    <t>ENTREGADO</t>
  </si>
  <si>
    <t>Llanquihue</t>
  </si>
  <si>
    <t>2025-07-22 12:26</t>
  </si>
  <si>
    <t>Quilpué</t>
  </si>
  <si>
    <t>Puerto Varas</t>
  </si>
  <si>
    <t>Molina</t>
  </si>
  <si>
    <t>Frutillar</t>
  </si>
  <si>
    <t>Claudio Diaz</t>
  </si>
  <si>
    <t>Rengo</t>
  </si>
  <si>
    <t>Castro</t>
  </si>
  <si>
    <t>Paillaco</t>
  </si>
  <si>
    <t>null</t>
  </si>
  <si>
    <t>Calama</t>
  </si>
  <si>
    <t>Punta Arenas</t>
  </si>
  <si>
    <t>Machalí</t>
  </si>
  <si>
    <t>Pucón</t>
  </si>
  <si>
    <t>Santo Domingo</t>
  </si>
  <si>
    <t>2025-07-17 12:22</t>
  </si>
  <si>
    <t>La Unión</t>
  </si>
  <si>
    <t>San Clemente</t>
  </si>
  <si>
    <t>2025-07-03 23:03</t>
  </si>
  <si>
    <t>Casablanca</t>
  </si>
  <si>
    <t>Los Vilos</t>
  </si>
  <si>
    <t>Chimbarongo</t>
  </si>
  <si>
    <t>Mostazal</t>
  </si>
  <si>
    <t>2025-07-15 10:05</t>
  </si>
  <si>
    <t>Lautaro</t>
  </si>
  <si>
    <t>San Pedro de Atacama</t>
  </si>
  <si>
    <t>Chillán Viejo</t>
  </si>
  <si>
    <t>Paola Angulo Miranda</t>
  </si>
  <si>
    <t>Porvenir</t>
  </si>
  <si>
    <t>Aysén</t>
  </si>
  <si>
    <t>Constitución</t>
  </si>
  <si>
    <t>Caldera</t>
  </si>
  <si>
    <t>Litueche</t>
  </si>
  <si>
    <t>Francisco Varas</t>
  </si>
  <si>
    <t>2025-07-02 20:21</t>
  </si>
  <si>
    <t>Limache</t>
  </si>
  <si>
    <t>Vargas Buston 976, Depto 1610</t>
  </si>
  <si>
    <t>EN REPARTO</t>
  </si>
  <si>
    <t>2025-07-24 12:07</t>
  </si>
  <si>
    <t>Los Andes</t>
  </si>
  <si>
    <t>Ivan Guerrero</t>
  </si>
  <si>
    <t>Ovalle</t>
  </si>
  <si>
    <t>Curacaví</t>
  </si>
  <si>
    <t>NOMBRE RETIRA: RUT RETIRA: 1-9</t>
  </si>
  <si>
    <t>2025-07-23 21:24</t>
  </si>
  <si>
    <t>2025-07-01 10:18</t>
  </si>
  <si>
    <t>Laja</t>
  </si>
  <si>
    <t>Antonio Ampuero Fuentealba</t>
  </si>
  <si>
    <t>WLV</t>
  </si>
  <si>
    <t>Retiros S/C</t>
  </si>
  <si>
    <t>No Cumple Mínimo Diario</t>
  </si>
  <si>
    <t>2025-07-28 12:10</t>
  </si>
  <si>
    <t>Sameday</t>
  </si>
  <si>
    <t>Marcela Schmidt</t>
  </si>
  <si>
    <t>2025-07-25 13:24</t>
  </si>
  <si>
    <t>2025-07-07 11:25</t>
  </si>
  <si>
    <t>2025-07-03 10:46</t>
  </si>
  <si>
    <t>Maria Contreras</t>
  </si>
  <si>
    <t>Cauquenes</t>
  </si>
  <si>
    <t>El Quisco</t>
  </si>
  <si>
    <t>Coronel</t>
  </si>
  <si>
    <t>Nogales</t>
  </si>
  <si>
    <t>Quintero</t>
  </si>
  <si>
    <t>Santa Cruz</t>
  </si>
  <si>
    <t>Ancud</t>
  </si>
  <si>
    <t>2025-07-11 09:40</t>
  </si>
  <si>
    <t>Tiltil</t>
  </si>
  <si>
    <t>Puchuncaví</t>
  </si>
  <si>
    <t>Natales</t>
  </si>
  <si>
    <t>Malloa</t>
  </si>
  <si>
    <t>Carlos Flores</t>
  </si>
  <si>
    <t>La Ligua</t>
  </si>
  <si>
    <t>Daniela Gallardo</t>
  </si>
  <si>
    <t>San Carlos</t>
  </si>
  <si>
    <t>PIEZA EN RUTA AL DESTINATARIO</t>
  </si>
  <si>
    <t>2025-07-22 12:02</t>
  </si>
  <si>
    <t>Requínoa</t>
  </si>
  <si>
    <t>2025-07-08 23:31</t>
  </si>
  <si>
    <t>1 norte 797</t>
  </si>
  <si>
    <t>2025-07-21 11:36</t>
  </si>
  <si>
    <t>2025-07-11 12:32</t>
  </si>
  <si>
    <t>Diego Castillo</t>
  </si>
  <si>
    <t>Cartagena</t>
  </si>
  <si>
    <t>San Vicente</t>
  </si>
  <si>
    <t>Maria Jesus Gonzalez</t>
  </si>
  <si>
    <t>Calbuco</t>
  </si>
  <si>
    <t>Victoria</t>
  </si>
  <si>
    <t>2025-06-30 12:54</t>
  </si>
  <si>
    <t>Las Cabras</t>
  </si>
  <si>
    <t>2025-07-17 12:20</t>
  </si>
  <si>
    <t>2025-06-26 12:35</t>
  </si>
  <si>
    <t>PENDIENTE ENTREGA</t>
  </si>
  <si>
    <t>2025-07-20 14:07</t>
  </si>
  <si>
    <t>Diego de Almagro</t>
  </si>
  <si>
    <t>Bulnes</t>
  </si>
  <si>
    <t>2025-07-17 20:45</t>
  </si>
  <si>
    <t>2025-07-03 10:44</t>
  </si>
  <si>
    <t>Disponible para retiro</t>
  </si>
  <si>
    <t>Sebastian Rivera</t>
  </si>
  <si>
    <t>Belen Riquelme Moya</t>
  </si>
  <si>
    <t>AVENIDA PABLO NERUDA 47</t>
  </si>
  <si>
    <t>Hugo Gonzalez</t>
  </si>
  <si>
    <t>Carolina Ruiz</t>
  </si>
  <si>
    <t>Jenifer Ojeda panichini</t>
  </si>
  <si>
    <t>Manuel Soto</t>
  </si>
  <si>
    <t>Tomas Garcia</t>
  </si>
  <si>
    <t>Silvia Bravo</t>
  </si>
  <si>
    <t>Carolina Andrade</t>
  </si>
  <si>
    <t>Victor Lanas</t>
  </si>
  <si>
    <t>Claudia Toledo</t>
  </si>
  <si>
    <t>Sylvia Jerez Alarcon</t>
  </si>
  <si>
    <t>Jaime Guzmán</t>
  </si>
  <si>
    <t>Carla Villalobos</t>
  </si>
  <si>
    <t>David Espinoza</t>
  </si>
  <si>
    <t>Eduardo Gutierrez</t>
  </si>
  <si>
    <t>Camila Soto</t>
  </si>
  <si>
    <t>Emilio Costa Valenzuela</t>
  </si>
  <si>
    <t>Diego Valenzuela</t>
  </si>
  <si>
    <t>Felipe Alarcon</t>
  </si>
  <si>
    <t>Carolina Ramirez</t>
  </si>
  <si>
    <t>Maria Guzman Vilo</t>
  </si>
  <si>
    <t>Cecilia Soto</t>
  </si>
  <si>
    <t>Carolina Torres</t>
  </si>
  <si>
    <t>Juan Quiroz</t>
  </si>
  <si>
    <t>Benjamin Gutierrez</t>
  </si>
  <si>
    <t>Cristian Sanhueza</t>
  </si>
  <si>
    <t>Jackie Stoppel</t>
  </si>
  <si>
    <t>Jaime Rios Ruch</t>
  </si>
  <si>
    <t>Felipe Sanchez</t>
  </si>
  <si>
    <t>Camilo Gonzalez</t>
  </si>
  <si>
    <t>Claudia Reyes</t>
  </si>
  <si>
    <t>Javiera Lorca</t>
  </si>
  <si>
    <t>Macarena Fernandez</t>
  </si>
  <si>
    <t>Alejandra Lopez</t>
  </si>
  <si>
    <t>Mariquina</t>
  </si>
  <si>
    <t>Purranque</t>
  </si>
  <si>
    <t>Algarrobo</t>
  </si>
  <si>
    <t>Penco</t>
  </si>
  <si>
    <t>Taltal</t>
  </si>
  <si>
    <t>Pemuco</t>
  </si>
  <si>
    <t>Coltauco</t>
  </si>
  <si>
    <t>Lota</t>
  </si>
  <si>
    <t>San Ignacio</t>
  </si>
  <si>
    <t>Panguipulli</t>
  </si>
  <si>
    <t>Quirihue</t>
  </si>
  <si>
    <t>Huasco</t>
  </si>
  <si>
    <t>Collipulli</t>
  </si>
  <si>
    <t>Calle Larga</t>
  </si>
  <si>
    <t>Llaillay</t>
  </si>
  <si>
    <t>Nacimiento</t>
  </si>
  <si>
    <t>Monte Patria</t>
  </si>
  <si>
    <t>Marchihue</t>
  </si>
  <si>
    <t>Chépica</t>
  </si>
  <si>
    <t>Loncoche</t>
  </si>
  <si>
    <t>Hijuelas</t>
  </si>
  <si>
    <t>Dalcahue</t>
  </si>
  <si>
    <t>Coelemu</t>
  </si>
  <si>
    <t>Pichilemu</t>
  </si>
  <si>
    <t>Cunco</t>
  </si>
  <si>
    <t>Hualañé</t>
  </si>
  <si>
    <t>Quillón</t>
  </si>
  <si>
    <t>Gorbea</t>
  </si>
  <si>
    <t>Quellón</t>
  </si>
  <si>
    <t>Chile Chico</t>
  </si>
  <si>
    <t>Graneros</t>
  </si>
  <si>
    <t>Traiguén</t>
  </si>
  <si>
    <t>Catemu</t>
  </si>
  <si>
    <t>Chaitén</t>
  </si>
  <si>
    <t>Padre las Casas</t>
  </si>
  <si>
    <t>Lanco</t>
  </si>
  <si>
    <t>Tierra Amarilla</t>
  </si>
  <si>
    <t>La Estrella</t>
  </si>
  <si>
    <t>Curaco de Vélez</t>
  </si>
  <si>
    <t>Santa Juana</t>
  </si>
  <si>
    <t>Alto Biobío</t>
  </si>
  <si>
    <t>Daniela Gomez</t>
  </si>
  <si>
    <t>Felipe González</t>
  </si>
  <si>
    <t>Veronica Ortiz</t>
  </si>
  <si>
    <t>Martin Garrido</t>
  </si>
  <si>
    <t>Fernando Vergara</t>
  </si>
  <si>
    <t>Juan Diaz</t>
  </si>
  <si>
    <t>Diego Escobar</t>
  </si>
  <si>
    <t>Javiera Olivares</t>
  </si>
  <si>
    <t>Camila Hernández</t>
  </si>
  <si>
    <t>Joaquin Tapia</t>
  </si>
  <si>
    <t>Marcela Villarroel</t>
  </si>
  <si>
    <t>Javiera Riveros</t>
  </si>
  <si>
    <t>2025-07-28 11:03</t>
  </si>
  <si>
    <t>2025-07-22 00:02</t>
  </si>
  <si>
    <t>Trinidad Errazuriz</t>
  </si>
  <si>
    <t>2025-07-04 12:07</t>
  </si>
  <si>
    <t>2025-07-04 11:57</t>
  </si>
  <si>
    <t>NOMBRE RETIRA: VERONICA VITO . RUT RETIRA: 11111111-1</t>
  </si>
  <si>
    <t>Silvia Boke</t>
  </si>
  <si>
    <t>2025-07-18 12:18</t>
  </si>
  <si>
    <t>2025-07-30 12:18</t>
  </si>
  <si>
    <t>2025-07-25 12:14</t>
  </si>
  <si>
    <t>2025-07-17 12:58</t>
  </si>
  <si>
    <t>2025-07-24 09:38</t>
  </si>
  <si>
    <t>2025-07-18 09:38</t>
  </si>
  <si>
    <t>2025-07-16 21:04</t>
  </si>
  <si>
    <t>2025-07-02 10:08</t>
  </si>
  <si>
    <t>NOMBRE RETIRA: PILAR . . RUT RETIRA: 53310370-7</t>
  </si>
  <si>
    <t>el mirador 02553</t>
  </si>
  <si>
    <t>NOMBRE RETIRA: MATIAS . . RUT RETIRA: 20055954-1</t>
  </si>
  <si>
    <t>2025-07-09 20:17</t>
  </si>
  <si>
    <t>2025-07-24 11:53</t>
  </si>
  <si>
    <t>2025-07-23 10:12</t>
  </si>
  <si>
    <t>2025-07-11 12:42</t>
  </si>
  <si>
    <t>Camilo Reyes</t>
  </si>
  <si>
    <t>2025-07-28 13:17</t>
  </si>
  <si>
    <t>2025-07-28 11:17</t>
  </si>
  <si>
    <t>2025-07-28 10:53</t>
  </si>
  <si>
    <t>2025-07-23 10:22</t>
  </si>
  <si>
    <t>2025-07-22 12:23</t>
  </si>
  <si>
    <t>2025-07-15 11:12</t>
  </si>
  <si>
    <t>Valeska Fernández</t>
  </si>
  <si>
    <t>2025-07-09 12:18</t>
  </si>
  <si>
    <t>2025-07-08 10:57</t>
  </si>
  <si>
    <t>2025-07-02 18:42</t>
  </si>
  <si>
    <t>2025-07-01 12:43</t>
  </si>
  <si>
    <t>2025-07-13 23:57</t>
  </si>
  <si>
    <t>2025-07-30 10:17</t>
  </si>
  <si>
    <t>2025-07-30 12:22</t>
  </si>
  <si>
    <t>2025-07-30 12:32</t>
  </si>
  <si>
    <t>NOMBRE RETIRA: ALEXIS ORELLANA . RUT RETIRA: 15518044-7</t>
  </si>
  <si>
    <t>2025-07-25 12:18</t>
  </si>
  <si>
    <t>2025-07-18 12:47</t>
  </si>
  <si>
    <t>Paulina Natalia Urra Mautz</t>
  </si>
  <si>
    <t>Pablo Suarez</t>
  </si>
  <si>
    <t>2025-07-15 10:07</t>
  </si>
  <si>
    <t>NOMBRE RETIRA: MIGUEL MEDINA . RUT RETIRA: 9893754-4</t>
  </si>
  <si>
    <t>NOMBRE RETIRA: YAMILET CASTILLO . RUT RETIRA: 17736384-7</t>
  </si>
  <si>
    <t>2025-07-07 11:17</t>
  </si>
  <si>
    <t>2025-07-02 12:02</t>
  </si>
  <si>
    <t>2025-07-01 12:32</t>
  </si>
  <si>
    <t>2025-06-30 13:47</t>
  </si>
  <si>
    <t>2025-07-22 12:22</t>
  </si>
  <si>
    <t>2025-07-20 23:17</t>
  </si>
  <si>
    <t>2025-07-17 23:27</t>
  </si>
  <si>
    <t>2025-07-17 12:37</t>
  </si>
  <si>
    <t>2025-07-14 12:18</t>
  </si>
  <si>
    <t>2025-07-14 12:16</t>
  </si>
  <si>
    <t>2025-07-12 11:42</t>
  </si>
  <si>
    <t>2025-07-10 14:27</t>
  </si>
  <si>
    <t>2025-07-07 13:52</t>
  </si>
  <si>
    <t>2025-07-03 11:02</t>
  </si>
  <si>
    <t>2025-07-23 13:12</t>
  </si>
  <si>
    <t>2025-07-19 11:52</t>
  </si>
  <si>
    <t>2025-07-21 18:57</t>
  </si>
  <si>
    <t>2025-07-17 00:07</t>
  </si>
  <si>
    <t>Jocelyn Gribbell</t>
  </si>
  <si>
    <t>JUAN CARLOS CONTRERAS GUENUMAN</t>
  </si>
  <si>
    <t>Miguel Giuliano</t>
  </si>
  <si>
    <t>2025-07-03 23:14</t>
  </si>
  <si>
    <t>2025-07-14 12:37</t>
  </si>
  <si>
    <t>2025-07-10 10:56</t>
  </si>
  <si>
    <t>2025-07-26 11:48</t>
  </si>
  <si>
    <t>2025-07-28 11:33</t>
  </si>
  <si>
    <t>2025-07-24 09:40</t>
  </si>
  <si>
    <t>2025-07-24 13:30</t>
  </si>
  <si>
    <t>2025-07-25 13:33</t>
  </si>
  <si>
    <t>2025-07-19 12:45</t>
  </si>
  <si>
    <t>2025-07-30 12:45</t>
  </si>
  <si>
    <t>2025-07-07 22:34</t>
  </si>
  <si>
    <t>2025-07-17 11:54</t>
  </si>
  <si>
    <t>2025-07-15 11:34</t>
  </si>
  <si>
    <t>2025-07-22 13:17</t>
  </si>
  <si>
    <t>2025-07-01 10:17</t>
  </si>
  <si>
    <t>Bertita Lizama</t>
  </si>
  <si>
    <t>2025-07-09 13:24</t>
  </si>
  <si>
    <t>BIT11029626</t>
  </si>
  <si>
    <t>18766564</t>
  </si>
  <si>
    <t>BACK IN TIME</t>
  </si>
  <si>
    <t>Stocka</t>
  </si>
  <si>
    <t>Andres Palacios</t>
  </si>
  <si>
    <t>Av. Campos de Deportes 405</t>
  </si>
  <si>
    <t>Eleuterio ramirez 1488 D401, Eleuterio Ramírez 1488</t>
  </si>
  <si>
    <t>2025-07-31 09:41</t>
  </si>
  <si>
    <t>BIT11029631</t>
  </si>
  <si>
    <t>18766561</t>
  </si>
  <si>
    <t>Berenice Schiele</t>
  </si>
  <si>
    <t>Avenida Ejército Libertador 520, Apt. 44A</t>
  </si>
  <si>
    <t>BIT11029634</t>
  </si>
  <si>
    <t>18766560</t>
  </si>
  <si>
    <t>Marta Arriagada Fuentes</t>
  </si>
  <si>
    <t>El acueducto 2945, Casa 109</t>
  </si>
  <si>
    <t>BIT11029641</t>
  </si>
  <si>
    <t>18766557</t>
  </si>
  <si>
    <t>Francisco Alarcon andrade</t>
  </si>
  <si>
    <t>Av ricardo cumming 1350, Dp 2022</t>
  </si>
  <si>
    <t>BIT11029644</t>
  </si>
  <si>
    <t>18766555</t>
  </si>
  <si>
    <t>osmary rodriguez</t>
  </si>
  <si>
    <t>Av las condes 12810, Dpto 303 A</t>
  </si>
  <si>
    <t>BIT11029650</t>
  </si>
  <si>
    <t>18766554</t>
  </si>
  <si>
    <t>Felipe Olmos</t>
  </si>
  <si>
    <t>María Teresa 6286, DPTO 804</t>
  </si>
  <si>
    <t>2025-07-31 12:12</t>
  </si>
  <si>
    <t>BIT11029567</t>
  </si>
  <si>
    <t>18762466</t>
  </si>
  <si>
    <t>Morales Michael</t>
  </si>
  <si>
    <t>Jose manuel borgoño 3152, Casa 3152</t>
  </si>
  <si>
    <t>BIT11029574</t>
  </si>
  <si>
    <t>18762462</t>
  </si>
  <si>
    <t>CLAUDIO JAIME PINTO PINTO</t>
  </si>
  <si>
    <t>AV. SALVADOR ALLENDE 961, 412</t>
  </si>
  <si>
    <t>BIT11029575</t>
  </si>
  <si>
    <t>18762461</t>
  </si>
  <si>
    <t>BIT11029580</t>
  </si>
  <si>
    <t>18762460</t>
  </si>
  <si>
    <t>Rocio Sandoval</t>
  </si>
  <si>
    <t>Goycolea 777, Departamento 216</t>
  </si>
  <si>
    <t>BIT11029592</t>
  </si>
  <si>
    <t>18762458</t>
  </si>
  <si>
    <t>Janet Altamirano</t>
  </si>
  <si>
    <t>Pasaje aluminio 4120 V . La Arboleda, Pasaje aluminio 4120</t>
  </si>
  <si>
    <t>2025-07-30 10:18</t>
  </si>
  <si>
    <t>BIT11029598</t>
  </si>
  <si>
    <t>18762457</t>
  </si>
  <si>
    <t>falconery oliveros diaz</t>
  </si>
  <si>
    <t>Roman Díaz 560, Departamento 404</t>
  </si>
  <si>
    <t>2025-07-30 12:00</t>
  </si>
  <si>
    <t>BIT11029550</t>
  </si>
  <si>
    <t>18758981</t>
  </si>
  <si>
    <t>Manuel Javier González Leal</t>
  </si>
  <si>
    <t>Los Castaños 3455, Apto. 1001</t>
  </si>
  <si>
    <t>2025-07-28 23:28</t>
  </si>
  <si>
    <t>BIT11029551</t>
  </si>
  <si>
    <t>18758980</t>
  </si>
  <si>
    <t>anderson diaz</t>
  </si>
  <si>
    <t>Comandante Andres soza 9210, 9210</t>
  </si>
  <si>
    <t>BIT11029556</t>
  </si>
  <si>
    <t>18758979</t>
  </si>
  <si>
    <t>pedro bisso</t>
  </si>
  <si>
    <t>camino de la plegaria 6782</t>
  </si>
  <si>
    <t>BIT11029560</t>
  </si>
  <si>
    <t>18758978</t>
  </si>
  <si>
    <t>Álvaro Zambrano Mora</t>
  </si>
  <si>
    <t>Av. Vicuña Mackenna Oriente 7320, 1613</t>
  </si>
  <si>
    <t>2025-07-29 11:50</t>
  </si>
  <si>
    <t>BIT11029564</t>
  </si>
  <si>
    <t>18758977</t>
  </si>
  <si>
    <t>Adriana Montilla</t>
  </si>
  <si>
    <t>Av Macul 6305, 1209D torre dominica</t>
  </si>
  <si>
    <t>2025-07-29 11:56</t>
  </si>
  <si>
    <t>BIT11029566</t>
  </si>
  <si>
    <t>18758976</t>
  </si>
  <si>
    <t>Sebastian Sanchez</t>
  </si>
  <si>
    <t>Ramon Toro Ibañez 5417, Casa A</t>
  </si>
  <si>
    <t>BIT11029538</t>
  </si>
  <si>
    <t>18754834</t>
  </si>
  <si>
    <t>Ariel Iribarne</t>
  </si>
  <si>
    <t>René Olivares Becerra 3179, 134</t>
  </si>
  <si>
    <t>BIT11029530</t>
  </si>
  <si>
    <t>18754833</t>
  </si>
  <si>
    <t>ROBERTO VELEZ VELEZ</t>
  </si>
  <si>
    <t>ALAMHUE 6424</t>
  </si>
  <si>
    <t>BIT11029526</t>
  </si>
  <si>
    <t>18754832</t>
  </si>
  <si>
    <t>Pablo Guzmán</t>
  </si>
  <si>
    <t>El Gabino 13220, Depto 202</t>
  </si>
  <si>
    <t>2025-07-27 22:16</t>
  </si>
  <si>
    <t>BIT11029518</t>
  </si>
  <si>
    <t>18754831</t>
  </si>
  <si>
    <t>Bettsimar Suarez</t>
  </si>
  <si>
    <t>General Freire 80, 1511 A</t>
  </si>
  <si>
    <t>BIT11029514</t>
  </si>
  <si>
    <t>18754829</t>
  </si>
  <si>
    <t>Ana Cespedes</t>
  </si>
  <si>
    <t>Avenida general juan buendia 517, Casa</t>
  </si>
  <si>
    <t>BIT11029512</t>
  </si>
  <si>
    <t>18754827</t>
  </si>
  <si>
    <t>Marisol Ribó</t>
  </si>
  <si>
    <t>Manuel Fischman 497, 497</t>
  </si>
  <si>
    <t>BIT11029507</t>
  </si>
  <si>
    <t>18754824</t>
  </si>
  <si>
    <t>Danilo Mayorga</t>
  </si>
  <si>
    <t>Carrion q249, Dpto 410</t>
  </si>
  <si>
    <t>BIT11029506</t>
  </si>
  <si>
    <t>18754823</t>
  </si>
  <si>
    <t>Moisés Crisóstomo</t>
  </si>
  <si>
    <t>María Monvel 762</t>
  </si>
  <si>
    <t>BIT11029504</t>
  </si>
  <si>
    <t>18754822</t>
  </si>
  <si>
    <t>Claudio Maureira</t>
  </si>
  <si>
    <t>Av. El Montijo 1290, casa 78</t>
  </si>
  <si>
    <t>BIT11029492</t>
  </si>
  <si>
    <t>18754821</t>
  </si>
  <si>
    <t>Roberto Martinez</t>
  </si>
  <si>
    <t>Av. Peru 1471, 405</t>
  </si>
  <si>
    <t>BIT11029458</t>
  </si>
  <si>
    <t>18748411</t>
  </si>
  <si>
    <t>Alejandro Alejos</t>
  </si>
  <si>
    <t>Fuenzalida Urrejola 125,, Dpto 913</t>
  </si>
  <si>
    <t>2025-07-25 09:47</t>
  </si>
  <si>
    <t>BIT11029451</t>
  </si>
  <si>
    <t>18748410</t>
  </si>
  <si>
    <t>Jeannette Campaña Aguirre</t>
  </si>
  <si>
    <t>Avenida El Parron 568, Departamento 411</t>
  </si>
  <si>
    <t>BIT11029453</t>
  </si>
  <si>
    <t>18748409</t>
  </si>
  <si>
    <t>Luis Lizama</t>
  </si>
  <si>
    <t>Agustinas 681, Departamento 1107</t>
  </si>
  <si>
    <t>BIT11029455</t>
  </si>
  <si>
    <t>18748408</t>
  </si>
  <si>
    <t>Gustavo Flores</t>
  </si>
  <si>
    <t>Teresa Vial 1400, 1301</t>
  </si>
  <si>
    <t>BIT11029460</t>
  </si>
  <si>
    <t>18748407</t>
  </si>
  <si>
    <t>Camino la loica 5095</t>
  </si>
  <si>
    <t>BIT11029462</t>
  </si>
  <si>
    <t>18748406</t>
  </si>
  <si>
    <t>Verónica Retamal</t>
  </si>
  <si>
    <t>Medinacelli 1226, Depto. 602</t>
  </si>
  <si>
    <t>2025-07-25 12:26</t>
  </si>
  <si>
    <t>BIT11029463</t>
  </si>
  <si>
    <t>18748405</t>
  </si>
  <si>
    <t>JAIME CEBALLOS VERGARA</t>
  </si>
  <si>
    <t>AVENIDA LAS CONDES 12810, 408 B</t>
  </si>
  <si>
    <t>BIT11029466</t>
  </si>
  <si>
    <t>18748403</t>
  </si>
  <si>
    <t>Sergio Durán</t>
  </si>
  <si>
    <t>Avenida Seminario 1700, Depto 1210</t>
  </si>
  <si>
    <t>BIT11029401</t>
  </si>
  <si>
    <t>18742292</t>
  </si>
  <si>
    <t>Paola Valdivia</t>
  </si>
  <si>
    <t>ciudad de los valles, Los cipreses 1302, Casa</t>
  </si>
  <si>
    <t>2025-07-23 12:32</t>
  </si>
  <si>
    <t>BIT11029406</t>
  </si>
  <si>
    <t>18742291</t>
  </si>
  <si>
    <t>Luis Tockus</t>
  </si>
  <si>
    <t>Av el tranque 12797, Departamento 64 torre vigia</t>
  </si>
  <si>
    <t>BIT11029409</t>
  </si>
  <si>
    <t>18742290</t>
  </si>
  <si>
    <t>WILIAN BELLO EUSTAQUIO</t>
  </si>
  <si>
    <t>AV SALVADOR 3074, PANADERIA</t>
  </si>
  <si>
    <t>BIT11029411</t>
  </si>
  <si>
    <t>18742288</t>
  </si>
  <si>
    <t>Ana María Miranda Onel</t>
  </si>
  <si>
    <t>San Carlos de Apoquindo 2991, A Dpto 207</t>
  </si>
  <si>
    <t>BIT11029413</t>
  </si>
  <si>
    <t>18742285</t>
  </si>
  <si>
    <t>Francisco Eduardo Yañez Espinosa</t>
  </si>
  <si>
    <t>Avenida Pedro de Valdivia 755, 404</t>
  </si>
  <si>
    <t>BIT11029410</t>
  </si>
  <si>
    <t>18742282</t>
  </si>
  <si>
    <t>Maria Soledad Moreno</t>
  </si>
  <si>
    <t>Calle Los Cactus 1898, 404</t>
  </si>
  <si>
    <t>BIT11029412</t>
  </si>
  <si>
    <t>18742281</t>
  </si>
  <si>
    <t>Marie-Cécile DE HARO</t>
  </si>
  <si>
    <t>LOS TALAVERAS 370, DEPTO 506</t>
  </si>
  <si>
    <t>BIT11029417</t>
  </si>
  <si>
    <t>18742280</t>
  </si>
  <si>
    <t>Mauricio Marchant</t>
  </si>
  <si>
    <t>Las Verbenas 8055, 608</t>
  </si>
  <si>
    <t>BIT11029418</t>
  </si>
  <si>
    <t>18742279</t>
  </si>
  <si>
    <t>roberto Senf</t>
  </si>
  <si>
    <t>Constancio Vigil 500, Casa 4, Casa 4</t>
  </si>
  <si>
    <t>BIT11029420</t>
  </si>
  <si>
    <t>18742277</t>
  </si>
  <si>
    <t>Rodrigo Villegas Munoz</t>
  </si>
  <si>
    <t>General Carol Urzúa 7030, Depto 202B</t>
  </si>
  <si>
    <t>BIT11029422</t>
  </si>
  <si>
    <t>18742276</t>
  </si>
  <si>
    <t>Christian Recart</t>
  </si>
  <si>
    <t>Amapolas 5565, 410</t>
  </si>
  <si>
    <t>BIT11029408</t>
  </si>
  <si>
    <t>18742275</t>
  </si>
  <si>
    <t>Oscar Garrido Arévalo</t>
  </si>
  <si>
    <t>Premio Nobel 3245, Dept.1005., Dept 1005</t>
  </si>
  <si>
    <t>BIT11029424</t>
  </si>
  <si>
    <t>18742274</t>
  </si>
  <si>
    <t>Isabel Riquelme 309, 1108</t>
  </si>
  <si>
    <t>BIT11029423</t>
  </si>
  <si>
    <t>18742273</t>
  </si>
  <si>
    <t>Katia Vogt</t>
  </si>
  <si>
    <t>Ibsen 6445, Dpto 32</t>
  </si>
  <si>
    <t>BIT11029427</t>
  </si>
  <si>
    <t>18742272</t>
  </si>
  <si>
    <t>ROSALYN CAROCA HOY</t>
  </si>
  <si>
    <t>Pje.Nocedal 6471casa B, Casa B</t>
  </si>
  <si>
    <t>BIT11029426</t>
  </si>
  <si>
    <t>18742271</t>
  </si>
  <si>
    <t>Francisco Vasquez</t>
  </si>
  <si>
    <t>José Domingo Cañas 2855, 302</t>
  </si>
  <si>
    <t>BIT11029399</t>
  </si>
  <si>
    <t>18738975</t>
  </si>
  <si>
    <t>Claudia Morales Torres</t>
  </si>
  <si>
    <t>Celia Zegers 141</t>
  </si>
  <si>
    <t>BIT11029396</t>
  </si>
  <si>
    <t>18738974</t>
  </si>
  <si>
    <t>Karen Kohn</t>
  </si>
  <si>
    <t>Los Queltehues 11480 - Lo Barneches, Casa en pasaje cerrado. Tocar el timbre</t>
  </si>
  <si>
    <t>BIT11029393</t>
  </si>
  <si>
    <t>18738972</t>
  </si>
  <si>
    <t>victor zelvaggio</t>
  </si>
  <si>
    <t>Av. Manuel Antonio Matta 549, local</t>
  </si>
  <si>
    <t>BIT11029384</t>
  </si>
  <si>
    <t>18738971</t>
  </si>
  <si>
    <t>Claudio De Pablo</t>
  </si>
  <si>
    <t>Eyzaguirre 0315, eyzaguirre esquina santa marta</t>
  </si>
  <si>
    <t>2025-07-21 23:43</t>
  </si>
  <si>
    <t>BIT11029378</t>
  </si>
  <si>
    <t>18738968</t>
  </si>
  <si>
    <t>Andres Cayuqueo</t>
  </si>
  <si>
    <t>1507 Carrion, independencia</t>
  </si>
  <si>
    <t>BIT11029559</t>
  </si>
  <si>
    <t>NOMBRE RETIRA: SERGIO RIQUELME . RUT RETIRA: 53324903-5</t>
  </si>
  <si>
    <t>Esteban Diaz</t>
  </si>
  <si>
    <t>Torremolinos 320, Departamento 1008</t>
  </si>
  <si>
    <t>BIT11029581</t>
  </si>
  <si>
    <t>NOMBRE RETIRA: PAULINA VEGA . RUT RETIRA: 13327612-2</t>
  </si>
  <si>
    <t>Juan Cubillos González</t>
  </si>
  <si>
    <t>Salvia 1172, Casa</t>
  </si>
  <si>
    <t>BIT11029577</t>
  </si>
  <si>
    <t>NOMBRE RETIRA: CLAUDIO GALLARDO T RUT RETIRA: 21327453-8</t>
  </si>
  <si>
    <t>Fabian Sanhueza Valenzuela</t>
  </si>
  <si>
    <t>Calle I 832, 308</t>
  </si>
  <si>
    <t>BIT11029597</t>
  </si>
  <si>
    <t>NOMBRE RETIRA: VIRGINIA RIFO . RUT RETIRA: 4436624-K</t>
  </si>
  <si>
    <t>Pasaje San Benito 356, 356</t>
  </si>
  <si>
    <t>BIT11029573</t>
  </si>
  <si>
    <t>NOMBRE RETIRA: CARLOS OSORIO . RUT RETIRA: 9412222-8</t>
  </si>
  <si>
    <t>jose mendoza alcayaga</t>
  </si>
  <si>
    <t>avda 7 lagunas 1075 depto 104 lomas de san sebastian concepcion, depto 104</t>
  </si>
  <si>
    <t>BIT11029599</t>
  </si>
  <si>
    <t>NOMBRE RETIRA: EUGENIA NAVARRETE . RUT RETIRA: 12010001-7</t>
  </si>
  <si>
    <t>Alejandro Torres Pincheira</t>
  </si>
  <si>
    <t>Dr. Eduardo Rioseco 1065</t>
  </si>
  <si>
    <t>2025-07-30 12:01</t>
  </si>
  <si>
    <t>BIT11029600</t>
  </si>
  <si>
    <t>NOMBRE RETIRA: MARIA OLEA . RUT RETIRA: 8205559-2</t>
  </si>
  <si>
    <t>Ingrid Olea</t>
  </si>
  <si>
    <t>Condominio Las Palmas, casa 7. San Vicente || Condominio Las Palmas, casa 7. San Vicente, Condominio Las Palmas casa 7</t>
  </si>
  <si>
    <t>BIT11029594</t>
  </si>
  <si>
    <t>NOMBRE RETIRA: MONSERT SANTIBANES J RUT RETIRA: 18430770-7</t>
  </si>
  <si>
    <t>Juan José Gazmuri 612, Casa 31</t>
  </si>
  <si>
    <t>BIT11029493</t>
  </si>
  <si>
    <t>NOMBRE RETIRA: WALTER BENET . RUT RETIRA: 8923506-5</t>
  </si>
  <si>
    <t>Silvana Moya Rossi</t>
  </si>
  <si>
    <t>Av.Arturo Prat 3120, 91</t>
  </si>
  <si>
    <t>BIT11029533</t>
  </si>
  <si>
    <t>NOMBRE RETIRA: CLAUDIA CONTRERAS . RUT RETIRA: 17736384-7</t>
  </si>
  <si>
    <t>Jimena Seura</t>
  </si>
  <si>
    <t>Antilhue 01302, Depto 107, Ridolfo</t>
  </si>
  <si>
    <t>BIT11029485</t>
  </si>
  <si>
    <t>NOMBRE RETIRA: EDUARDO ARAYA 0 RUT RETIRA: 12345678-5</t>
  </si>
  <si>
    <t>Juan Antonio Anelli</t>
  </si>
  <si>
    <t>Travesía de Los Vientos 03008, 503</t>
  </si>
  <si>
    <t>2025-07-26 11:20</t>
  </si>
  <si>
    <t>BIT11029494</t>
  </si>
  <si>
    <t>NOMBRE RETIRA: ANTONIO AMPUERO FUENTEALBA RUT RETIRA: 1111111-4</t>
  </si>
  <si>
    <t>Elvira Sepulveda 130</t>
  </si>
  <si>
    <t>BIT11029523</t>
  </si>
  <si>
    <t>NOMBRE RETIRA: FLOR ROJAS . RUT RETIRA: 6365298-9</t>
  </si>
  <si>
    <t>Luis Quiroga castro</t>
  </si>
  <si>
    <t>Los chunchos 3685</t>
  </si>
  <si>
    <t>BIT11029500</t>
  </si>
  <si>
    <t>NOMBRE RETIRA: AMPARO ZULETA 0 RUT RETIRA: 12345678-5</t>
  </si>
  <si>
    <t>Barbara González Zúñiga</t>
  </si>
  <si>
    <t>Av. Jaime Guzmán Errazuriz 4080, Depto 1603</t>
  </si>
  <si>
    <t>BIT11029520</t>
  </si>
  <si>
    <t>NOMBRE RETIRA: IVAN GARCIA . RUT RETIRA: 65026036-8</t>
  </si>
  <si>
    <t>Iván Garcia Contreras</t>
  </si>
  <si>
    <t>Calle Mercedes nr. 461, Departamento 208</t>
  </si>
  <si>
    <t>BIT11029502</t>
  </si>
  <si>
    <t>NOMBRE RETIRA: ALEJANDRA FRITIS E RUT RETIRA: 19248643-2</t>
  </si>
  <si>
    <t>Alejandra Fritis Estay</t>
  </si>
  <si>
    <t>Inglaterra 371, Casa</t>
  </si>
  <si>
    <t>BIT11029484</t>
  </si>
  <si>
    <t>NOMBRE RETIRA: ROBERTO PLAZA . RUT RETIRA: 14098581-3</t>
  </si>
  <si>
    <t>Roberto Plaza Zenteno</t>
  </si>
  <si>
    <t>Pasaje El Chañar 592</t>
  </si>
  <si>
    <t>BIT11029503</t>
  </si>
  <si>
    <t>NOMBRE RETIRA: LORENA DEVOTO * RUT RETIRA: 12003964-4</t>
  </si>
  <si>
    <t>Maria Liliana Delgadillo Vera</t>
  </si>
  <si>
    <t>Balmaceda 454, cerro castillo, Casa</t>
  </si>
  <si>
    <t>BIT11029483</t>
  </si>
  <si>
    <t>Max Rodríguez Rodriguez</t>
  </si>
  <si>
    <t>Avenida espana 1020 valdivia, Frente hotel villa del rio</t>
  </si>
  <si>
    <t>BIT11029477</t>
  </si>
  <si>
    <t>NOMBRE RETIRA: PAMELA TENORIO . RUT RETIRA: 76669508-6</t>
  </si>
  <si>
    <t>Arturo Medina medina</t>
  </si>
  <si>
    <t>Las lilas 62</t>
  </si>
  <si>
    <t>BIT11029475</t>
  </si>
  <si>
    <t>NOMBRE RETIRA: MILKA MARTINOVIC . RUT RETIRA: 19599564-8</t>
  </si>
  <si>
    <t>Milka Martinovic Jamade</t>
  </si>
  <si>
    <t>Alerce Andino 1148, Casa</t>
  </si>
  <si>
    <t>BIT11029472</t>
  </si>
  <si>
    <t>NOMBRE RETIRA: FELIPE CURIMAN T RUT RETIRA: 21327453-8</t>
  </si>
  <si>
    <t>Ricardo Espejo</t>
  </si>
  <si>
    <t>calle G 833, 701</t>
  </si>
  <si>
    <t>BIT11029522</t>
  </si>
  <si>
    <t>NOMBRE RETIRA: MARTA PARRA T RUT RETIRA: 21327453-8</t>
  </si>
  <si>
    <t>Rodrigo Leyton</t>
  </si>
  <si>
    <t>Calle f 910 casa, 10</t>
  </si>
  <si>
    <t>BIT11029490</t>
  </si>
  <si>
    <t>NOMBRE RETIRA: MARTA PARRAT T RUT RETIRA: 21327453-8</t>
  </si>
  <si>
    <t>Rodrigo Leyotn</t>
  </si>
  <si>
    <t>Calle f 910 casa 10, 10</t>
  </si>
  <si>
    <t>BIT11029497</t>
  </si>
  <si>
    <t>NOMBRE RETIRA: FIDEL GOMEZ CONSERJERIA RUT RETIRA: 9550500-7</t>
  </si>
  <si>
    <t>Marilde Avalos</t>
  </si>
  <si>
    <t>Los Arrayanes 1329, Depto B 407</t>
  </si>
  <si>
    <t>BIT11029505</t>
  </si>
  <si>
    <t>NOMBRE RETIRA: RAUL MARTINEZ . RUT RETIRA: 65042547-2</t>
  </si>
  <si>
    <t>JOSE REGUEIRO NUÑEZ</t>
  </si>
  <si>
    <t>3 ORIENTE 631, DEPARTAMENTO 114</t>
  </si>
  <si>
    <t>BIT11029534</t>
  </si>
  <si>
    <t>NOMBRE RETIRA: GLORIA MIRYAM . RUT RETIRA: 8127504-1</t>
  </si>
  <si>
    <t>Gloria Myriam Cazabon Gómex</t>
  </si>
  <si>
    <t>Ejercito 764 Concepcion, Bodega Copec</t>
  </si>
  <si>
    <t>BIT11029532</t>
  </si>
  <si>
    <t>NOMBRE RETIRA: PAULINA CID . RUT RETIRA: 15502643-K</t>
  </si>
  <si>
    <t>Claudio Pons</t>
  </si>
  <si>
    <t>Carlos Dittborn 01081, Casa</t>
  </si>
  <si>
    <t>BIT11029536</t>
  </si>
  <si>
    <t>NOMBRE RETIRA: BERNADDO AGUAYO .. RUT RETIRA: 20500100-K</t>
  </si>
  <si>
    <t>Margarita Arias Ramos</t>
  </si>
  <si>
    <t>ConstituciÓn 923, Departamento 303, Chillan 303, 303 chillan</t>
  </si>
  <si>
    <t>BIT11029511</t>
  </si>
  <si>
    <t>NOMBRE RETIRA: VERONICA ORTIZ K H RUT RETIRA: 22204577-0</t>
  </si>
  <si>
    <t>Av 2 norte 4793 , edificio cordillera 48 1/2 oriente ., Depto 602</t>
  </si>
  <si>
    <t>BIT11029531</t>
  </si>
  <si>
    <t>NOMBRE RETIRA: RICARDO BURGOS CONSERJE RUT RETIRA: 7637920-3</t>
  </si>
  <si>
    <t>Felipe Montoya</t>
  </si>
  <si>
    <t>Las Rosas 1835; casa 6 - Huertos Familiares, San Pedro de la Paz.</t>
  </si>
  <si>
    <t>BIT11029349</t>
  </si>
  <si>
    <t>NOMBRE RETIRA: FRANCO MUNOZ . RUT RETIRA: 16933311-4</t>
  </si>
  <si>
    <t>Franco Muñoz Medina</t>
  </si>
  <si>
    <t>Magallanes 283, 3er piso, coyhaique</t>
  </si>
  <si>
    <t>2025-07-20 23:02</t>
  </si>
  <si>
    <t>BIT11029496</t>
  </si>
  <si>
    <t>NOMBRE RETIRA: ISIDORA VALENCIA . RUT RETIRA: 22243144-1</t>
  </si>
  <si>
    <t>rodrigo villaseca</t>
  </si>
  <si>
    <t>GENARO LISBOA260</t>
  </si>
  <si>
    <t>BIT11029488</t>
  </si>
  <si>
    <t>NOMBRE RETIRA: ELIZABE F J RUT RETIRA: 15118584-3</t>
  </si>
  <si>
    <t>Jacqueline Elizabeth Arias herrera</t>
  </si>
  <si>
    <t>Monseñor larrain 1327 villa centinela centro, Negocio carniceria</t>
  </si>
  <si>
    <t>BIT11029539</t>
  </si>
  <si>
    <t>NOMBRE RETIRA: MADELEINE RAMIREZ . RUT RETIRA: 17749913-7</t>
  </si>
  <si>
    <t>Maria José Fuentealba Campos</t>
  </si>
  <si>
    <t>Avenida O'Higgins 1271</t>
  </si>
  <si>
    <t>BIT11029499</t>
  </si>
  <si>
    <t>NOMBRE RETIRA: EDGARDO LOPEZ . RUT RETIRA: 15162050-7</t>
  </si>
  <si>
    <t>Patricio Sandoval</t>
  </si>
  <si>
    <t>Avenida ohiggins 1490</t>
  </si>
  <si>
    <t>BIT11029359</t>
  </si>
  <si>
    <t>María Hidalgo</t>
  </si>
  <si>
    <t>Ignacio Serrano 857</t>
  </si>
  <si>
    <t>BIT11029527</t>
  </si>
  <si>
    <t>NOMBRE RETIRA: TAMAS VALLADARES . RUT RETIRA: 18258491-6</t>
  </si>
  <si>
    <t>Victoria Foncea Cortes</t>
  </si>
  <si>
    <t>Victor juri henriquez 1450, Casa 53</t>
  </si>
  <si>
    <t>BIT11029465</t>
  </si>
  <si>
    <t>NOMBRE RETIRA: LUIS FELIPE CEAS DIAZ RUT RETIRA: 20179345-9</t>
  </si>
  <si>
    <t>Luis Felipe Jesús Ceas Díaz</t>
  </si>
  <si>
    <t>Camino el algarrobo 635, Casa gris, carretera.</t>
  </si>
  <si>
    <t>BIT11029439</t>
  </si>
  <si>
    <t>NOMBRE RETIRA: DANILO PEREZ . RUT RETIRA: 15261650-3</t>
  </si>
  <si>
    <t>GUILLERMO PATRICIO RAUCH BRICENO</t>
  </si>
  <si>
    <t>Ramon Picarte 3592 - Vald</t>
  </si>
  <si>
    <t>BIT11029447</t>
  </si>
  <si>
    <t>NOMBRE RETIRA: ALEJA DRO STEVENS S RUT RETIRA: 17989081-K</t>
  </si>
  <si>
    <t>Alejandro Stevens</t>
  </si>
  <si>
    <t>Pasaje Santa Mariana 1750 Villa Santa Marta</t>
  </si>
  <si>
    <t>BIT11029438</t>
  </si>
  <si>
    <t>NOMBRE RETIRA: HERNAN DELGADILLO * RUT RETIRA: 6076083-7</t>
  </si>
  <si>
    <t>Maria Liliana</t>
  </si>
  <si>
    <t>Balmaceda 454 cerro castilll, Casa</t>
  </si>
  <si>
    <t>BIT11029461</t>
  </si>
  <si>
    <t>NOMBRE RETIRA: MIGUEL APARICIO . RUT RETIRA: 13232459-K</t>
  </si>
  <si>
    <t>Miguel Aparicio</t>
  </si>
  <si>
    <t>Camino Antuco Km 3 Condominio 7Rios, Casa 20</t>
  </si>
  <si>
    <t>BIT11029464</t>
  </si>
  <si>
    <t>NOMBRE RETIRA: JAVIERA AGUIRRE ... RUT RETIRA: 19021269-6</t>
  </si>
  <si>
    <t>Luisa Muñoz</t>
  </si>
  <si>
    <t>Río pangal 1172  villa lo castillo</t>
  </si>
  <si>
    <t>BIT11029459</t>
  </si>
  <si>
    <t>NOMBRE RETIRA: JUAN CARLOS ABARCA * RUT RETIRA: 56016420-3</t>
  </si>
  <si>
    <t>Avenida La Marina 138, dpto 101</t>
  </si>
  <si>
    <t>BIT11029436</t>
  </si>
  <si>
    <t>NOMBRE RETIRA: CARLOS BERNAL . RUT RETIRA: 12126423-4</t>
  </si>
  <si>
    <t>Carlos BERNAL</t>
  </si>
  <si>
    <t>Principal 34 Pucalan, Camino a Nogales x la costa</t>
  </si>
  <si>
    <t>2025-07-24 00:06</t>
  </si>
  <si>
    <t>BIT11029456</t>
  </si>
  <si>
    <t>NOMBRE RETIRA: TERRA MOLINO N RUT RETIRA: 53325817-4</t>
  </si>
  <si>
    <t>Rodrigo Tobar Casanova</t>
  </si>
  <si>
    <t>BerlÍn 1602, Departamento B 101, Departamento B 101</t>
  </si>
  <si>
    <t>BIT11029446</t>
  </si>
  <si>
    <t>NOMBRE RETIRA: LUIS SILVA Y RUT RETIRA: 16228910-1</t>
  </si>
  <si>
    <t>Renate Kocksch</t>
  </si>
  <si>
    <t>Orompello 450</t>
  </si>
  <si>
    <t>BIT11029449</t>
  </si>
  <si>
    <t>NOMBRE RETIRA: MIGUEL VALERO A RUT RETIRA: 20137133-3</t>
  </si>
  <si>
    <t>Miguel Valero Donoso</t>
  </si>
  <si>
    <t>Jorge Huneus 153, Frente a recauchajes llacs</t>
  </si>
  <si>
    <t>BIT11029415</t>
  </si>
  <si>
    <t>NOMBRE RETIRA: CINTHIA . . RUT RETIRA: 9280845-9</t>
  </si>
  <si>
    <t>sussan estrada</t>
  </si>
  <si>
    <t>Sergio ortega 380, 604</t>
  </si>
  <si>
    <t>BIT11029404</t>
  </si>
  <si>
    <t>NOMBRE RETIRA: MARY ARRIECHE . RUT RETIRA: 26907183-4</t>
  </si>
  <si>
    <t>Omar Williams López</t>
  </si>
  <si>
    <t>18 de septiembre 1961. Departamento 503</t>
  </si>
  <si>
    <t>BIT11029419</t>
  </si>
  <si>
    <t>NOMBRE RETIRA: DAIMARY MENDOZA 0 RUT RETIRA: 12345678-5</t>
  </si>
  <si>
    <t>Avenida Jaime Guzman 4100, 909</t>
  </si>
  <si>
    <t>BIT11029350</t>
  </si>
  <si>
    <t>NOMBRE RETIRA: ERWIN MOLINA ARRIAGADA RUT RETIRA: 15015270-4</t>
  </si>
  <si>
    <t>Erwin Molina Arriagada</t>
  </si>
  <si>
    <t>Casa, Hauka Huali Oriente 2919</t>
  </si>
  <si>
    <t>BIT11029402</t>
  </si>
  <si>
    <t>NOMBRE RETIRA: JIMENA . . RUT RETIRA: 10922801-K</t>
  </si>
  <si>
    <t>Bayron Jamet quezada</t>
  </si>
  <si>
    <t>Oficina anita 285, Departamento D54</t>
  </si>
  <si>
    <t>BIT11029414</t>
  </si>
  <si>
    <t>NOMBRE RETIRA: LUNDA VERA . RUT RETIRA: 76669508-6</t>
  </si>
  <si>
    <t>Lynda Vera</t>
  </si>
  <si>
    <t>Fernando Hoffman 1731, Fernando Hoffman 1731, Fernando Hoffman 1731, Fernando Hoffman 1731, Fernando Hoffman 1731, Fernando Hoffman 1731, Fernando Hoffman 1731</t>
  </si>
  <si>
    <t>BIT11029326</t>
  </si>
  <si>
    <t>NOMBRE RETIRA: RITA GONZALEZ A RUT RETIRA: 9958990-6</t>
  </si>
  <si>
    <t>DIEGO galdames GALDAMES</t>
  </si>
  <si>
    <t>Libertad 2272</t>
  </si>
  <si>
    <t>2025-07-19 11:30</t>
  </si>
  <si>
    <t>BIT11029392</t>
  </si>
  <si>
    <t>NOMBRE RETIRA: SONIA SAIRE . RUT RETIRA: 12345678-5</t>
  </si>
  <si>
    <t>Abraham Aguilar</t>
  </si>
  <si>
    <t>Las buganbilias 2524-A, Casa verde</t>
  </si>
  <si>
    <t>BIT11029377</t>
  </si>
  <si>
    <t>NOMBRE RETIRA: FFERANDA AGUIRRE . RUT RETIRA: 19397046-K</t>
  </si>
  <si>
    <t>Aldo Galleguillos tapia</t>
  </si>
  <si>
    <t>Ohiggins 1650, Depto 1703, Departamento 1703</t>
  </si>
  <si>
    <t>BIT11029394</t>
  </si>
  <si>
    <t>NOMBRE RETIRA: MACARENA SANCHE . RUT RETIRA: 17200358-3</t>
  </si>
  <si>
    <t>Alvaro Leiva salgado</t>
  </si>
  <si>
    <t>avenida arturo prat 1170 ,, 714</t>
  </si>
  <si>
    <t>BIT11029389</t>
  </si>
  <si>
    <t>NOMBRE RETIRA: LORENA GUARDIA M RUT RETIRA: 8999905-7</t>
  </si>
  <si>
    <t>Lorena Guardia Rojas</t>
  </si>
  <si>
    <t>Cotacotani, 2588</t>
  </si>
  <si>
    <t>BIT11029374</t>
  </si>
  <si>
    <t>NOMBRE RETIRA: RENATO SANCHEZ . RUT RETIRA: 18160256-2</t>
  </si>
  <si>
    <t>Renato Sanchez</t>
  </si>
  <si>
    <t>Tucapel 2451, ,</t>
  </si>
  <si>
    <t>2025-07-21 11:32</t>
  </si>
  <si>
    <t>BIT11029403</t>
  </si>
  <si>
    <t>NOMBRE RETIRA: MARIANELA ROSAS . RUT RETIRA: 8597360-6</t>
  </si>
  <si>
    <t>Antonio Kindley Rosas</t>
  </si>
  <si>
    <t>Cesar Ercilla 1870, Casa Blanca</t>
  </si>
  <si>
    <t>BIT11029210</t>
  </si>
  <si>
    <t>NOMBRE RETIRA: DIEGO MAIKLE . RUT RETIRA: 16975248-6</t>
  </si>
  <si>
    <t>Diego Meikle Medina</t>
  </si>
  <si>
    <t>Magallanes 418, Casa</t>
  </si>
  <si>
    <t>2025-07-14 22:38</t>
  </si>
  <si>
    <t>BIT11029342</t>
  </si>
  <si>
    <t>NOMBRE RETIRA: CLORINDA ORMAZABAL . RUT RETIRA: 8373265-2</t>
  </si>
  <si>
    <t>Juan Orlando lopez chavez</t>
  </si>
  <si>
    <t>San Diego 681, Casa</t>
  </si>
  <si>
    <t>BIT11029390</t>
  </si>
  <si>
    <t>NOMBRE RETIRA: DAVID FRITIS FRITIS RUT RETIRA: 20783738-5</t>
  </si>
  <si>
    <t>David Fritis Contreras</t>
  </si>
  <si>
    <t>Sargento aldea 315, Torre mar, departamento 1212</t>
  </si>
  <si>
    <t>BIT11029405</t>
  </si>
  <si>
    <t>NOMBRE RETIRA: ADTIANA VASQUWZ H RUT RETIRA: 10601999-1</t>
  </si>
  <si>
    <t>Adriana Vasquez</t>
  </si>
  <si>
    <t>Casa, Santa Laura 094</t>
  </si>
  <si>
    <t>BIT11029407</t>
  </si>
  <si>
    <t>NOMBRE RETIRA: LILY BAHAMONDES S RUT RETIRA: 18217092-5</t>
  </si>
  <si>
    <t>Lily Bahamondes</t>
  </si>
  <si>
    <t>Torre 4 depto 203 edif Peñon Oriente, Avenida El Portal Del Libertador 1088, 203</t>
  </si>
  <si>
    <t>BIT11029352</t>
  </si>
  <si>
    <t>NOMBRE RETIRA: EUSEBIO OLIVARES . RUT RETIRA: 13414454-8</t>
  </si>
  <si>
    <t>Ivan Mendoza</t>
  </si>
  <si>
    <t>Salvador allende gossens 555, Depto 74 torre A</t>
  </si>
  <si>
    <t>BIT11029400</t>
  </si>
  <si>
    <t>NOMBRE RETIRA: RAQUEL HIFALGO B RUT RETIRA: 9935439-9</t>
  </si>
  <si>
    <t>Nelson Marin Guzman</t>
  </si>
  <si>
    <t>Casa Papa, Senador Florencio duran 480, Manso Velasco, Senador Florencio duran 480, Manso Velasco</t>
  </si>
  <si>
    <t>BIT11029221</t>
  </si>
  <si>
    <t>NOMBRE RETIRA: JUAN CONTRERAS . RUT RETIRA: 15304813-4</t>
  </si>
  <si>
    <t>Coyhaique, Calle Dos 775</t>
  </si>
  <si>
    <t>BIT11029302</t>
  </si>
  <si>
    <t>NOMBRE RETIRA: CESAR BUSTOS X RUT RETIRA: 1111111-4</t>
  </si>
  <si>
    <t>CESAR BUSTOS</t>
  </si>
  <si>
    <t>HERNANDO DE MAGALLANES 011 b, 011 B</t>
  </si>
  <si>
    <t>BIT11029395</t>
  </si>
  <si>
    <t>NOMBRE RETIRA: JESNIEL DOMINGUES . RUT RETIRA: 28477126-5</t>
  </si>
  <si>
    <t>Oscar jarek Rojas hidalgo</t>
  </si>
  <si>
    <t>Dionisio hernandez 137, Local comercial</t>
  </si>
  <si>
    <t>BIT11029368</t>
  </si>
  <si>
    <t>NOMBRE RETIRA: DOLLY VERGARA V RUT RETIRA: 15030767-8</t>
  </si>
  <si>
    <t>Dolly Vergara</t>
  </si>
  <si>
    <t>Av los loros 2525 los Volcanes, Casa</t>
  </si>
  <si>
    <t>BIT11029387</t>
  </si>
  <si>
    <t>NOMBRE RETIRA: EDUARDO RETAMAL . RUT RETIRA: 53335345-2</t>
  </si>
  <si>
    <t>Javier Torres schlegel</t>
  </si>
  <si>
    <t>Luis duran 05020, Departamento torre D depto 410</t>
  </si>
  <si>
    <t>BIT11029364</t>
  </si>
  <si>
    <t>NOMBRE RETIRA: HUMBERTO LAGOMARSINO . RUT RETIRA: 65026036-8</t>
  </si>
  <si>
    <t>Humberto Lagomarsino</t>
  </si>
  <si>
    <t>Mercedes 461, Placeres, departamento 1106</t>
  </si>
  <si>
    <t>BIT11029360</t>
  </si>
  <si>
    <t>NOMBRE RETIRA: SOTO . . RUT RETIRA: 53310370-7</t>
  </si>
  <si>
    <t>Mixchar Miquel</t>
  </si>
  <si>
    <t>Avenida Gabriela Mistral 03325, Casa 22</t>
  </si>
  <si>
    <t>BIT11029103</t>
  </si>
  <si>
    <t>NOMBRE RETIRA: EDUARDO LEIVA . RUT RETIRA: 17910293-5</t>
  </si>
  <si>
    <t>Eduardo Leiva</t>
  </si>
  <si>
    <t>Manantiales 0278, Casa</t>
  </si>
  <si>
    <t>BIT11029340</t>
  </si>
  <si>
    <t>NOMBRE RETIRA: PABLO SUAREZ . RUT RETIRA: 17107972-1</t>
  </si>
  <si>
    <t>Santiago rosas 2773, 40</t>
  </si>
  <si>
    <t>BIT11029386</t>
  </si>
  <si>
    <t>NOMBRE RETIRA: AVEL . . RUT RETIRA: 13985116-1</t>
  </si>
  <si>
    <t>Juan pablo Rebolar ortega</t>
  </si>
  <si>
    <t>Ruta f382 km5 Parcela 32 san isidro, Quillota</t>
  </si>
  <si>
    <t>BIT11029307</t>
  </si>
  <si>
    <t>NOMBRE RETIRA: PATRICIO SAAVEDRA . RUT RETIRA: 8727709-7</t>
  </si>
  <si>
    <t>Patricio Saavedra Saavedra carvajal</t>
  </si>
  <si>
    <t>Cerro trapecio 01676</t>
  </si>
  <si>
    <t>BIT11029369</t>
  </si>
  <si>
    <t>NOMBRE RETIRA: ALEJANDRO RODRIGES . RUT RETIRA: 18805117-0</t>
  </si>
  <si>
    <t>Alejandro Rodríguez bLatin</t>
  </si>
  <si>
    <t>Avenida de la Trinidad 1374</t>
  </si>
  <si>
    <t>BIT11029131</t>
  </si>
  <si>
    <t>NOMBRE RETIRA: FRANCISCO PAREDE . RUT RETIRA: 18791348-9</t>
  </si>
  <si>
    <t>Luis Rivera Venegas</t>
  </si>
  <si>
    <t>Nicolas Tirado, Depto 34 Torre B</t>
  </si>
  <si>
    <t>2025-07-12 00:42</t>
  </si>
  <si>
    <t>BIT11029382</t>
  </si>
  <si>
    <t>NOMBRE RETIRA: GUILL RAUCH .. RUT RETIRA: 7633319-K</t>
  </si>
  <si>
    <t>BIT11029348</t>
  </si>
  <si>
    <t>NOMBRE RETIRA: ISIDORA SALAS .. RUT RETIRA: 18803625-2</t>
  </si>
  <si>
    <t>Miguel Cea</t>
  </si>
  <si>
    <t>Avenida Los Ángeles 288, Casa</t>
  </si>
  <si>
    <t>BIT11029375</t>
  </si>
  <si>
    <t>NOMBRE RETIRA: MARIA HORTA . RUT RETIRA: 18785936-0</t>
  </si>
  <si>
    <t>Roodrigo villaseca Villaseca</t>
  </si>
  <si>
    <t>Local, Genaro Lisboa 260</t>
  </si>
  <si>
    <t>BIT11029330</t>
  </si>
  <si>
    <t>NOMBRE RETIRA: JAIME ORTIZ . RUT RETIRA: 13737273-8</t>
  </si>
  <si>
    <t>Aura Elena Guerrero Gallardo</t>
  </si>
  <si>
    <t>Federico errazuriz 536, Casa</t>
  </si>
  <si>
    <t>BIT11029398</t>
  </si>
  <si>
    <t>NOMBRE RETIRA: ANDREA BARRAZA . RUT RETIRA: 17217889-8</t>
  </si>
  <si>
    <t>alvaro hinojosa</t>
  </si>
  <si>
    <t>Exequiel Larenas 419, 419</t>
  </si>
  <si>
    <t>BIT11029358</t>
  </si>
  <si>
    <t>NOMBRE RETIRA: CLAUDIA FUENTES . RUT RETIRA: 12043082-3</t>
  </si>
  <si>
    <t>Roxana Fuentes</t>
  </si>
  <si>
    <t>Camino san ramon 8400, 7b</t>
  </si>
  <si>
    <t>BIT11029188</t>
  </si>
  <si>
    <t>NOMBRE RETIRA: YOCELIN OVANDO . RUT RETIRA: 18103208-1</t>
  </si>
  <si>
    <t>Alexis Molinet</t>
  </si>
  <si>
    <t>21 de mayo 605 esquina Simón Bolivar, Fiscalía Regional</t>
  </si>
  <si>
    <t>BIT11029354</t>
  </si>
  <si>
    <t>Paola Artes</t>
  </si>
  <si>
    <t>Avda libertador bernardo ohiggins 03065, Hospital franco ravera</t>
  </si>
  <si>
    <t>BIT11029372</t>
  </si>
  <si>
    <t>NOMBRE RETIRA: MARIA BRITO N RUT RETIRA: 11547330-1</t>
  </si>
  <si>
    <t>Pablo Arancibia kindley</t>
  </si>
  <si>
    <t>Las Acacias 0175, Casa 23, Casa 23</t>
  </si>
  <si>
    <t>BIT11029328</t>
  </si>
  <si>
    <t>NOMBRE RETIRA: MARIA PAZ CALISTO . RUT RETIRA: 20868359-4</t>
  </si>
  <si>
    <t>Luis Ovando</t>
  </si>
  <si>
    <t>Las Piedras 0 con Avda Alemania, Frutillar Bajo ( Hospital de Frutillar)</t>
  </si>
  <si>
    <t>BIT11029319</t>
  </si>
  <si>
    <t>NOMBRE RETIRA: CARLOS SOTO . RUT RETIRA: 16008888-5</t>
  </si>
  <si>
    <t>Carlos Soto Mella</t>
  </si>
  <si>
    <t>John Pomeroy 3219</t>
  </si>
  <si>
    <t>BIT11029324</t>
  </si>
  <si>
    <t>NOMBRE RETIRA: LUIGI TASSARA LEVEQUE RUT RETIRA: 11679708-9</t>
  </si>
  <si>
    <t>LUIGI TASSARA Leveque</t>
  </si>
  <si>
    <t>Federico guzmán 149</t>
  </si>
  <si>
    <t>BIT11029303</t>
  </si>
  <si>
    <t>NOMBRE RETIRA: GLORIA CARRASCO . RUT RETIRA: 18974503-6</t>
  </si>
  <si>
    <t>Manuel Rodriguez Zambrano</t>
  </si>
  <si>
    <t>2 sur 870, Oficina 1214</t>
  </si>
  <si>
    <t>BIT11028993</t>
  </si>
  <si>
    <t>NOMBRE RETIRA: JESUCA CAMPOS . RUT RETIRA: 8106091-6</t>
  </si>
  <si>
    <t>Jessica Campos</t>
  </si>
  <si>
    <t>Calle 3 Proyectada 680. Población  Loteo Patagonia</t>
  </si>
  <si>
    <t>2025-07-08 12:27</t>
  </si>
  <si>
    <t>BIT11029315</t>
  </si>
  <si>
    <t>NOMBRE RETIRA: JAQUELINA QUILES . RUT RETIRA: 21433037-7</t>
  </si>
  <si>
    <t>Jaquelina quiles Quiles de caceres</t>
  </si>
  <si>
    <t>Avenida lis glaciares 366, Villa Vista Cordillera 3</t>
  </si>
  <si>
    <t>BIT11029312</t>
  </si>
  <si>
    <t>NOMBRE RETIRA: HUGO GONZALEZ ...... RUT RETIRA: 16819849-3</t>
  </si>
  <si>
    <t>Ortiz De Rosas 1250, 12</t>
  </si>
  <si>
    <t>BIT11029309</t>
  </si>
  <si>
    <t>NOMBRE RETIRA: HECTOR CASTILLO . RUT RETIRA: 15017965-3</t>
  </si>
  <si>
    <t>Hector Castillo Gavia</t>
  </si>
  <si>
    <t>Camino las termas 986 condominio bosques de nogales, Casa 11</t>
  </si>
  <si>
    <t>BIT11029295</t>
  </si>
  <si>
    <t>NOMBRE RETIRA: JUAN VALENZUELA . RUT RETIRA: 53326638-K</t>
  </si>
  <si>
    <t>Luis Vega Russell</t>
  </si>
  <si>
    <t>Av. Las lomas 180, curauma, 27</t>
  </si>
  <si>
    <t>2025-07-17 23:22</t>
  </si>
  <si>
    <t>BIT11029234</t>
  </si>
  <si>
    <t>NOMBRE RETIRA: ALDAIR MAMANI . RUT RETIRA: 12345678-5</t>
  </si>
  <si>
    <t>Aldair Mamani abasto</t>
  </si>
  <si>
    <t>Agustín marin 4274, Casa</t>
  </si>
  <si>
    <t>BIT11029293</t>
  </si>
  <si>
    <t>NOMBRE RETIRA: PABLO INOZTROZA X RUT RETIRA: 15654146-K</t>
  </si>
  <si>
    <t>Pablo Inostroza</t>
  </si>
  <si>
    <t>Maria saavedra 720</t>
  </si>
  <si>
    <t>BIT11029292</t>
  </si>
  <si>
    <t>NOMBRE RETIRA: TANIA CORRALES . RUT RETIRA: 17655468-1</t>
  </si>
  <si>
    <t>Sinia León Olivares</t>
  </si>
  <si>
    <t>Puritama 688, Villa Caspana</t>
  </si>
  <si>
    <t>BIT11029034</t>
  </si>
  <si>
    <t>NOMBRE RETIRA: KARIM JACOB . RUT RETIRA: 14228702-1</t>
  </si>
  <si>
    <t>Karim Jacob</t>
  </si>
  <si>
    <t>Rómulo Correa 375</t>
  </si>
  <si>
    <t>2025-07-09 11:54</t>
  </si>
  <si>
    <t>BIT11029259</t>
  </si>
  <si>
    <t>NOMBRE RETIRA: JUAN ANELLI 0 RUT RETIRA: 12345678-5</t>
  </si>
  <si>
    <t>Juan Anelli C.</t>
  </si>
  <si>
    <t>Travesía de Los Vientos 03008, Depto 503</t>
  </si>
  <si>
    <t>BIT11029286</t>
  </si>
  <si>
    <t>NOMBRE RETIRA: ANDREA LOPEZ . RUT RETIRA: 12660981-7</t>
  </si>
  <si>
    <t>Andrea Lopez Rivas</t>
  </si>
  <si>
    <t>Pasaje El Aromo 271, Casa</t>
  </si>
  <si>
    <t>BIT11029238</t>
  </si>
  <si>
    <t>NOMBRE RETIRA: LILIANA PINO .. RUT RETIRA: 10369358-6</t>
  </si>
  <si>
    <t>Liliana Pino Gonzalez</t>
  </si>
  <si>
    <t>CAUPOLICAN 464, Casilla 1448</t>
  </si>
  <si>
    <t>BIT11029287</t>
  </si>
  <si>
    <t>NOMBRE RETIRA: PAMELA MENESES . RUT RETIRA: 11941769-4</t>
  </si>
  <si>
    <t>Romina yañez bishara</t>
  </si>
  <si>
    <t>andres bello 46, villa empart, 46</t>
  </si>
  <si>
    <t>BIT11029268</t>
  </si>
  <si>
    <t>NOMBRE RETIRA: MARLENE CASTRO . RUT RETIRA: 24564193-1</t>
  </si>
  <si>
    <t>Bastian Pino</t>
  </si>
  <si>
    <t>Bartolome vivar 1536, Departamento 602 torre A</t>
  </si>
  <si>
    <t>2025-07-17 12:33</t>
  </si>
  <si>
    <t>BIT11029263</t>
  </si>
  <si>
    <t>2025-07-17 00:25</t>
  </si>
  <si>
    <t>BIT11029270</t>
  </si>
  <si>
    <t>NOMBRE RETIRA: EVELYN GUERRA . RUT RETIRA: 13644694-0</t>
  </si>
  <si>
    <t>Luis Robles Santiago</t>
  </si>
  <si>
    <t>Caparrosa 461, E11</t>
  </si>
  <si>
    <t>BIT11029288</t>
  </si>
  <si>
    <t>NOMBRE RETIRA: IGNACIO FUENZALIDA HENRIQUEZ RUT RETIRA: 16156237-8</t>
  </si>
  <si>
    <t>Ignacio Fuenzalida Henriquez</t>
  </si>
  <si>
    <t>Avenida Las Margaritas 1677, casa 10</t>
  </si>
  <si>
    <t>BIT11029264</t>
  </si>
  <si>
    <t>NOMBRE RETIRA: RICARDO CORTES . RUT RETIRA: 12805692-0</t>
  </si>
  <si>
    <t>Ricardo Cortes rojas</t>
  </si>
  <si>
    <t>Pasaje Luis peñailillo cortez 1295</t>
  </si>
  <si>
    <t>BIT11029243</t>
  </si>
  <si>
    <t>NOMBRE RETIRA: GIAN CARLOS NOLE . RUT RETIRA: 23999214-5</t>
  </si>
  <si>
    <t>Giancarlo Nole Silva</t>
  </si>
  <si>
    <t>Pasaje 8, Casa 334 Lorenzo Arenas 3</t>
  </si>
  <si>
    <t>BIT11029269</t>
  </si>
  <si>
    <t>NOMBRE RETIRA: YENIFER GONZALEZ . RUT RETIRA: 17869149-K</t>
  </si>
  <si>
    <t>diego latsague</t>
  </si>
  <si>
    <t>indira gandhi 680</t>
  </si>
  <si>
    <t>BIT11029258</t>
  </si>
  <si>
    <t>NOMBRE RETIRA: BASTIAN VASQUEZ . RUT RETIRA: 22743498-8</t>
  </si>
  <si>
    <t>francisca leal</t>
  </si>
  <si>
    <t>Rocallosas 2145, Casa</t>
  </si>
  <si>
    <t>BIT11029240</t>
  </si>
  <si>
    <t>NOMBRE RETIRA: JACQUELINE GACITUA . RUT RETIRA: 53330488-5</t>
  </si>
  <si>
    <t>Luis Manzano</t>
  </si>
  <si>
    <t>Condominio Nueva Milano 03106, Bologna 407</t>
  </si>
  <si>
    <t>BIT11029254</t>
  </si>
  <si>
    <t>NOMBRE RETIRA: LEANDRO GARRIDO. . RUT RETIRA: 18728664-6</t>
  </si>
  <si>
    <t>Gustavo Garrido Sepúlveda</t>
  </si>
  <si>
    <t>Carlos Darwin 2420, Casa</t>
  </si>
  <si>
    <t>BIT11028895</t>
  </si>
  <si>
    <t>NOMBRE RETIRA: JONATHAN ESCALONA . RUT RETIRA: 11111111-1</t>
  </si>
  <si>
    <t>Jonathan andres Escalona cordova</t>
  </si>
  <si>
    <t>Jorge amarales 02344, Casa</t>
  </si>
  <si>
    <t>2025-07-04 22:19</t>
  </si>
  <si>
    <t>BIT11029256</t>
  </si>
  <si>
    <t>NOMBRE RETIRA: GUILLERMO INOJOSQ H RUT RETIRA: 6565955-7</t>
  </si>
  <si>
    <t>Guillermo Hinojosa Salgado</t>
  </si>
  <si>
    <t>Prat 827 depto. 1004</t>
  </si>
  <si>
    <t>BIT11029249</t>
  </si>
  <si>
    <t>JORGE VEGA SANHUEZA</t>
  </si>
  <si>
    <t>CAMINO EL VENADO 1780 TERRAZAS DE ANDALUÉ, DEPARTAMENTO 809, TORRE LASCAR</t>
  </si>
  <si>
    <t>BIT11029235</t>
  </si>
  <si>
    <t>NOMBRE RETIRA: PAULA SALDIVIA . RUT RETIRA: 15180469-1</t>
  </si>
  <si>
    <t>Paulo Alegría</t>
  </si>
  <si>
    <t>Pedro Aguirre Cerda 255, 802-A</t>
  </si>
  <si>
    <t>BIT11029260</t>
  </si>
  <si>
    <t>NOMBRE RETIRA: JAQUELINA AQUILES . RUT RETIRA: 28094903-5</t>
  </si>
  <si>
    <t>Starken Los Andes, Vill Vista Cordillera 3</t>
  </si>
  <si>
    <t>BIT11029216</t>
  </si>
  <si>
    <t>NOMBRE RETIRA: CAMILA JIMENES . RUT RETIRA: 17939259-3</t>
  </si>
  <si>
    <t>Mateo Quiroga Ostojic</t>
  </si>
  <si>
    <t>Los Chañares 42</t>
  </si>
  <si>
    <t>BIT11029236</t>
  </si>
  <si>
    <t>NOMBRE RETIRA: CAROLINA REINOSO CONSERJE RUT RETIRA: 18494570-3</t>
  </si>
  <si>
    <t>Fernando Cerda</t>
  </si>
  <si>
    <t>Torre 4, Rene Schneider 2031, Departamento 501</t>
  </si>
  <si>
    <t>BIT11029123</t>
  </si>
  <si>
    <t>NOMBRE RETIRA: MAXIMILIANO SULANTAY . RUT RETIRA: 19825945-4</t>
  </si>
  <si>
    <t>Christián Sulantay Araya</t>
  </si>
  <si>
    <t>Tikan kabur 3454</t>
  </si>
  <si>
    <t>BIT11029213</t>
  </si>
  <si>
    <t>NOMBRE RETIRA: ADRIANA COVARRUBIAS . RUT RETIRA: 4717634-4</t>
  </si>
  <si>
    <t>José Jimenez</t>
  </si>
  <si>
    <t>Inés de Suárez 66</t>
  </si>
  <si>
    <t>BIT11029225</t>
  </si>
  <si>
    <t>NOMBRE RETIRA: MANUELA QUIROGA N RUT RETIRA: 9232963-1</t>
  </si>
  <si>
    <t>Guillermo Godoy De la Hoz</t>
  </si>
  <si>
    <t>Puren 846, Local Comercial</t>
  </si>
  <si>
    <t>BIT11029150</t>
  </si>
  <si>
    <t>NOMBRE RETIRA: NELLY FUENTES . RUT RETIRA: 12533484-9</t>
  </si>
  <si>
    <t>Nelly Fuentes Carrasco</t>
  </si>
  <si>
    <t>Calle catrico #162 lanco, Casa</t>
  </si>
  <si>
    <t>BIT11029193</t>
  </si>
  <si>
    <t>NOMBRE RETIRA: RENE CAMPO . RUT RETIRA: 16772833-2</t>
  </si>
  <si>
    <t>Rene Campoa cruz</t>
  </si>
  <si>
    <t>Av. Salvador allende 1063, Casa 2do piso</t>
  </si>
  <si>
    <t>2025-07-14 12:19</t>
  </si>
  <si>
    <t>BIT11029132</t>
  </si>
  <si>
    <t>NOMBRE RETIRA: JUAN OINTO . RUT RETIRA: 27405237-6</t>
  </si>
  <si>
    <t>Noemi Mondaca Bravo</t>
  </si>
  <si>
    <t>Toronto 3711, Villa Cerro Colorado</t>
  </si>
  <si>
    <t>BIT11028825</t>
  </si>
  <si>
    <t>NOMBRE RETIRA: HERNAN AYNOL . RUT RETIRA: 11111111-1</t>
  </si>
  <si>
    <t>hernan aynol</t>
  </si>
  <si>
    <t>santiago marinovic 1072, casa</t>
  </si>
  <si>
    <t>2025-07-03 11:01</t>
  </si>
  <si>
    <t>BIT11029144</t>
  </si>
  <si>
    <t>NOMBRE RETIRA: LUZ VASQUEZ . RUT RETIRA: 65077967-3</t>
  </si>
  <si>
    <t>Ana Vega Varas</t>
  </si>
  <si>
    <t>Tadeo Haenke 2221, Depto 134 torre A</t>
  </si>
  <si>
    <t>BIT11029156</t>
  </si>
  <si>
    <t>NOMBRE RETIRA: CRISTOPHER WEISE ... RUT RETIRA: 16333798-3</t>
  </si>
  <si>
    <t>Christopher Weise</t>
  </si>
  <si>
    <t>comino internacional km 5 sector el sauce los andes, estacionamiento de camiones</t>
  </si>
  <si>
    <t>BIT11029223</t>
  </si>
  <si>
    <t>NOMBRE RETIRA: ALONSO DELGADO . RUT RETIRA: 18510121-5</t>
  </si>
  <si>
    <t>Alonso Delgado Ramírez</t>
  </si>
  <si>
    <t>Diego Echeverria 244 - 1, Clinica dental Prodentist</t>
  </si>
  <si>
    <t>BIT11028904</t>
  </si>
  <si>
    <t>NOMBRE RETIRA: JUVENAL CARCAMO . RUT RETIRA: 11111111-1</t>
  </si>
  <si>
    <t>Juvenal Carcamo gonzalez</t>
  </si>
  <si>
    <t>Oficina, JosÉ Miguel Carrera 1232</t>
  </si>
  <si>
    <t>BIT11028846</t>
  </si>
  <si>
    <t>NOMBRE RETIRA: JOSE BARROS . RUT RETIRA: 21472908-3</t>
  </si>
  <si>
    <t>Marcelo domke</t>
  </si>
  <si>
    <t>Calle Simpson # 96, Cuartel Bomberos</t>
  </si>
  <si>
    <t>BIT11029171</t>
  </si>
  <si>
    <t>NOMBRE RETIRA: MERCEDES MUNOS . RUT RETIRA: 11378126-2</t>
  </si>
  <si>
    <t>Rossanne Juul</t>
  </si>
  <si>
    <t>Aconcagua 923, 1601</t>
  </si>
  <si>
    <t>BIT11029197</t>
  </si>
  <si>
    <t>NOMBRE RETIRA: JOSE NOVOA . RUT RETIRA: 11787539-3</t>
  </si>
  <si>
    <t>jose novoa aravena</t>
  </si>
  <si>
    <t>condell 252, poblacion fernandez</t>
  </si>
  <si>
    <t>BIT11029199</t>
  </si>
  <si>
    <t>NOMBRE RETIRA: SCARLETT REYES R RUT RETIRA: 18832876-8</t>
  </si>
  <si>
    <t>Scarlett Reyes</t>
  </si>
  <si>
    <t>Camino Colonia Bernardo O'higgins 2300, Casa 118</t>
  </si>
  <si>
    <t>BIT11029133</t>
  </si>
  <si>
    <t>NOMBRE RETIRA: DAVID QUILAQUEO K RUT RETIRA: 10721237-K</t>
  </si>
  <si>
    <t>BIT11029136</t>
  </si>
  <si>
    <t>NOMBRE RETIRA: CARLOS NUNEZ . RUT RETIRA: 16000469-K</t>
  </si>
  <si>
    <t>Carlos Nuñez Ossandón</t>
  </si>
  <si>
    <t>Av 21 de Mayo 3092</t>
  </si>
  <si>
    <t>BIT11029182</t>
  </si>
  <si>
    <t>NOMBRE RETIRA: JUAN NAVARRETE . RUT RETIRA: 8653110-0</t>
  </si>
  <si>
    <t>Juan carlos Navarrete</t>
  </si>
  <si>
    <t>Pasaje los saucos 640 san marcos, Casa</t>
  </si>
  <si>
    <t>BIT11029127</t>
  </si>
  <si>
    <t>NOMBRE RETIRA: DANEKL CAATEO . RUT RETIRA: 13951536-6</t>
  </si>
  <si>
    <t>DANIEL IGNACIO CASTRO GONZALEZ</t>
  </si>
  <si>
    <t>Santa Teresa de Los Andes 27</t>
  </si>
  <si>
    <t>2025-07-12 10:44</t>
  </si>
  <si>
    <t>BIT11029184</t>
  </si>
  <si>
    <t>NOMBRE RETIRA: CRISTOBAL SIERRA . RUT RETIRA: 21163540-1</t>
  </si>
  <si>
    <t>Rene Sierra codoceo</t>
  </si>
  <si>
    <t>Luis Uribe Orrego 2101</t>
  </si>
  <si>
    <t>BIT11029159</t>
  </si>
  <si>
    <t>NOMBRE RETIRA: PABLO MOLINA . RUT RETIRA: 65003173-3</t>
  </si>
  <si>
    <t>Avenida nahuelbuta 2075, 42B</t>
  </si>
  <si>
    <t>BIT11029198</t>
  </si>
  <si>
    <t>NOMBRE RETIRA: ANGELO HURTADO . . RUT RETIRA: 20116006-5</t>
  </si>
  <si>
    <t>Angelo Hurtado Merino</t>
  </si>
  <si>
    <t>Los Magnolios 240</t>
  </si>
  <si>
    <t>BIT11029169</t>
  </si>
  <si>
    <t>NOMBRE RETIRA: FELIPE CURIMAN T RUT RETIRA: 13104846-7</t>
  </si>
  <si>
    <t>Eric Sanhueza Zamorano</t>
  </si>
  <si>
    <t>Calle G 833 Depto 502, Edificio Mirador Caucaso 2</t>
  </si>
  <si>
    <t>BIT11029139</t>
  </si>
  <si>
    <t>NOMBRE RETIRA: MARCIA CARES . RUT RETIRA: 53333273-0</t>
  </si>
  <si>
    <t>Pablo Alvarez</t>
  </si>
  <si>
    <t>Luis Durand 03057, Departamento 203 torre E condominio Parque Durand</t>
  </si>
  <si>
    <t>2025-07-12 10:38</t>
  </si>
  <si>
    <t>BIT11029134</t>
  </si>
  <si>
    <t>NOMBRE RETIRA: 3OMAN VORQUEZ . RUT RETIRA: 13185689-K</t>
  </si>
  <si>
    <t>Roman Borquez</t>
  </si>
  <si>
    <t>Reserva Nacional Los Flamencos 1204 Bosque San Carlos, Casa</t>
  </si>
  <si>
    <t>BIT11029137</t>
  </si>
  <si>
    <t>Lily Sembler Villagra</t>
  </si>
  <si>
    <t>Chorrillos 1284</t>
  </si>
  <si>
    <t>BIT11029151</t>
  </si>
  <si>
    <t>NOMBRE RETIRA: BTENDA ORTIZ VEGA RUT RETIRA: 9724038-8</t>
  </si>
  <si>
    <t>Priscila Ortiz</t>
  </si>
  <si>
    <t>Chacabuco N°9 con esquina Victoria, Casa de esquina</t>
  </si>
  <si>
    <t>BIT11029096</t>
  </si>
  <si>
    <t>NOMBRE RETIRA: VALERIA SIERRA . RUT RETIRA: 14247641-K</t>
  </si>
  <si>
    <t>Valeria Sierra</t>
  </si>
  <si>
    <t>CalleHuellacanal  101 pasado poblacion el poligono, Casa</t>
  </si>
  <si>
    <t>BIT11029114</t>
  </si>
  <si>
    <t>NOMBRE RETIRA: MORIM GONZALEZ L RUT RETIRA: 19693215-1</t>
  </si>
  <si>
    <t>Alejandro Cruz</t>
  </si>
  <si>
    <t>Teniente Manuel Orella 679</t>
  </si>
  <si>
    <t>BIT11029120</t>
  </si>
  <si>
    <t>NOMBRE RETIRA: DANIEL RUIZ . RUT RETIRA: 17113844-2</t>
  </si>
  <si>
    <t>Daniel Ruz miranda</t>
  </si>
  <si>
    <t>Las colonias 621, 301</t>
  </si>
  <si>
    <t>2025-07-11 12:06</t>
  </si>
  <si>
    <t>BIT11029104</t>
  </si>
  <si>
    <t>NOMBRE RETIRA: FERNANDO PIZARRO P RUT RETIRA: 23505513-9</t>
  </si>
  <si>
    <t>Fernando Pizarro Perez</t>
  </si>
  <si>
    <t>Caracoles 3262, Casa 2, Casa 2</t>
  </si>
  <si>
    <t>BIT11028979</t>
  </si>
  <si>
    <t>NOMBRE RETIRA: DAVID DACOSTA . RUT RETIRA: 27461368-8</t>
  </si>
  <si>
    <t>David Dacosta</t>
  </si>
  <si>
    <t>Pedro Gamboni 0617, Antofagasta, Chile</t>
  </si>
  <si>
    <t>2025-07-08 12:26</t>
  </si>
  <si>
    <t>BIT11028763</t>
  </si>
  <si>
    <t>NOMBRE RETIRA: JULIO MALDONADO . RUT RETIRA: 18642909-5</t>
  </si>
  <si>
    <t>Julio alejandro Maldonado vargas</t>
  </si>
  <si>
    <t>Esmeralda 1432, Casa</t>
  </si>
  <si>
    <t>2025-07-01 10:15</t>
  </si>
  <si>
    <t>BIT11029043</t>
  </si>
  <si>
    <t>NOMBRE RETIRA: ESTEBAN DIAZ N RUT RETIRA: 16540000-3</t>
  </si>
  <si>
    <t>Seba Ramirez</t>
  </si>
  <si>
    <t>Tamure 1175, Quillota</t>
  </si>
  <si>
    <t>BIT11029055</t>
  </si>
  <si>
    <t>HERNANDO DE MAGALLANES, 011 B</t>
  </si>
  <si>
    <t>2025-07-10 00:02</t>
  </si>
  <si>
    <t>BIT11029116</t>
  </si>
  <si>
    <t>NOMBRE RETIRA: CARLOS JORQUERA . RUT RETIRA: 11832095-6</t>
  </si>
  <si>
    <t>Carlos Jorquera Uribe</t>
  </si>
  <si>
    <t>Parque NAcional Conguillio 6891, Casa</t>
  </si>
  <si>
    <t>BIT11029106</t>
  </si>
  <si>
    <t>NOMBRE RETIRA: TAMARA LIZANA M RUT RETIRA: 6697332-8</t>
  </si>
  <si>
    <t>Tamara Lizana</t>
  </si>
  <si>
    <t>Guangualí Sur 351, Local rengo pernos</t>
  </si>
  <si>
    <t>BIT11029121</t>
  </si>
  <si>
    <t>NOMBRE RETIRA: MACARENA BARRERA . RUT RETIRA: 13284070-9</t>
  </si>
  <si>
    <t>Reserva Nacional Los Flamencos 1204, bosque san carlos, Casa</t>
  </si>
  <si>
    <t>BIT11029122</t>
  </si>
  <si>
    <t>NOMBRE RETIRA: KEYLA VEGA . RUT RETIRA: 13530714-9</t>
  </si>
  <si>
    <t>Josue Avalos Vega</t>
  </si>
  <si>
    <t>Maestranza 443 local 2, 443 local 2</t>
  </si>
  <si>
    <t>BIT11029091</t>
  </si>
  <si>
    <t>NOMBRE RETIRA: JUAN RAMIREZ VECINO BOMBAS RUT RETIRA: 21036311-4</t>
  </si>
  <si>
    <t>Francis Parrao</t>
  </si>
  <si>
    <t>Carrera Pinto 867, Carrera Pinto 867, Local 2</t>
  </si>
  <si>
    <t>BIT11029093</t>
  </si>
  <si>
    <t>NOMBRE RETIRA: ALEXIS LOPEZ . RUT RETIRA: 96575280-3</t>
  </si>
  <si>
    <t>Alexis Lopez Orrego</t>
  </si>
  <si>
    <t>Avenida Gabriela Mistral 2875</t>
  </si>
  <si>
    <t>BIT11029010</t>
  </si>
  <si>
    <t>NOMBRE RETIRA: MANUEL HURTADO 0 RUT RETIRA: 12345678-5</t>
  </si>
  <si>
    <t>Manuel Hurtado Hernández</t>
  </si>
  <si>
    <t>Av. República De Croacia 0878, Casa</t>
  </si>
  <si>
    <t>BIT11029022</t>
  </si>
  <si>
    <t>NOMBRE RETIRA: CARLOS SILVA . RUT RETIRA: 7163837-5</t>
  </si>
  <si>
    <t>Carlos Ramón Silva Sepúlveda</t>
  </si>
  <si>
    <t>Gandarillas 1039, Oficina</t>
  </si>
  <si>
    <t>2025-07-08 23:28</t>
  </si>
  <si>
    <t>BIT11028714</t>
  </si>
  <si>
    <t>NOMBRE RETIRA: JAVIER FIGUEROA . RUT RETIRA: 11111111-1</t>
  </si>
  <si>
    <t>GLORIA ALVARADO ALVARADO</t>
  </si>
  <si>
    <t>calle 3 norte 01110 villa pudeto</t>
  </si>
  <si>
    <t>2025-06-30 09:45</t>
  </si>
  <si>
    <t>BIT11029086</t>
  </si>
  <si>
    <t>NOMBRE RETIRA: CRISTI SOTO . RUT RETIRA: 16363615-8</t>
  </si>
  <si>
    <t>Los Colonos 2050, Of 20</t>
  </si>
  <si>
    <t>2025-07-10 12:38</t>
  </si>
  <si>
    <t>BIT11029067</t>
  </si>
  <si>
    <t>NOMBRE RETIRA: FRANCISCA LEAL . RUT RETIRA: 12345678-5</t>
  </si>
  <si>
    <t>BIT11028990</t>
  </si>
  <si>
    <t>NOMBRE RETIRA: CARLOS GAJARDO . RUT RETIRA: 16436383-K</t>
  </si>
  <si>
    <t>Carlos Gajardo</t>
  </si>
  <si>
    <t>Las orizas 301, Casa</t>
  </si>
  <si>
    <t>BIT11029081</t>
  </si>
  <si>
    <t>NOMBRE RETIRA: MARIA DIAZ . RUT RETIRA: 3822834-K</t>
  </si>
  <si>
    <t>Matias Figueroa</t>
  </si>
  <si>
    <t>Pasaje Octavio Flores 323, Casa</t>
  </si>
  <si>
    <t>BIT11029008</t>
  </si>
  <si>
    <t>NOMBRE RETIRA: PATRICIA RODRIGUEZ . RUT RETIRA: 23049510-6</t>
  </si>
  <si>
    <t>Abelardo Enrique Moya</t>
  </si>
  <si>
    <t>5 Norte 1387-A, Empanadas Florencia</t>
  </si>
  <si>
    <t>BIT11029002</t>
  </si>
  <si>
    <t>NOMBRE RETIRA: RAUL ORMAZABAL . RUT RETIRA: 8383150-2</t>
  </si>
  <si>
    <t>Juan Orlando López Chávez</t>
  </si>
  <si>
    <t>San diego 681, Casa</t>
  </si>
  <si>
    <t>BIT11029020</t>
  </si>
  <si>
    <t>NOMBRE RETIRA: NORA CARCAMO . RUT RETIRA: 76669508-6</t>
  </si>
  <si>
    <t>Nora Carcamo Villarroel</t>
  </si>
  <si>
    <t>Aserradero Tomeco, Galpon Gris, Calle Quinchilca 1401</t>
  </si>
  <si>
    <t>BIT11029066</t>
  </si>
  <si>
    <t>NOMBRE RETIRA: RAMON BUSTAMANTE , RUT RETIRA: 5651339-6</t>
  </si>
  <si>
    <t>Ximena Vidal</t>
  </si>
  <si>
    <t>Barros luco 3058- san antonio, 3058</t>
  </si>
  <si>
    <t>BIT11029054</t>
  </si>
  <si>
    <t>NOMBRE RETIRA: RODRIGO SALDANO . RUT RETIRA: 8168895-8</t>
  </si>
  <si>
    <t>Felipe Acuña</t>
  </si>
  <si>
    <t>2 Norte 1013, Dpto 507 Edificio Mirador Rioja, 1013 ⁠Vina del Mar</t>
  </si>
  <si>
    <t>BIT11029011</t>
  </si>
  <si>
    <t>Jose Muñoz Meza</t>
  </si>
  <si>
    <t>Avenida Cerro paranal 380, Dpto. 263B</t>
  </si>
  <si>
    <t>BIT11028988</t>
  </si>
  <si>
    <t>NOMBRE RETIRA: MARIA FERNANDEZ 0 RUT RETIRA: 12345678-5</t>
  </si>
  <si>
    <t>María carolina Fernández Verges</t>
  </si>
  <si>
    <t>Santa Magdalena 867,coviefi, Casa</t>
  </si>
  <si>
    <t>BIT11028966</t>
  </si>
  <si>
    <t>NOMBRE RETIRA: JOSE MERCADO . RUT RETIRA: 56052390-4</t>
  </si>
  <si>
    <t>Victoria Yáñez Vergara</t>
  </si>
  <si>
    <t>Diaz Gana 900</t>
  </si>
  <si>
    <t>BIT11029088</t>
  </si>
  <si>
    <t>NOMBRE RETIRA: CLAUDIO TRONCOSO . RUT RETIRA: 26076095-5</t>
  </si>
  <si>
    <t>Claudio Troncoso Leyton</t>
  </si>
  <si>
    <t>Peñuelas Norte 191, Restaurante Pilla La Vaca</t>
  </si>
  <si>
    <t>2025-07-10 12:39</t>
  </si>
  <si>
    <t>BIT11029016</t>
  </si>
  <si>
    <t>NOMBRE RETIRA: GLADYS BRAVI . RUT RETIRA: 13737273-8</t>
  </si>
  <si>
    <t>Gladys Bravo Gutierrez</t>
  </si>
  <si>
    <t>Huito V815</t>
  </si>
  <si>
    <t>BIT11028985</t>
  </si>
  <si>
    <t>NOMBRE RETIRA: MARIA FRIEDLAENDER . RUT RETIRA: 7173113-8</t>
  </si>
  <si>
    <t>María Teresa Friedlaender P</t>
  </si>
  <si>
    <t>La Virgen 96, Casa</t>
  </si>
  <si>
    <t>BIT11029038</t>
  </si>
  <si>
    <t>NOMBRE RETIRA: YENY CASTILLO ... RUT RETIRA: 13748834-5</t>
  </si>
  <si>
    <t>Andrés Oñate del Río</t>
  </si>
  <si>
    <t>Pasaje Venezia 430</t>
  </si>
  <si>
    <t>BIT11029032</t>
  </si>
  <si>
    <t>NOMBRE RETIRA: VICTORIA CASANOVA 0 RUT RETIRA: 14142606-0</t>
  </si>
  <si>
    <t>HÉCTOR ALEJANDRO BRITO CASTILLO</t>
  </si>
  <si>
    <t>15 1/2 norte Talca 3965, Sector valles del country</t>
  </si>
  <si>
    <t>BIT11028924</t>
  </si>
  <si>
    <t>NOMBRE RETIRA: FLORENCIA DIAZ . RUT RETIRA: 21820954-8</t>
  </si>
  <si>
    <t>Av el parque 104 Condomineo Raices puerto Pucon</t>
  </si>
  <si>
    <t>BIT11028972</t>
  </si>
  <si>
    <t>Tamara Lizana Valdés</t>
  </si>
  <si>
    <t>Guanguali Sur 351, Local Rengo Pernos</t>
  </si>
  <si>
    <t>BIT11029033</t>
  </si>
  <si>
    <t>NOMBRE RETIRA: LEONOR CORDERO . RUT RETIRA: 15942362-K</t>
  </si>
  <si>
    <t>Leonor Andrea Cordero</t>
  </si>
  <si>
    <t>Camino chillancito km 4</t>
  </si>
  <si>
    <t>BIT11029044</t>
  </si>
  <si>
    <t>NOMBRE RETIRA: ESTABAN DIAS K RUT RETIRA: 10721237-K</t>
  </si>
  <si>
    <t>2025-07-09 11:55</t>
  </si>
  <si>
    <t>BIT11028721</t>
  </si>
  <si>
    <t>9345790263</t>
  </si>
  <si>
    <t>Sergio Rojas Guajardo</t>
  </si>
  <si>
    <t>Cerro el Copado 1826, Casa</t>
  </si>
  <si>
    <t>BIT11028715</t>
  </si>
  <si>
    <t>9345318846</t>
  </si>
  <si>
    <t>Francisco Catalan</t>
  </si>
  <si>
    <t>Avenida Carlos Alessandri 2289</t>
  </si>
  <si>
    <t>BIT11029012</t>
  </si>
  <si>
    <t>NOMBRE RETIRA: CECILIA ARANCIBIA .. RUT RETIRA: 8875442-5</t>
  </si>
  <si>
    <t>Cecilia Arancibia Ovalle</t>
  </si>
  <si>
    <t>Las Golondrinas 1285 Reñaca, 1285</t>
  </si>
  <si>
    <t>BIT11028998</t>
  </si>
  <si>
    <t>NOMBRE RETIRA: MONICA GOMEZ J RUT RETIRA: 14290912-K</t>
  </si>
  <si>
    <t>JORGE RAMÍREZ GALLEGOS</t>
  </si>
  <si>
    <t>Liquidambar 1911, Casa</t>
  </si>
  <si>
    <t>BIT11028989</t>
  </si>
  <si>
    <t>NOMBRE RETIRA: ELIZABETH TAPIA .. RUT RETIRA: 19146817-1</t>
  </si>
  <si>
    <t>Elizabeth Tapia Vasquez</t>
  </si>
  <si>
    <t>Eduardo Mena Zamora 26</t>
  </si>
  <si>
    <t>BIT11028976</t>
  </si>
  <si>
    <t>NOMBRE RETIRA: SAIRA VERUSKA , , RUT RETIRA: 6299434-7</t>
  </si>
  <si>
    <t>Ariel Ovalle Perucca</t>
  </si>
  <si>
    <t>Aspillaga 75</t>
  </si>
  <si>
    <t>BIT11028943</t>
  </si>
  <si>
    <t>NOMBRE RETIRA: LUIS ARCE ARCE RUT RETIRA: 28384130-8</t>
  </si>
  <si>
    <t>Francis Resk</t>
  </si>
  <si>
    <t>Avda turi 2066 depto 420</t>
  </si>
  <si>
    <t>2025-07-07 11:20</t>
  </si>
  <si>
    <t>BIT11028937</t>
  </si>
  <si>
    <t>NOMBRE RETIRA: ELISABETH LATEO . RUT RETIRA: 12615094-6</t>
  </si>
  <si>
    <t>Victor Ovalle Retamal</t>
  </si>
  <si>
    <t>Salvador Reyes 1230</t>
  </si>
  <si>
    <t>2025-07-07 11:19</t>
  </si>
  <si>
    <t>BIT11028914</t>
  </si>
  <si>
    <t>NOMBRE RETIRA: MARIA MANSILLA . RUT RETIRA: 13737273-8</t>
  </si>
  <si>
    <t>Casa, Calle Federico ErrÁzuriz 536</t>
  </si>
  <si>
    <t>BIT11028906</t>
  </si>
  <si>
    <t>NOMBRE RETIRA: CECILIA AGUIAR . RUT RETIRA: 22642145-9</t>
  </si>
  <si>
    <t>Renzo Peña Vicuña</t>
  </si>
  <si>
    <t>Pasaje el tesoro 1170, Villa los Yacimientos</t>
  </si>
  <si>
    <t>BIT11028926</t>
  </si>
  <si>
    <t>NOMBRE RETIRA: GILVERTO REES . RUT RETIRA: 17736384-7</t>
  </si>
  <si>
    <t>1002 EdifÍcio Grenada</t>
  </si>
  <si>
    <t>BIT11028905</t>
  </si>
  <si>
    <t>NOMBRE RETIRA: ANDRES VILLAZON . RUT RETIRA: 13743487-3</t>
  </si>
  <si>
    <t>Andres Villazón Silva</t>
  </si>
  <si>
    <t>Calle Alfalfa 4137, Calama</t>
  </si>
  <si>
    <t>BIT11028960</t>
  </si>
  <si>
    <t>NOMBRE RETIRA: JOAQUIN LETELIER LETELIER RUT RETIRA: 21253972-4</t>
  </si>
  <si>
    <t>carlos cardoso</t>
  </si>
  <si>
    <t>Los Carrera 1131</t>
  </si>
  <si>
    <t>2025-07-07 11:23</t>
  </si>
  <si>
    <t>BIT11028964</t>
  </si>
  <si>
    <t>NOMBRE RETIRA: LUIS . . RUT RETIRA: 53310370-7</t>
  </si>
  <si>
    <t>Tulio Pino González</t>
  </si>
  <si>
    <t>Avenida Los Pablos 2144, Depto 403</t>
  </si>
  <si>
    <t>2025-07-07 11:24</t>
  </si>
  <si>
    <t>BIT11028902</t>
  </si>
  <si>
    <t>NOMBRE RETIRA: STEWART BRANTT . RUT RETIRA: 20939627-0</t>
  </si>
  <si>
    <t>Stewart Brant</t>
  </si>
  <si>
    <t>Av parque sur (norte) 1270, curauma, Casa 22</t>
  </si>
  <si>
    <t>BIT11028957</t>
  </si>
  <si>
    <t>NOMBRE RETIRA: RUTH CEBALLO . RUT RETIRA: 8622496-8</t>
  </si>
  <si>
    <t>Marcela Carrasco</t>
  </si>
  <si>
    <t>Calle Uno #4965 Vilumanque</t>
  </si>
  <si>
    <t>2025-07-07 11:22</t>
  </si>
  <si>
    <t>BIT11028938</t>
  </si>
  <si>
    <t>NOMBRE RETIRA: FABIAN BECERRA .CON RUT RETIRA: 12345678-5</t>
  </si>
  <si>
    <t>roberto luis verdugo arancibia</t>
  </si>
  <si>
    <t>Eloisa Poppe 1163, 52</t>
  </si>
  <si>
    <t>BIT11028918</t>
  </si>
  <si>
    <t>NOMBRE RETIRA: MAURICIO REYGADA . RUT RETIRA: 15033988-K</t>
  </si>
  <si>
    <t>Mauricio Reygada Beltrami</t>
  </si>
  <si>
    <t>Armando rosell 580, Villa san Ambrosio</t>
  </si>
  <si>
    <t>2025-07-05 11:08</t>
  </si>
  <si>
    <t>BIT11028916</t>
  </si>
  <si>
    <t>NOMBRE RETIRA: RODEIGO MUNOZ H RUT RETIRA: 6301469-9</t>
  </si>
  <si>
    <t>Jorge Moya</t>
  </si>
  <si>
    <t>Prat 827, Of 601</t>
  </si>
  <si>
    <t>BIT11028959</t>
  </si>
  <si>
    <t>NOMBRE RETIRA: MARCOS TRONCOZO TRONCOSO RUT RETIRA: 13308006-6</t>
  </si>
  <si>
    <t>Los CastaÑos 1481 Quinta Junge Concepcion</t>
  </si>
  <si>
    <t>BIT11028942</t>
  </si>
  <si>
    <t>NOMBRE RETIRA: ESTEBAN VALENCIA B RUT RETIRA: 20271694-6</t>
  </si>
  <si>
    <t>esteban valencia monroy</t>
  </si>
  <si>
    <t>El Bosque 293 Casa 59 Condominio Los Maitenes</t>
  </si>
  <si>
    <t>BIT11028958</t>
  </si>
  <si>
    <t>NOMBRE RETIRA: ROBERTO REYES . RUT RETIRA: 20022656-9</t>
  </si>
  <si>
    <t>Roberto Reyes</t>
  </si>
  <si>
    <t>Calle 1 #1157, villa costa pacífico, boca sur</t>
  </si>
  <si>
    <t>BIT11028945</t>
  </si>
  <si>
    <t>NOMBRE RETIRA: SILVIA JEREZ . RUT RETIRA: 10684168-3</t>
  </si>
  <si>
    <t>Isla Teja los mañios 624</t>
  </si>
  <si>
    <t>2025-07-07 11:21</t>
  </si>
  <si>
    <t>BIT11028965</t>
  </si>
  <si>
    <t>NOMBRE RETIRA: JOSE SAN MARTIN . RUT RETIRA: 20101118-3</t>
  </si>
  <si>
    <t>Independencia 0135</t>
  </si>
  <si>
    <t>BIT11028955</t>
  </si>
  <si>
    <t>NOMBRE RETIRA: JOAQUIN TAPIA J RUT RETIRA: 14026176-9</t>
  </si>
  <si>
    <t>Joaquin Tapia Reyes</t>
  </si>
  <si>
    <t>Juan José Gazmuri 612</t>
  </si>
  <si>
    <t>BIT11028878</t>
  </si>
  <si>
    <t>NOMBRE RETIRA: FERNANDO PIZARRO X RUT RETIRA: 13416061-6</t>
  </si>
  <si>
    <t>2025-07-04 10:22</t>
  </si>
  <si>
    <t>BIT11028860</t>
  </si>
  <si>
    <t>NOMBRE RETIRA: TERESA SERRANO 0 RUT RETIRA: 12345678-5</t>
  </si>
  <si>
    <t>Benjamin Chavez</t>
  </si>
  <si>
    <t>Llullaillaco 03069</t>
  </si>
  <si>
    <t>BIT11028840</t>
  </si>
  <si>
    <t>NOMBRE RETIRA: PEDRO MORALES . RUT RETIRA: 28096912-5</t>
  </si>
  <si>
    <t>Izabott Erazo</t>
  </si>
  <si>
    <t>Benito Ocampo #10825, A23</t>
  </si>
  <si>
    <t>BIT11028787</t>
  </si>
  <si>
    <t>NOMBRE RETIRA: KITO PEDRIEL . RUT RETIRA: 26058012-4</t>
  </si>
  <si>
    <t>Beatriz Gonzalez</t>
  </si>
  <si>
    <t>Manuel Antonio Matta 2757, Apt. 2104</t>
  </si>
  <si>
    <t>2025-07-02 10:24</t>
  </si>
  <si>
    <t>BIT11028873</t>
  </si>
  <si>
    <t>NOMBRE RETIRA: GERMAN VIZCARRA . RUT RETIRA: 12345678-5</t>
  </si>
  <si>
    <t>GERMAN Vizcarra Solís</t>
  </si>
  <si>
    <t>Coquimbo 2763, Casa</t>
  </si>
  <si>
    <t>BIT11028891</t>
  </si>
  <si>
    <t>NOMBRE RETIRA: MAUREN RAMIREZ . RUT RETIRA: 14308059-5</t>
  </si>
  <si>
    <t>Rodrigo Catelicán</t>
  </si>
  <si>
    <t>Tatio 2052, Casa</t>
  </si>
  <si>
    <t>BIT11028798</t>
  </si>
  <si>
    <t>NOMBRE RETIRA: MIRTA HERNANDEZ ... RUT RETIRA: 10801357-5</t>
  </si>
  <si>
    <t>marcos augusto Carcamo</t>
  </si>
  <si>
    <t>PanaderÍa Pool, AnÍbal Pinto 488</t>
  </si>
  <si>
    <t>BIT11028853</t>
  </si>
  <si>
    <t>NOMBRE RETIRA: MANUEL BRAVO BRAVO RUT RETIRA: 18139893-0</t>
  </si>
  <si>
    <t>Kalajan Caballero</t>
  </si>
  <si>
    <t>Sergio Bruno Pizarro # 232, Copiapo, A, Depto 505</t>
  </si>
  <si>
    <t>BIT11028871</t>
  </si>
  <si>
    <t>NOMBRE RETIRA: CONSTANZA RIVERA FAJARDO RUT RETIRA: 19451993-1</t>
  </si>
  <si>
    <t>Yoana Rojas</t>
  </si>
  <si>
    <t>Carampangue 1223, Poblacion balmaceda norte</t>
  </si>
  <si>
    <t>BIT11028884</t>
  </si>
  <si>
    <t>NOMBRE RETIRA: PAMELA CONTRERAS . RUT RETIRA: 16563474-8</t>
  </si>
  <si>
    <t>MAXIMILIANO JAVIER FUENTES FUENTES</t>
  </si>
  <si>
    <t>Los Laureles 270, Valdivia</t>
  </si>
  <si>
    <t>BIT11028855</t>
  </si>
  <si>
    <t>NOMBRE RETIRA: MARCELO CABRERA. . . RUT RETIRA: 10529891-9</t>
  </si>
  <si>
    <t>Marcelo Alejandro Cabrera Cabrera</t>
  </si>
  <si>
    <t>ALTAMIRANO 975 CASA 2 COND. ALTAMIRANO/MATURANA</t>
  </si>
  <si>
    <t>BIT11028879</t>
  </si>
  <si>
    <t>NOMBRE RETIRA: CARLA ARQUEROS . . RUT RETIRA: 17979956-1</t>
  </si>
  <si>
    <t>Carla Arqueros</t>
  </si>
  <si>
    <t>Pedro Lagos 2171, la serena, Casa</t>
  </si>
  <si>
    <t>BIT11028869</t>
  </si>
  <si>
    <t>NOMBRE RETIRA: BENJAMIN . . RUT RETIRA: 17041287-7</t>
  </si>
  <si>
    <t>Benjamín González Burgos</t>
  </si>
  <si>
    <t>Salvador Sanfuente 199, Depto 12</t>
  </si>
  <si>
    <t>BIT11028828</t>
  </si>
  <si>
    <t>BIT11028857</t>
  </si>
  <si>
    <t>NOMBRE RETIRA: ELIZABETH PERALTA . RUT RETIRA: 13584368-7</t>
  </si>
  <si>
    <t>Elizabeth Carihuentro Peralta</t>
  </si>
  <si>
    <t>Huingan 3537 Temuco</t>
  </si>
  <si>
    <t>BIT11028795</t>
  </si>
  <si>
    <t>NOMBRE RETIRA: PATRICIA ALVAREZ . RUT RETIRA: 11932790-3</t>
  </si>
  <si>
    <t>Hilda Alvarez</t>
  </si>
  <si>
    <t>José Toribio Medina, 030</t>
  </si>
  <si>
    <t>BIT11028881</t>
  </si>
  <si>
    <t>NOMBRE RETIRA: PAULA GARCIA G RUT RETIRA: 14310932-1</t>
  </si>
  <si>
    <t>Paula García</t>
  </si>
  <si>
    <t>La Heras 329, Casa</t>
  </si>
  <si>
    <t>BIT11028876</t>
  </si>
  <si>
    <t>NOMBRE RETIRA: MANUEL SANTIBANEZ . RUT RETIRA: 16348564-8</t>
  </si>
  <si>
    <t>Gustavo Vasquez</t>
  </si>
  <si>
    <t>Avenida los parques 160, Casa 23</t>
  </si>
  <si>
    <t>BIT11028801</t>
  </si>
  <si>
    <t>NOMBRE RETIRA: LUZ BARRAZA X RUT RETIRA: 11383541-9</t>
  </si>
  <si>
    <t>Luz Barraza Maluenda</t>
  </si>
  <si>
    <t>Pasaje Tesoro Del Loa 1225 Villa Las Leyendas, Casa</t>
  </si>
  <si>
    <t>BIT11028832</t>
  </si>
  <si>
    <t>NOMBRE RETIRA: ADRIANA VASQUEZ G RUT RETIRA: 17259557-K</t>
  </si>
  <si>
    <t>BIT11028856</t>
  </si>
  <si>
    <t>NOMBRE RETIRA: BASTIAN SANDAL . RUT RETIRA: 21028732-9</t>
  </si>
  <si>
    <t>Enrique Osses bassaletti</t>
  </si>
  <si>
    <t>Miraflores  820, Dpto 303, torre B</t>
  </si>
  <si>
    <t>BIT11028877</t>
  </si>
  <si>
    <t>NOMBRE RETIRA: FERNANDOMEMM MELMADL . RUT RETIRA: 18510121-5</t>
  </si>
  <si>
    <t>Fernanda Mellado</t>
  </si>
  <si>
    <t>San Isidro Parcela 38, Casa 7</t>
  </si>
  <si>
    <t>BIT11028883</t>
  </si>
  <si>
    <t>NOMBRE RETIRA: SANDRA BARRIENTOS . RUT RETIRA: 12974080-9</t>
  </si>
  <si>
    <t>Ariela Retamal Sandoval</t>
  </si>
  <si>
    <t>Ramón Carrasco 231 Lomas de Antilhue casa 128</t>
  </si>
  <si>
    <t>BIT11028797</t>
  </si>
  <si>
    <t>NOMBRE RETIRA: GUILLERMO URUTIA . RUT RETIRA: 7658583-0</t>
  </si>
  <si>
    <t>Cristobal Urzua</t>
  </si>
  <si>
    <t>Liparita 250, Liparita 250</t>
  </si>
  <si>
    <t>BIT11028863</t>
  </si>
  <si>
    <t>NOMBRE RETIRA: JANET ALVAREZ . RUT RETIRA: 10761003-0</t>
  </si>
  <si>
    <t>Jannet Álvarez</t>
  </si>
  <si>
    <t>Alberto Arenas 2967, Casa</t>
  </si>
  <si>
    <t>BIT11028789</t>
  </si>
  <si>
    <t>NOMBRE RETIRA: RAUL CONTRERAS LORCA RUT RETIRA: 6296683-1</t>
  </si>
  <si>
    <t>Marcela Climent</t>
  </si>
  <si>
    <t>Bernardo O Higgins 1252</t>
  </si>
  <si>
    <t>BIT11028796</t>
  </si>
  <si>
    <t>NOMBRE RETIRA: CRISTIAN ROJAS . RUT RETIRA: 13018778-1</t>
  </si>
  <si>
    <t>Jorge Godoy Zepeda</t>
  </si>
  <si>
    <t>Cirujano Videla 200, 5to piso, DA</t>
  </si>
  <si>
    <t>BIT11028790</t>
  </si>
  <si>
    <t>NOMBRE RETIRA: JUAN LEYTON . RUT RETIRA: 4301905-8</t>
  </si>
  <si>
    <t>alejandro piña</t>
  </si>
  <si>
    <t>villa galilea calle Lago Vichuquén 1662, casa</t>
  </si>
  <si>
    <t>BIT11028815</t>
  </si>
  <si>
    <t>NOMBRE RETIRA: IGOR PAULOS H RUT RETIRA: 9655309-9</t>
  </si>
  <si>
    <t>Igor Paulos De La Fuente</t>
  </si>
  <si>
    <t>Los Lingues sector el recreo, parcela 5A-2</t>
  </si>
  <si>
    <t>BIT11028693</t>
  </si>
  <si>
    <t>NOMBRE RETIRA: NATALIA SANCHEZ . RUT RETIRA: 18314678-5</t>
  </si>
  <si>
    <t>Tucapel 2451, Tucapel 2451</t>
  </si>
  <si>
    <t>2025-06-30 09:44</t>
  </si>
  <si>
    <t>BIT11028780</t>
  </si>
  <si>
    <t>BIT11028806</t>
  </si>
  <si>
    <t>NOMBRE RETIRA: JAIME BURGOS 0 RUT RETIRA: 53325524-8</t>
  </si>
  <si>
    <t>Av Pedro de Valdivia 159, 1605</t>
  </si>
  <si>
    <t>BIT11028785</t>
  </si>
  <si>
    <t>NOMBRE RETIRA: RAUL VARAS . RUT RETIRA: 53041430-2</t>
  </si>
  <si>
    <t>Carolina Trujillo gonzalez</t>
  </si>
  <si>
    <t>Avenida San Martin 1080 torre A, Depto 151</t>
  </si>
  <si>
    <t>BIT11028488</t>
  </si>
  <si>
    <t>NOMBRE RETIRA: JOSE IGNACIO . RUT RETIRA: 19168138-K</t>
  </si>
  <si>
    <t>José Ignacio Silva Martinez</t>
  </si>
  <si>
    <t>García hurtado de Mendoza 606</t>
  </si>
  <si>
    <t>2025-06-21 10:58</t>
  </si>
  <si>
    <t>BIT11028800</t>
  </si>
  <si>
    <t>NOMBRE RETIRA: PAULO MORALES . RUT RETIRA: 12366653-4</t>
  </si>
  <si>
    <t>Paulo Morales</t>
  </si>
  <si>
    <t>Avenida Madero 452, El Polo</t>
  </si>
  <si>
    <t>BIT11028783</t>
  </si>
  <si>
    <t>NOMBRE RETIRA: NELSON MARIN H RUT RETIRA: 10167667-6</t>
  </si>
  <si>
    <t>nelson marin</t>
  </si>
  <si>
    <t>BIT11028810</t>
  </si>
  <si>
    <t>NOMBRE RETIRA: DANTE GUZMAN A RUT RETIRA: 56051930-3</t>
  </si>
  <si>
    <t>Santa maria 910, 61 fragua</t>
  </si>
  <si>
    <t>BIT11028739</t>
  </si>
  <si>
    <t>NOMBRE RETIRA: VALENTINA VALE ZUELA 0 RUT RETIRA: 12345678-5</t>
  </si>
  <si>
    <t>Pablo Pomareda Echeverria</t>
  </si>
  <si>
    <t>TravesÍa Del Cerro 03035, Depto 15, Depto 15</t>
  </si>
  <si>
    <t>BIT11028699</t>
  </si>
  <si>
    <t>NOMBRE RETIRA: CARLOS FLORES 0 RUT RETIRA: 12345678-5</t>
  </si>
  <si>
    <t>Subida del Agua 476, Casa</t>
  </si>
  <si>
    <t>BIT11028700</t>
  </si>
  <si>
    <t>NOMBRE RETIRA: ELISABETH DE LA TORRE . RUT RETIRA: 27981000-7</t>
  </si>
  <si>
    <t>Daniela Banados</t>
  </si>
  <si>
    <t>Galleguillos Lorca 1682, 1201</t>
  </si>
  <si>
    <t>BIT11028674</t>
  </si>
  <si>
    <t>NOMBRE RETIRA: JULIETA PAUCAN X RUT RETIRA: 5468265-4</t>
  </si>
  <si>
    <t>Jhon Cepeda varas</t>
  </si>
  <si>
    <t>Solor 2889</t>
  </si>
  <si>
    <t>2025-06-27 16:09</t>
  </si>
  <si>
    <t>BIT11028512</t>
  </si>
  <si>
    <t>NOMBRE RETIRA: ALAN CARCAMO . RUT RETIRA: 11111111-1</t>
  </si>
  <si>
    <t>2025-06-22 22:55</t>
  </si>
  <si>
    <t>BIT11028744</t>
  </si>
  <si>
    <t>NOMBRE RETIRA: LORENA ARAYA N RUT RETIRA: 11819590-6</t>
  </si>
  <si>
    <t>Ximena Araya kacic</t>
  </si>
  <si>
    <t>Pasaje sierra bella #9759, Casa , villa sierra necada</t>
  </si>
  <si>
    <t>2025-07-01 10:14</t>
  </si>
  <si>
    <t>BIT11028456</t>
  </si>
  <si>
    <t>maria carolina calderon rodriguez</t>
  </si>
  <si>
    <t>Avenida El Bosque 0398, Colegio Aleman</t>
  </si>
  <si>
    <t>2025-06-21 10:57</t>
  </si>
  <si>
    <t>BIT11028728</t>
  </si>
  <si>
    <t>NOMBRE RETIRA: YULIE JAIFER . RUT RETIRA: 56052390-4</t>
  </si>
  <si>
    <t>Pamela Peñafiel</t>
  </si>
  <si>
    <t>Antonino Toro 873, Depto 2804</t>
  </si>
  <si>
    <t>BIT11028753</t>
  </si>
  <si>
    <t>NOMBRE RETIRA: GABRIELA CADIMA . RUT RETIRA: 24957483-K</t>
  </si>
  <si>
    <t>Rodrigo Cataldo Muñoz</t>
  </si>
  <si>
    <t>Cerro colorado 3746,  depto 2003 Radiata</t>
  </si>
  <si>
    <t>BIT11028762</t>
  </si>
  <si>
    <t>NOMBRE RETIRA: CRISTIAN BAEZA B RUT RETIRA: 10721237-K</t>
  </si>
  <si>
    <t>Pilar Adan Lanza</t>
  </si>
  <si>
    <t>Hochstetter 605, Depto 301, Depto 301</t>
  </si>
  <si>
    <t>BIT11028681</t>
  </si>
  <si>
    <t>NOMBRE RETIRA: MATIAS INZUNZA . RUT RETIRA: 20055954-1</t>
  </si>
  <si>
    <t>Jose Droguett</t>
  </si>
  <si>
    <t>Esperanza 014, llolleo</t>
  </si>
  <si>
    <t>2025-06-28 00:04</t>
  </si>
  <si>
    <t>BIT11028725</t>
  </si>
  <si>
    <t>NOMBRE RETIRA: CRISTIAN AGUILA . RUT RETIRA: 19435798-2</t>
  </si>
  <si>
    <t>Cristian Aguila</t>
  </si>
  <si>
    <t>Via Azul 950, Casa 16A</t>
  </si>
  <si>
    <t>BIT11028729</t>
  </si>
  <si>
    <t>NOMBRE RETIRA: ALICIA HERNANDEZ . RUT RETIRA: 20868359-4</t>
  </si>
  <si>
    <t>Alicia Hernandez Hernandez</t>
  </si>
  <si>
    <t>Pasaje Suecia 576, Frutillar</t>
  </si>
  <si>
    <t>BIT11028742</t>
  </si>
  <si>
    <t>NOMBRE RETIRA: CARLOS FEIOZZO . RUT RETIRA: 53331561-5</t>
  </si>
  <si>
    <t>BIT11028710</t>
  </si>
  <si>
    <t>NOMBRE RETIRA: NORA MORALES MORALES RUT RETIRA: 9056838-8</t>
  </si>
  <si>
    <t>Gonzalo Bouldres</t>
  </si>
  <si>
    <t>Junin con Almirante latorre 150, Casa</t>
  </si>
  <si>
    <t>BIT11028707</t>
  </si>
  <si>
    <t>NOMBRE RETIRA: FERNANDA RAMIREZ .. RUT RETIRA: 19037854-3</t>
  </si>
  <si>
    <t>Piero Camuq</t>
  </si>
  <si>
    <t>12 Norte 785 Of 1104, Of 1104</t>
  </si>
  <si>
    <t>BIT11028731</t>
  </si>
  <si>
    <t>NOMBRE RETIRA: EMANUEL PEREZ . RUT RETIRA: 9048053-7</t>
  </si>
  <si>
    <t>Emanuel Perez</t>
  </si>
  <si>
    <t>Volcan nevado 1543, Casa</t>
  </si>
  <si>
    <t>BIT11028756</t>
  </si>
  <si>
    <t>NOMBRE RETIRA: SAMUEL GUTIERREZ . RUT RETIRA: 4752528-4</t>
  </si>
  <si>
    <t>Pasaje los quillayes 024, poblacion la florida, ⁠Talca</t>
  </si>
  <si>
    <t>BIT11028745</t>
  </si>
  <si>
    <t>NOMBRE RETIRA: MARCELO DEL VALLE . RUT RETIRA: 10684168-3</t>
  </si>
  <si>
    <t>Marcelo Del Valle</t>
  </si>
  <si>
    <t>Los Mañios 624 Isla Teja, Valdivia, Chile</t>
  </si>
  <si>
    <t>BIT11028764</t>
  </si>
  <si>
    <t>NOMBRE RETIRA: CRUZ JIMENEZ . RUT RETIRA: 65046545-8</t>
  </si>
  <si>
    <t>Karime León Lipán</t>
  </si>
  <si>
    <t>INDICO 4540, CONDOMINIO ALTO PACIFICO SUR TORRE 1 DEPTO 41, Condominio Alto Pacífico Sur, Condominio Alto Pacífico Sur</t>
  </si>
  <si>
    <t>BIT11028704</t>
  </si>
  <si>
    <t>NOMBRE RETIRA: CECILIA ARANCIBIA . RUT RETIRA: 53321062-7</t>
  </si>
  <si>
    <t>BIT11028682</t>
  </si>
  <si>
    <t>NOMBRE RETIRA: PEDRO BARRAZA . RUT RETIRA: 70302900-0</t>
  </si>
  <si>
    <t>Guillermo Rivera</t>
  </si>
  <si>
    <t>9 Norte 570, 402</t>
  </si>
  <si>
    <t>BIT11028678</t>
  </si>
  <si>
    <t>NOMBRE RETIRA: ESTEBAN DIAZ N RUT RETIRA: 10721237-K</t>
  </si>
  <si>
    <t>BIT11028754</t>
  </si>
  <si>
    <t>NOMBRE RETIRA: MARGARITA SILVA . RUT RETIRA: 11896838-7</t>
  </si>
  <si>
    <t>Karen Cordova</t>
  </si>
  <si>
    <t>Las Torcazas 85, 85</t>
  </si>
  <si>
    <t>BIT11028713</t>
  </si>
  <si>
    <t>NOMBRE RETIRA: YENIFER LARA H RUT RETIRA: 53324481-5</t>
  </si>
  <si>
    <t>Libertador Gral. Bernardo O'Higgins 1142, Depto 1001</t>
  </si>
  <si>
    <t>BIT11028735</t>
  </si>
  <si>
    <t>NOMBRE RETIRA: SILVIA SANDOVAL . RUT RETIRA: 12360785-6</t>
  </si>
  <si>
    <t>Felipe Alvarado</t>
  </si>
  <si>
    <t>Las violetas1482, Casa 8 Huertos Familiares</t>
  </si>
  <si>
    <t>BIT11028749</t>
  </si>
  <si>
    <t>NOMBRE RETIRA: PATRICIA ZAMORANO . RUT RETIRA: 53333228-5</t>
  </si>
  <si>
    <t>Bastián Garcés</t>
  </si>
  <si>
    <t>Las Perlas Norte 125, Depto 205</t>
  </si>
  <si>
    <t>BIT11028769</t>
  </si>
  <si>
    <t>NOMBRE RETIRA: DANIEL ROA . RUT RETIRA: 15651787-9</t>
  </si>
  <si>
    <t>Daniel Roa</t>
  </si>
  <si>
    <t>cerro el toro el toro 3045</t>
  </si>
  <si>
    <t>BIT11028734</t>
  </si>
  <si>
    <t>NOMBRE RETIRA: MATIAS ORELLANA . RUT RETIRA: 65219352-8</t>
  </si>
  <si>
    <t>Alexis Gonzalez</t>
  </si>
  <si>
    <t>Parques de carriel 9279, casa 7 (condominio cachapoal)</t>
  </si>
  <si>
    <t>BIT11028689</t>
  </si>
  <si>
    <t>NOMBRE RETIRA: BEATRIZ MUNOZ . RUT RETIRA: 10988388-3</t>
  </si>
  <si>
    <t>Hugo Santuber</t>
  </si>
  <si>
    <t>El santo 1656 la Serena</t>
  </si>
  <si>
    <t>BIT11028732</t>
  </si>
  <si>
    <t>NOMBRE RETIRA: HELDY CARRASCO . RUT RETIRA: 18805117-0</t>
  </si>
  <si>
    <t>Heldy Carrasco</t>
  </si>
  <si>
    <t>Dc Manuel Rioseco 400 Casa 1, Condominio parque Los Avellanos</t>
  </si>
  <si>
    <t>BIT11028719</t>
  </si>
  <si>
    <t>NOMBRE RETIRA: OSCAR CERDA . RUT RETIRA: 13781730-6</t>
  </si>
  <si>
    <t>Maria Ignacia Díaz</t>
  </si>
  <si>
    <t>Errazuriz 921, Hospital</t>
  </si>
  <si>
    <t>BIT11028760</t>
  </si>
  <si>
    <t>NOMBRE RETIRA: RODRIGO MORALES A RUT RETIRA: 13230489-0</t>
  </si>
  <si>
    <t>Rodrigo Morales</t>
  </si>
  <si>
    <t>Cumming 1176</t>
  </si>
  <si>
    <t>BIT11028757</t>
  </si>
  <si>
    <t>NOMBRE RETIRA: JORGE GONZALEZ .. .. RUT RETIRA: 9415392-1</t>
  </si>
  <si>
    <t>Jorge González Pérez</t>
  </si>
  <si>
    <t>Av Independencia 1615</t>
  </si>
  <si>
    <t>BIT11028738</t>
  </si>
  <si>
    <t>NOMBRE RETIRA: JORGE RAMIREZ ... RUT RETIRA: 78882180-8</t>
  </si>
  <si>
    <t>BIT11028751</t>
  </si>
  <si>
    <t>NOMBRE RETIRA: JOAQUIN TAPIA J RUT RETIRA: 16557251-3</t>
  </si>
  <si>
    <t>Juan José Gazmuri 612 || Juan José Gazmuri 612, Juan José Gazmuri 612</t>
  </si>
  <si>
    <t>BIT11028703</t>
  </si>
  <si>
    <t>Restaurante Pilla La Vaca, PeÑuelas Norte 191</t>
  </si>
  <si>
    <t>BIT11027974</t>
  </si>
  <si>
    <t>Cristian Quirós</t>
  </si>
  <si>
    <t>loteo la Cachimba ruta 225 km11.5, parcela 7</t>
  </si>
  <si>
    <t>2025-06-07 11:51</t>
  </si>
  <si>
    <t>BIT11029075</t>
  </si>
  <si>
    <t>712924209830</t>
  </si>
  <si>
    <t>Nombre: Wilson oviedo - Rut: 85853686</t>
  </si>
  <si>
    <t>Consuelo Oviedo Ramos</t>
  </si>
  <si>
    <t>Calle Lastarrias #15, Casa</t>
  </si>
  <si>
    <t>BIT11029068</t>
  </si>
  <si>
    <t>712924209955</t>
  </si>
  <si>
    <t>Nombre: marta quezada - Rut: 14160001</t>
  </si>
  <si>
    <t>Marcelo Martín Martín storme</t>
  </si>
  <si>
    <t>Camino Lonquén sur 4387 paradero 32/2, Casa condominio palmas III</t>
  </si>
  <si>
    <t>BIT11029065</t>
  </si>
  <si>
    <t>712924209863</t>
  </si>
  <si>
    <t>Nombre: Luis diaz - Rut: 131365845</t>
  </si>
  <si>
    <t>Luis Diaz</t>
  </si>
  <si>
    <t>Chaitén 8024, Torre D departamento 1004</t>
  </si>
  <si>
    <t>BIT11029056</t>
  </si>
  <si>
    <t>712924209992</t>
  </si>
  <si>
    <t>Nombre: Pamela wanderslrben - Rut: 175358617</t>
  </si>
  <si>
    <t>Pamela Wandersleben</t>
  </si>
  <si>
    <t>Lord Cochrane 1681, Villa Héroes de Chile</t>
  </si>
  <si>
    <t>BIT11029513</t>
  </si>
  <si>
    <t>712929499306</t>
  </si>
  <si>
    <t>Gonzalo Yactayo</t>
  </si>
  <si>
    <t>Av. bernardo o higgins 1877, Block c, dpto 204</t>
  </si>
  <si>
    <t>BIT11029479</t>
  </si>
  <si>
    <t>712928977261</t>
  </si>
  <si>
    <t>Miguel Ayala Valladares</t>
  </si>
  <si>
    <t>Chacabuco 377</t>
  </si>
  <si>
    <t>BIT11029443</t>
  </si>
  <si>
    <t>712928747941</t>
  </si>
  <si>
    <t>Renata Cicarelli</t>
  </si>
  <si>
    <t>Galvarino 247 villa don Matías sector Buenos Aires</t>
  </si>
  <si>
    <t>BIT11029416</t>
  </si>
  <si>
    <t>712928126024</t>
  </si>
  <si>
    <t>Claudia Acevedo</t>
  </si>
  <si>
    <t>Victor jara 017, el numero esta adentro de la casa, dos pisos techo ver y palmera</t>
  </si>
  <si>
    <t>BIT11029244</t>
  </si>
  <si>
    <t>712926334282</t>
  </si>
  <si>
    <t>Cesar Torres Alcaíno</t>
  </si>
  <si>
    <t>Ignacio Carrera Pinto 275, Parral</t>
  </si>
  <si>
    <t>BIT11029291</t>
  </si>
  <si>
    <t>712926657590</t>
  </si>
  <si>
    <t>Cristopher Marco Stange Steger</t>
  </si>
  <si>
    <t>Baquedano 614 local A2, Oficina Chilexpress</t>
  </si>
  <si>
    <t>BIT11029255</t>
  </si>
  <si>
    <t>712926334120</t>
  </si>
  <si>
    <t>Jose Paredes Mansilla</t>
  </si>
  <si>
    <t>Dalcahue rural s/n, Casa</t>
  </si>
  <si>
    <t>BIT11029215</t>
  </si>
  <si>
    <t>712925716565</t>
  </si>
  <si>
    <t>Pedro Antonio mena valdes Menas valdes</t>
  </si>
  <si>
    <t>Balmaceda 340, Kiosco llaves</t>
  </si>
  <si>
    <t>BIT11029187</t>
  </si>
  <si>
    <t>712925495273</t>
  </si>
  <si>
    <t>Cesar Briceño  medina</t>
  </si>
  <si>
    <t>Diego Portales 855</t>
  </si>
  <si>
    <t>BIT11029153</t>
  </si>
  <si>
    <t>712925495531</t>
  </si>
  <si>
    <t>Alex Vigorena Cisternas</t>
  </si>
  <si>
    <t>Arqueros 1906, Ciudad El Salvador, comuna Diego de Almagro, Arqueros 1906, Ciudad El Salvador, comuna Diego de Almagro</t>
  </si>
  <si>
    <t>BIT11029045</t>
  </si>
  <si>
    <t>712923833904</t>
  </si>
  <si>
    <t>Eusebio Sánchez Bravo</t>
  </si>
  <si>
    <t>Calle Torreblanca 478, Casa</t>
  </si>
  <si>
    <t>BIT11029023</t>
  </si>
  <si>
    <t>712923834453</t>
  </si>
  <si>
    <t>Cristian Acevedo Espinoza</t>
  </si>
  <si>
    <t>Pisagua 426, Local comercial</t>
  </si>
  <si>
    <t>BIT11028981</t>
  </si>
  <si>
    <t>712923474760</t>
  </si>
  <si>
    <t>Matias Castillo Ibañez</t>
  </si>
  <si>
    <t>Matucana 1095</t>
  </si>
  <si>
    <t>BIT11028977</t>
  </si>
  <si>
    <t>712923475040</t>
  </si>
  <si>
    <t>Igualdad 280</t>
  </si>
  <si>
    <t>BIT11028831</t>
  </si>
  <si>
    <t>712921891485</t>
  </si>
  <si>
    <t>Luis Olivares</t>
  </si>
  <si>
    <t>tarapaca 798, Parral</t>
  </si>
  <si>
    <t>BIT11028838</t>
  </si>
  <si>
    <t>712921891382</t>
  </si>
  <si>
    <t>Carlos Lagos Muñoz</t>
  </si>
  <si>
    <t>Pablo Neruda 229, Casa</t>
  </si>
  <si>
    <t>BIT11028761</t>
  </si>
  <si>
    <t>712921120144</t>
  </si>
  <si>
    <t>BIT11028687</t>
  </si>
  <si>
    <t>712920779760</t>
  </si>
  <si>
    <t>Ervin Pineda</t>
  </si>
  <si>
    <t>Calle bulnes pobl recsi block F depto22, Poblacion Recsi Block F Depto # 22</t>
  </si>
  <si>
    <t>BIT11029346</t>
  </si>
  <si>
    <t>9353283251</t>
  </si>
  <si>
    <t>Solange Miranda</t>
  </si>
  <si>
    <t>VicuÑa Mackenna 1955, 1955</t>
  </si>
  <si>
    <t>BIT11029347</t>
  </si>
  <si>
    <t>9353030374</t>
  </si>
  <si>
    <t>Julio Norambuena</t>
  </si>
  <si>
    <t>Villa el Belloto Calle Quintral 43, 43</t>
  </si>
  <si>
    <t>BIT11029421</t>
  </si>
  <si>
    <t>9349376013</t>
  </si>
  <si>
    <t>Rodrigo Olguín</t>
  </si>
  <si>
    <t>Calle 4 640 Villa San Agustin</t>
  </si>
  <si>
    <t>BIT11029440</t>
  </si>
  <si>
    <t>9348796855</t>
  </si>
  <si>
    <t>Miguel Nagy</t>
  </si>
  <si>
    <t>Miraflores 969 B, Casa</t>
  </si>
  <si>
    <t>BIT11029430</t>
  </si>
  <si>
    <t>9349099340</t>
  </si>
  <si>
    <t>Daniel Estay</t>
  </si>
  <si>
    <t>Constitución 169, Local comercial óptica Visionpro</t>
  </si>
  <si>
    <t>BIT11029160</t>
  </si>
  <si>
    <t>9350819726</t>
  </si>
  <si>
    <t>Douglas Maldonado</t>
  </si>
  <si>
    <t>Marco Gallardo 150, Casa 70</t>
  </si>
  <si>
    <t>BIT11029313</t>
  </si>
  <si>
    <t>9352753690</t>
  </si>
  <si>
    <t>Mauricio Gonzalez Mendez</t>
  </si>
  <si>
    <t>Pasaje Los Boldos 1885, Paine, Casa Esquina San Juan de Dios</t>
  </si>
  <si>
    <t>BIT11029155</t>
  </si>
  <si>
    <t>9351359065</t>
  </si>
  <si>
    <t>Allans Ortega</t>
  </si>
  <si>
    <t>Calle ZaÑartu 488</t>
  </si>
  <si>
    <t>BIT11029253</t>
  </si>
  <si>
    <t>9354539865</t>
  </si>
  <si>
    <t>Augusto Garcia Valencia</t>
  </si>
  <si>
    <t>Casa, Maroto 687,  entre calles 5y6</t>
  </si>
  <si>
    <t>BIT11029266</t>
  </si>
  <si>
    <t>9354719113</t>
  </si>
  <si>
    <t>Gaston Gatica</t>
  </si>
  <si>
    <t>Los cerezos 615</t>
  </si>
  <si>
    <t>BIT11029250</t>
  </si>
  <si>
    <t>9354477252</t>
  </si>
  <si>
    <t>Jorge Del Campo</t>
  </si>
  <si>
    <t>Los abedules 1920</t>
  </si>
  <si>
    <t>BIT11029261</t>
  </si>
  <si>
    <t>9354725822</t>
  </si>
  <si>
    <t>Sebastián Astudillo Cerda</t>
  </si>
  <si>
    <t>Avenida Ignacio Carrera Pinto 446, Casa</t>
  </si>
  <si>
    <t>BIT11029208</t>
  </si>
  <si>
    <t>9351394975</t>
  </si>
  <si>
    <t>Lidia Elena Marentis Casanova</t>
  </si>
  <si>
    <t>Patio de Naranjos 122, Sector Sta. Maria del Mar</t>
  </si>
  <si>
    <t>BIT11028992</t>
  </si>
  <si>
    <t>9351671184</t>
  </si>
  <si>
    <t>Bahia Inglesa 896, Barrio Doña Rosario, Valle Grande</t>
  </si>
  <si>
    <t>BIT11029031</t>
  </si>
  <si>
    <t>9352423275</t>
  </si>
  <si>
    <t>Zañartu 488</t>
  </si>
  <si>
    <t>BIT11029109</t>
  </si>
  <si>
    <t>9354072221</t>
  </si>
  <si>
    <t>Mario Prieto Guzman</t>
  </si>
  <si>
    <t>Luco 400, Cesfam Mostazal</t>
  </si>
  <si>
    <t>BIT11029080</t>
  </si>
  <si>
    <t>9353936056</t>
  </si>
  <si>
    <t>Cristian Rodriguez</t>
  </si>
  <si>
    <t>Av. La Montaña Norte 3650, Casa 36F</t>
  </si>
  <si>
    <t>BIT11028932</t>
  </si>
  <si>
    <t>9351893213</t>
  </si>
  <si>
    <t>Camino Lonquén sur 4387 paradero 32/2</t>
  </si>
  <si>
    <t>BIT11028975</t>
  </si>
  <si>
    <t>9352167720</t>
  </si>
  <si>
    <t>Marcelo Dasso</t>
  </si>
  <si>
    <t>Tabolango 1320 en calle larga, Casa 1</t>
  </si>
  <si>
    <t>BIT11029063</t>
  </si>
  <si>
    <t>9353738310</t>
  </si>
  <si>
    <t>Teodora Soto Fernández</t>
  </si>
  <si>
    <t>Avenida Francisco Soza Cousiño 60, Depto.71/ Edificio Zafiro</t>
  </si>
  <si>
    <t>BIT11029028</t>
  </si>
  <si>
    <t>9353656830</t>
  </si>
  <si>
    <t>Gurden Eaton</t>
  </si>
  <si>
    <t>Avenida Costa de Montemar 287, 1306</t>
  </si>
  <si>
    <t>BIT11029029</t>
  </si>
  <si>
    <t>9351735514</t>
  </si>
  <si>
    <t>Manuel Muñoz</t>
  </si>
  <si>
    <t>Bello Horizonte 126</t>
  </si>
  <si>
    <t>BIT11028961</t>
  </si>
  <si>
    <t>9351723135</t>
  </si>
  <si>
    <t>Luis Luis Rojas</t>
  </si>
  <si>
    <t>Los Nogales Norte 3212</t>
  </si>
  <si>
    <t>BIT11029090</t>
  </si>
  <si>
    <t>9353970544</t>
  </si>
  <si>
    <t>BIT11028642</t>
  </si>
  <si>
    <t>9344854396</t>
  </si>
  <si>
    <t>angel garcia aretio</t>
  </si>
  <si>
    <t>parque industrial 33</t>
  </si>
  <si>
    <t>BIT11028898</t>
  </si>
  <si>
    <t>9350001555</t>
  </si>
  <si>
    <t>Ingrid Klenner Catalán</t>
  </si>
  <si>
    <t>Bilbao 416, Casa</t>
  </si>
  <si>
    <t>BIT11028843</t>
  </si>
  <si>
    <t>9350262036</t>
  </si>
  <si>
    <t>Mauricio Gonzalez Aguirre</t>
  </si>
  <si>
    <t>Miraflores 1337, 48 Condominio Altué</t>
  </si>
  <si>
    <t>BIT11028842</t>
  </si>
  <si>
    <t>9350262471</t>
  </si>
  <si>
    <t>Pablo Panguinao</t>
  </si>
  <si>
    <t>Avenida la siembra 4831, 305</t>
  </si>
  <si>
    <t>BIT11028782</t>
  </si>
  <si>
    <t>9341754785</t>
  </si>
  <si>
    <t>Sandra Campillay</t>
  </si>
  <si>
    <t>Pedro aguirre cerda 900, Casa 39</t>
  </si>
  <si>
    <t>BIT11028786</t>
  </si>
  <si>
    <t>9341924045</t>
  </si>
  <si>
    <t>Helen Mardones</t>
  </si>
  <si>
    <t>El aguilucho 16 e naltahua isla de maipo</t>
  </si>
  <si>
    <t>BIT11028808</t>
  </si>
  <si>
    <t>9341242396</t>
  </si>
  <si>
    <t>Tomas Oryan</t>
  </si>
  <si>
    <t>Calle unihue 1776, Casa</t>
  </si>
  <si>
    <t>BIT11028888</t>
  </si>
  <si>
    <t>9350087375</t>
  </si>
  <si>
    <t>Carla Peña</t>
  </si>
  <si>
    <t>Camino la obra 536, Parcela 20</t>
  </si>
  <si>
    <t>BIT11028885</t>
  </si>
  <si>
    <t>9349752495</t>
  </si>
  <si>
    <t>Ana Carrera Carrera Bruzual</t>
  </si>
  <si>
    <t>Blanca Estela 1355, 18</t>
  </si>
  <si>
    <t>BIT11028882</t>
  </si>
  <si>
    <t>9349621805</t>
  </si>
  <si>
    <t>Gustavo Andres Serrano Bascuñan</t>
  </si>
  <si>
    <t>Paula pineda 565</t>
  </si>
  <si>
    <t>BIT11028880</t>
  </si>
  <si>
    <t>9350354403</t>
  </si>
  <si>
    <t>Alberto Simonetti</t>
  </si>
  <si>
    <t>Avenida blanca estela 1055, Dpto 453</t>
  </si>
  <si>
    <t>BIT11028604</t>
  </si>
  <si>
    <t>9347271916</t>
  </si>
  <si>
    <t>Pedro Barraza Garcia</t>
  </si>
  <si>
    <t>Los Quillayes 70, Villa Valle de Acuyo</t>
  </si>
  <si>
    <t>2025-06-24 23:26</t>
  </si>
  <si>
    <t>BIT11028617</t>
  </si>
  <si>
    <t>9347520840</t>
  </si>
  <si>
    <t>Enrique Trujillo Taylor</t>
  </si>
  <si>
    <t>Los Pellines 1042, Depto 151</t>
  </si>
  <si>
    <t>2025-06-25 11:50</t>
  </si>
  <si>
    <t>BIT11028616</t>
  </si>
  <si>
    <t>9346833274</t>
  </si>
  <si>
    <t>Gonzalo Vergara Moreno</t>
  </si>
  <si>
    <t>Las Violetas 88, Casa</t>
  </si>
  <si>
    <t>BIT11028581</t>
  </si>
  <si>
    <t>9346938510</t>
  </si>
  <si>
    <t>2025-06-24 00:12</t>
  </si>
  <si>
    <t>BIT11028639</t>
  </si>
  <si>
    <t>9346963253</t>
  </si>
  <si>
    <t>Ricardo Salvatierra</t>
  </si>
  <si>
    <t>Volcan tacora 1526, Casa</t>
  </si>
  <si>
    <t>2025-06-26 10:07</t>
  </si>
  <si>
    <t>BIT11028610</t>
  </si>
  <si>
    <t>9347194883</t>
  </si>
  <si>
    <t>Rodrigo Fuentes</t>
  </si>
  <si>
    <t>Agua santa 2310 lampa (larapinta), Casa</t>
  </si>
  <si>
    <t>DOR55012751</t>
  </si>
  <si>
    <t>18745570</t>
  </si>
  <si>
    <t>DORMILONES</t>
  </si>
  <si>
    <t>Sebastian Puebla</t>
  </si>
  <si>
    <t>La Rinconada 291, 306 B</t>
  </si>
  <si>
    <t>2025-07-24 13:05</t>
  </si>
  <si>
    <t>DOR2407251</t>
  </si>
  <si>
    <t>18745190</t>
  </si>
  <si>
    <t>Jenny Rojas</t>
  </si>
  <si>
    <t>Ramon Subercaseaux 1397, DEPTO 802</t>
  </si>
  <si>
    <t>2025-07-24 11:58</t>
  </si>
  <si>
    <t>DOR55012824</t>
  </si>
  <si>
    <t>NOMBRE RETIRA: RODE CRUZ . RUT RETIRA: 7213470-2</t>
  </si>
  <si>
    <t>Rode Loida Cruz</t>
  </si>
  <si>
    <t>Pasaje Rio Itata 2707     , Villa Esperanza</t>
  </si>
  <si>
    <t>2025-07-30 10:19</t>
  </si>
  <si>
    <t>DOR55012822</t>
  </si>
  <si>
    <t>NOMBRE RETIRA: BERBADO VEPEDA D RUT RETIRA: 18236824-5</t>
  </si>
  <si>
    <t>Rossana Ahumada Mercado</t>
  </si>
  <si>
    <t>Bosque de Montemar 1435, Casa 30</t>
  </si>
  <si>
    <t>DOR55012832</t>
  </si>
  <si>
    <t>NOMBRE RETIRA: VERONICA CONTRERAS . RUT RETIRA: 17362114-0</t>
  </si>
  <si>
    <t>Verónica contreras</t>
  </si>
  <si>
    <t>David león tapia 4573, Casa</t>
  </si>
  <si>
    <t>DOR55012816</t>
  </si>
  <si>
    <t>NOMBRE RETIRA: ROBERTO LOPEZ 0 RUT RETIRA: 26032530-2</t>
  </si>
  <si>
    <t>Anddrys Lopez</t>
  </si>
  <si>
    <t>25 Norte con 40 Oriente 3765, 3765</t>
  </si>
  <si>
    <t>2025-07-28 23:32</t>
  </si>
  <si>
    <t>DOR55012811</t>
  </si>
  <si>
    <t>NOMBRE RETIRA: CATALINA COSIALIS COSIALLIS RUT RETIRA: 16363521-6</t>
  </si>
  <si>
    <t>CATALINA PAZ COSIALLS MARTÍNEZ</t>
  </si>
  <si>
    <t>Pascual Binimelis 41, LONCO ORIENTE</t>
  </si>
  <si>
    <t>DOR55012782</t>
  </si>
  <si>
    <t>NOMBRE RETIRA: AYSA PAIVA . RUT RETIRA: 13427526-K</t>
  </si>
  <si>
    <t>Cristian Janania</t>
  </si>
  <si>
    <t>Belisario Riquelme 3290</t>
  </si>
  <si>
    <t>2025-07-27 22:22</t>
  </si>
  <si>
    <t>DOR55012803</t>
  </si>
  <si>
    <t>NOMBRE RETIRA: BASTIAN CUBILLOS . RUT RETIRA: 18619247-8</t>
  </si>
  <si>
    <t>Rodrigo OLIVARES OROZCO</t>
  </si>
  <si>
    <t>Agustín Tapia 381, Casa Pobl. SICEM</t>
  </si>
  <si>
    <t>DOR55012746</t>
  </si>
  <si>
    <t>NOMBRE RETIRA: JOSE PARRA . RUT RETIRA: 14228702-1</t>
  </si>
  <si>
    <t>Jose Parra</t>
  </si>
  <si>
    <t>Teniente Ignacio Serrano 1091</t>
  </si>
  <si>
    <t>DOR55012704</t>
  </si>
  <si>
    <t>Karina Figueroa Bachmann</t>
  </si>
  <si>
    <t>Avenida Arrayán S/N 00. Sector Tejas Verdes, Escuela de Ingenieros</t>
  </si>
  <si>
    <t>DOR55012775</t>
  </si>
  <si>
    <t>NOMBRE RETIRA: PAULA URRUTIA URRUTIA RUT RETIRA: 16363521-6</t>
  </si>
  <si>
    <t>Paula Urrutia</t>
  </si>
  <si>
    <t>Sanders 75, casa</t>
  </si>
  <si>
    <t>DOR55012735</t>
  </si>
  <si>
    <t>NOMBRE RETIRA: LUCUANO TERRAZA . RUT RETIRA: 20409164-1</t>
  </si>
  <si>
    <t>Luciano Terraza Perez</t>
  </si>
  <si>
    <t>ARTURO PRAT 515</t>
  </si>
  <si>
    <t>2025-07-23 12:46</t>
  </si>
  <si>
    <t>DOR55012784</t>
  </si>
  <si>
    <t>NOMBRE RETIRA: JUAN RETAMAL .. RUT RETIRA: 17994383-2</t>
  </si>
  <si>
    <t>Juan Retamal Dinamarca</t>
  </si>
  <si>
    <t>Sendero Los Eucaliptus 2091, 130</t>
  </si>
  <si>
    <t>DOR55012794</t>
  </si>
  <si>
    <t>NOMBRE RETIRA: PABLO OLWA . RUT RETIRA: 19125295-0</t>
  </si>
  <si>
    <t>Pablo Olea Vallejos</t>
  </si>
  <si>
    <t>El Águila 2704</t>
  </si>
  <si>
    <t>DOR55012790</t>
  </si>
  <si>
    <t>NOMBRE RETIRA: CARLOS MENDES J RUT RETIRA: 53301181-0</t>
  </si>
  <si>
    <t>Camilo Arenas</t>
  </si>
  <si>
    <t>Baquedano 1, Parcela 59</t>
  </si>
  <si>
    <t>DOR55012807</t>
  </si>
  <si>
    <t>NOMBRE RETIRA: GABRIEL ORTIZ TOLEDO RUT RETIRA: 5862653-8</t>
  </si>
  <si>
    <t>Gabriela Ortiz vasquez</t>
  </si>
  <si>
    <t>Calle AlcÁzar 1408</t>
  </si>
  <si>
    <t>DOR55012802</t>
  </si>
  <si>
    <t>NOMBRE RETIRA: MAURICIO ARAVENA . RUT RETIRA: 77159101-9</t>
  </si>
  <si>
    <t>Catherinne Zapata</t>
  </si>
  <si>
    <t>Valle las Monjas 710. Casa 11, Condominio Santa Emilia Lomas San Andrés</t>
  </si>
  <si>
    <t>DOR55012777</t>
  </si>
  <si>
    <t>NOMBRE RETIRA: CRISTIAN SANDOVAL . RUT RETIRA: 13275587-6</t>
  </si>
  <si>
    <t>Tere Rey</t>
  </si>
  <si>
    <t>Francia 35, Depto. 805</t>
  </si>
  <si>
    <t>DOR55012780</t>
  </si>
  <si>
    <t>NOMBRE RETIRA: DIEGO VASQUEZ . RUT RETIRA: 16022480-0</t>
  </si>
  <si>
    <t>Diego Vasquez</t>
  </si>
  <si>
    <t>Membrillar 390, Casa</t>
  </si>
  <si>
    <t>DOR55012795</t>
  </si>
  <si>
    <t>NOMBRE RETIRA: CAROLA SANTANA S RUT RETIRA: 14039372-K</t>
  </si>
  <si>
    <t>Carola Santana</t>
  </si>
  <si>
    <t>Eleuterio Ramírez 464</t>
  </si>
  <si>
    <t>DOR55012806</t>
  </si>
  <si>
    <t>NOMBRE RETIRA: FERNANDA MELLAD M RUT RETIRA: 18510121-5</t>
  </si>
  <si>
    <t>San Isidro parcela 38, Casa 7</t>
  </si>
  <si>
    <t>DOR55012789</t>
  </si>
  <si>
    <t>NOMBRE RETIRA: PAMELA MONSALVEZ . RUT RETIRA: 13812141-0</t>
  </si>
  <si>
    <t>Pamela Monsalvez</t>
  </si>
  <si>
    <t>Psj2 2 , Casa 619, Portal Del Sol, Al final de Av. Francia</t>
  </si>
  <si>
    <t>DOR55012702</t>
  </si>
  <si>
    <t>NOMBRE RETIRA: CRISTIAN BALBOA . RUT RETIRA: 8504523-7</t>
  </si>
  <si>
    <t>Angelica Gonzalez</t>
  </si>
  <si>
    <t>21 de Mayo 655</t>
  </si>
  <si>
    <t>DOR55012743</t>
  </si>
  <si>
    <t>NOMBRE RETIRA: MONICA VALENZUELA V RUT RETIRA: 11685024-9</t>
  </si>
  <si>
    <t>Monica Valenzuela Carrasco</t>
  </si>
  <si>
    <t>Valle Hondo 1796, Casa</t>
  </si>
  <si>
    <t>DOR55012752</t>
  </si>
  <si>
    <t>NOMBRE RETIRA: IVON3 SALINAS SALINAS RUT RETIRA: 18482998-3</t>
  </si>
  <si>
    <t>Ivonne Salinas González</t>
  </si>
  <si>
    <t>Chacra Vieja 3963, Casa esquina</t>
  </si>
  <si>
    <t>DOR55012739</t>
  </si>
  <si>
    <t>NOMBRE RETIRA: ALEJANDRA LOPEZ , RUT RETIRA: 13796473-2</t>
  </si>
  <si>
    <t>Av.Gral.Bonilla 428 Of.15 Tnal.Rodov</t>
  </si>
  <si>
    <t>DOR55012767</t>
  </si>
  <si>
    <t>NOMBRE RETIRA: CONSTANZA SALGADO X RUT RETIRA: 18959668-5</t>
  </si>
  <si>
    <t>Constanza Salgado Vera</t>
  </si>
  <si>
    <t>Pedro Montt 530, Depto de transito, cajas</t>
  </si>
  <si>
    <t>2025-07-25 09:52</t>
  </si>
  <si>
    <t>DOR55012758</t>
  </si>
  <si>
    <t>NOMBRE RETIRA: PAMELA REUSE . RUT RETIRA: 99999999-9</t>
  </si>
  <si>
    <t>Pamela Reuse vargas</t>
  </si>
  <si>
    <t>México 490, sector recreo, Casa</t>
  </si>
  <si>
    <t>2025-07-25 09:51</t>
  </si>
  <si>
    <t>DOR55012759</t>
  </si>
  <si>
    <t>NOMBRE RETIRA: SONIA RIOS PORTERIA RUT RETIRA: 21036311-4</t>
  </si>
  <si>
    <t>Maria Isabel Cordero Miranda</t>
  </si>
  <si>
    <t>Jose Domingo Mujica 301, Depto 204</t>
  </si>
  <si>
    <t>DOR55012741</t>
  </si>
  <si>
    <t>NOMBRE RETIRA: FELIPE LUNA A RUT RETIRA: 53325704-6</t>
  </si>
  <si>
    <t>Jaime Aravena</t>
  </si>
  <si>
    <t>De Veer 1328, 85</t>
  </si>
  <si>
    <t>DOR55012720</t>
  </si>
  <si>
    <t>NOMBRE RETIRA: JUANITA LUDENA . RUT RETIRA: 22318763-3</t>
  </si>
  <si>
    <t>Bastián Carvajal</t>
  </si>
  <si>
    <t>Arturo Fernández 2011, Edificio Puerto Vallarta dpto 46</t>
  </si>
  <si>
    <t>2025-07-22 12:15</t>
  </si>
  <si>
    <t>DOR55012619</t>
  </si>
  <si>
    <t>NOMBRE RETIRA: MERYL LEIVA . RUT RETIRA: 18642909-5</t>
  </si>
  <si>
    <t>Meryl Leiva Leiva</t>
  </si>
  <si>
    <t>Carlos Bories # 408</t>
  </si>
  <si>
    <t>DOR55012737</t>
  </si>
  <si>
    <t>NOMBRE RETIRA: PATRICIA AVILES . RUT RETIRA: 11423050-2</t>
  </si>
  <si>
    <t>Patricia Aviles</t>
  </si>
  <si>
    <t>Psje pedro de valdivia 81 villa martin ruiz de gamboa, Chillan</t>
  </si>
  <si>
    <t>DOR55012740</t>
  </si>
  <si>
    <t>NOMBRE RETIRA: LUIS MESA N RUT RETIRA: 18816881-7</t>
  </si>
  <si>
    <t>Francia 353, Depto. 805</t>
  </si>
  <si>
    <t>DOR55012722</t>
  </si>
  <si>
    <t>NOMBRE RETIRA: IVANIA . . RUT RETIRA: 21515914-0</t>
  </si>
  <si>
    <t>Melissa Illanes Rojas</t>
  </si>
  <si>
    <t>Oficina Poderosa 175, Depto 901 T1</t>
  </si>
  <si>
    <t>DOR55012659</t>
  </si>
  <si>
    <t>NOMBRE RETIRA: PATRICK PADILLA . RUT RETIRA: 28494673-1</t>
  </si>
  <si>
    <t>Jessica Quinones</t>
  </si>
  <si>
    <t>Genaro Gallo 554,  Depto 71 B. Condominio Portada Oriente</t>
  </si>
  <si>
    <t>2025-07-19 11:51</t>
  </si>
  <si>
    <t>DOR55012748</t>
  </si>
  <si>
    <t>NOMBRE RETIRA: BYRON GONZALES B RUT RETIRA: 15118584-3</t>
  </si>
  <si>
    <t>Byron Gonzalez</t>
  </si>
  <si>
    <t>Nincun Lauta 18, Botilleria donde juanito</t>
  </si>
  <si>
    <t>DOR55012698</t>
  </si>
  <si>
    <t>NOMBRE RETIRA: JOSE CRESPO . RUT RETIRA: 26770742-1</t>
  </si>
  <si>
    <t>Katherine Zuniga</t>
  </si>
  <si>
    <t>Playa El Águila 2223, 701</t>
  </si>
  <si>
    <t>DOR55012709</t>
  </si>
  <si>
    <t>NOMBRE RETIRA: ADELA VARELA . RUT RETIRA: 10241420-9</t>
  </si>
  <si>
    <t>joshua covarrubias</t>
  </si>
  <si>
    <t>Psj. Luis Uribe 100, Depto 1705. Edificio Torre Capital</t>
  </si>
  <si>
    <t>DOR55012727</t>
  </si>
  <si>
    <t>NOMBRE RETIRA: MARGARITA CALFIO . RUT RETIRA: 11865879-5</t>
  </si>
  <si>
    <t>Margarita Calfio</t>
  </si>
  <si>
    <t>General Carrera 253</t>
  </si>
  <si>
    <t>DOR55012699</t>
  </si>
  <si>
    <t>NOMBRE RETIRA: ALONDRA RAMIREZ . RUT RETIRA: 18100464-9</t>
  </si>
  <si>
    <t>Alondra Ramirez</t>
  </si>
  <si>
    <t>Ruta q-520, Pata de gallina (vivero Plant Center)</t>
  </si>
  <si>
    <t>DOR55012707</t>
  </si>
  <si>
    <t>NOMBRE RETIRA: CRISTIAN PRIETO . RUT RETIRA: 12950159-6</t>
  </si>
  <si>
    <t>Karen Sepulveda</t>
  </si>
  <si>
    <t>Av. Cinco 4300. Condominio la Tirana, Calle B casa 313</t>
  </si>
  <si>
    <t>DOR55012662</t>
  </si>
  <si>
    <t>NOMBRE RETIRA: VANESA LE . RUT RETIRA: 17113844-2</t>
  </si>
  <si>
    <t>Vanesa Le cerf</t>
  </si>
  <si>
    <t>Av. Angamos 1100, Depa 23 castaño</t>
  </si>
  <si>
    <t>DOR55012713</t>
  </si>
  <si>
    <t>NOMBRE RETIRA: DIEGO CASTILLO . RUT RETIRA: 20216153-7</t>
  </si>
  <si>
    <t>ANGELICA ARAMAYO QUIGUAILLO</t>
  </si>
  <si>
    <t>José Victorino Lastarria 1550, Oficina horario 9.00 a 18:30 horas</t>
  </si>
  <si>
    <t>DOR55012726</t>
  </si>
  <si>
    <t>NOMBRE RETIRA: REYES . . RUT RETIRA: 53310370-7</t>
  </si>
  <si>
    <t>Macarena Salinas Vaccaro</t>
  </si>
  <si>
    <t>Botrolhue 1404, Casa 23</t>
  </si>
  <si>
    <t>DOR55012711</t>
  </si>
  <si>
    <t>NOMBRE RETIRA: MARIA VECILLA . RUT RETIRA: 10590657-9</t>
  </si>
  <si>
    <t>Maria Viviana Cevilla</t>
  </si>
  <si>
    <t>Pasaje Gaby 4227</t>
  </si>
  <si>
    <t>DOR55012731</t>
  </si>
  <si>
    <t>NOMBRE RETIRA: JIAN MORALES 7 RUT RETIRA: 15118584-3</t>
  </si>
  <si>
    <t>Nien Chi Hon</t>
  </si>
  <si>
    <t>Sabiduria 997</t>
  </si>
  <si>
    <t>DOR55012716</t>
  </si>
  <si>
    <t>NOMBRE RETIRA: MAURO ROJAS . RUT RETIRA: 16436394-5</t>
  </si>
  <si>
    <t>Cristian Carvajal</t>
  </si>
  <si>
    <t>El Yodo 8180, Departamento 2202</t>
  </si>
  <si>
    <t>DOR55012656</t>
  </si>
  <si>
    <t>NOMBRE RETIRA: ANDRYS LOPEZ 0 RUT RETIRA: 25453917-1</t>
  </si>
  <si>
    <t>Anddrys López Avila</t>
  </si>
  <si>
    <t>36 Oriente 3363 con 21 y Medio Norte B, Entre Labocar y escuela Aliween</t>
  </si>
  <si>
    <t>DOR55012561</t>
  </si>
  <si>
    <t>NOMBRE RETIRA: CAROLINA GONZALES . RUT RETIRA: 11111111-1</t>
  </si>
  <si>
    <t>Pje. Pastor Emilio Raín Navarro 01860, Casa</t>
  </si>
  <si>
    <t>DOR55012666</t>
  </si>
  <si>
    <t>NOMBRE RETIRA: EDIT ROJAS ROJA RUT RETIRA: 8381410-1</t>
  </si>
  <si>
    <t>Alex Fox</t>
  </si>
  <si>
    <t>Vicente Zegers 6849, Paipote Casa</t>
  </si>
  <si>
    <t>DOR55012678</t>
  </si>
  <si>
    <t>NOMBRE RETIRA: MATIAS OLMOS O RUT RETIRA: 21487022-3</t>
  </si>
  <si>
    <t>odette soto roa</t>
  </si>
  <si>
    <t>MartÍnez De Rosas 257</t>
  </si>
  <si>
    <t>DOR55012693</t>
  </si>
  <si>
    <t>NOMBRE RETIRA: DANIELA GOMEZ . RUT RETIRA: 21059141-9</t>
  </si>
  <si>
    <t>San Martín 80, Piso 4 - Migraciones</t>
  </si>
  <si>
    <t>DOR55012658</t>
  </si>
  <si>
    <t>NOMBRE RETIRA: MARCELA CURIVIL .. RUT RETIRA: 17781255-2</t>
  </si>
  <si>
    <t>Isrrael Faundez Araya</t>
  </si>
  <si>
    <t>Los Cipreses 48, Alto Verde Placilla</t>
  </si>
  <si>
    <t>DOR55012691</t>
  </si>
  <si>
    <t>NOMBRE RETIRA: DAMARIS GAVILAN K RUT RETIRA: 10721237-K</t>
  </si>
  <si>
    <t>Damaris Gavilán Murillo</t>
  </si>
  <si>
    <t>Miguel de Cervantes 01221 sector ufro, Por Juan 23 al fondo a la derecha2da casa</t>
  </si>
  <si>
    <t>DOR55012667</t>
  </si>
  <si>
    <t>NOMBRE RETIRA: ROSARIO SANMARTIN . RUT RETIRA: 14615675-4</t>
  </si>
  <si>
    <t>Rosario San Martin</t>
  </si>
  <si>
    <t>Arturo Prat 821</t>
  </si>
  <si>
    <t>DOR55012685</t>
  </si>
  <si>
    <t>NOMBRE RETIRA: NATALIA ALVAREZ . RUT RETIRA: 18771622-5</t>
  </si>
  <si>
    <t>Natalia Alvarez</t>
  </si>
  <si>
    <t>Av. Ecuador 785-B, Casa</t>
  </si>
  <si>
    <t>DOR55012654</t>
  </si>
  <si>
    <t>NOMBRE RETIRA: LORETO GOEPINGER . RUT RETIRA: 16612667-3</t>
  </si>
  <si>
    <t>Loreto Goeppinger</t>
  </si>
  <si>
    <t>Marcelino Vittoriano 180, Camino internacional</t>
  </si>
  <si>
    <t>2025-07-17 23:24</t>
  </si>
  <si>
    <t>DOR55012545</t>
  </si>
  <si>
    <t>NOMBRE RETIRA: CRISTIAN ROBLES . RUT RETIRA: 21779195-2</t>
  </si>
  <si>
    <t>NALDY SEPULVEDA</t>
  </si>
  <si>
    <t>VALLE HUEMULES 2854</t>
  </si>
  <si>
    <t>2025-07-10 10:55</t>
  </si>
  <si>
    <t>DOR55012625</t>
  </si>
  <si>
    <t>NOMBRE RETIRA: ROMINA BARRIENTOS ... RUT RETIRA: 20277147-5</t>
  </si>
  <si>
    <t>Nadia Morán</t>
  </si>
  <si>
    <t>Pudeto 298</t>
  </si>
  <si>
    <t>2025-07-16 23:09</t>
  </si>
  <si>
    <t>DOR55012637</t>
  </si>
  <si>
    <t>NOMBRE RETIRA: DIEGO BALTASAR . RUT RETIRA: 18579999-9</t>
  </si>
  <si>
    <t>diego baltazar</t>
  </si>
  <si>
    <t>Riquelme 4179, CASA 4179, VILLA AYQUINA</t>
  </si>
  <si>
    <t>DOR55012647</t>
  </si>
  <si>
    <t>NOMBRE RETIRA: SEBASTIAN VEGA H RUT RETIRA: 19394033-1</t>
  </si>
  <si>
    <t>Sebastian Vega</t>
  </si>
  <si>
    <t>18 de Septiembre 782, 782</t>
  </si>
  <si>
    <t>DOR55012627</t>
  </si>
  <si>
    <t>NOMBRE RETIRA: RENE ALVAREZ ... RUT RETIRA: 4743445-9</t>
  </si>
  <si>
    <t>Carola Álvarez</t>
  </si>
  <si>
    <t>Gregorio Marañón 1010</t>
  </si>
  <si>
    <t>DOR55012639</t>
  </si>
  <si>
    <t>NOMBRE RETIRA: VANIA CANEVARI C RUT RETIRA: 11389756-2</t>
  </si>
  <si>
    <t>Vania Canevari</t>
  </si>
  <si>
    <t>Pasaje Juan Gandulfo 94, 94</t>
  </si>
  <si>
    <t>DOR55012632</t>
  </si>
  <si>
    <t>NOMBRE RETIRA: PERCY GAHONA . RUT RETIRA: 16549237-4</t>
  </si>
  <si>
    <t>Percy Alexander Gahona Lay</t>
  </si>
  <si>
    <t>Cancha Rayada 2612</t>
  </si>
  <si>
    <t>DOR55012636</t>
  </si>
  <si>
    <t>NOMBRE RETIRA: ROMINA CATALAN PORTERIA GUARDIA RUT RETIRA: 15661211-1</t>
  </si>
  <si>
    <t>Romina Catalán</t>
  </si>
  <si>
    <t>Club de Campo Residencial, Parcela 107 lote 2, Casa</t>
  </si>
  <si>
    <t>DOR55012638</t>
  </si>
  <si>
    <t>NOMBRE RETIRA: KATHER CARTD . RUT RETIRA: 13951536-6</t>
  </si>
  <si>
    <t>Katherine Cartes Espinoza</t>
  </si>
  <si>
    <t>Descanso del Sol 1929, Depto 201</t>
  </si>
  <si>
    <t>DOR55012610</t>
  </si>
  <si>
    <t>NOMBRE RETIRA: NORA HOPE .K RUT RETIRA: 6104796-4</t>
  </si>
  <si>
    <t>Gabriel Bravo Cobb</t>
  </si>
  <si>
    <t>Las Bugambilias 2771, Casa</t>
  </si>
  <si>
    <t>2025-07-14 22:49</t>
  </si>
  <si>
    <t>DOR55012567</t>
  </si>
  <si>
    <t>NOMBRE RETIRA: DARKAN ROMAN . RUT RETIRA: 20498791-2</t>
  </si>
  <si>
    <t>Cristian Viguera Viguera</t>
  </si>
  <si>
    <t>Av. Santiago Arata Gandolfo 4551, Departamento J 403</t>
  </si>
  <si>
    <t>2025-07-12 00:45</t>
  </si>
  <si>
    <t>DOR55012628</t>
  </si>
  <si>
    <t>NOMBRE RETIRA: TANIA VILLANUEVA . RUT RETIRA: 18178808-9</t>
  </si>
  <si>
    <t>Tania Villanueva Torres</t>
  </si>
  <si>
    <t>Santo Cura de Ars 1100, Casa 18 Condominio los Castaños</t>
  </si>
  <si>
    <t>DOR55012635</t>
  </si>
  <si>
    <t>NOMBRE RETIRA: LOGAN RODRIGUEZ . . RUT RETIRA: 15555993-4</t>
  </si>
  <si>
    <t>Andrea Romero</t>
  </si>
  <si>
    <t>Av. Vicepresidente Bernardo Leigthon 1251, Casa 57</t>
  </si>
  <si>
    <t>DOR55012642</t>
  </si>
  <si>
    <t>NOMBRE RETIRA: CAROLINA ESCALANTE . RUT RETIRA: 53334910-2</t>
  </si>
  <si>
    <t>Carolina Escalante Gaete</t>
  </si>
  <si>
    <t>MartÍn De Salvatierra 770, ReÑaca, Casa 51, Los Almendros</t>
  </si>
  <si>
    <t>DOR55012598</t>
  </si>
  <si>
    <t>NOMBRE RETIRA: PAOLA MALDOANDO . RUT RETIRA: 76669508-6</t>
  </si>
  <si>
    <t>Lesly Gonzalez Molina</t>
  </si>
  <si>
    <t>Antonio Varas esquina Federico Errázuriz 00, CESFAM Puerto Varas</t>
  </si>
  <si>
    <t>DOR55012626</t>
  </si>
  <si>
    <t>NOMBRE RETIRA: FELIPE . . RUT RETIRA: 53310370-7</t>
  </si>
  <si>
    <t>Felipe Cruz</t>
  </si>
  <si>
    <t>Av. San Martín 02431</t>
  </si>
  <si>
    <t>DOR55012604</t>
  </si>
  <si>
    <t>NOMBRE RETIRA: VIRGINIA VASQUEZ . RUT RETIRA: 12568739-3</t>
  </si>
  <si>
    <t>Rolando Fuentes</t>
  </si>
  <si>
    <t>Av. Pedro Aguirre Cerda 10581, G-304</t>
  </si>
  <si>
    <t>DOR55012624</t>
  </si>
  <si>
    <t>NOMBRE RETIRA: ALEXANDRA CONCHA . RUT RETIRA: 20803149-K</t>
  </si>
  <si>
    <t>Daniela Mestre</t>
  </si>
  <si>
    <t>Av. Isidoro del Solar 21</t>
  </si>
  <si>
    <t>DOR55012614</t>
  </si>
  <si>
    <t>NOMBRE RETIRA: WILFREDO FUENTES . RUT RETIRA: 12990216-7</t>
  </si>
  <si>
    <t>Mariaelisa Olivares</t>
  </si>
  <si>
    <t>Andrés bello 248</t>
  </si>
  <si>
    <t>DOR55012585</t>
  </si>
  <si>
    <t>NOMBRE RETIRA: DAAY DIAZ .. RUT RETIRA: 17773052-1</t>
  </si>
  <si>
    <t>Daay Diaz Diaz Ramos</t>
  </si>
  <si>
    <t>Avenida Dos Oriente 4745, Casa</t>
  </si>
  <si>
    <t>DOR55012602</t>
  </si>
  <si>
    <t>NOMBRE RETIRA: ELENA ARRIAGADA A RUT RETIRA: 65190752-7</t>
  </si>
  <si>
    <t>francisca hitschfeld</t>
  </si>
  <si>
    <t>Francisco Bilbao 992, 1603</t>
  </si>
  <si>
    <t>DOR55012612</t>
  </si>
  <si>
    <t>NOMBRE RETIRA: HECTOR MARTINES . RUT RETIRA: 17743844-8</t>
  </si>
  <si>
    <t>Ivan Araneda</t>
  </si>
  <si>
    <t>Av. Marconi 1110, Depto 203, torre 3</t>
  </si>
  <si>
    <t>DOR55012618</t>
  </si>
  <si>
    <t>NOMBRE RETIRA: PAULINA CASTILLO . RUT RETIRA: 18100464-9</t>
  </si>
  <si>
    <t>Paulina Castillo</t>
  </si>
  <si>
    <t>Detroit 871</t>
  </si>
  <si>
    <t>DOR55012605</t>
  </si>
  <si>
    <t>NOMBRE RETIRA: VELENTINA DAVANZO Y RUT RETIRA: 19081980-9</t>
  </si>
  <si>
    <t>Valentina Davanzo</t>
  </si>
  <si>
    <t>Liquidambar 970, 970</t>
  </si>
  <si>
    <t>DOR55012609</t>
  </si>
  <si>
    <t>NOMBRE RETIRA: DANIEL LAZO . RUT RETIRA: 65090854-6</t>
  </si>
  <si>
    <t>Cristian Krause Muñoz</t>
  </si>
  <si>
    <t>Av. Jardines de Reñaca 50, Dpto 98. Torre Costa Parque</t>
  </si>
  <si>
    <t>DOR55012597</t>
  </si>
  <si>
    <t>NOMBRE RETIRA: MAIDA GONZALEZ . RUT RETIRA: 19805771-1</t>
  </si>
  <si>
    <t>Francisca del Pino Soto</t>
  </si>
  <si>
    <t>3 Oriente 1374, Edificio</t>
  </si>
  <si>
    <t>DOR55012608</t>
  </si>
  <si>
    <t>NOMBRE RETIRA: DANIEL LAZO ... RUT RETIRA: 65090854-6</t>
  </si>
  <si>
    <t>DOR55012573</t>
  </si>
  <si>
    <t>NOMBRE RETIRA: YOSELIN . . RUT RETIRA: 11614864-1</t>
  </si>
  <si>
    <t>Giamcarlo Rocco</t>
  </si>
  <si>
    <t>Abracita 433, 207</t>
  </si>
  <si>
    <t>2025-07-12 11:03</t>
  </si>
  <si>
    <t>DOR55012574</t>
  </si>
  <si>
    <t>NOMBRE RETIRA: GERALDI CASANELLI NN RUT RETIRA: 15978857-1</t>
  </si>
  <si>
    <t>Fernanda Casanelli Nuñez</t>
  </si>
  <si>
    <t>Galvarino 1472, Casa</t>
  </si>
  <si>
    <t>DOR55012580</t>
  </si>
  <si>
    <t>NOMBRE RETIRA: CAMILA.SOYO A A RUT RETIRA: 20359928-5</t>
  </si>
  <si>
    <t>Erick Saavedra</t>
  </si>
  <si>
    <t>Psj Tierra 6, Casa</t>
  </si>
  <si>
    <t>DOR55012592</t>
  </si>
  <si>
    <t>NOMBRE RETIRA: PABLO LIZAMA .... RUT RETIRA: 15731533-1</t>
  </si>
  <si>
    <t>Pablo Lizama</t>
  </si>
  <si>
    <t>Los Guindos 277, Las Pircas</t>
  </si>
  <si>
    <t>DOR55012569</t>
  </si>
  <si>
    <t>NOMBRE RETIRA: VICTOR URRA . RUT RETIRA: 11111111-1</t>
  </si>
  <si>
    <t>Victor Urra</t>
  </si>
  <si>
    <t>Ongolmo 1479, Depto 14, edificio antares</t>
  </si>
  <si>
    <t>DOR55012594</t>
  </si>
  <si>
    <t>NOMBRE RETIRA: GUADALUPE PIZARRO DIAZ RUT RETIRA: 7922501-0</t>
  </si>
  <si>
    <t>Carlos villalobos 1208A, Casa</t>
  </si>
  <si>
    <t>2025-07-14 10:28</t>
  </si>
  <si>
    <t>DOR55012590</t>
  </si>
  <si>
    <t>NOMBRE RETIRA: EDILIO CASAS CRUZ RUT RETIRA: 4198316-7</t>
  </si>
  <si>
    <t>Claudio Barraza</t>
  </si>
  <si>
    <t>Yumbel 824, Casa  porton cafe frente a panaderia los chinos</t>
  </si>
  <si>
    <t>DOR55012591</t>
  </si>
  <si>
    <t>NOMBRE RETIRA: SILVIA HORMASABAL . RUT RETIRA: 9269690-1</t>
  </si>
  <si>
    <t>Silvia Hormazábal</t>
  </si>
  <si>
    <t>Los Avellanos 449 Schaub, Casa Verde</t>
  </si>
  <si>
    <t>DOR55012560</t>
  </si>
  <si>
    <t>NOMBRE RETIRA: MARCO PENA . RUT RETIRA: 10765517-4</t>
  </si>
  <si>
    <t>DAVID SAN MARTIN VIALE</t>
  </si>
  <si>
    <t>SENDERO NORTE 50 , DEPTO 1102 - CONDOMINIO ALTO MARAÑON 3</t>
  </si>
  <si>
    <t>DOR55012572</t>
  </si>
  <si>
    <t>NOMBRE RETIRA: GABRIEL MENDIBOURE M RUT RETIRA: 7534472-4</t>
  </si>
  <si>
    <t>rodrigo gonzález</t>
  </si>
  <si>
    <t>30 Oriente 1562 Oficina 1013, oficina</t>
  </si>
  <si>
    <t>DOR55012584</t>
  </si>
  <si>
    <t>NOMBRE RETIRA: JOSE LOPEZ .. RUT RETIRA: 15051924-1</t>
  </si>
  <si>
    <t>Jose Lopez</t>
  </si>
  <si>
    <t>Pasaje barrio alto sitio 5 Rabuco  Hijuelas</t>
  </si>
  <si>
    <t>DOR55012593</t>
  </si>
  <si>
    <t>NOMBRE RETIRA: SUSSY LAEA A RUT RETIRA: 17522206-5</t>
  </si>
  <si>
    <t>Sussy Lara</t>
  </si>
  <si>
    <t>Luis Guzmán Cuevas 184, Casa</t>
  </si>
  <si>
    <t>DOR55012419</t>
  </si>
  <si>
    <t>NOMBRE RETIRA: CARLOS LOAIZA . RUT RETIRA: 17234181-0</t>
  </si>
  <si>
    <t>Carlos Loaiza</t>
  </si>
  <si>
    <t>Freire 449</t>
  </si>
  <si>
    <t>DOR55012548</t>
  </si>
  <si>
    <t>NOMBRE RETIRA: VANESSA . . RUT RETIRA: 13483474-9</t>
  </si>
  <si>
    <t>Elizabeth Castillo Gomez</t>
  </si>
  <si>
    <t>Los Exploradores 14011, Casa 57</t>
  </si>
  <si>
    <t>DOR55012377</t>
  </si>
  <si>
    <t>Belen Mansilla</t>
  </si>
  <si>
    <t>Balmaceda 20</t>
  </si>
  <si>
    <t>2025-06-30 09:50</t>
  </si>
  <si>
    <t>DOR55012403</t>
  </si>
  <si>
    <t>NOMBRE RETIRA: DANTE ALMONACID M RUT RETIRA: 20251582-7</t>
  </si>
  <si>
    <t>Dante Gael Almonacid Toniotti</t>
  </si>
  <si>
    <t>Armando Sanhueza 1634</t>
  </si>
  <si>
    <t>DOR55012555</t>
  </si>
  <si>
    <t>NOMBRE RETIRA: SILVIA LASCANO . RUT RETIRA: 16499778-2</t>
  </si>
  <si>
    <t>Silvana Lazcano</t>
  </si>
  <si>
    <t>Uno Poniente 312, Jardín infantil Little Friends</t>
  </si>
  <si>
    <t>DOR55012554</t>
  </si>
  <si>
    <t>NOMBRE RETIRA: JUAN ORDENES . RUT RETIRA: 53310370-7</t>
  </si>
  <si>
    <t>Martin Luteto 02580, Depto 54</t>
  </si>
  <si>
    <t>DOR55012544</t>
  </si>
  <si>
    <t>NOMBRE RETIRA: HUMBERTO.GALLEGUILLO . . RUT RETIRA: 65051133-6</t>
  </si>
  <si>
    <t>Estefania Eaton mondaca</t>
  </si>
  <si>
    <t>Av. 21 de Mayo 1531, Casa 95, Paradero 10</t>
  </si>
  <si>
    <t>DOR55012380</t>
  </si>
  <si>
    <t>9345437474</t>
  </si>
  <si>
    <t>Cindy Muñoz Padilla</t>
  </si>
  <si>
    <t>Av. Linares 1203, HUÉPIL</t>
  </si>
  <si>
    <t>DOR55012361</t>
  </si>
  <si>
    <t>9345121166</t>
  </si>
  <si>
    <t>Lincoln Norte 2200, 1084 Vela</t>
  </si>
  <si>
    <t>2025-06-28 11:09</t>
  </si>
  <si>
    <t>DOR55012365</t>
  </si>
  <si>
    <t>9345780780</t>
  </si>
  <si>
    <t>Eleana Carpo</t>
  </si>
  <si>
    <t>Estero Pichico 280, Casa</t>
  </si>
  <si>
    <t>DOR55012542</t>
  </si>
  <si>
    <t>NOMBRE RETIRA: INES FLORES . RUT RETIRA: 9634764-2</t>
  </si>
  <si>
    <t>Ines Flores</t>
  </si>
  <si>
    <t>Maldonado 624, Casa</t>
  </si>
  <si>
    <t>DOR55012445</t>
  </si>
  <si>
    <t>NOMBRE RETIRA: GRACIELA BRAVO . RUT RETIRA: 10222311-K</t>
  </si>
  <si>
    <t>OLAYA Morales</t>
  </si>
  <si>
    <t>ApÓstol Santiago 85, Casa 85, Casa 85, Casa 85, Casa 85</t>
  </si>
  <si>
    <t>2025-07-04 12:29</t>
  </si>
  <si>
    <t>DOR55012444</t>
  </si>
  <si>
    <t>NOMBRE RETIRA: UVAN ESPINOZA T RUT RETIRA: 13861963-K</t>
  </si>
  <si>
    <t>Lourdes Iglesias Guzmán</t>
  </si>
  <si>
    <t>eilat 110, 605</t>
  </si>
  <si>
    <t>DOR55012553</t>
  </si>
  <si>
    <t>NOMBRE RETIRA: FELIPE VERGARA DELGADILLO RUT RETIRA: 15752036-9</t>
  </si>
  <si>
    <t>Gabriel Vergara</t>
  </si>
  <si>
    <t>Chacabuco 2764, Local el abasto</t>
  </si>
  <si>
    <t>DOR55012478</t>
  </si>
  <si>
    <t>NOMBRE RETIRA: ZULMA PULGARIN . RUT RETIRA: 53325452-7</t>
  </si>
  <si>
    <t>Carla Varas</t>
  </si>
  <si>
    <t>Capitán Roberto Pérez 808, Departamento 1306</t>
  </si>
  <si>
    <t>2025-07-07 09:59</t>
  </si>
  <si>
    <t>DOR55012482</t>
  </si>
  <si>
    <t>NOMBRE RETIRA: SEBASTIAN PEREZ . RUT RETIRA: 20200265-K</t>
  </si>
  <si>
    <t>Juliana Monsalve roa</t>
  </si>
  <si>
    <t>Loa 1475, 3ra. Comisaría Arica</t>
  </si>
  <si>
    <t>DOR55012528</t>
  </si>
  <si>
    <t>NOMBRE RETIRA: IGNACIO MONRROY N RUT RETIRA: 18773116-K</t>
  </si>
  <si>
    <t>Ignacio Monrroy</t>
  </si>
  <si>
    <t>Isabel Riquelme 339. Casa Oficina, Horario entrega 9:00 a 17:00 Lunes a Viernes</t>
  </si>
  <si>
    <t>2025-07-08 23:30</t>
  </si>
  <si>
    <t>DOR55012535</t>
  </si>
  <si>
    <t>NOMBRE RETIRA: SANDRA NUNEZ CONSERJE RUT RETIRA: 18632165-0</t>
  </si>
  <si>
    <t>Catherine Nicole Rojas Jensen</t>
  </si>
  <si>
    <t>Avenida Waldo Alcalde 801, Casa 49</t>
  </si>
  <si>
    <t>DOR55012540</t>
  </si>
  <si>
    <t>NOMBRE RETIRA: ROSA ORDENES . RUT RETIRA: 11572057-0</t>
  </si>
  <si>
    <t>Rosa Ordenes Luarte</t>
  </si>
  <si>
    <t>Calle Lord Cochrane 543 Penco, Casa frente Iglesia Mormona</t>
  </si>
  <si>
    <t>2025-07-09 11:21</t>
  </si>
  <si>
    <t>DOR55012530</t>
  </si>
  <si>
    <t>NOMBRE RETIRA: ANDRES ROMERO . RUT RETIRA: 15734589-3</t>
  </si>
  <si>
    <t>Jessica Concha</t>
  </si>
  <si>
    <t>Calfuray 4687</t>
  </si>
  <si>
    <t>DOR55012534</t>
  </si>
  <si>
    <t>NOMBRE RETIRA: EDIFICIO BICENTENARIO .. RUT RETIRA: 53315116-7</t>
  </si>
  <si>
    <t>Jesus Solano</t>
  </si>
  <si>
    <t>Álvarez 1822, 1703 A</t>
  </si>
  <si>
    <t>DOR55012503</t>
  </si>
  <si>
    <t>NOMBRE RETIRA: JIMMY GARRIDO . RUT RETIRA: 18898454-1</t>
  </si>
  <si>
    <t>Fernando Martínez Muñoz</t>
  </si>
  <si>
    <t>Av. Proyectada 2140, Ed. Alerce, departamento 104</t>
  </si>
  <si>
    <t>DOR55012527</t>
  </si>
  <si>
    <t>NOMBRE RETIRA: CLAUDIA ACEVEDO . RUT RETIRA: 17146009-3</t>
  </si>
  <si>
    <t>San martin 1366, Entregas lunes a viernes hadta 16.00 es un colegio</t>
  </si>
  <si>
    <t>DOR55012496</t>
  </si>
  <si>
    <t>NOMBRE RETIRA: ANA SANDOVAL . RUT RETIRA: 9621782-K</t>
  </si>
  <si>
    <t>Yovanna Bravo</t>
  </si>
  <si>
    <t>Los Cipreces 265. Trocadero., Casa</t>
  </si>
  <si>
    <t>DOR55012459</t>
  </si>
  <si>
    <t>NOMBRE RETIRA: MAIZA BRADT . RUT RETIRA: 17047930-0</t>
  </si>
  <si>
    <t>Luis Legal</t>
  </si>
  <si>
    <t>Peulla 2452</t>
  </si>
  <si>
    <t>DOR55012520</t>
  </si>
  <si>
    <t>NOMBRE RETIRA: CARMEN HIDALGO . RUT RETIRA: 13184451-4</t>
  </si>
  <si>
    <t>Carmen  gloria Hidalgo verá</t>
  </si>
  <si>
    <t>Hermano Fernando de La Fuente 1728, Villa el Horizonte</t>
  </si>
  <si>
    <t>DOR55012477</t>
  </si>
  <si>
    <t>NOMBRE RETIRA: GISSEL AQUEVEQYE . RUT RETIRA: 18126348-2</t>
  </si>
  <si>
    <t>Michel Burgos Lagos</t>
  </si>
  <si>
    <t>Pje Cruz de los Mares 1651, Casa</t>
  </si>
  <si>
    <t>DOR55012458</t>
  </si>
  <si>
    <t>NOMBRE RETIRA: BERTA RAMIREZ ... RUT RETIRA: 9999459-2</t>
  </si>
  <si>
    <t>Maria olga Espinoza Gómez</t>
  </si>
  <si>
    <t>Villa corina 205, Casa</t>
  </si>
  <si>
    <t>2025-07-04 22:09</t>
  </si>
  <si>
    <t>DOR55012461</t>
  </si>
  <si>
    <t>NOMBRE RETIRA: PAOLA CHAVEZ . RUT RETIRA: 14279892-1</t>
  </si>
  <si>
    <t>Nicol sthepanie Aguilera Chavez</t>
  </si>
  <si>
    <t>Pasaje 14 con guillermo sosa san marcos 2000, Casa 4424</t>
  </si>
  <si>
    <t>DOR55012523</t>
  </si>
  <si>
    <t>NOMBRE RETIRA: SILVIA ANDREA .. RUT RETIRA: 21154190-3</t>
  </si>
  <si>
    <t>Silvia Andrea</t>
  </si>
  <si>
    <t>Las Gavillas 874, Casa</t>
  </si>
  <si>
    <t>DOR55012456</t>
  </si>
  <si>
    <t>NOMBRE RETIRA: NORMA PALLARES . RUT RETIRA: 5362111-2</t>
  </si>
  <si>
    <t>Fiona Lancellotti Pallarés</t>
  </si>
  <si>
    <t>Teresa Henriquez 946</t>
  </si>
  <si>
    <t>DOR55012453</t>
  </si>
  <si>
    <t>NOMBRE RETIRA: JUAN OYANEDEL J RUT RETIRA: 10721237-K</t>
  </si>
  <si>
    <t>Paula Aburto</t>
  </si>
  <si>
    <t>Holandesa 0700, Depto 102 B</t>
  </si>
  <si>
    <t>DOR55012510</t>
  </si>
  <si>
    <t>NOMBRE RETIRA: NANCY ZUNIGA . RUT RETIRA: 10059321-1</t>
  </si>
  <si>
    <t>Luciano Mora</t>
  </si>
  <si>
    <t>Desiderio Sanhueza 160, Depto 906 D</t>
  </si>
  <si>
    <t>DOR55012499</t>
  </si>
  <si>
    <t>NOMBRE RETIRA: IRIS REYES . RUT RETIRA: 9525907-3</t>
  </si>
  <si>
    <t>XIMENA PAOLA CACERES VALDEBENITO</t>
  </si>
  <si>
    <t>Etchevers alto 645 A5 depto 21, Depto 21</t>
  </si>
  <si>
    <t>DOR55012350</t>
  </si>
  <si>
    <t>NOMBRE RETIRA: MIRIAM SEPULVEDA . RUT RETIRA: 16189783-3</t>
  </si>
  <si>
    <t>Elizabeth Cabezas</t>
  </si>
  <si>
    <t>Francisco Bilbao 327, 327</t>
  </si>
  <si>
    <t>2025-06-28 00:05</t>
  </si>
  <si>
    <t>DOR55012450</t>
  </si>
  <si>
    <t>NOMBRE RETIRA: KORINA TORRES J RUT RETIRA: 9659195-0</t>
  </si>
  <si>
    <t>Jose Miguel Jara Torres</t>
  </si>
  <si>
    <t>Camino Parque Lantaño 238, Villa Paraiso</t>
  </si>
  <si>
    <t>DOR55012470</t>
  </si>
  <si>
    <t>NOMBRE RETIRA: JENIFER FLORES . RUT RETIRA: 8051836-6</t>
  </si>
  <si>
    <t>Jennifer Flores Mena</t>
  </si>
  <si>
    <t>Calle Tomas Darbois 155 , 304. Condominio Hermanos Maristas</t>
  </si>
  <si>
    <t>DOR55012486</t>
  </si>
  <si>
    <t>NOMBRE RETIRA: MARIA CILLAGRAN J RUT RETIRA: 10721237-K</t>
  </si>
  <si>
    <t>Felipe Aros</t>
  </si>
  <si>
    <t>Aragon 85, Departamento 605 torre teruel</t>
  </si>
  <si>
    <t>DOR55012504</t>
  </si>
  <si>
    <t>NOMBRE RETIRA: FERNANDA SANCHEZ . RUT RETIRA: 18840792-7</t>
  </si>
  <si>
    <t>Elizabeth Fuentes</t>
  </si>
  <si>
    <t>Ejército 200, Instituto AIEP</t>
  </si>
  <si>
    <t>DOR55012493</t>
  </si>
  <si>
    <t>NOMBRE RETIRA: GABRIEL CONSRJER B RUT RETIRA: 53301181-0</t>
  </si>
  <si>
    <t>DOR55012494</t>
  </si>
  <si>
    <t>NOMBRE RETIRA: MIRNA TORRES . RUT RETIRA: 16062869-3</t>
  </si>
  <si>
    <t>Claudia Sánchez</t>
  </si>
  <si>
    <t>Calle Cartier 1583, 503 Torre 2</t>
  </si>
  <si>
    <t>DOR55012488</t>
  </si>
  <si>
    <t>NOMBRE RETIRA: CAROLINA ANDRADE . RUT RETIRA: 15894588-6</t>
  </si>
  <si>
    <t>Lemosin 3032, Casa Cafe</t>
  </si>
  <si>
    <t>DOR55012521</t>
  </si>
  <si>
    <t>NOMBRE RETIRA: ALEJANDRA MARCHANT . RUT RETIRA: 13089340-6</t>
  </si>
  <si>
    <t>Alejandra Marchant</t>
  </si>
  <si>
    <t>Monumento Nacional La Portada 2595</t>
  </si>
  <si>
    <t>DOR55012462</t>
  </si>
  <si>
    <t>NOMBRE RETIRA: FABIOLA ZAPATA T RUT RETIRA: 10673243-4</t>
  </si>
  <si>
    <t>Fabiola Zapata</t>
  </si>
  <si>
    <t>Parques de Carriel 5659. Casa 41. Condominio Copiapó, Frente aeropuerto carriel el sur</t>
  </si>
  <si>
    <t>DOR55012490</t>
  </si>
  <si>
    <t>NOMBRE RETIRA: ELIZABETH GUERRERO . RUT RETIRA: 16884762-9</t>
  </si>
  <si>
    <t>Elizabeth Guerrero</t>
  </si>
  <si>
    <t>Las brisas 02151 Block D, villa alto cordillera, 103</t>
  </si>
  <si>
    <t>DOR55012524</t>
  </si>
  <si>
    <t>NOMBRE RETIRA: ANDREA CAAMANO MOLINA RUT RETIRA: 13671427-9</t>
  </si>
  <si>
    <t>Andrea Caamaño Molina</t>
  </si>
  <si>
    <t>Av. Jardines de Reñaca 102, Casa 61</t>
  </si>
  <si>
    <t>DOR55012465</t>
  </si>
  <si>
    <t>NOMBRE RETIRA: JAIME YANEZ . RUT RETIRA: 18686443-3</t>
  </si>
  <si>
    <t>Jamie Yañez</t>
  </si>
  <si>
    <t>Cerro caracol 981, Casa 40 , Condominio Vista Monte. Sector Vilumanque</t>
  </si>
  <si>
    <t>DOR55012457</t>
  </si>
  <si>
    <t>NOMBRE RETIRA: MARINA15 COSTA AZUL RUT RETIRA: 65018774-1</t>
  </si>
  <si>
    <t>Roberto Sanchez</t>
  </si>
  <si>
    <t>La marina 15 Dept 205 torre 2, Coquimbo</t>
  </si>
  <si>
    <t>DOR55012447</t>
  </si>
  <si>
    <t>NOMBRE RETIRA: DIEGO NORANBUENA . RUT RETIRA: 16884231-7</t>
  </si>
  <si>
    <t>Diego Norambuena</t>
  </si>
  <si>
    <t>Hermano Claudio 421, Departamento 1205</t>
  </si>
  <si>
    <t>DOR55012443</t>
  </si>
  <si>
    <t>NOMBRE RETIRA: GARY GONZALEZ . RUT RETIRA: 9538332-7</t>
  </si>
  <si>
    <t>Nicol Gonzalez</t>
  </si>
  <si>
    <t>Av. la Tirana 3570, 3570</t>
  </si>
  <si>
    <t>2025-07-04 10:32</t>
  </si>
  <si>
    <t>DOR55012346</t>
  </si>
  <si>
    <t>9344985042</t>
  </si>
  <si>
    <t>Luis Silva Gomez</t>
  </si>
  <si>
    <t>Bernardo O'Higgins 506</t>
  </si>
  <si>
    <t>2025-06-27 11:32</t>
  </si>
  <si>
    <t>DOR55012440</t>
  </si>
  <si>
    <t>NOMBRE RETIRA: SERGIO CUADRAN J RUT RETIRA: 16540000-3</t>
  </si>
  <si>
    <t>Sergio de la Cuadra</t>
  </si>
  <si>
    <t>Ruta 60 # 5.000 San Pedro Quillota, VIVERO SAN PEDRO QUILLOTA</t>
  </si>
  <si>
    <t>2025-07-03 23:05</t>
  </si>
  <si>
    <t>DOR55012442</t>
  </si>
  <si>
    <t>NOMBRE RETIRA: NESTOR MUNOZ . RUT RETIRA: 20000504-K</t>
  </si>
  <si>
    <t>Nestor Muñoz</t>
  </si>
  <si>
    <t>San Fernando 46, departamento 142</t>
  </si>
  <si>
    <t>DOR55012436</t>
  </si>
  <si>
    <t>NOMBRE RETIRA: EDUARDO YON YON RUT RETIRA: 18791057-9</t>
  </si>
  <si>
    <t>Eduardo Yon</t>
  </si>
  <si>
    <t>Av. Edmundo Pérez Zujovic 5490, Dpto 2312</t>
  </si>
  <si>
    <t>DOR55012431</t>
  </si>
  <si>
    <t>NOMBRE RETIRA: MARIA CRISTINA MUNOZ RUT RETIRA: 12422330-K</t>
  </si>
  <si>
    <t>María Cristina Muñoz</t>
  </si>
  <si>
    <t>Tierra del Fuego 2577</t>
  </si>
  <si>
    <t>DOR55012432</t>
  </si>
  <si>
    <t>NOMBRE RETIRA: NELSON VIDAL . RUT RETIRA: 9024639-9</t>
  </si>
  <si>
    <t>Francisca Vásquez Aliaga</t>
  </si>
  <si>
    <t>1 Oriente 545, 61</t>
  </si>
  <si>
    <t>DOR55012414</t>
  </si>
  <si>
    <t>NOMBRE RETIRA: MARIANELA FORNES . RUT RETIRA: 10016212-1</t>
  </si>
  <si>
    <t>Milena Salas Fornés</t>
  </si>
  <si>
    <t>Camilo Espinoza 2197</t>
  </si>
  <si>
    <t>DOR55012426</t>
  </si>
  <si>
    <t>NOMBRE RETIRA: HEILEN GONZALEZ . RUT RETIRA: 28561761-8</t>
  </si>
  <si>
    <t>Ambar Cortez Aravena</t>
  </si>
  <si>
    <t>Dalcahue 1180, Depto 303 Poniente</t>
  </si>
  <si>
    <t>DOR55012423</t>
  </si>
  <si>
    <t>NOMBRE RETIRA: CARLOS MENDES K RUT RETIRA: 53301181-0</t>
  </si>
  <si>
    <t>Constanza Collao aguilera</t>
  </si>
  <si>
    <t>Baquedano 1, Peñablanca, Villa Alemana, Parcela 25</t>
  </si>
  <si>
    <t>DOR55012417</t>
  </si>
  <si>
    <t>NOMBRE RETIRA: PIETRO DELUCHI . RUT RETIRA: 26076095-5</t>
  </si>
  <si>
    <t>PIETRO DELUCCHI</t>
  </si>
  <si>
    <t>AVENIDA COSTANERA 3200, Apt. 508</t>
  </si>
  <si>
    <t>DOR55012418</t>
  </si>
  <si>
    <t>NOMBRE RETIRA: FABIOL VILLARROEL . RUT RETIRA: 13796292-6</t>
  </si>
  <si>
    <t>Fabiola Villarroel</t>
  </si>
  <si>
    <t>Manuel Montt 1546, Sector California</t>
  </si>
  <si>
    <t>DOR55012413</t>
  </si>
  <si>
    <t>NOMBRE RETIRA: SEBASTIAN RIVERA DIAZ RUT RETIRA: 17628779-9</t>
  </si>
  <si>
    <t>Sebastian Rivera diaz</t>
  </si>
  <si>
    <t>Araucaria Montana 678, Casa 678</t>
  </si>
  <si>
    <t>DOR55012421</t>
  </si>
  <si>
    <t>NOMBRE RETIRA: JORGE DEL PORTILLO . RUT RETIRA: 12345678-5</t>
  </si>
  <si>
    <t>Jorge del Portillo</t>
  </si>
  <si>
    <t>Luis Hormazabal Godoy 447, Villa los Regidores</t>
  </si>
  <si>
    <t>DOR55012271</t>
  </si>
  <si>
    <t>NOMBRE RETIRA: CATALINA CUADRA . RUT RETIRA: 11111111-1</t>
  </si>
  <si>
    <t>Catalina Macarena Cuadra Sánchez</t>
  </si>
  <si>
    <t>José Ignacio Zenteno 0492</t>
  </si>
  <si>
    <t>2025-06-22 23:03</t>
  </si>
  <si>
    <t>DOR55012412</t>
  </si>
  <si>
    <t>NOMBRE RETIRA: OSCAR TRONCOSO H RUT RETIRA: 4618921-3</t>
  </si>
  <si>
    <t>Jenny Inostroza Muñoz</t>
  </si>
  <si>
    <t>Camino a Maule sector Numpay sitio 13, Sitio 13</t>
  </si>
  <si>
    <t>DOR55012375</t>
  </si>
  <si>
    <t>NOMBRE RETIRA: ANDREA BUSTOS . RUT RETIRA: 13866281-0</t>
  </si>
  <si>
    <t>Andrea Bustos</t>
  </si>
  <si>
    <t>Salvador Allende 2931, 2931</t>
  </si>
  <si>
    <t>DOR55012395</t>
  </si>
  <si>
    <t>NOMBRE RETIRA: JASNA GOMEZ . RUT RETIRA: 11326166-8</t>
  </si>
  <si>
    <t>Maria fernanda Valenzuela gomez</t>
  </si>
  <si>
    <t>Pasaje Quilpué 2131, Población Vista Hermosa</t>
  </si>
  <si>
    <t>DOR55012389</t>
  </si>
  <si>
    <t>NOMBRE RETIRA: JOSE CORTES . RUT RETIRA: 9049544-5</t>
  </si>
  <si>
    <t>Neda Simunovic Martinic</t>
  </si>
  <si>
    <t>General Velásquez 1046, Casa</t>
  </si>
  <si>
    <t>DOR55012372</t>
  </si>
  <si>
    <t>NOMBRE RETIRA: CAMILO CARMONA . RUT RETIRA: 18703117-6</t>
  </si>
  <si>
    <t>Paloma Belén Carmona Castro</t>
  </si>
  <si>
    <t>Los Mineros 2609, Casa</t>
  </si>
  <si>
    <t>DOR55012402</t>
  </si>
  <si>
    <t>NOMBRE RETIRA: GABRIELA PIZARRO PIZARRO RUT RETIRA: 8788532-1</t>
  </si>
  <si>
    <t>Andrea Cubillo Valverde</t>
  </si>
  <si>
    <t>José A. Carvajal 906</t>
  </si>
  <si>
    <t>DOR55012398</t>
  </si>
  <si>
    <t>NOMBRE RETIRA: YAMELI CANA . RUT RETIRA: 25547582-7</t>
  </si>
  <si>
    <t>Eugenio Orellana</t>
  </si>
  <si>
    <t>Francisco Urzúa 3471</t>
  </si>
  <si>
    <t>DOR55012364</t>
  </si>
  <si>
    <t>NOMBRE RETIRA: ROUSE CALLEJAS . RUT RETIRA: 11506194-1</t>
  </si>
  <si>
    <t>Francisco Casas-Cordero Callejas</t>
  </si>
  <si>
    <t>Pasaje Volcán San Pablo 877</t>
  </si>
  <si>
    <t>DOR55012369</t>
  </si>
  <si>
    <t>NOMBRE RETIRA: JORGE CANALES . RUT RETIRA: 10563640-7</t>
  </si>
  <si>
    <t>Stephania Leyton</t>
  </si>
  <si>
    <t>Tomás Bonilla 1035, 402</t>
  </si>
  <si>
    <t>DOR55012352</t>
  </si>
  <si>
    <t>NOMBRE RETIRA: JORGE ALONZO . RUT RETIRA: 13015809-9</t>
  </si>
  <si>
    <t>Av Arturo Prat 4346, Depto 1702</t>
  </si>
  <si>
    <t>DOR55012353</t>
  </si>
  <si>
    <t>NOMBRE RETIRA: ANTONY MOGOLLON MOGOLLON RUT RETIRA: 10400062-2</t>
  </si>
  <si>
    <t>Pasaje Salitrera Coruña 731</t>
  </si>
  <si>
    <t>DOR55012370</t>
  </si>
  <si>
    <t>NOMBRE RETIRA: JAVIERA SANZANA . RUT RETIRA: 20020404-2</t>
  </si>
  <si>
    <t>Javiera Sanzana</t>
  </si>
  <si>
    <t>Santa Elena 5, Casa</t>
  </si>
  <si>
    <t>DOR55012382</t>
  </si>
  <si>
    <t>NOMBRE RETIRA: ELIAS CARRASCO . RUT RETIRA: 18135465-8</t>
  </si>
  <si>
    <t>Estefanía Andrea Daza Fuentes</t>
  </si>
  <si>
    <t>Calle del Mar 1143 , Villa Plaza del Mar</t>
  </si>
  <si>
    <t>DOR55012351</t>
  </si>
  <si>
    <t>NOMBRE RETIRA: JAIME RIOS . RUT RETIRA: 9503707-0</t>
  </si>
  <si>
    <t>Sonia Videla</t>
  </si>
  <si>
    <t>Los Tilos 041, Depto 101</t>
  </si>
  <si>
    <t>DOR55012387</t>
  </si>
  <si>
    <t>NOMBRE RETIRA: CONSTANZA VALENZUELA . . RUT RETIRA: 20116006-5</t>
  </si>
  <si>
    <t>Constanza Valenzuela Labrín</t>
  </si>
  <si>
    <t>Río Bio Bio 106, Casa</t>
  </si>
  <si>
    <t>DOR55012384</t>
  </si>
  <si>
    <t>NOMBRE RETIRA: MARIO CASNERT . RUT RETIRA: 53319905-4</t>
  </si>
  <si>
    <t>Pamela Lopetegui Arratia</t>
  </si>
  <si>
    <t>Av. Los Urbanistas 380, Dpto 201, torre 2, Condominio Alcalá</t>
  </si>
  <si>
    <t>DOR55012391</t>
  </si>
  <si>
    <t>NOMBRE RETIRA: ISSA HASBUN R RUT RETIRA: 7370841-9</t>
  </si>
  <si>
    <t>ISSA HASBUN KULCHIBACHI</t>
  </si>
  <si>
    <t>FRESIA 79, CASA</t>
  </si>
  <si>
    <t>DOR55012358</t>
  </si>
  <si>
    <t>NOMBRE RETIRA: MARIA ULLOA . RUT RETIRA: 18805117-0</t>
  </si>
  <si>
    <t>María José Ulloa Mendoza</t>
  </si>
  <si>
    <t>Calle Laguna Verde 2398 ( Condominio Hacienda Los Encinos), Casa 7</t>
  </si>
  <si>
    <t>DOR55012363</t>
  </si>
  <si>
    <t>NOMBRE RETIRA: MONICA MANRRIQUEZ M RUT RETIRA: 8669206-6</t>
  </si>
  <si>
    <t>Mónica Manríquez</t>
  </si>
  <si>
    <t>Gamero 729</t>
  </si>
  <si>
    <t>DOR55012383</t>
  </si>
  <si>
    <t>Cecilia Suarez</t>
  </si>
  <si>
    <t>Álvarez 1822 , Dpto 1102a</t>
  </si>
  <si>
    <t>DOR55012399</t>
  </si>
  <si>
    <t>NOMBRE RETIRA: ROXE VILLASMIL S RUT RETIRA: 28248568-0</t>
  </si>
  <si>
    <t>Roxe Villasmil</t>
  </si>
  <si>
    <t>Flores Millan 2007, Ultima casa mano izquierda</t>
  </si>
  <si>
    <t>DOR55012719</t>
  </si>
  <si>
    <t>712927650831</t>
  </si>
  <si>
    <t>Ximena Manns</t>
  </si>
  <si>
    <t>Los jardines , parcela 8 melipilla</t>
  </si>
  <si>
    <t>DOR55012715</t>
  </si>
  <si>
    <t>712927650853</t>
  </si>
  <si>
    <t>Byron Blanch</t>
  </si>
  <si>
    <t>Camino a Ranquilco 453-A</t>
  </si>
  <si>
    <t>DOR55012483</t>
  </si>
  <si>
    <t>712922976301</t>
  </si>
  <si>
    <t>Av Berlín 29, 3</t>
  </si>
  <si>
    <t>DOR55012501</t>
  </si>
  <si>
    <t>712922976021</t>
  </si>
  <si>
    <t>María Fernanda Gallo</t>
  </si>
  <si>
    <t>Prolongación Bellavista 155, Casa</t>
  </si>
  <si>
    <t>DOR55012525</t>
  </si>
  <si>
    <t>712923434705</t>
  </si>
  <si>
    <t>Lago Imperial 133, Casa</t>
  </si>
  <si>
    <t>DOR55012664</t>
  </si>
  <si>
    <t>9353354183</t>
  </si>
  <si>
    <t>Carlos Gonzalez bustos</t>
  </si>
  <si>
    <t>Av. Isidoro Dubournais 120A, Restaurant poseidon</t>
  </si>
  <si>
    <t>DOR55012745</t>
  </si>
  <si>
    <t>9349361722</t>
  </si>
  <si>
    <t>La Montaña Sur 4149, Condominio 4 casa 51</t>
  </si>
  <si>
    <t>DOR55012689</t>
  </si>
  <si>
    <t>9352591570</t>
  </si>
  <si>
    <t>Macarena Valdes</t>
  </si>
  <si>
    <t>Psje Santa Isabel 70, Villa Santa Josefina</t>
  </si>
  <si>
    <t>DOR55012683</t>
  </si>
  <si>
    <t>9353334583</t>
  </si>
  <si>
    <t>Franco Quiroz</t>
  </si>
  <si>
    <t>Av. Hospital 2368, Villa Bicentenario, Lontue</t>
  </si>
  <si>
    <t>DOR55012588</t>
  </si>
  <si>
    <t>9350563515</t>
  </si>
  <si>
    <t>Jayrelis Tovar</t>
  </si>
  <si>
    <t>Av. la Siembra 5285. Casa 45, Condominio las Pircas de Chicauma</t>
  </si>
  <si>
    <t>DOR55012616</t>
  </si>
  <si>
    <t>9351095154</t>
  </si>
  <si>
    <t>Nicole Barahona Muñoz</t>
  </si>
  <si>
    <t>Los Espinos 191, Casa</t>
  </si>
  <si>
    <t>DOR55012652</t>
  </si>
  <si>
    <t>9354527943</t>
  </si>
  <si>
    <t>Barbara Medina</t>
  </si>
  <si>
    <t>Ercilla 405, Casa</t>
  </si>
  <si>
    <t>DOR55012643</t>
  </si>
  <si>
    <t>9354434401</t>
  </si>
  <si>
    <t>Carolina Fernández Navarro</t>
  </si>
  <si>
    <t>Av. la Siembra 4831, Casa 222 - Condominio las Tranqueras de Chicauma</t>
  </si>
  <si>
    <t>DOR55012517</t>
  </si>
  <si>
    <t>9352121295</t>
  </si>
  <si>
    <t>Angelina Martinez</t>
  </si>
  <si>
    <t>Raul Gajardo Gajardo 816, Villa los Hidalgos</t>
  </si>
  <si>
    <t>DOR55012559</t>
  </si>
  <si>
    <t>9353636526</t>
  </si>
  <si>
    <t>Thomás Matias Pinilla hidalgo</t>
  </si>
  <si>
    <t>Camino loreto, calera de tango, region metropolitank, Condominio sta cruz de loreto</t>
  </si>
  <si>
    <t>DOR55012526</t>
  </si>
  <si>
    <t>9352255021</t>
  </si>
  <si>
    <t>Naima Cortes</t>
  </si>
  <si>
    <t>Aysén s/n, localidad Puyuhuapi, comuna Puerto cisnes, Entrega en la copec de la localidad de Puyuhuapi, comuna de Puerto Cisnes, región de Aysén</t>
  </si>
  <si>
    <t>DOR55012424</t>
  </si>
  <si>
    <t>9349702316</t>
  </si>
  <si>
    <t>Felipe Guzmán</t>
  </si>
  <si>
    <t>Calle Las Turbinas C-3. Sector Champa, Casa lado de Botilleria santa Marta</t>
  </si>
  <si>
    <t>DOR55012429</t>
  </si>
  <si>
    <t>9341770465</t>
  </si>
  <si>
    <t>Camila Lara Teca</t>
  </si>
  <si>
    <t>Chacabuco 401</t>
  </si>
  <si>
    <t>DOR55012416</t>
  </si>
  <si>
    <t>9341898716</t>
  </si>
  <si>
    <t>Armando Ruz</t>
  </si>
  <si>
    <t>Av. Victor Troncoso Muñoz 121, Casa 14</t>
  </si>
  <si>
    <t>DOR55012326</t>
  </si>
  <si>
    <t>9346994495</t>
  </si>
  <si>
    <t>Nicole Aparicio</t>
  </si>
  <si>
    <t>Carlos Condell 3383, Pasaje 9, Casa 8,  Mar del Norte</t>
  </si>
  <si>
    <t>2025-06-26 10:10</t>
  </si>
  <si>
    <t>DOR55012308</t>
  </si>
  <si>
    <t>9347625851</t>
  </si>
  <si>
    <t>Calle Los Peumos Casa J 6, Club De Golf Los Lirios</t>
  </si>
  <si>
    <t>2025-06-24 23:33</t>
  </si>
  <si>
    <t>DOR55012331</t>
  </si>
  <si>
    <t>9347609574</t>
  </si>
  <si>
    <t>Quebrada los canelos 69</t>
  </si>
  <si>
    <t>DOR55012290</t>
  </si>
  <si>
    <t>9343171972</t>
  </si>
  <si>
    <t>Los Zorzales 8008, Casa 58</t>
  </si>
  <si>
    <t>2025-06-24 00:14</t>
  </si>
  <si>
    <t>DOR55012284</t>
  </si>
  <si>
    <t>9343780891</t>
  </si>
  <si>
    <t>Estephanie González González Jarpa</t>
  </si>
  <si>
    <t>Teniente Merino 670, Depto C204, Condominio vista linderos</t>
  </si>
  <si>
    <t>DOR55012409</t>
  </si>
  <si>
    <t>9345660483</t>
  </si>
  <si>
    <t>Gissel Soto Garrido</t>
  </si>
  <si>
    <t>Paola Flores Reyes 178, Casa</t>
  </si>
  <si>
    <t>#MC3560</t>
  </si>
  <si>
    <t>18739084</t>
  </si>
  <si>
    <t>EL MUNDO DEL CAFE</t>
  </si>
  <si>
    <t>Henrry Balza</t>
  </si>
  <si>
    <t>Millaray 355. Dpto 1103-C</t>
  </si>
  <si>
    <t>2025-07-22 08:35</t>
  </si>
  <si>
    <t>#MC3561</t>
  </si>
  <si>
    <t>18739081</t>
  </si>
  <si>
    <t>Gonzalo Quiñones</t>
  </si>
  <si>
    <t>Juan Enrique Concha 210, Ñuñoa, Depto 507</t>
  </si>
  <si>
    <t>#MC3556</t>
  </si>
  <si>
    <t>NOMBRE RETIRA: VALESCA VARGAS . RUT RETIRA: 15684245-1</t>
  </si>
  <si>
    <t>Lia Vega</t>
  </si>
  <si>
    <t>avenida proyectada 2620, 1807</t>
  </si>
  <si>
    <t>2025-07-19 23:21</t>
  </si>
  <si>
    <t>#MC3540</t>
  </si>
  <si>
    <t>NOMBRE RETIRA: ROSA VALDERRAMA . RUT RETIRA: 10239530-1</t>
  </si>
  <si>
    <t>Javiera Paz</t>
  </si>
  <si>
    <t>Casa, Las OrquÍdeas 836</t>
  </si>
  <si>
    <t>2025-07-14 17:45</t>
  </si>
  <si>
    <t>#MC3524</t>
  </si>
  <si>
    <t>NOMBRE RETIRA: LUIS ALVAREZ R RUT RETIRA: 9348397-9</t>
  </si>
  <si>
    <t>Jonathan Friz</t>
  </si>
  <si>
    <t>Avenida 105 # 1219 Condominio Alfonso de Borbón, Casa 13, Chiguayante, Concepción</t>
  </si>
  <si>
    <t>2025-07-10 18:31</t>
  </si>
  <si>
    <t>#MC3499</t>
  </si>
  <si>
    <t>NOMBRE RETIRA: XIMENA POBLETE ... RUT RETIRA: 13195554-5</t>
  </si>
  <si>
    <t>Javier Torres</t>
  </si>
  <si>
    <t>Pasaje Niza 19, Curauma, Valparaiso, ⁠Valparaíso</t>
  </si>
  <si>
    <t>2025-07-05 22:38</t>
  </si>
  <si>
    <t>#MC3464</t>
  </si>
  <si>
    <t>NOMBRE RETIRA: MAITE ROMANOS . RUT RETIRA: 17047930-0</t>
  </si>
  <si>
    <t>Maite Romanos Zambrano</t>
  </si>
  <si>
    <t>avenida simpson 551, valdivia, departament 404, torre 2</t>
  </si>
  <si>
    <t>2025-07-01 10:11</t>
  </si>
  <si>
    <t>#MC3456</t>
  </si>
  <si>
    <t>NOMBRE RETIRA: LORNA CACERES . RUT RETIRA: 22728466-8</t>
  </si>
  <si>
    <t>Lorna Caceres Escare</t>
  </si>
  <si>
    <t>Las sopranos 649</t>
  </si>
  <si>
    <t>2025-06-30 00:21</t>
  </si>
  <si>
    <t>#MC3521</t>
  </si>
  <si>
    <t>712924547510</t>
  </si>
  <si>
    <t>Nombre: Sonia Fuentes - Rut: 121367874</t>
  </si>
  <si>
    <t>Francisca Aguirre ibañez</t>
  </si>
  <si>
    <t>Rene schneider 127</t>
  </si>
  <si>
    <t>2025-07-10 08:53</t>
  </si>
  <si>
    <t>#MC3539</t>
  </si>
  <si>
    <t>712925757504</t>
  </si>
  <si>
    <t>Pje Groenlandia 2445, casa</t>
  </si>
  <si>
    <t>2025-07-14 15:29</t>
  </si>
  <si>
    <t>#MC3554</t>
  </si>
  <si>
    <t>9353016632</t>
  </si>
  <si>
    <t>La viña 226</t>
  </si>
  <si>
    <t>2025-07-19 13:42</t>
  </si>
  <si>
    <t>#MC3441</t>
  </si>
  <si>
    <t>9345561864</t>
  </si>
  <si>
    <t>Cristian Jara</t>
  </si>
  <si>
    <t>Calle Claudio Carrasco, Población Villa Pacifico</t>
  </si>
  <si>
    <t>2025-06-27 06:19</t>
  </si>
  <si>
    <t>MVI-2404</t>
  </si>
  <si>
    <t>18762699</t>
  </si>
  <si>
    <t>MARINA VITAL</t>
  </si>
  <si>
    <t>Catalina Riquelme Alvarado</t>
  </si>
  <si>
    <t>Compañía de jesús 2045, departamento 811, Santiago Centro, Edificio brasil</t>
  </si>
  <si>
    <t>MVI-2402</t>
  </si>
  <si>
    <t>18758999</t>
  </si>
  <si>
    <t>Daniela Velasquez Torres</t>
  </si>
  <si>
    <t>Quilin 3679, Es mi trabajo, Clínica del Carmen</t>
  </si>
  <si>
    <t>2025-07-29 12:20</t>
  </si>
  <si>
    <t>MVI-2401</t>
  </si>
  <si>
    <t>18758996</t>
  </si>
  <si>
    <t>Javiera Fuentes</t>
  </si>
  <si>
    <t>El esfuerzo 2, Padre hurtado</t>
  </si>
  <si>
    <t>MVI-2399</t>
  </si>
  <si>
    <t>18755293</t>
  </si>
  <si>
    <t>Alexandra Araya villarroel</t>
  </si>
  <si>
    <t>Arica #833, Casa</t>
  </si>
  <si>
    <t>2025-07-28 12:36</t>
  </si>
  <si>
    <t>MVI-2400</t>
  </si>
  <si>
    <t>18755292</t>
  </si>
  <si>
    <t>Rosa Ruminot Lazo</t>
  </si>
  <si>
    <t>Lota 7733</t>
  </si>
  <si>
    <t>MVI-2396</t>
  </si>
  <si>
    <t>18748545</t>
  </si>
  <si>
    <t>Aurora Hernandez Rodriguez</t>
  </si>
  <si>
    <t>Hernando de Magallanes 1042, 2007</t>
  </si>
  <si>
    <t>2025-07-25 13:27</t>
  </si>
  <si>
    <t>MVI-2393</t>
  </si>
  <si>
    <t>18748523</t>
  </si>
  <si>
    <t>Susan Herrera Castillo</t>
  </si>
  <si>
    <t>Av Manuel Rodriguez Norte 867, Depto 601</t>
  </si>
  <si>
    <t>2025-07-25 13:15</t>
  </si>
  <si>
    <t>MVI-2389</t>
  </si>
  <si>
    <t>18742390</t>
  </si>
  <si>
    <t>Karla Montti</t>
  </si>
  <si>
    <t>El Cid 428</t>
  </si>
  <si>
    <t>MVI-2405</t>
  </si>
  <si>
    <t>NOMBRE RETIRA: ALEJANDRO BELTRAN . RUT RETIRA: 16269759-5</t>
  </si>
  <si>
    <t>Gloria Isabel Freire Marin</t>
  </si>
  <si>
    <t>MVI-2397</t>
  </si>
  <si>
    <t>NOMBRE RETIRA: ANE LO REN BETANCOURT . RUT RETIRA: 10501004-4</t>
  </si>
  <si>
    <t>Camila Consuelo Ojeda Betancurt</t>
  </si>
  <si>
    <t>Callejón Los Pinos #65 A, Sector cuatro esquinas, Futrono</t>
  </si>
  <si>
    <t>MVI-2392</t>
  </si>
  <si>
    <t>NOMBRE RETIRA: PATRICIO VELASQUEZ . RUT RETIRA: 13405773-4</t>
  </si>
  <si>
    <t>Claudia Hernandez</t>
  </si>
  <si>
    <t>Parcels 16 condominio altos del llanquihue, 16</t>
  </si>
  <si>
    <t>MVI-2388</t>
  </si>
  <si>
    <t>NOMBRE RETIRA: MAIRA PEREZ . RUT RETIRA: 27182045-3</t>
  </si>
  <si>
    <t>Pamela Herrera Vergara</t>
  </si>
  <si>
    <t>Los Maitenes 550, Condominio Conguillio, San Guillermo, casa 29</t>
  </si>
  <si>
    <t>MVI-2383</t>
  </si>
  <si>
    <t>NOMBRE RETIRA: ANA MORAGA . RUT RETIRA: 11901229-5</t>
  </si>
  <si>
    <t>Iris Horn alvarez</t>
  </si>
  <si>
    <t>Vicente Huidobro 124, Fundó el carmen</t>
  </si>
  <si>
    <t>2025-07-18 13:30</t>
  </si>
  <si>
    <t>MVI-2378</t>
  </si>
  <si>
    <t>NOMBRE RETIRA: CAROLINA TORRES . RUT RETIRA: 15952046-3</t>
  </si>
  <si>
    <t>4 norte 34, 126, Condominio jardines de san pedro</t>
  </si>
  <si>
    <t>2025-07-12 13:07</t>
  </si>
  <si>
    <t>MVI-2369</t>
  </si>
  <si>
    <t>NOMBRE RETIRA: GISSELLA LAZO 0 RUT RETIRA: 12345678-5</t>
  </si>
  <si>
    <t>Gisella Lazo</t>
  </si>
  <si>
    <t>Mar del Plata  02367</t>
  </si>
  <si>
    <t>2025-07-07 12:49</t>
  </si>
  <si>
    <t>MVI-2363</t>
  </si>
  <si>
    <t>NOMBRE RETIRA: URZULA LOYOLA .. RUT RETIRA: 21418240-8</t>
  </si>
  <si>
    <t>Ursula Loyola Tiznado</t>
  </si>
  <si>
    <t>Ventus 1678</t>
  </si>
  <si>
    <t>2025-07-03 12:45</t>
  </si>
  <si>
    <t>MVI-2360</t>
  </si>
  <si>
    <t>NOMBRE RETIRA: JOSE ARAYA . RUT RETIRA: 22249074-K</t>
  </si>
  <si>
    <t>Yasna Abarzua gallardo</t>
  </si>
  <si>
    <t>Artillero more 1277 california, .</t>
  </si>
  <si>
    <t>MVI-2355</t>
  </si>
  <si>
    <t>Tania Martinez</t>
  </si>
  <si>
    <t>Avenida santa Teresa 737 ( sucursal starken Los Andes), Local 6</t>
  </si>
  <si>
    <t>2025-06-30 13:18</t>
  </si>
  <si>
    <t>MVI-2349</t>
  </si>
  <si>
    <t>NOMBRE RETIRA: FRANKA CENALLO .M RUT RETIRA: 21683164-0</t>
  </si>
  <si>
    <t>Pamela Araneda</t>
  </si>
  <si>
    <t>Clara Mardines de Mauret 1480 Coviefi, Casa</t>
  </si>
  <si>
    <t>2025-06-30 13:09</t>
  </si>
  <si>
    <t>MVI-2348</t>
  </si>
  <si>
    <t>NOMBRE RETIRA: LUIS SOVIER J RUT RETIRA: 8571026-5</t>
  </si>
  <si>
    <t>María Luisa Sovier</t>
  </si>
  <si>
    <t>Veintiuno De Mayo #1914 Rahue Alto, Casa</t>
  </si>
  <si>
    <t>#5781</t>
  </si>
  <si>
    <t>18745323</t>
  </si>
  <si>
    <t>MEDSKILLS</t>
  </si>
  <si>
    <t>Rocio Alvarado</t>
  </si>
  <si>
    <t>El racimo 484, pudahuel, 199974823</t>
  </si>
  <si>
    <t>2025-07-24 12:21</t>
  </si>
  <si>
    <t>#5782</t>
  </si>
  <si>
    <t>NOMBRE RETIRA: ANDREA ASTUDILLO J RUT RETIRA: 7600126-K</t>
  </si>
  <si>
    <t>Andrea Astudillo</t>
  </si>
  <si>
    <t>Casa, Bellavista 4674</t>
  </si>
  <si>
    <t>#5780</t>
  </si>
  <si>
    <t>NOMBRE RETIRA: MARISEL CARO CARO RUT RETIRA: 12546621-4</t>
  </si>
  <si>
    <t>Ester Antonia Herrera Caro</t>
  </si>
  <si>
    <t>Callejón José Joaquín Vallejos, Condominio Altos de Siena # 1090 casa A10, 20.964.967-5</t>
  </si>
  <si>
    <t>2025-07-23 13:33</t>
  </si>
  <si>
    <t>#5751</t>
  </si>
  <si>
    <t>NOMBRE RETIRA: NATALIA HERNANDEZ . RUT RETIRA: 17841575-1</t>
  </si>
  <si>
    <t>Gabriela Hormazábal</t>
  </si>
  <si>
    <t>Manuel Montt 69, 18062943-2</t>
  </si>
  <si>
    <t>2025-07-11 12:36</t>
  </si>
  <si>
    <t>#5775</t>
  </si>
  <si>
    <t>NOMBRE RETIRA: CONSTANZA SANTOS . RUT RETIRA: 20978142-5</t>
  </si>
  <si>
    <t>Constanza Santos Villagrán</t>
  </si>
  <si>
    <t>copiapó 365, Higueras, talcahuano, 20978142-5</t>
  </si>
  <si>
    <t>2025-07-20 20:06</t>
  </si>
  <si>
    <t>#5773</t>
  </si>
  <si>
    <t>NOMBRE RETIRA: FERNANDA . . RUT RETIRA: 53310370-7</t>
  </si>
  <si>
    <t>Fernanda Jelves Garrido</t>
  </si>
  <si>
    <t>Avenida Los Estudiantes 03098, 21.790116-2</t>
  </si>
  <si>
    <t>#5776</t>
  </si>
  <si>
    <t>NOMBRE RETIRA: CATALINA ROJAS .. RUT RETIRA: 19041203-2</t>
  </si>
  <si>
    <t>Catalina Rojas Gutiérrez</t>
  </si>
  <si>
    <t>Avenida Panorámica 906 casa 15, 21889559-k</t>
  </si>
  <si>
    <t>2025-07-21 12:52</t>
  </si>
  <si>
    <t>#5772</t>
  </si>
  <si>
    <t>NOMBRE RETIRA: CARMEN LOBO . RUT RETIRA: 18802389-4</t>
  </si>
  <si>
    <t>Constanza Vargas</t>
  </si>
  <si>
    <t>Doctor Martin 433, 215334627</t>
  </si>
  <si>
    <t>2025-07-18 12:38</t>
  </si>
  <si>
    <t>#5768</t>
  </si>
  <si>
    <t>NOMBRE RETIRA: CLAUDIA PANOZO L RUT RETIRA: 7535816-4</t>
  </si>
  <si>
    <t>Claudia Panozo</t>
  </si>
  <si>
    <t>Manuel Antonio Matta 2849, 16079023-7</t>
  </si>
  <si>
    <t>2025-07-17 12:10</t>
  </si>
  <si>
    <t>#5770</t>
  </si>
  <si>
    <t>NOMBRE RETIRA: MONICA SAN MARTIN RUT RETIRA: 11807903-5</t>
  </si>
  <si>
    <t>Camila Sanchez</t>
  </si>
  <si>
    <t>Quilelto 3320, 21474012-5</t>
  </si>
  <si>
    <t>#5769</t>
  </si>
  <si>
    <t>NOMBRE RETIRA: ANGELA M M RUT RETIRA: 12249470-5</t>
  </si>
  <si>
    <t>Angela Paredes Ramírez</t>
  </si>
  <si>
    <t>Pasaje Santa Mónica #1525, 21881850-1</t>
  </si>
  <si>
    <t>#5758</t>
  </si>
  <si>
    <t>NOMBRE RETIRA: FABIAN ECHEVERRIA A RUT RETIRA: 22020468-5</t>
  </si>
  <si>
    <t>Camila Echeverría Morales</t>
  </si>
  <si>
    <t>Rio Bueno 0810, 205207961</t>
  </si>
  <si>
    <t>#5761</t>
  </si>
  <si>
    <t>NOMBRE RETIRA: DANIEL VALLADARES , RUT RETIRA: 20468923-7</t>
  </si>
  <si>
    <t>Francisca Romero Soto</t>
  </si>
  <si>
    <t>Barros Lucos 1575, 22078050-3</t>
  </si>
  <si>
    <t>#5734</t>
  </si>
  <si>
    <t>NOMBRE RETIRA: IRIS SEPULVEDA . RUT RETIRA: 10973940-5</t>
  </si>
  <si>
    <t>Catalina Díaz</t>
  </si>
  <si>
    <t>Maipu 1507, 210274839</t>
  </si>
  <si>
    <t>2025-07-08 12:31</t>
  </si>
  <si>
    <t>#5752</t>
  </si>
  <si>
    <t>NOMBRE RETIRA: ADELINA . . RUT RETIRA: 53310370-7</t>
  </si>
  <si>
    <t>Adelina Barriga Araneda</t>
  </si>
  <si>
    <t>Esquina Martin Lutero, Vil Bosques Del Portal, Sector Portal De La Frontera., .los Endrinos 02201 esquina Martín Lutero, villa Bosques del Portal</t>
  </si>
  <si>
    <t>2025-07-11 12:27</t>
  </si>
  <si>
    <t>#5749</t>
  </si>
  <si>
    <t>NOMBRE RETIRA: JOSEFA CASTRO MELLA RUT RETIRA: 18475058-9</t>
  </si>
  <si>
    <t>Josefa Castro Mella</t>
  </si>
  <si>
    <t>5 sur 38 oriente 3915, 21.306.596-3</t>
  </si>
  <si>
    <t>#5742</t>
  </si>
  <si>
    <t>NOMBRE RETIRA: WILFREDO FERNANDEZ H RUT RETIRA: 10721237-K</t>
  </si>
  <si>
    <t>Martina Wolf Linzmayer</t>
  </si>
  <si>
    <t>Thiers 681, 216594894</t>
  </si>
  <si>
    <t>2025-07-09 11:53</t>
  </si>
  <si>
    <t>#5743</t>
  </si>
  <si>
    <t>NOMBRE RETIRA: VERONICA CEBALLOS . RUT RETIRA: 17259969-9</t>
  </si>
  <si>
    <t>FERNANDO CARO</t>
  </si>
  <si>
    <t>Manuel Bulnes 678, 202385044</t>
  </si>
  <si>
    <t>#5732</t>
  </si>
  <si>
    <t>NOMBRE RETIRA: DAVID ESPINOZA .. RUT RETIRA: 18486329-4</t>
  </si>
  <si>
    <t>Laguna San Rafael Norte 188, 184863294</t>
  </si>
  <si>
    <t>2025-07-07 15:21</t>
  </si>
  <si>
    <t>#5731</t>
  </si>
  <si>
    <t>NOMBRE RETIRA: ELSA RAMOS . RUT RETIRA: 5951443-1</t>
  </si>
  <si>
    <t>Valentina salazar</t>
  </si>
  <si>
    <t>Las Brisas 2191, 194362544</t>
  </si>
  <si>
    <t>2025-07-07 13:50</t>
  </si>
  <si>
    <t>#5727</t>
  </si>
  <si>
    <t>NOMBRE RETIRA: ANTONIA CAVIERES C RUT RETIRA: 20137133-3</t>
  </si>
  <si>
    <t>Antonia Cavieres Aylwin</t>
  </si>
  <si>
    <t>Avenida Alemania 5635, 186177355</t>
  </si>
  <si>
    <t>2025-07-05 21:20</t>
  </si>
  <si>
    <t>#5726</t>
  </si>
  <si>
    <t>NOMBRE RETIRA: MARIA MELLA . RUT RETIRA: 21036311-4</t>
  </si>
  <si>
    <t>Lautaro Poblete Mella</t>
  </si>
  <si>
    <t>Alcázar 343, Block D, departamento 42, Block D, departamento 42</t>
  </si>
  <si>
    <t>2025-07-05 21:19</t>
  </si>
  <si>
    <t>#5722</t>
  </si>
  <si>
    <t>NOMBRE RETIRA: JORGE BURGOS . RUT RETIRA: 53334245-0</t>
  </si>
  <si>
    <t>Andrés Rojas Ibacache</t>
  </si>
  <si>
    <t>Calle del agua 1155, depto 504, 212651591</t>
  </si>
  <si>
    <t>#5715</t>
  </si>
  <si>
    <t>NOMBRE RETIRA: CRISTIAN PEREZ . RUT RETIRA: 12212913-6</t>
  </si>
  <si>
    <t>Francisco Defilippis Beltran</t>
  </si>
  <si>
    <t>avenida diego portales 1072, departamento 803, 21477793-2</t>
  </si>
  <si>
    <t>#5720</t>
  </si>
  <si>
    <t>NOMBRE RETIRA: NICOLE NAVARRETE . RUT RETIRA: 12533484-9</t>
  </si>
  <si>
    <t>Nicole Navarrete Arias</t>
  </si>
  <si>
    <t>José Miguel Carrera 898, 193244653</t>
  </si>
  <si>
    <t>#5719</t>
  </si>
  <si>
    <t>NOMBRE RETIRA: JOHN AMPUERO . RUT RETIRA: 53335104-2</t>
  </si>
  <si>
    <t>Jorge Rojos</t>
  </si>
  <si>
    <t>Calle pailahuen1937 depto A205, 18962379-8</t>
  </si>
  <si>
    <t>2025-06-30 13:01</t>
  </si>
  <si>
    <t>#5713</t>
  </si>
  <si>
    <t>NOMBRE RETIRA: NICOLAS HUITRAIQUEO . RUT RETIRA: 20079270-K</t>
  </si>
  <si>
    <t>Nicolas Huitraqueo</t>
  </si>
  <si>
    <t>Los Fundadores 0490, 20079270k</t>
  </si>
  <si>
    <t>2025-06-29 16:11</t>
  </si>
  <si>
    <t>#5718</t>
  </si>
  <si>
    <t>NOMBRE RETIRA: FERNANDA FLORES . RUT RETIRA: 14710709-9</t>
  </si>
  <si>
    <t>Fernanda Flores Contreras</t>
  </si>
  <si>
    <t>Tegualda 55, 21671329k</t>
  </si>
  <si>
    <t>#5717</t>
  </si>
  <si>
    <t>NOMBRE RETIRA: GISELE URIBE CONSERJERIA RUT RETIRA: 96575280-3</t>
  </si>
  <si>
    <t>José Luis Zúñiga Álvarez</t>
  </si>
  <si>
    <t>Raúl Bitrán 3501, Depto 223, condominio Portal del Valle, 11678276-6</t>
  </si>
  <si>
    <t>#NTVA5202</t>
  </si>
  <si>
    <t>18762652</t>
  </si>
  <si>
    <t>NATIVA ELEMENTS</t>
  </si>
  <si>
    <t>natalia gonzalez</t>
  </si>
  <si>
    <t>Av independencia 1142, puente alto, casa 19</t>
  </si>
  <si>
    <t>2025-07-30 12:24</t>
  </si>
  <si>
    <t>#NTVA5190</t>
  </si>
  <si>
    <t>18755149</t>
  </si>
  <si>
    <t>Mariela Torres</t>
  </si>
  <si>
    <t>Avda. Quilin Sur 10.501 Peñalolén, Casa 25</t>
  </si>
  <si>
    <t>2025-07-28 12:23</t>
  </si>
  <si>
    <t>#NTVA5191</t>
  </si>
  <si>
    <t>18755148</t>
  </si>
  <si>
    <t>Vicente Andrews</t>
  </si>
  <si>
    <t>Grevillea 241</t>
  </si>
  <si>
    <t>#NTVA5193</t>
  </si>
  <si>
    <t>18755147</t>
  </si>
  <si>
    <t>Felipe Coloma Reyes</t>
  </si>
  <si>
    <t>Avenida Vicuña Mackenna 4192, torre 1 depto 808</t>
  </si>
  <si>
    <t>#NTVA5161</t>
  </si>
  <si>
    <t>18745413</t>
  </si>
  <si>
    <t>Renato Sprohnle</t>
  </si>
  <si>
    <t>Juan Solar Parra 781</t>
  </si>
  <si>
    <t>2025-07-24 12:41</t>
  </si>
  <si>
    <t>#NTVA5153</t>
  </si>
  <si>
    <t>18742377</t>
  </si>
  <si>
    <t>Héctor Diaz</t>
  </si>
  <si>
    <t>Las hortensias 2975, 609</t>
  </si>
  <si>
    <t>2025-07-23 13:06</t>
  </si>
  <si>
    <t>#NTVA5150</t>
  </si>
  <si>
    <t>18742376</t>
  </si>
  <si>
    <t>rosario somarriva urzua</t>
  </si>
  <si>
    <t>Av Bernardo Larrain Cotapos 11904, lo barnechea, casa</t>
  </si>
  <si>
    <t>#NTVA5155</t>
  </si>
  <si>
    <t>18742375</t>
  </si>
  <si>
    <t>Cam san Francisco de Asis 1800, 38D</t>
  </si>
  <si>
    <t>#NTVA5149</t>
  </si>
  <si>
    <t>18742374</t>
  </si>
  <si>
    <t>Ruben Roman Vilasau</t>
  </si>
  <si>
    <t>Av Jorge Alessandri Rodriguez 19320, 35</t>
  </si>
  <si>
    <t>#NTVA5151</t>
  </si>
  <si>
    <t>18742371</t>
  </si>
  <si>
    <t>Benjamin Manasevich</t>
  </si>
  <si>
    <t>Noruega 6677, 91</t>
  </si>
  <si>
    <t>#NTVA5154</t>
  </si>
  <si>
    <t>18742370</t>
  </si>
  <si>
    <t>Benjamín Tobar Valdés</t>
  </si>
  <si>
    <t>Pasaje ramon carnicer 01711, Casa naranja</t>
  </si>
  <si>
    <t>#NTVA5205</t>
  </si>
  <si>
    <t>NOMBRE RETIRA: CATALINA ESPINA . RUT RETIRA: 17047930-0</t>
  </si>
  <si>
    <t>Catalina Espina Garcia</t>
  </si>
  <si>
    <t>Luis damann asenjo 1838, Casa</t>
  </si>
  <si>
    <t>#NTVA5196</t>
  </si>
  <si>
    <t>NOMBRE RETIRA: CAMILA CACERES M RUT RETIRA: 19399968-9</t>
  </si>
  <si>
    <t>Camila Caceres pedreros</t>
  </si>
  <si>
    <t>Avenida Prat 1025 1025</t>
  </si>
  <si>
    <t>#NTVA5198</t>
  </si>
  <si>
    <t>NOMBRE RETIRA: RUTH MALVINAA PALMA RUT RETIRA: 7374033-9</t>
  </si>
  <si>
    <t>Ruth Malvina Palma Gaete</t>
  </si>
  <si>
    <t>Uno sur, 257</t>
  </si>
  <si>
    <t>#NTVA5194</t>
  </si>
  <si>
    <t>NOMBRE RETIRA: JUAN CONEJERO . RUT RETIRA: 53321047-3</t>
  </si>
  <si>
    <t>Benjamin Flores Torres</t>
  </si>
  <si>
    <t>Condominio parque urbano 2 torre c, Depto 410-c</t>
  </si>
  <si>
    <t>#NTVA5182</t>
  </si>
  <si>
    <t>NOMBRE RETIRA: CAMILO ALQUINTA J RUT RETIRA: 21578435-5</t>
  </si>
  <si>
    <t>Camilo Alquinta Ortiz</t>
  </si>
  <si>
    <t>Sargento Enrique Coke 663, Casa</t>
  </si>
  <si>
    <t>2025-07-26 12:02</t>
  </si>
  <si>
    <t>#NTVA5186</t>
  </si>
  <si>
    <t>NOMBRE RETIRA: LICEL . . RUT RETIRA: 18793582-2</t>
  </si>
  <si>
    <t>CAMILO CALDERON</t>
  </si>
  <si>
    <t>JOSÉ SANTOS OSSA 2213, JUAN CAMILO CALDERON</t>
  </si>
  <si>
    <t>#NTVA5192</t>
  </si>
  <si>
    <t>NOMBRE RETIRA: MONSERRAT GOMEZ . RUT RETIRA: 18107173-7</t>
  </si>
  <si>
    <t>ornella aguayo barrera</t>
  </si>
  <si>
    <t>Rengo 90, Oficina 5</t>
  </si>
  <si>
    <t>#NTVA5189</t>
  </si>
  <si>
    <t>NOMBRE RETIRA: CARLOS MILLACOY . RUT RETIRA: 4345360-2</t>
  </si>
  <si>
    <t>Carla Millacoy</t>
  </si>
  <si>
    <t>Arica 2035, Victoria, Chile., 2035</t>
  </si>
  <si>
    <t>#NTVA5184</t>
  </si>
  <si>
    <t>NOMBRE RETIRA: MIRKO AGUILAR . RUT RETIRA: 53325524-8</t>
  </si>
  <si>
    <t>Mirko Lipski Aguilar</t>
  </si>
  <si>
    <t>Av. Pedro de Valdivia 159, depto 504</t>
  </si>
  <si>
    <t>#NTVA5183</t>
  </si>
  <si>
    <t>NOMBRE RETIRA: FRANCISCA CRETIER . RUT RETIRA: 19595562-K</t>
  </si>
  <si>
    <t>Jonathan Andrés</t>
  </si>
  <si>
    <t>Calle 4 casa 4465 san marcos 2000 talcahuano, Casa 4465</t>
  </si>
  <si>
    <t>#NTVA5181</t>
  </si>
  <si>
    <t>NOMBRE RETIRA: MARIA VERA .. RUT RETIRA: 12004377-3</t>
  </si>
  <si>
    <t>nicolás soto gadaleta</t>
  </si>
  <si>
    <t>vicuña mackena 815, dep 105</t>
  </si>
  <si>
    <t>#NTVA5177</t>
  </si>
  <si>
    <t>NOMBRE RETIRA: CARLA BARRA . RUT RETIRA: 21087125-K</t>
  </si>
  <si>
    <t>Carla Fernanda Barra soto</t>
  </si>
  <si>
    <t>Volcan copahue 35, casa</t>
  </si>
  <si>
    <t>2025-07-25 13:06</t>
  </si>
  <si>
    <t>#NTVA5160</t>
  </si>
  <si>
    <t>NOMBRE RETIRA: CARLOASA TROCAN .. RUT RETIRA: 13321375-9</t>
  </si>
  <si>
    <t>Carlos Troquian guarda</t>
  </si>
  <si>
    <t>Padre pancho 2559</t>
  </si>
  <si>
    <t>#NTVA5173</t>
  </si>
  <si>
    <t>NOMBRE RETIRA: MATIAS MANRIQUE . RUT RETIRA: 13951536-6</t>
  </si>
  <si>
    <t>Matias Manriquez</t>
  </si>
  <si>
    <t>Los boldos 842 michaihue, san pedro de la paz, Casa</t>
  </si>
  <si>
    <t>#NTVA5176</t>
  </si>
  <si>
    <t>NOMBRE RETIRA: INAKI . . RUT RETIRA: 53310370-7</t>
  </si>
  <si>
    <t>Iñaki Igualt Azocar</t>
  </si>
  <si>
    <t>Andres Madariaga 1670, casa</t>
  </si>
  <si>
    <t>#NTVA5168</t>
  </si>
  <si>
    <t>NOMBRE RETIRA: JAIRO CATUR CATUR RUT RETIRA: 20612515-2</t>
  </si>
  <si>
    <t>Jairo Catur</t>
  </si>
  <si>
    <t>Toko Llama 3026</t>
  </si>
  <si>
    <t>#NTVA5175</t>
  </si>
  <si>
    <t>NOMBRE RETIRA: FRSNCHESCA ROJAS ... RUT RETIRA: 19146817-1</t>
  </si>
  <si>
    <t>Franchesca Rojas</t>
  </si>
  <si>
    <t>Avenida el Romeral #286</t>
  </si>
  <si>
    <t>#NTVA5174</t>
  </si>
  <si>
    <t>NOMBRE RETIRA: BEJAMIN ARROYO . RUT RETIRA: 11503593-2</t>
  </si>
  <si>
    <t>Benjamin Arroyo Valdebenito</t>
  </si>
  <si>
    <t>Pozo Almonte 561, 29</t>
  </si>
  <si>
    <t>#NTVA5169</t>
  </si>
  <si>
    <t>NOMBRE RETIRA: YESICA ALVARADO U RUT RETIRA: 12345678-5</t>
  </si>
  <si>
    <t>Yessica valeria Alvarado Alvarado</t>
  </si>
  <si>
    <t>Casa 5816, Uno Oriente Mirador De La Cordillera 5816</t>
  </si>
  <si>
    <t>#NTVA5163</t>
  </si>
  <si>
    <t>NOMBRE RETIRA: PABLO ORTIZ . RUT RETIRA: 22217488-0</t>
  </si>
  <si>
    <t>Pablo Ortiz</t>
  </si>
  <si>
    <t>Juan de dios angulo 361, Casa naranja</t>
  </si>
  <si>
    <t>#NTVA5162</t>
  </si>
  <si>
    <t>NOMBRE RETIRA: NICOLA RAIMILLAS .. M RUT RETIRA: 9415392-1</t>
  </si>
  <si>
    <t>Nicolas Raimilla</t>
  </si>
  <si>
    <t>Garcia Huidobro 165 Placilla, Casa celestes</t>
  </si>
  <si>
    <t>#NTVA5157</t>
  </si>
  <si>
    <t>NOMBRE RETIRA: ROCIO MONSALVE . RUT RETIRA: 7538484-K</t>
  </si>
  <si>
    <t>Rocio Monzalvez Pino</t>
  </si>
  <si>
    <t>Los maitenes 0138, Casa</t>
  </si>
  <si>
    <t>2025-07-23 13:27</t>
  </si>
  <si>
    <t>#NTVA5159</t>
  </si>
  <si>
    <t>NOMBRE RETIRA: CLAUDIA JELDRES . RUT RETIRA: 15252277-0</t>
  </si>
  <si>
    <t>Thomas Salinas</t>
  </si>
  <si>
    <t>San pedro de la paz, Raul silva castro 7773</t>
  </si>
  <si>
    <t>#NTVA5171</t>
  </si>
  <si>
    <t>NOMBRE RETIRA: ELOISA RAMOS X RUT RETIRA: 13398028-8</t>
  </si>
  <si>
    <t>lorena Gomez</t>
  </si>
  <si>
    <t>Pasaje c 58 villuco, Casa</t>
  </si>
  <si>
    <t>#NTVA5167</t>
  </si>
  <si>
    <t>NOMBRE RETIRA: SIMON FUENTES . RUT RETIRA: 20629719-0</t>
  </si>
  <si>
    <t>Simón Fuentes Cordova</t>
  </si>
  <si>
    <t>Lautaro 1620, Casa</t>
  </si>
  <si>
    <t>#NTVA5164</t>
  </si>
  <si>
    <t>NOMBRE RETIRA: MATIAS PRIETO N RUT RETIRA: 19043482-6</t>
  </si>
  <si>
    <t>Matias Prieto Vejar</t>
  </si>
  <si>
    <t>22 y medio sur entre 14 y 15 poniente #105, Casa 105</t>
  </si>
  <si>
    <t>#NTVA5108</t>
  </si>
  <si>
    <t>NOMBRE RETIRA: NELSON FIEROO A RUT RETIRA: 18727296-3</t>
  </si>
  <si>
    <t>Nelson Fierro Torres</t>
  </si>
  <si>
    <t>Paramaribo 2126, Casa 2126. Complejo habitacional</t>
  </si>
  <si>
    <t>#NTVA5156</t>
  </si>
  <si>
    <t>NOMBRE RETIRA: FELIOE SIKVA G RUT RETIRA: 19248643-2</t>
  </si>
  <si>
    <t>Felipe Silva González</t>
  </si>
  <si>
    <t>Avenida Francia 0270, Casa</t>
  </si>
  <si>
    <t>#NTVA5117</t>
  </si>
  <si>
    <t>NOMBRE RETIRA: CARLOS . . RUT RETIRA: 13587845-6</t>
  </si>
  <si>
    <t>Padre Pancho 2559</t>
  </si>
  <si>
    <t>#NTVA5152</t>
  </si>
  <si>
    <t>NOMBRE RETIRA: CRISTOBAL SAEZ K B RUT RETIRA: 22204577-0</t>
  </si>
  <si>
    <t>Cristobal Saez</t>
  </si>
  <si>
    <t>47 oriente condominio parcelas hacienda la esmeralda, Casa 1290</t>
  </si>
  <si>
    <t>#NTVA5148</t>
  </si>
  <si>
    <t>NOMBRE RETIRA: CESAR DURAN . RUT RETIRA: 12731304-0</t>
  </si>
  <si>
    <t>cesar duran riffo</t>
  </si>
  <si>
    <t>graciela valenzuela 763, casa</t>
  </si>
  <si>
    <t>#NTVA5147</t>
  </si>
  <si>
    <t>NOMBRE RETIRA: FRANCO TOLOZA . RUT RETIRA: 20209974-2</t>
  </si>
  <si>
    <t>Alvaro Beneventti</t>
  </si>
  <si>
    <t>Bernardo O’Higgins 2782, Edificio C Dpto C311</t>
  </si>
  <si>
    <t>#NTVA5067</t>
  </si>
  <si>
    <t>NOMBRE RETIRA: CATALINA OBANDO M RUT RETIRA: 11111111-1</t>
  </si>
  <si>
    <t>Catalina Obando Contreras</t>
  </si>
  <si>
    <t>Pasaje Biólogo Robert Bentley, 230</t>
  </si>
  <si>
    <t>#NTVA5058</t>
  </si>
  <si>
    <t>NOMBRE RETIRA: CATALINA OBANDO . RUT RETIRA: 11111111-1</t>
  </si>
  <si>
    <t>#NTVA5111</t>
  </si>
  <si>
    <t>NOMBRE RETIRA: ANA JARA . RUT RETIRA: 6484784-8</t>
  </si>
  <si>
    <t>Milton Aravena</t>
  </si>
  <si>
    <t>Juan Antonio Rios 1131 ⁠1131, 1131</t>
  </si>
  <si>
    <t>#NTVA5146</t>
  </si>
  <si>
    <t>NOMBRE RETIRA: RINNY DANCHE QUISPE RUT RETIRA: 16258608-4</t>
  </si>
  <si>
    <t>Ronny Danchez Quispe</t>
  </si>
  <si>
    <t>Federico de arcos, 435</t>
  </si>
  <si>
    <t>2025-07-22 13:22</t>
  </si>
  <si>
    <t>#NTVA5121</t>
  </si>
  <si>
    <t>NOMBRE RETIRA: SARA TORRES . RUT RETIRA: 11017972-3</t>
  </si>
  <si>
    <t>Isaac Mellado torres</t>
  </si>
  <si>
    <t>Pedro Aguirre cerda 941</t>
  </si>
  <si>
    <t>2025-07-21 11:57</t>
  </si>
  <si>
    <t>#NTVA5144</t>
  </si>
  <si>
    <t>NOMBRE RETIRA: PAOLA SALAS . RUT RETIRA: 15041034-7</t>
  </si>
  <si>
    <t>Javiera Portilla</t>
  </si>
  <si>
    <t>Laura pizarro 1430, Oficina</t>
  </si>
  <si>
    <t>#NTVA5136</t>
  </si>
  <si>
    <t>NOMBRE RETIRA: EDUARDO LUCAS . RUT RETIRA: 10508193-6</t>
  </si>
  <si>
    <t>Manuel Cautín</t>
  </si>
  <si>
    <t>los cerezos 1436</t>
  </si>
  <si>
    <t>#NTVA5137</t>
  </si>
  <si>
    <t>NOMBRE RETIRA: EMILIA POBLETE X RUT RETIRA: 8252721-4</t>
  </si>
  <si>
    <t>Emilia Poblete Leiva</t>
  </si>
  <si>
    <t>Av salvador Allende 362</t>
  </si>
  <si>
    <t>#NTVA5112</t>
  </si>
  <si>
    <t>NOMBRE RETIRA: DIEGO CASTILLO CASTILLO RUT RETIRA: 19256877-3</t>
  </si>
  <si>
    <t>Manuel montt norte, 3409</t>
  </si>
  <si>
    <t>#NTVA5119</t>
  </si>
  <si>
    <t>NOMBRE RETIRA: BENJAMIN VILLALOBOS V RUT RETIRA: 22288165-K</t>
  </si>
  <si>
    <t>Patricio Sandoval rosas</t>
  </si>
  <si>
    <t>Arturo Prat  1137, Restaurante</t>
  </si>
  <si>
    <t>#NTVA5131</t>
  </si>
  <si>
    <t>NOMBRE RETIRA: JOAQUIN PEZOS . RUT RETIRA: 7188136-9</t>
  </si>
  <si>
    <t>JOAQUIN PEZOS</t>
  </si>
  <si>
    <t>LOS ALAMOS 148 PENCO</t>
  </si>
  <si>
    <t>#NTVA5138</t>
  </si>
  <si>
    <t>NOMBRE RETIRA: FRANCISCA ALVAREZ . RUT RETIRA: 19092199-9</t>
  </si>
  <si>
    <t>Francisca Alvarez Salinas</t>
  </si>
  <si>
    <t>Berna 3051, Hualpén</t>
  </si>
  <si>
    <t>#NTVA5132</t>
  </si>
  <si>
    <t>NOMBRE RETIRA: GLADIS GUTIERREZ . RUT RETIRA: 13096845-7</t>
  </si>
  <si>
    <t>Gladis Del Pilar Gutierrez Granifo</t>
  </si>
  <si>
    <t>Los corraleros 1817, Casa</t>
  </si>
  <si>
    <t>#NTVA5129</t>
  </si>
  <si>
    <t>NOMBRE RETIRA: LEONOR PIZARRO . RUT RETIRA: 8111503-6</t>
  </si>
  <si>
    <t>ignacia llauca</t>
  </si>
  <si>
    <t>Almirante Grau 2590, casa F, casa F</t>
  </si>
  <si>
    <t>#NTVA5042</t>
  </si>
  <si>
    <t>NOMBRE RETIRA: KAROLINE PEREZ GONZALEZ RUT RETIRA: 21579060-6</t>
  </si>
  <si>
    <t>karoline perez</t>
  </si>
  <si>
    <t>starken punta arenas, el ovejero 298</t>
  </si>
  <si>
    <t>2025-07-09 12:17</t>
  </si>
  <si>
    <t>#NTVA5044</t>
  </si>
  <si>
    <t>NOMBRE RETIRA: ANTONIA GOMEZ . RUT RETIRA: 16652141-6</t>
  </si>
  <si>
    <t>Antonia Gómez Moore</t>
  </si>
  <si>
    <t>Gabriela Mistral 165, Casa</t>
  </si>
  <si>
    <t>2025-07-10 13:10</t>
  </si>
  <si>
    <t>#NTVA5104</t>
  </si>
  <si>
    <t>NOMBRE RETIRA: ISAAC ROMERO . . RUT RETIRA: 12396248-6</t>
  </si>
  <si>
    <t>ISAAC HONORES</t>
  </si>
  <si>
    <t>AVENIDA 21 DE MAYO, 601</t>
  </si>
  <si>
    <t>2025-07-18 13:04</t>
  </si>
  <si>
    <t>#NTVA5102</t>
  </si>
  <si>
    <t>NOMBRE RETIRA: VICENTE CARCAMO . RUT RETIRA: 22032601-2</t>
  </si>
  <si>
    <t>Vicente Carcamo</t>
  </si>
  <si>
    <t>Santiago Rosas 1931, Casa número 1931</t>
  </si>
  <si>
    <t>#NTVA5097</t>
  </si>
  <si>
    <t>NOMBRE RETIRA: BENJAMIN GUTIERREZ . RUT RETIRA: 23119486-K</t>
  </si>
  <si>
    <t>Las Bandurrias g16, Casa G16</t>
  </si>
  <si>
    <t>2025-07-17 13:25</t>
  </si>
  <si>
    <t>#NTVA5099</t>
  </si>
  <si>
    <t>NOMBRE RETIRA: ALTO MARGA MARGA 1 CONSERJE MSRCOS RUT RETIRA: 12345678-5</t>
  </si>
  <si>
    <t>Valentina Salinas</t>
  </si>
  <si>
    <t>Irma Johnson Molina 2579, Apt. Depto 432, Torre D</t>
  </si>
  <si>
    <t>#NTVA5093</t>
  </si>
  <si>
    <t>NOMBRE RETIRA: JULIETA CARRASCO . RUT RETIRA: 9293758-5</t>
  </si>
  <si>
    <t>#NTVA5060</t>
  </si>
  <si>
    <t>NOMBRE RETIRA: PABLO CEJAS . RUT RETIRA: 13008317-K</t>
  </si>
  <si>
    <t>Pablo Cejas Henriquez</t>
  </si>
  <si>
    <t>Salvador Allende 3037, Casa</t>
  </si>
  <si>
    <t>2025-07-12 13:18</t>
  </si>
  <si>
    <t>#NTVA5088</t>
  </si>
  <si>
    <t>NOMBRE RETIRA: CATALINA TAPIA . RUT RETIRA: 21655596-1</t>
  </si>
  <si>
    <t>Joaquin Martinez Pizarro</t>
  </si>
  <si>
    <t>Volcan el palomo 53, Casa con perro negro</t>
  </si>
  <si>
    <t>#NTVA5082</t>
  </si>
  <si>
    <t>NOMBRE RETIRA: CARLOS TROQUIR . RUT RETIRA: 20176550-1</t>
  </si>
  <si>
    <t>#NTVA5095</t>
  </si>
  <si>
    <t>NOMBRE RETIRA: LUIS CONTRERAS . RUT RETIRA: 12431116-0</t>
  </si>
  <si>
    <t>Luis Andrés Contreras Mondaca</t>
  </si>
  <si>
    <t>Pasaje Frankfurt 4364, hualpén, casa</t>
  </si>
  <si>
    <t>#NTVA5079</t>
  </si>
  <si>
    <t>NOMBRE RETIRA: JOAQUIN SANCHEZ . RUT RETIRA: 21413632-5</t>
  </si>
  <si>
    <t>Joaquin Sanchez valenzuela</t>
  </si>
  <si>
    <t>El tirol 180 casa 60</t>
  </si>
  <si>
    <t>#NTVA5081</t>
  </si>
  <si>
    <t>NOMBRE RETIRA: FELIPE UERTA . RUT RETIRA: 15525271-5</t>
  </si>
  <si>
    <t>Felipe Huerta Rojas</t>
  </si>
  <si>
    <t>Villa Francisco Ruiz 749, Rengo</t>
  </si>
  <si>
    <t>#NTVA5075</t>
  </si>
  <si>
    <t>NOMBRE RETIRA: MATIAS MONTANA . RUT RETIRA: 9694473-K</t>
  </si>
  <si>
    <t>Matias Montana</t>
  </si>
  <si>
    <t>Los ñandu 235, 235</t>
  </si>
  <si>
    <t>#NTVA5083</t>
  </si>
  <si>
    <t>NOMBRE RETIRA: PAULINA OLIVARES . RUT RETIRA: 17761016-K</t>
  </si>
  <si>
    <t>Los quilos 30, Casa</t>
  </si>
  <si>
    <t>#NTVA5070</t>
  </si>
  <si>
    <t>NOMBRE RETIRA: FREDD HERMOSILLA . RUT RETIRA: 21077904-3</t>
  </si>
  <si>
    <t>Fred Hermosilla</t>
  </si>
  <si>
    <t>Calle progreso 8014, Casa</t>
  </si>
  <si>
    <t>#NTVA5072</t>
  </si>
  <si>
    <t>NOMBRE RETIRA: JUAN VERA . RUT RETIRA: 10301082-9</t>
  </si>
  <si>
    <t>Cristóbal Vera</t>
  </si>
  <si>
    <t>Los maticos 1952, 1952</t>
  </si>
  <si>
    <t>#NTVA5068</t>
  </si>
  <si>
    <t>NOMBRE RETIRA: DIEGO VERA . RUT RETIRA: 21741914-K</t>
  </si>
  <si>
    <t>Diego vera</t>
  </si>
  <si>
    <t>Brasil 1149</t>
  </si>
  <si>
    <t>#NTVA5061</t>
  </si>
  <si>
    <t>NOMBRE RETIRA: LUIS SALAZAR . RUT RETIRA: 11542626-5</t>
  </si>
  <si>
    <t>Luis Patricio Salazar</t>
  </si>
  <si>
    <t>San martin 1556</t>
  </si>
  <si>
    <t>#NTVA5064</t>
  </si>
  <si>
    <t>NOMBRE RETIRA: MARTIN SOLIZ . RUT RETIRA: 21214738-9</t>
  </si>
  <si>
    <t>martin soliz benvenuto</t>
  </si>
  <si>
    <t>diaz 1187, villa alemana, casa</t>
  </si>
  <si>
    <t>#NTVA5062</t>
  </si>
  <si>
    <t>NOMBRE RETIRA: CARLOS ZAMORANO ZAMORANO RUT RETIRA: 15012422-0</t>
  </si>
  <si>
    <t>Joaquin Ignacio Marín Bernal</t>
  </si>
  <si>
    <t>Valle elqui #52, Casa</t>
  </si>
  <si>
    <t>#NTVA5069</t>
  </si>
  <si>
    <t>NOMBRE RETIRA: ALEX ROJAS .. RUT RETIRA: 20150611-5</t>
  </si>
  <si>
    <t>Matias Giacaman</t>
  </si>
  <si>
    <t>Avenida Circunvalacion Norte 1240, Depto 1011</t>
  </si>
  <si>
    <t>#NTVA4987</t>
  </si>
  <si>
    <t>NOMBRE RETIRA: JOSE OLIVARES . RUT RETIRA: 9622689-6</t>
  </si>
  <si>
    <t>Maximiliano Zuñiga Delgado</t>
  </si>
  <si>
    <t>Jose Morales Cares 4448, Casa</t>
  </si>
  <si>
    <t>#NTVA5057</t>
  </si>
  <si>
    <t>NOMBRE RETIRA: BERNARDITA VEJAR A RUT RETIRA: 9338045-2</t>
  </si>
  <si>
    <t>#NTVA4934</t>
  </si>
  <si>
    <t>NOMBRE RETIRA: HERNAN FUSH . RUT RETIRA: 15582934-6</t>
  </si>
  <si>
    <t>Hermann Fuchslocher Ojeda</t>
  </si>
  <si>
    <t>Romulo Correa 01597, Casa</t>
  </si>
  <si>
    <t>2025-07-03 12:25</t>
  </si>
  <si>
    <t>#NTVA4993</t>
  </si>
  <si>
    <t>NOMBRE RETIRA: MILTON ARAVENA . RUT RETIRA: 6484784-8</t>
  </si>
  <si>
    <t>#NTVA4977</t>
  </si>
  <si>
    <t>NOMBRE RETIRA: HUGO SUAZO . RUT RETIRA: 12056788-8</t>
  </si>
  <si>
    <t>olver arias</t>
  </si>
  <si>
    <t>Costanera Poniente 33</t>
  </si>
  <si>
    <t>2025-07-07 22:31</t>
  </si>
  <si>
    <t>#NTVA4845</t>
  </si>
  <si>
    <t>NOMBRE RETIRA: JORGE ESPINA . RUT RETIRA: 65202594-3</t>
  </si>
  <si>
    <t>Santiago Díaz Garrido</t>
  </si>
  <si>
    <t>Avenida Central 765, Dpto. 403</t>
  </si>
  <si>
    <t>2025-06-24 23:52</t>
  </si>
  <si>
    <t>#NTVA5043</t>
  </si>
  <si>
    <t>NOMBRE RETIRA: CARLOS MENDEZ B RUT RETIRA: 53301181-0</t>
  </si>
  <si>
    <t>Martin Pizarro</t>
  </si>
  <si>
    <t>Hacienda san Isidro parcela 10, Parcela 10</t>
  </si>
  <si>
    <t>#NTVA4846</t>
  </si>
  <si>
    <t>NOMBRE RETIRA: SERGI ARRIAGADA . RUT RETIRA: 5065268-8</t>
  </si>
  <si>
    <t>Victor Arriagada Melo</t>
  </si>
  <si>
    <t>Pasaje 4 #407, Villa Pie De Monte, Casa</t>
  </si>
  <si>
    <t>#NTVA4996</t>
  </si>
  <si>
    <t>NOMBRE RETIRA: EDIC ROBLES ROBLES RUT RETIRA: 9620534-1</t>
  </si>
  <si>
    <t>Elías Chahuán Kim</t>
  </si>
  <si>
    <t>Avenida Comandante San Martín 320, 2803 torre 2</t>
  </si>
  <si>
    <t>#NTVA5020</t>
  </si>
  <si>
    <t>NOMBRE RETIRA: BENJAMIN FLORES . RUT RETIRA: 19099580-1</t>
  </si>
  <si>
    <t>Luis Schumacher</t>
  </si>
  <si>
    <t>Vivar 1455, calama, Depto 411</t>
  </si>
  <si>
    <t>#NTVA4750</t>
  </si>
  <si>
    <t>Luis Eduardo Schumacher Pizarro</t>
  </si>
  <si>
    <t>Vivar 1455, Depto. 411</t>
  </si>
  <si>
    <t>2025-06-17 13:17</t>
  </si>
  <si>
    <t>#NTVA5055</t>
  </si>
  <si>
    <t>NOMBRE RETIRA: YANET VARAS . RUT RETIRA: 13177428-1</t>
  </si>
  <si>
    <t>Avenida El Sauce 2755, Casa</t>
  </si>
  <si>
    <t>#NTVA4997</t>
  </si>
  <si>
    <t>NOMBRE RETIRA: PATRICIO RAMIREZ PORTERIA RUT RETIRA: 21036311-4</t>
  </si>
  <si>
    <t>ministro miguel zañartu 705, 1101</t>
  </si>
  <si>
    <t>#NTVA4969</t>
  </si>
  <si>
    <t>NOMBRE RETIRA: CRIS DIAZ . RUT RETIRA: 11305843-9</t>
  </si>
  <si>
    <t>Cris Diaz</t>
  </si>
  <si>
    <t>Cristóbal Colón 671, Casa</t>
  </si>
  <si>
    <t>#NTVA4938</t>
  </si>
  <si>
    <t>2025-07-04 13:19</t>
  </si>
  <si>
    <t>#NTVA4948</t>
  </si>
  <si>
    <t>NOMBRE RETIRA: FRANSCICA STUARDO . RUT RETIRA: 19509356-3</t>
  </si>
  <si>
    <t>Francisca Estuardo</t>
  </si>
  <si>
    <t>Los Copihues 1140, Casa</t>
  </si>
  <si>
    <t>2025-07-07 23:17</t>
  </si>
  <si>
    <t>#NTVA5013</t>
  </si>
  <si>
    <t>NOMBRE RETIRA: ANA HUIRCAN PICHUN RUT RETIRA: 16518116-6</t>
  </si>
  <si>
    <t>Ana Huircan</t>
  </si>
  <si>
    <t>Salvador allende 861</t>
  </si>
  <si>
    <t>#NTVA5047</t>
  </si>
  <si>
    <t>NOMBRE RETIRA: FRANCISACA FUENTES . RUT RETIRA: 20007679-6</t>
  </si>
  <si>
    <t>Manuel Opazo</t>
  </si>
  <si>
    <t>18 sur 909, Talca, maule, Casa</t>
  </si>
  <si>
    <t>#NTVA4981</t>
  </si>
  <si>
    <t>NOMBRE RETIRA: YARITZA PAZ .. RUT RETIRA: 19573725-8</t>
  </si>
  <si>
    <t>florencia Barra</t>
  </si>
  <si>
    <t>Almagro 596, farmacias cruz verde</t>
  </si>
  <si>
    <t>#NTVA5024</t>
  </si>
  <si>
    <t>NOMBRE RETIRA: TOMAS RITH K RUT RETIRA: 10721237-K</t>
  </si>
  <si>
    <t>Thomas Rith</t>
  </si>
  <si>
    <t>Badalona 655, Casa</t>
  </si>
  <si>
    <t>#NTVA5018</t>
  </si>
  <si>
    <t>NOMBRE RETIRA: TOMAS CATRIL . RUT RETIRA: 21530213-K</t>
  </si>
  <si>
    <t>Oscar Carvajal Muñoz</t>
  </si>
  <si>
    <t>Raúl Silva Henríquez 1820, coronel, Casa</t>
  </si>
  <si>
    <t>#NTVA4951</t>
  </si>
  <si>
    <t>NOMBRE RETIRA: GISELLE SEURA . RUT RETIRA: 19257337-8</t>
  </si>
  <si>
    <t>#NTVA5007</t>
  </si>
  <si>
    <t>NOMBRE RETIRA: LUKAS FILIPPO . RUT RETIRA: 53303554-K</t>
  </si>
  <si>
    <t>Lukas Filippo Medina</t>
  </si>
  <si>
    <t>mercedes 425, 1203</t>
  </si>
  <si>
    <t>#NTVA4956</t>
  </si>
  <si>
    <t>NOMBRE RETIRA: ABDON . . RUT RETIRA: 13516982-K</t>
  </si>
  <si>
    <t>Abdon Vicente</t>
  </si>
  <si>
    <t>Santa Sofia 1151</t>
  </si>
  <si>
    <t>#NTVA4950</t>
  </si>
  <si>
    <t>NOMBRE RETIRA: DAMARIS TRIPAILAF . RUT RETIRA: 13160291-K</t>
  </si>
  <si>
    <t>Damaris Tripailaf Pinto</t>
  </si>
  <si>
    <t>Pasaje volcán villarrica 357, Casa</t>
  </si>
  <si>
    <t>#NTVA5005</t>
  </si>
  <si>
    <t>NOMBRE RETIRA: JORGE CRUZ H RUT RETIRA: 19696694-3</t>
  </si>
  <si>
    <t>JORGE CRUZ GUTIERREZ</t>
  </si>
  <si>
    <t>5 norte 3212 TALCA</t>
  </si>
  <si>
    <t>#NTVA4988</t>
  </si>
  <si>
    <t>NOMBRE RETIRA: MARTIN GARRIDO N RUT RETIRA: 19806693-1</t>
  </si>
  <si>
    <t>17 poniente 18 1/2 sur #0225, casa</t>
  </si>
  <si>
    <t>#NTVA5040</t>
  </si>
  <si>
    <t>NOMBRE RETIRA: GLORIA LUENGO SIERRA RUT RETIRA: 12523490-9</t>
  </si>
  <si>
    <t>Gonzalo Campos Luengo</t>
  </si>
  <si>
    <t>Avenida diagonal biobio #819, Casa</t>
  </si>
  <si>
    <t>#NTVA5037</t>
  </si>
  <si>
    <t>NOMBRE RETIRA: CATHERINE MUNOZ .. RUT RETIRA: 18437642-3</t>
  </si>
  <si>
    <t>Catherine Muñoz Rojas</t>
  </si>
  <si>
    <t>Antonio Varas 989, Gimnasio Smart Fit - Temuco Centro</t>
  </si>
  <si>
    <t>#NTVA4957</t>
  </si>
  <si>
    <t>NOMBRE RETIRA: JULIA VARELA . RUT RETIRA: 12383616-2</t>
  </si>
  <si>
    <t>Guillermo Pérez Varela</t>
  </si>
  <si>
    <t>Gabriela Mistral 321, hualqui</t>
  </si>
  <si>
    <t>#NTVA5028</t>
  </si>
  <si>
    <t>NOMBRE RETIRA: GUILLERMO SANTIBANEZ . RUT RETIRA: 12266035-4</t>
  </si>
  <si>
    <t>Matias Santibañez</t>
  </si>
  <si>
    <t>Jose donoso 287, casa</t>
  </si>
  <si>
    <t>#NTVA4989</t>
  </si>
  <si>
    <t>NOMBRE RETIRA: NICOLAS MOLINA . RUT RETIRA: 20708510-3</t>
  </si>
  <si>
    <t>Nicolás Molina Martinez</t>
  </si>
  <si>
    <t>1 norte, LOCAL SCHOPDOG 1269</t>
  </si>
  <si>
    <t>#NTVA5039</t>
  </si>
  <si>
    <t>NOMBRE RETIRA: FABIOLA MARTINEZ . RUT RETIRA: 53336919-7</t>
  </si>
  <si>
    <t>Felipe Sandoval parra</t>
  </si>
  <si>
    <t>María Luisa 975, Apartamento</t>
  </si>
  <si>
    <t>#NTVA4986</t>
  </si>
  <si>
    <t>NOMBRE RETIRA: TERESA OGAS . RUT RETIRA: 11387166-0</t>
  </si>
  <si>
    <t>Genesis Vilches Villanueva</t>
  </si>
  <si>
    <t>Manuel Rodríguez 1245, Casa 85</t>
  </si>
  <si>
    <t>#NTVA5030</t>
  </si>
  <si>
    <t>NOMBRE RETIRA: RICHAR RODRIFUEZ . RUT RETIRA: 18881190-6</t>
  </si>
  <si>
    <t>Jaime Sandoval</t>
  </si>
  <si>
    <t>Avenida 3 poniente 245, Casa 9</t>
  </si>
  <si>
    <t>#NTVA4978</t>
  </si>
  <si>
    <t>NOMBRE RETIRA: FRANCO MARIN LAGOS RUT RETIRA: 21546972-7</t>
  </si>
  <si>
    <t>Franco Marin</t>
  </si>
  <si>
    <t>Bartolomé del Pozo 259, depto. 26</t>
  </si>
  <si>
    <t>#NTVA4952</t>
  </si>
  <si>
    <t>NOMBRE RETIRA: LENIS CALDERON . RUT RETIRA: 17971129-K</t>
  </si>
  <si>
    <t>Renato Vasquez</t>
  </si>
  <si>
    <t>Calle Pedro Herrera Balharry 1051, 203A</t>
  </si>
  <si>
    <t>#NTVA5034</t>
  </si>
  <si>
    <t>NOMBRE RETIRA: MATIAS PEREZ ... RUT RETIRA: 10165041-3</t>
  </si>
  <si>
    <t>Matias Perez Osses</t>
  </si>
  <si>
    <t>Cabo de hornos 690</t>
  </si>
  <si>
    <t>#NTVA5038</t>
  </si>
  <si>
    <t>NOMBRE RETIRA: YELEN ASTUDILLO . RUT RETIRA: 12577790-2</t>
  </si>
  <si>
    <t>Paulo Allende valenzuela</t>
  </si>
  <si>
    <t>Población Miraflores pasaje las Camelias Valle Hermoso La Ligua, Casa Celeste reja Negra</t>
  </si>
  <si>
    <t>#NTVA4964</t>
  </si>
  <si>
    <t>NOMBRE RETIRA: JOSE ARENAS . RUT RETIRA: 53303120-K</t>
  </si>
  <si>
    <t>Sebastian Vargas</t>
  </si>
  <si>
    <t>Padre hurtado 660, i-52</t>
  </si>
  <si>
    <t>#NTVA5029</t>
  </si>
  <si>
    <t>NOMBRE RETIRA: GLADYS MENDOZA M RUT RETIRA: 7754774-6</t>
  </si>
  <si>
    <t>genesis opazo valenzuela</t>
  </si>
  <si>
    <t>psje cerro tortola 248, casa 248</t>
  </si>
  <si>
    <t>#NTVA4967</t>
  </si>
  <si>
    <t>NOMBRE RETIRA: JHON CARO . RUT RETIRA: 18873936-9</t>
  </si>
  <si>
    <t>Carlos Moya Muñoz</t>
  </si>
  <si>
    <t>Jose joaquin Perez 598</t>
  </si>
  <si>
    <t>#NTVA4935</t>
  </si>
  <si>
    <t>NOMBRE RETIRA: LEIDY ANGULO . RUT RETIRA: 25246124-8</t>
  </si>
  <si>
    <t>#NTVA4941</t>
  </si>
  <si>
    <t>NOMBRE RETIRA: BASTIAN FREIRE S RUT RETIRA: 14215144-8</t>
  </si>
  <si>
    <t>Bastian Freire</t>
  </si>
  <si>
    <t>Sargento aldea 0484, casa</t>
  </si>
  <si>
    <t>#NTVA4943</t>
  </si>
  <si>
    <t>NOMBRE RETIRA: TOMAS FLORES R RUT RETIRA: 17259557-K</t>
  </si>
  <si>
    <t>Tomás Flores Gallardo</t>
  </si>
  <si>
    <t>Gabriela Mistral 01755</t>
  </si>
  <si>
    <t>#NTVA4898</t>
  </si>
  <si>
    <t>NOMBRE RETIRA: FERNANDO SILVA S RUT RETIRA: 17380494-6</t>
  </si>
  <si>
    <t>Elias abufon Abufon fort</t>
  </si>
  <si>
    <t>Rinconalda el salto 915, Torre las araucarias</t>
  </si>
  <si>
    <t>2025-06-30 12:53</t>
  </si>
  <si>
    <t>#NTVA4944</t>
  </si>
  <si>
    <t>NOMBRE RETIRA: ESTEBAN ASTETE . RUT RETIRA: 7213470-2</t>
  </si>
  <si>
    <t>esteban astete</t>
  </si>
  <si>
    <t>Villa santa Ana, pasaje san Sebastián #327, casa</t>
  </si>
  <si>
    <t>#NTVA4928</t>
  </si>
  <si>
    <t>NOMBRE RETIRA: FERNSNDO VIVEROS 0 RUT RETIRA: 8838289-7</t>
  </si>
  <si>
    <t>Maximiliano Jimenez Mankowski</t>
  </si>
  <si>
    <t>Avenida Laguna Grande 945, 29</t>
  </si>
  <si>
    <t>#NTVA4932</t>
  </si>
  <si>
    <t>NOMBRE RETIRA: FABIOLA ESPINOZA . RUT RETIRA: 13160291-K</t>
  </si>
  <si>
    <t>Fabiola espinoza 21505716k</t>
  </si>
  <si>
    <t>Casa, Vicente Huidobro 1367</t>
  </si>
  <si>
    <t>#NTVA4902</t>
  </si>
  <si>
    <t>NOMBRE RETIRA: CRISTOBAL RUZ H RUT RETIRA: 20871909-2</t>
  </si>
  <si>
    <t>Cristobal Ruz Salgado</t>
  </si>
  <si>
    <t>Cerro Chacaya 8619</t>
  </si>
  <si>
    <t>#NTVA4916</t>
  </si>
  <si>
    <t>NOMBRE RETIRA: VICTOR RAMIREZ . RUT RETIRA: 18387004-1</t>
  </si>
  <si>
    <t>Victor Ramirez Ibañez</t>
  </si>
  <si>
    <t>Los conquistadores 8685, Hualpen, Condominio puerto de palos</t>
  </si>
  <si>
    <t>#NTVA4926</t>
  </si>
  <si>
    <t>NOMBRE RETIRA: CLAUDIA AZOCAR . RUT RETIRA: 7989752-3</t>
  </si>
  <si>
    <t>Felipe Castillo Azocar</t>
  </si>
  <si>
    <t>Agua santa 1400, Torre 2, depto 303</t>
  </si>
  <si>
    <t>2025-07-02 12:29</t>
  </si>
  <si>
    <t>#NTVA4885</t>
  </si>
  <si>
    <t>NOMBRE RETIRA: SEBASTIAN ARAVENA GONZALEZ RUT RETIRA: 1111111-4</t>
  </si>
  <si>
    <t>Sebastián Aravena González</t>
  </si>
  <si>
    <t>Villa García Hurtado, Pedro de Avendaño 007, Es una Casa</t>
  </si>
  <si>
    <t>#NTVA4917</t>
  </si>
  <si>
    <t>NOMBRE RETIRA: CARMEN FIGUEROA . RUT RETIRA: 11240539-9</t>
  </si>
  <si>
    <t>José Merino Espinoza</t>
  </si>
  <si>
    <t>Los gorriones 182, casa</t>
  </si>
  <si>
    <t>#NTVA4906</t>
  </si>
  <si>
    <t>NOMBRE RETIRA: VICENTE TOLEDO . RUT RETIRA: 53324533-1</t>
  </si>
  <si>
    <t>Roberto Aedo Espinoza</t>
  </si>
  <si>
    <t>Cerro Paranal 3695, Casa 31</t>
  </si>
  <si>
    <t>#NTVA4918</t>
  </si>
  <si>
    <t>NOMBRE RETIRA: LUIS VALENZUELA .. RUT RETIRA: 53312051-2</t>
  </si>
  <si>
    <t>Joaquin Villegas Soto</t>
  </si>
  <si>
    <t>alvarez 132, dpto 48</t>
  </si>
  <si>
    <t>#NTVA4905</t>
  </si>
  <si>
    <t>NOMBRE RETIRA: RODRIGO PONCE . RUT RETIRA: 12345879-6</t>
  </si>
  <si>
    <t>Rodrigo Ponce Reyes</t>
  </si>
  <si>
    <t>Rosa Olave C 1203</t>
  </si>
  <si>
    <t>#NTVA4884</t>
  </si>
  <si>
    <t>NOMBRE RETIRA: NATALY NAVARRO . RUT RETIRA: 15882517-1</t>
  </si>
  <si>
    <t>Natalia Uribe figueroa</t>
  </si>
  <si>
    <t>Pasaje lago natri 2027, Casa</t>
  </si>
  <si>
    <t>#NTVA4896</t>
  </si>
  <si>
    <t>NOMBRE RETIRA: MARTIN CAMPOS CUEVAS RUT RETIRA: 21647783-9</t>
  </si>
  <si>
    <t>Martin Campos</t>
  </si>
  <si>
    <t>5 de Abril 37, 4081843 Concepción, Bío Bío, Chile</t>
  </si>
  <si>
    <t>#NTVA4881</t>
  </si>
  <si>
    <t>NOMBRE RETIRA: ALEJANDRA OLATE R RUT RETIRA: 13309286-2</t>
  </si>
  <si>
    <t>Jose Villela Figueroa Villela Figueroa</t>
  </si>
  <si>
    <t>Galvarino 4, Casa 4, Casa 4</t>
  </si>
  <si>
    <t>#NTVA4904</t>
  </si>
  <si>
    <t>NOMBRE RETIRA: MARINA SANCHEZ 0 RUT RETIRA: 14063827-7</t>
  </si>
  <si>
    <t>Ignacio Iturrieta urrea</t>
  </si>
  <si>
    <t>Serrano 141, 51</t>
  </si>
  <si>
    <t>#NTVA4903</t>
  </si>
  <si>
    <t>NOMBRE RETIRA: REBECA CASTANEDA .. RUT RETIRA: 11115120-2</t>
  </si>
  <si>
    <t>Matias Cordova Ortega</t>
  </si>
  <si>
    <t>Av Indepencia 1060 (IST) San antonio, Trabajo (IST San Antonio)</t>
  </si>
  <si>
    <t>#NTVA4883</t>
  </si>
  <si>
    <t>Matias Mondaca</t>
  </si>
  <si>
    <t>Parque Nacional Torres del Paine 1358 Sector Bosque san carlos, casa 1358, casa 1358</t>
  </si>
  <si>
    <t>#NTVA4878</t>
  </si>
  <si>
    <t>NOMBRE RETIRA: JOSE ZAMBRA . . RUT RETIRA: 5689005-K</t>
  </si>
  <si>
    <t>Facundo Saravia Maldonado</t>
  </si>
  <si>
    <t>Av. Juan Cisternas 2000, Dpto 14</t>
  </si>
  <si>
    <t>#NTVA5096</t>
  </si>
  <si>
    <t>712926352924</t>
  </si>
  <si>
    <t>Ursula Romanini</t>
  </si>
  <si>
    <t>Ugalde, 749</t>
  </si>
  <si>
    <t>#NTVA5107</t>
  </si>
  <si>
    <t>712926662081</t>
  </si>
  <si>
    <t>Juan pablo Atenas mora</t>
  </si>
  <si>
    <t>Tomaso albinoni 201, 201</t>
  </si>
  <si>
    <t>#NTVA5094</t>
  </si>
  <si>
    <t>712926352880</t>
  </si>
  <si>
    <t>Camilo Almendras</t>
  </si>
  <si>
    <t>Avda presidente ibañez 643</t>
  </si>
  <si>
    <t>#NTVA5105</t>
  </si>
  <si>
    <t>712926662136</t>
  </si>
  <si>
    <t>Matias Garrido</t>
  </si>
  <si>
    <t>Roberto Fuenzalida</t>
  </si>
  <si>
    <t>#NTVA5003</t>
  </si>
  <si>
    <t>712923284080</t>
  </si>
  <si>
    <t>Gabriel Serrano</t>
  </si>
  <si>
    <t>Rodrigo González marmolejos, Casa</t>
  </si>
  <si>
    <t>#NTVA5001</t>
  </si>
  <si>
    <t>712923284146</t>
  </si>
  <si>
    <t>Oscar Baeza</t>
  </si>
  <si>
    <t>Vila  Las Palmas, Pasaje Alejandro Montecino Santana 13</t>
  </si>
  <si>
    <t>#NTVA4998</t>
  </si>
  <si>
    <t>712923284194</t>
  </si>
  <si>
    <t>Los zorzales 8015, Casa</t>
  </si>
  <si>
    <t>#NTVA4992</t>
  </si>
  <si>
    <t>712923284135</t>
  </si>
  <si>
    <t>belen parra</t>
  </si>
  <si>
    <t>bulgaria 3249 hualpen, 14</t>
  </si>
  <si>
    <t>#NTVA4963</t>
  </si>
  <si>
    <t>712923284205</t>
  </si>
  <si>
    <t>Santiago Erickssen 163</t>
  </si>
  <si>
    <t>#NTVA4499-2</t>
  </si>
  <si>
    <t>712921235095</t>
  </si>
  <si>
    <t>Alan Silva</t>
  </si>
  <si>
    <t>2025-07-01 16:35</t>
  </si>
  <si>
    <t>#NTVA4889</t>
  </si>
  <si>
    <t>712920759014</t>
  </si>
  <si>
    <t>Fabian Cardenas ruiz</t>
  </si>
  <si>
    <t>Juan todesco #011, Casa</t>
  </si>
  <si>
    <t>#NTVA4897</t>
  </si>
  <si>
    <t>712920759036</t>
  </si>
  <si>
    <t>Karla Garces Arriagada</t>
  </si>
  <si>
    <t>Luis Eustorgio Bravo Bravo 1883</t>
  </si>
  <si>
    <t>#NTVA5170</t>
  </si>
  <si>
    <t>9349144442</t>
  </si>
  <si>
    <t>Pablo Orellana</t>
  </si>
  <si>
    <t>Presbitero Moraga 860, Presbitero Moraga 860</t>
  </si>
  <si>
    <t>#NTVA5066</t>
  </si>
  <si>
    <t>9354630854</t>
  </si>
  <si>
    <t>Armando Neira</t>
  </si>
  <si>
    <t>Las Bandurrias 1575</t>
  </si>
  <si>
    <t>2025-07-14 00:01</t>
  </si>
  <si>
    <t>#NTVA4999</t>
  </si>
  <si>
    <t>9352381592</t>
  </si>
  <si>
    <t>magdalena beaz</t>
  </si>
  <si>
    <t>Carlos seeman 3330, villa aires del maipo, casa</t>
  </si>
  <si>
    <t>2025-07-07 23:14</t>
  </si>
  <si>
    <t>#NTVA4947</t>
  </si>
  <si>
    <t>9352369504</t>
  </si>
  <si>
    <t>Izaga 1210 A, isla de maipo, santiago, Casa 1210 A</t>
  </si>
  <si>
    <t>#NTVA4953</t>
  </si>
  <si>
    <t>9352369821</t>
  </si>
  <si>
    <t>2025-07-07 22:35</t>
  </si>
  <si>
    <t>#NTVA4980</t>
  </si>
  <si>
    <t>9352102911</t>
  </si>
  <si>
    <t>Daniel Lecaros Villarroel</t>
  </si>
  <si>
    <t>Libertad 1101, Casa de esquina</t>
  </si>
  <si>
    <t>#NTVA5017</t>
  </si>
  <si>
    <t>9352368045</t>
  </si>
  <si>
    <t>Diana Caceres</t>
  </si>
  <si>
    <t>Avenida Santa María 625, Negocio comercial</t>
  </si>
  <si>
    <t>#NTVA4983</t>
  </si>
  <si>
    <t>9351984530</t>
  </si>
  <si>
    <t>antonia garcia gredilla</t>
  </si>
  <si>
    <t>camino el arpa 315, condominio sta laura del alto, parcela 101</t>
  </si>
  <si>
    <t>#NTVA4907</t>
  </si>
  <si>
    <t>9341867975</t>
  </si>
  <si>
    <t>jeicol olvera</t>
  </si>
  <si>
    <t>Camilo berriso Quintanilla altosacramento 89, buin, Altosacramento 89</t>
  </si>
  <si>
    <t>11002</t>
  </si>
  <si>
    <t>18766614</t>
  </si>
  <si>
    <t>RCT CHILE</t>
  </si>
  <si>
    <t>Carla Hauway</t>
  </si>
  <si>
    <t>Diego Portales 7080 manzana 2 casa 1 Condominio Alto Las Perdices</t>
  </si>
  <si>
    <t>2025-07-30 16:55</t>
  </si>
  <si>
    <t>11001</t>
  </si>
  <si>
    <t>18766613</t>
  </si>
  <si>
    <t>Jazmin Baron</t>
  </si>
  <si>
    <t>Paula Jaraquemada 8078 dpto 13</t>
  </si>
  <si>
    <t>2025-07-30 13:20</t>
  </si>
  <si>
    <t>10914</t>
  </si>
  <si>
    <t>Jaime⁸ Silva Pontigo</t>
  </si>
  <si>
    <t>Uno Norte 023 Local 15 Galería el Faro</t>
  </si>
  <si>
    <t>2025-07-21 12:55</t>
  </si>
  <si>
    <t>10967</t>
  </si>
  <si>
    <t>9348732094</t>
  </si>
  <si>
    <t>David del carmen Bustamante Farias</t>
  </si>
  <si>
    <t>Hijuela n5 las melosas lote 4b rauco</t>
  </si>
  <si>
    <t>Rauco</t>
  </si>
  <si>
    <t>2025-07-22 16:17</t>
  </si>
  <si>
    <t>10972</t>
  </si>
  <si>
    <t>9348977573</t>
  </si>
  <si>
    <t>Matias Maya Cisterna</t>
  </si>
  <si>
    <t>calle yerbas buenas n°27 edificio vista andes</t>
  </si>
  <si>
    <t>2025-07-23 11:24</t>
  </si>
  <si>
    <t>10906</t>
  </si>
  <si>
    <t>9353091812</t>
  </si>
  <si>
    <t>Josefa Latrille Gonzalez</t>
  </si>
  <si>
    <t>Jacaranda 454</t>
  </si>
  <si>
    <t>2025-07-20 11:07</t>
  </si>
  <si>
    <t>10977</t>
  </si>
  <si>
    <t>9349321402</t>
  </si>
  <si>
    <t>Jorge Aburto</t>
  </si>
  <si>
    <t>Coyasur 529</t>
  </si>
  <si>
    <t>2025-07-23 22:57</t>
  </si>
  <si>
    <t>RCT10910</t>
  </si>
  <si>
    <t>9352505035</t>
  </si>
  <si>
    <t>Darwin Llopis</t>
  </si>
  <si>
    <t>Marco gallardo ligueño 150 casa 23</t>
  </si>
  <si>
    <t>2025-07-21 14:00</t>
  </si>
  <si>
    <t>10943</t>
  </si>
  <si>
    <t>9349339845</t>
  </si>
  <si>
    <t>Arturo Delpino Agulló</t>
  </si>
  <si>
    <t>Av. Playa Brava 2975 Dp 43b</t>
  </si>
  <si>
    <t>10898</t>
  </si>
  <si>
    <t>9352612301</t>
  </si>
  <si>
    <t>Rodrigo Mosquea</t>
  </si>
  <si>
    <t>Parroco francisco beltran 641</t>
  </si>
  <si>
    <t>10897</t>
  </si>
  <si>
    <t>9348949886</t>
  </si>
  <si>
    <t>Luis Klein Martinez</t>
  </si>
  <si>
    <t>Plegaria 1321 Villa Bernardo cruz, San Felipe, V región.</t>
  </si>
  <si>
    <t>2025-07-17 18:01</t>
  </si>
  <si>
    <t>10909</t>
  </si>
  <si>
    <t>9353337674</t>
  </si>
  <si>
    <t>Sebastian Ignacio Garcia Riveros</t>
  </si>
  <si>
    <t>Las Salinas sitio 52 Hacienda San Pedro Copiapo</t>
  </si>
  <si>
    <t>10908</t>
  </si>
  <si>
    <t>9353255225</t>
  </si>
  <si>
    <t>Alejandra Hilamante lefno</t>
  </si>
  <si>
    <t>Los mañios 70</t>
  </si>
  <si>
    <t>2025-07-20 13:45</t>
  </si>
  <si>
    <t>10912</t>
  </si>
  <si>
    <t>9352755086</t>
  </si>
  <si>
    <t>Inmobiliaria Herkas Ltda.</t>
  </si>
  <si>
    <t>Serrano 11</t>
  </si>
  <si>
    <t>2025-07-21 12:05</t>
  </si>
  <si>
    <t>10941</t>
  </si>
  <si>
    <t>9348798933</t>
  </si>
  <si>
    <t>Pablo Guerra Silva</t>
  </si>
  <si>
    <t>Villa Rucatremo Avignon</t>
  </si>
  <si>
    <t>2025-07-21 19:58</t>
  </si>
  <si>
    <t>10886</t>
  </si>
  <si>
    <t>9351409185</t>
  </si>
  <si>
    <t>INVERSIONES CORVALAN LIMITADA CORVALAN</t>
  </si>
  <si>
    <t>HURTADO DE MENDOZA NRO. 1025, LLOLLEO</t>
  </si>
  <si>
    <t>2025-07-14 20:24</t>
  </si>
  <si>
    <t>10881</t>
  </si>
  <si>
    <t>9350566831</t>
  </si>
  <si>
    <t>Mario Ulloa Herrera</t>
  </si>
  <si>
    <t>Azaleas 387</t>
  </si>
  <si>
    <t>2025-07-12 22:20</t>
  </si>
  <si>
    <t>10885</t>
  </si>
  <si>
    <t>9350744690</t>
  </si>
  <si>
    <t>Pamela Cabello silva</t>
  </si>
  <si>
    <t>trinidad 06</t>
  </si>
  <si>
    <t>2025-07-13 21:33</t>
  </si>
  <si>
    <t>10896</t>
  </si>
  <si>
    <t>9354901684</t>
  </si>
  <si>
    <t>Luna Cornejo Oñate</t>
  </si>
  <si>
    <t>Valentín Letelier 415</t>
  </si>
  <si>
    <t>2025-07-17 00:35</t>
  </si>
  <si>
    <t>10887</t>
  </si>
  <si>
    <t>9351409734</t>
  </si>
  <si>
    <t>CAROLINA DOMINGUEZ</t>
  </si>
  <si>
    <t>BALMACEDA 825 DPTO 112 REÑACA BAJO, CONDOMINIO LO CURRO</t>
  </si>
  <si>
    <t>10884</t>
  </si>
  <si>
    <t>9350865930</t>
  </si>
  <si>
    <t>Leonardo Larenas inostroza</t>
  </si>
  <si>
    <t>Carretera del cobre km 4 N° 502</t>
  </si>
  <si>
    <t>2025-07-13 14:35</t>
  </si>
  <si>
    <t>10888</t>
  </si>
  <si>
    <t>9351256342</t>
  </si>
  <si>
    <t>Nicole Casanova aguilar</t>
  </si>
  <si>
    <t>Las cimas 600, alto el manzano</t>
  </si>
  <si>
    <t>2025-07-15 12:18</t>
  </si>
  <si>
    <t>10893</t>
  </si>
  <si>
    <t>9354526753</t>
  </si>
  <si>
    <t>Constanza Acuña Godoy</t>
  </si>
  <si>
    <t>El jurel 181</t>
  </si>
  <si>
    <t>2025-07-16 12:03</t>
  </si>
  <si>
    <t>RCT080725</t>
  </si>
  <si>
    <t>9352316632</t>
  </si>
  <si>
    <t>Dania Pérez Olea</t>
  </si>
  <si>
    <t>Avenida San Joaquin 0230 condominio Alto Rancagua</t>
  </si>
  <si>
    <t>2025-07-08 15:02</t>
  </si>
  <si>
    <t>10818</t>
  </si>
  <si>
    <t>9354142070</t>
  </si>
  <si>
    <t>Kevin Miranda paicil</t>
  </si>
  <si>
    <t>Jase puchi 1097 local b</t>
  </si>
  <si>
    <t>10723</t>
  </si>
  <si>
    <t>9352314790</t>
  </si>
  <si>
    <t>Mario Vasquez</t>
  </si>
  <si>
    <t>LAS PETUNIAS 1985</t>
  </si>
  <si>
    <t>2025-07-07 11:51</t>
  </si>
  <si>
    <t>10719</t>
  </si>
  <si>
    <t>9351915300</t>
  </si>
  <si>
    <t>2025-07-06 22:19</t>
  </si>
  <si>
    <t>10725</t>
  </si>
  <si>
    <t>9352138180</t>
  </si>
  <si>
    <t>Nelidad Zegarra</t>
  </si>
  <si>
    <t>La nueva conquista Nehuen 810</t>
  </si>
  <si>
    <t>2025-07-07 22:32</t>
  </si>
  <si>
    <t>10718</t>
  </si>
  <si>
    <t>9352395021</t>
  </si>
  <si>
    <t>ARMIN HAVERBECK GUNTHER</t>
  </si>
  <si>
    <t>AV RAMON PICARTE 2131</t>
  </si>
  <si>
    <t>2025-07-06 17:37</t>
  </si>
  <si>
    <t>10668</t>
  </si>
  <si>
    <t>9345173390</t>
  </si>
  <si>
    <t>gonzalo contreras</t>
  </si>
  <si>
    <t>ruta w165 sin numero, parcela 23, Caipulli, Ancud</t>
  </si>
  <si>
    <t>2025-06-27 10:39</t>
  </si>
  <si>
    <t>10669</t>
  </si>
  <si>
    <t>9345200970</t>
  </si>
  <si>
    <t>Yohany Monsalve Ortiz</t>
  </si>
  <si>
    <t>Av.paul Harris 234</t>
  </si>
  <si>
    <t>2025-06-27 11:49</t>
  </si>
  <si>
    <t>10681</t>
  </si>
  <si>
    <t>9350399004</t>
  </si>
  <si>
    <t>Javier Cortes Inostroza</t>
  </si>
  <si>
    <t>Luis arraño 456</t>
  </si>
  <si>
    <t>10711</t>
  </si>
  <si>
    <t>9350249145</t>
  </si>
  <si>
    <t>DANIEL VIVANCO TORREJON</t>
  </si>
  <si>
    <t>CALLE NADIA CONCHA SALINAS 3631</t>
  </si>
  <si>
    <t>2025-07-03 16:58</t>
  </si>
  <si>
    <t>10530</t>
  </si>
  <si>
    <t>9346933934</t>
  </si>
  <si>
    <t>Raul Cortes Murga</t>
  </si>
  <si>
    <t>Pasaje 2 #2087 villa Esperanza</t>
  </si>
  <si>
    <t>2025-06-23 16:37</t>
  </si>
  <si>
    <t>10293</t>
  </si>
  <si>
    <t>9347225613</t>
  </si>
  <si>
    <t>Adam Bustos Gonzalez</t>
  </si>
  <si>
    <t>los geranios 276, Santa Julia</t>
  </si>
  <si>
    <t>2025-06-18 08:50</t>
  </si>
  <si>
    <t>RCT10295</t>
  </si>
  <si>
    <t>9347521503</t>
  </si>
  <si>
    <t>NESTOR RAMIREZ GAETE</t>
  </si>
  <si>
    <t>Parcela 41b Dan Joaquin de Los Mayos</t>
  </si>
  <si>
    <t>2025-06-26 12:48</t>
  </si>
  <si>
    <t>REL73755</t>
  </si>
  <si>
    <t>18745631</t>
  </si>
  <si>
    <t>RELAJARTE</t>
  </si>
  <si>
    <t>Allison Soto Rodriguez</t>
  </si>
  <si>
    <t>Av. Alcalde Fernando Castillo Velasco 8146</t>
  </si>
  <si>
    <t>General carol urzua 6945, 715</t>
  </si>
  <si>
    <t>REL73754</t>
  </si>
  <si>
    <t>18745630</t>
  </si>
  <si>
    <t>Natalia Esponoza</t>
  </si>
  <si>
    <t>Monte carmelo 30, Dpto D11</t>
  </si>
  <si>
    <t>REL73870</t>
  </si>
  <si>
    <t>NOMBRE RETIRA: PRISILA ALVARADO . RUT RETIRA: 12345678-5</t>
  </si>
  <si>
    <t>Priscila Alvarado matamala</t>
  </si>
  <si>
    <t>Lord Cochrane con Pje Lord Cochrane 117, Dpto</t>
  </si>
  <si>
    <t>2025-07-30 11:29</t>
  </si>
  <si>
    <t>REL73859</t>
  </si>
  <si>
    <t>NOMBRE RETIRA: VARINIA LAZO . RUT RETIRA: 19268834-5</t>
  </si>
  <si>
    <t>Varinnia Lazo</t>
  </si>
  <si>
    <t>Chavín 1676</t>
  </si>
  <si>
    <t>REL73872</t>
  </si>
  <si>
    <t>NOMBRE RETIRA: DANIEL BURGOS . RUT RETIRA: 53336919-7</t>
  </si>
  <si>
    <t>Danitza Aburto barra</t>
  </si>
  <si>
    <t>Arturo perez canto 02055, Departamento 21 torre almeria</t>
  </si>
  <si>
    <t>2025-07-30 11:41</t>
  </si>
  <si>
    <t>REL73854</t>
  </si>
  <si>
    <t>NOMBRE RETIRA: PATRICIA PALAVECINO . RUT RETIRA: 8909226-4</t>
  </si>
  <si>
    <t>Antonia Soriano Palavecinos</t>
  </si>
  <si>
    <t>Sangers 965</t>
  </si>
  <si>
    <t>REL73863</t>
  </si>
  <si>
    <t>NOMBRE RETIRA: CONSTANZA SCHILD . RUT RETIRA: 16563474-8</t>
  </si>
  <si>
    <t>Constanza Schild</t>
  </si>
  <si>
    <t>Los Fresnos 302, 302</t>
  </si>
  <si>
    <t>REL73864</t>
  </si>
  <si>
    <t>NOMBRE RETIRA: ALBERTO CHAMORRO . RUT RETIRA: 16600930-8</t>
  </si>
  <si>
    <t>Ignacia Salas</t>
  </si>
  <si>
    <t>Camino El Venado 615, 503</t>
  </si>
  <si>
    <t>REL73857</t>
  </si>
  <si>
    <t>NOMBRE RETIRA: CAROLINA JEREZ .. .. RUT RETIRA: 9415392-1</t>
  </si>
  <si>
    <t>Carolina Jerez Caceres</t>
  </si>
  <si>
    <t>Republica 1358, Casa azul muro azul</t>
  </si>
  <si>
    <t>REL73867</t>
  </si>
  <si>
    <t>NOMBRE RETIRA: MARCELA ROJAS . RUT RETIRA: 9937851-4</t>
  </si>
  <si>
    <t>Sebastian López Rojas</t>
  </si>
  <si>
    <t>Calle Nueva Dos 3374, Casa</t>
  </si>
  <si>
    <t>REL73860</t>
  </si>
  <si>
    <t>NOMBRE RETIRA: CARLA SANXHEZ B RUT RETIRA: 10721237-K</t>
  </si>
  <si>
    <t>Barbara Garrido</t>
  </si>
  <si>
    <t>Los Copihues 1486, Sector Las quilas, Lugar de trabajo 8:00 - 17:00</t>
  </si>
  <si>
    <t>REL73828</t>
  </si>
  <si>
    <t>NOMBRE RETIRA: CARMEN AGUILA . RUT RETIRA: 12539174-5</t>
  </si>
  <si>
    <t>Carmen Gloria Aguila vergara</t>
  </si>
  <si>
    <t>Casa, Avda. Dos Esteros Casa 21</t>
  </si>
  <si>
    <t>REL73825</t>
  </si>
  <si>
    <t>NOMBRE RETIRA: ALEX FUENTES .. RUT RETIRA: 11801125-2</t>
  </si>
  <si>
    <t>Fernanda Trigo Sepulveda</t>
  </si>
  <si>
    <t>Vicuña Mackenna 936, Departamento 73</t>
  </si>
  <si>
    <t>REL73847</t>
  </si>
  <si>
    <t>NOMBRE RETIRA: LUIS AGUIRRE . RUT RETIRA: 19568149-K</t>
  </si>
  <si>
    <t>Luis Aguirre Bahamonde</t>
  </si>
  <si>
    <t>Callejón El Álamo 600 , Labranza</t>
  </si>
  <si>
    <t>2025-07-29 10:26</t>
  </si>
  <si>
    <t>REL73832</t>
  </si>
  <si>
    <t>NOMBRE RETIRA: ANDRES MONCADA . RUT RETIRA: 7951750-K</t>
  </si>
  <si>
    <t>Constanza Frene</t>
  </si>
  <si>
    <t>Antuco 420, Casa 4</t>
  </si>
  <si>
    <t>2025-07-28 23:33</t>
  </si>
  <si>
    <t>REL73851</t>
  </si>
  <si>
    <t>NOMBRE RETIRA: ENIO BELMONTE . RUT RETIRA: 10683294-3</t>
  </si>
  <si>
    <t>Enio Belmonte</t>
  </si>
  <si>
    <t>Medio Poniente 1080 Entre 11 Y 12 Norte, Casa</t>
  </si>
  <si>
    <t>REL73771</t>
  </si>
  <si>
    <t>NOMBRE RETIRA: ANITA INOSTROZA . RUT RETIRA: 12345678-5</t>
  </si>
  <si>
    <t>Anita Inostroza Arriagada</t>
  </si>
  <si>
    <t>Miguel Ansorena 485</t>
  </si>
  <si>
    <t>2025-07-25 12:53</t>
  </si>
  <si>
    <t>REL73804</t>
  </si>
  <si>
    <t>NOMBRE RETIRA: FELIPE GONZALEZ . RUT RETIRA: 12345678-5</t>
  </si>
  <si>
    <t>Av. Bernardo O'Higgins 483, Municipalidad Pucón</t>
  </si>
  <si>
    <t>REL73780</t>
  </si>
  <si>
    <t>NOMBRE RETIRA: KARINA VALENZUELA . RUT RETIRA: 15144842-9</t>
  </si>
  <si>
    <t>Karina Valenzuela Garrido</t>
  </si>
  <si>
    <t>Antonio varas 450 segundo piso, Delegación presidencial provincial cauquenes</t>
  </si>
  <si>
    <t>2025-07-26 11:41</t>
  </si>
  <si>
    <t>REL73802</t>
  </si>
  <si>
    <t>NOMBRE RETIRA: RENATA RODRIGUEZ . RUT RETIRA: 21515589-7</t>
  </si>
  <si>
    <t>Renata Rodriguez Hurtado</t>
  </si>
  <si>
    <t>Pje. Playa Chauca 3681, Casa</t>
  </si>
  <si>
    <t>REL73744</t>
  </si>
  <si>
    <t>NOMBRE RETIRA: NATALI CARRASCO . RUT RETIRA: 15582934-6</t>
  </si>
  <si>
    <t>Natali Ancavil Carrasco</t>
  </si>
  <si>
    <t>Romulo correa 01607, Casa</t>
  </si>
  <si>
    <t>REL73822</t>
  </si>
  <si>
    <t>NOMBRE RETIRA: ENRIQUE DURAN . RUT RETIRA: 12533484-9</t>
  </si>
  <si>
    <t>Catalina Quezada</t>
  </si>
  <si>
    <t>Alberto Cordova 49, Casa</t>
  </si>
  <si>
    <t>REL73818</t>
  </si>
  <si>
    <t>NOMBRE RETIRA: DENISSE CONTRERAS . RUT RETIRA: 12345879-6</t>
  </si>
  <si>
    <t>Denisse Contreras</t>
  </si>
  <si>
    <t>Pasaje El Greco 497, Villa Galilea</t>
  </si>
  <si>
    <t>REL73821</t>
  </si>
  <si>
    <t>NOMBRE RETIRA: DOMINGO CUEVAS . RUT RETIRA: 8730954-1</t>
  </si>
  <si>
    <t>Anita Maldonado miranda</t>
  </si>
  <si>
    <t>Hogar de Cristo 1540, Casa Referencia volcán apagado</t>
  </si>
  <si>
    <t>REL73786</t>
  </si>
  <si>
    <t>NOMBRE RETIRA: BENJAMIN PINCHEIRA . RUT RETIRA: 53336919-7</t>
  </si>
  <si>
    <t>Felipe Neira diaz</t>
  </si>
  <si>
    <t>Sangers 1191, Depto 604</t>
  </si>
  <si>
    <t>REL73785</t>
  </si>
  <si>
    <t>NOMBRE RETIRA: ALICIA ARAYA ... RUT RETIRA: 19146817-1</t>
  </si>
  <si>
    <t>Alicia Araya</t>
  </si>
  <si>
    <t>San Juan 870, Villa San Jorge</t>
  </si>
  <si>
    <t>REL73799</t>
  </si>
  <si>
    <t>NOMBRE RETIRA: ARACELI GARCES F RUT RETIRA: 10699540-0</t>
  </si>
  <si>
    <t>Araceli Garcés Farías</t>
  </si>
  <si>
    <t>General Lagos 0131, Casa</t>
  </si>
  <si>
    <t>REL73789</t>
  </si>
  <si>
    <t>NOMBRE RETIRA: LORETO SILVA S RUT RETIRA: 6856678-9</t>
  </si>
  <si>
    <t>Loreto Silva</t>
  </si>
  <si>
    <t>Dos 1/2 Norte 3596</t>
  </si>
  <si>
    <t>REL73781</t>
  </si>
  <si>
    <t>NOMBRE RETIRA: SERGIO CAMBELL A RUT RETIRA: 6553315-4</t>
  </si>
  <si>
    <t>Sergio Campbell</t>
  </si>
  <si>
    <t>Las elenas, 1561</t>
  </si>
  <si>
    <t>REL73803</t>
  </si>
  <si>
    <t>Sigrid Mariana Osorio Inostroza</t>
  </si>
  <si>
    <t>Manuel Montt 307</t>
  </si>
  <si>
    <t>REL73820</t>
  </si>
  <si>
    <t>NOMBRE RETIRA: MARIA HARISMENDY . RUT RETIRA: 13386271-4</t>
  </si>
  <si>
    <t>María Harismendy Rioseco</t>
  </si>
  <si>
    <t>Lucila Godoy 26A, Parque Doña Isidora</t>
  </si>
  <si>
    <t>REL73795</t>
  </si>
  <si>
    <t>NOMBRE RETIRA: VALERIE CARRASCO P RUT RETIRA: 10538253-7</t>
  </si>
  <si>
    <t>Valerie Carrasco</t>
  </si>
  <si>
    <t>C. El Meli 1301, Casa</t>
  </si>
  <si>
    <t>REL73783</t>
  </si>
  <si>
    <t>NOMBRE RETIRA: CLAUDIA RETES A RUT RETIRA: 7543075-2</t>
  </si>
  <si>
    <t>Patricio Lynch 610, Casa</t>
  </si>
  <si>
    <t>REL73790</t>
  </si>
  <si>
    <t>NOMBRE RETIRA: RUTH CASTILL9 . RUT RETIRA: 18805117-0</t>
  </si>
  <si>
    <t>Ruth Castillo Contreras</t>
  </si>
  <si>
    <t>Montahue 2514, Casa</t>
  </si>
  <si>
    <t>REL73809</t>
  </si>
  <si>
    <t>NOMBRE RETIRA: MELISSA RODRIGUEZ . RUT RETIRA: 17983896-6</t>
  </si>
  <si>
    <t>Melissa Rodriguez</t>
  </si>
  <si>
    <t>Cavancha 3, Block 3. Depto. 503, Playa Ancha</t>
  </si>
  <si>
    <t>REL73797</t>
  </si>
  <si>
    <t>NOMBRE RETIRA: DANIELA GARRIDO V RUT RETIRA: 19947420-0</t>
  </si>
  <si>
    <t>Exequiel Larenas 419</t>
  </si>
  <si>
    <t>REL73737</t>
  </si>
  <si>
    <t>NOMBRE RETIRA: CAROLINA VERA . RUT RETIRA: 16516228-5</t>
  </si>
  <si>
    <t>Carolina Vega</t>
  </si>
  <si>
    <t>Comunidad San Valentín, Parcela 12, Ruta 146 Camino a Bulnes.</t>
  </si>
  <si>
    <t>2025-07-24 00:11</t>
  </si>
  <si>
    <t>REL73764</t>
  </si>
  <si>
    <t>NOMBRE RETIRA: FRANK RUIZ . RUT RETIRA: 21270363-K</t>
  </si>
  <si>
    <t>Frank Ruiz Bonilla</t>
  </si>
  <si>
    <t>Armando Cortínez 2379, Casa con una señal de ambulancia</t>
  </si>
  <si>
    <t>2025-07-25 09:58</t>
  </si>
  <si>
    <t>REL73729</t>
  </si>
  <si>
    <t>NOMBRE RETIRA: ANA GUSTO . RUT RETIRA: 12345678-5</t>
  </si>
  <si>
    <t>Jessica Peña</t>
  </si>
  <si>
    <t>Maipú 974, Depto. 42</t>
  </si>
  <si>
    <t>REL73734</t>
  </si>
  <si>
    <t>NOMBRE RETIRA: SYLVIA BONZE . RUT RETIRA: 8311025-2</t>
  </si>
  <si>
    <t>Sylvia BENZA</t>
  </si>
  <si>
    <t>Av. Las Terrazas 1430, Casa</t>
  </si>
  <si>
    <t>REL73752</t>
  </si>
  <si>
    <t>María Paz Salas</t>
  </si>
  <si>
    <t>Francisco Soza cousiño 60, 114</t>
  </si>
  <si>
    <t>2025-07-24 12:13</t>
  </si>
  <si>
    <t>REL73759</t>
  </si>
  <si>
    <t>NOMBRE RETIRA: VICTOR UGARDE .. RUT RETIRA: 11115120-2</t>
  </si>
  <si>
    <t>Victoria Ugarte roldan</t>
  </si>
  <si>
    <t>Golfo Ancud 1190, Depto 508</t>
  </si>
  <si>
    <t>REL73733</t>
  </si>
  <si>
    <t>NOMBRE RETIRA: JUAN BRAVO X RUT RETIRA: 6444674-6</t>
  </si>
  <si>
    <t>Luisa Bravo</t>
  </si>
  <si>
    <t>Los Cormoranes 735</t>
  </si>
  <si>
    <t>REL73765</t>
  </si>
  <si>
    <t>NOMBRE RETIRA: JOHANA DONOSO ... RUT RETIRA: 13719777-4</t>
  </si>
  <si>
    <t>Johanna Donoso</t>
  </si>
  <si>
    <t>Topocalma 38 Portones de Machali, Casa 38</t>
  </si>
  <si>
    <t>REL73756</t>
  </si>
  <si>
    <t>Nisla Spuler</t>
  </si>
  <si>
    <t>Avenida Gabriela Mistral 03325, 27</t>
  </si>
  <si>
    <t>REL73748</t>
  </si>
  <si>
    <t>NOMBRE RETIRA: PEDRO GUAJARDO ... RUT RETIRA: 65215091-8</t>
  </si>
  <si>
    <t>Paola Castro vasquez</t>
  </si>
  <si>
    <t>19 de Junio 1571, 1805</t>
  </si>
  <si>
    <t>REL73742</t>
  </si>
  <si>
    <t>NOMBRE RETIRA: ASTRID GOMEZ C RUT RETIRA: 18832876-8</t>
  </si>
  <si>
    <t>Astrid Gomez caballero</t>
  </si>
  <si>
    <t>La Herrería 777, Casa</t>
  </si>
  <si>
    <t>REL73528</t>
  </si>
  <si>
    <t>NOMBRE RETIRA: CONSTANZA DURAN . RUT RETIRA: 19132720-9</t>
  </si>
  <si>
    <t>Constanza Durán</t>
  </si>
  <si>
    <t>Libertad 521</t>
  </si>
  <si>
    <t>REL73725</t>
  </si>
  <si>
    <t>NOMBRE RETIRA: JAVIERA MARTINEZ B RUT RETIRA: 18832876-8</t>
  </si>
  <si>
    <t>Javiera Martinez Basoalto</t>
  </si>
  <si>
    <t>Luis rocuant trucios 1872, 1872</t>
  </si>
  <si>
    <t>REL73709</t>
  </si>
  <si>
    <t>NOMBRE RETIRA: VANESSA PIC . RUT RETIRA: 28413133-9</t>
  </si>
  <si>
    <t>Ignacio Muñoz</t>
  </si>
  <si>
    <t>Calle Bio-Bio #55, Villa Santa Paula, Chiguayante, Casa</t>
  </si>
  <si>
    <t>2025-07-22 12:21</t>
  </si>
  <si>
    <t>REL73565</t>
  </si>
  <si>
    <t>Ximena Mancilla Leiva</t>
  </si>
  <si>
    <t>SUCURSAL STARKEN, Av. Pablo Neruda 2491, Temuco., Para ser retirado por mí persona en dicha oficina.</t>
  </si>
  <si>
    <t>REL73727</t>
  </si>
  <si>
    <t>NOMBRE RETIRA: IGNACIA FUENTES S RUT RETIRA: 18217092-5</t>
  </si>
  <si>
    <t>Ignacia Fuentes Herlitz</t>
  </si>
  <si>
    <t>Santoña 1922 Villa Barcelona, Casa</t>
  </si>
  <si>
    <t>REL73695</t>
  </si>
  <si>
    <t>NOMBRE RETIRA: ANELIS CABEZAS . RUT RETIRA: 6628609-6</t>
  </si>
  <si>
    <t>Anelis Cabezas Armijo</t>
  </si>
  <si>
    <t>Osvaldo Gomez Ansieta 01433, Casa  Coviefi</t>
  </si>
  <si>
    <t>2025-07-21 23:44</t>
  </si>
  <si>
    <t>REL73703</t>
  </si>
  <si>
    <t>NOMBRE RETIRA: DANIELA CASTILLO . RUT RETIRA: 19435614-5</t>
  </si>
  <si>
    <t>Katherine Letelier</t>
  </si>
  <si>
    <t>Imperial 310, Restaurant rolling and wok</t>
  </si>
  <si>
    <t>REL73713</t>
  </si>
  <si>
    <t>NOMBRE RETIRA: ISAN ANACONA CONTRERAS RUT RETIRA: 20006455-0</t>
  </si>
  <si>
    <t>Magdalena Letelier</t>
  </si>
  <si>
    <t>Dario Salas 1011, 1304</t>
  </si>
  <si>
    <t>REL73642</t>
  </si>
  <si>
    <t>NOMBRE RETIRA: EVELYN TRUJILLO ARAYA RUT RETIRA: 18141180-5</t>
  </si>
  <si>
    <t>evelyn araya trujillo araya</t>
  </si>
  <si>
    <t>Casa, Las Rosas 928</t>
  </si>
  <si>
    <t>2025-07-18 12:44</t>
  </si>
  <si>
    <t>REL73672</t>
  </si>
  <si>
    <t>NOMBRE RETIRA: FRANCISCA QUICHIYAO . RUT RETIRA: 13405176-0</t>
  </si>
  <si>
    <t>Francisca Quichiyao</t>
  </si>
  <si>
    <t>Las Dalias 281</t>
  </si>
  <si>
    <t>2025-07-20 23:24</t>
  </si>
  <si>
    <t>REL73689</t>
  </si>
  <si>
    <t>NOMBRE RETIRA: DIEGO LEIVA .. RUT RETIRA: 65140712-5</t>
  </si>
  <si>
    <t>Ahinoam San Martin Herrera</t>
  </si>
  <si>
    <t>Alcalde Rodolfo Galleguillos 1701, F301</t>
  </si>
  <si>
    <t>REL73659</t>
  </si>
  <si>
    <t>NOMBRE RETIRA: MIRIAM CORVALAN . RUT RETIRA: 8800163-K</t>
  </si>
  <si>
    <t>Camila Aguilar Corvalán</t>
  </si>
  <si>
    <t>Bombero Garrido, Presbítero José Luis López 1157, Casa</t>
  </si>
  <si>
    <t>REL73676</t>
  </si>
  <si>
    <t>NOMBRE RETIRA: JAVIERA PINICHET . RUT RETIRA: 15384078-4</t>
  </si>
  <si>
    <t>Javiera Pinochet</t>
  </si>
  <si>
    <t>Quinel Oriente 2519</t>
  </si>
  <si>
    <t>REL73640</t>
  </si>
  <si>
    <t>NOMBRE RETIRA: YAN SAAVEDRA . RUT RETIRA: 17224162-K</t>
  </si>
  <si>
    <t>Josefa Jorquera</t>
  </si>
  <si>
    <t>Los lirios 95, condominio fuentes de vilumanque 2, depto G425, Departamento,  camino a Penco</t>
  </si>
  <si>
    <t>REL73666</t>
  </si>
  <si>
    <t>NOMBRE RETIRA: BRANDON ESTUARDO 0 RUT RETIRA: 20891886-9</t>
  </si>
  <si>
    <t>Camila Estupiñán Vidal</t>
  </si>
  <si>
    <t>24 y medio norte A 4096, 4096</t>
  </si>
  <si>
    <t>REL73697</t>
  </si>
  <si>
    <t>NOMBRE RETIRA: DANIELA GALLARDO .. RUT RETIRA: 16318281-5</t>
  </si>
  <si>
    <t>Av. Presidente Ibáñez 600, Piso 3, Municipalidad, Comunitaria</t>
  </si>
  <si>
    <t>REL73650</t>
  </si>
  <si>
    <t>NOMBRE RETIRA: SILVVA CARVAGAL J RUT RETIRA: 13223891-K</t>
  </si>
  <si>
    <t>Silvia carvajal</t>
  </si>
  <si>
    <t>Antonio Salieri 2292</t>
  </si>
  <si>
    <t>2025-07-19 11:57</t>
  </si>
  <si>
    <t>REL73654</t>
  </si>
  <si>
    <t>NOMBRE RETIRA: OSCAR MUNOZ .. RUT RETIRA: 65244014-2</t>
  </si>
  <si>
    <t>Nicol Valdebenito Ferrada</t>
  </si>
  <si>
    <t>Los copaos 1818 Block 3 placilla, 25</t>
  </si>
  <si>
    <t>REL73701</t>
  </si>
  <si>
    <t>NOMBRE RETIRA: MARIO VICUNA . RUT RETIRA: 7815010-6</t>
  </si>
  <si>
    <t>Jannet Álvarez Céspedes</t>
  </si>
  <si>
    <t>Alberto Arenas 2967</t>
  </si>
  <si>
    <t>REL73686</t>
  </si>
  <si>
    <t>NOMBRE RETIRA: JOSELIN ROJAS VONAEWJE RUT RETIRA: 15041613-2</t>
  </si>
  <si>
    <t>Isaac Vallejos</t>
  </si>
  <si>
    <t>Avda. Costanera Del Rio 213, Dpto 552, Torre 13</t>
  </si>
  <si>
    <t>REL73485</t>
  </si>
  <si>
    <t>NOMBRE RETIRA: VANESSA ANYES . RUT RETIRA: 16564890-0</t>
  </si>
  <si>
    <t>Juan Quisbert</t>
  </si>
  <si>
    <t>Sotomayor 1980</t>
  </si>
  <si>
    <t>REL73696</t>
  </si>
  <si>
    <t>NOMBRE RETIRA: JEANETTE ARRIAGADA X RUT RETIRA: 13398028-8</t>
  </si>
  <si>
    <t>Jannette Arriagada</t>
  </si>
  <si>
    <t>Pintor Venegas 75, Casa 75, las palmas de villuco</t>
  </si>
  <si>
    <t>REL73656</t>
  </si>
  <si>
    <t>NOMBRE RETIRA: PATRICIO GARCIA . RUT RETIRA: 7901305-6</t>
  </si>
  <si>
    <t>Lidia Solar</t>
  </si>
  <si>
    <t>Jaime Repullo 3815, Casa 71</t>
  </si>
  <si>
    <t>REL73652</t>
  </si>
  <si>
    <t>NOMBRE RETIRA: HUGO HERNANDEZ . RUT RETIRA: 9847542-7</t>
  </si>
  <si>
    <t>jimena hernandez</t>
  </si>
  <si>
    <t>Calle Los Zorros #1073 Poblacion Lintz</t>
  </si>
  <si>
    <t>REL73663</t>
  </si>
  <si>
    <t>Rodrigo Sanhueza</t>
  </si>
  <si>
    <t>Av. Manuel Bustos Huerta 2760, 21</t>
  </si>
  <si>
    <t>REL73691</t>
  </si>
  <si>
    <t>NOMBRE RETIRA: NATALIA OYARZUN . RUT RETIRA: 15904812-8</t>
  </si>
  <si>
    <t>Natalia Oyarzun</t>
  </si>
  <si>
    <t>Base naval. Poblacion bellavista casa 7</t>
  </si>
  <si>
    <t>REL73660</t>
  </si>
  <si>
    <t>NOMBRE RETIRA: DANIEILA LAGOS . RUT RETIRA: 16497325-5</t>
  </si>
  <si>
    <t>Estrella Contreras</t>
  </si>
  <si>
    <t>Ossa 598, Casa</t>
  </si>
  <si>
    <t>REL73629</t>
  </si>
  <si>
    <t>NOMBRE RETIRA: MIJAEL CONTRERAS N RUT RETIRA: 65202257-K</t>
  </si>
  <si>
    <t>Javiera Perez</t>
  </si>
  <si>
    <t>Ginebra 4075, Depto C43, Condominio Doña Ines</t>
  </si>
  <si>
    <t>2025-07-17 23:28</t>
  </si>
  <si>
    <t>REL73614</t>
  </si>
  <si>
    <t>NOMBRE RETIRA: CAROLINA SEPULVEDA .. RUT RETIRA: 9886222-6</t>
  </si>
  <si>
    <t>Carolina Sepúlveda</t>
  </si>
  <si>
    <t>Los Cristales Km 0,7, Condominio Bosques De Zapallar Casa 25, Casa 25</t>
  </si>
  <si>
    <t>REL73607</t>
  </si>
  <si>
    <t>NOMBRE RETIRA: ALEJANDRO AGUILERA . RUT RETIRA: 76669508-6</t>
  </si>
  <si>
    <t>Alejandro Aguilera Concha</t>
  </si>
  <si>
    <t>Calle General Baquedano 77</t>
  </si>
  <si>
    <t>REL73619</t>
  </si>
  <si>
    <t>NOMBRE RETIRA: EDITA PINTO . RUT RETIRA: 12268901-8</t>
  </si>
  <si>
    <t>Leslie Aguilar Quiñones</t>
  </si>
  <si>
    <t>Limonita 10590, Dpto 502-2</t>
  </si>
  <si>
    <t>REL73574</t>
  </si>
  <si>
    <t>NOMBRE RETIRA: PATRICIO SILVA . RUT RETIRA: 10507898-6</t>
  </si>
  <si>
    <t>Raul Palma Aguilera</t>
  </si>
  <si>
    <t>Caracoles 130, Hotel Don Raul</t>
  </si>
  <si>
    <t>REL73599</t>
  </si>
  <si>
    <t>NOMBRE RETIRA: ANGELA DAVALOZ . RUT RETIRA: 27596916-8</t>
  </si>
  <si>
    <t>Grettel Rojas</t>
  </si>
  <si>
    <t>Arturo Fernández 2032, 203</t>
  </si>
  <si>
    <t>REL73630</t>
  </si>
  <si>
    <t>NOMBRE RETIRA: JUANA CATALAN . RUT RETIRA: 17047930-0</t>
  </si>
  <si>
    <t>Juana Graciela Catalan Zanella</t>
  </si>
  <si>
    <t>Peulla 2458, Plazuela del Castaño</t>
  </si>
  <si>
    <t>REL73627</t>
  </si>
  <si>
    <t>NOMBRE RETIRA: MARCELA PINILLA ... RUT RETIRA: 20500100-K</t>
  </si>
  <si>
    <t>macarena vidal</t>
  </si>
  <si>
    <t>Ignacio Carrera Pinto 539, casa</t>
  </si>
  <si>
    <t>REL73635</t>
  </si>
  <si>
    <t>NOMBRE RETIRA: DANIELA ROA . RUT RETIRA: 10630633-8</t>
  </si>
  <si>
    <t>Daniela Roa Molina</t>
  </si>
  <si>
    <t>Infante 1020, Condominio Los gobernantes, Depto 205 Torre A</t>
  </si>
  <si>
    <t>REL73587</t>
  </si>
  <si>
    <t>NOMBRE RETIRA: CLAUIDO PINCHEIRA . RUT RETIRA: 14351351-3</t>
  </si>
  <si>
    <t>Alejandra pulgar</t>
  </si>
  <si>
    <t>O'Higgins 1151, 143</t>
  </si>
  <si>
    <t>REL73605</t>
  </si>
  <si>
    <t>NOMBRE RETIRA: JIMENA ORELLANA 0 RUT RETIRA: 12345678-5</t>
  </si>
  <si>
    <t>Gabriela Araya Seguel</t>
  </si>
  <si>
    <t>Travesía de Coloso 3351, Departamento 513</t>
  </si>
  <si>
    <t>REL73628</t>
  </si>
  <si>
    <t>NOMBRE RETIRA: CAROLINA ARAYA . RUT RETIRA: 15753948-5</t>
  </si>
  <si>
    <t>Carolina Andrea Araya Inay</t>
  </si>
  <si>
    <t>Jiménez 48, B</t>
  </si>
  <si>
    <t>REL73624</t>
  </si>
  <si>
    <t>NOMBRE RETIRA: CESAR NOVA 0 RUT RETIRA: 53334225-6</t>
  </si>
  <si>
    <t>Carolina paz Zúñiga jara</t>
  </si>
  <si>
    <t>Obispo Hipólito Salas 245 , Depto 213</t>
  </si>
  <si>
    <t>REL73593</t>
  </si>
  <si>
    <t>NOMBRE RETIRA: STELA MAMANI . RUT RETIRA: 14643628-5</t>
  </si>
  <si>
    <t>Stela Mamani mayorga</t>
  </si>
  <si>
    <t>Munich 2516, Casa esquina</t>
  </si>
  <si>
    <t>REL73603</t>
  </si>
  <si>
    <t>NOMBRE RETIRA: SEBASTIAN CUELLO C RUT RETIRA: 9197194-1</t>
  </si>
  <si>
    <t>Sebastian cuello jaramillo</t>
  </si>
  <si>
    <t>Av. Costanera Sur 1762, El Palomar</t>
  </si>
  <si>
    <t>REL73609</t>
  </si>
  <si>
    <t>NOMBRE RETIRA: MARCELA GROSS . RUT RETIRA: 56041900-7</t>
  </si>
  <si>
    <t>Katherine Vargas</t>
  </si>
  <si>
    <t>Amunátegui 1946, Torre D 1601. Condominio Gran Océano</t>
  </si>
  <si>
    <t>REL73601</t>
  </si>
  <si>
    <t>NOMBRE RETIRA: JOCELYN POBLETE . RUT RETIRA: 15884049-9</t>
  </si>
  <si>
    <t>Jocelyne Poblete Huechucoy</t>
  </si>
  <si>
    <t>Tromen 504, Sector El Bosque</t>
  </si>
  <si>
    <t>REL73545</t>
  </si>
  <si>
    <t>NOMBRE RETIRA: SARYTA NAMARKURA . RUT RETIRA: 13640783-K</t>
  </si>
  <si>
    <t>Pasaje Dos 3878, Casa sector estadio</t>
  </si>
  <si>
    <t>2025-07-13 23:59</t>
  </si>
  <si>
    <t>REL73606</t>
  </si>
  <si>
    <t>NOMBRE RETIRA: LIDIA ROJAS CONSERJERIA RUT RETIRA: 96575280-3</t>
  </si>
  <si>
    <t>Yanire Diaz</t>
  </si>
  <si>
    <t>San Joaquín 1508, H41</t>
  </si>
  <si>
    <t>REL73592</t>
  </si>
  <si>
    <t>NOMBRE RETIRA: CAMILA DONOSO . RUT RETIRA: 19267428-K</t>
  </si>
  <si>
    <t>Camila Donoso Lizana</t>
  </si>
  <si>
    <t>Calle Pedro Aguirre Cerda 51, 51.  Villa Bicentenario</t>
  </si>
  <si>
    <t>REL73598</t>
  </si>
  <si>
    <t>NOMBRE RETIRA: FERNANDO LETELIER . RUT RETIRA: 8795167-7</t>
  </si>
  <si>
    <t>Carolina Agurto Flores</t>
  </si>
  <si>
    <t>Calle 2 Poniente 1061 , 811</t>
  </si>
  <si>
    <t>REL73590</t>
  </si>
  <si>
    <t>NOMBRE RETIRA: SERGIO GUAJARDO H RUT RETIRA: 15134304-K</t>
  </si>
  <si>
    <t>Jorge Guajardo</t>
  </si>
  <si>
    <t>12 Sur A 1881, 1881</t>
  </si>
  <si>
    <t>REL73576</t>
  </si>
  <si>
    <t>NOMBRE RETIRA: EVA AVILES HERRERA RUT RETIRA: 15503370-3</t>
  </si>
  <si>
    <t>Natalia Quilodrán</t>
  </si>
  <si>
    <t>Fuerte Curaco 201</t>
  </si>
  <si>
    <t>REL73579</t>
  </si>
  <si>
    <t>NOMBRE RETIRA: GRAN OCEANO BALTICO RUT RETIRA: 56041900-7</t>
  </si>
  <si>
    <t>Maria Alejandra Saez</t>
  </si>
  <si>
    <t>Amunátegui 1946, 1101 torre B</t>
  </si>
  <si>
    <t>REL73521</t>
  </si>
  <si>
    <t>NOMBRE RETIRA: JOSEFA N B RUT RETIRA: 11547330-1</t>
  </si>
  <si>
    <t>Francisco Pena</t>
  </si>
  <si>
    <t>Parcela 20, El Patagual Villa Alemana, Casa</t>
  </si>
  <si>
    <t>REL73582</t>
  </si>
  <si>
    <t>NOMBRE RETIRA: BETRIZ FERNANDA . RUT RETIRA: 24030251-9</t>
  </si>
  <si>
    <t>Beatriz Fernandez diaz</t>
  </si>
  <si>
    <t>Diego portales 400</t>
  </si>
  <si>
    <t>REL73548</t>
  </si>
  <si>
    <t>NOMBRE RETIRA: NAVIA ITURRIETA . RUT RETIRA: 16948381-7</t>
  </si>
  <si>
    <t>Navia Iturrieta Bustos</t>
  </si>
  <si>
    <t>Los Olivos 838, Villa el Bosque, Casa color verde, entrando a Gorbea, Araucanía</t>
  </si>
  <si>
    <t>REL73567</t>
  </si>
  <si>
    <t>NOMBRE RETIRA: IVAN HERNANDEZ . RUT RETIRA: 5857979-3</t>
  </si>
  <si>
    <t>Paulina Hernandez</t>
  </si>
  <si>
    <t>Calle 2 Casa 1435, Villa las Garzas los lirios</t>
  </si>
  <si>
    <t>REL73571</t>
  </si>
  <si>
    <t>NOMBRE RETIRA: ORFELINA MELENDEZ . RUT RETIRA: 8914309-8</t>
  </si>
  <si>
    <t>Susana Gutierrez</t>
  </si>
  <si>
    <t>Pasaje Isla Hoste 2011, 2011</t>
  </si>
  <si>
    <t>REL73553</t>
  </si>
  <si>
    <t>NOMBRE RETIRA: GERARDO TORRES .. RUT RETIRA: 7092680-6</t>
  </si>
  <si>
    <t>Nicole Foucher Mc Coll</t>
  </si>
  <si>
    <t>Von Schroeder 385, Depto 112</t>
  </si>
  <si>
    <t>REL73517</t>
  </si>
  <si>
    <t>NOMBRE RETIRA: ROSITA ARANEDA A RUT RETIRA: 21248155-6</t>
  </si>
  <si>
    <t>Rosita Araneda Hernandez</t>
  </si>
  <si>
    <t>29 sur 14 poniente 110 , Villa jardín del Valle. Casa esquina</t>
  </si>
  <si>
    <t>REL73546</t>
  </si>
  <si>
    <t>NOMBRE RETIRA: FRANCISCO LOPEZ . RUT RETIRA: 17139906-8</t>
  </si>
  <si>
    <t>Francisco antonio Lopez MACHUCA</t>
  </si>
  <si>
    <t>Av. los Huilliches 2550, Casa</t>
  </si>
  <si>
    <t>REL73557</t>
  </si>
  <si>
    <t>NOMBRE RETIRA: VALERIA CUEVAS . . RUT RETIRA: 14469204-7</t>
  </si>
  <si>
    <t>Luz Fernandez Avilés</t>
  </si>
  <si>
    <t>Bulnes 220, Oficina 211</t>
  </si>
  <si>
    <t>REL73510</t>
  </si>
  <si>
    <t>NOMBRE RETIRA: GONZALO REYES ... RUT RETIRA: 17679382-1</t>
  </si>
  <si>
    <t>Gonzalo Reyes Montero</t>
  </si>
  <si>
    <t>Pasaje Nuevo Amanecer 890, Casa roja</t>
  </si>
  <si>
    <t>2025-07-11 09:41</t>
  </si>
  <si>
    <t>REL73534</t>
  </si>
  <si>
    <t>NOMBRE RETIRA: CLAUDIA TOLEDO T RUT RETIRA: 17495673-1</t>
  </si>
  <si>
    <t>10 Norte 37 Oriente 3864, Casa</t>
  </si>
  <si>
    <t>REL73555</t>
  </si>
  <si>
    <t>NOMBRE RETIRA: LEYLA CARVAJAL . RUT RETIRA: 17161139-3</t>
  </si>
  <si>
    <t>Leyla Carvajal</t>
  </si>
  <si>
    <t>Calle Tte Merino 41, Población Expresos Viña</t>
  </si>
  <si>
    <t>REL73514</t>
  </si>
  <si>
    <t>NOMBRE RETIRA: KAREN GALVEZ . RUT RETIRA: 15124745-8</t>
  </si>
  <si>
    <t>Karen Galvez</t>
  </si>
  <si>
    <t>Av. República de Chile 1187. Diego Portales, Casa</t>
  </si>
  <si>
    <t>REL73530</t>
  </si>
  <si>
    <t>NOMBRE RETIRA: VERONICA LEON G RUT RETIRA: 19875480-3</t>
  </si>
  <si>
    <t>Veronica Leon</t>
  </si>
  <si>
    <t>Las Rosas De Antivero S/n, 000, 0000</t>
  </si>
  <si>
    <t>REL73518</t>
  </si>
  <si>
    <t>NOMBRE RETIRA: VIRGINIA FERRADA H RUT RETIRA: 19043321-8</t>
  </si>
  <si>
    <t>Virginia Ferrada González</t>
  </si>
  <si>
    <t>18 oriente 2 y 3 norte 2513, Veterinaria azul frente Gimnasio Regional</t>
  </si>
  <si>
    <t>REL73526</t>
  </si>
  <si>
    <t>NOMBRE RETIRA: FABIOLA VILLEGAS A RUT RETIRA: 11375153-3</t>
  </si>
  <si>
    <t>Magdalena Carvallo</t>
  </si>
  <si>
    <t>Av leon bustos 0026, Local bridgestone</t>
  </si>
  <si>
    <t>REL73543</t>
  </si>
  <si>
    <t>NOMBRE RETIRA: SILVIA VALENZUWLA A RUT RETIRA: 14467421-9</t>
  </si>
  <si>
    <t>Victor Ramírez</t>
  </si>
  <si>
    <t>Roque Esteban Scarpa 2339</t>
  </si>
  <si>
    <t>REL73537</t>
  </si>
  <si>
    <t>NOMBRE RETIRA: ANGELLY PARRAGUEZ M RUT RETIRA: 20179345-9</t>
  </si>
  <si>
    <t>Angelly Parraguez</t>
  </si>
  <si>
    <t>Paradero 2 Los Rastrojo Limfosan 00000</t>
  </si>
  <si>
    <t>REL73523</t>
  </si>
  <si>
    <t>NOMBRE RETIRA: HUGO GUERRA CONSERJERIA RUT RETIRA: 10213393-5</t>
  </si>
  <si>
    <t>Gabriela Fernanda Araya Collao</t>
  </si>
  <si>
    <t>Avenida Gabriela Mistral 5010, Depto 708B, Condominio costa horizonte</t>
  </si>
  <si>
    <t>REL73503</t>
  </si>
  <si>
    <t>NOMBRE RETIRA: MARIANNA LILLO M RUT RETIRA: 5309403-1</t>
  </si>
  <si>
    <t>Marianna Lillo Zoffoli</t>
  </si>
  <si>
    <t>Angol 1686 casa 6</t>
  </si>
  <si>
    <t>2025-07-10 00:33</t>
  </si>
  <si>
    <t>REL73494</t>
  </si>
  <si>
    <t>NOMBRE RETIRA: JIMMY ALTAMIRANO . RUT RETIRA: 11614419-0</t>
  </si>
  <si>
    <t>El Oro 8235, Depto 1409</t>
  </si>
  <si>
    <t>REL73495</t>
  </si>
  <si>
    <t>NOMBRE RETIRA: CATALINA DORGUET . RUT RETIRA: 28806356-7</t>
  </si>
  <si>
    <t>Catalina Droguett</t>
  </si>
  <si>
    <t>Av. Lautaro 16, Villa El Pino</t>
  </si>
  <si>
    <t>REL73499</t>
  </si>
  <si>
    <t>NOMBRE RETIRA: ELADIO TAMAYO V RUT RETIRA: 6337863-1</t>
  </si>
  <si>
    <t>luis tamayo</t>
  </si>
  <si>
    <t>Las Amapolas 0304, Labranza</t>
  </si>
  <si>
    <t>REL73496</t>
  </si>
  <si>
    <t>NOMBRE RETIRA: PATRICIA ZAPATA M RUT RETIRA: 20661616-4</t>
  </si>
  <si>
    <t>Patricia Zapata Bustamante</t>
  </si>
  <si>
    <t>Senador Florencio Duran 641, Casa 641</t>
  </si>
  <si>
    <t>REL73497</t>
  </si>
  <si>
    <t>NOMBRE RETIRA: PEDRO PINO P RUT RETIRA: 10538253-7</t>
  </si>
  <si>
    <t>Pedro Pino</t>
  </si>
  <si>
    <t>Quellón 1653,   Villa San Ignacio</t>
  </si>
  <si>
    <t>REL73506</t>
  </si>
  <si>
    <t>NOMBRE RETIRA: CAMILO LIRA . RUT RETIRA: 65091814-2</t>
  </si>
  <si>
    <t>Maria Isabel Gonzalez</t>
  </si>
  <si>
    <t>Avenida Kennedy 1813, Departamento D305</t>
  </si>
  <si>
    <t>2025-07-10 11:05</t>
  </si>
  <si>
    <t>REL73498</t>
  </si>
  <si>
    <t>NOMBRE RETIRA: JONY CLAVERIA J RUT RETIRA: 10721237-K</t>
  </si>
  <si>
    <t>Antonella henriquez</t>
  </si>
  <si>
    <t>Phillippi 771, Dpto 203</t>
  </si>
  <si>
    <t>REL73328</t>
  </si>
  <si>
    <t>9345745500</t>
  </si>
  <si>
    <t>fernanda carreño</t>
  </si>
  <si>
    <t>Av. Manuel Rodríguez 619</t>
  </si>
  <si>
    <t>2025-06-30 09:54</t>
  </si>
  <si>
    <t>REL73507</t>
  </si>
  <si>
    <t>NOMBRE RETIRA: EDUARDO CRUZ CONSERJERIA . RUT RETIRA: 65200575-6</t>
  </si>
  <si>
    <t>Makarena Landahur Bustamante</t>
  </si>
  <si>
    <t>Las acacias 0235, Casa 22</t>
  </si>
  <si>
    <t>REL73444</t>
  </si>
  <si>
    <t>NOMBRE RETIRA: CATALINA SCHOF . RUT RETIRA: 18000310-K</t>
  </si>
  <si>
    <t>Nicole Sepulveda</t>
  </si>
  <si>
    <t>Santa Rosa 131</t>
  </si>
  <si>
    <t>REL73488</t>
  </si>
  <si>
    <t>NOMBRE RETIRA: ESTEBAN ARIAS T RUT RETIRA: 65115346-8</t>
  </si>
  <si>
    <t>Natalia Nilo</t>
  </si>
  <si>
    <t>Parques De Carriel 5579, Casa 19</t>
  </si>
  <si>
    <t>2025-07-09 11:31</t>
  </si>
  <si>
    <t>REL73481</t>
  </si>
  <si>
    <t>NOMBRE RETIRA: ALICIA CANALES J RUT RETIRA: 12003697-1</t>
  </si>
  <si>
    <t>Camila Andrea Molina Luco</t>
  </si>
  <si>
    <t>Las Rosas 518. Parque Lantaño, Depto 12, Torre 8</t>
  </si>
  <si>
    <t>REL73490</t>
  </si>
  <si>
    <t>NOMBRE RETIRA: MACARENA FERNANDEZ . RUT RETIRA: 53333453-9</t>
  </si>
  <si>
    <t>Villa nueva 1177, Valle escondido de paicavi</t>
  </si>
  <si>
    <t>REL73492</t>
  </si>
  <si>
    <t>NOMBRE RETIRA: ROLANDO MONTENEGRO . RUT RETIRA: 53317003-K</t>
  </si>
  <si>
    <t>camila Botta Salgado</t>
  </si>
  <si>
    <t>1 Poniente 140, 305</t>
  </si>
  <si>
    <t>REL73429</t>
  </si>
  <si>
    <t>NOMBRE RETIRA: JUDITH GARRIDO CASTRO RUT RETIRA: 18590034-7</t>
  </si>
  <si>
    <t>Judith Garrido Castro</t>
  </si>
  <si>
    <t>Quinchilca 303, STARKEN, RETIRO EN SUCURSAL STARKEN</t>
  </si>
  <si>
    <t>REL73457</t>
  </si>
  <si>
    <t>NOMBRE RETIRA: PARICIO ROJAS . RUT RETIRA: 12575508-9</t>
  </si>
  <si>
    <t>Dafne Jeria morales</t>
  </si>
  <si>
    <t>Ruta A1, km7, bajo molle, Empresa Kaufmann, mercedes benz iquique</t>
  </si>
  <si>
    <t>REL73463</t>
  </si>
  <si>
    <t>NOMBRE RETIRA: JUAQUIN SANDOVAL .. RUT RETIRA: 16316380-2</t>
  </si>
  <si>
    <t>Nicole Constanza Becerra Quintrileo</t>
  </si>
  <si>
    <t>Manuel Rodriguez 1070, Torre 8 departamento 203</t>
  </si>
  <si>
    <t>REL73469</t>
  </si>
  <si>
    <t>NOMBRE RETIRA: MAURICIO ROJAS . RUT RETIRA: 11503593-2</t>
  </si>
  <si>
    <t>Volcán Nevado 1538, Casa</t>
  </si>
  <si>
    <t>2025-07-08 11:13</t>
  </si>
  <si>
    <t>REL73476</t>
  </si>
  <si>
    <t>NOMBRE RETIRA: JUAN GOMES VERGARA RUT RETIRA: 21198315-9</t>
  </si>
  <si>
    <t>Juan Gomez vergara</t>
  </si>
  <si>
    <t>Pasaje Llanos de Ucanca 6044, Llanos de Ollantay  , Casa 6044</t>
  </si>
  <si>
    <t>REL73473</t>
  </si>
  <si>
    <t>NOMBRE RETIRA: NATALIA ROJAS . RUT RETIRA: 18654864-7</t>
  </si>
  <si>
    <t>Natalie Rojas Rojas</t>
  </si>
  <si>
    <t>Eligia Panizza 1268, Casa</t>
  </si>
  <si>
    <t>REL73470</t>
  </si>
  <si>
    <t>NOMBRE RETIRA: HUGO ZAMORA N RUT RETIRA: 5333344-3</t>
  </si>
  <si>
    <t>Javier Martinez Vera</t>
  </si>
  <si>
    <t>Los Tréboles 210, 165</t>
  </si>
  <si>
    <t>REL73440</t>
  </si>
  <si>
    <t>NOMBRE RETIRA: PILAR PAREDES .... RUT RETIRA: 12081398-6</t>
  </si>
  <si>
    <t>Beatriz Cortes</t>
  </si>
  <si>
    <t>Esmeralda 510 AFT-PF</t>
  </si>
  <si>
    <t>REL73451</t>
  </si>
  <si>
    <t>NOMBRE RETIRA: DANIELA MEEMOUD . RUT RETIRA: 18805117-0</t>
  </si>
  <si>
    <t>DANIELA MERMOUD</t>
  </si>
  <si>
    <t>Monte Perdido 1501, B306</t>
  </si>
  <si>
    <t>REL73434</t>
  </si>
  <si>
    <t>NOMBRE RETIRA: RICARDO ALVAREZ A RUT RETIRA: 7879653-7</t>
  </si>
  <si>
    <t>Jeannette Paiva Mejias</t>
  </si>
  <si>
    <t>Manuel Rodriguez 884, 302</t>
  </si>
  <si>
    <t>REL73438</t>
  </si>
  <si>
    <t>NOMBRE RETIRA: ANA SILVA . RUT RETIRA: 7794640-3</t>
  </si>
  <si>
    <t>Ana Liz Provoste</t>
  </si>
  <si>
    <t>Pje. Quechereguas 238</t>
  </si>
  <si>
    <t>REL73468</t>
  </si>
  <si>
    <t>NOMBRE RETIRA: MARIA MUNOZ . RUT RETIRA: 9116072-2</t>
  </si>
  <si>
    <t>Maricel Pradenas</t>
  </si>
  <si>
    <t>Diagonal  Oriente 2036, 2036</t>
  </si>
  <si>
    <t>REL73478</t>
  </si>
  <si>
    <t>NOMBRE RETIRA: MARISEL CALDERON CONSERJE RUT RETIRA: 18632165-0</t>
  </si>
  <si>
    <t>Rene schneider 2031, Depto 206, torre 4</t>
  </si>
  <si>
    <t>REL73446</t>
  </si>
  <si>
    <t>NOMBRE RETIRA: LUIS MARTINEZ FUI RUT RETIRA: 7632002-0</t>
  </si>
  <si>
    <t>Constanza Valencia Núñez</t>
  </si>
  <si>
    <t>Los Álamos 921, Departamento E-32</t>
  </si>
  <si>
    <t>REL73443</t>
  </si>
  <si>
    <t>NOMBRE RETIRA: EMILIO MENDOZA U RUT RETIRA: 10194310-0</t>
  </si>
  <si>
    <t>Nicole Carolina Guajardo Cortés</t>
  </si>
  <si>
    <t>Última Esperanza 173, 501 D</t>
  </si>
  <si>
    <t>REL73430</t>
  </si>
  <si>
    <t>NOMBRE RETIRA: JOSE FERNANDEZ B RUT RETIRA: 10817372-6</t>
  </si>
  <si>
    <t>EILEEN BARBARA RODRIGUEZ</t>
  </si>
  <si>
    <t>Pasaje María Tupper 129, Villa portal libertador</t>
  </si>
  <si>
    <t>REL73423</t>
  </si>
  <si>
    <t>NOMBRE RETIRA: JIMENA PEREZ PERE RUT RETIRA: 8987244-8</t>
  </si>
  <si>
    <t>Jimena Perez</t>
  </si>
  <si>
    <t>Chacabuco 681</t>
  </si>
  <si>
    <t>REL73458</t>
  </si>
  <si>
    <t>NOMBRE RETIRA: OMAR RIVERA G RUT RETIRA: 5448681-2</t>
  </si>
  <si>
    <t>Elizabeth Rivera</t>
  </si>
  <si>
    <t>Monvoisin 3008</t>
  </si>
  <si>
    <t>REL73467</t>
  </si>
  <si>
    <t>NOMBRE RETIRA: SUSANA VILLARROEL C RUT RETIRA: 17302500-9</t>
  </si>
  <si>
    <t>Susana Villarroel</t>
  </si>
  <si>
    <t>Pasaje Salitrera San Antonio 1908, Casa esquina color palo rosa</t>
  </si>
  <si>
    <t>REL73422</t>
  </si>
  <si>
    <t>NOMBRE RETIRA: PQZ PADILLQ P RUT RETIRA: 18833869-0</t>
  </si>
  <si>
    <t>Paz Padilla</t>
  </si>
  <si>
    <t>Carlos Justiniano 814, Departamento</t>
  </si>
  <si>
    <t>2025-07-04 22:20</t>
  </si>
  <si>
    <t>REL73465</t>
  </si>
  <si>
    <t>NOMBRE RETIRA: MAXIMILIANO FUENTES . RUT RETIRA: 17046284-K</t>
  </si>
  <si>
    <t>Tatiana Fuentes</t>
  </si>
  <si>
    <t>Casa, Josefina GavilÁn 272</t>
  </si>
  <si>
    <t>REL73408</t>
  </si>
  <si>
    <t>NOMBRE RETIRA: MILENKO SANMARTIN U RUT RETIRA: 19395913-K</t>
  </si>
  <si>
    <t>Milenko San martin</t>
  </si>
  <si>
    <t>Pasaje Oscar Bonilla 8488</t>
  </si>
  <si>
    <t>REL73414</t>
  </si>
  <si>
    <t>NOMBRE RETIRA: PATRICIA OLIVARES . RUT RETIRA: 56052390-4</t>
  </si>
  <si>
    <t>Lorena Pizarro</t>
  </si>
  <si>
    <t>Angamos 1100, Depto 93 Torre Tamarugo</t>
  </si>
  <si>
    <t>2025-07-04 10:38</t>
  </si>
  <si>
    <t>REL73405</t>
  </si>
  <si>
    <t>NOMBRE RETIRA: VANESA OJEDA .P RUT RETIRA: 16130068-3</t>
  </si>
  <si>
    <t>Vanessa Ojeda inostroza</t>
  </si>
  <si>
    <t>HÉroes De La ConcepciÓn 955, Los Heroes De La Concepcion 955, Los Heroes De La Concepcion 955</t>
  </si>
  <si>
    <t>REL73401</t>
  </si>
  <si>
    <t>NOMBRE RETIRA: NICOL LCHSINGER . RUT RETIRA: 17788187-2</t>
  </si>
  <si>
    <t>Nicole Luchsinger</t>
  </si>
  <si>
    <t>Puerta de Granada 288, 288</t>
  </si>
  <si>
    <t>REL73416</t>
  </si>
  <si>
    <t>NOMBRE RETIRA: MARIA CORTES . RUT RETIRA: 9812582-5</t>
  </si>
  <si>
    <t>Marelyn Lopez</t>
  </si>
  <si>
    <t>Sold Tiburcio Chandía 4642</t>
  </si>
  <si>
    <t>REL73407</t>
  </si>
  <si>
    <t>NOMBRE RETIRA: EDUARDO PEREZ . RUT RETIRA: 15521196-2</t>
  </si>
  <si>
    <t>Eduardo Pérez Herrera</t>
  </si>
  <si>
    <t>Calle Tucapel #426 La Calera V Región, Casa</t>
  </si>
  <si>
    <t>REL73347</t>
  </si>
  <si>
    <t>NOMBRE RETIRA: FLAVIO NAVARRETE PO RUT RETIRA: 5906523-8</t>
  </si>
  <si>
    <t>Flavio Muñoz</t>
  </si>
  <si>
    <t>Diego Portales 055, Casa 055</t>
  </si>
  <si>
    <t>2025-07-01 10:28</t>
  </si>
  <si>
    <t>REL73382</t>
  </si>
  <si>
    <t>NOMBRE RETIRA: JORGE PEREIRA .. RUT RETIRA: 53300395-8</t>
  </si>
  <si>
    <t>Cristhian Navarro Cornejo</t>
  </si>
  <si>
    <t>5 oriente 260, Apartamento 1105</t>
  </si>
  <si>
    <t>REL73392</t>
  </si>
  <si>
    <t>NOMBRE RETIRA: RICARDO FUENTES . RUT RETIRA: 8116776-1</t>
  </si>
  <si>
    <t>pialoreto valenzuela</t>
  </si>
  <si>
    <t>Nicolás Tirado 90, 153B</t>
  </si>
  <si>
    <t>REL73417</t>
  </si>
  <si>
    <t>NOMBRE RETIRA: MIRNA MACHUCA V RUT RETIRA: 53331849-5</t>
  </si>
  <si>
    <t>Carolina Avila Zuñiga</t>
  </si>
  <si>
    <t>AVENIDA KENNEDY 01325 CONDOMINIO TERRADOS DE KENNEDY, TORRE E DEPTO 807</t>
  </si>
  <si>
    <t>REL73384</t>
  </si>
  <si>
    <t>NOMBRE RETIRA: SEBASTIAN CALITO CEA RUT RETIRA: 16830562-1</t>
  </si>
  <si>
    <t>Pablo Saavedra Campos</t>
  </si>
  <si>
    <t>Peñuelas 870, Casa</t>
  </si>
  <si>
    <t>REL73393</t>
  </si>
  <si>
    <t>NOMBRE RETIRA: CARINA MORALES M RUT RETIRA: 22684175-K</t>
  </si>
  <si>
    <t>Karina Morales</t>
  </si>
  <si>
    <t>37 y 1/2 oriente, 1948, Parque las Rastras</t>
  </si>
  <si>
    <t>REL73388</t>
  </si>
  <si>
    <t>NOMBRE RETIRA: MARCELA BRAVO . RUT RETIRA: 12345678-5</t>
  </si>
  <si>
    <t>MARCELA PATRICIA BRAVO URRUTIA</t>
  </si>
  <si>
    <t>Los Corchos 2653</t>
  </si>
  <si>
    <t>REL73395</t>
  </si>
  <si>
    <t>NOMBRE RETIRA: ANTONIETA LASTRA . RUT RETIRA: 18805117-0</t>
  </si>
  <si>
    <t>Antonieta Lastra</t>
  </si>
  <si>
    <t>Pasaje Gauguin#112 Parque Sorvicenta</t>
  </si>
  <si>
    <t>REL73387</t>
  </si>
  <si>
    <t>NOMBRE RETIRA: JENIFER FORCAEL . RUT RETIRA: 18417490-1</t>
  </si>
  <si>
    <t>Jennifer Forcael vega</t>
  </si>
  <si>
    <t>Pasaje Cholguán 599, Villa Mar</t>
  </si>
  <si>
    <t>REL73372</t>
  </si>
  <si>
    <t>NOMBRE RETIRA: MEYLIN VADILLO A RUT RETIRA: 4952378-5</t>
  </si>
  <si>
    <t>Meylin Vadillo Rocha</t>
  </si>
  <si>
    <t>Lapislázuli 2413, Casa</t>
  </si>
  <si>
    <t>2025-07-02 10:16</t>
  </si>
  <si>
    <t>REL73288</t>
  </si>
  <si>
    <t>NOMBRE RETIRA: WLADIMIR SALGADO A RUT RETIRA: 15925557-3</t>
  </si>
  <si>
    <t>Monse León</t>
  </si>
  <si>
    <t>Olivarera de Azapa 2252, Casa</t>
  </si>
  <si>
    <t>2025-06-28 00:07</t>
  </si>
  <si>
    <t>REL73342</t>
  </si>
  <si>
    <t>NOMBRE RETIRA: ANITA IBACA CONSERJE RUT RETIRA: 20194806-1</t>
  </si>
  <si>
    <t>Bárbara Espinaza Fuentes</t>
  </si>
  <si>
    <t>Av. las Margaritas 1945, 516</t>
  </si>
  <si>
    <t>REL73375</t>
  </si>
  <si>
    <t>NOMBRE RETIRA: JUAN MARIN . RUT RETIRA: 27764198-4</t>
  </si>
  <si>
    <t>Sebastian Castillo Corvalan</t>
  </si>
  <si>
    <t>Avenida circunvalancion 1458, Depto 605 torre 1</t>
  </si>
  <si>
    <t>REL73358</t>
  </si>
  <si>
    <t>carolina cid</t>
  </si>
  <si>
    <t>Av. Sotomayor 1691, 1691</t>
  </si>
  <si>
    <t>REL73363</t>
  </si>
  <si>
    <t>NOMBRE RETIRA: XIMENA HORTA 0 RUT RETIRA: 12345678-5</t>
  </si>
  <si>
    <t>Ximena Horta Araya</t>
  </si>
  <si>
    <t>Jacinto Alonso Plaza Oróstegui 1086, Casa</t>
  </si>
  <si>
    <t>REL73370</t>
  </si>
  <si>
    <t>NOMBRE RETIRA: KEVIN AROCA . RUT RETIRA: 7477540-3</t>
  </si>
  <si>
    <t>Kevin Aroca</t>
  </si>
  <si>
    <t>Limarí 1825, Casa</t>
  </si>
  <si>
    <t>REL73334</t>
  </si>
  <si>
    <t>NOMBRE RETIRA: ROBERTO DIAZ . RUT RETIRA: 7857947-1</t>
  </si>
  <si>
    <t>Abigail Ramirez Moraga</t>
  </si>
  <si>
    <t>Av. Salvador Allende 450, Depto 708 Margarita condominio cuatro reinas</t>
  </si>
  <si>
    <t>REL73356</t>
  </si>
  <si>
    <t>NOMBRE RETIRA: JOSE CARRASCO . RUT RETIRA: 12990216-7</t>
  </si>
  <si>
    <t>Francisco López Pérez</t>
  </si>
  <si>
    <t>Andrés Bello 724, 1409</t>
  </si>
  <si>
    <t>2025-07-01 11:55</t>
  </si>
  <si>
    <t>REL73333</t>
  </si>
  <si>
    <t>NOMBRE RETIRA: CARLA GONZALES . RUT RETIRA: 17042306-2</t>
  </si>
  <si>
    <t>JOSÉ TOMÁS RAMIREZ GONZÁLEZ</t>
  </si>
  <si>
    <t>EL GOLF 2410, Depto 31</t>
  </si>
  <si>
    <t>REL73368</t>
  </si>
  <si>
    <t>NOMBRE RETIRA: IGNACIO SAAVEDRA . RUT RETIRA: 21444583-2</t>
  </si>
  <si>
    <t>Carolina Morales</t>
  </si>
  <si>
    <t>Av. William Condon 3156, Fundo el venado</t>
  </si>
  <si>
    <t>REL73373</t>
  </si>
  <si>
    <t>NOMBRE RETIRA: CATALINA QUEZADA . RUT RETIRA: 19250614-K</t>
  </si>
  <si>
    <t>Catalina Quezada Contreras</t>
  </si>
  <si>
    <t>Alberto Córdova, 49</t>
  </si>
  <si>
    <t>REL73376</t>
  </si>
  <si>
    <t>NOMBRE RETIRA: EDUARDO .. . RUT RETIRA: 78882180-8</t>
  </si>
  <si>
    <t>Matias Aviles</t>
  </si>
  <si>
    <t>Avenida Circunvalacion Paul Harris 1240, 533</t>
  </si>
  <si>
    <t>REL73309</t>
  </si>
  <si>
    <t>NOMBRE RETIRA: PAULINA DIAS O RUT RETIRA: 14472022-9</t>
  </si>
  <si>
    <t>Paulina Díaz Ojeda</t>
  </si>
  <si>
    <t>José María Muñoz Hermosilla 1785, Depto 32</t>
  </si>
  <si>
    <t>REL73304</t>
  </si>
  <si>
    <t>NOMBRE RETIRA: FRANCISCO CRISOSTO HB RUT RETIRA: 18288217-8</t>
  </si>
  <si>
    <t>Maria Jose Castro Galdames</t>
  </si>
  <si>
    <t>Patricio Lynch 940, Depto C 24</t>
  </si>
  <si>
    <t>REL73127</t>
  </si>
  <si>
    <t>NOMBRE RETIRA: GRACIELA GONZALEZ . RUT RETIRA: 6511880-7</t>
  </si>
  <si>
    <t>Loeena Cereceda Gonzalez</t>
  </si>
  <si>
    <t>Lautaro navarro 1090, Local 12</t>
  </si>
  <si>
    <t>2025-06-19 10:06</t>
  </si>
  <si>
    <t>REL73315</t>
  </si>
  <si>
    <t>NOMBRE RETIRA: ALEJANDRO SEPULVEDA J RUT RETIRA: 16326557-5</t>
  </si>
  <si>
    <t>GABRIELA ESCOBAR JIMENEZ</t>
  </si>
  <si>
    <t>CALLE SEXTA 786, CASA</t>
  </si>
  <si>
    <t>REL73325</t>
  </si>
  <si>
    <t>NOMBRE RETIRA: JAIME FUENZALIDA . RUT RETIRA: 10077239-6</t>
  </si>
  <si>
    <t>María Elena Cortez Fuenzalida</t>
  </si>
  <si>
    <t>6 Norte 925, Casa</t>
  </si>
  <si>
    <t>REL73331</t>
  </si>
  <si>
    <t>NOMBRE RETIRA: VALENTINA PERALTA A RUT RETIRA: 20137133-3</t>
  </si>
  <si>
    <t>Valentina Peralta</t>
  </si>
  <si>
    <t>Navío San Martín 34, 602</t>
  </si>
  <si>
    <t>REL73314</t>
  </si>
  <si>
    <t>NOMBRE RETIRA: YESENIA ARAYA -- RUT RETIRA: 12345678-5</t>
  </si>
  <si>
    <t>Yesenia Araya honores</t>
  </si>
  <si>
    <t>Fotógrafo Mauricio Alegría 3476, Almacen F&amp;j</t>
  </si>
  <si>
    <t>REL73285</t>
  </si>
  <si>
    <t>NOMBRE RETIRA: JOSE URBINA . RUT RETIRA: 20775592-3</t>
  </si>
  <si>
    <t>Claudia Bories</t>
  </si>
  <si>
    <t>La Cascada 236</t>
  </si>
  <si>
    <t>REL73350</t>
  </si>
  <si>
    <t>NOMBRE RETIRA: GRICELDA GUTIERREZ VASQUEZ RUT RETIRA: 14279786-0</t>
  </si>
  <si>
    <t>GRICELDA GUTIÉRREZ VÁSQUEZ</t>
  </si>
  <si>
    <t>Torre De La Vela 1245 , Barrio Torreones</t>
  </si>
  <si>
    <t>REL73323</t>
  </si>
  <si>
    <t>NOMBRE RETIRA: SERGIO BENAVENTE ... RUT RETIRA: 5804343-5</t>
  </si>
  <si>
    <t>Joselyn Baumann Zamora Baumann Zamora</t>
  </si>
  <si>
    <t>Tarapacá 8</t>
  </si>
  <si>
    <t>REL73301</t>
  </si>
  <si>
    <t>9345333513</t>
  </si>
  <si>
    <t>Eglismar Aguilar Acuña</t>
  </si>
  <si>
    <t>Marlén Bozán Ramos 1500, Casa 38, Condominio Aires de Buin</t>
  </si>
  <si>
    <t>REL73297</t>
  </si>
  <si>
    <t>NOMBRE RETIRA: ANDREW CATCHPOLE R RUT RETIRA: 18531233-K</t>
  </si>
  <si>
    <t>Andrew Catchpole</t>
  </si>
  <si>
    <t>Agua Santa 350, 53</t>
  </si>
  <si>
    <t>REL73294</t>
  </si>
  <si>
    <t>NOMBRE RETIRA: MARIA PAZ ZANARTU H RUT RETIRA: 19571518-1</t>
  </si>
  <si>
    <t>María paz Zañartu</t>
  </si>
  <si>
    <t>Libertad 302</t>
  </si>
  <si>
    <t>REL73352</t>
  </si>
  <si>
    <t>Av. Manuel Bustos Huerta 2760, 15</t>
  </si>
  <si>
    <t>REL73320</t>
  </si>
  <si>
    <t>NOMBRE RETIRA: JOSE SEPULVEDA . RUT RETIRA: 65124512-5</t>
  </si>
  <si>
    <t>Constanza Rivas Escalona</t>
  </si>
  <si>
    <t>Av. Parques de Carriel 5580, Casa 29</t>
  </si>
  <si>
    <t>REL73348</t>
  </si>
  <si>
    <t>NOMBRE RETIRA: PAULINA URRUTIA . RUT RETIRA: 16464406-5</t>
  </si>
  <si>
    <t>Carlos Anwandter 440, D</t>
  </si>
  <si>
    <t>REL73300</t>
  </si>
  <si>
    <t>NOMBRE RETIRA: VIVIANA CABEZA S RUT RETIRA: 26608148-0</t>
  </si>
  <si>
    <t>Viviana Cabezas</t>
  </si>
  <si>
    <t>Gral. de Division Francisco Antonio Pinto 0597</t>
  </si>
  <si>
    <t>REL73292</t>
  </si>
  <si>
    <t>NOMBRE RETIRA: CRISTIANA GALLARDO . RUT RETIRA: 6667541-6</t>
  </si>
  <si>
    <t>Calle belisario montenegro  39, almendral alto, Casa numero 39 segundo piso</t>
  </si>
  <si>
    <t>REL73299</t>
  </si>
  <si>
    <t>NOMBRE RETIRA: POLAR ANDRONICOS . RUT RETIRA: 53333130-0</t>
  </si>
  <si>
    <t>Pilar Andrónicos</t>
  </si>
  <si>
    <t>Martín de Salvatierra 1171, Casa B</t>
  </si>
  <si>
    <t>REL73337</t>
  </si>
  <si>
    <t>NOMBRE RETIRA: CECILIA VALDEBENITO . RUT RETIRA: 10945360-9</t>
  </si>
  <si>
    <t>Natalia Valdebenito yañez</t>
  </si>
  <si>
    <t>Conde del Maule 815, Casa esquina color roja 2 piso</t>
  </si>
  <si>
    <t>REL73156</t>
  </si>
  <si>
    <t>NOMBRE RETIRA: NINET MUNOZ . RUT RETIRA: 11111111-1</t>
  </si>
  <si>
    <t>Ailyn Herrera Muñoz</t>
  </si>
  <si>
    <t>Avenida Bulnes 0310, Minimarket El Ovejero</t>
  </si>
  <si>
    <t>2025-06-21 11:13</t>
  </si>
  <si>
    <t>REL73874</t>
  </si>
  <si>
    <t>712930592076</t>
  </si>
  <si>
    <t>Nombre: Eliana Alvarez - Rut: 50608972</t>
  </si>
  <si>
    <t>Maricel Diaz</t>
  </si>
  <si>
    <t>Avenida Pedro Montt 639</t>
  </si>
  <si>
    <t>2025-07-31 09:44</t>
  </si>
  <si>
    <t>REL73866</t>
  </si>
  <si>
    <t>712930232431</t>
  </si>
  <si>
    <t>Nombre: gabriel nunez - Rut: 192127645</t>
  </si>
  <si>
    <t>Gabriel Nuñez Adasme</t>
  </si>
  <si>
    <t>San Martín 0182, Casa</t>
  </si>
  <si>
    <t>REL73509</t>
  </si>
  <si>
    <t>712924507713</t>
  </si>
  <si>
    <t>Nombre: rocio Hinojosa - Rut: 16944532</t>
  </si>
  <si>
    <t>Rocio Hinojosa</t>
  </si>
  <si>
    <t>Los Areneros 23, Casa esquina</t>
  </si>
  <si>
    <t>REL73833</t>
  </si>
  <si>
    <t>712929874226</t>
  </si>
  <si>
    <t>Cesar Salazar contreras</t>
  </si>
  <si>
    <t>San Martín 142, 602</t>
  </si>
  <si>
    <t>REL73837</t>
  </si>
  <si>
    <t>712929874204</t>
  </si>
  <si>
    <t>Pilar Millan ojeda</t>
  </si>
  <si>
    <t>GAMBOA - 451 -</t>
  </si>
  <si>
    <t>REL73826</t>
  </si>
  <si>
    <t>712929874381</t>
  </si>
  <si>
    <t>Fernando Acuña Carcamo</t>
  </si>
  <si>
    <t>Av. Alto Biobío 790 (Of. Correos de Chile dentro de la M.Alto Biobío), Municipalidad Alto Biobío</t>
  </si>
  <si>
    <t>REL73768</t>
  </si>
  <si>
    <t>712929466550</t>
  </si>
  <si>
    <t>Letisia Lara sandoval</t>
  </si>
  <si>
    <t>Variante San Ignacio Km 2.3 Ruta N 65</t>
  </si>
  <si>
    <t>REL73775</t>
  </si>
  <si>
    <t>712929466233</t>
  </si>
  <si>
    <t>Catalina Laibe Sáez</t>
  </si>
  <si>
    <t>Sargento aldea 955</t>
  </si>
  <si>
    <t>REL73814</t>
  </si>
  <si>
    <t>712929465441</t>
  </si>
  <si>
    <t>Suhelen Valdebenito Quezada</t>
  </si>
  <si>
    <t>Gabriela Mistral n° 0, Casa</t>
  </si>
  <si>
    <t>REL73757</t>
  </si>
  <si>
    <t>712928699766</t>
  </si>
  <si>
    <t>Pablo Aguilar villegas</t>
  </si>
  <si>
    <t>San Martín 612</t>
  </si>
  <si>
    <t>REL73739</t>
  </si>
  <si>
    <t>712928388723</t>
  </si>
  <si>
    <t>Camila Arancibia Tardon</t>
  </si>
  <si>
    <t>Cerro Mallacún 42, Casa 42</t>
  </si>
  <si>
    <t>2025-07-24 00:12</t>
  </si>
  <si>
    <t>REL73720</t>
  </si>
  <si>
    <t>712928083766</t>
  </si>
  <si>
    <t>Aura Gallego</t>
  </si>
  <si>
    <t>Dublé Almeyda 92, Marbella</t>
  </si>
  <si>
    <t>REL73683</t>
  </si>
  <si>
    <t>712927392096</t>
  </si>
  <si>
    <t>Osman Torreblanca Vallejos</t>
  </si>
  <si>
    <t>Bruno Larraín 94, Esquina Pje. Luis Cruz Martínez</t>
  </si>
  <si>
    <t>REL73653</t>
  </si>
  <si>
    <t>712927392520</t>
  </si>
  <si>
    <t>Dayana Cañon</t>
  </si>
  <si>
    <t>Chacurra S/n, Casa</t>
  </si>
  <si>
    <t>REL73692</t>
  </si>
  <si>
    <t>712927651811</t>
  </si>
  <si>
    <t>karina jauregui</t>
  </si>
  <si>
    <t>avenida presidente ibañez, 0235  Linares, Maule</t>
  </si>
  <si>
    <t>REL73667</t>
  </si>
  <si>
    <t>712927392295</t>
  </si>
  <si>
    <t>Carolina Asencio Muñoz</t>
  </si>
  <si>
    <t>Sotomayor 525</t>
  </si>
  <si>
    <t>REL73626</t>
  </si>
  <si>
    <t>712926612790</t>
  </si>
  <si>
    <t>NATHALIE Soto</t>
  </si>
  <si>
    <t>Galvarino Riveros 590, Cesfam</t>
  </si>
  <si>
    <t>REL73577</t>
  </si>
  <si>
    <t>712925705892</t>
  </si>
  <si>
    <t>Walter Balboa</t>
  </si>
  <si>
    <t>Sargento Aldea S/N, Puerto Aysén 00, Regimiento Chiloé</t>
  </si>
  <si>
    <t>REL73585</t>
  </si>
  <si>
    <t>712926275386</t>
  </si>
  <si>
    <t>Manuel Rodríguez 998, Casa</t>
  </si>
  <si>
    <t>REL73636</t>
  </si>
  <si>
    <t>712926612576</t>
  </si>
  <si>
    <t>Maria de los angeles Peña</t>
  </si>
  <si>
    <t>Los Carreras 674, Casa</t>
  </si>
  <si>
    <t>REL73359</t>
  </si>
  <si>
    <t>712921463041</t>
  </si>
  <si>
    <t>Nataly Fuentes Aguirre</t>
  </si>
  <si>
    <t>OFICINA CHILE EXPRESS. Av. Comercio 325, RETIRA CLIENTE EN CHILEEXPRESS</t>
  </si>
  <si>
    <t>REL73371</t>
  </si>
  <si>
    <t>712921462761</t>
  </si>
  <si>
    <t>Evelyn Jara Sepúlveda</t>
  </si>
  <si>
    <t>Los Libertadores 791A, Casa 27</t>
  </si>
  <si>
    <t>REL73327</t>
  </si>
  <si>
    <t>712920712394</t>
  </si>
  <si>
    <t>Marcela Quezada Silva</t>
  </si>
  <si>
    <t>Alamiro Diaz 201</t>
  </si>
  <si>
    <t>REL73308</t>
  </si>
  <si>
    <t>712920712626</t>
  </si>
  <si>
    <t>Tirso Ojeda</t>
  </si>
  <si>
    <t>Serrano 459</t>
  </si>
  <si>
    <t>REL73265</t>
  </si>
  <si>
    <t>712919510402</t>
  </si>
  <si>
    <t>Katherin Martinez</t>
  </si>
  <si>
    <t>San Antonio Lamas s/n. Km3. Sector las Pircas, Casa trasera</t>
  </si>
  <si>
    <t>2025-06-26 10:45</t>
  </si>
  <si>
    <t>REL73251</t>
  </si>
  <si>
    <t>712919510306</t>
  </si>
  <si>
    <t>Francisca Albornoz Ulloa</t>
  </si>
  <si>
    <t>Mario Dueñas 1007</t>
  </si>
  <si>
    <t>REL73270</t>
  </si>
  <si>
    <t>712919510542</t>
  </si>
  <si>
    <t>Ursula Herrera basaul</t>
  </si>
  <si>
    <t>Patricio Lynch 2173</t>
  </si>
  <si>
    <t>REL73722</t>
  </si>
  <si>
    <t>9348833546</t>
  </si>
  <si>
    <t>Eduardo Moyano</t>
  </si>
  <si>
    <t>Parque Santa Maria de Algarrobo, Parcela M65</t>
  </si>
  <si>
    <t>REL73719</t>
  </si>
  <si>
    <t>9348873354</t>
  </si>
  <si>
    <t>Valentina Fluxá</t>
  </si>
  <si>
    <t>Av. La Montaña Norte 4438, Departamento 326-G</t>
  </si>
  <si>
    <t>REL73661</t>
  </si>
  <si>
    <t>9352486511</t>
  </si>
  <si>
    <t>Alejandro Cruz 145, 145</t>
  </si>
  <si>
    <t>REL73664</t>
  </si>
  <si>
    <t>9352893955</t>
  </si>
  <si>
    <t>Valeria León Méndez</t>
  </si>
  <si>
    <t>Calle Nueva Santelices 1609, Rinconada, Los Andes</t>
  </si>
  <si>
    <t>REL73668</t>
  </si>
  <si>
    <t>9353336403</t>
  </si>
  <si>
    <t>Cecilia Anguita</t>
  </si>
  <si>
    <t>La montaña 4770, i 133</t>
  </si>
  <si>
    <t>REL73702</t>
  </si>
  <si>
    <t>9353227903</t>
  </si>
  <si>
    <t>Paz Donoso Muñoz</t>
  </si>
  <si>
    <t>Nueva Esperanza 197, Casa Villa Altos de Pelequen</t>
  </si>
  <si>
    <t>REL73649</t>
  </si>
  <si>
    <t>9353119193</t>
  </si>
  <si>
    <t>Diego Villarroel Muñoz</t>
  </si>
  <si>
    <t>Las parras 1001, Casa 24</t>
  </si>
  <si>
    <t>REL73671</t>
  </si>
  <si>
    <t>9353014576</t>
  </si>
  <si>
    <t>Shirley Tapia Avalos</t>
  </si>
  <si>
    <t>Pasaje Bartolo Mesa Núñez 4113, 4113</t>
  </si>
  <si>
    <t>REL73732</t>
  </si>
  <si>
    <t>9348854465</t>
  </si>
  <si>
    <t>Paola Andrade bello</t>
  </si>
  <si>
    <t>San Ignacio 420, Casa</t>
  </si>
  <si>
    <t>REL73694</t>
  </si>
  <si>
    <t>9352884796</t>
  </si>
  <si>
    <t>Marcia Zuñiga cordero</t>
  </si>
  <si>
    <t>Manuel Montt 831, Casa roja</t>
  </si>
  <si>
    <t>REL73570</t>
  </si>
  <si>
    <t>9350700133</t>
  </si>
  <si>
    <t>Tamara Garcia Latorre</t>
  </si>
  <si>
    <t>Av. Victor Troncoso Muñoz 190, 17</t>
  </si>
  <si>
    <t>REL73583</t>
  </si>
  <si>
    <t>9350645555</t>
  </si>
  <si>
    <t>Yairibeth Parra</t>
  </si>
  <si>
    <t>Vicuña 440, Valle Grande, Lampa, Casa</t>
  </si>
  <si>
    <t>REL73566</t>
  </si>
  <si>
    <t>9350975561</t>
  </si>
  <si>
    <t>Teresita Dumas</t>
  </si>
  <si>
    <t>Manuel Rodríguez 1125, Casa 6</t>
  </si>
  <si>
    <t>REL73535</t>
  </si>
  <si>
    <t>9350620952</t>
  </si>
  <si>
    <t>Lisette Soto Cruces</t>
  </si>
  <si>
    <t>Av. Santa Teresa de Los Andes, 1359. Condominio jardines de la Candelaria, Depto 15, Torre 12</t>
  </si>
  <si>
    <t>REL73612</t>
  </si>
  <si>
    <t>9354458875</t>
  </si>
  <si>
    <t>Macarena Omeñaca</t>
  </si>
  <si>
    <t>Los mirlos 181, 1402</t>
  </si>
  <si>
    <t>2025-07-17 12:00</t>
  </si>
  <si>
    <t>REL73594</t>
  </si>
  <si>
    <t>9354492851</t>
  </si>
  <si>
    <t>Francisca Gonzalez fuenzalida</t>
  </si>
  <si>
    <t>Arenales 540, B, 1506</t>
  </si>
  <si>
    <t>REL73472</t>
  </si>
  <si>
    <t>9351519741</t>
  </si>
  <si>
    <t>Natalia Ojeda</t>
  </si>
  <si>
    <t>Av. Los Héroes 653, Casa</t>
  </si>
  <si>
    <t>REL73475</t>
  </si>
  <si>
    <t>9352256745</t>
  </si>
  <si>
    <t>La Vertientes 65</t>
  </si>
  <si>
    <t>REL73513</t>
  </si>
  <si>
    <t>9353933805</t>
  </si>
  <si>
    <t>Francisca Tapia Riveros</t>
  </si>
  <si>
    <t>Santa Elena 180, Cesfam Batuco</t>
  </si>
  <si>
    <t>REL73425</t>
  </si>
  <si>
    <t>9351867372</t>
  </si>
  <si>
    <t>Gisela Gatica</t>
  </si>
  <si>
    <t>Resurreccion 464, Casa</t>
  </si>
  <si>
    <t>REL73432</t>
  </si>
  <si>
    <t>9350435636</t>
  </si>
  <si>
    <t>Camilo Perez</t>
  </si>
  <si>
    <t>Pasaje Diego de Almagro 122, 122</t>
  </si>
  <si>
    <t>REL73442</t>
  </si>
  <si>
    <t>9351649274</t>
  </si>
  <si>
    <t>Cesia Vicencio Cortez</t>
  </si>
  <si>
    <t>El Arrayan paradero 47, pasaje el canelo Catemu, Casa de 2do piso con una palmera</t>
  </si>
  <si>
    <t>REL73397</t>
  </si>
  <si>
    <t>9350334674</t>
  </si>
  <si>
    <t>Edmundo eluchans 1737, 242</t>
  </si>
  <si>
    <t>REL73406</t>
  </si>
  <si>
    <t>9350481022</t>
  </si>
  <si>
    <t>Dania Benavente Morgado</t>
  </si>
  <si>
    <t>bilbao 92, oficina</t>
  </si>
  <si>
    <t>REL73415</t>
  </si>
  <si>
    <t>9349843764</t>
  </si>
  <si>
    <t>Juan Rose</t>
  </si>
  <si>
    <t>El Trebolar 22, Condominio el Trebolar.</t>
  </si>
  <si>
    <t>REL73165</t>
  </si>
  <si>
    <t>9343298624</t>
  </si>
  <si>
    <t>Marcela Santander</t>
  </si>
  <si>
    <t>1 norte 963 centro 2000 of 213, 213</t>
  </si>
  <si>
    <t>REL73158</t>
  </si>
  <si>
    <t>9343765012</t>
  </si>
  <si>
    <t>Jenniffer Andrea Ibarra</t>
  </si>
  <si>
    <t>Condominio rosas del mar klm5.5,  San Jose de mirasol,  algarrobo, Parcela 22b debe llamar antes de venir para abrir portón condominio</t>
  </si>
  <si>
    <t>REL73214</t>
  </si>
  <si>
    <t>9346923353</t>
  </si>
  <si>
    <t>Mariana Brito Allende</t>
  </si>
  <si>
    <t>Calle Santa Elena 240, Casa Batuco</t>
  </si>
  <si>
    <t>2025-06-24 09:56</t>
  </si>
  <si>
    <t>REL73281</t>
  </si>
  <si>
    <t>9345546755</t>
  </si>
  <si>
    <t>Victor Cavieres</t>
  </si>
  <si>
    <t>Condell 295, Casa</t>
  </si>
  <si>
    <t>2025-06-27 00:17</t>
  </si>
  <si>
    <t>REL73274</t>
  </si>
  <si>
    <t>9345065310</t>
  </si>
  <si>
    <t>Paulina Avello</t>
  </si>
  <si>
    <t>CONDOMINIO LA MASIA 2, LOTE 14, LOTE 14</t>
  </si>
  <si>
    <t>REL73264</t>
  </si>
  <si>
    <t>9346876744</t>
  </si>
  <si>
    <t>Jenifer Diaz Carrasco</t>
  </si>
  <si>
    <t>Valles de molina 1 . Calle 2 Casa 2214, Casa</t>
  </si>
  <si>
    <t>REL73146</t>
  </si>
  <si>
    <t>9343658855</t>
  </si>
  <si>
    <t>Francisca Padilla</t>
  </si>
  <si>
    <t>Pje. Raúl Montes 202, Villa las Araucarias</t>
  </si>
  <si>
    <t>REL73142</t>
  </si>
  <si>
    <t>9343820791</t>
  </si>
  <si>
    <t>Nelsonn Toledo</t>
  </si>
  <si>
    <t>Entrelomas 365, 807</t>
  </si>
  <si>
    <t>REL73216</t>
  </si>
  <si>
    <t>9343728004</t>
  </si>
  <si>
    <t>Jorge Daza Aular</t>
  </si>
  <si>
    <t>John Kennedy 506</t>
  </si>
  <si>
    <t>REL73151</t>
  </si>
  <si>
    <t>9343571042</t>
  </si>
  <si>
    <t>Katty Segovia</t>
  </si>
  <si>
    <t>Del Portal 410, Valle Grande</t>
  </si>
  <si>
    <t>Sag_10086</t>
  </si>
  <si>
    <t>18766585</t>
  </si>
  <si>
    <t>SAGUAROSHOES</t>
  </si>
  <si>
    <t>carla hudson</t>
  </si>
  <si>
    <t>Pedro de Arbolancha 6795</t>
  </si>
  <si>
    <t>2025-07-31 12:52</t>
  </si>
  <si>
    <t>Sag_10004</t>
  </si>
  <si>
    <t>18756101</t>
  </si>
  <si>
    <t>Y Clavijo</t>
  </si>
  <si>
    <t>2025-07-28 16:10</t>
  </si>
  <si>
    <t>Sag_10039</t>
  </si>
  <si>
    <t>18755302</t>
  </si>
  <si>
    <t>Catalina Wheeler</t>
  </si>
  <si>
    <t>San felix 1585, Depto L31</t>
  </si>
  <si>
    <t>2025-07-28 12:39</t>
  </si>
  <si>
    <t>Sag_10037</t>
  </si>
  <si>
    <t>18755294</t>
  </si>
  <si>
    <t>Ximena Fica</t>
  </si>
  <si>
    <t>Paul Harris 10028 Casa 5 Las Condes, Casa 5</t>
  </si>
  <si>
    <t>Sag_9958</t>
  </si>
  <si>
    <t>18748537</t>
  </si>
  <si>
    <t>Elizabeth Pedrero Ramirez</t>
  </si>
  <si>
    <t>Cordillera de la costa 1584, Villa manuel rojas</t>
  </si>
  <si>
    <t>2025-07-25 13:26</t>
  </si>
  <si>
    <t>Sag_9925</t>
  </si>
  <si>
    <t>18748327</t>
  </si>
  <si>
    <t>Gonzalo Lavin</t>
  </si>
  <si>
    <t>Lo Beltran 2528</t>
  </si>
  <si>
    <t>2025-07-25 12:16</t>
  </si>
  <si>
    <t>Sag_9710</t>
  </si>
  <si>
    <t>18748316</t>
  </si>
  <si>
    <t>Ángeles Huerta</t>
  </si>
  <si>
    <t>Ebro 2869, dpto 1402</t>
  </si>
  <si>
    <t>Sag_9953</t>
  </si>
  <si>
    <t>18745617</t>
  </si>
  <si>
    <t>Alejandro Díaz</t>
  </si>
  <si>
    <t>Av. el Rodeo 12.540, CS 20041-C</t>
  </si>
  <si>
    <t>2025-07-24 13:22</t>
  </si>
  <si>
    <t>Sag_9943</t>
  </si>
  <si>
    <t>18745179</t>
  </si>
  <si>
    <t>BARBARA GABRIELA HERNANDEZ GALVEZ</t>
  </si>
  <si>
    <t>Los Alfiles 820 Maipu</t>
  </si>
  <si>
    <t>Sag_9805</t>
  </si>
  <si>
    <t>18739111</t>
  </si>
  <si>
    <t>Vanessa Rojas</t>
  </si>
  <si>
    <t>Pedro Nolasco Vidal 1135</t>
  </si>
  <si>
    <t>2025-07-21 19:11</t>
  </si>
  <si>
    <t>Sag_9904</t>
  </si>
  <si>
    <t>18739082</t>
  </si>
  <si>
    <t>Felipe Rivera Mesas</t>
  </si>
  <si>
    <t>Avenida Independencia 1050, 412</t>
  </si>
  <si>
    <t>2025-07-22 11:45</t>
  </si>
  <si>
    <t>Sag_9878</t>
  </si>
  <si>
    <t>18739076</t>
  </si>
  <si>
    <t>sebastian yevenes</t>
  </si>
  <si>
    <t>Camino Punta de Aguilas 4343,, Casa 4</t>
  </si>
  <si>
    <t>2025-07-21 18:50</t>
  </si>
  <si>
    <t>Sag_10073</t>
  </si>
  <si>
    <t>NOMBRE RETIRA: ALEJANDRA ILLANES . RUT RETIRA: 53332851-2</t>
  </si>
  <si>
    <t>Maria de los A Oñate</t>
  </si>
  <si>
    <t>Laurencia 320</t>
  </si>
  <si>
    <t>Sag_10101</t>
  </si>
  <si>
    <t>NOMBRE RETIRA: JUAN GONZALES V RUT RETIRA: 56086560-0</t>
  </si>
  <si>
    <t>Rick Alfaro</t>
  </si>
  <si>
    <t>Vega 792, 1005 condominio esmeralda</t>
  </si>
  <si>
    <t>Sag_10019</t>
  </si>
  <si>
    <t>NOMBRE RETIRA: DIEGO OJEDA ... RUT RETIRA: 17513125-6</t>
  </si>
  <si>
    <t>Diego Ojeda Cardenas</t>
  </si>
  <si>
    <t>Región de los Ríos, La Unión, Las Pataguas #25, Casa</t>
  </si>
  <si>
    <t>Sag_10055</t>
  </si>
  <si>
    <t>NOMBRE RETIRA: ALVARO SUYAI . RUT RETIRA: 12918748-4</t>
  </si>
  <si>
    <t>kenny aliaga</t>
  </si>
  <si>
    <t>volcan linzor 2674 pinos quilpue, casa</t>
  </si>
  <si>
    <t>2025-07-28 21:36</t>
  </si>
  <si>
    <t>Sag_9972</t>
  </si>
  <si>
    <t>NOMBRE RETIRA: MARCELO BRUNO H RUT RETIRA: 18143608-5</t>
  </si>
  <si>
    <t>Marcelo Bruno</t>
  </si>
  <si>
    <t>Lientur 760, Casa 11</t>
  </si>
  <si>
    <t>Sag_10046</t>
  </si>
  <si>
    <t>NOMBRE RETIRA: ROELY OJEDA X RUT RETIRA: 26531597-6</t>
  </si>
  <si>
    <t>María Fernanda Valeri</t>
  </si>
  <si>
    <t>Avenida Borgoño 19040, 404</t>
  </si>
  <si>
    <t>2025-07-28 20:21</t>
  </si>
  <si>
    <t>Sag_9617</t>
  </si>
  <si>
    <t>NOMBRE RETIRA: BELEN DIEZT 0 RUT RETIRA: 10935038-9</t>
  </si>
  <si>
    <t>Belen Dietz</t>
  </si>
  <si>
    <t>Volcán Choshuenco 690</t>
  </si>
  <si>
    <t>2025-07-28 12:05</t>
  </si>
  <si>
    <t>Sag_9933</t>
  </si>
  <si>
    <t>Sebastian Aspee</t>
  </si>
  <si>
    <t>Alcalde 538</t>
  </si>
  <si>
    <t>Sag_10041</t>
  </si>
  <si>
    <t>NOMBRE RETIRA: DIEGO AGUAYO G RUT RETIRA: 11685024-9</t>
  </si>
  <si>
    <t>Diego Aguayo Gazalez</t>
  </si>
  <si>
    <t>Avenida Boca Maule Norte 1112</t>
  </si>
  <si>
    <t>Sag_9991</t>
  </si>
  <si>
    <t>NOMBRE RETIRA: CARLOS AYALA . RUT RETIRA: 17047930-0</t>
  </si>
  <si>
    <t>Carlos Ayala</t>
  </si>
  <si>
    <t>Intendente José Antonio Pl. 4436, 4436</t>
  </si>
  <si>
    <t>2025-07-26 11:55</t>
  </si>
  <si>
    <t>Sag_10024</t>
  </si>
  <si>
    <t>NOMBRE RETIRA: DANIEL MANRIQUEZ S RUT RETIRA: 9200934-3</t>
  </si>
  <si>
    <t>Daniel Manriquez Fischer</t>
  </si>
  <si>
    <t>camilo morí 853, Chillan, casa</t>
  </si>
  <si>
    <t>2025-07-28 12:25</t>
  </si>
  <si>
    <t>Sag_9994</t>
  </si>
  <si>
    <t>NOMBRE RETIRA: SEBASTIAM ARANCIBIA N RUT RETIRA: 13223891-K</t>
  </si>
  <si>
    <t>Sebastian Arancibia</t>
  </si>
  <si>
    <t>Alejandro flores 3427, 3427</t>
  </si>
  <si>
    <t>Sag_10036</t>
  </si>
  <si>
    <t>NOMBRE RETIRA: PATRICIA LEIVA . RUT RETIRA: 14261104-K</t>
  </si>
  <si>
    <t>maria patricia campos</t>
  </si>
  <si>
    <t>manso de velasco 592</t>
  </si>
  <si>
    <t>2025-07-28 12:19</t>
  </si>
  <si>
    <t>Sag_9778</t>
  </si>
  <si>
    <t>NOMBRE RETIRA: SERGIO ZULETA . RUT RETIRA: 16959430-9</t>
  </si>
  <si>
    <t>Sergio Zuleta</t>
  </si>
  <si>
    <t>Los Caracoles 412, Casa</t>
  </si>
  <si>
    <t>Sag_9935</t>
  </si>
  <si>
    <t>NOMBRE RETIRA: MARIA CONSTANZA JUAREZ HUBNER RUT RETIRA: 15959589-7</t>
  </si>
  <si>
    <t>Constanza Juárez</t>
  </si>
  <si>
    <t>AGUAS CLARAS RUTA F-30 ESQUINA F-124 LOCAL 20-21</t>
  </si>
  <si>
    <t>2025-07-24 11:54</t>
  </si>
  <si>
    <t>Sag_9924</t>
  </si>
  <si>
    <t>NOMBRE RETIRA: RICHARD GALLEGOS L RUT RETIRA: 20021188-K</t>
  </si>
  <si>
    <t>Richard Gallegos</t>
  </si>
  <si>
    <t>Rioseco 220</t>
  </si>
  <si>
    <t>Sag_9968</t>
  </si>
  <si>
    <t>NOMBRE RETIRA: VICTOR ROJAS HERMOSILA RUT RETIRA: 18584977-5</t>
  </si>
  <si>
    <t>Victor Rojas Hermosilla</t>
  </si>
  <si>
    <t>Traslaviña 222, escalera que da a segundo piso</t>
  </si>
  <si>
    <t>Sag_9928</t>
  </si>
  <si>
    <t>NOMBRE RETIRA: CAMILA CEBALLO C RUT RETIRA: 14472022-9</t>
  </si>
  <si>
    <t>Camila Ceballo</t>
  </si>
  <si>
    <t>Luis moll briones 232</t>
  </si>
  <si>
    <t>2025-07-24 10:29</t>
  </si>
  <si>
    <t>Sag_9923</t>
  </si>
  <si>
    <t>NOMBRE RETIRA: PATRICIO ROSELL Y RUT RETIRA: 11898589-3</t>
  </si>
  <si>
    <t>Pablo Melo Moreno</t>
  </si>
  <si>
    <t>MaipÚ 1339, 1103</t>
  </si>
  <si>
    <t>2025-07-23 21:23</t>
  </si>
  <si>
    <t>Sag_9877</t>
  </si>
  <si>
    <t>NOMBRE RETIRA: ISIDORA MONCADA X RUT RETIRA: 16612708-4</t>
  </si>
  <si>
    <t>Isidora Constanza Moncada Queupul</t>
  </si>
  <si>
    <t>Amador Salman 0554</t>
  </si>
  <si>
    <t>Sag_9903</t>
  </si>
  <si>
    <t>NOMBRE RETIRA: ANA BARRAZA . RUT RETIRA: 12840615-8</t>
  </si>
  <si>
    <t>SEBASTIAN RIVERA</t>
  </si>
  <si>
    <t>Washington 2701, Piso 3, Mutual de seguridad, horario de oficina</t>
  </si>
  <si>
    <t>Sag_9263</t>
  </si>
  <si>
    <t>NOMBRE RETIRA: SOFIA MOLLO . RUT RETIRA: 20775939-2</t>
  </si>
  <si>
    <t>Kiyoshi Kuwahara</t>
  </si>
  <si>
    <t>Av. Arturo prat 1670, Delos 265</t>
  </si>
  <si>
    <t>2025-07-18 13:20</t>
  </si>
  <si>
    <t>Sag_9874</t>
  </si>
  <si>
    <t>NOMBRE RETIRA: CAROLYN VEGA .. RUT RETIRA: 19146817-1</t>
  </si>
  <si>
    <t>Carolayn Vega</t>
  </si>
  <si>
    <t>Las encinas 751</t>
  </si>
  <si>
    <t>2025-07-21 18:46</t>
  </si>
  <si>
    <t>Sag_9862</t>
  </si>
  <si>
    <t>NOMBRE RETIRA: PAULA MORALES B RUT RETIRA: 65200575-6</t>
  </si>
  <si>
    <t>Paula Morales Arancibia</t>
  </si>
  <si>
    <t>Pasaje Rincón de las Bandurrias, 24</t>
  </si>
  <si>
    <t>2025-07-20 19:23</t>
  </si>
  <si>
    <t>Sag_9758</t>
  </si>
  <si>
    <t>NOMBRE RETIRA: CRISTOBAL MAHN . RUT RETIRA: 17345903-3</t>
  </si>
  <si>
    <t>cristobal mahn</t>
  </si>
  <si>
    <t>tocopilla 481</t>
  </si>
  <si>
    <t>Sag_9820</t>
  </si>
  <si>
    <t>NOMBRE RETIRA: CONSTANZA LIZANA . RUT RETIRA: 19210667-2</t>
  </si>
  <si>
    <t>Constanza Lizana Hernandez</t>
  </si>
  <si>
    <t>Calle Río tinguiririca 458 los montes, Casa 458</t>
  </si>
  <si>
    <t>2025-07-20 17:26</t>
  </si>
  <si>
    <t>Sag_9832</t>
  </si>
  <si>
    <t>NOMBRE RETIRA: SUSANA SOTILE S RUT RETIRA: 20137133-3</t>
  </si>
  <si>
    <t>Susana Sottile</t>
  </si>
  <si>
    <t>Miller 830 cerro San Juan de Dios</t>
  </si>
  <si>
    <t>2025-07-21 13:16</t>
  </si>
  <si>
    <t>Sag_9833</t>
  </si>
  <si>
    <t>NOMBRE RETIRA: CRISTIAN ARAYA J RUT RETIRA: 6753112-4</t>
  </si>
  <si>
    <t>Cristian Tapia Araya</t>
  </si>
  <si>
    <t>Antonio pareja 401</t>
  </si>
  <si>
    <t>Sag_9585</t>
  </si>
  <si>
    <t>NOMBRE RETIRA: MARIA NAVARRO X RUT RETIRA: 8107800-9</t>
  </si>
  <si>
    <t>Ekatheryna Gonzalez subiabre</t>
  </si>
  <si>
    <t>Ramon freire 52, Entre farmacia panguipulli y gasco</t>
  </si>
  <si>
    <t>2025-07-18 10:35</t>
  </si>
  <si>
    <t>Sag_9799</t>
  </si>
  <si>
    <t>NOMBRE RETIRA: JULIA CONDORI X RUT RETIRA: 23100566-8</t>
  </si>
  <si>
    <t>sergio petricio</t>
  </si>
  <si>
    <t>jose miguel carrera 1663, departamento 1003</t>
  </si>
  <si>
    <t>2025-07-18 10:18</t>
  </si>
  <si>
    <t>Sag_9730</t>
  </si>
  <si>
    <t>NOMBRE RETIRA: KEVIN QUEZADA . RUT RETIRA: 17575914-K</t>
  </si>
  <si>
    <t>Kevin Quezada Lopez</t>
  </si>
  <si>
    <t>Calle Nueva 57, Río Álvarez, Forestal Alto, 57</t>
  </si>
  <si>
    <t>Sag_9740</t>
  </si>
  <si>
    <t>NOMBRE RETIRA: VICTOR RUFI T RUT RETIRA: 19334457-7</t>
  </si>
  <si>
    <t>Carolina Cordova Muñoz</t>
  </si>
  <si>
    <t>Avenida parques de carriel 5745, Casa 23</t>
  </si>
  <si>
    <t>2025-07-17 13:11</t>
  </si>
  <si>
    <t>Sag_9768</t>
  </si>
  <si>
    <t>NOMBRE RETIRA: MARIO MORA M RUT RETIRA: 10721884-K</t>
  </si>
  <si>
    <t>Isabel San Martín Ramírez</t>
  </si>
  <si>
    <t>Las Heras 1025, Depto 2108</t>
  </si>
  <si>
    <t>2025-07-17 13:00</t>
  </si>
  <si>
    <t>Sag_9723</t>
  </si>
  <si>
    <t>NOMBRE RETIRA: MICHAEL TRESWELD . RUT RETIRA: 56054780-3</t>
  </si>
  <si>
    <t>Darío Zañartu</t>
  </si>
  <si>
    <t>8 Norte 899, Local 1 Edificio Emperador</t>
  </si>
  <si>
    <t>Sag_9752</t>
  </si>
  <si>
    <t>NOMBRE RETIRA: CRISTINA NORAMBUENA . . RUT RETIRA: 18457855-7</t>
  </si>
  <si>
    <t>Diego Venegas Vivanco</t>
  </si>
  <si>
    <t>12 de Febrero 1471, Villa dr Sagre</t>
  </si>
  <si>
    <t>2025-07-17 12:25</t>
  </si>
  <si>
    <t>Sag_9696</t>
  </si>
  <si>
    <t>NOMBRE RETIRA: DIEGO CORTES CONSERJERIA RUT RETIRA: 15955595-K</t>
  </si>
  <si>
    <t>Felipe Meneses Muñoz</t>
  </si>
  <si>
    <t>Enrique lihn 4332, Depto 302 torre 2</t>
  </si>
  <si>
    <t>Sag_9761</t>
  </si>
  <si>
    <t>NOMBRE RETIRA: CRISTIAN ARAYA M RUT RETIRA: 6753112-4</t>
  </si>
  <si>
    <t>Sag_9689</t>
  </si>
  <si>
    <t>NOMBRE RETIRA: KAREN SALGADO X RUT RETIRA: 65047217-9</t>
  </si>
  <si>
    <t>Carmen Bobillier</t>
  </si>
  <si>
    <t>Mirador norte 810, 42A</t>
  </si>
  <si>
    <t>2025-07-14 13:06</t>
  </si>
  <si>
    <t>Sag_9634</t>
  </si>
  <si>
    <t>NOMBRE RETIRA: MARIANELA BRAVO . RUT RETIRA: 14588115-3</t>
  </si>
  <si>
    <t>Diego Fernandez</t>
  </si>
  <si>
    <t>sendero del sol 585, F-32</t>
  </si>
  <si>
    <t>Sag_9631</t>
  </si>
  <si>
    <t>NOMBRE RETIRA: BELEN RIQUELME N RUT RETIRA: 10721237-K</t>
  </si>
  <si>
    <t>Francia 35, Depto 404</t>
  </si>
  <si>
    <t>Sag_9627</t>
  </si>
  <si>
    <t>NOMBRE RETIRA: JORGR RECABARREN A RUT RETIRA: 20137133-3</t>
  </si>
  <si>
    <t>Fernando Calderón</t>
  </si>
  <si>
    <t>Jorge Kenrick 800, Depto 1304</t>
  </si>
  <si>
    <t>2025-07-12 11:40</t>
  </si>
  <si>
    <t>Sag_9606</t>
  </si>
  <si>
    <t>NOMBRE RETIRA: RICARDO CONSEJER E RUT RETIRA: 65202142-5</t>
  </si>
  <si>
    <t>Catalina Salgado Chamorro</t>
  </si>
  <si>
    <t>Altos de viña 235, 1502</t>
  </si>
  <si>
    <t>2025-07-11 12:29</t>
  </si>
  <si>
    <t>Sag_9662</t>
  </si>
  <si>
    <t>NOMBRE RETIRA: NNNERIC CORTES . RUT RETIRA: 53333105-K</t>
  </si>
  <si>
    <t>Nicolás Gabriel Sebastián Lopez</t>
  </si>
  <si>
    <t>Cardenal samore 1246 depto 904 torre 4, Depto 904 torre 4</t>
  </si>
  <si>
    <t>2025-07-14 12:36</t>
  </si>
  <si>
    <t>Sag_9578</t>
  </si>
  <si>
    <t>NOMBRE RETIRA: MARTIN MWJIAS . RUT RETIRA: 21393649-2</t>
  </si>
  <si>
    <t>Martin Mejías ormeño</t>
  </si>
  <si>
    <t>Tres Ote. 2645</t>
  </si>
  <si>
    <t>2025-07-14 13:30</t>
  </si>
  <si>
    <t>Sag_9590</t>
  </si>
  <si>
    <t>NOMBRE RETIRA: PARRICIO CAMPOS M RUT RETIRA: 3801664-4</t>
  </si>
  <si>
    <t>Sandra Arias</t>
  </si>
  <si>
    <t>Blumell 0105 Playa Blanca</t>
  </si>
  <si>
    <t>Sag_9523</t>
  </si>
  <si>
    <t>NOMBRE RETIRA: JUAN OLIVARES . RUT RETIRA: 15102925-6</t>
  </si>
  <si>
    <t>Juan Carlos Olivares Vergara</t>
  </si>
  <si>
    <t>Avenida la Estancia 440</t>
  </si>
  <si>
    <t>2025-07-08 12:43</t>
  </si>
  <si>
    <t>Sag_9608</t>
  </si>
  <si>
    <t>NOMBRE RETIRA: JUAN CARLOS DURAN X RUT RETIRA: 65104536-3</t>
  </si>
  <si>
    <t>Javiera Sánchez Timmermann</t>
  </si>
  <si>
    <t>Los Prunos 486, 1901</t>
  </si>
  <si>
    <t>2025-07-11 12:50</t>
  </si>
  <si>
    <t>Sag_9575</t>
  </si>
  <si>
    <t>NOMBRE RETIRA: MICHEL CORTES K RUT RETIRA: 8305654-1</t>
  </si>
  <si>
    <t>Michel Cortés</t>
  </si>
  <si>
    <t>Santiago Hurtado Neira 2693, villa alemana</t>
  </si>
  <si>
    <t>Sag_9201</t>
  </si>
  <si>
    <t>NOMBRE RETIRA: JAVIER PEREZ . RUT RETIRA: 19435269-7</t>
  </si>
  <si>
    <t>Camila perez ramirez</t>
  </si>
  <si>
    <t>Condominio La Tirana 4300,Casa 154</t>
  </si>
  <si>
    <t>2025-07-07 18:04</t>
  </si>
  <si>
    <t>Sag_9490</t>
  </si>
  <si>
    <t>NOMBRE RETIRA: JUANA ARGEL . RUT RETIRA: 16194452-1</t>
  </si>
  <si>
    <t>Patricio Phillips</t>
  </si>
  <si>
    <t>Del Puente 321</t>
  </si>
  <si>
    <t>2025-07-07 17:41</t>
  </si>
  <si>
    <t>Sag_9500</t>
  </si>
  <si>
    <t>Leonardo Pino</t>
  </si>
  <si>
    <t>Las heras 1025, 2108</t>
  </si>
  <si>
    <t>2025-07-07 18:24</t>
  </si>
  <si>
    <t>Sag_9402</t>
  </si>
  <si>
    <t>pilar ulriksen</t>
  </si>
  <si>
    <t>2025-07-07 17:59</t>
  </si>
  <si>
    <t>Sag_9497</t>
  </si>
  <si>
    <t>NOMBRE RETIRA: NELSON CABEZA X RUT RETIRA: 16829399-2</t>
  </si>
  <si>
    <t>2025-07-07 13:19</t>
  </si>
  <si>
    <t>Sag_9507</t>
  </si>
  <si>
    <t>NOMBRE RETIRA: SERGIO CASTILLO . RUT RETIRA: 17736384-7</t>
  </si>
  <si>
    <t>Javier Vásquez</t>
  </si>
  <si>
    <t>Cerro paranal 310, Dpto 184</t>
  </si>
  <si>
    <t>Sag_9517</t>
  </si>
  <si>
    <t>Nicolas Cisterna</t>
  </si>
  <si>
    <t>Álvarez 1822, 1405A</t>
  </si>
  <si>
    <t>Sag_9443</t>
  </si>
  <si>
    <t>NOMBRE RETIRA: TATIANA IVANOVA NN RUT RETIRA: 25694996-2</t>
  </si>
  <si>
    <t>Tatiana Ivanova</t>
  </si>
  <si>
    <t>Ruta 215, Km 12, Condominio Las Ruedas, Casa 2</t>
  </si>
  <si>
    <t>2025-07-04 12:00</t>
  </si>
  <si>
    <t>Sag_9299</t>
  </si>
  <si>
    <t>NOMBRE RETIRA: VERONICA CARTAGENA . RUT RETIRA: 13989414-6</t>
  </si>
  <si>
    <t>Veronica Cartagena</t>
  </si>
  <si>
    <t>Calle Del Valle Poniente 038</t>
  </si>
  <si>
    <t>2025-07-04 11:51</t>
  </si>
  <si>
    <t>Sag_9445</t>
  </si>
  <si>
    <t>NOMBRE RETIRA: GUISLA GALBEZ M RUT RETIRA: 13720788-5</t>
  </si>
  <si>
    <t>Guisela Galvez</t>
  </si>
  <si>
    <t>calle uno y dos de octubre , número 358</t>
  </si>
  <si>
    <t>2025-07-04 11:59</t>
  </si>
  <si>
    <t>Sag_9386</t>
  </si>
  <si>
    <t>NOMBRE RETIRA: MELISA LABRANA . RUT RETIRA: 18173495-7</t>
  </si>
  <si>
    <t>Melisa labraña silva</t>
  </si>
  <si>
    <t>las horquetas 0251</t>
  </si>
  <si>
    <t>Sag_9300</t>
  </si>
  <si>
    <t>NOMBRE RETIRA: GASTON MARDONES . RUT RETIRA: 6522889-0</t>
  </si>
  <si>
    <t>Fabián Gómez Acuña</t>
  </si>
  <si>
    <t>Francisco de Asís #183, Condominio Francisco Pizarro II, Casa 5</t>
  </si>
  <si>
    <t>Sag_8819</t>
  </si>
  <si>
    <t>NOMBRE RETIRA: CAMILO ARCE . RUT RETIRA: 20000504-K</t>
  </si>
  <si>
    <t>Camilo Ignacio Arce Henry</t>
  </si>
  <si>
    <t>Bellavista 22, Sector Los Romeros</t>
  </si>
  <si>
    <t>2025-07-02 20:41</t>
  </si>
  <si>
    <t>Sag_9351</t>
  </si>
  <si>
    <t>NOMBRE RETIRA: ROSA GOMEZ GOMEZ RUT RETIRA: 7580734-1</t>
  </si>
  <si>
    <t>Olga Basualto</t>
  </si>
  <si>
    <t>CALLE LIMA 360, 114</t>
  </si>
  <si>
    <t>Sag_8826</t>
  </si>
  <si>
    <t>NOMBRE RETIRA: BARBARA SOLIS . RUT RETIRA: 20317612-0</t>
  </si>
  <si>
    <t>Margarita Saavedra Yañez</t>
  </si>
  <si>
    <t>AVDA. SIMPSON 1136</t>
  </si>
  <si>
    <t>2025-06-16 12:24</t>
  </si>
  <si>
    <t>Sag_9360</t>
  </si>
  <si>
    <t>NOMBRE RETIRA: KATIA TODOROFF ... RUT RETIRA: 9886222-6</t>
  </si>
  <si>
    <t>Katia Todoroff</t>
  </si>
  <si>
    <t>Lote N°120, Hacienda Zapallar, Camino A Zapallar Km 6.3, Lote 120, Lote 120, Lote 120</t>
  </si>
  <si>
    <t>2025-07-01 13:10</t>
  </si>
  <si>
    <t>Sag_9339</t>
  </si>
  <si>
    <t>NOMBRE RETIRA: PATRICIA SANDOVAL . RUT RETIRA: 65027070-3</t>
  </si>
  <si>
    <t>Patricia Sandoval</t>
  </si>
  <si>
    <t>German riesco 2175, Departamento 1101 torre b</t>
  </si>
  <si>
    <t>2025-06-30 16:30</t>
  </si>
  <si>
    <t>Sag_9337</t>
  </si>
  <si>
    <t>NOMBRE RETIRA: SANTIAGO CALDERON . RUT RETIRA: 53335226-K</t>
  </si>
  <si>
    <t>Camila Bertrand</t>
  </si>
  <si>
    <t>Bulnes 503, Torre 4 depto 413</t>
  </si>
  <si>
    <t>Sag_8455_reenviogarantia</t>
  </si>
  <si>
    <t>NOMBRE RETIRA: KAREN AVENDANO . RUT RETIRA: 18686443-3</t>
  </si>
  <si>
    <t>Karem daniela Avendaño cabeza</t>
  </si>
  <si>
    <t>Esteban de sosa 575, Lomas El Conquistador</t>
  </si>
  <si>
    <t>2025-06-30 13:14</t>
  </si>
  <si>
    <t>Sag_9344</t>
  </si>
  <si>
    <t>NOMBRE RETIRA: JOSE GONZALEZ CONSERJERIA RUT RETIRA: 25853315-1</t>
  </si>
  <si>
    <t>Rodrigo Perez Stiepovic</t>
  </si>
  <si>
    <t>Avenida Los Perales 1129, Departamento 42</t>
  </si>
  <si>
    <t>2025-06-30 12:52</t>
  </si>
  <si>
    <t>Sag_10021</t>
  </si>
  <si>
    <t>712929517123</t>
  </si>
  <si>
    <t>Greisy Zambrano vidal</t>
  </si>
  <si>
    <t>Presidente jorge montt 2500</t>
  </si>
  <si>
    <t>2025-07-28 12:27</t>
  </si>
  <si>
    <t>Sag_9921</t>
  </si>
  <si>
    <t>712928143314</t>
  </si>
  <si>
    <t>Karenine Venegas</t>
  </si>
  <si>
    <t>Merced 710</t>
  </si>
  <si>
    <t>2025-07-23 13:38</t>
  </si>
  <si>
    <t>Sag_9790</t>
  </si>
  <si>
    <t>712926628735</t>
  </si>
  <si>
    <t>Lizeth Ibañez Quinteros</t>
  </si>
  <si>
    <t>Bulgaria 3743</t>
  </si>
  <si>
    <t>2025-07-18 11:46</t>
  </si>
  <si>
    <t>Sag_9579</t>
  </si>
  <si>
    <t>712923863492</t>
  </si>
  <si>
    <t>Mauro Diaz gomez</t>
  </si>
  <si>
    <t>Arturo Prat, 621</t>
  </si>
  <si>
    <t>Sag_9458</t>
  </si>
  <si>
    <t>9351860862</t>
  </si>
  <si>
    <t>Ana cecilia Garcia Grsu</t>
  </si>
  <si>
    <t>Barros Luco 1239, 1239</t>
  </si>
  <si>
    <t>2025-07-07 17:36</t>
  </si>
  <si>
    <t>Sag_9553</t>
  </si>
  <si>
    <t>9351874766</t>
  </si>
  <si>
    <t>Nadia León López</t>
  </si>
  <si>
    <t>Avenida Isidoro Dubournais 747 el quisco</t>
  </si>
  <si>
    <t>2025-07-08 12:28</t>
  </si>
  <si>
    <t>Sag_9269</t>
  </si>
  <si>
    <t>9345137970</t>
  </si>
  <si>
    <t>Josefina Valdes Bernstein</t>
  </si>
  <si>
    <t>Camino linderos alto jahuel 4850, 3A</t>
  </si>
  <si>
    <t>2025-06-26 17:20</t>
  </si>
  <si>
    <t>LAQ10254</t>
  </si>
  <si>
    <t>18766633</t>
  </si>
  <si>
    <t>Stocka - Logística Ecommerce</t>
  </si>
  <si>
    <t>Marcela Orellana</t>
  </si>
  <si>
    <t>Ricardo Lyon 1655, DEPTO 502</t>
  </si>
  <si>
    <t>2025-07-31 13:02</t>
  </si>
  <si>
    <t>LAQ10256</t>
  </si>
  <si>
    <t>18766629</t>
  </si>
  <si>
    <t>Tamara Orellana Valdivieso</t>
  </si>
  <si>
    <t>Agustinas 1612, dpto 503</t>
  </si>
  <si>
    <t>2025-07-31 13:00</t>
  </si>
  <si>
    <t>MSE2871</t>
  </si>
  <si>
    <t>18762489</t>
  </si>
  <si>
    <t>Marlene Rios</t>
  </si>
  <si>
    <t>Alsino 4461</t>
  </si>
  <si>
    <t>GMP1251</t>
  </si>
  <si>
    <t>18748311</t>
  </si>
  <si>
    <t>Andrea Campaña</t>
  </si>
  <si>
    <t>Mateo de Toro y Zambrano 1454, DEPTO 214</t>
  </si>
  <si>
    <t>2025-07-25 12:09</t>
  </si>
  <si>
    <t>GMP1252</t>
  </si>
  <si>
    <t>18748310</t>
  </si>
  <si>
    <t>Sandra Rendic Price</t>
  </si>
  <si>
    <t>Avenida El Tranque 12189 , 208</t>
  </si>
  <si>
    <t>2025-07-25 12:10</t>
  </si>
  <si>
    <t>MSE2862</t>
  </si>
  <si>
    <t>18745169</t>
  </si>
  <si>
    <t>Carolina Soto San Martín</t>
  </si>
  <si>
    <t>Felix mendelssohn 5030</t>
  </si>
  <si>
    <t>2025-07-24 11:50</t>
  </si>
  <si>
    <t>MMED711</t>
  </si>
  <si>
    <t>18739125</t>
  </si>
  <si>
    <t>Daniela Camus</t>
  </si>
  <si>
    <t>Camino del Refugio, 14000, CHAMISERO</t>
  </si>
  <si>
    <t>2025-07-22 12:52</t>
  </si>
  <si>
    <t>MMED712</t>
  </si>
  <si>
    <t>18739117</t>
  </si>
  <si>
    <t>Miguel Zilli</t>
  </si>
  <si>
    <t>La Capitanía, 939, PISO 118</t>
  </si>
  <si>
    <t>2025-07-22 12:50</t>
  </si>
  <si>
    <t>MEDSKILLS#5779</t>
  </si>
  <si>
    <t>18739100</t>
  </si>
  <si>
    <t>Sebastian Inzunza</t>
  </si>
  <si>
    <t>Carrion 1319, Dpto 2004-B, Independencia</t>
  </si>
  <si>
    <t>2025-07-22 12:45</t>
  </si>
  <si>
    <t>MMED718</t>
  </si>
  <si>
    <t>NOMBRE RETIRA: AUGUSTO MUNOZ .. RUT RETIRA: 53312051-2</t>
  </si>
  <si>
    <t>Ximena Oyanedel Pérez</t>
  </si>
  <si>
    <t>Álvarez , 132, 124, CENTRO VIÑA</t>
  </si>
  <si>
    <t>2025-07-28 12:12</t>
  </si>
  <si>
    <t>LAQU230725</t>
  </si>
  <si>
    <t>NOMBRE RETIRA: RAFAEL ESPINOZA ... RUT RETIRA: 53334245-0</t>
  </si>
  <si>
    <t>Camila Casanueva</t>
  </si>
  <si>
    <t>Calle del Agua 1155 - Dp. 904</t>
  </si>
  <si>
    <t>2025-07-24 12:19</t>
  </si>
  <si>
    <t>ANL#1002</t>
  </si>
  <si>
    <t>NOMBRE RETIRA: JEREMIAS NEIRA . RUT RETIRA: 16323110-7</t>
  </si>
  <si>
    <t>Jeremías Neira</t>
  </si>
  <si>
    <t>Cochrane 400</t>
  </si>
  <si>
    <t>GMP1248</t>
  </si>
  <si>
    <t>NOMBRE RETIRA: CLAUDIA MOLINA .. RUT RETIRA: 17047930-0</t>
  </si>
  <si>
    <t>Claudia Molina González</t>
  </si>
  <si>
    <t>Pasaje Quitrihue 120, villa galilea</t>
  </si>
  <si>
    <t>GMP#1243</t>
  </si>
  <si>
    <t>NOMBRE RETIRA: ANABELLA JIMENEZ . RUT RETIRA: 11329780-8</t>
  </si>
  <si>
    <t>annabella jimenez</t>
  </si>
  <si>
    <t>BARRIO PRIVADO LOMAS DEL MAUCO, SITIO 5. MANTAGUA</t>
  </si>
  <si>
    <t>GMP#1241</t>
  </si>
  <si>
    <t>NOMBRE RETIRA: FEDORA REYES R RUT RETIRA: 65067074-4</t>
  </si>
  <si>
    <t>Fedora Reyes</t>
  </si>
  <si>
    <t>Principal 16, RODELILLO</t>
  </si>
  <si>
    <t>2025-07-18 12:45</t>
  </si>
  <si>
    <t>MMED700</t>
  </si>
  <si>
    <t>NOMBRE RETIRA: JONATHAN CORNEJO . RUT RETIRA: 16308058-3</t>
  </si>
  <si>
    <t>Jonathan Cornejo</t>
  </si>
  <si>
    <t>Francisco de Aguirre , 69, POBLACION VICTORIA</t>
  </si>
  <si>
    <t>2025-07-17 12:05</t>
  </si>
  <si>
    <t>SER1507251</t>
  </si>
  <si>
    <t>NOMBRE RETIRA: MICHELLE VALDEVENITO M RUT RETIRA: 10721237-K</t>
  </si>
  <si>
    <t>Comerc. On line de alimentos mascotas y accesorios. Marcela Contreras Aguilera</t>
  </si>
  <si>
    <t>Av. Alemania 585 A</t>
  </si>
  <si>
    <t>2025-07-15 14:02</t>
  </si>
  <si>
    <t>MMED694</t>
  </si>
  <si>
    <t>NOMBRE RETIRA: KATERINE SCHENCKE . RUT RETIRA: 21205620-0</t>
  </si>
  <si>
    <t>Natalia mayorga</t>
  </si>
  <si>
    <t>Juan Mackenna, 1444</t>
  </si>
  <si>
    <t>2025-07-14 12:20</t>
  </si>
  <si>
    <t>MMED696</t>
  </si>
  <si>
    <t>NOMBRE RETIRA: KATALINA N M RUT RETIRA: 26455000-9</t>
  </si>
  <si>
    <t>Katalina Caceres Diaz</t>
  </si>
  <si>
    <t>El Trapiche, 3152, e-513</t>
  </si>
  <si>
    <t>2025-07-14 13:01</t>
  </si>
  <si>
    <t>LAQ10229</t>
  </si>
  <si>
    <t>NOMBRE RETIRA: MACARENA REQUESES . RUT RETIRA: 19103192-K</t>
  </si>
  <si>
    <t>macarena requesens olivares</t>
  </si>
  <si>
    <t>ignacio carrera pinto 206</t>
  </si>
  <si>
    <t>MMED688</t>
  </si>
  <si>
    <t>Mirian Soto Gomez</t>
  </si>
  <si>
    <t>Los claveles, 535, Barrio: Tejas verdes</t>
  </si>
  <si>
    <t>2025-07-09 14:47</t>
  </si>
  <si>
    <t>OPARD1272</t>
  </si>
  <si>
    <t>NOMBRE RETIRA: MARYELIS GUTIRES M RUT RETIRA: 27748745-4</t>
  </si>
  <si>
    <t>Paseo del Torreón 1436</t>
  </si>
  <si>
    <t>2025-07-08 12:51</t>
  </si>
  <si>
    <t>mmed686</t>
  </si>
  <si>
    <t>NOMBRE RETIRA: PATRICIA MUNOZ . RUT RETIRA: 15112254-K</t>
  </si>
  <si>
    <t>Narmen bastian edmundo Molina Cofre</t>
  </si>
  <si>
    <t>Paul harris 663,  Casa 16</t>
  </si>
  <si>
    <t>2025-07-08 12:50</t>
  </si>
  <si>
    <t>MSE2840</t>
  </si>
  <si>
    <t>NOMBRE RETIRA: CAROLINA IBANEZ .. RUT RETIRA: 9836741-1</t>
  </si>
  <si>
    <t>Miguel Fuentes Rojas</t>
  </si>
  <si>
    <t>Calle Viena 050 A</t>
  </si>
  <si>
    <t>MMED678-679</t>
  </si>
  <si>
    <t>NOMBRE RETIRA: MATIAS VUILLEGAS . RUT RETIRA: 18971593-5</t>
  </si>
  <si>
    <t>Sergio Matias Villegas Llanquilef</t>
  </si>
  <si>
    <t>Sebastopol 1809 bodega 1</t>
  </si>
  <si>
    <t>2025-07-02 14:02</t>
  </si>
  <si>
    <t>OPARD1266</t>
  </si>
  <si>
    <t>NOMBRE RETIRA: LAURA FALTIN . RUT RETIRA: 14552307-9</t>
  </si>
  <si>
    <t>Laura Fslrin</t>
  </si>
  <si>
    <t>Carretera san Martín calle la cancha, condominio los pinos, casa 12</t>
  </si>
  <si>
    <t>2025-07-02 09:55</t>
  </si>
  <si>
    <t>SER2946</t>
  </si>
  <si>
    <t>9341475415</t>
  </si>
  <si>
    <t>PET DEL VALLE</t>
  </si>
  <si>
    <t>AV. MIGUEL RAMIREZ 1550 LOC. 2021</t>
  </si>
  <si>
    <t>2025-06-30 17:25</t>
  </si>
  <si>
    <t>MMED672</t>
  </si>
  <si>
    <t>NOMBRE RETIRA: VALERIA SALDIVIA SILVA RUT RETIRA: 20265556-4</t>
  </si>
  <si>
    <t>Cesar Torres</t>
  </si>
  <si>
    <t>Ramon freire, 1219</t>
  </si>
  <si>
    <t>2025-06-28 14:40</t>
  </si>
  <si>
    <t>MAE2822</t>
  </si>
  <si>
    <t>NOMBRE RETIRA: HUGO AGUERO . RUT RETIRA: 10952399-2</t>
  </si>
  <si>
    <t>Hugo Aguero Cabrera</t>
  </si>
  <si>
    <t>Agustin Edwards 468</t>
  </si>
  <si>
    <t>2025-06-29 16:14</t>
  </si>
  <si>
    <t>MSE2835</t>
  </si>
  <si>
    <t>9350202374</t>
  </si>
  <si>
    <t>Karen Vergara Silva</t>
  </si>
  <si>
    <t>Pasaje San Gabriel 1121, Villa El Angel</t>
  </si>
  <si>
    <t>VTF#1082</t>
  </si>
  <si>
    <t>9348858702</t>
  </si>
  <si>
    <t>VITALITYFOODS</t>
  </si>
  <si>
    <t>Magdalena Mora</t>
  </si>
  <si>
    <t>El Bosque 273 Villa Alemana</t>
  </si>
  <si>
    <t>2025-07-22 15:44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</si>
</sst>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[$$-340A]\ * #,##0_-;\-[$$-340A]\ * #,##0_-;_-[$$-340A]\ * &quot;-&quot;_-;_-@_-"/>
    <numFmt numFmtId="166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4" fontId="8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5" fontId="7" fillId="0" borderId="12" xfId="0" applyNumberFormat="1" applyFont="1" applyBorder="1"/>
    <xf numFmtId="165" fontId="2" fillId="0" borderId="12" xfId="0" applyNumberFormat="1" applyFont="1" applyBorder="1"/>
    <xf numFmtId="165" fontId="4" fillId="0" borderId="12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6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3" xfId="0" applyBorder="1"/>
    <xf numFmtId="0" fontId="5" fillId="0" borderId="14" xfId="0" applyFont="1" applyBorder="1"/>
    <xf numFmtId="0" fontId="6" fillId="0" borderId="15" xfId="0" applyFont="1" applyBorder="1" applyAlignment="1">
      <alignment horizontal="center"/>
    </xf>
    <xf numFmtId="0" fontId="2" fillId="0" borderId="16" xfId="0" applyFont="1" applyBorder="1"/>
    <xf numFmtId="166" fontId="6" fillId="0" borderId="17" xfId="42" applyNumberFormat="1" applyFont="1" applyBorder="1" applyAlignment="1">
      <alignment horizontal="center"/>
    </xf>
    <xf numFmtId="0" fontId="0" fillId="0" borderId="1" xfId="0" applyBorder="1"/>
    <xf numFmtId="0" fontId="0" fillId="0" borderId="13" xfId="0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1077125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19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2" max="2" width="16.7109375" customWidth="1"/>
    <col min="3" max="3" width="18.7109375" customWidth="1"/>
    <col min="4" max="4" width="44.140625" style="15" bestFit="1" customWidth="1"/>
    <col min="5" max="5" width="16.42578125" customWidth="1"/>
  </cols>
  <sheetData>
    <row r="2" spans="3:5" ht="21" x14ac:dyDescent="0.35">
      <c r="C2" s="1" t="s">
        <v>5</v>
      </c>
      <c r="D2" t="str">
        <f>IF(Detalle!F2="",Detalle!E2,Detalle!F2)</f>
        <v>Stocka</v>
      </c>
      <c r="E2" s="4">
        <v>45879</v>
      </c>
    </row>
    <row r="3" spans="3:5" x14ac:dyDescent="0.25">
      <c r="C3" s="5" t="s">
        <v>6</v>
      </c>
    </row>
    <row r="4" spans="3:5" ht="15.75" x14ac:dyDescent="0.25">
      <c r="C4" s="6" t="s">
        <v>3</v>
      </c>
      <c r="D4" s="9" t="s">
        <v>4</v>
      </c>
      <c r="E4" s="10"/>
    </row>
    <row r="5" spans="3:5" ht="15.75" x14ac:dyDescent="0.25">
      <c r="C5" s="7" t="s">
        <v>33</v>
      </c>
      <c r="D5" s="8">
        <f>COUNTIF(Detalle!I:I,"connect")</f>
        <v>0</v>
      </c>
      <c r="E5" s="11">
        <f>SUMIF(Detalle!I:I,"connect",Detalle!V:V)</f>
        <v>0</v>
      </c>
    </row>
    <row r="6" spans="3:5" ht="15.75" x14ac:dyDescent="0.25">
      <c r="C6" s="7" t="s">
        <v>34</v>
      </c>
      <c r="D6" s="8">
        <f>COUNTIF(Detalle!I:I,"distribucion")</f>
        <v>1261</v>
      </c>
      <c r="E6" s="11">
        <f>SUMIF(Detalle!I:I,"distribucion",Detalle!V:V)</f>
        <v>7048158.6400000071</v>
      </c>
    </row>
    <row r="7" spans="3:5" ht="15.75" x14ac:dyDescent="0.25">
      <c r="C7" s="7" t="s">
        <v>35</v>
      </c>
      <c r="D7" s="8">
        <f>COUNTIF(Detalle!I:I,"pasarela-pro")</f>
        <v>0</v>
      </c>
      <c r="E7" s="11">
        <f>SUMIF(Detalle!I:I,"pasarela-pro",Detalle!V:V)</f>
        <v>0</v>
      </c>
    </row>
    <row r="8" spans="3:5" ht="15.75" x14ac:dyDescent="0.25">
      <c r="C8" s="7" t="s">
        <v>36</v>
      </c>
      <c r="D8" s="8">
        <f>COUNTIF(Detalle!I:I,"enviatrack")</f>
        <v>0</v>
      </c>
      <c r="E8" s="11">
        <f>SUMIF(Detalle!I:I,"enviatrack",Detalle!V:V)</f>
        <v>0</v>
      </c>
    </row>
    <row r="9" spans="3:5" ht="15.75" x14ac:dyDescent="0.25">
      <c r="C9" s="7" t="s">
        <v>25</v>
      </c>
      <c r="D9" s="8">
        <f>COUNTIF(Detalle!I:I,"Retiros S/C")</f>
        <v>4</v>
      </c>
      <c r="E9" s="11">
        <f>SUMIF(Detalle!I:I,"Retiros S/C",Detalle!V:V)</f>
        <v>13200</v>
      </c>
    </row>
    <row r="10" spans="3:5" ht="15.75" x14ac:dyDescent="0.25">
      <c r="C10" s="7" t="s">
        <v>26</v>
      </c>
      <c r="D10" s="8">
        <f>COUNTIF(Detalle!I:I,"porPagar")</f>
        <v>0</v>
      </c>
      <c r="E10" s="11">
        <f>SUMIF(Detalle!I:I,"porPagar",Detalle!V:V)</f>
        <v>0</v>
      </c>
    </row>
    <row r="11" spans="3:5" ht="15.75" x14ac:dyDescent="0.25">
      <c r="C11" s="7" t="s">
        <v>27</v>
      </c>
      <c r="D11" s="8">
        <f>COUNTIF(Detalle!I:I,"marketcenter")</f>
        <v>0</v>
      </c>
      <c r="E11" s="11">
        <f>SUMIF(Detalle!I:I,"marketcenter",Detalle!V:V)</f>
        <v>0</v>
      </c>
    </row>
    <row r="12" spans="3:5" ht="15.75" x14ac:dyDescent="0.25">
      <c r="C12" s="19" t="s">
        <v>28</v>
      </c>
      <c r="D12" s="20">
        <f>COUNTIF(Detalle!I:I,"mensajeria")</f>
        <v>0</v>
      </c>
      <c r="E12" s="11">
        <f>SUMIF(Detalle!I:I,"mensajeria",Detalle!V:V)</f>
        <v>0</v>
      </c>
    </row>
    <row r="13" spans="3:5" x14ac:dyDescent="0.25">
      <c r="C13" s="23"/>
      <c r="D13" s="24"/>
      <c r="E13" s="18"/>
    </row>
    <row r="14" spans="3:5" ht="15.75" x14ac:dyDescent="0.25">
      <c r="C14" s="21" t="s">
        <v>7</v>
      </c>
      <c r="D14" s="22"/>
      <c r="E14" s="11">
        <v>146300</v>
      </c>
    </row>
    <row r="15" spans="3:5" ht="15.75" x14ac:dyDescent="0.25">
      <c r="C15" s="2" t="s">
        <v>8</v>
      </c>
      <c r="D15" s="16"/>
      <c r="E15" s="11">
        <v>0</v>
      </c>
    </row>
    <row r="16" spans="3:5" ht="15.75" x14ac:dyDescent="0.25">
      <c r="C16" s="2" t="s">
        <v>9</v>
      </c>
      <c r="D16" s="17"/>
      <c r="E16" s="12">
        <f>SUM(E5:E15)</f>
        <v>7207658.6400000071</v>
      </c>
    </row>
    <row r="17" spans="3:5" ht="17.25" customHeight="1" x14ac:dyDescent="0.25">
      <c r="C17" s="2"/>
      <c r="D17" s="17"/>
      <c r="E17" s="12"/>
    </row>
    <row r="18" spans="3:5" ht="15.75" x14ac:dyDescent="0.25">
      <c r="C18" s="2" t="s">
        <v>0</v>
      </c>
      <c r="D18" s="17"/>
      <c r="E18" s="12">
        <f>E16*0.19</f>
        <v>1369455.1416000014</v>
      </c>
    </row>
    <row r="19" spans="3:5" ht="15.75" x14ac:dyDescent="0.25">
      <c r="C19" s="3" t="s">
        <v>1</v>
      </c>
      <c r="D19" s="17"/>
      <c r="E19" s="13">
        <f>+E16+E18</f>
        <v>8577113.7816000078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66"/>
  <sheetViews>
    <sheetView tabSelected="1" zoomScale="90" zoomScaleNormal="90" workbookViewId="0">
      <selection activeCell="F2" sqref="F2"/>
    </sheetView>
  </sheetViews>
  <sheetFormatPr baseColWidth="10" defaultColWidth="12.140625" defaultRowHeight="15" x14ac:dyDescent="0.25"/>
  <cols>
    <col min="17" max="17" width="12.140625" style="14"/>
  </cols>
  <sheetData>
    <row r="1" spans="1:22" x14ac:dyDescent="0.25">
      <c r="A1" t="s">
        <v>29</v>
      </c>
      <c r="B1" t="s">
        <v>24</v>
      </c>
      <c r="C1" t="s">
        <v>10</v>
      </c>
      <c r="D1" t="s">
        <v>11</v>
      </c>
      <c r="E1" t="s">
        <v>22</v>
      </c>
      <c r="F1" t="s">
        <v>42</v>
      </c>
      <c r="G1" t="s">
        <v>12</v>
      </c>
      <c r="H1" t="s">
        <v>13</v>
      </c>
      <c r="I1" t="s">
        <v>43</v>
      </c>
      <c r="J1" t="s">
        <v>14</v>
      </c>
      <c r="K1" t="s">
        <v>21</v>
      </c>
      <c r="L1" t="s">
        <v>15</v>
      </c>
      <c r="M1" t="s">
        <v>16</v>
      </c>
      <c r="N1" t="s">
        <v>23</v>
      </c>
      <c r="O1" t="s">
        <v>17</v>
      </c>
      <c r="P1" t="s">
        <v>18</v>
      </c>
      <c r="Q1" t="s">
        <v>19</v>
      </c>
      <c r="R1" t="s">
        <v>20</v>
      </c>
      <c r="S1" t="s">
        <v>44</v>
      </c>
      <c r="T1" t="s">
        <v>30</v>
      </c>
      <c r="U1" t="s">
        <v>31</v>
      </c>
      <c r="V1" t="s">
        <v>32</v>
      </c>
    </row>
    <row r="2" spans="1:22" x14ac:dyDescent="0.25">
      <c r="A2">
        <v>79452</v>
      </c>
      <c r="B2">
        <v>131267988</v>
      </c>
      <c r="C2" t="s">
        <v>428</v>
      </c>
      <c r="D2" t="s">
        <v>429</v>
      </c>
      <c r="E2" t="s">
        <v>430</v>
      </c>
      <c r="F2" t="s">
        <v>431</v>
      </c>
      <c r="G2" t="s">
        <v>83</v>
      </c>
      <c r="H2" t="s">
        <v>205</v>
      </c>
      <c r="I2" t="s">
        <v>88</v>
      </c>
      <c r="J2" t="s">
        <v>209</v>
      </c>
      <c r="K2" t="s">
        <v>2</v>
      </c>
      <c r="L2" t="s">
        <v>166</v>
      </c>
      <c r="M2" t="s">
        <v>432</v>
      </c>
      <c r="N2" t="s">
        <v>433</v>
      </c>
      <c r="O2" t="s">
        <v>53</v>
      </c>
      <c r="P2" t="s">
        <v>434</v>
      </c>
      <c r="Q2" t="s">
        <v>48</v>
      </c>
      <c r="R2" t="s">
        <v>435</v>
      </c>
      <c r="S2">
        <v>1</v>
      </c>
      <c r="T2">
        <v>2706</v>
      </c>
      <c r="U2">
        <v>0</v>
      </c>
      <c r="V2">
        <v>2706</v>
      </c>
    </row>
    <row r="3" spans="1:22" x14ac:dyDescent="0.25">
      <c r="A3">
        <v>79452</v>
      </c>
      <c r="B3">
        <v>131267992</v>
      </c>
      <c r="C3" t="s">
        <v>436</v>
      </c>
      <c r="D3" t="s">
        <v>437</v>
      </c>
      <c r="E3" t="s">
        <v>430</v>
      </c>
      <c r="F3" t="s">
        <v>431</v>
      </c>
      <c r="G3" t="s">
        <v>83</v>
      </c>
      <c r="H3" t="s">
        <v>205</v>
      </c>
      <c r="I3" t="s">
        <v>88</v>
      </c>
      <c r="J3" t="s">
        <v>209</v>
      </c>
      <c r="K3" t="s">
        <v>2</v>
      </c>
      <c r="L3" t="s">
        <v>166</v>
      </c>
      <c r="M3" t="s">
        <v>438</v>
      </c>
      <c r="N3" t="s">
        <v>433</v>
      </c>
      <c r="O3" t="s">
        <v>53</v>
      </c>
      <c r="P3" t="s">
        <v>439</v>
      </c>
      <c r="Q3" t="s">
        <v>48</v>
      </c>
      <c r="R3" t="s">
        <v>435</v>
      </c>
      <c r="S3">
        <v>1</v>
      </c>
      <c r="T3">
        <v>2706</v>
      </c>
      <c r="U3">
        <v>0</v>
      </c>
      <c r="V3">
        <v>2706</v>
      </c>
    </row>
    <row r="4" spans="1:22" x14ac:dyDescent="0.25">
      <c r="A4">
        <v>79452</v>
      </c>
      <c r="B4">
        <v>131267999</v>
      </c>
      <c r="C4" t="s">
        <v>440</v>
      </c>
      <c r="D4" t="s">
        <v>441</v>
      </c>
      <c r="E4" t="s">
        <v>430</v>
      </c>
      <c r="F4" t="s">
        <v>431</v>
      </c>
      <c r="G4" t="s">
        <v>83</v>
      </c>
      <c r="H4" t="s">
        <v>205</v>
      </c>
      <c r="I4" t="s">
        <v>88</v>
      </c>
      <c r="J4" t="s">
        <v>209</v>
      </c>
      <c r="K4" t="s">
        <v>2</v>
      </c>
      <c r="L4" t="s">
        <v>166</v>
      </c>
      <c r="M4" t="s">
        <v>442</v>
      </c>
      <c r="N4" t="s">
        <v>433</v>
      </c>
      <c r="O4" t="s">
        <v>53</v>
      </c>
      <c r="P4" t="s">
        <v>443</v>
      </c>
      <c r="Q4" t="s">
        <v>65</v>
      </c>
      <c r="R4" t="s">
        <v>435</v>
      </c>
      <c r="S4">
        <v>1</v>
      </c>
      <c r="T4">
        <v>2706</v>
      </c>
      <c r="U4">
        <v>0</v>
      </c>
      <c r="V4">
        <v>2706</v>
      </c>
    </row>
    <row r="5" spans="1:22" x14ac:dyDescent="0.25">
      <c r="A5">
        <v>79452</v>
      </c>
      <c r="B5">
        <v>131268010</v>
      </c>
      <c r="C5" t="s">
        <v>444</v>
      </c>
      <c r="D5" t="s">
        <v>445</v>
      </c>
      <c r="E5" t="s">
        <v>430</v>
      </c>
      <c r="F5" t="s">
        <v>431</v>
      </c>
      <c r="G5" t="s">
        <v>83</v>
      </c>
      <c r="H5" t="s">
        <v>205</v>
      </c>
      <c r="I5" t="s">
        <v>88</v>
      </c>
      <c r="J5" t="s">
        <v>209</v>
      </c>
      <c r="K5" t="s">
        <v>2</v>
      </c>
      <c r="L5" t="s">
        <v>166</v>
      </c>
      <c r="M5" t="s">
        <v>446</v>
      </c>
      <c r="N5" t="s">
        <v>433</v>
      </c>
      <c r="O5" t="s">
        <v>53</v>
      </c>
      <c r="P5" t="s">
        <v>447</v>
      </c>
      <c r="Q5" t="s">
        <v>48</v>
      </c>
      <c r="R5" t="s">
        <v>435</v>
      </c>
      <c r="S5">
        <v>1</v>
      </c>
      <c r="T5">
        <v>2706</v>
      </c>
      <c r="U5">
        <v>0</v>
      </c>
      <c r="V5">
        <v>2706</v>
      </c>
    </row>
    <row r="6" spans="1:22" x14ac:dyDescent="0.25">
      <c r="A6">
        <v>79452</v>
      </c>
      <c r="B6">
        <v>131268014</v>
      </c>
      <c r="C6" t="s">
        <v>448</v>
      </c>
      <c r="D6" t="s">
        <v>449</v>
      </c>
      <c r="E6" t="s">
        <v>430</v>
      </c>
      <c r="F6" t="s">
        <v>431</v>
      </c>
      <c r="G6" t="s">
        <v>83</v>
      </c>
      <c r="H6" t="s">
        <v>205</v>
      </c>
      <c r="I6" t="s">
        <v>88</v>
      </c>
      <c r="J6" t="s">
        <v>209</v>
      </c>
      <c r="K6" t="s">
        <v>2</v>
      </c>
      <c r="L6" t="s">
        <v>166</v>
      </c>
      <c r="M6" t="s">
        <v>450</v>
      </c>
      <c r="N6" t="s">
        <v>433</v>
      </c>
      <c r="O6" t="s">
        <v>53</v>
      </c>
      <c r="P6" t="s">
        <v>451</v>
      </c>
      <c r="Q6" t="s">
        <v>51</v>
      </c>
      <c r="R6" t="s">
        <v>435</v>
      </c>
      <c r="S6">
        <v>1</v>
      </c>
      <c r="T6">
        <v>2706</v>
      </c>
      <c r="U6">
        <v>0</v>
      </c>
      <c r="V6">
        <v>2706</v>
      </c>
    </row>
    <row r="7" spans="1:22" x14ac:dyDescent="0.25">
      <c r="A7">
        <v>79452</v>
      </c>
      <c r="B7">
        <v>131277257</v>
      </c>
      <c r="C7" t="s">
        <v>452</v>
      </c>
      <c r="D7" t="s">
        <v>453</v>
      </c>
      <c r="E7" t="s">
        <v>430</v>
      </c>
      <c r="F7" t="s">
        <v>431</v>
      </c>
      <c r="G7" t="s">
        <v>83</v>
      </c>
      <c r="H7" t="s">
        <v>205</v>
      </c>
      <c r="I7" t="s">
        <v>88</v>
      </c>
      <c r="J7" t="s">
        <v>209</v>
      </c>
      <c r="K7" t="s">
        <v>2</v>
      </c>
      <c r="L7" t="s">
        <v>166</v>
      </c>
      <c r="M7" t="s">
        <v>454</v>
      </c>
      <c r="N7" t="s">
        <v>433</v>
      </c>
      <c r="O7" t="s">
        <v>53</v>
      </c>
      <c r="P7" t="s">
        <v>455</v>
      </c>
      <c r="Q7" t="s">
        <v>62</v>
      </c>
      <c r="R7" t="s">
        <v>456</v>
      </c>
      <c r="S7">
        <v>1</v>
      </c>
      <c r="T7">
        <v>2706</v>
      </c>
      <c r="U7">
        <v>0</v>
      </c>
      <c r="V7">
        <v>2706</v>
      </c>
    </row>
    <row r="8" spans="1:22" x14ac:dyDescent="0.25">
      <c r="A8">
        <v>79452</v>
      </c>
      <c r="B8">
        <v>131230202</v>
      </c>
      <c r="C8" t="s">
        <v>457</v>
      </c>
      <c r="D8" t="s">
        <v>458</v>
      </c>
      <c r="E8" t="s">
        <v>430</v>
      </c>
      <c r="F8" t="s">
        <v>431</v>
      </c>
      <c r="G8" t="s">
        <v>83</v>
      </c>
      <c r="H8" t="s">
        <v>205</v>
      </c>
      <c r="I8" t="s">
        <v>88</v>
      </c>
      <c r="J8" t="s">
        <v>209</v>
      </c>
      <c r="K8" t="s">
        <v>2</v>
      </c>
      <c r="L8" t="s">
        <v>166</v>
      </c>
      <c r="M8" t="s">
        <v>459</v>
      </c>
      <c r="N8" t="s">
        <v>433</v>
      </c>
      <c r="O8" t="s">
        <v>53</v>
      </c>
      <c r="P8" t="s">
        <v>460</v>
      </c>
      <c r="Q8" t="s">
        <v>55</v>
      </c>
      <c r="R8" t="s">
        <v>379</v>
      </c>
      <c r="S8">
        <v>1</v>
      </c>
      <c r="T8">
        <v>2706</v>
      </c>
      <c r="U8">
        <v>0</v>
      </c>
      <c r="V8">
        <v>2706</v>
      </c>
    </row>
    <row r="9" spans="1:22" x14ac:dyDescent="0.25">
      <c r="A9">
        <v>79452</v>
      </c>
      <c r="B9">
        <v>131230209</v>
      </c>
      <c r="C9" t="s">
        <v>461</v>
      </c>
      <c r="D9" t="s">
        <v>462</v>
      </c>
      <c r="E9" t="s">
        <v>430</v>
      </c>
      <c r="F9" t="s">
        <v>431</v>
      </c>
      <c r="G9" t="s">
        <v>83</v>
      </c>
      <c r="H9" t="s">
        <v>205</v>
      </c>
      <c r="I9" t="s">
        <v>88</v>
      </c>
      <c r="J9" t="s">
        <v>209</v>
      </c>
      <c r="K9" t="s">
        <v>2</v>
      </c>
      <c r="L9" t="s">
        <v>166</v>
      </c>
      <c r="M9" t="s">
        <v>463</v>
      </c>
      <c r="N9" t="s">
        <v>433</v>
      </c>
      <c r="O9" t="s">
        <v>53</v>
      </c>
      <c r="P9" t="s">
        <v>464</v>
      </c>
      <c r="Q9" t="s">
        <v>60</v>
      </c>
      <c r="R9" t="s">
        <v>379</v>
      </c>
      <c r="S9">
        <v>1</v>
      </c>
      <c r="T9">
        <v>2706</v>
      </c>
      <c r="U9">
        <v>0</v>
      </c>
      <c r="V9">
        <v>2706</v>
      </c>
    </row>
    <row r="10" spans="1:22" x14ac:dyDescent="0.25">
      <c r="A10">
        <v>79452</v>
      </c>
      <c r="B10">
        <v>131230210</v>
      </c>
      <c r="C10" t="s">
        <v>465</v>
      </c>
      <c r="D10" t="s">
        <v>466</v>
      </c>
      <c r="E10" t="s">
        <v>430</v>
      </c>
      <c r="F10" t="s">
        <v>431</v>
      </c>
      <c r="G10" t="s">
        <v>83</v>
      </c>
      <c r="H10" t="s">
        <v>205</v>
      </c>
      <c r="I10" t="s">
        <v>88</v>
      </c>
      <c r="J10" t="s">
        <v>209</v>
      </c>
      <c r="K10" t="s">
        <v>2</v>
      </c>
      <c r="L10" t="s">
        <v>166</v>
      </c>
      <c r="M10" t="s">
        <v>463</v>
      </c>
      <c r="N10" t="s">
        <v>433</v>
      </c>
      <c r="O10" t="s">
        <v>53</v>
      </c>
      <c r="P10" t="s">
        <v>464</v>
      </c>
      <c r="Q10" t="s">
        <v>60</v>
      </c>
      <c r="R10" t="s">
        <v>379</v>
      </c>
      <c r="S10">
        <v>1</v>
      </c>
      <c r="T10">
        <v>2706</v>
      </c>
      <c r="U10">
        <v>0</v>
      </c>
      <c r="V10">
        <v>2706</v>
      </c>
    </row>
    <row r="11" spans="1:22" x14ac:dyDescent="0.25">
      <c r="A11">
        <v>79452</v>
      </c>
      <c r="B11">
        <v>131230224</v>
      </c>
      <c r="C11" t="s">
        <v>467</v>
      </c>
      <c r="D11" t="s">
        <v>468</v>
      </c>
      <c r="E11" t="s">
        <v>430</v>
      </c>
      <c r="F11" t="s">
        <v>431</v>
      </c>
      <c r="G11" t="s">
        <v>83</v>
      </c>
      <c r="H11" t="s">
        <v>205</v>
      </c>
      <c r="I11" t="s">
        <v>88</v>
      </c>
      <c r="J11" t="s">
        <v>209</v>
      </c>
      <c r="K11" t="s">
        <v>2</v>
      </c>
      <c r="L11" t="s">
        <v>166</v>
      </c>
      <c r="M11" t="s">
        <v>469</v>
      </c>
      <c r="N11" t="s">
        <v>433</v>
      </c>
      <c r="O11" t="s">
        <v>53</v>
      </c>
      <c r="P11" t="s">
        <v>470</v>
      </c>
      <c r="Q11" t="s">
        <v>81</v>
      </c>
      <c r="R11" t="s">
        <v>379</v>
      </c>
      <c r="S11">
        <v>1</v>
      </c>
      <c r="T11">
        <v>2706</v>
      </c>
      <c r="U11">
        <v>0</v>
      </c>
      <c r="V11">
        <v>2706</v>
      </c>
    </row>
    <row r="12" spans="1:22" x14ac:dyDescent="0.25">
      <c r="A12">
        <v>79452</v>
      </c>
      <c r="B12">
        <v>131230250</v>
      </c>
      <c r="C12" t="s">
        <v>471</v>
      </c>
      <c r="D12" t="s">
        <v>472</v>
      </c>
      <c r="E12" t="s">
        <v>430</v>
      </c>
      <c r="F12" t="s">
        <v>431</v>
      </c>
      <c r="G12" t="s">
        <v>83</v>
      </c>
      <c r="H12" t="s">
        <v>205</v>
      </c>
      <c r="I12" t="s">
        <v>88</v>
      </c>
      <c r="J12" t="s">
        <v>209</v>
      </c>
      <c r="K12" t="s">
        <v>2</v>
      </c>
      <c r="L12" t="s">
        <v>166</v>
      </c>
      <c r="M12" t="s">
        <v>473</v>
      </c>
      <c r="N12" t="s">
        <v>433</v>
      </c>
      <c r="O12" t="s">
        <v>53</v>
      </c>
      <c r="P12" t="s">
        <v>474</v>
      </c>
      <c r="Q12" t="s">
        <v>76</v>
      </c>
      <c r="R12" t="s">
        <v>475</v>
      </c>
      <c r="S12">
        <v>1</v>
      </c>
      <c r="T12">
        <v>2706</v>
      </c>
      <c r="U12">
        <v>0</v>
      </c>
      <c r="V12">
        <v>2706</v>
      </c>
    </row>
    <row r="13" spans="1:22" x14ac:dyDescent="0.25">
      <c r="A13">
        <v>79452</v>
      </c>
      <c r="B13">
        <v>131236050</v>
      </c>
      <c r="C13" t="s">
        <v>476</v>
      </c>
      <c r="D13" t="s">
        <v>477</v>
      </c>
      <c r="E13" t="s">
        <v>430</v>
      </c>
      <c r="F13" t="s">
        <v>431</v>
      </c>
      <c r="G13" t="s">
        <v>83</v>
      </c>
      <c r="H13" t="s">
        <v>205</v>
      </c>
      <c r="I13" t="s">
        <v>88</v>
      </c>
      <c r="J13" t="s">
        <v>209</v>
      </c>
      <c r="K13" t="s">
        <v>2</v>
      </c>
      <c r="L13" t="s">
        <v>166</v>
      </c>
      <c r="M13" t="s">
        <v>478</v>
      </c>
      <c r="N13" t="s">
        <v>433</v>
      </c>
      <c r="O13" t="s">
        <v>53</v>
      </c>
      <c r="P13" t="s">
        <v>479</v>
      </c>
      <c r="Q13" t="s">
        <v>50</v>
      </c>
      <c r="R13" t="s">
        <v>480</v>
      </c>
      <c r="S13">
        <v>1</v>
      </c>
      <c r="T13">
        <v>2706</v>
      </c>
      <c r="U13">
        <v>0</v>
      </c>
      <c r="V13">
        <v>2706</v>
      </c>
    </row>
    <row r="14" spans="1:22" x14ac:dyDescent="0.25">
      <c r="A14">
        <v>79452</v>
      </c>
      <c r="B14">
        <v>131182286</v>
      </c>
      <c r="C14" t="s">
        <v>481</v>
      </c>
      <c r="D14" t="s">
        <v>482</v>
      </c>
      <c r="E14" t="s">
        <v>430</v>
      </c>
      <c r="F14" t="s">
        <v>431</v>
      </c>
      <c r="G14" t="s">
        <v>83</v>
      </c>
      <c r="H14" t="s">
        <v>205</v>
      </c>
      <c r="I14" t="s">
        <v>88</v>
      </c>
      <c r="J14" t="s">
        <v>209</v>
      </c>
      <c r="K14" t="s">
        <v>2</v>
      </c>
      <c r="L14" t="s">
        <v>166</v>
      </c>
      <c r="M14" t="s">
        <v>483</v>
      </c>
      <c r="N14" t="s">
        <v>433</v>
      </c>
      <c r="O14" t="s">
        <v>53</v>
      </c>
      <c r="P14" t="s">
        <v>484</v>
      </c>
      <c r="Q14" t="s">
        <v>60</v>
      </c>
      <c r="R14" t="s">
        <v>485</v>
      </c>
      <c r="S14">
        <v>1</v>
      </c>
      <c r="T14">
        <v>2706</v>
      </c>
      <c r="U14">
        <v>0</v>
      </c>
      <c r="V14">
        <v>2706</v>
      </c>
    </row>
    <row r="15" spans="1:22" x14ac:dyDescent="0.25">
      <c r="A15">
        <v>79452</v>
      </c>
      <c r="B15">
        <v>131182276</v>
      </c>
      <c r="C15" t="s">
        <v>486</v>
      </c>
      <c r="D15" t="s">
        <v>487</v>
      </c>
      <c r="E15" t="s">
        <v>430</v>
      </c>
      <c r="F15" t="s">
        <v>431</v>
      </c>
      <c r="G15" t="s">
        <v>83</v>
      </c>
      <c r="H15" t="s">
        <v>205</v>
      </c>
      <c r="I15" t="s">
        <v>88</v>
      </c>
      <c r="J15" t="s">
        <v>209</v>
      </c>
      <c r="K15" t="s">
        <v>2</v>
      </c>
      <c r="L15" t="s">
        <v>166</v>
      </c>
      <c r="M15" t="s">
        <v>488</v>
      </c>
      <c r="N15" t="s">
        <v>433</v>
      </c>
      <c r="O15" t="s">
        <v>53</v>
      </c>
      <c r="P15" t="s">
        <v>489</v>
      </c>
      <c r="Q15" t="s">
        <v>81</v>
      </c>
      <c r="R15" t="s">
        <v>485</v>
      </c>
      <c r="S15">
        <v>1</v>
      </c>
      <c r="T15">
        <v>2706</v>
      </c>
      <c r="U15">
        <v>0</v>
      </c>
      <c r="V15">
        <v>2706</v>
      </c>
    </row>
    <row r="16" spans="1:22" x14ac:dyDescent="0.25">
      <c r="A16">
        <v>79452</v>
      </c>
      <c r="B16">
        <v>131182284</v>
      </c>
      <c r="C16" t="s">
        <v>490</v>
      </c>
      <c r="D16" t="s">
        <v>491</v>
      </c>
      <c r="E16" t="s">
        <v>430</v>
      </c>
      <c r="F16" t="s">
        <v>431</v>
      </c>
      <c r="G16" t="s">
        <v>83</v>
      </c>
      <c r="H16" t="s">
        <v>205</v>
      </c>
      <c r="I16" t="s">
        <v>88</v>
      </c>
      <c r="J16" t="s">
        <v>209</v>
      </c>
      <c r="K16" t="s">
        <v>2</v>
      </c>
      <c r="L16" t="s">
        <v>166</v>
      </c>
      <c r="M16" t="s">
        <v>492</v>
      </c>
      <c r="N16" t="s">
        <v>433</v>
      </c>
      <c r="O16" t="s">
        <v>53</v>
      </c>
      <c r="P16" t="s">
        <v>493</v>
      </c>
      <c r="Q16" t="s">
        <v>58</v>
      </c>
      <c r="R16" t="s">
        <v>485</v>
      </c>
      <c r="S16">
        <v>1</v>
      </c>
      <c r="T16">
        <v>2706</v>
      </c>
      <c r="U16">
        <v>0</v>
      </c>
      <c r="V16">
        <v>2706</v>
      </c>
    </row>
    <row r="17" spans="1:22" x14ac:dyDescent="0.25">
      <c r="A17">
        <v>79452</v>
      </c>
      <c r="B17">
        <v>131198454</v>
      </c>
      <c r="C17" t="s">
        <v>494</v>
      </c>
      <c r="D17" t="s">
        <v>495</v>
      </c>
      <c r="E17" t="s">
        <v>430</v>
      </c>
      <c r="F17" t="s">
        <v>431</v>
      </c>
      <c r="G17" t="s">
        <v>83</v>
      </c>
      <c r="H17" t="s">
        <v>205</v>
      </c>
      <c r="I17" t="s">
        <v>88</v>
      </c>
      <c r="J17" t="s">
        <v>209</v>
      </c>
      <c r="K17" t="s">
        <v>2</v>
      </c>
      <c r="L17" t="s">
        <v>166</v>
      </c>
      <c r="M17" t="s">
        <v>496</v>
      </c>
      <c r="N17" t="s">
        <v>433</v>
      </c>
      <c r="O17" t="s">
        <v>53</v>
      </c>
      <c r="P17" t="s">
        <v>497</v>
      </c>
      <c r="Q17" t="s">
        <v>58</v>
      </c>
      <c r="R17" t="s">
        <v>498</v>
      </c>
      <c r="S17">
        <v>1</v>
      </c>
      <c r="T17">
        <v>2706</v>
      </c>
      <c r="U17">
        <v>0</v>
      </c>
      <c r="V17">
        <v>2706</v>
      </c>
    </row>
    <row r="18" spans="1:22" x14ac:dyDescent="0.25">
      <c r="A18">
        <v>79452</v>
      </c>
      <c r="B18">
        <v>131198671</v>
      </c>
      <c r="C18" t="s">
        <v>499</v>
      </c>
      <c r="D18" t="s">
        <v>500</v>
      </c>
      <c r="E18" t="s">
        <v>430</v>
      </c>
      <c r="F18" t="s">
        <v>431</v>
      </c>
      <c r="G18" t="s">
        <v>83</v>
      </c>
      <c r="H18" t="s">
        <v>205</v>
      </c>
      <c r="I18" t="s">
        <v>88</v>
      </c>
      <c r="J18" t="s">
        <v>209</v>
      </c>
      <c r="K18" t="s">
        <v>2</v>
      </c>
      <c r="L18" t="s">
        <v>166</v>
      </c>
      <c r="M18" t="s">
        <v>501</v>
      </c>
      <c r="N18" t="s">
        <v>433</v>
      </c>
      <c r="O18" t="s">
        <v>53</v>
      </c>
      <c r="P18" t="s">
        <v>502</v>
      </c>
      <c r="Q18" t="s">
        <v>45</v>
      </c>
      <c r="R18" t="s">
        <v>503</v>
      </c>
      <c r="S18">
        <v>1</v>
      </c>
      <c r="T18">
        <v>2706</v>
      </c>
      <c r="U18">
        <v>0</v>
      </c>
      <c r="V18">
        <v>2706</v>
      </c>
    </row>
    <row r="19" spans="1:22" x14ac:dyDescent="0.25">
      <c r="A19">
        <v>79452</v>
      </c>
      <c r="B19">
        <v>131198674</v>
      </c>
      <c r="C19" t="s">
        <v>504</v>
      </c>
      <c r="D19" t="s">
        <v>505</v>
      </c>
      <c r="E19" t="s">
        <v>430</v>
      </c>
      <c r="F19" t="s">
        <v>431</v>
      </c>
      <c r="G19" t="s">
        <v>83</v>
      </c>
      <c r="H19" t="s">
        <v>205</v>
      </c>
      <c r="I19" t="s">
        <v>88</v>
      </c>
      <c r="J19" t="s">
        <v>209</v>
      </c>
      <c r="K19" t="s">
        <v>2</v>
      </c>
      <c r="L19" t="s">
        <v>166</v>
      </c>
      <c r="M19" t="s">
        <v>506</v>
      </c>
      <c r="N19" t="s">
        <v>433</v>
      </c>
      <c r="O19" t="s">
        <v>53</v>
      </c>
      <c r="P19" t="s">
        <v>507</v>
      </c>
      <c r="Q19" t="s">
        <v>48</v>
      </c>
      <c r="R19" t="s">
        <v>503</v>
      </c>
      <c r="S19">
        <v>1</v>
      </c>
      <c r="T19">
        <v>2706</v>
      </c>
      <c r="U19">
        <v>0</v>
      </c>
      <c r="V19">
        <v>2706</v>
      </c>
    </row>
    <row r="20" spans="1:22" x14ac:dyDescent="0.25">
      <c r="A20">
        <v>79452</v>
      </c>
      <c r="B20">
        <v>131154913</v>
      </c>
      <c r="C20" t="s">
        <v>508</v>
      </c>
      <c r="D20" t="s">
        <v>509</v>
      </c>
      <c r="E20" t="s">
        <v>430</v>
      </c>
      <c r="F20" t="s">
        <v>431</v>
      </c>
      <c r="G20" t="s">
        <v>83</v>
      </c>
      <c r="H20" t="s">
        <v>205</v>
      </c>
      <c r="I20" t="s">
        <v>88</v>
      </c>
      <c r="J20" t="s">
        <v>209</v>
      </c>
      <c r="K20" t="s">
        <v>2</v>
      </c>
      <c r="L20" t="s">
        <v>166</v>
      </c>
      <c r="M20" t="s">
        <v>510</v>
      </c>
      <c r="N20" t="s">
        <v>433</v>
      </c>
      <c r="O20" t="s">
        <v>53</v>
      </c>
      <c r="P20" t="s">
        <v>511</v>
      </c>
      <c r="Q20" t="s">
        <v>56</v>
      </c>
      <c r="R20" t="s">
        <v>415</v>
      </c>
      <c r="S20">
        <v>1</v>
      </c>
      <c r="T20">
        <v>2706</v>
      </c>
      <c r="U20">
        <v>0</v>
      </c>
      <c r="V20">
        <v>2706</v>
      </c>
    </row>
    <row r="21" spans="1:22" x14ac:dyDescent="0.25">
      <c r="A21">
        <v>79452</v>
      </c>
      <c r="B21">
        <v>131154905</v>
      </c>
      <c r="C21" t="s">
        <v>512</v>
      </c>
      <c r="D21" t="s">
        <v>513</v>
      </c>
      <c r="E21" t="s">
        <v>430</v>
      </c>
      <c r="F21" t="s">
        <v>431</v>
      </c>
      <c r="G21" t="s">
        <v>83</v>
      </c>
      <c r="H21" t="s">
        <v>205</v>
      </c>
      <c r="I21" t="s">
        <v>88</v>
      </c>
      <c r="J21" t="s">
        <v>209</v>
      </c>
      <c r="K21" t="s">
        <v>2</v>
      </c>
      <c r="L21" t="s">
        <v>166</v>
      </c>
      <c r="M21" t="s">
        <v>514</v>
      </c>
      <c r="N21" t="s">
        <v>433</v>
      </c>
      <c r="O21" t="s">
        <v>53</v>
      </c>
      <c r="P21" t="s">
        <v>515</v>
      </c>
      <c r="Q21" t="s">
        <v>48</v>
      </c>
      <c r="R21" t="s">
        <v>415</v>
      </c>
      <c r="S21">
        <v>1</v>
      </c>
      <c r="T21">
        <v>2706</v>
      </c>
      <c r="U21">
        <v>0</v>
      </c>
      <c r="V21">
        <v>2706</v>
      </c>
    </row>
    <row r="22" spans="1:22" x14ac:dyDescent="0.25">
      <c r="A22">
        <v>79452</v>
      </c>
      <c r="B22">
        <v>131134432</v>
      </c>
      <c r="C22" t="s">
        <v>516</v>
      </c>
      <c r="D22" t="s">
        <v>517</v>
      </c>
      <c r="E22" t="s">
        <v>430</v>
      </c>
      <c r="F22" t="s">
        <v>431</v>
      </c>
      <c r="G22" t="s">
        <v>83</v>
      </c>
      <c r="H22" t="s">
        <v>205</v>
      </c>
      <c r="I22" t="s">
        <v>88</v>
      </c>
      <c r="J22" t="s">
        <v>209</v>
      </c>
      <c r="K22" t="s">
        <v>2</v>
      </c>
      <c r="L22" t="s">
        <v>166</v>
      </c>
      <c r="M22" t="s">
        <v>518</v>
      </c>
      <c r="N22" t="s">
        <v>433</v>
      </c>
      <c r="O22" t="s">
        <v>53</v>
      </c>
      <c r="P22" t="s">
        <v>519</v>
      </c>
      <c r="Q22" t="s">
        <v>51</v>
      </c>
      <c r="R22" t="s">
        <v>520</v>
      </c>
      <c r="S22">
        <v>1</v>
      </c>
      <c r="T22">
        <v>2706</v>
      </c>
      <c r="U22">
        <v>0</v>
      </c>
      <c r="V22">
        <v>2706</v>
      </c>
    </row>
    <row r="23" spans="1:22" x14ac:dyDescent="0.25">
      <c r="A23">
        <v>79452</v>
      </c>
      <c r="B23">
        <v>131134423</v>
      </c>
      <c r="C23" t="s">
        <v>521</v>
      </c>
      <c r="D23" t="s">
        <v>522</v>
      </c>
      <c r="E23" t="s">
        <v>430</v>
      </c>
      <c r="F23" t="s">
        <v>431</v>
      </c>
      <c r="G23" t="s">
        <v>83</v>
      </c>
      <c r="H23" t="s">
        <v>205</v>
      </c>
      <c r="I23" t="s">
        <v>88</v>
      </c>
      <c r="J23" t="s">
        <v>209</v>
      </c>
      <c r="K23" t="s">
        <v>2</v>
      </c>
      <c r="L23" t="s">
        <v>166</v>
      </c>
      <c r="M23" t="s">
        <v>523</v>
      </c>
      <c r="N23" t="s">
        <v>433</v>
      </c>
      <c r="O23" t="s">
        <v>53</v>
      </c>
      <c r="P23" t="s">
        <v>524</v>
      </c>
      <c r="Q23" t="s">
        <v>81</v>
      </c>
      <c r="R23" t="s">
        <v>520</v>
      </c>
      <c r="S23">
        <v>1</v>
      </c>
      <c r="T23">
        <v>2706</v>
      </c>
      <c r="U23">
        <v>0</v>
      </c>
      <c r="V23">
        <v>2706</v>
      </c>
    </row>
    <row r="24" spans="1:22" x14ac:dyDescent="0.25">
      <c r="A24">
        <v>79452</v>
      </c>
      <c r="B24">
        <v>131134417</v>
      </c>
      <c r="C24" t="s">
        <v>525</v>
      </c>
      <c r="D24" t="s">
        <v>526</v>
      </c>
      <c r="E24" t="s">
        <v>430</v>
      </c>
      <c r="F24" t="s">
        <v>431</v>
      </c>
      <c r="G24" t="s">
        <v>83</v>
      </c>
      <c r="H24" t="s">
        <v>205</v>
      </c>
      <c r="I24" t="s">
        <v>88</v>
      </c>
      <c r="J24" t="s">
        <v>209</v>
      </c>
      <c r="K24" t="s">
        <v>2</v>
      </c>
      <c r="L24" t="s">
        <v>166</v>
      </c>
      <c r="M24" t="s">
        <v>527</v>
      </c>
      <c r="N24" t="s">
        <v>433</v>
      </c>
      <c r="O24" t="s">
        <v>53</v>
      </c>
      <c r="P24" t="s">
        <v>528</v>
      </c>
      <c r="Q24" t="s">
        <v>72</v>
      </c>
      <c r="R24" t="s">
        <v>520</v>
      </c>
      <c r="S24">
        <v>1</v>
      </c>
      <c r="T24">
        <v>2706</v>
      </c>
      <c r="U24">
        <v>0</v>
      </c>
      <c r="V24">
        <v>2706</v>
      </c>
    </row>
    <row r="25" spans="1:22" x14ac:dyDescent="0.25">
      <c r="A25">
        <v>79452</v>
      </c>
      <c r="B25">
        <v>131134414</v>
      </c>
      <c r="C25" t="s">
        <v>529</v>
      </c>
      <c r="D25" t="s">
        <v>530</v>
      </c>
      <c r="E25" t="s">
        <v>430</v>
      </c>
      <c r="F25" t="s">
        <v>431</v>
      </c>
      <c r="G25" t="s">
        <v>83</v>
      </c>
      <c r="H25" t="s">
        <v>205</v>
      </c>
      <c r="I25" t="s">
        <v>88</v>
      </c>
      <c r="J25" t="s">
        <v>209</v>
      </c>
      <c r="K25" t="s">
        <v>2</v>
      </c>
      <c r="L25" t="s">
        <v>166</v>
      </c>
      <c r="M25" t="s">
        <v>531</v>
      </c>
      <c r="N25" t="s">
        <v>433</v>
      </c>
      <c r="O25" t="s">
        <v>53</v>
      </c>
      <c r="P25" t="s">
        <v>532</v>
      </c>
      <c r="Q25" t="s">
        <v>81</v>
      </c>
      <c r="R25" t="s">
        <v>520</v>
      </c>
      <c r="S25">
        <v>1</v>
      </c>
      <c r="T25">
        <v>2706</v>
      </c>
      <c r="U25">
        <v>0</v>
      </c>
      <c r="V25">
        <v>2706</v>
      </c>
    </row>
    <row r="26" spans="1:22" x14ac:dyDescent="0.25">
      <c r="A26">
        <v>79452</v>
      </c>
      <c r="B26">
        <v>131134411</v>
      </c>
      <c r="C26" t="s">
        <v>533</v>
      </c>
      <c r="D26" t="s">
        <v>534</v>
      </c>
      <c r="E26" t="s">
        <v>430</v>
      </c>
      <c r="F26" t="s">
        <v>431</v>
      </c>
      <c r="G26" t="s">
        <v>83</v>
      </c>
      <c r="H26" t="s">
        <v>205</v>
      </c>
      <c r="I26" t="s">
        <v>88</v>
      </c>
      <c r="J26" t="s">
        <v>209</v>
      </c>
      <c r="K26" t="s">
        <v>2</v>
      </c>
      <c r="L26" t="s">
        <v>166</v>
      </c>
      <c r="M26" t="s">
        <v>535</v>
      </c>
      <c r="N26" t="s">
        <v>433</v>
      </c>
      <c r="O26" t="s">
        <v>53</v>
      </c>
      <c r="P26" t="s">
        <v>536</v>
      </c>
      <c r="Q26" t="s">
        <v>78</v>
      </c>
      <c r="R26" t="s">
        <v>520</v>
      </c>
      <c r="S26">
        <v>1</v>
      </c>
      <c r="T26">
        <v>2706</v>
      </c>
      <c r="U26">
        <v>0</v>
      </c>
      <c r="V26">
        <v>2706</v>
      </c>
    </row>
    <row r="27" spans="1:22" x14ac:dyDescent="0.25">
      <c r="A27">
        <v>79452</v>
      </c>
      <c r="B27">
        <v>131134404</v>
      </c>
      <c r="C27" t="s">
        <v>537</v>
      </c>
      <c r="D27" t="s">
        <v>538</v>
      </c>
      <c r="E27" t="s">
        <v>430</v>
      </c>
      <c r="F27" t="s">
        <v>431</v>
      </c>
      <c r="G27" t="s">
        <v>83</v>
      </c>
      <c r="H27" t="s">
        <v>205</v>
      </c>
      <c r="I27" t="s">
        <v>88</v>
      </c>
      <c r="J27" t="s">
        <v>209</v>
      </c>
      <c r="K27" t="s">
        <v>2</v>
      </c>
      <c r="L27" t="s">
        <v>166</v>
      </c>
      <c r="M27" t="s">
        <v>539</v>
      </c>
      <c r="N27" t="s">
        <v>433</v>
      </c>
      <c r="O27" t="s">
        <v>53</v>
      </c>
      <c r="P27" t="s">
        <v>540</v>
      </c>
      <c r="Q27" t="s">
        <v>59</v>
      </c>
      <c r="R27" t="s">
        <v>520</v>
      </c>
      <c r="S27">
        <v>1</v>
      </c>
      <c r="T27">
        <v>2706</v>
      </c>
      <c r="U27">
        <v>0</v>
      </c>
      <c r="V27">
        <v>2706</v>
      </c>
    </row>
    <row r="28" spans="1:22" x14ac:dyDescent="0.25">
      <c r="A28">
        <v>79452</v>
      </c>
      <c r="B28">
        <v>131134405</v>
      </c>
      <c r="C28" t="s">
        <v>541</v>
      </c>
      <c r="D28" t="s">
        <v>542</v>
      </c>
      <c r="E28" t="s">
        <v>430</v>
      </c>
      <c r="F28" t="s">
        <v>431</v>
      </c>
      <c r="G28" t="s">
        <v>83</v>
      </c>
      <c r="H28" t="s">
        <v>205</v>
      </c>
      <c r="I28" t="s">
        <v>88</v>
      </c>
      <c r="J28" t="s">
        <v>209</v>
      </c>
      <c r="K28" t="s">
        <v>2</v>
      </c>
      <c r="L28" t="s">
        <v>166</v>
      </c>
      <c r="M28" t="s">
        <v>543</v>
      </c>
      <c r="N28" t="s">
        <v>433</v>
      </c>
      <c r="O28" t="s">
        <v>53</v>
      </c>
      <c r="P28" t="s">
        <v>544</v>
      </c>
      <c r="Q28" t="s">
        <v>55</v>
      </c>
      <c r="R28" t="s">
        <v>520</v>
      </c>
      <c r="S28">
        <v>1</v>
      </c>
      <c r="T28">
        <v>2706</v>
      </c>
      <c r="U28">
        <v>0</v>
      </c>
      <c r="V28">
        <v>2706</v>
      </c>
    </row>
    <row r="29" spans="1:22" x14ac:dyDescent="0.25">
      <c r="A29">
        <v>79452</v>
      </c>
      <c r="B29">
        <v>131134399</v>
      </c>
      <c r="C29" t="s">
        <v>545</v>
      </c>
      <c r="D29" t="s">
        <v>546</v>
      </c>
      <c r="E29" t="s">
        <v>430</v>
      </c>
      <c r="F29" t="s">
        <v>431</v>
      </c>
      <c r="G29" t="s">
        <v>83</v>
      </c>
      <c r="H29" t="s">
        <v>205</v>
      </c>
      <c r="I29" t="s">
        <v>88</v>
      </c>
      <c r="J29" t="s">
        <v>209</v>
      </c>
      <c r="K29" t="s">
        <v>2</v>
      </c>
      <c r="L29" t="s">
        <v>166</v>
      </c>
      <c r="M29" t="s">
        <v>547</v>
      </c>
      <c r="N29" t="s">
        <v>433</v>
      </c>
      <c r="O29" t="s">
        <v>53</v>
      </c>
      <c r="P29" t="s">
        <v>548</v>
      </c>
      <c r="Q29" t="s">
        <v>77</v>
      </c>
      <c r="R29" t="s">
        <v>520</v>
      </c>
      <c r="S29">
        <v>1</v>
      </c>
      <c r="T29">
        <v>2706</v>
      </c>
      <c r="U29">
        <v>0</v>
      </c>
      <c r="V29">
        <v>2706</v>
      </c>
    </row>
    <row r="30" spans="1:22" x14ac:dyDescent="0.25">
      <c r="A30">
        <v>79452</v>
      </c>
      <c r="B30">
        <v>131078314</v>
      </c>
      <c r="C30" t="s">
        <v>549</v>
      </c>
      <c r="D30" t="s">
        <v>550</v>
      </c>
      <c r="E30" t="s">
        <v>430</v>
      </c>
      <c r="F30" t="s">
        <v>431</v>
      </c>
      <c r="G30" t="s">
        <v>83</v>
      </c>
      <c r="H30" t="s">
        <v>205</v>
      </c>
      <c r="I30" t="s">
        <v>88</v>
      </c>
      <c r="J30" t="s">
        <v>209</v>
      </c>
      <c r="K30" t="s">
        <v>2</v>
      </c>
      <c r="L30" t="s">
        <v>166</v>
      </c>
      <c r="M30" t="s">
        <v>551</v>
      </c>
      <c r="N30" t="s">
        <v>433</v>
      </c>
      <c r="O30" t="s">
        <v>53</v>
      </c>
      <c r="P30" t="s">
        <v>552</v>
      </c>
      <c r="Q30" t="s">
        <v>81</v>
      </c>
      <c r="R30" t="s">
        <v>553</v>
      </c>
      <c r="S30">
        <v>1</v>
      </c>
      <c r="T30">
        <v>2706</v>
      </c>
      <c r="U30">
        <v>0</v>
      </c>
      <c r="V30">
        <v>2706</v>
      </c>
    </row>
    <row r="31" spans="1:22" x14ac:dyDescent="0.25">
      <c r="A31">
        <v>79452</v>
      </c>
      <c r="B31">
        <v>131078312</v>
      </c>
      <c r="C31" t="s">
        <v>554</v>
      </c>
      <c r="D31" t="s">
        <v>555</v>
      </c>
      <c r="E31" t="s">
        <v>430</v>
      </c>
      <c r="F31" t="s">
        <v>431</v>
      </c>
      <c r="G31" t="s">
        <v>83</v>
      </c>
      <c r="H31" t="s">
        <v>205</v>
      </c>
      <c r="I31" t="s">
        <v>88</v>
      </c>
      <c r="J31" t="s">
        <v>209</v>
      </c>
      <c r="K31" t="s">
        <v>2</v>
      </c>
      <c r="L31" t="s">
        <v>166</v>
      </c>
      <c r="M31" t="s">
        <v>556</v>
      </c>
      <c r="N31" t="s">
        <v>433</v>
      </c>
      <c r="O31" t="s">
        <v>53</v>
      </c>
      <c r="P31" t="s">
        <v>557</v>
      </c>
      <c r="Q31" t="s">
        <v>81</v>
      </c>
      <c r="R31" t="s">
        <v>553</v>
      </c>
      <c r="S31">
        <v>1</v>
      </c>
      <c r="T31">
        <v>2706</v>
      </c>
      <c r="U31">
        <v>0</v>
      </c>
      <c r="V31">
        <v>2706</v>
      </c>
    </row>
    <row r="32" spans="1:22" x14ac:dyDescent="0.25">
      <c r="A32">
        <v>79452</v>
      </c>
      <c r="B32">
        <v>131078317</v>
      </c>
      <c r="C32" t="s">
        <v>558</v>
      </c>
      <c r="D32" t="s">
        <v>559</v>
      </c>
      <c r="E32" t="s">
        <v>430</v>
      </c>
      <c r="F32" t="s">
        <v>431</v>
      </c>
      <c r="G32" t="s">
        <v>83</v>
      </c>
      <c r="H32" t="s">
        <v>205</v>
      </c>
      <c r="I32" t="s">
        <v>88</v>
      </c>
      <c r="J32" t="s">
        <v>209</v>
      </c>
      <c r="K32" t="s">
        <v>2</v>
      </c>
      <c r="L32" t="s">
        <v>166</v>
      </c>
      <c r="M32" t="s">
        <v>560</v>
      </c>
      <c r="N32" t="s">
        <v>433</v>
      </c>
      <c r="O32" t="s">
        <v>53</v>
      </c>
      <c r="P32" t="s">
        <v>561</v>
      </c>
      <c r="Q32" t="s">
        <v>48</v>
      </c>
      <c r="R32" t="s">
        <v>553</v>
      </c>
      <c r="S32">
        <v>1</v>
      </c>
      <c r="T32">
        <v>2706</v>
      </c>
      <c r="U32">
        <v>0</v>
      </c>
      <c r="V32">
        <v>2706</v>
      </c>
    </row>
    <row r="33" spans="1:22" x14ac:dyDescent="0.25">
      <c r="A33">
        <v>79452</v>
      </c>
      <c r="B33">
        <v>131078326</v>
      </c>
      <c r="C33" t="s">
        <v>562</v>
      </c>
      <c r="D33" t="s">
        <v>563</v>
      </c>
      <c r="E33" t="s">
        <v>430</v>
      </c>
      <c r="F33" t="s">
        <v>431</v>
      </c>
      <c r="G33" t="s">
        <v>83</v>
      </c>
      <c r="H33" t="s">
        <v>205</v>
      </c>
      <c r="I33" t="s">
        <v>88</v>
      </c>
      <c r="J33" t="s">
        <v>209</v>
      </c>
      <c r="K33" t="s">
        <v>2</v>
      </c>
      <c r="L33" t="s">
        <v>166</v>
      </c>
      <c r="M33" t="s">
        <v>564</v>
      </c>
      <c r="N33" t="s">
        <v>433</v>
      </c>
      <c r="O33" t="s">
        <v>53</v>
      </c>
      <c r="P33" t="s">
        <v>565</v>
      </c>
      <c r="Q33" t="s">
        <v>60</v>
      </c>
      <c r="R33" t="s">
        <v>553</v>
      </c>
      <c r="S33">
        <v>1</v>
      </c>
      <c r="T33">
        <v>2706</v>
      </c>
      <c r="U33">
        <v>0</v>
      </c>
      <c r="V33">
        <v>2706</v>
      </c>
    </row>
    <row r="34" spans="1:22" x14ac:dyDescent="0.25">
      <c r="A34">
        <v>79452</v>
      </c>
      <c r="B34">
        <v>131078323</v>
      </c>
      <c r="C34" t="s">
        <v>566</v>
      </c>
      <c r="D34" t="s">
        <v>567</v>
      </c>
      <c r="E34" t="s">
        <v>430</v>
      </c>
      <c r="F34" t="s">
        <v>431</v>
      </c>
      <c r="G34" t="s">
        <v>83</v>
      </c>
      <c r="H34" t="s">
        <v>205</v>
      </c>
      <c r="I34" t="s">
        <v>88</v>
      </c>
      <c r="J34" t="s">
        <v>209</v>
      </c>
      <c r="K34" t="s">
        <v>2</v>
      </c>
      <c r="L34" t="s">
        <v>166</v>
      </c>
      <c r="M34" t="s">
        <v>210</v>
      </c>
      <c r="N34" t="s">
        <v>433</v>
      </c>
      <c r="O34" t="s">
        <v>53</v>
      </c>
      <c r="P34" t="s">
        <v>568</v>
      </c>
      <c r="Q34" t="s">
        <v>51</v>
      </c>
      <c r="R34" t="s">
        <v>553</v>
      </c>
      <c r="S34">
        <v>1</v>
      </c>
      <c r="T34">
        <v>2706</v>
      </c>
      <c r="U34">
        <v>0</v>
      </c>
      <c r="V34">
        <v>2706</v>
      </c>
    </row>
    <row r="35" spans="1:22" x14ac:dyDescent="0.25">
      <c r="A35">
        <v>79452</v>
      </c>
      <c r="B35">
        <v>131086900</v>
      </c>
      <c r="C35" t="s">
        <v>569</v>
      </c>
      <c r="D35" t="s">
        <v>570</v>
      </c>
      <c r="E35" t="s">
        <v>430</v>
      </c>
      <c r="F35" t="s">
        <v>431</v>
      </c>
      <c r="G35" t="s">
        <v>83</v>
      </c>
      <c r="H35" t="s">
        <v>205</v>
      </c>
      <c r="I35" t="s">
        <v>88</v>
      </c>
      <c r="J35" t="s">
        <v>209</v>
      </c>
      <c r="K35" t="s">
        <v>2</v>
      </c>
      <c r="L35" t="s">
        <v>166</v>
      </c>
      <c r="M35" t="s">
        <v>571</v>
      </c>
      <c r="N35" t="s">
        <v>433</v>
      </c>
      <c r="O35" t="s">
        <v>53</v>
      </c>
      <c r="P35" t="s">
        <v>572</v>
      </c>
      <c r="Q35" t="s">
        <v>62</v>
      </c>
      <c r="R35" t="s">
        <v>573</v>
      </c>
      <c r="S35">
        <v>1</v>
      </c>
      <c r="T35">
        <v>2706</v>
      </c>
      <c r="U35">
        <v>0</v>
      </c>
      <c r="V35">
        <v>2706</v>
      </c>
    </row>
    <row r="36" spans="1:22" x14ac:dyDescent="0.25">
      <c r="A36">
        <v>79452</v>
      </c>
      <c r="B36">
        <v>131086902</v>
      </c>
      <c r="C36" t="s">
        <v>574</v>
      </c>
      <c r="D36" t="s">
        <v>575</v>
      </c>
      <c r="E36" t="s">
        <v>430</v>
      </c>
      <c r="F36" t="s">
        <v>431</v>
      </c>
      <c r="G36" t="s">
        <v>83</v>
      </c>
      <c r="H36" t="s">
        <v>205</v>
      </c>
      <c r="I36" t="s">
        <v>88</v>
      </c>
      <c r="J36" t="s">
        <v>209</v>
      </c>
      <c r="K36" t="s">
        <v>2</v>
      </c>
      <c r="L36" t="s">
        <v>166</v>
      </c>
      <c r="M36" t="s">
        <v>576</v>
      </c>
      <c r="N36" t="s">
        <v>433</v>
      </c>
      <c r="O36" t="s">
        <v>53</v>
      </c>
      <c r="P36" t="s">
        <v>577</v>
      </c>
      <c r="Q36" t="s">
        <v>51</v>
      </c>
      <c r="R36" t="s">
        <v>573</v>
      </c>
      <c r="S36">
        <v>1</v>
      </c>
      <c r="T36">
        <v>2706</v>
      </c>
      <c r="U36">
        <v>0</v>
      </c>
      <c r="V36">
        <v>2706</v>
      </c>
    </row>
    <row r="37" spans="1:22" x14ac:dyDescent="0.25">
      <c r="A37">
        <v>79452</v>
      </c>
      <c r="B37">
        <v>131086910</v>
      </c>
      <c r="C37" t="s">
        <v>578</v>
      </c>
      <c r="D37" t="s">
        <v>579</v>
      </c>
      <c r="E37" t="s">
        <v>430</v>
      </c>
      <c r="F37" t="s">
        <v>431</v>
      </c>
      <c r="G37" t="s">
        <v>83</v>
      </c>
      <c r="H37" t="s">
        <v>205</v>
      </c>
      <c r="I37" t="s">
        <v>88</v>
      </c>
      <c r="J37" t="s">
        <v>209</v>
      </c>
      <c r="K37" t="s">
        <v>2</v>
      </c>
      <c r="L37" t="s">
        <v>166</v>
      </c>
      <c r="M37" t="s">
        <v>580</v>
      </c>
      <c r="N37" t="s">
        <v>433</v>
      </c>
      <c r="O37" t="s">
        <v>53</v>
      </c>
      <c r="P37" t="s">
        <v>581</v>
      </c>
      <c r="Q37" t="s">
        <v>53</v>
      </c>
      <c r="R37" t="s">
        <v>573</v>
      </c>
      <c r="S37">
        <v>1</v>
      </c>
      <c r="T37">
        <v>2706</v>
      </c>
      <c r="U37">
        <v>0</v>
      </c>
      <c r="V37">
        <v>2706</v>
      </c>
    </row>
    <row r="38" spans="1:22" x14ac:dyDescent="0.25">
      <c r="A38">
        <v>79452</v>
      </c>
      <c r="B38">
        <v>131023662</v>
      </c>
      <c r="C38" t="s">
        <v>582</v>
      </c>
      <c r="D38" t="s">
        <v>583</v>
      </c>
      <c r="E38" t="s">
        <v>430</v>
      </c>
      <c r="F38" t="s">
        <v>431</v>
      </c>
      <c r="G38" t="s">
        <v>83</v>
      </c>
      <c r="H38" t="s">
        <v>205</v>
      </c>
      <c r="I38" t="s">
        <v>88</v>
      </c>
      <c r="J38" t="s">
        <v>209</v>
      </c>
      <c r="K38" t="s">
        <v>2</v>
      </c>
      <c r="L38" t="s">
        <v>166</v>
      </c>
      <c r="M38" t="s">
        <v>584</v>
      </c>
      <c r="N38" t="s">
        <v>433</v>
      </c>
      <c r="O38" t="s">
        <v>53</v>
      </c>
      <c r="P38" t="s">
        <v>585</v>
      </c>
      <c r="Q38" t="s">
        <v>68</v>
      </c>
      <c r="R38" t="s">
        <v>586</v>
      </c>
      <c r="S38">
        <v>1</v>
      </c>
      <c r="T38">
        <v>2706</v>
      </c>
      <c r="U38">
        <v>0</v>
      </c>
      <c r="V38">
        <v>2706</v>
      </c>
    </row>
    <row r="39" spans="1:22" x14ac:dyDescent="0.25">
      <c r="A39">
        <v>79452</v>
      </c>
      <c r="B39">
        <v>131023664</v>
      </c>
      <c r="C39" t="s">
        <v>587</v>
      </c>
      <c r="D39" t="s">
        <v>588</v>
      </c>
      <c r="E39" t="s">
        <v>430</v>
      </c>
      <c r="F39" t="s">
        <v>431</v>
      </c>
      <c r="G39" t="s">
        <v>83</v>
      </c>
      <c r="H39" t="s">
        <v>205</v>
      </c>
      <c r="I39" t="s">
        <v>88</v>
      </c>
      <c r="J39" t="s">
        <v>209</v>
      </c>
      <c r="K39" t="s">
        <v>2</v>
      </c>
      <c r="L39" t="s">
        <v>166</v>
      </c>
      <c r="M39" t="s">
        <v>589</v>
      </c>
      <c r="N39" t="s">
        <v>433</v>
      </c>
      <c r="O39" t="s">
        <v>53</v>
      </c>
      <c r="P39" t="s">
        <v>590</v>
      </c>
      <c r="Q39" t="s">
        <v>51</v>
      </c>
      <c r="R39" t="s">
        <v>586</v>
      </c>
      <c r="S39">
        <v>1</v>
      </c>
      <c r="T39">
        <v>2706</v>
      </c>
      <c r="U39">
        <v>0</v>
      </c>
      <c r="V39">
        <v>2706</v>
      </c>
    </row>
    <row r="40" spans="1:22" x14ac:dyDescent="0.25">
      <c r="A40">
        <v>79452</v>
      </c>
      <c r="B40">
        <v>131023667</v>
      </c>
      <c r="C40" t="s">
        <v>591</v>
      </c>
      <c r="D40" t="s">
        <v>592</v>
      </c>
      <c r="E40" t="s">
        <v>430</v>
      </c>
      <c r="F40" t="s">
        <v>431</v>
      </c>
      <c r="G40" t="s">
        <v>83</v>
      </c>
      <c r="H40" t="s">
        <v>205</v>
      </c>
      <c r="I40" t="s">
        <v>88</v>
      </c>
      <c r="J40" t="s">
        <v>209</v>
      </c>
      <c r="K40" t="s">
        <v>2</v>
      </c>
      <c r="L40" t="s">
        <v>166</v>
      </c>
      <c r="M40" t="s">
        <v>593</v>
      </c>
      <c r="N40" t="s">
        <v>433</v>
      </c>
      <c r="O40" t="s">
        <v>53</v>
      </c>
      <c r="P40" t="s">
        <v>594</v>
      </c>
      <c r="Q40" t="s">
        <v>53</v>
      </c>
      <c r="R40" t="s">
        <v>586</v>
      </c>
      <c r="S40">
        <v>1</v>
      </c>
      <c r="T40">
        <v>2706</v>
      </c>
      <c r="U40">
        <v>0</v>
      </c>
      <c r="V40">
        <v>2706</v>
      </c>
    </row>
    <row r="41" spans="1:22" x14ac:dyDescent="0.25">
      <c r="A41">
        <v>79452</v>
      </c>
      <c r="B41">
        <v>131023669</v>
      </c>
      <c r="C41" t="s">
        <v>595</v>
      </c>
      <c r="D41" t="s">
        <v>596</v>
      </c>
      <c r="E41" t="s">
        <v>430</v>
      </c>
      <c r="F41" t="s">
        <v>431</v>
      </c>
      <c r="G41" t="s">
        <v>83</v>
      </c>
      <c r="H41" t="s">
        <v>205</v>
      </c>
      <c r="I41" t="s">
        <v>88</v>
      </c>
      <c r="J41" t="s">
        <v>209</v>
      </c>
      <c r="K41" t="s">
        <v>2</v>
      </c>
      <c r="L41" t="s">
        <v>166</v>
      </c>
      <c r="M41" t="s">
        <v>597</v>
      </c>
      <c r="N41" t="s">
        <v>433</v>
      </c>
      <c r="O41" t="s">
        <v>53</v>
      </c>
      <c r="P41" t="s">
        <v>598</v>
      </c>
      <c r="Q41" t="s">
        <v>62</v>
      </c>
      <c r="R41" t="s">
        <v>586</v>
      </c>
      <c r="S41">
        <v>1</v>
      </c>
      <c r="T41">
        <v>2706</v>
      </c>
      <c r="U41">
        <v>0</v>
      </c>
      <c r="V41">
        <v>2706</v>
      </c>
    </row>
    <row r="42" spans="1:22" x14ac:dyDescent="0.25">
      <c r="A42">
        <v>79452</v>
      </c>
      <c r="B42">
        <v>131023671</v>
      </c>
      <c r="C42" t="s">
        <v>599</v>
      </c>
      <c r="D42" t="s">
        <v>600</v>
      </c>
      <c r="E42" t="s">
        <v>430</v>
      </c>
      <c r="F42" t="s">
        <v>431</v>
      </c>
      <c r="G42" t="s">
        <v>83</v>
      </c>
      <c r="H42" t="s">
        <v>205</v>
      </c>
      <c r="I42" t="s">
        <v>88</v>
      </c>
      <c r="J42" t="s">
        <v>209</v>
      </c>
      <c r="K42" t="s">
        <v>2</v>
      </c>
      <c r="L42" t="s">
        <v>166</v>
      </c>
      <c r="M42" t="s">
        <v>601</v>
      </c>
      <c r="N42" t="s">
        <v>433</v>
      </c>
      <c r="O42" t="s">
        <v>53</v>
      </c>
      <c r="P42" t="s">
        <v>602</v>
      </c>
      <c r="Q42" t="s">
        <v>50</v>
      </c>
      <c r="R42" t="s">
        <v>586</v>
      </c>
      <c r="S42">
        <v>1</v>
      </c>
      <c r="T42">
        <v>2706</v>
      </c>
      <c r="U42">
        <v>0</v>
      </c>
      <c r="V42">
        <v>2706</v>
      </c>
    </row>
    <row r="43" spans="1:22" x14ac:dyDescent="0.25">
      <c r="A43">
        <v>79452</v>
      </c>
      <c r="B43">
        <v>131023672</v>
      </c>
      <c r="C43" t="s">
        <v>603</v>
      </c>
      <c r="D43" t="s">
        <v>604</v>
      </c>
      <c r="E43" t="s">
        <v>430</v>
      </c>
      <c r="F43" t="s">
        <v>431</v>
      </c>
      <c r="G43" t="s">
        <v>83</v>
      </c>
      <c r="H43" t="s">
        <v>205</v>
      </c>
      <c r="I43" t="s">
        <v>88</v>
      </c>
      <c r="J43" t="s">
        <v>209</v>
      </c>
      <c r="K43" t="s">
        <v>2</v>
      </c>
      <c r="L43" t="s">
        <v>166</v>
      </c>
      <c r="M43" t="s">
        <v>605</v>
      </c>
      <c r="N43" t="s">
        <v>433</v>
      </c>
      <c r="O43" t="s">
        <v>53</v>
      </c>
      <c r="P43" t="s">
        <v>606</v>
      </c>
      <c r="Q43" t="s">
        <v>51</v>
      </c>
      <c r="R43" t="s">
        <v>586</v>
      </c>
      <c r="S43">
        <v>1</v>
      </c>
      <c r="T43">
        <v>2706</v>
      </c>
      <c r="U43">
        <v>0</v>
      </c>
      <c r="V43">
        <v>2706</v>
      </c>
    </row>
    <row r="44" spans="1:22" x14ac:dyDescent="0.25">
      <c r="A44">
        <v>79452</v>
      </c>
      <c r="B44">
        <v>131023673</v>
      </c>
      <c r="C44" t="s">
        <v>607</v>
      </c>
      <c r="D44" t="s">
        <v>608</v>
      </c>
      <c r="E44" t="s">
        <v>430</v>
      </c>
      <c r="F44" t="s">
        <v>431</v>
      </c>
      <c r="G44" t="s">
        <v>83</v>
      </c>
      <c r="H44" t="s">
        <v>205</v>
      </c>
      <c r="I44" t="s">
        <v>88</v>
      </c>
      <c r="J44" t="s">
        <v>209</v>
      </c>
      <c r="K44" t="s">
        <v>2</v>
      </c>
      <c r="L44" t="s">
        <v>166</v>
      </c>
      <c r="M44" t="s">
        <v>609</v>
      </c>
      <c r="N44" t="s">
        <v>433</v>
      </c>
      <c r="O44" t="s">
        <v>53</v>
      </c>
      <c r="P44" t="s">
        <v>610</v>
      </c>
      <c r="Q44" t="s">
        <v>48</v>
      </c>
      <c r="R44" t="s">
        <v>586</v>
      </c>
      <c r="S44">
        <v>1</v>
      </c>
      <c r="T44">
        <v>2706</v>
      </c>
      <c r="U44">
        <v>0</v>
      </c>
      <c r="V44">
        <v>2706</v>
      </c>
    </row>
    <row r="45" spans="1:22" x14ac:dyDescent="0.25">
      <c r="A45">
        <v>79452</v>
      </c>
      <c r="B45">
        <v>131023678</v>
      </c>
      <c r="C45" t="s">
        <v>611</v>
      </c>
      <c r="D45" t="s">
        <v>612</v>
      </c>
      <c r="E45" t="s">
        <v>430</v>
      </c>
      <c r="F45" t="s">
        <v>431</v>
      </c>
      <c r="G45" t="s">
        <v>83</v>
      </c>
      <c r="H45" t="s">
        <v>205</v>
      </c>
      <c r="I45" t="s">
        <v>88</v>
      </c>
      <c r="J45" t="s">
        <v>209</v>
      </c>
      <c r="K45" t="s">
        <v>2</v>
      </c>
      <c r="L45" t="s">
        <v>166</v>
      </c>
      <c r="M45" t="s">
        <v>613</v>
      </c>
      <c r="N45" t="s">
        <v>433</v>
      </c>
      <c r="O45" t="s">
        <v>53</v>
      </c>
      <c r="P45" t="s">
        <v>614</v>
      </c>
      <c r="Q45" t="s">
        <v>62</v>
      </c>
      <c r="R45" t="s">
        <v>586</v>
      </c>
      <c r="S45">
        <v>1</v>
      </c>
      <c r="T45">
        <v>2706</v>
      </c>
      <c r="U45">
        <v>0</v>
      </c>
      <c r="V45">
        <v>2706</v>
      </c>
    </row>
    <row r="46" spans="1:22" x14ac:dyDescent="0.25">
      <c r="A46">
        <v>79452</v>
      </c>
      <c r="B46">
        <v>131023680</v>
      </c>
      <c r="C46" t="s">
        <v>615</v>
      </c>
      <c r="D46" t="s">
        <v>616</v>
      </c>
      <c r="E46" t="s">
        <v>430</v>
      </c>
      <c r="F46" t="s">
        <v>431</v>
      </c>
      <c r="G46" t="s">
        <v>83</v>
      </c>
      <c r="H46" t="s">
        <v>205</v>
      </c>
      <c r="I46" t="s">
        <v>88</v>
      </c>
      <c r="J46" t="s">
        <v>209</v>
      </c>
      <c r="K46" t="s">
        <v>2</v>
      </c>
      <c r="L46" t="s">
        <v>166</v>
      </c>
      <c r="M46" t="s">
        <v>617</v>
      </c>
      <c r="N46" t="s">
        <v>433</v>
      </c>
      <c r="O46" t="s">
        <v>53</v>
      </c>
      <c r="P46" t="s">
        <v>618</v>
      </c>
      <c r="Q46" t="s">
        <v>62</v>
      </c>
      <c r="R46" t="s">
        <v>586</v>
      </c>
      <c r="S46">
        <v>1</v>
      </c>
      <c r="T46">
        <v>2706</v>
      </c>
      <c r="U46">
        <v>0</v>
      </c>
      <c r="V46">
        <v>2706</v>
      </c>
    </row>
    <row r="47" spans="1:22" x14ac:dyDescent="0.25">
      <c r="A47">
        <v>79452</v>
      </c>
      <c r="B47">
        <v>131023682</v>
      </c>
      <c r="C47" t="s">
        <v>619</v>
      </c>
      <c r="D47" t="s">
        <v>620</v>
      </c>
      <c r="E47" t="s">
        <v>430</v>
      </c>
      <c r="F47" t="s">
        <v>431</v>
      </c>
      <c r="G47" t="s">
        <v>83</v>
      </c>
      <c r="H47" t="s">
        <v>205</v>
      </c>
      <c r="I47" t="s">
        <v>88</v>
      </c>
      <c r="J47" t="s">
        <v>209</v>
      </c>
      <c r="K47" t="s">
        <v>2</v>
      </c>
      <c r="L47" t="s">
        <v>166</v>
      </c>
      <c r="M47" t="s">
        <v>621</v>
      </c>
      <c r="N47" t="s">
        <v>433</v>
      </c>
      <c r="O47" t="s">
        <v>53</v>
      </c>
      <c r="P47" t="s">
        <v>622</v>
      </c>
      <c r="Q47" t="s">
        <v>62</v>
      </c>
      <c r="R47" t="s">
        <v>586</v>
      </c>
      <c r="S47">
        <v>1</v>
      </c>
      <c r="T47">
        <v>2706</v>
      </c>
      <c r="U47">
        <v>0</v>
      </c>
      <c r="V47">
        <v>2706</v>
      </c>
    </row>
    <row r="48" spans="1:22" x14ac:dyDescent="0.25">
      <c r="A48">
        <v>79452</v>
      </c>
      <c r="B48">
        <v>131023683</v>
      </c>
      <c r="C48" t="s">
        <v>623</v>
      </c>
      <c r="D48" t="s">
        <v>624</v>
      </c>
      <c r="E48" t="s">
        <v>430</v>
      </c>
      <c r="F48" t="s">
        <v>431</v>
      </c>
      <c r="G48" t="s">
        <v>83</v>
      </c>
      <c r="H48" t="s">
        <v>205</v>
      </c>
      <c r="I48" t="s">
        <v>88</v>
      </c>
      <c r="J48" t="s">
        <v>209</v>
      </c>
      <c r="K48" t="s">
        <v>2</v>
      </c>
      <c r="L48" t="s">
        <v>166</v>
      </c>
      <c r="M48" t="s">
        <v>625</v>
      </c>
      <c r="N48" t="s">
        <v>433</v>
      </c>
      <c r="O48" t="s">
        <v>53</v>
      </c>
      <c r="P48" t="s">
        <v>626</v>
      </c>
      <c r="Q48" t="s">
        <v>53</v>
      </c>
      <c r="R48" t="s">
        <v>586</v>
      </c>
      <c r="S48">
        <v>1</v>
      </c>
      <c r="T48">
        <v>2706</v>
      </c>
      <c r="U48">
        <v>0</v>
      </c>
      <c r="V48">
        <v>2706</v>
      </c>
    </row>
    <row r="49" spans="1:22" x14ac:dyDescent="0.25">
      <c r="A49">
        <v>79452</v>
      </c>
      <c r="B49">
        <v>131023684</v>
      </c>
      <c r="C49" t="s">
        <v>627</v>
      </c>
      <c r="D49" t="s">
        <v>628</v>
      </c>
      <c r="E49" t="s">
        <v>430</v>
      </c>
      <c r="F49" t="s">
        <v>431</v>
      </c>
      <c r="G49" t="s">
        <v>83</v>
      </c>
      <c r="H49" t="s">
        <v>205</v>
      </c>
      <c r="I49" t="s">
        <v>88</v>
      </c>
      <c r="J49" t="s">
        <v>209</v>
      </c>
      <c r="K49" t="s">
        <v>2</v>
      </c>
      <c r="L49" t="s">
        <v>166</v>
      </c>
      <c r="M49" t="s">
        <v>629</v>
      </c>
      <c r="N49" t="s">
        <v>433</v>
      </c>
      <c r="O49" t="s">
        <v>53</v>
      </c>
      <c r="P49" t="s">
        <v>630</v>
      </c>
      <c r="Q49" t="s">
        <v>45</v>
      </c>
      <c r="R49" t="s">
        <v>586</v>
      </c>
      <c r="S49">
        <v>1</v>
      </c>
      <c r="T49">
        <v>2706</v>
      </c>
      <c r="U49">
        <v>0</v>
      </c>
      <c r="V49">
        <v>2706</v>
      </c>
    </row>
    <row r="50" spans="1:22" x14ac:dyDescent="0.25">
      <c r="A50">
        <v>79452</v>
      </c>
      <c r="B50">
        <v>131023687</v>
      </c>
      <c r="C50" t="s">
        <v>631</v>
      </c>
      <c r="D50" t="s">
        <v>632</v>
      </c>
      <c r="E50" t="s">
        <v>430</v>
      </c>
      <c r="F50" t="s">
        <v>431</v>
      </c>
      <c r="G50" t="s">
        <v>83</v>
      </c>
      <c r="H50" t="s">
        <v>205</v>
      </c>
      <c r="I50" t="s">
        <v>88</v>
      </c>
      <c r="J50" t="s">
        <v>209</v>
      </c>
      <c r="K50" t="s">
        <v>2</v>
      </c>
      <c r="L50" t="s">
        <v>166</v>
      </c>
      <c r="M50" t="s">
        <v>426</v>
      </c>
      <c r="N50" t="s">
        <v>433</v>
      </c>
      <c r="O50" t="s">
        <v>53</v>
      </c>
      <c r="P50" t="s">
        <v>633</v>
      </c>
      <c r="Q50" t="s">
        <v>56</v>
      </c>
      <c r="R50" t="s">
        <v>586</v>
      </c>
      <c r="S50">
        <v>1</v>
      </c>
      <c r="T50">
        <v>2706</v>
      </c>
      <c r="U50">
        <v>0</v>
      </c>
      <c r="V50">
        <v>2706</v>
      </c>
    </row>
    <row r="51" spans="1:22" x14ac:dyDescent="0.25">
      <c r="A51">
        <v>79452</v>
      </c>
      <c r="B51">
        <v>131023689</v>
      </c>
      <c r="C51" t="s">
        <v>634</v>
      </c>
      <c r="D51" t="s">
        <v>635</v>
      </c>
      <c r="E51" t="s">
        <v>430</v>
      </c>
      <c r="F51" t="s">
        <v>431</v>
      </c>
      <c r="G51" t="s">
        <v>83</v>
      </c>
      <c r="H51" t="s">
        <v>205</v>
      </c>
      <c r="I51" t="s">
        <v>88</v>
      </c>
      <c r="J51" t="s">
        <v>209</v>
      </c>
      <c r="K51" t="s">
        <v>2</v>
      </c>
      <c r="L51" t="s">
        <v>166</v>
      </c>
      <c r="M51" t="s">
        <v>636</v>
      </c>
      <c r="N51" t="s">
        <v>433</v>
      </c>
      <c r="O51" t="s">
        <v>53</v>
      </c>
      <c r="P51" t="s">
        <v>637</v>
      </c>
      <c r="Q51" t="s">
        <v>62</v>
      </c>
      <c r="R51" t="s">
        <v>586</v>
      </c>
      <c r="S51">
        <v>1</v>
      </c>
      <c r="T51">
        <v>2706</v>
      </c>
      <c r="U51">
        <v>0</v>
      </c>
      <c r="V51">
        <v>2706</v>
      </c>
    </row>
    <row r="52" spans="1:22" x14ac:dyDescent="0.25">
      <c r="A52">
        <v>79452</v>
      </c>
      <c r="B52">
        <v>131023690</v>
      </c>
      <c r="C52" t="s">
        <v>638</v>
      </c>
      <c r="D52" t="s">
        <v>639</v>
      </c>
      <c r="E52" t="s">
        <v>430</v>
      </c>
      <c r="F52" t="s">
        <v>431</v>
      </c>
      <c r="G52" t="s">
        <v>83</v>
      </c>
      <c r="H52" t="s">
        <v>205</v>
      </c>
      <c r="I52" t="s">
        <v>88</v>
      </c>
      <c r="J52" t="s">
        <v>209</v>
      </c>
      <c r="K52" t="s">
        <v>2</v>
      </c>
      <c r="L52" t="s">
        <v>166</v>
      </c>
      <c r="M52" t="s">
        <v>640</v>
      </c>
      <c r="N52" t="s">
        <v>433</v>
      </c>
      <c r="O52" t="s">
        <v>53</v>
      </c>
      <c r="P52" t="s">
        <v>641</v>
      </c>
      <c r="Q52" t="s">
        <v>59</v>
      </c>
      <c r="R52" t="s">
        <v>586</v>
      </c>
      <c r="S52">
        <v>1</v>
      </c>
      <c r="T52">
        <v>2706</v>
      </c>
      <c r="U52">
        <v>0</v>
      </c>
      <c r="V52">
        <v>2706</v>
      </c>
    </row>
    <row r="53" spans="1:22" x14ac:dyDescent="0.25">
      <c r="A53">
        <v>79452</v>
      </c>
      <c r="B53">
        <v>131023692</v>
      </c>
      <c r="C53" t="s">
        <v>642</v>
      </c>
      <c r="D53" t="s">
        <v>643</v>
      </c>
      <c r="E53" t="s">
        <v>430</v>
      </c>
      <c r="F53" t="s">
        <v>431</v>
      </c>
      <c r="G53" t="s">
        <v>83</v>
      </c>
      <c r="H53" t="s">
        <v>205</v>
      </c>
      <c r="I53" t="s">
        <v>88</v>
      </c>
      <c r="J53" t="s">
        <v>209</v>
      </c>
      <c r="K53" t="s">
        <v>2</v>
      </c>
      <c r="L53" t="s">
        <v>166</v>
      </c>
      <c r="M53" t="s">
        <v>644</v>
      </c>
      <c r="N53" t="s">
        <v>433</v>
      </c>
      <c r="O53" t="s">
        <v>53</v>
      </c>
      <c r="P53" t="s">
        <v>645</v>
      </c>
      <c r="Q53" t="s">
        <v>53</v>
      </c>
      <c r="R53" t="s">
        <v>586</v>
      </c>
      <c r="S53">
        <v>1</v>
      </c>
      <c r="T53">
        <v>2706</v>
      </c>
      <c r="U53">
        <v>0</v>
      </c>
      <c r="V53">
        <v>2706</v>
      </c>
    </row>
    <row r="54" spans="1:22" x14ac:dyDescent="0.25">
      <c r="A54">
        <v>79452</v>
      </c>
      <c r="B54">
        <v>130990235</v>
      </c>
      <c r="C54" t="s">
        <v>646</v>
      </c>
      <c r="D54" t="s">
        <v>647</v>
      </c>
      <c r="E54" t="s">
        <v>430</v>
      </c>
      <c r="F54" t="s">
        <v>431</v>
      </c>
      <c r="G54" t="s">
        <v>83</v>
      </c>
      <c r="H54" t="s">
        <v>205</v>
      </c>
      <c r="I54" t="s">
        <v>88</v>
      </c>
      <c r="J54" t="s">
        <v>209</v>
      </c>
      <c r="K54" t="s">
        <v>2</v>
      </c>
      <c r="L54" t="s">
        <v>166</v>
      </c>
      <c r="M54" t="s">
        <v>648</v>
      </c>
      <c r="N54" t="s">
        <v>433</v>
      </c>
      <c r="O54" t="s">
        <v>53</v>
      </c>
      <c r="P54" t="s">
        <v>649</v>
      </c>
      <c r="Q54" t="s">
        <v>81</v>
      </c>
      <c r="R54" t="s">
        <v>394</v>
      </c>
      <c r="S54">
        <v>1</v>
      </c>
      <c r="T54">
        <v>2706</v>
      </c>
      <c r="U54">
        <v>0</v>
      </c>
      <c r="V54">
        <v>2706</v>
      </c>
    </row>
    <row r="55" spans="1:22" x14ac:dyDescent="0.25">
      <c r="A55">
        <v>79452</v>
      </c>
      <c r="B55">
        <v>130990234</v>
      </c>
      <c r="C55" t="s">
        <v>650</v>
      </c>
      <c r="D55" t="s">
        <v>651</v>
      </c>
      <c r="E55" t="s">
        <v>430</v>
      </c>
      <c r="F55" t="s">
        <v>431</v>
      </c>
      <c r="G55" t="s">
        <v>83</v>
      </c>
      <c r="H55" t="s">
        <v>205</v>
      </c>
      <c r="I55" t="s">
        <v>88</v>
      </c>
      <c r="J55" t="s">
        <v>209</v>
      </c>
      <c r="K55" t="s">
        <v>2</v>
      </c>
      <c r="L55" t="s">
        <v>166</v>
      </c>
      <c r="M55" t="s">
        <v>652</v>
      </c>
      <c r="N55" t="s">
        <v>433</v>
      </c>
      <c r="O55" t="s">
        <v>53</v>
      </c>
      <c r="P55" t="s">
        <v>653</v>
      </c>
      <c r="Q55" t="s">
        <v>51</v>
      </c>
      <c r="R55" t="s">
        <v>394</v>
      </c>
      <c r="S55">
        <v>1</v>
      </c>
      <c r="T55">
        <v>2706</v>
      </c>
      <c r="U55">
        <v>0</v>
      </c>
      <c r="V55">
        <v>2706</v>
      </c>
    </row>
    <row r="56" spans="1:22" x14ac:dyDescent="0.25">
      <c r="A56">
        <v>79452</v>
      </c>
      <c r="B56">
        <v>130990232</v>
      </c>
      <c r="C56" t="s">
        <v>654</v>
      </c>
      <c r="D56" t="s">
        <v>655</v>
      </c>
      <c r="E56" t="s">
        <v>430</v>
      </c>
      <c r="F56" t="s">
        <v>431</v>
      </c>
      <c r="G56" t="s">
        <v>83</v>
      </c>
      <c r="H56" t="s">
        <v>205</v>
      </c>
      <c r="I56" t="s">
        <v>88</v>
      </c>
      <c r="J56" t="s">
        <v>209</v>
      </c>
      <c r="K56" t="s">
        <v>2</v>
      </c>
      <c r="L56" t="s">
        <v>166</v>
      </c>
      <c r="M56" t="s">
        <v>656</v>
      </c>
      <c r="N56" t="s">
        <v>433</v>
      </c>
      <c r="O56" t="s">
        <v>53</v>
      </c>
      <c r="P56" t="s">
        <v>657</v>
      </c>
      <c r="Q56" t="s">
        <v>48</v>
      </c>
      <c r="R56" t="s">
        <v>394</v>
      </c>
      <c r="S56">
        <v>1</v>
      </c>
      <c r="T56">
        <v>2706</v>
      </c>
      <c r="U56">
        <v>0</v>
      </c>
      <c r="V56">
        <v>2706</v>
      </c>
    </row>
    <row r="57" spans="1:22" x14ac:dyDescent="0.25">
      <c r="A57">
        <v>79452</v>
      </c>
      <c r="B57">
        <v>130975893</v>
      </c>
      <c r="C57" t="s">
        <v>658</v>
      </c>
      <c r="D57" t="s">
        <v>659</v>
      </c>
      <c r="E57" t="s">
        <v>430</v>
      </c>
      <c r="F57" t="s">
        <v>431</v>
      </c>
      <c r="G57" t="s">
        <v>83</v>
      </c>
      <c r="H57" t="s">
        <v>205</v>
      </c>
      <c r="I57" t="s">
        <v>88</v>
      </c>
      <c r="J57" t="s">
        <v>209</v>
      </c>
      <c r="K57" t="s">
        <v>2</v>
      </c>
      <c r="L57" t="s">
        <v>166</v>
      </c>
      <c r="M57" t="s">
        <v>660</v>
      </c>
      <c r="N57" t="s">
        <v>433</v>
      </c>
      <c r="O57" t="s">
        <v>53</v>
      </c>
      <c r="P57" t="s">
        <v>661</v>
      </c>
      <c r="Q57" t="s">
        <v>54</v>
      </c>
      <c r="R57" t="s">
        <v>662</v>
      </c>
      <c r="S57">
        <v>1</v>
      </c>
      <c r="T57">
        <v>2706</v>
      </c>
      <c r="U57">
        <v>0</v>
      </c>
      <c r="V57">
        <v>2706</v>
      </c>
    </row>
    <row r="58" spans="1:22" x14ac:dyDescent="0.25">
      <c r="A58">
        <v>79452</v>
      </c>
      <c r="B58">
        <v>130975889</v>
      </c>
      <c r="C58" t="s">
        <v>663</v>
      </c>
      <c r="D58" t="s">
        <v>664</v>
      </c>
      <c r="E58" t="s">
        <v>430</v>
      </c>
      <c r="F58" t="s">
        <v>431</v>
      </c>
      <c r="G58" t="s">
        <v>83</v>
      </c>
      <c r="H58" t="s">
        <v>205</v>
      </c>
      <c r="I58" t="s">
        <v>88</v>
      </c>
      <c r="J58" t="s">
        <v>209</v>
      </c>
      <c r="K58" t="s">
        <v>2</v>
      </c>
      <c r="L58" t="s">
        <v>166</v>
      </c>
      <c r="M58" t="s">
        <v>665</v>
      </c>
      <c r="N58" t="s">
        <v>433</v>
      </c>
      <c r="O58" t="s">
        <v>53</v>
      </c>
      <c r="P58" t="s">
        <v>666</v>
      </c>
      <c r="Q58" t="s">
        <v>78</v>
      </c>
      <c r="R58" t="s">
        <v>662</v>
      </c>
      <c r="S58">
        <v>1</v>
      </c>
      <c r="T58">
        <v>2706</v>
      </c>
      <c r="U58">
        <v>0</v>
      </c>
      <c r="V58">
        <v>2706</v>
      </c>
    </row>
    <row r="59" spans="1:22" x14ac:dyDescent="0.25">
      <c r="A59">
        <v>79452</v>
      </c>
      <c r="B59">
        <v>131198452</v>
      </c>
      <c r="C59" t="s">
        <v>667</v>
      </c>
      <c r="D59">
        <v>250129529</v>
      </c>
      <c r="E59" t="s">
        <v>430</v>
      </c>
      <c r="F59" t="s">
        <v>431</v>
      </c>
      <c r="G59" t="s">
        <v>149</v>
      </c>
      <c r="H59" t="s">
        <v>150</v>
      </c>
      <c r="I59" t="s">
        <v>88</v>
      </c>
      <c r="J59" t="s">
        <v>151</v>
      </c>
      <c r="K59" t="s">
        <v>2</v>
      </c>
      <c r="L59" t="s">
        <v>668</v>
      </c>
      <c r="M59" t="s">
        <v>669</v>
      </c>
      <c r="N59" t="s">
        <v>433</v>
      </c>
      <c r="O59" t="s">
        <v>53</v>
      </c>
      <c r="P59" t="s">
        <v>670</v>
      </c>
      <c r="Q59" t="s">
        <v>120</v>
      </c>
      <c r="R59" t="s">
        <v>498</v>
      </c>
      <c r="S59">
        <v>1</v>
      </c>
      <c r="T59">
        <v>5153</v>
      </c>
      <c r="U59">
        <v>0</v>
      </c>
      <c r="V59">
        <v>5153</v>
      </c>
    </row>
    <row r="60" spans="1:22" x14ac:dyDescent="0.25">
      <c r="A60">
        <v>79452</v>
      </c>
      <c r="B60">
        <v>131230228</v>
      </c>
      <c r="C60" t="s">
        <v>671</v>
      </c>
      <c r="D60">
        <v>250205196</v>
      </c>
      <c r="E60" t="s">
        <v>430</v>
      </c>
      <c r="F60" t="s">
        <v>431</v>
      </c>
      <c r="G60" t="s">
        <v>149</v>
      </c>
      <c r="H60" t="s">
        <v>150</v>
      </c>
      <c r="I60" t="s">
        <v>88</v>
      </c>
      <c r="J60" t="s">
        <v>151</v>
      </c>
      <c r="K60" t="s">
        <v>2</v>
      </c>
      <c r="L60" t="s">
        <v>672</v>
      </c>
      <c r="M60" t="s">
        <v>673</v>
      </c>
      <c r="N60" t="s">
        <v>433</v>
      </c>
      <c r="O60" t="s">
        <v>53</v>
      </c>
      <c r="P60" t="s">
        <v>674</v>
      </c>
      <c r="Q60" t="s">
        <v>108</v>
      </c>
      <c r="R60" t="s">
        <v>379</v>
      </c>
      <c r="S60">
        <v>1</v>
      </c>
      <c r="T60">
        <v>5502</v>
      </c>
      <c r="U60">
        <v>0</v>
      </c>
      <c r="V60">
        <v>5502</v>
      </c>
    </row>
    <row r="61" spans="1:22" x14ac:dyDescent="0.25">
      <c r="A61">
        <v>79452</v>
      </c>
      <c r="B61">
        <v>131230213</v>
      </c>
      <c r="C61" t="s">
        <v>675</v>
      </c>
      <c r="D61">
        <v>250205225</v>
      </c>
      <c r="E61" t="s">
        <v>430</v>
      </c>
      <c r="F61" t="s">
        <v>431</v>
      </c>
      <c r="G61" t="s">
        <v>149</v>
      </c>
      <c r="H61" t="s">
        <v>150</v>
      </c>
      <c r="I61" t="s">
        <v>88</v>
      </c>
      <c r="J61" t="s">
        <v>151</v>
      </c>
      <c r="K61" t="s">
        <v>2</v>
      </c>
      <c r="L61" t="s">
        <v>676</v>
      </c>
      <c r="M61" t="s">
        <v>677</v>
      </c>
      <c r="N61" t="s">
        <v>433</v>
      </c>
      <c r="O61" t="s">
        <v>53</v>
      </c>
      <c r="P61" t="s">
        <v>678</v>
      </c>
      <c r="Q61" t="s">
        <v>140</v>
      </c>
      <c r="R61" t="s">
        <v>379</v>
      </c>
      <c r="S61">
        <v>1</v>
      </c>
      <c r="T61">
        <v>4669</v>
      </c>
      <c r="U61">
        <v>0</v>
      </c>
      <c r="V61">
        <v>4669</v>
      </c>
    </row>
    <row r="62" spans="1:22" x14ac:dyDescent="0.25">
      <c r="A62">
        <v>79452</v>
      </c>
      <c r="B62">
        <v>131230243</v>
      </c>
      <c r="C62" t="s">
        <v>679</v>
      </c>
      <c r="D62">
        <v>250205208</v>
      </c>
      <c r="E62" t="s">
        <v>430</v>
      </c>
      <c r="F62" t="s">
        <v>431</v>
      </c>
      <c r="G62" t="s">
        <v>149</v>
      </c>
      <c r="H62" t="s">
        <v>150</v>
      </c>
      <c r="I62" t="s">
        <v>88</v>
      </c>
      <c r="J62" t="s">
        <v>151</v>
      </c>
      <c r="K62" t="s">
        <v>2</v>
      </c>
      <c r="L62" t="s">
        <v>680</v>
      </c>
      <c r="M62" t="s">
        <v>278</v>
      </c>
      <c r="N62" t="s">
        <v>433</v>
      </c>
      <c r="O62" t="s">
        <v>53</v>
      </c>
      <c r="P62" t="s">
        <v>681</v>
      </c>
      <c r="Q62" t="s">
        <v>158</v>
      </c>
      <c r="R62" t="s">
        <v>475</v>
      </c>
      <c r="S62">
        <v>1</v>
      </c>
      <c r="T62">
        <v>4219</v>
      </c>
      <c r="U62">
        <v>0</v>
      </c>
      <c r="V62">
        <v>4219</v>
      </c>
    </row>
    <row r="63" spans="1:22" x14ac:dyDescent="0.25">
      <c r="A63">
        <v>79452</v>
      </c>
      <c r="B63">
        <v>131230219</v>
      </c>
      <c r="C63" t="s">
        <v>682</v>
      </c>
      <c r="D63">
        <v>250205221</v>
      </c>
      <c r="E63" t="s">
        <v>430</v>
      </c>
      <c r="F63" t="s">
        <v>431</v>
      </c>
      <c r="G63" t="s">
        <v>149</v>
      </c>
      <c r="H63" t="s">
        <v>150</v>
      </c>
      <c r="I63" t="s">
        <v>88</v>
      </c>
      <c r="J63" t="s">
        <v>151</v>
      </c>
      <c r="K63" t="s">
        <v>2</v>
      </c>
      <c r="L63" t="s">
        <v>683</v>
      </c>
      <c r="M63" t="s">
        <v>684</v>
      </c>
      <c r="N63" t="s">
        <v>433</v>
      </c>
      <c r="O63" t="s">
        <v>53</v>
      </c>
      <c r="P63" t="s">
        <v>685</v>
      </c>
      <c r="Q63" t="s">
        <v>38</v>
      </c>
      <c r="R63" t="s">
        <v>379</v>
      </c>
      <c r="S63">
        <v>1</v>
      </c>
      <c r="T63">
        <v>4669</v>
      </c>
      <c r="U63">
        <v>0</v>
      </c>
      <c r="V63">
        <v>4669</v>
      </c>
    </row>
    <row r="64" spans="1:22" x14ac:dyDescent="0.25">
      <c r="A64">
        <v>79452</v>
      </c>
      <c r="B64">
        <v>131236052</v>
      </c>
      <c r="C64" t="s">
        <v>686</v>
      </c>
      <c r="D64">
        <v>250205182</v>
      </c>
      <c r="E64" t="s">
        <v>430</v>
      </c>
      <c r="F64" t="s">
        <v>431</v>
      </c>
      <c r="G64" t="s">
        <v>149</v>
      </c>
      <c r="H64" t="s">
        <v>150</v>
      </c>
      <c r="I64" t="s">
        <v>88</v>
      </c>
      <c r="J64" t="s">
        <v>151</v>
      </c>
      <c r="K64" t="s">
        <v>2</v>
      </c>
      <c r="L64" t="s">
        <v>687</v>
      </c>
      <c r="M64" t="s">
        <v>688</v>
      </c>
      <c r="N64" t="s">
        <v>433</v>
      </c>
      <c r="O64" t="s">
        <v>53</v>
      </c>
      <c r="P64" t="s">
        <v>689</v>
      </c>
      <c r="Q64" t="s">
        <v>38</v>
      </c>
      <c r="R64" t="s">
        <v>690</v>
      </c>
      <c r="S64">
        <v>1</v>
      </c>
      <c r="T64">
        <v>4669</v>
      </c>
      <c r="U64">
        <v>0</v>
      </c>
      <c r="V64">
        <v>4669</v>
      </c>
    </row>
    <row r="65" spans="1:22" x14ac:dyDescent="0.25">
      <c r="A65">
        <v>79452</v>
      </c>
      <c r="B65">
        <v>131236051</v>
      </c>
      <c r="C65" t="s">
        <v>691</v>
      </c>
      <c r="D65">
        <v>250205186</v>
      </c>
      <c r="E65" t="s">
        <v>430</v>
      </c>
      <c r="F65" t="s">
        <v>431</v>
      </c>
      <c r="G65" t="s">
        <v>149</v>
      </c>
      <c r="H65" t="s">
        <v>150</v>
      </c>
      <c r="I65" t="s">
        <v>88</v>
      </c>
      <c r="J65" t="s">
        <v>151</v>
      </c>
      <c r="K65" t="s">
        <v>2</v>
      </c>
      <c r="L65" t="s">
        <v>692</v>
      </c>
      <c r="M65" t="s">
        <v>693</v>
      </c>
      <c r="N65" t="s">
        <v>433</v>
      </c>
      <c r="O65" t="s">
        <v>53</v>
      </c>
      <c r="P65" t="s">
        <v>694</v>
      </c>
      <c r="Q65" t="s">
        <v>240</v>
      </c>
      <c r="R65" t="s">
        <v>480</v>
      </c>
      <c r="S65">
        <v>1</v>
      </c>
      <c r="T65">
        <v>5232</v>
      </c>
      <c r="U65">
        <v>0</v>
      </c>
      <c r="V65">
        <v>5232</v>
      </c>
    </row>
    <row r="66" spans="1:22" x14ac:dyDescent="0.25">
      <c r="A66">
        <v>79452</v>
      </c>
      <c r="B66">
        <v>131230235</v>
      </c>
      <c r="C66" t="s">
        <v>695</v>
      </c>
      <c r="D66">
        <v>250205212</v>
      </c>
      <c r="E66" t="s">
        <v>430</v>
      </c>
      <c r="F66" t="s">
        <v>431</v>
      </c>
      <c r="G66" t="s">
        <v>149</v>
      </c>
      <c r="H66" t="s">
        <v>150</v>
      </c>
      <c r="I66" t="s">
        <v>88</v>
      </c>
      <c r="J66" t="s">
        <v>151</v>
      </c>
      <c r="K66" t="s">
        <v>2</v>
      </c>
      <c r="L66" t="s">
        <v>696</v>
      </c>
      <c r="M66" t="s">
        <v>341</v>
      </c>
      <c r="N66" t="s">
        <v>433</v>
      </c>
      <c r="O66" t="s">
        <v>53</v>
      </c>
      <c r="P66" t="s">
        <v>697</v>
      </c>
      <c r="Q66" t="s">
        <v>40</v>
      </c>
      <c r="R66" t="s">
        <v>379</v>
      </c>
      <c r="S66">
        <v>1</v>
      </c>
      <c r="T66">
        <v>4534</v>
      </c>
      <c r="U66">
        <v>0</v>
      </c>
      <c r="V66">
        <v>4534</v>
      </c>
    </row>
    <row r="67" spans="1:22" x14ac:dyDescent="0.25">
      <c r="A67">
        <v>79452</v>
      </c>
      <c r="B67">
        <v>131134398</v>
      </c>
      <c r="C67" t="s">
        <v>698</v>
      </c>
      <c r="D67">
        <v>250040006</v>
      </c>
      <c r="E67" t="s">
        <v>430</v>
      </c>
      <c r="F67" t="s">
        <v>431</v>
      </c>
      <c r="G67" t="s">
        <v>149</v>
      </c>
      <c r="H67" t="s">
        <v>150</v>
      </c>
      <c r="I67" t="s">
        <v>88</v>
      </c>
      <c r="J67" t="s">
        <v>151</v>
      </c>
      <c r="K67" t="s">
        <v>2</v>
      </c>
      <c r="L67" t="s">
        <v>699</v>
      </c>
      <c r="M67" t="s">
        <v>700</v>
      </c>
      <c r="N67" t="s">
        <v>433</v>
      </c>
      <c r="O67" t="s">
        <v>53</v>
      </c>
      <c r="P67" t="s">
        <v>701</v>
      </c>
      <c r="Q67" t="s">
        <v>128</v>
      </c>
      <c r="R67" t="s">
        <v>520</v>
      </c>
      <c r="S67">
        <v>0.68</v>
      </c>
      <c r="T67">
        <v>7864</v>
      </c>
      <c r="U67">
        <v>0</v>
      </c>
      <c r="V67">
        <v>7864</v>
      </c>
    </row>
    <row r="68" spans="1:22" x14ac:dyDescent="0.25">
      <c r="A68">
        <v>79452</v>
      </c>
      <c r="B68">
        <v>131154909</v>
      </c>
      <c r="C68" t="s">
        <v>702</v>
      </c>
      <c r="D68">
        <v>250044140</v>
      </c>
      <c r="E68" t="s">
        <v>430</v>
      </c>
      <c r="F68" t="s">
        <v>431</v>
      </c>
      <c r="G68" t="s">
        <v>149</v>
      </c>
      <c r="H68" t="s">
        <v>150</v>
      </c>
      <c r="I68" t="s">
        <v>88</v>
      </c>
      <c r="J68" t="s">
        <v>151</v>
      </c>
      <c r="K68" t="s">
        <v>2</v>
      </c>
      <c r="L68" t="s">
        <v>703</v>
      </c>
      <c r="M68" t="s">
        <v>704</v>
      </c>
      <c r="N68" t="s">
        <v>433</v>
      </c>
      <c r="O68" t="s">
        <v>53</v>
      </c>
      <c r="P68" t="s">
        <v>705</v>
      </c>
      <c r="Q68" t="s">
        <v>129</v>
      </c>
      <c r="R68" t="s">
        <v>415</v>
      </c>
      <c r="S68">
        <v>1</v>
      </c>
      <c r="T68">
        <v>7212</v>
      </c>
      <c r="U68">
        <v>0</v>
      </c>
      <c r="V68">
        <v>7212</v>
      </c>
    </row>
    <row r="69" spans="1:22" x14ac:dyDescent="0.25">
      <c r="A69">
        <v>79452</v>
      </c>
      <c r="B69">
        <v>131107355</v>
      </c>
      <c r="C69" t="s">
        <v>706</v>
      </c>
      <c r="D69">
        <v>249962541</v>
      </c>
      <c r="E69" t="s">
        <v>430</v>
      </c>
      <c r="F69" t="s">
        <v>431</v>
      </c>
      <c r="G69" t="s">
        <v>149</v>
      </c>
      <c r="H69" t="s">
        <v>150</v>
      </c>
      <c r="I69" t="s">
        <v>88</v>
      </c>
      <c r="J69" t="s">
        <v>151</v>
      </c>
      <c r="K69" t="s">
        <v>2</v>
      </c>
      <c r="L69" t="s">
        <v>707</v>
      </c>
      <c r="M69" t="s">
        <v>708</v>
      </c>
      <c r="N69" t="s">
        <v>433</v>
      </c>
      <c r="O69" t="s">
        <v>53</v>
      </c>
      <c r="P69" t="s">
        <v>709</v>
      </c>
      <c r="Q69" t="s">
        <v>129</v>
      </c>
      <c r="R69" t="s">
        <v>710</v>
      </c>
      <c r="S69">
        <v>0.79</v>
      </c>
      <c r="T69">
        <v>7212</v>
      </c>
      <c r="U69">
        <v>0</v>
      </c>
      <c r="V69">
        <v>7212</v>
      </c>
    </row>
    <row r="70" spans="1:22" x14ac:dyDescent="0.25">
      <c r="A70">
        <v>79452</v>
      </c>
      <c r="B70">
        <v>131134402</v>
      </c>
      <c r="C70" t="s">
        <v>711</v>
      </c>
      <c r="D70">
        <v>250040011</v>
      </c>
      <c r="E70" t="s">
        <v>430</v>
      </c>
      <c r="F70" t="s">
        <v>431</v>
      </c>
      <c r="G70" t="s">
        <v>149</v>
      </c>
      <c r="H70" t="s">
        <v>150</v>
      </c>
      <c r="I70" t="s">
        <v>88</v>
      </c>
      <c r="J70" t="s">
        <v>151</v>
      </c>
      <c r="K70" t="s">
        <v>2</v>
      </c>
      <c r="L70" t="s">
        <v>712</v>
      </c>
      <c r="M70" t="s">
        <v>204</v>
      </c>
      <c r="N70" t="s">
        <v>433</v>
      </c>
      <c r="O70" t="s">
        <v>53</v>
      </c>
      <c r="P70" t="s">
        <v>713</v>
      </c>
      <c r="Q70" t="s">
        <v>94</v>
      </c>
      <c r="R70" t="s">
        <v>520</v>
      </c>
      <c r="S70">
        <v>0.96</v>
      </c>
      <c r="T70">
        <v>4669</v>
      </c>
      <c r="U70">
        <v>0</v>
      </c>
      <c r="V70">
        <v>4669</v>
      </c>
    </row>
    <row r="71" spans="1:22" x14ac:dyDescent="0.25">
      <c r="A71">
        <v>79452</v>
      </c>
      <c r="B71">
        <v>131134427</v>
      </c>
      <c r="C71" t="s">
        <v>714</v>
      </c>
      <c r="D71">
        <v>250040103</v>
      </c>
      <c r="E71" t="s">
        <v>430</v>
      </c>
      <c r="F71" t="s">
        <v>431</v>
      </c>
      <c r="G71" t="s">
        <v>149</v>
      </c>
      <c r="H71" t="s">
        <v>150</v>
      </c>
      <c r="I71" t="s">
        <v>88</v>
      </c>
      <c r="J71" t="s">
        <v>151</v>
      </c>
      <c r="K71" t="s">
        <v>2</v>
      </c>
      <c r="L71" t="s">
        <v>715</v>
      </c>
      <c r="M71" t="s">
        <v>716</v>
      </c>
      <c r="N71" t="s">
        <v>433</v>
      </c>
      <c r="O71" t="s">
        <v>53</v>
      </c>
      <c r="P71" t="s">
        <v>717</v>
      </c>
      <c r="Q71" t="s">
        <v>128</v>
      </c>
      <c r="R71" t="s">
        <v>520</v>
      </c>
      <c r="S71">
        <v>0.88</v>
      </c>
      <c r="T71">
        <v>7864</v>
      </c>
      <c r="U71">
        <v>0</v>
      </c>
      <c r="V71">
        <v>7864</v>
      </c>
    </row>
    <row r="72" spans="1:22" x14ac:dyDescent="0.25">
      <c r="A72">
        <v>79452</v>
      </c>
      <c r="B72">
        <v>131134409</v>
      </c>
      <c r="C72" t="s">
        <v>718</v>
      </c>
      <c r="D72">
        <v>250040052</v>
      </c>
      <c r="E72" t="s">
        <v>430</v>
      </c>
      <c r="F72" t="s">
        <v>431</v>
      </c>
      <c r="G72" t="s">
        <v>149</v>
      </c>
      <c r="H72" t="s">
        <v>150</v>
      </c>
      <c r="I72" t="s">
        <v>88</v>
      </c>
      <c r="J72" t="s">
        <v>151</v>
      </c>
      <c r="K72" t="s">
        <v>2</v>
      </c>
      <c r="L72" t="s">
        <v>719</v>
      </c>
      <c r="M72" t="s">
        <v>720</v>
      </c>
      <c r="N72" t="s">
        <v>433</v>
      </c>
      <c r="O72" t="s">
        <v>53</v>
      </c>
      <c r="P72" t="s">
        <v>721</v>
      </c>
      <c r="Q72" t="s">
        <v>129</v>
      </c>
      <c r="R72" t="s">
        <v>520</v>
      </c>
      <c r="S72">
        <v>0.83</v>
      </c>
      <c r="T72">
        <v>7212</v>
      </c>
      <c r="U72">
        <v>0</v>
      </c>
      <c r="V72">
        <v>7212</v>
      </c>
    </row>
    <row r="73" spans="1:22" x14ac:dyDescent="0.25">
      <c r="A73">
        <v>79452</v>
      </c>
      <c r="B73">
        <v>131134424</v>
      </c>
      <c r="C73" t="s">
        <v>722</v>
      </c>
      <c r="D73">
        <v>250040092</v>
      </c>
      <c r="E73" t="s">
        <v>430</v>
      </c>
      <c r="F73" t="s">
        <v>431</v>
      </c>
      <c r="G73" t="s">
        <v>149</v>
      </c>
      <c r="H73" t="s">
        <v>150</v>
      </c>
      <c r="I73" t="s">
        <v>88</v>
      </c>
      <c r="J73" t="s">
        <v>151</v>
      </c>
      <c r="K73" t="s">
        <v>2</v>
      </c>
      <c r="L73" t="s">
        <v>723</v>
      </c>
      <c r="M73" t="s">
        <v>724</v>
      </c>
      <c r="N73" t="s">
        <v>433</v>
      </c>
      <c r="O73" t="s">
        <v>53</v>
      </c>
      <c r="P73" t="s">
        <v>725</v>
      </c>
      <c r="Q73" t="s">
        <v>125</v>
      </c>
      <c r="R73" t="s">
        <v>520</v>
      </c>
      <c r="S73">
        <v>0.28999999999999998</v>
      </c>
      <c r="T73">
        <v>4219</v>
      </c>
      <c r="U73">
        <v>0</v>
      </c>
      <c r="V73">
        <v>4219</v>
      </c>
    </row>
    <row r="74" spans="1:22" x14ac:dyDescent="0.25">
      <c r="A74">
        <v>79452</v>
      </c>
      <c r="B74">
        <v>131134407</v>
      </c>
      <c r="C74" t="s">
        <v>726</v>
      </c>
      <c r="D74">
        <v>250040054</v>
      </c>
      <c r="E74" t="s">
        <v>430</v>
      </c>
      <c r="F74" t="s">
        <v>431</v>
      </c>
      <c r="G74" t="s">
        <v>149</v>
      </c>
      <c r="H74" t="s">
        <v>150</v>
      </c>
      <c r="I74" t="s">
        <v>88</v>
      </c>
      <c r="J74" t="s">
        <v>151</v>
      </c>
      <c r="K74" t="s">
        <v>2</v>
      </c>
      <c r="L74" t="s">
        <v>727</v>
      </c>
      <c r="M74" t="s">
        <v>728</v>
      </c>
      <c r="N74" t="s">
        <v>433</v>
      </c>
      <c r="O74" t="s">
        <v>53</v>
      </c>
      <c r="P74" t="s">
        <v>729</v>
      </c>
      <c r="Q74" t="s">
        <v>95</v>
      </c>
      <c r="R74" t="s">
        <v>520</v>
      </c>
      <c r="S74">
        <v>0.86</v>
      </c>
      <c r="T74">
        <v>5749</v>
      </c>
      <c r="U74">
        <v>0</v>
      </c>
      <c r="V74">
        <v>5749</v>
      </c>
    </row>
    <row r="75" spans="1:22" x14ac:dyDescent="0.25">
      <c r="A75">
        <v>79452</v>
      </c>
      <c r="B75">
        <v>131107352</v>
      </c>
      <c r="C75" t="s">
        <v>730</v>
      </c>
      <c r="D75">
        <v>249962544</v>
      </c>
      <c r="E75" t="s">
        <v>430</v>
      </c>
      <c r="F75" t="s">
        <v>431</v>
      </c>
      <c r="G75" t="s">
        <v>149</v>
      </c>
      <c r="H75" t="s">
        <v>150</v>
      </c>
      <c r="I75" t="s">
        <v>88</v>
      </c>
      <c r="J75" t="s">
        <v>151</v>
      </c>
      <c r="K75" t="s">
        <v>2</v>
      </c>
      <c r="L75" t="s">
        <v>731</v>
      </c>
      <c r="M75" t="s">
        <v>732</v>
      </c>
      <c r="N75" t="s">
        <v>433</v>
      </c>
      <c r="O75" t="s">
        <v>53</v>
      </c>
      <c r="P75" t="s">
        <v>733</v>
      </c>
      <c r="Q75" t="s">
        <v>113</v>
      </c>
      <c r="R75" t="s">
        <v>710</v>
      </c>
      <c r="S75">
        <v>1.06</v>
      </c>
      <c r="T75">
        <v>5310</v>
      </c>
      <c r="U75">
        <v>0</v>
      </c>
      <c r="V75">
        <v>5310</v>
      </c>
    </row>
    <row r="76" spans="1:22" x14ac:dyDescent="0.25">
      <c r="A76">
        <v>79452</v>
      </c>
      <c r="B76">
        <v>131134406</v>
      </c>
      <c r="C76" t="s">
        <v>734</v>
      </c>
      <c r="D76">
        <v>250040060</v>
      </c>
      <c r="E76" t="s">
        <v>430</v>
      </c>
      <c r="F76" t="s">
        <v>431</v>
      </c>
      <c r="G76" t="s">
        <v>149</v>
      </c>
      <c r="H76" t="s">
        <v>150</v>
      </c>
      <c r="I76" t="s">
        <v>88</v>
      </c>
      <c r="J76" t="s">
        <v>151</v>
      </c>
      <c r="K76" t="s">
        <v>2</v>
      </c>
      <c r="L76" t="s">
        <v>735</v>
      </c>
      <c r="M76" t="s">
        <v>736</v>
      </c>
      <c r="N76" t="s">
        <v>433</v>
      </c>
      <c r="O76" t="s">
        <v>53</v>
      </c>
      <c r="P76" t="s">
        <v>737</v>
      </c>
      <c r="Q76" t="s">
        <v>124</v>
      </c>
      <c r="R76" t="s">
        <v>520</v>
      </c>
      <c r="S76">
        <v>0.68</v>
      </c>
      <c r="T76">
        <v>4219</v>
      </c>
      <c r="U76">
        <v>0</v>
      </c>
      <c r="V76">
        <v>4219</v>
      </c>
    </row>
    <row r="77" spans="1:22" x14ac:dyDescent="0.25">
      <c r="A77">
        <v>79452</v>
      </c>
      <c r="B77">
        <v>131107354</v>
      </c>
      <c r="C77" t="s">
        <v>738</v>
      </c>
      <c r="D77">
        <v>249962531</v>
      </c>
      <c r="E77" t="s">
        <v>430</v>
      </c>
      <c r="F77" t="s">
        <v>431</v>
      </c>
      <c r="G77" t="s">
        <v>149</v>
      </c>
      <c r="H77" t="s">
        <v>150</v>
      </c>
      <c r="I77" t="s">
        <v>88</v>
      </c>
      <c r="J77" t="s">
        <v>151</v>
      </c>
      <c r="K77" t="s">
        <v>46</v>
      </c>
      <c r="L77" t="s">
        <v>194</v>
      </c>
      <c r="M77" t="s">
        <v>739</v>
      </c>
      <c r="N77" t="s">
        <v>433</v>
      </c>
      <c r="O77" t="s">
        <v>53</v>
      </c>
      <c r="P77" t="s">
        <v>740</v>
      </c>
      <c r="Q77" t="s">
        <v>95</v>
      </c>
      <c r="R77" t="s">
        <v>710</v>
      </c>
      <c r="S77">
        <v>1</v>
      </c>
      <c r="T77">
        <v>5749</v>
      </c>
      <c r="U77">
        <v>0</v>
      </c>
      <c r="V77">
        <v>5749</v>
      </c>
    </row>
    <row r="78" spans="1:22" x14ac:dyDescent="0.25">
      <c r="A78">
        <v>79452</v>
      </c>
      <c r="B78">
        <v>131107338</v>
      </c>
      <c r="C78" t="s">
        <v>741</v>
      </c>
      <c r="D78">
        <v>249962556</v>
      </c>
      <c r="E78" t="s">
        <v>430</v>
      </c>
      <c r="F78" t="s">
        <v>431</v>
      </c>
      <c r="G78" t="s">
        <v>149</v>
      </c>
      <c r="H78" t="s">
        <v>150</v>
      </c>
      <c r="I78" t="s">
        <v>88</v>
      </c>
      <c r="J78" t="s">
        <v>151</v>
      </c>
      <c r="K78" t="s">
        <v>2</v>
      </c>
      <c r="L78" t="s">
        <v>742</v>
      </c>
      <c r="M78" t="s">
        <v>743</v>
      </c>
      <c r="N78" t="s">
        <v>433</v>
      </c>
      <c r="O78" t="s">
        <v>53</v>
      </c>
      <c r="P78" t="s">
        <v>744</v>
      </c>
      <c r="Q78" t="s">
        <v>306</v>
      </c>
      <c r="R78" t="s">
        <v>710</v>
      </c>
      <c r="S78">
        <v>0.36</v>
      </c>
      <c r="T78">
        <v>5790</v>
      </c>
      <c r="U78">
        <v>0</v>
      </c>
      <c r="V78">
        <v>5790</v>
      </c>
    </row>
    <row r="79" spans="1:22" x14ac:dyDescent="0.25">
      <c r="A79">
        <v>79452</v>
      </c>
      <c r="B79">
        <v>131107346</v>
      </c>
      <c r="C79" t="s">
        <v>745</v>
      </c>
      <c r="D79">
        <v>249962548</v>
      </c>
      <c r="E79" t="s">
        <v>430</v>
      </c>
      <c r="F79" t="s">
        <v>431</v>
      </c>
      <c r="G79" t="s">
        <v>149</v>
      </c>
      <c r="H79" t="s">
        <v>150</v>
      </c>
      <c r="I79" t="s">
        <v>88</v>
      </c>
      <c r="J79" t="s">
        <v>151</v>
      </c>
      <c r="K79" t="s">
        <v>2</v>
      </c>
      <c r="L79" t="s">
        <v>746</v>
      </c>
      <c r="M79" t="s">
        <v>747</v>
      </c>
      <c r="N79" t="s">
        <v>433</v>
      </c>
      <c r="O79" t="s">
        <v>53</v>
      </c>
      <c r="P79" t="s">
        <v>748</v>
      </c>
      <c r="Q79" t="s">
        <v>109</v>
      </c>
      <c r="R79" t="s">
        <v>710</v>
      </c>
      <c r="S79">
        <v>0.51</v>
      </c>
      <c r="T79">
        <v>4669</v>
      </c>
      <c r="U79">
        <v>0</v>
      </c>
      <c r="V79">
        <v>4669</v>
      </c>
    </row>
    <row r="80" spans="1:22" x14ac:dyDescent="0.25">
      <c r="A80">
        <v>79452</v>
      </c>
      <c r="B80">
        <v>131107342</v>
      </c>
      <c r="C80" t="s">
        <v>749</v>
      </c>
      <c r="D80">
        <v>249962552</v>
      </c>
      <c r="E80" t="s">
        <v>430</v>
      </c>
      <c r="F80" t="s">
        <v>431</v>
      </c>
      <c r="G80" t="s">
        <v>149</v>
      </c>
      <c r="H80" t="s">
        <v>150</v>
      </c>
      <c r="I80" t="s">
        <v>88</v>
      </c>
      <c r="J80" t="s">
        <v>151</v>
      </c>
      <c r="K80" t="s">
        <v>2</v>
      </c>
      <c r="L80" t="s">
        <v>750</v>
      </c>
      <c r="M80" t="s">
        <v>751</v>
      </c>
      <c r="N80" t="s">
        <v>433</v>
      </c>
      <c r="O80" t="s">
        <v>53</v>
      </c>
      <c r="P80" t="s">
        <v>752</v>
      </c>
      <c r="Q80" t="s">
        <v>140</v>
      </c>
      <c r="R80" t="s">
        <v>710</v>
      </c>
      <c r="S80">
        <v>0.45</v>
      </c>
      <c r="T80">
        <v>4669</v>
      </c>
      <c r="U80">
        <v>0</v>
      </c>
      <c r="V80">
        <v>4669</v>
      </c>
    </row>
    <row r="81" spans="1:22" x14ac:dyDescent="0.25">
      <c r="A81">
        <v>79452</v>
      </c>
      <c r="B81">
        <v>131134426</v>
      </c>
      <c r="C81" t="s">
        <v>753</v>
      </c>
      <c r="D81">
        <v>250040098</v>
      </c>
      <c r="E81" t="s">
        <v>430</v>
      </c>
      <c r="F81" t="s">
        <v>431</v>
      </c>
      <c r="G81" t="s">
        <v>149</v>
      </c>
      <c r="H81" t="s">
        <v>150</v>
      </c>
      <c r="I81" t="s">
        <v>88</v>
      </c>
      <c r="J81" t="s">
        <v>151</v>
      </c>
      <c r="K81" t="s">
        <v>2</v>
      </c>
      <c r="L81" t="s">
        <v>754</v>
      </c>
      <c r="M81" t="s">
        <v>755</v>
      </c>
      <c r="N81" t="s">
        <v>433</v>
      </c>
      <c r="O81" t="s">
        <v>53</v>
      </c>
      <c r="P81" t="s">
        <v>756</v>
      </c>
      <c r="Q81" t="s">
        <v>140</v>
      </c>
      <c r="R81" t="s">
        <v>520</v>
      </c>
      <c r="S81">
        <v>0.75</v>
      </c>
      <c r="T81">
        <v>4669</v>
      </c>
      <c r="U81">
        <v>0</v>
      </c>
      <c r="V81">
        <v>4669</v>
      </c>
    </row>
    <row r="82" spans="1:22" x14ac:dyDescent="0.25">
      <c r="A82">
        <v>79452</v>
      </c>
      <c r="B82">
        <v>131134390</v>
      </c>
      <c r="C82" t="s">
        <v>757</v>
      </c>
      <c r="D82">
        <v>250039999</v>
      </c>
      <c r="E82" t="s">
        <v>430</v>
      </c>
      <c r="F82" t="s">
        <v>431</v>
      </c>
      <c r="G82" t="s">
        <v>149</v>
      </c>
      <c r="H82" t="s">
        <v>150</v>
      </c>
      <c r="I82" t="s">
        <v>88</v>
      </c>
      <c r="J82" t="s">
        <v>151</v>
      </c>
      <c r="K82" t="s">
        <v>2</v>
      </c>
      <c r="L82" t="s">
        <v>758</v>
      </c>
      <c r="M82" t="s">
        <v>759</v>
      </c>
      <c r="N82" t="s">
        <v>433</v>
      </c>
      <c r="O82" t="s">
        <v>53</v>
      </c>
      <c r="P82" t="s">
        <v>760</v>
      </c>
      <c r="Q82" t="s">
        <v>140</v>
      </c>
      <c r="R82" t="s">
        <v>520</v>
      </c>
      <c r="S82">
        <v>1</v>
      </c>
      <c r="T82">
        <v>4669</v>
      </c>
      <c r="U82">
        <v>0</v>
      </c>
      <c r="V82">
        <v>4669</v>
      </c>
    </row>
    <row r="83" spans="1:22" x14ac:dyDescent="0.25">
      <c r="A83">
        <v>79452</v>
      </c>
      <c r="B83">
        <v>131134394</v>
      </c>
      <c r="C83" t="s">
        <v>761</v>
      </c>
      <c r="D83">
        <v>250040038</v>
      </c>
      <c r="E83" t="s">
        <v>430</v>
      </c>
      <c r="F83" t="s">
        <v>431</v>
      </c>
      <c r="G83" t="s">
        <v>149</v>
      </c>
      <c r="H83" t="s">
        <v>150</v>
      </c>
      <c r="I83" t="s">
        <v>88</v>
      </c>
      <c r="J83" t="s">
        <v>151</v>
      </c>
      <c r="K83" t="s">
        <v>2</v>
      </c>
      <c r="L83" t="s">
        <v>762</v>
      </c>
      <c r="M83" t="s">
        <v>763</v>
      </c>
      <c r="N83" t="s">
        <v>433</v>
      </c>
      <c r="O83" t="s">
        <v>53</v>
      </c>
      <c r="P83" t="s">
        <v>764</v>
      </c>
      <c r="Q83" t="s">
        <v>113</v>
      </c>
      <c r="R83" t="s">
        <v>520</v>
      </c>
      <c r="S83">
        <v>0.78</v>
      </c>
      <c r="T83">
        <v>4973</v>
      </c>
      <c r="U83">
        <v>0</v>
      </c>
      <c r="V83">
        <v>4973</v>
      </c>
    </row>
    <row r="84" spans="1:22" x14ac:dyDescent="0.25">
      <c r="A84">
        <v>79452</v>
      </c>
      <c r="B84">
        <v>131134403</v>
      </c>
      <c r="C84" t="s">
        <v>765</v>
      </c>
      <c r="D84">
        <v>250040082</v>
      </c>
      <c r="E84" t="s">
        <v>430</v>
      </c>
      <c r="F84" t="s">
        <v>431</v>
      </c>
      <c r="G84" t="s">
        <v>149</v>
      </c>
      <c r="H84" t="s">
        <v>150</v>
      </c>
      <c r="I84" t="s">
        <v>88</v>
      </c>
      <c r="J84" t="s">
        <v>151</v>
      </c>
      <c r="K84" t="s">
        <v>2</v>
      </c>
      <c r="L84" t="s">
        <v>766</v>
      </c>
      <c r="M84" t="s">
        <v>767</v>
      </c>
      <c r="N84" t="s">
        <v>433</v>
      </c>
      <c r="O84" t="s">
        <v>53</v>
      </c>
      <c r="P84" t="s">
        <v>768</v>
      </c>
      <c r="Q84" t="s">
        <v>124</v>
      </c>
      <c r="R84" t="s">
        <v>520</v>
      </c>
      <c r="S84">
        <v>0.81</v>
      </c>
      <c r="T84">
        <v>4219</v>
      </c>
      <c r="U84">
        <v>0</v>
      </c>
      <c r="V84">
        <v>4219</v>
      </c>
    </row>
    <row r="85" spans="1:22" x14ac:dyDescent="0.25">
      <c r="A85">
        <v>79452</v>
      </c>
      <c r="B85">
        <v>131154908</v>
      </c>
      <c r="C85" t="s">
        <v>769</v>
      </c>
      <c r="D85">
        <v>250044142</v>
      </c>
      <c r="E85" t="s">
        <v>430</v>
      </c>
      <c r="F85" t="s">
        <v>431</v>
      </c>
      <c r="G85" t="s">
        <v>149</v>
      </c>
      <c r="H85" t="s">
        <v>150</v>
      </c>
      <c r="I85" t="s">
        <v>88</v>
      </c>
      <c r="J85" t="s">
        <v>151</v>
      </c>
      <c r="K85" t="s">
        <v>2</v>
      </c>
      <c r="L85" t="s">
        <v>770</v>
      </c>
      <c r="M85" t="s">
        <v>771</v>
      </c>
      <c r="N85" t="s">
        <v>433</v>
      </c>
      <c r="O85" t="s">
        <v>53</v>
      </c>
      <c r="P85" t="s">
        <v>772</v>
      </c>
      <c r="Q85" t="s">
        <v>38</v>
      </c>
      <c r="R85" t="s">
        <v>415</v>
      </c>
      <c r="S85">
        <v>1</v>
      </c>
      <c r="T85">
        <v>4669</v>
      </c>
      <c r="U85">
        <v>0</v>
      </c>
      <c r="V85">
        <v>4669</v>
      </c>
    </row>
    <row r="86" spans="1:22" x14ac:dyDescent="0.25">
      <c r="A86">
        <v>79452</v>
      </c>
      <c r="B86">
        <v>131154907</v>
      </c>
      <c r="C86" t="s">
        <v>773</v>
      </c>
      <c r="D86">
        <v>250044167</v>
      </c>
      <c r="E86" t="s">
        <v>430</v>
      </c>
      <c r="F86" t="s">
        <v>431</v>
      </c>
      <c r="G86" t="s">
        <v>149</v>
      </c>
      <c r="H86" t="s">
        <v>150</v>
      </c>
      <c r="I86" t="s">
        <v>88</v>
      </c>
      <c r="J86" t="s">
        <v>151</v>
      </c>
      <c r="K86" t="s">
        <v>2</v>
      </c>
      <c r="L86" t="s">
        <v>774</v>
      </c>
      <c r="M86" t="s">
        <v>775</v>
      </c>
      <c r="N86" t="s">
        <v>433</v>
      </c>
      <c r="O86" t="s">
        <v>53</v>
      </c>
      <c r="P86" t="s">
        <v>776</v>
      </c>
      <c r="Q86" t="s">
        <v>120</v>
      </c>
      <c r="R86" t="s">
        <v>415</v>
      </c>
      <c r="S86">
        <v>0.76</v>
      </c>
      <c r="T86">
        <v>5153</v>
      </c>
      <c r="U86">
        <v>0</v>
      </c>
      <c r="V86">
        <v>5153</v>
      </c>
    </row>
    <row r="87" spans="1:22" x14ac:dyDescent="0.25">
      <c r="A87">
        <v>79452</v>
      </c>
      <c r="B87">
        <v>131154914</v>
      </c>
      <c r="C87" t="s">
        <v>777</v>
      </c>
      <c r="D87">
        <v>250044138</v>
      </c>
      <c r="E87" t="s">
        <v>430</v>
      </c>
      <c r="F87" t="s">
        <v>431</v>
      </c>
      <c r="G87" t="s">
        <v>149</v>
      </c>
      <c r="H87" t="s">
        <v>150</v>
      </c>
      <c r="I87" t="s">
        <v>88</v>
      </c>
      <c r="J87" t="s">
        <v>151</v>
      </c>
      <c r="K87" t="s">
        <v>2</v>
      </c>
      <c r="L87" t="s">
        <v>778</v>
      </c>
      <c r="M87" t="s">
        <v>779</v>
      </c>
      <c r="N87" t="s">
        <v>433</v>
      </c>
      <c r="O87" t="s">
        <v>53</v>
      </c>
      <c r="P87" t="s">
        <v>780</v>
      </c>
      <c r="Q87" t="s">
        <v>40</v>
      </c>
      <c r="R87" t="s">
        <v>415</v>
      </c>
      <c r="S87">
        <v>0.18</v>
      </c>
      <c r="T87">
        <v>4534</v>
      </c>
      <c r="U87">
        <v>0</v>
      </c>
      <c r="V87">
        <v>4534</v>
      </c>
    </row>
    <row r="88" spans="1:22" x14ac:dyDescent="0.25">
      <c r="A88">
        <v>79452</v>
      </c>
      <c r="B88">
        <v>131134415</v>
      </c>
      <c r="C88" t="s">
        <v>781</v>
      </c>
      <c r="D88">
        <v>250040084</v>
      </c>
      <c r="E88" t="s">
        <v>430</v>
      </c>
      <c r="F88" t="s">
        <v>431</v>
      </c>
      <c r="G88" t="s">
        <v>149</v>
      </c>
      <c r="H88" t="s">
        <v>150</v>
      </c>
      <c r="I88" t="s">
        <v>88</v>
      </c>
      <c r="J88" t="s">
        <v>151</v>
      </c>
      <c r="K88" t="s">
        <v>2</v>
      </c>
      <c r="L88" t="s">
        <v>782</v>
      </c>
      <c r="M88" t="s">
        <v>334</v>
      </c>
      <c r="N88" t="s">
        <v>433</v>
      </c>
      <c r="O88" t="s">
        <v>53</v>
      </c>
      <c r="P88" t="s">
        <v>783</v>
      </c>
      <c r="Q88" t="s">
        <v>93</v>
      </c>
      <c r="R88" t="s">
        <v>520</v>
      </c>
      <c r="S88">
        <v>1.1499999999999999</v>
      </c>
      <c r="T88">
        <v>5052</v>
      </c>
      <c r="U88">
        <v>0</v>
      </c>
      <c r="V88">
        <v>5052</v>
      </c>
    </row>
    <row r="89" spans="1:22" x14ac:dyDescent="0.25">
      <c r="A89">
        <v>79452</v>
      </c>
      <c r="B89">
        <v>131154906</v>
      </c>
      <c r="C89" t="s">
        <v>784</v>
      </c>
      <c r="D89">
        <v>250044155</v>
      </c>
      <c r="E89" t="s">
        <v>430</v>
      </c>
      <c r="F89" t="s">
        <v>431</v>
      </c>
      <c r="G89" t="s">
        <v>149</v>
      </c>
      <c r="H89" t="s">
        <v>150</v>
      </c>
      <c r="I89" t="s">
        <v>88</v>
      </c>
      <c r="J89" t="s">
        <v>151</v>
      </c>
      <c r="K89" t="s">
        <v>2</v>
      </c>
      <c r="L89" t="s">
        <v>785</v>
      </c>
      <c r="M89" t="s">
        <v>786</v>
      </c>
      <c r="N89" t="s">
        <v>433</v>
      </c>
      <c r="O89" t="s">
        <v>53</v>
      </c>
      <c r="P89" t="s">
        <v>787</v>
      </c>
      <c r="Q89" t="s">
        <v>92</v>
      </c>
      <c r="R89" t="s">
        <v>415</v>
      </c>
      <c r="S89">
        <v>0.61</v>
      </c>
      <c r="T89">
        <v>4669</v>
      </c>
      <c r="U89">
        <v>0</v>
      </c>
      <c r="V89">
        <v>4669</v>
      </c>
    </row>
    <row r="90" spans="1:22" x14ac:dyDescent="0.25">
      <c r="A90">
        <v>79452</v>
      </c>
      <c r="B90">
        <v>130932136</v>
      </c>
      <c r="C90" t="s">
        <v>788</v>
      </c>
      <c r="D90">
        <v>249594473</v>
      </c>
      <c r="E90" t="s">
        <v>430</v>
      </c>
      <c r="F90" t="s">
        <v>431</v>
      </c>
      <c r="G90" t="s">
        <v>149</v>
      </c>
      <c r="H90" t="s">
        <v>150</v>
      </c>
      <c r="I90" t="s">
        <v>88</v>
      </c>
      <c r="J90" t="s">
        <v>151</v>
      </c>
      <c r="K90" t="s">
        <v>2</v>
      </c>
      <c r="L90" t="s">
        <v>789</v>
      </c>
      <c r="M90" t="s">
        <v>790</v>
      </c>
      <c r="N90" t="s">
        <v>433</v>
      </c>
      <c r="O90" t="s">
        <v>53</v>
      </c>
      <c r="P90" t="s">
        <v>791</v>
      </c>
      <c r="Q90" t="s">
        <v>110</v>
      </c>
      <c r="R90" t="s">
        <v>792</v>
      </c>
      <c r="S90">
        <v>1</v>
      </c>
      <c r="T90">
        <v>6267</v>
      </c>
      <c r="U90">
        <v>0</v>
      </c>
      <c r="V90">
        <v>6267</v>
      </c>
    </row>
    <row r="91" spans="1:22" x14ac:dyDescent="0.25">
      <c r="A91">
        <v>79452</v>
      </c>
      <c r="B91">
        <v>131134393</v>
      </c>
      <c r="C91" t="s">
        <v>793</v>
      </c>
      <c r="D91">
        <v>250040020</v>
      </c>
      <c r="E91" t="s">
        <v>430</v>
      </c>
      <c r="F91" t="s">
        <v>431</v>
      </c>
      <c r="G91" t="s">
        <v>149</v>
      </c>
      <c r="H91" t="s">
        <v>150</v>
      </c>
      <c r="I91" t="s">
        <v>88</v>
      </c>
      <c r="J91" t="s">
        <v>151</v>
      </c>
      <c r="K91" t="s">
        <v>2</v>
      </c>
      <c r="L91" t="s">
        <v>794</v>
      </c>
      <c r="M91" t="s">
        <v>795</v>
      </c>
      <c r="N91" t="s">
        <v>433</v>
      </c>
      <c r="O91" t="s">
        <v>53</v>
      </c>
      <c r="P91" t="s">
        <v>796</v>
      </c>
      <c r="Q91" t="s">
        <v>240</v>
      </c>
      <c r="R91" t="s">
        <v>520</v>
      </c>
      <c r="S91">
        <v>0.65</v>
      </c>
      <c r="T91">
        <v>5232</v>
      </c>
      <c r="U91">
        <v>0</v>
      </c>
      <c r="V91">
        <v>5232</v>
      </c>
    </row>
    <row r="92" spans="1:22" x14ac:dyDescent="0.25">
      <c r="A92">
        <v>79452</v>
      </c>
      <c r="B92">
        <v>131107359</v>
      </c>
      <c r="C92" t="s">
        <v>797</v>
      </c>
      <c r="D92">
        <v>249962539</v>
      </c>
      <c r="E92" t="s">
        <v>430</v>
      </c>
      <c r="F92" t="s">
        <v>431</v>
      </c>
      <c r="G92" t="s">
        <v>149</v>
      </c>
      <c r="H92" t="s">
        <v>150</v>
      </c>
      <c r="I92" t="s">
        <v>88</v>
      </c>
      <c r="J92" t="s">
        <v>151</v>
      </c>
      <c r="K92" t="s">
        <v>2</v>
      </c>
      <c r="L92" t="s">
        <v>798</v>
      </c>
      <c r="M92" t="s">
        <v>799</v>
      </c>
      <c r="N92" t="s">
        <v>433</v>
      </c>
      <c r="O92" t="s">
        <v>53</v>
      </c>
      <c r="P92" t="s">
        <v>800</v>
      </c>
      <c r="Q92" t="s">
        <v>96</v>
      </c>
      <c r="R92" t="s">
        <v>710</v>
      </c>
      <c r="S92">
        <v>0.27</v>
      </c>
      <c r="T92">
        <v>4219</v>
      </c>
      <c r="U92">
        <v>0</v>
      </c>
      <c r="V92">
        <v>4219</v>
      </c>
    </row>
    <row r="93" spans="1:22" x14ac:dyDescent="0.25">
      <c r="A93">
        <v>79452</v>
      </c>
      <c r="B93">
        <v>131154920</v>
      </c>
      <c r="C93" t="s">
        <v>801</v>
      </c>
      <c r="D93">
        <v>250044131</v>
      </c>
      <c r="E93" t="s">
        <v>430</v>
      </c>
      <c r="F93" t="s">
        <v>431</v>
      </c>
      <c r="G93" t="s">
        <v>149</v>
      </c>
      <c r="H93" t="s">
        <v>150</v>
      </c>
      <c r="I93" t="s">
        <v>88</v>
      </c>
      <c r="J93" t="s">
        <v>151</v>
      </c>
      <c r="K93" t="s">
        <v>2</v>
      </c>
      <c r="L93" t="s">
        <v>802</v>
      </c>
      <c r="M93" t="s">
        <v>803</v>
      </c>
      <c r="N93" t="s">
        <v>433</v>
      </c>
      <c r="O93" t="s">
        <v>53</v>
      </c>
      <c r="P93" t="s">
        <v>804</v>
      </c>
      <c r="Q93" t="s">
        <v>40</v>
      </c>
      <c r="R93" t="s">
        <v>415</v>
      </c>
      <c r="S93">
        <v>0.57999999999999996</v>
      </c>
      <c r="T93">
        <v>4534</v>
      </c>
      <c r="U93">
        <v>0</v>
      </c>
      <c r="V93">
        <v>4534</v>
      </c>
    </row>
    <row r="94" spans="1:22" x14ac:dyDescent="0.25">
      <c r="A94">
        <v>79452</v>
      </c>
      <c r="B94">
        <v>131134400</v>
      </c>
      <c r="C94" t="s">
        <v>805</v>
      </c>
      <c r="D94">
        <v>250040042</v>
      </c>
      <c r="E94" t="s">
        <v>430</v>
      </c>
      <c r="F94" t="s">
        <v>431</v>
      </c>
      <c r="G94" t="s">
        <v>149</v>
      </c>
      <c r="H94" t="s">
        <v>150</v>
      </c>
      <c r="I94" t="s">
        <v>88</v>
      </c>
      <c r="J94" t="s">
        <v>151</v>
      </c>
      <c r="K94" t="s">
        <v>2</v>
      </c>
      <c r="L94" t="s">
        <v>806</v>
      </c>
      <c r="M94" t="s">
        <v>807</v>
      </c>
      <c r="N94" t="s">
        <v>433</v>
      </c>
      <c r="O94" t="s">
        <v>53</v>
      </c>
      <c r="P94" t="s">
        <v>808</v>
      </c>
      <c r="Q94" t="s">
        <v>40</v>
      </c>
      <c r="R94" t="s">
        <v>520</v>
      </c>
      <c r="S94">
        <v>0.45</v>
      </c>
      <c r="T94">
        <v>4534</v>
      </c>
      <c r="U94">
        <v>0</v>
      </c>
      <c r="V94">
        <v>4534</v>
      </c>
    </row>
    <row r="95" spans="1:22" x14ac:dyDescent="0.25">
      <c r="A95">
        <v>79452</v>
      </c>
      <c r="B95">
        <v>130932145</v>
      </c>
      <c r="C95" t="s">
        <v>809</v>
      </c>
      <c r="D95">
        <v>249594446</v>
      </c>
      <c r="E95" t="s">
        <v>430</v>
      </c>
      <c r="F95" t="s">
        <v>431</v>
      </c>
      <c r="G95" t="s">
        <v>149</v>
      </c>
      <c r="H95" t="s">
        <v>150</v>
      </c>
      <c r="I95" t="s">
        <v>88</v>
      </c>
      <c r="J95" t="s">
        <v>151</v>
      </c>
      <c r="K95" t="s">
        <v>46</v>
      </c>
      <c r="L95" t="s">
        <v>194</v>
      </c>
      <c r="M95" t="s">
        <v>810</v>
      </c>
      <c r="N95" t="s">
        <v>433</v>
      </c>
      <c r="O95" t="s">
        <v>53</v>
      </c>
      <c r="P95" t="s">
        <v>811</v>
      </c>
      <c r="Q95" t="s">
        <v>110</v>
      </c>
      <c r="R95" t="s">
        <v>792</v>
      </c>
      <c r="S95">
        <v>0.82</v>
      </c>
      <c r="T95">
        <v>6267</v>
      </c>
      <c r="U95">
        <v>0</v>
      </c>
      <c r="V95">
        <v>6267</v>
      </c>
    </row>
    <row r="96" spans="1:22" x14ac:dyDescent="0.25">
      <c r="A96">
        <v>79452</v>
      </c>
      <c r="B96">
        <v>131134434</v>
      </c>
      <c r="C96" t="s">
        <v>812</v>
      </c>
      <c r="D96">
        <v>250040074</v>
      </c>
      <c r="E96" t="s">
        <v>430</v>
      </c>
      <c r="F96" t="s">
        <v>431</v>
      </c>
      <c r="G96" t="s">
        <v>149</v>
      </c>
      <c r="H96" t="s">
        <v>150</v>
      </c>
      <c r="I96" t="s">
        <v>88</v>
      </c>
      <c r="J96" t="s">
        <v>151</v>
      </c>
      <c r="K96" t="s">
        <v>2</v>
      </c>
      <c r="L96" t="s">
        <v>813</v>
      </c>
      <c r="M96" t="s">
        <v>814</v>
      </c>
      <c r="N96" t="s">
        <v>433</v>
      </c>
      <c r="O96" t="s">
        <v>53</v>
      </c>
      <c r="P96" t="s">
        <v>815</v>
      </c>
      <c r="Q96" t="s">
        <v>106</v>
      </c>
      <c r="R96" t="s">
        <v>520</v>
      </c>
      <c r="S96">
        <v>0.24</v>
      </c>
      <c r="T96">
        <v>4219</v>
      </c>
      <c r="U96">
        <v>0</v>
      </c>
      <c r="V96">
        <v>4219</v>
      </c>
    </row>
    <row r="97" spans="1:22" x14ac:dyDescent="0.25">
      <c r="A97">
        <v>79452</v>
      </c>
      <c r="B97">
        <v>131086901</v>
      </c>
      <c r="C97" t="s">
        <v>816</v>
      </c>
      <c r="D97">
        <v>249905155</v>
      </c>
      <c r="E97" t="s">
        <v>430</v>
      </c>
      <c r="F97" t="s">
        <v>431</v>
      </c>
      <c r="G97" t="s">
        <v>149</v>
      </c>
      <c r="H97" t="s">
        <v>150</v>
      </c>
      <c r="I97" t="s">
        <v>88</v>
      </c>
      <c r="J97" t="s">
        <v>151</v>
      </c>
      <c r="K97" t="s">
        <v>2</v>
      </c>
      <c r="L97" t="s">
        <v>817</v>
      </c>
      <c r="M97" t="s">
        <v>818</v>
      </c>
      <c r="N97" t="s">
        <v>433</v>
      </c>
      <c r="O97" t="s">
        <v>53</v>
      </c>
      <c r="P97" t="s">
        <v>819</v>
      </c>
      <c r="Q97" t="s">
        <v>240</v>
      </c>
      <c r="R97" t="s">
        <v>573</v>
      </c>
      <c r="S97">
        <v>1</v>
      </c>
      <c r="T97">
        <v>5232</v>
      </c>
      <c r="U97">
        <v>0</v>
      </c>
      <c r="V97">
        <v>5232</v>
      </c>
    </row>
    <row r="98" spans="1:22" x14ac:dyDescent="0.25">
      <c r="A98">
        <v>79452</v>
      </c>
      <c r="B98">
        <v>131045460</v>
      </c>
      <c r="C98" t="s">
        <v>820</v>
      </c>
      <c r="D98">
        <v>249839248</v>
      </c>
      <c r="E98" t="s">
        <v>430</v>
      </c>
      <c r="F98" t="s">
        <v>431</v>
      </c>
      <c r="G98" t="s">
        <v>149</v>
      </c>
      <c r="H98" t="s">
        <v>150</v>
      </c>
      <c r="I98" t="s">
        <v>88</v>
      </c>
      <c r="J98" t="s">
        <v>151</v>
      </c>
      <c r="K98" t="s">
        <v>2</v>
      </c>
      <c r="L98" t="s">
        <v>821</v>
      </c>
      <c r="M98" t="s">
        <v>822</v>
      </c>
      <c r="N98" t="s">
        <v>433</v>
      </c>
      <c r="O98" t="s">
        <v>53</v>
      </c>
      <c r="P98" t="s">
        <v>823</v>
      </c>
      <c r="Q98" t="s">
        <v>95</v>
      </c>
      <c r="R98" t="s">
        <v>355</v>
      </c>
      <c r="S98">
        <v>1</v>
      </c>
      <c r="T98">
        <v>5749</v>
      </c>
      <c r="U98">
        <v>0</v>
      </c>
      <c r="V98">
        <v>5749</v>
      </c>
    </row>
    <row r="99" spans="1:22" x14ac:dyDescent="0.25">
      <c r="A99">
        <v>79452</v>
      </c>
      <c r="B99">
        <v>131078319</v>
      </c>
      <c r="C99" t="s">
        <v>824</v>
      </c>
      <c r="D99">
        <v>249905185</v>
      </c>
      <c r="E99" t="s">
        <v>430</v>
      </c>
      <c r="F99" t="s">
        <v>431</v>
      </c>
      <c r="G99" t="s">
        <v>149</v>
      </c>
      <c r="H99" t="s">
        <v>150</v>
      </c>
      <c r="I99" t="s">
        <v>88</v>
      </c>
      <c r="J99" t="s">
        <v>151</v>
      </c>
      <c r="K99" t="s">
        <v>2</v>
      </c>
      <c r="L99" t="s">
        <v>825</v>
      </c>
      <c r="M99" t="s">
        <v>826</v>
      </c>
      <c r="N99" t="s">
        <v>433</v>
      </c>
      <c r="O99" t="s">
        <v>53</v>
      </c>
      <c r="P99" t="s">
        <v>827</v>
      </c>
      <c r="Q99" t="s">
        <v>40</v>
      </c>
      <c r="R99" t="s">
        <v>553</v>
      </c>
      <c r="S99">
        <v>1</v>
      </c>
      <c r="T99">
        <v>4534</v>
      </c>
      <c r="U99">
        <v>0</v>
      </c>
      <c r="V99">
        <v>4534</v>
      </c>
    </row>
    <row r="100" spans="1:22" x14ac:dyDescent="0.25">
      <c r="A100">
        <v>79452</v>
      </c>
      <c r="B100">
        <v>131045458</v>
      </c>
      <c r="C100" t="s">
        <v>828</v>
      </c>
      <c r="D100">
        <v>249839261</v>
      </c>
      <c r="E100" t="s">
        <v>430</v>
      </c>
      <c r="F100" t="s">
        <v>431</v>
      </c>
      <c r="G100" t="s">
        <v>149</v>
      </c>
      <c r="H100" t="s">
        <v>150</v>
      </c>
      <c r="I100" t="s">
        <v>88</v>
      </c>
      <c r="J100" t="s">
        <v>151</v>
      </c>
      <c r="K100" t="s">
        <v>2</v>
      </c>
      <c r="L100" t="s">
        <v>829</v>
      </c>
      <c r="M100" t="s">
        <v>830</v>
      </c>
      <c r="N100" t="s">
        <v>433</v>
      </c>
      <c r="O100" t="s">
        <v>53</v>
      </c>
      <c r="P100" t="s">
        <v>831</v>
      </c>
      <c r="Q100" t="s">
        <v>124</v>
      </c>
      <c r="R100" t="s">
        <v>355</v>
      </c>
      <c r="S100">
        <v>1</v>
      </c>
      <c r="T100">
        <v>4219</v>
      </c>
      <c r="U100">
        <v>0</v>
      </c>
      <c r="V100">
        <v>4219</v>
      </c>
    </row>
    <row r="101" spans="1:22" x14ac:dyDescent="0.25">
      <c r="A101">
        <v>79452</v>
      </c>
      <c r="B101">
        <v>131086897</v>
      </c>
      <c r="C101" t="s">
        <v>832</v>
      </c>
      <c r="D101">
        <v>249905160</v>
      </c>
      <c r="E101" t="s">
        <v>430</v>
      </c>
      <c r="F101" t="s">
        <v>431</v>
      </c>
      <c r="G101" t="s">
        <v>149</v>
      </c>
      <c r="H101" t="s">
        <v>150</v>
      </c>
      <c r="I101" t="s">
        <v>88</v>
      </c>
      <c r="J101" t="s">
        <v>151</v>
      </c>
      <c r="K101" t="s">
        <v>2</v>
      </c>
      <c r="L101" t="s">
        <v>833</v>
      </c>
      <c r="M101" t="s">
        <v>834</v>
      </c>
      <c r="N101" t="s">
        <v>433</v>
      </c>
      <c r="O101" t="s">
        <v>53</v>
      </c>
      <c r="P101" t="s">
        <v>835</v>
      </c>
      <c r="Q101" t="s">
        <v>109</v>
      </c>
      <c r="R101" t="s">
        <v>573</v>
      </c>
      <c r="S101">
        <v>1</v>
      </c>
      <c r="T101">
        <v>4669</v>
      </c>
      <c r="U101">
        <v>0</v>
      </c>
      <c r="V101">
        <v>4669</v>
      </c>
    </row>
    <row r="102" spans="1:22" x14ac:dyDescent="0.25">
      <c r="A102">
        <v>79452</v>
      </c>
      <c r="B102">
        <v>131086903</v>
      </c>
      <c r="C102" t="s">
        <v>836</v>
      </c>
      <c r="D102">
        <v>249905135</v>
      </c>
      <c r="E102" t="s">
        <v>430</v>
      </c>
      <c r="F102" t="s">
        <v>431</v>
      </c>
      <c r="G102" t="s">
        <v>149</v>
      </c>
      <c r="H102" t="s">
        <v>150</v>
      </c>
      <c r="I102" t="s">
        <v>88</v>
      </c>
      <c r="J102" t="s">
        <v>151</v>
      </c>
      <c r="K102" t="s">
        <v>2</v>
      </c>
      <c r="L102" t="s">
        <v>837</v>
      </c>
      <c r="M102" t="s">
        <v>838</v>
      </c>
      <c r="N102" t="s">
        <v>433</v>
      </c>
      <c r="O102" t="s">
        <v>53</v>
      </c>
      <c r="P102" t="s">
        <v>839</v>
      </c>
      <c r="Q102" t="s">
        <v>169</v>
      </c>
      <c r="R102" t="s">
        <v>573</v>
      </c>
      <c r="S102">
        <v>1</v>
      </c>
      <c r="T102">
        <v>4853</v>
      </c>
      <c r="U102">
        <v>0</v>
      </c>
      <c r="V102">
        <v>4853</v>
      </c>
    </row>
    <row r="103" spans="1:22" x14ac:dyDescent="0.25">
      <c r="A103">
        <v>79452</v>
      </c>
      <c r="B103">
        <v>131078322</v>
      </c>
      <c r="C103" t="s">
        <v>840</v>
      </c>
      <c r="D103">
        <v>249905166</v>
      </c>
      <c r="E103" t="s">
        <v>430</v>
      </c>
      <c r="F103" t="s">
        <v>431</v>
      </c>
      <c r="G103" t="s">
        <v>149</v>
      </c>
      <c r="H103" t="s">
        <v>150</v>
      </c>
      <c r="I103" t="s">
        <v>88</v>
      </c>
      <c r="J103" t="s">
        <v>151</v>
      </c>
      <c r="K103" t="s">
        <v>2</v>
      </c>
      <c r="L103" t="s">
        <v>841</v>
      </c>
      <c r="M103" t="s">
        <v>184</v>
      </c>
      <c r="N103" t="s">
        <v>433</v>
      </c>
      <c r="O103" t="s">
        <v>53</v>
      </c>
      <c r="P103" t="s">
        <v>842</v>
      </c>
      <c r="Q103" t="s">
        <v>124</v>
      </c>
      <c r="R103" t="s">
        <v>553</v>
      </c>
      <c r="S103">
        <v>1</v>
      </c>
      <c r="T103">
        <v>4219</v>
      </c>
      <c r="U103">
        <v>0</v>
      </c>
      <c r="V103">
        <v>4219</v>
      </c>
    </row>
    <row r="104" spans="1:22" x14ac:dyDescent="0.25">
      <c r="A104">
        <v>79452</v>
      </c>
      <c r="B104">
        <v>131041032</v>
      </c>
      <c r="C104" t="s">
        <v>843</v>
      </c>
      <c r="D104">
        <v>249839285</v>
      </c>
      <c r="E104" t="s">
        <v>430</v>
      </c>
      <c r="F104" t="s">
        <v>431</v>
      </c>
      <c r="G104" t="s">
        <v>149</v>
      </c>
      <c r="H104" t="s">
        <v>150</v>
      </c>
      <c r="I104" t="s">
        <v>88</v>
      </c>
      <c r="J104" t="s">
        <v>151</v>
      </c>
      <c r="K104" t="s">
        <v>2</v>
      </c>
      <c r="L104" t="s">
        <v>844</v>
      </c>
      <c r="M104" t="s">
        <v>845</v>
      </c>
      <c r="N104" t="s">
        <v>433</v>
      </c>
      <c r="O104" t="s">
        <v>53</v>
      </c>
      <c r="P104" t="s">
        <v>846</v>
      </c>
      <c r="Q104" t="s">
        <v>224</v>
      </c>
      <c r="R104" t="s">
        <v>847</v>
      </c>
      <c r="S104">
        <v>1</v>
      </c>
      <c r="T104">
        <v>4219</v>
      </c>
      <c r="U104">
        <v>0</v>
      </c>
      <c r="V104">
        <v>4219</v>
      </c>
    </row>
    <row r="105" spans="1:22" x14ac:dyDescent="0.25">
      <c r="A105">
        <v>79452</v>
      </c>
      <c r="B105">
        <v>131078318</v>
      </c>
      <c r="C105" t="s">
        <v>848</v>
      </c>
      <c r="D105">
        <v>249905189</v>
      </c>
      <c r="E105" t="s">
        <v>430</v>
      </c>
      <c r="F105" t="s">
        <v>431</v>
      </c>
      <c r="G105" t="s">
        <v>149</v>
      </c>
      <c r="H105" t="s">
        <v>150</v>
      </c>
      <c r="I105" t="s">
        <v>88</v>
      </c>
      <c r="J105" t="s">
        <v>151</v>
      </c>
      <c r="K105" t="s">
        <v>2</v>
      </c>
      <c r="L105" t="s">
        <v>849</v>
      </c>
      <c r="M105" t="s">
        <v>850</v>
      </c>
      <c r="N105" t="s">
        <v>433</v>
      </c>
      <c r="O105" t="s">
        <v>53</v>
      </c>
      <c r="P105" t="s">
        <v>851</v>
      </c>
      <c r="Q105" t="s">
        <v>142</v>
      </c>
      <c r="R105" t="s">
        <v>553</v>
      </c>
      <c r="S105">
        <v>1</v>
      </c>
      <c r="T105">
        <v>4219</v>
      </c>
      <c r="U105">
        <v>0</v>
      </c>
      <c r="V105">
        <v>4219</v>
      </c>
    </row>
    <row r="106" spans="1:22" x14ac:dyDescent="0.25">
      <c r="A106">
        <v>79452</v>
      </c>
      <c r="B106">
        <v>131078307</v>
      </c>
      <c r="C106" t="s">
        <v>852</v>
      </c>
      <c r="D106">
        <v>249905224</v>
      </c>
      <c r="E106" t="s">
        <v>430</v>
      </c>
      <c r="F106" t="s">
        <v>431</v>
      </c>
      <c r="G106" t="s">
        <v>149</v>
      </c>
      <c r="H106" t="s">
        <v>150</v>
      </c>
      <c r="I106" t="s">
        <v>88</v>
      </c>
      <c r="J106" t="s">
        <v>151</v>
      </c>
      <c r="K106" t="s">
        <v>2</v>
      </c>
      <c r="L106" t="s">
        <v>853</v>
      </c>
      <c r="M106" t="s">
        <v>854</v>
      </c>
      <c r="N106" t="s">
        <v>433</v>
      </c>
      <c r="O106" t="s">
        <v>53</v>
      </c>
      <c r="P106" t="s">
        <v>855</v>
      </c>
      <c r="Q106" t="s">
        <v>38</v>
      </c>
      <c r="R106" t="s">
        <v>553</v>
      </c>
      <c r="S106">
        <v>1</v>
      </c>
      <c r="T106">
        <v>4669</v>
      </c>
      <c r="U106">
        <v>0</v>
      </c>
      <c r="V106">
        <v>4669</v>
      </c>
    </row>
    <row r="107" spans="1:22" x14ac:dyDescent="0.25">
      <c r="A107">
        <v>79452</v>
      </c>
      <c r="B107">
        <v>131078309</v>
      </c>
      <c r="C107" t="s">
        <v>856</v>
      </c>
      <c r="D107">
        <v>249905199</v>
      </c>
      <c r="E107" t="s">
        <v>430</v>
      </c>
      <c r="F107" t="s">
        <v>431</v>
      </c>
      <c r="G107" t="s">
        <v>149</v>
      </c>
      <c r="H107" t="s">
        <v>150</v>
      </c>
      <c r="I107" t="s">
        <v>88</v>
      </c>
      <c r="J107" t="s">
        <v>151</v>
      </c>
      <c r="K107" t="s">
        <v>2</v>
      </c>
      <c r="L107" t="s">
        <v>857</v>
      </c>
      <c r="M107" t="s">
        <v>858</v>
      </c>
      <c r="N107" t="s">
        <v>433</v>
      </c>
      <c r="O107" t="s">
        <v>53</v>
      </c>
      <c r="P107" t="s">
        <v>859</v>
      </c>
      <c r="Q107" t="s">
        <v>125</v>
      </c>
      <c r="R107" t="s">
        <v>553</v>
      </c>
      <c r="S107">
        <v>1</v>
      </c>
      <c r="T107">
        <v>4219</v>
      </c>
      <c r="U107">
        <v>0</v>
      </c>
      <c r="V107">
        <v>4219</v>
      </c>
    </row>
    <row r="108" spans="1:22" x14ac:dyDescent="0.25">
      <c r="A108">
        <v>79452</v>
      </c>
      <c r="B108">
        <v>131023675</v>
      </c>
      <c r="C108" t="s">
        <v>860</v>
      </c>
      <c r="D108">
        <v>249761097</v>
      </c>
      <c r="E108" t="s">
        <v>430</v>
      </c>
      <c r="F108" t="s">
        <v>431</v>
      </c>
      <c r="G108" t="s">
        <v>149</v>
      </c>
      <c r="H108" t="s">
        <v>150</v>
      </c>
      <c r="I108" t="s">
        <v>88</v>
      </c>
      <c r="J108" t="s">
        <v>151</v>
      </c>
      <c r="K108" t="s">
        <v>2</v>
      </c>
      <c r="L108" t="s">
        <v>861</v>
      </c>
      <c r="M108" t="s">
        <v>862</v>
      </c>
      <c r="N108" t="s">
        <v>433</v>
      </c>
      <c r="O108" t="s">
        <v>53</v>
      </c>
      <c r="P108" t="s">
        <v>863</v>
      </c>
      <c r="Q108" t="s">
        <v>129</v>
      </c>
      <c r="R108" t="s">
        <v>586</v>
      </c>
      <c r="S108">
        <v>0.37</v>
      </c>
      <c r="T108">
        <v>7212</v>
      </c>
      <c r="U108">
        <v>0</v>
      </c>
      <c r="V108">
        <v>7212</v>
      </c>
    </row>
    <row r="109" spans="1:22" x14ac:dyDescent="0.25">
      <c r="A109">
        <v>79452</v>
      </c>
      <c r="B109">
        <v>131023665</v>
      </c>
      <c r="C109" t="s">
        <v>864</v>
      </c>
      <c r="D109">
        <v>249761151</v>
      </c>
      <c r="E109" t="s">
        <v>430</v>
      </c>
      <c r="F109" t="s">
        <v>431</v>
      </c>
      <c r="G109" t="s">
        <v>149</v>
      </c>
      <c r="H109" t="s">
        <v>150</v>
      </c>
      <c r="I109" t="s">
        <v>88</v>
      </c>
      <c r="J109" t="s">
        <v>151</v>
      </c>
      <c r="K109" t="s">
        <v>2</v>
      </c>
      <c r="L109" t="s">
        <v>865</v>
      </c>
      <c r="M109" t="s">
        <v>866</v>
      </c>
      <c r="N109" t="s">
        <v>433</v>
      </c>
      <c r="O109" t="s">
        <v>53</v>
      </c>
      <c r="P109" t="s">
        <v>867</v>
      </c>
      <c r="Q109" s="14" t="s">
        <v>128</v>
      </c>
      <c r="R109" t="s">
        <v>586</v>
      </c>
      <c r="S109">
        <v>0.35</v>
      </c>
      <c r="T109">
        <v>7864</v>
      </c>
      <c r="U109">
        <v>0</v>
      </c>
      <c r="V109">
        <v>7864</v>
      </c>
    </row>
    <row r="110" spans="1:22" x14ac:dyDescent="0.25">
      <c r="A110">
        <v>79452</v>
      </c>
      <c r="B110">
        <v>131023691</v>
      </c>
      <c r="C110" t="s">
        <v>868</v>
      </c>
      <c r="D110">
        <v>249761092</v>
      </c>
      <c r="E110" t="s">
        <v>430</v>
      </c>
      <c r="F110" t="s">
        <v>431</v>
      </c>
      <c r="G110" t="s">
        <v>149</v>
      </c>
      <c r="H110" t="s">
        <v>150</v>
      </c>
      <c r="I110" t="s">
        <v>88</v>
      </c>
      <c r="J110" t="s">
        <v>151</v>
      </c>
      <c r="K110" t="s">
        <v>2</v>
      </c>
      <c r="L110" t="s">
        <v>869</v>
      </c>
      <c r="M110" t="s">
        <v>410</v>
      </c>
      <c r="N110" t="s">
        <v>433</v>
      </c>
      <c r="O110" t="s">
        <v>53</v>
      </c>
      <c r="P110" t="s">
        <v>870</v>
      </c>
      <c r="Q110" s="14" t="s">
        <v>129</v>
      </c>
      <c r="R110" t="s">
        <v>586</v>
      </c>
      <c r="S110">
        <v>0.83</v>
      </c>
      <c r="T110">
        <v>7212</v>
      </c>
      <c r="U110">
        <v>0</v>
      </c>
      <c r="V110">
        <v>7212</v>
      </c>
    </row>
    <row r="111" spans="1:22" x14ac:dyDescent="0.25">
      <c r="A111">
        <v>79452</v>
      </c>
      <c r="B111">
        <v>130932134</v>
      </c>
      <c r="C111" t="s">
        <v>871</v>
      </c>
      <c r="D111">
        <v>249594496</v>
      </c>
      <c r="E111" t="s">
        <v>430</v>
      </c>
      <c r="F111" t="s">
        <v>431</v>
      </c>
      <c r="G111" t="s">
        <v>149</v>
      </c>
      <c r="H111" t="s">
        <v>150</v>
      </c>
      <c r="I111" t="s">
        <v>88</v>
      </c>
      <c r="J111" t="s">
        <v>151</v>
      </c>
      <c r="K111" t="s">
        <v>2</v>
      </c>
      <c r="L111" t="s">
        <v>872</v>
      </c>
      <c r="M111" t="s">
        <v>873</v>
      </c>
      <c r="N111" t="s">
        <v>433</v>
      </c>
      <c r="O111" t="s">
        <v>53</v>
      </c>
      <c r="P111" t="s">
        <v>874</v>
      </c>
      <c r="Q111" s="14" t="s">
        <v>167</v>
      </c>
      <c r="R111" t="s">
        <v>792</v>
      </c>
      <c r="S111">
        <v>0.55000000000000004</v>
      </c>
      <c r="T111">
        <v>7212</v>
      </c>
      <c r="U111">
        <v>0</v>
      </c>
      <c r="V111">
        <v>7212</v>
      </c>
    </row>
    <row r="112" spans="1:22" x14ac:dyDescent="0.25">
      <c r="A112">
        <v>79452</v>
      </c>
      <c r="B112">
        <v>131023658</v>
      </c>
      <c r="C112" t="s">
        <v>875</v>
      </c>
      <c r="D112">
        <v>249761162</v>
      </c>
      <c r="E112" t="s">
        <v>430</v>
      </c>
      <c r="F112" t="s">
        <v>431</v>
      </c>
      <c r="G112" t="s">
        <v>149</v>
      </c>
      <c r="H112" t="s">
        <v>150</v>
      </c>
      <c r="I112" t="s">
        <v>88</v>
      </c>
      <c r="J112" t="s">
        <v>151</v>
      </c>
      <c r="K112" t="s">
        <v>2</v>
      </c>
      <c r="L112" t="s">
        <v>876</v>
      </c>
      <c r="M112" t="s">
        <v>877</v>
      </c>
      <c r="N112" t="s">
        <v>433</v>
      </c>
      <c r="O112" t="s">
        <v>53</v>
      </c>
      <c r="P112" t="s">
        <v>878</v>
      </c>
      <c r="Q112" s="14" t="s">
        <v>129</v>
      </c>
      <c r="R112" t="s">
        <v>586</v>
      </c>
      <c r="S112">
        <v>0.8</v>
      </c>
      <c r="T112">
        <v>7212</v>
      </c>
      <c r="U112">
        <v>0</v>
      </c>
      <c r="V112">
        <v>7212</v>
      </c>
    </row>
    <row r="113" spans="1:22" x14ac:dyDescent="0.25">
      <c r="A113">
        <v>79452</v>
      </c>
      <c r="B113">
        <v>131023674</v>
      </c>
      <c r="C113" t="s">
        <v>879</v>
      </c>
      <c r="D113">
        <v>249761141</v>
      </c>
      <c r="E113" t="s">
        <v>430</v>
      </c>
      <c r="F113" t="s">
        <v>431</v>
      </c>
      <c r="G113" t="s">
        <v>149</v>
      </c>
      <c r="H113" t="s">
        <v>150</v>
      </c>
      <c r="I113" t="s">
        <v>88</v>
      </c>
      <c r="J113" t="s">
        <v>151</v>
      </c>
      <c r="K113" t="s">
        <v>2</v>
      </c>
      <c r="L113" t="s">
        <v>880</v>
      </c>
      <c r="M113" t="s">
        <v>881</v>
      </c>
      <c r="N113" t="s">
        <v>433</v>
      </c>
      <c r="O113" t="s">
        <v>53</v>
      </c>
      <c r="P113" t="s">
        <v>882</v>
      </c>
      <c r="Q113" s="14" t="s">
        <v>159</v>
      </c>
      <c r="R113" t="s">
        <v>586</v>
      </c>
      <c r="S113">
        <v>0.18</v>
      </c>
      <c r="T113">
        <v>6132</v>
      </c>
      <c r="U113">
        <v>0</v>
      </c>
      <c r="V113">
        <v>6132</v>
      </c>
    </row>
    <row r="114" spans="1:22" x14ac:dyDescent="0.25">
      <c r="A114">
        <v>79452</v>
      </c>
      <c r="B114">
        <v>130906098</v>
      </c>
      <c r="C114" t="s">
        <v>883</v>
      </c>
      <c r="D114">
        <v>249506574</v>
      </c>
      <c r="E114" t="s">
        <v>430</v>
      </c>
      <c r="F114" t="s">
        <v>431</v>
      </c>
      <c r="G114" t="s">
        <v>149</v>
      </c>
      <c r="H114" t="s">
        <v>150</v>
      </c>
      <c r="I114" t="s">
        <v>88</v>
      </c>
      <c r="J114" t="s">
        <v>151</v>
      </c>
      <c r="K114" t="s">
        <v>2</v>
      </c>
      <c r="L114" t="s">
        <v>884</v>
      </c>
      <c r="M114" t="s">
        <v>885</v>
      </c>
      <c r="N114" t="s">
        <v>433</v>
      </c>
      <c r="O114" t="s">
        <v>53</v>
      </c>
      <c r="P114" t="s">
        <v>886</v>
      </c>
      <c r="Q114" s="14" t="s">
        <v>97</v>
      </c>
      <c r="R114" t="s">
        <v>887</v>
      </c>
      <c r="S114">
        <v>0.56000000000000005</v>
      </c>
      <c r="T114">
        <v>8415</v>
      </c>
      <c r="U114">
        <v>0</v>
      </c>
      <c r="V114">
        <v>8415</v>
      </c>
    </row>
    <row r="115" spans="1:22" x14ac:dyDescent="0.25">
      <c r="A115">
        <v>79452</v>
      </c>
      <c r="B115">
        <v>130975901</v>
      </c>
      <c r="C115" t="s">
        <v>888</v>
      </c>
      <c r="D115">
        <v>249682362</v>
      </c>
      <c r="E115" t="s">
        <v>430</v>
      </c>
      <c r="F115" t="s">
        <v>431</v>
      </c>
      <c r="G115" t="s">
        <v>149</v>
      </c>
      <c r="H115" t="s">
        <v>150</v>
      </c>
      <c r="I115" t="s">
        <v>88</v>
      </c>
      <c r="J115" t="s">
        <v>151</v>
      </c>
      <c r="K115" t="s">
        <v>2</v>
      </c>
      <c r="L115" t="s">
        <v>889</v>
      </c>
      <c r="M115" t="s">
        <v>890</v>
      </c>
      <c r="N115" t="s">
        <v>433</v>
      </c>
      <c r="O115" t="s">
        <v>53</v>
      </c>
      <c r="P115" t="s">
        <v>891</v>
      </c>
      <c r="Q115" s="14" t="s">
        <v>128</v>
      </c>
      <c r="R115" t="s">
        <v>662</v>
      </c>
      <c r="S115">
        <v>0.8</v>
      </c>
      <c r="T115">
        <v>7864</v>
      </c>
      <c r="U115">
        <v>0</v>
      </c>
      <c r="V115">
        <v>7864</v>
      </c>
    </row>
    <row r="116" spans="1:22" x14ac:dyDescent="0.25">
      <c r="A116">
        <v>79452</v>
      </c>
      <c r="B116">
        <v>130975892</v>
      </c>
      <c r="C116" t="s">
        <v>892</v>
      </c>
      <c r="D116">
        <v>249682422</v>
      </c>
      <c r="E116" t="s">
        <v>430</v>
      </c>
      <c r="F116" t="s">
        <v>431</v>
      </c>
      <c r="G116" t="s">
        <v>149</v>
      </c>
      <c r="H116" t="s">
        <v>150</v>
      </c>
      <c r="I116" t="s">
        <v>88</v>
      </c>
      <c r="J116" t="s">
        <v>151</v>
      </c>
      <c r="K116" t="s">
        <v>2</v>
      </c>
      <c r="L116" t="s">
        <v>893</v>
      </c>
      <c r="M116" t="s">
        <v>894</v>
      </c>
      <c r="N116" t="s">
        <v>433</v>
      </c>
      <c r="O116" t="s">
        <v>53</v>
      </c>
      <c r="P116" t="s">
        <v>895</v>
      </c>
      <c r="Q116" s="14" t="s">
        <v>129</v>
      </c>
      <c r="R116" t="s">
        <v>662</v>
      </c>
      <c r="S116">
        <v>0.26</v>
      </c>
      <c r="T116">
        <v>7212</v>
      </c>
      <c r="U116">
        <v>0</v>
      </c>
      <c r="V116">
        <v>7212</v>
      </c>
    </row>
    <row r="117" spans="1:22" x14ac:dyDescent="0.25">
      <c r="A117">
        <v>79452</v>
      </c>
      <c r="B117">
        <v>130990231</v>
      </c>
      <c r="C117" t="s">
        <v>896</v>
      </c>
      <c r="D117">
        <v>249682345</v>
      </c>
      <c r="E117" t="s">
        <v>430</v>
      </c>
      <c r="F117" t="s">
        <v>431</v>
      </c>
      <c r="G117" t="s">
        <v>149</v>
      </c>
      <c r="H117" t="s">
        <v>150</v>
      </c>
      <c r="I117" t="s">
        <v>88</v>
      </c>
      <c r="J117" t="s">
        <v>151</v>
      </c>
      <c r="K117" t="s">
        <v>2</v>
      </c>
      <c r="L117" t="s">
        <v>897</v>
      </c>
      <c r="M117" t="s">
        <v>898</v>
      </c>
      <c r="N117" t="s">
        <v>433</v>
      </c>
      <c r="O117" t="s">
        <v>53</v>
      </c>
      <c r="P117" t="s">
        <v>899</v>
      </c>
      <c r="Q117" s="14" t="s">
        <v>128</v>
      </c>
      <c r="R117" t="s">
        <v>394</v>
      </c>
      <c r="S117">
        <v>0.66</v>
      </c>
      <c r="T117">
        <v>7864</v>
      </c>
      <c r="U117">
        <v>0</v>
      </c>
      <c r="V117">
        <v>7864</v>
      </c>
    </row>
    <row r="118" spans="1:22" x14ac:dyDescent="0.25">
      <c r="A118">
        <v>79452</v>
      </c>
      <c r="B118">
        <v>130975895</v>
      </c>
      <c r="C118" t="s">
        <v>900</v>
      </c>
      <c r="D118">
        <v>249682371</v>
      </c>
      <c r="E118" t="s">
        <v>430</v>
      </c>
      <c r="F118" t="s">
        <v>431</v>
      </c>
      <c r="G118" t="s">
        <v>149</v>
      </c>
      <c r="H118" t="s">
        <v>150</v>
      </c>
      <c r="I118" t="s">
        <v>88</v>
      </c>
      <c r="J118" t="s">
        <v>151</v>
      </c>
      <c r="K118" t="s">
        <v>2</v>
      </c>
      <c r="L118" t="s">
        <v>901</v>
      </c>
      <c r="M118" t="s">
        <v>902</v>
      </c>
      <c r="N118" t="s">
        <v>433</v>
      </c>
      <c r="O118" t="s">
        <v>53</v>
      </c>
      <c r="P118" t="s">
        <v>903</v>
      </c>
      <c r="Q118" s="14" t="s">
        <v>97</v>
      </c>
      <c r="R118" t="s">
        <v>662</v>
      </c>
      <c r="S118">
        <v>0.28000000000000003</v>
      </c>
      <c r="T118">
        <v>8415</v>
      </c>
      <c r="U118">
        <v>0</v>
      </c>
      <c r="V118">
        <v>8415</v>
      </c>
    </row>
    <row r="119" spans="1:22" x14ac:dyDescent="0.25">
      <c r="A119">
        <v>79452</v>
      </c>
      <c r="B119">
        <v>130949921</v>
      </c>
      <c r="C119" t="s">
        <v>904</v>
      </c>
      <c r="D119">
        <v>249594334</v>
      </c>
      <c r="E119" t="s">
        <v>430</v>
      </c>
      <c r="F119" t="s">
        <v>431</v>
      </c>
      <c r="G119" t="s">
        <v>149</v>
      </c>
      <c r="H119" t="s">
        <v>150</v>
      </c>
      <c r="I119" t="s">
        <v>88</v>
      </c>
      <c r="J119" t="s">
        <v>151</v>
      </c>
      <c r="K119" t="s">
        <v>2</v>
      </c>
      <c r="L119" t="s">
        <v>905</v>
      </c>
      <c r="M119" t="s">
        <v>906</v>
      </c>
      <c r="N119" t="s">
        <v>433</v>
      </c>
      <c r="O119" t="s">
        <v>53</v>
      </c>
      <c r="P119" t="s">
        <v>907</v>
      </c>
      <c r="Q119" s="14" t="s">
        <v>97</v>
      </c>
      <c r="R119" t="s">
        <v>908</v>
      </c>
      <c r="S119">
        <v>0.56000000000000005</v>
      </c>
      <c r="T119">
        <v>8415</v>
      </c>
      <c r="U119">
        <v>0</v>
      </c>
      <c r="V119">
        <v>8415</v>
      </c>
    </row>
    <row r="120" spans="1:22" x14ac:dyDescent="0.25">
      <c r="A120">
        <v>79452</v>
      </c>
      <c r="B120">
        <v>131023660</v>
      </c>
      <c r="C120" t="s">
        <v>909</v>
      </c>
      <c r="D120">
        <v>249761159</v>
      </c>
      <c r="E120" t="s">
        <v>430</v>
      </c>
      <c r="F120" t="s">
        <v>431</v>
      </c>
      <c r="G120" t="s">
        <v>149</v>
      </c>
      <c r="H120" t="s">
        <v>150</v>
      </c>
      <c r="I120" t="s">
        <v>88</v>
      </c>
      <c r="J120" t="s">
        <v>151</v>
      </c>
      <c r="K120" t="s">
        <v>2</v>
      </c>
      <c r="L120" t="s">
        <v>910</v>
      </c>
      <c r="M120" t="s">
        <v>911</v>
      </c>
      <c r="N120" t="s">
        <v>433</v>
      </c>
      <c r="O120" t="s">
        <v>53</v>
      </c>
      <c r="P120" t="s">
        <v>912</v>
      </c>
      <c r="Q120" s="14" t="s">
        <v>119</v>
      </c>
      <c r="R120" t="s">
        <v>586</v>
      </c>
      <c r="S120">
        <v>0.23</v>
      </c>
      <c r="T120">
        <v>5749</v>
      </c>
      <c r="U120">
        <v>0</v>
      </c>
      <c r="V120">
        <v>5749</v>
      </c>
    </row>
    <row r="121" spans="1:22" x14ac:dyDescent="0.25">
      <c r="A121">
        <v>79452</v>
      </c>
      <c r="B121">
        <v>130771026</v>
      </c>
      <c r="C121" t="s">
        <v>913</v>
      </c>
      <c r="D121">
        <v>249231783</v>
      </c>
      <c r="E121" t="s">
        <v>430</v>
      </c>
      <c r="F121" t="s">
        <v>431</v>
      </c>
      <c r="G121" t="s">
        <v>149</v>
      </c>
      <c r="H121" t="s">
        <v>150</v>
      </c>
      <c r="I121" t="s">
        <v>88</v>
      </c>
      <c r="J121" t="s">
        <v>151</v>
      </c>
      <c r="K121" t="s">
        <v>2</v>
      </c>
      <c r="L121" t="s">
        <v>914</v>
      </c>
      <c r="M121" t="s">
        <v>915</v>
      </c>
      <c r="N121" t="s">
        <v>433</v>
      </c>
      <c r="O121" t="s">
        <v>53</v>
      </c>
      <c r="P121" t="s">
        <v>916</v>
      </c>
      <c r="Q121" s="14" t="s">
        <v>110</v>
      </c>
      <c r="R121" t="s">
        <v>917</v>
      </c>
      <c r="S121">
        <v>1</v>
      </c>
      <c r="T121">
        <v>6267</v>
      </c>
      <c r="U121">
        <v>0</v>
      </c>
      <c r="V121">
        <v>6267</v>
      </c>
    </row>
    <row r="122" spans="1:22" x14ac:dyDescent="0.25">
      <c r="A122">
        <v>79452</v>
      </c>
      <c r="B122">
        <v>130932146</v>
      </c>
      <c r="C122" t="s">
        <v>918</v>
      </c>
      <c r="D122">
        <v>249594418</v>
      </c>
      <c r="E122" t="s">
        <v>430</v>
      </c>
      <c r="F122" t="s">
        <v>431</v>
      </c>
      <c r="G122" t="s">
        <v>149</v>
      </c>
      <c r="H122" t="s">
        <v>150</v>
      </c>
      <c r="I122" t="s">
        <v>88</v>
      </c>
      <c r="J122" t="s">
        <v>151</v>
      </c>
      <c r="K122" t="s">
        <v>2</v>
      </c>
      <c r="L122" t="s">
        <v>919</v>
      </c>
      <c r="M122" t="s">
        <v>920</v>
      </c>
      <c r="N122" t="s">
        <v>433</v>
      </c>
      <c r="O122" t="s">
        <v>53</v>
      </c>
      <c r="P122" t="s">
        <v>921</v>
      </c>
      <c r="Q122" s="14" t="s">
        <v>129</v>
      </c>
      <c r="R122" t="s">
        <v>792</v>
      </c>
      <c r="S122">
        <v>1</v>
      </c>
      <c r="T122">
        <v>7212</v>
      </c>
      <c r="U122">
        <v>0</v>
      </c>
      <c r="V122">
        <v>7212</v>
      </c>
    </row>
    <row r="123" spans="1:22" x14ac:dyDescent="0.25">
      <c r="A123">
        <v>79452</v>
      </c>
      <c r="B123">
        <v>130975894</v>
      </c>
      <c r="C123" t="s">
        <v>922</v>
      </c>
      <c r="D123">
        <v>249682400</v>
      </c>
      <c r="E123" t="s">
        <v>430</v>
      </c>
      <c r="F123" t="s">
        <v>431</v>
      </c>
      <c r="G123" t="s">
        <v>149</v>
      </c>
      <c r="H123" t="s">
        <v>150</v>
      </c>
      <c r="I123" t="s">
        <v>88</v>
      </c>
      <c r="J123" t="s">
        <v>151</v>
      </c>
      <c r="K123" t="s">
        <v>2</v>
      </c>
      <c r="L123" t="s">
        <v>923</v>
      </c>
      <c r="M123" t="s">
        <v>924</v>
      </c>
      <c r="N123" t="s">
        <v>433</v>
      </c>
      <c r="O123" t="s">
        <v>53</v>
      </c>
      <c r="P123" t="s">
        <v>925</v>
      </c>
      <c r="Q123" s="14" t="s">
        <v>129</v>
      </c>
      <c r="R123" t="s">
        <v>662</v>
      </c>
      <c r="S123">
        <v>0.52</v>
      </c>
      <c r="T123">
        <v>7212</v>
      </c>
      <c r="U123">
        <v>0</v>
      </c>
      <c r="V123">
        <v>7212</v>
      </c>
    </row>
    <row r="124" spans="1:22" x14ac:dyDescent="0.25">
      <c r="A124">
        <v>79452</v>
      </c>
      <c r="B124">
        <v>131023668</v>
      </c>
      <c r="C124" t="s">
        <v>926</v>
      </c>
      <c r="D124">
        <v>249761133</v>
      </c>
      <c r="E124" t="s">
        <v>430</v>
      </c>
      <c r="F124" t="s">
        <v>431</v>
      </c>
      <c r="G124" t="s">
        <v>149</v>
      </c>
      <c r="H124" t="s">
        <v>150</v>
      </c>
      <c r="I124" t="s">
        <v>88</v>
      </c>
      <c r="J124" t="s">
        <v>151</v>
      </c>
      <c r="K124" t="s">
        <v>2</v>
      </c>
      <c r="L124" t="s">
        <v>927</v>
      </c>
      <c r="M124" t="s">
        <v>928</v>
      </c>
      <c r="N124" t="s">
        <v>433</v>
      </c>
      <c r="O124" t="s">
        <v>53</v>
      </c>
      <c r="P124" t="s">
        <v>929</v>
      </c>
      <c r="Q124" s="14" t="s">
        <v>120</v>
      </c>
      <c r="R124" t="s">
        <v>586</v>
      </c>
      <c r="S124">
        <v>1</v>
      </c>
      <c r="T124">
        <v>5153</v>
      </c>
      <c r="U124">
        <v>0</v>
      </c>
      <c r="V124">
        <v>5153</v>
      </c>
    </row>
    <row r="125" spans="1:22" x14ac:dyDescent="0.25">
      <c r="A125">
        <v>79452</v>
      </c>
      <c r="B125">
        <v>131023666</v>
      </c>
      <c r="C125" t="s">
        <v>930</v>
      </c>
      <c r="D125">
        <v>249761136</v>
      </c>
      <c r="E125" t="s">
        <v>430</v>
      </c>
      <c r="F125" t="s">
        <v>431</v>
      </c>
      <c r="G125" t="s">
        <v>149</v>
      </c>
      <c r="H125" t="s">
        <v>150</v>
      </c>
      <c r="I125" t="s">
        <v>88</v>
      </c>
      <c r="J125" t="s">
        <v>151</v>
      </c>
      <c r="K125" t="s">
        <v>2</v>
      </c>
      <c r="L125" t="s">
        <v>931</v>
      </c>
      <c r="M125" t="s">
        <v>932</v>
      </c>
      <c r="N125" t="s">
        <v>433</v>
      </c>
      <c r="O125" t="s">
        <v>53</v>
      </c>
      <c r="P125" t="s">
        <v>933</v>
      </c>
      <c r="Q125" s="14" t="s">
        <v>40</v>
      </c>
      <c r="R125" t="s">
        <v>586</v>
      </c>
      <c r="S125">
        <v>0.37</v>
      </c>
      <c r="T125">
        <v>4534</v>
      </c>
      <c r="U125">
        <v>0</v>
      </c>
      <c r="V125">
        <v>4534</v>
      </c>
    </row>
    <row r="126" spans="1:22" x14ac:dyDescent="0.25">
      <c r="A126">
        <v>79452</v>
      </c>
      <c r="B126">
        <v>130932135</v>
      </c>
      <c r="C126" t="s">
        <v>934</v>
      </c>
      <c r="D126">
        <v>249594507</v>
      </c>
      <c r="E126" t="s">
        <v>430</v>
      </c>
      <c r="F126" t="s">
        <v>431</v>
      </c>
      <c r="G126" t="s">
        <v>149</v>
      </c>
      <c r="H126" t="s">
        <v>150</v>
      </c>
      <c r="I126" t="s">
        <v>88</v>
      </c>
      <c r="J126" t="s">
        <v>151</v>
      </c>
      <c r="K126" t="s">
        <v>2</v>
      </c>
      <c r="L126" t="s">
        <v>935</v>
      </c>
      <c r="M126" t="s">
        <v>936</v>
      </c>
      <c r="N126" t="s">
        <v>433</v>
      </c>
      <c r="O126" t="s">
        <v>53</v>
      </c>
      <c r="P126" t="s">
        <v>937</v>
      </c>
      <c r="Q126" s="14" t="s">
        <v>128</v>
      </c>
      <c r="R126" t="s">
        <v>792</v>
      </c>
      <c r="S126">
        <v>0.28000000000000003</v>
      </c>
      <c r="T126">
        <v>7864</v>
      </c>
      <c r="U126">
        <v>0</v>
      </c>
      <c r="V126">
        <v>7864</v>
      </c>
    </row>
    <row r="127" spans="1:22" x14ac:dyDescent="0.25">
      <c r="A127">
        <v>79452</v>
      </c>
      <c r="B127">
        <v>131023656</v>
      </c>
      <c r="C127" t="s">
        <v>938</v>
      </c>
      <c r="D127">
        <v>249761186</v>
      </c>
      <c r="E127" t="s">
        <v>430</v>
      </c>
      <c r="F127" t="s">
        <v>431</v>
      </c>
      <c r="G127" t="s">
        <v>149</v>
      </c>
      <c r="H127" t="s">
        <v>150</v>
      </c>
      <c r="I127" t="s">
        <v>88</v>
      </c>
      <c r="J127" t="s">
        <v>151</v>
      </c>
      <c r="K127" t="s">
        <v>2</v>
      </c>
      <c r="L127" t="s">
        <v>939</v>
      </c>
      <c r="M127" t="s">
        <v>940</v>
      </c>
      <c r="N127" t="s">
        <v>433</v>
      </c>
      <c r="O127" t="s">
        <v>53</v>
      </c>
      <c r="P127" t="s">
        <v>941</v>
      </c>
      <c r="Q127" s="14" t="s">
        <v>137</v>
      </c>
      <c r="R127" t="s">
        <v>586</v>
      </c>
      <c r="S127">
        <v>0.25</v>
      </c>
      <c r="T127">
        <v>4219</v>
      </c>
      <c r="U127">
        <v>0</v>
      </c>
      <c r="V127">
        <v>4219</v>
      </c>
    </row>
    <row r="128" spans="1:22" x14ac:dyDescent="0.25">
      <c r="A128">
        <v>79452</v>
      </c>
      <c r="B128">
        <v>130780226</v>
      </c>
      <c r="C128" t="s">
        <v>942</v>
      </c>
      <c r="D128">
        <v>249231753</v>
      </c>
      <c r="E128" t="s">
        <v>430</v>
      </c>
      <c r="F128" t="s">
        <v>431</v>
      </c>
      <c r="G128" t="s">
        <v>149</v>
      </c>
      <c r="H128" t="s">
        <v>150</v>
      </c>
      <c r="I128" t="s">
        <v>88</v>
      </c>
      <c r="J128" t="s">
        <v>151</v>
      </c>
      <c r="K128" t="s">
        <v>2</v>
      </c>
      <c r="L128" t="s">
        <v>943</v>
      </c>
      <c r="M128" t="s">
        <v>409</v>
      </c>
      <c r="N128" t="s">
        <v>433</v>
      </c>
      <c r="O128" t="s">
        <v>53</v>
      </c>
      <c r="P128" t="s">
        <v>944</v>
      </c>
      <c r="Q128" s="14" t="s">
        <v>110</v>
      </c>
      <c r="R128" t="s">
        <v>180</v>
      </c>
      <c r="S128">
        <v>0.56000000000000005</v>
      </c>
      <c r="T128">
        <v>6267</v>
      </c>
      <c r="U128">
        <v>0</v>
      </c>
      <c r="V128">
        <v>6267</v>
      </c>
    </row>
    <row r="129" spans="1:22" x14ac:dyDescent="0.25">
      <c r="A129">
        <v>79452</v>
      </c>
      <c r="B129">
        <v>130906072</v>
      </c>
      <c r="C129" t="s">
        <v>945</v>
      </c>
      <c r="D129">
        <v>249506629</v>
      </c>
      <c r="E129" t="s">
        <v>430</v>
      </c>
      <c r="F129" t="s">
        <v>431</v>
      </c>
      <c r="G129" t="s">
        <v>149</v>
      </c>
      <c r="H129" t="s">
        <v>150</v>
      </c>
      <c r="I129" t="s">
        <v>88</v>
      </c>
      <c r="J129" t="s">
        <v>151</v>
      </c>
      <c r="K129" t="s">
        <v>2</v>
      </c>
      <c r="L129" t="s">
        <v>946</v>
      </c>
      <c r="M129" t="s">
        <v>947</v>
      </c>
      <c r="N129" t="s">
        <v>433</v>
      </c>
      <c r="O129" t="s">
        <v>53</v>
      </c>
      <c r="P129" t="s">
        <v>948</v>
      </c>
      <c r="Q129" s="14" t="s">
        <v>94</v>
      </c>
      <c r="R129" t="s">
        <v>887</v>
      </c>
      <c r="S129">
        <v>1</v>
      </c>
      <c r="T129">
        <v>4669</v>
      </c>
      <c r="U129">
        <v>0</v>
      </c>
      <c r="V129">
        <v>4669</v>
      </c>
    </row>
    <row r="130" spans="1:22" x14ac:dyDescent="0.25">
      <c r="A130">
        <v>79452</v>
      </c>
      <c r="B130">
        <v>130990239</v>
      </c>
      <c r="C130" t="s">
        <v>949</v>
      </c>
      <c r="D130">
        <v>249682316</v>
      </c>
      <c r="E130" t="s">
        <v>430</v>
      </c>
      <c r="F130" t="s">
        <v>431</v>
      </c>
      <c r="G130" t="s">
        <v>149</v>
      </c>
      <c r="H130" t="s">
        <v>150</v>
      </c>
      <c r="I130" t="s">
        <v>88</v>
      </c>
      <c r="J130" t="s">
        <v>151</v>
      </c>
      <c r="K130" t="s">
        <v>2</v>
      </c>
      <c r="L130" t="s">
        <v>950</v>
      </c>
      <c r="M130" t="s">
        <v>951</v>
      </c>
      <c r="N130" t="s">
        <v>433</v>
      </c>
      <c r="O130" t="s">
        <v>53</v>
      </c>
      <c r="P130" t="s">
        <v>952</v>
      </c>
      <c r="Q130" s="14" t="s">
        <v>124</v>
      </c>
      <c r="R130" t="s">
        <v>394</v>
      </c>
      <c r="S130">
        <v>0.3</v>
      </c>
      <c r="T130">
        <v>4219</v>
      </c>
      <c r="U130">
        <v>0</v>
      </c>
      <c r="V130">
        <v>4219</v>
      </c>
    </row>
    <row r="131" spans="1:22" x14ac:dyDescent="0.25">
      <c r="A131">
        <v>79452</v>
      </c>
      <c r="B131">
        <v>130932158</v>
      </c>
      <c r="C131" t="s">
        <v>953</v>
      </c>
      <c r="D131">
        <v>249594381</v>
      </c>
      <c r="E131" t="s">
        <v>430</v>
      </c>
      <c r="F131" t="s">
        <v>431</v>
      </c>
      <c r="G131" t="s">
        <v>149</v>
      </c>
      <c r="H131" t="s">
        <v>150</v>
      </c>
      <c r="I131" t="s">
        <v>88</v>
      </c>
      <c r="J131" t="s">
        <v>151</v>
      </c>
      <c r="K131" t="s">
        <v>2</v>
      </c>
      <c r="L131" t="s">
        <v>954</v>
      </c>
      <c r="M131" t="s">
        <v>955</v>
      </c>
      <c r="N131" t="s">
        <v>433</v>
      </c>
      <c r="O131" t="s">
        <v>53</v>
      </c>
      <c r="P131" t="s">
        <v>956</v>
      </c>
      <c r="Q131" s="14" t="s">
        <v>111</v>
      </c>
      <c r="R131" t="s">
        <v>792</v>
      </c>
      <c r="S131">
        <v>0.74</v>
      </c>
      <c r="T131">
        <v>5817</v>
      </c>
      <c r="U131">
        <v>0</v>
      </c>
      <c r="V131">
        <v>5817</v>
      </c>
    </row>
    <row r="132" spans="1:22" x14ac:dyDescent="0.25">
      <c r="A132">
        <v>79452</v>
      </c>
      <c r="B132">
        <v>130975897</v>
      </c>
      <c r="C132" t="s">
        <v>957</v>
      </c>
      <c r="D132">
        <v>249682382</v>
      </c>
      <c r="E132" t="s">
        <v>430</v>
      </c>
      <c r="F132" t="s">
        <v>431</v>
      </c>
      <c r="G132" t="s">
        <v>149</v>
      </c>
      <c r="H132" t="s">
        <v>150</v>
      </c>
      <c r="I132" t="s">
        <v>88</v>
      </c>
      <c r="J132" t="s">
        <v>151</v>
      </c>
      <c r="K132" t="s">
        <v>2</v>
      </c>
      <c r="L132" t="s">
        <v>958</v>
      </c>
      <c r="M132" t="s">
        <v>959</v>
      </c>
      <c r="N132" t="s">
        <v>433</v>
      </c>
      <c r="O132" t="s">
        <v>53</v>
      </c>
      <c r="P132" t="s">
        <v>960</v>
      </c>
      <c r="Q132" s="14" t="s">
        <v>120</v>
      </c>
      <c r="R132" t="s">
        <v>662</v>
      </c>
      <c r="S132">
        <v>0.9</v>
      </c>
      <c r="T132">
        <v>5153</v>
      </c>
      <c r="U132">
        <v>0</v>
      </c>
      <c r="V132">
        <v>5153</v>
      </c>
    </row>
    <row r="133" spans="1:22" x14ac:dyDescent="0.25">
      <c r="A133">
        <v>79452</v>
      </c>
      <c r="B133">
        <v>130932156</v>
      </c>
      <c r="C133" t="s">
        <v>961</v>
      </c>
      <c r="D133">
        <v>249594403</v>
      </c>
      <c r="E133" t="s">
        <v>430</v>
      </c>
      <c r="F133" t="s">
        <v>431</v>
      </c>
      <c r="G133" t="s">
        <v>149</v>
      </c>
      <c r="H133" t="s">
        <v>150</v>
      </c>
      <c r="I133" t="s">
        <v>88</v>
      </c>
      <c r="J133" t="s">
        <v>151</v>
      </c>
      <c r="K133" t="s">
        <v>2</v>
      </c>
      <c r="L133" t="s">
        <v>962</v>
      </c>
      <c r="M133" t="s">
        <v>963</v>
      </c>
      <c r="N133" t="s">
        <v>433</v>
      </c>
      <c r="O133" t="s">
        <v>53</v>
      </c>
      <c r="P133" t="s">
        <v>964</v>
      </c>
      <c r="Q133" s="14" t="s">
        <v>125</v>
      </c>
      <c r="R133" t="s">
        <v>792</v>
      </c>
      <c r="S133">
        <v>1</v>
      </c>
      <c r="T133">
        <v>4219</v>
      </c>
      <c r="U133">
        <v>0</v>
      </c>
      <c r="V133">
        <v>4219</v>
      </c>
    </row>
    <row r="134" spans="1:22" x14ac:dyDescent="0.25">
      <c r="A134">
        <v>79452</v>
      </c>
      <c r="B134">
        <v>130932142</v>
      </c>
      <c r="C134" t="s">
        <v>965</v>
      </c>
      <c r="D134">
        <v>249594462</v>
      </c>
      <c r="E134" t="s">
        <v>430</v>
      </c>
      <c r="F134" t="s">
        <v>431</v>
      </c>
      <c r="G134" t="s">
        <v>149</v>
      </c>
      <c r="H134" t="s">
        <v>150</v>
      </c>
      <c r="I134" t="s">
        <v>88</v>
      </c>
      <c r="J134" t="s">
        <v>151</v>
      </c>
      <c r="K134" t="s">
        <v>2</v>
      </c>
      <c r="L134" t="s">
        <v>966</v>
      </c>
      <c r="M134" t="s">
        <v>967</v>
      </c>
      <c r="N134" t="s">
        <v>433</v>
      </c>
      <c r="O134" t="s">
        <v>53</v>
      </c>
      <c r="P134" t="s">
        <v>968</v>
      </c>
      <c r="Q134" s="14" t="s">
        <v>120</v>
      </c>
      <c r="R134" t="s">
        <v>792</v>
      </c>
      <c r="S134">
        <v>0.66</v>
      </c>
      <c r="T134">
        <v>5153</v>
      </c>
      <c r="U134">
        <v>0</v>
      </c>
      <c r="V134">
        <v>5153</v>
      </c>
    </row>
    <row r="135" spans="1:22" x14ac:dyDescent="0.25">
      <c r="A135">
        <v>79452</v>
      </c>
      <c r="B135">
        <v>130673288</v>
      </c>
      <c r="C135" t="s">
        <v>969</v>
      </c>
      <c r="D135">
        <v>249001719</v>
      </c>
      <c r="E135" t="s">
        <v>430</v>
      </c>
      <c r="F135" t="s">
        <v>431</v>
      </c>
      <c r="G135" t="s">
        <v>149</v>
      </c>
      <c r="H135" t="s">
        <v>150</v>
      </c>
      <c r="I135" t="s">
        <v>88</v>
      </c>
      <c r="J135" t="s">
        <v>151</v>
      </c>
      <c r="K135" t="s">
        <v>2</v>
      </c>
      <c r="L135" t="s">
        <v>970</v>
      </c>
      <c r="M135" t="s">
        <v>971</v>
      </c>
      <c r="N135" t="s">
        <v>433</v>
      </c>
      <c r="O135" t="s">
        <v>53</v>
      </c>
      <c r="P135" t="s">
        <v>972</v>
      </c>
      <c r="Q135" s="14" t="s">
        <v>168</v>
      </c>
      <c r="R135" t="s">
        <v>222</v>
      </c>
      <c r="S135">
        <v>1</v>
      </c>
      <c r="T135">
        <v>6480</v>
      </c>
      <c r="U135">
        <v>0</v>
      </c>
      <c r="V135">
        <v>6480</v>
      </c>
    </row>
    <row r="136" spans="1:22" x14ac:dyDescent="0.25">
      <c r="A136">
        <v>79452</v>
      </c>
      <c r="B136">
        <v>130932123</v>
      </c>
      <c r="C136" t="s">
        <v>973</v>
      </c>
      <c r="D136">
        <v>249594546</v>
      </c>
      <c r="E136" t="s">
        <v>430</v>
      </c>
      <c r="F136" t="s">
        <v>431</v>
      </c>
      <c r="G136" t="s">
        <v>149</v>
      </c>
      <c r="H136" t="s">
        <v>150</v>
      </c>
      <c r="I136" t="s">
        <v>88</v>
      </c>
      <c r="J136" t="s">
        <v>151</v>
      </c>
      <c r="K136" t="s">
        <v>2</v>
      </c>
      <c r="L136" t="s">
        <v>974</v>
      </c>
      <c r="M136" t="s">
        <v>386</v>
      </c>
      <c r="N136" t="s">
        <v>433</v>
      </c>
      <c r="O136" t="s">
        <v>53</v>
      </c>
      <c r="P136" t="s">
        <v>975</v>
      </c>
      <c r="Q136" s="14" t="s">
        <v>119</v>
      </c>
      <c r="R136" t="s">
        <v>792</v>
      </c>
      <c r="S136">
        <v>0.91</v>
      </c>
      <c r="T136">
        <v>5749</v>
      </c>
      <c r="U136">
        <v>0</v>
      </c>
      <c r="V136">
        <v>5749</v>
      </c>
    </row>
    <row r="137" spans="1:22" x14ac:dyDescent="0.25">
      <c r="A137">
        <v>79452</v>
      </c>
      <c r="B137">
        <v>130975903</v>
      </c>
      <c r="C137" t="s">
        <v>976</v>
      </c>
      <c r="D137">
        <v>249682334</v>
      </c>
      <c r="E137" t="s">
        <v>430</v>
      </c>
      <c r="F137" t="s">
        <v>431</v>
      </c>
      <c r="G137" t="s">
        <v>149</v>
      </c>
      <c r="H137" t="s">
        <v>150</v>
      </c>
      <c r="I137" t="s">
        <v>88</v>
      </c>
      <c r="J137" t="s">
        <v>151</v>
      </c>
      <c r="K137" t="s">
        <v>2</v>
      </c>
      <c r="L137" t="s">
        <v>977</v>
      </c>
      <c r="M137" t="s">
        <v>978</v>
      </c>
      <c r="N137" t="s">
        <v>433</v>
      </c>
      <c r="O137" t="s">
        <v>53</v>
      </c>
      <c r="P137" t="s">
        <v>979</v>
      </c>
      <c r="Q137" s="14" t="s">
        <v>152</v>
      </c>
      <c r="R137" t="s">
        <v>662</v>
      </c>
      <c r="S137">
        <v>0.56999999999999995</v>
      </c>
      <c r="T137">
        <v>4219</v>
      </c>
      <c r="U137">
        <v>0</v>
      </c>
      <c r="V137">
        <v>4219</v>
      </c>
    </row>
    <row r="138" spans="1:22" x14ac:dyDescent="0.25">
      <c r="A138">
        <v>79452</v>
      </c>
      <c r="B138">
        <v>130906086</v>
      </c>
      <c r="C138" t="s">
        <v>980</v>
      </c>
      <c r="D138">
        <v>249506592</v>
      </c>
      <c r="E138" t="s">
        <v>430</v>
      </c>
      <c r="F138" t="s">
        <v>431</v>
      </c>
      <c r="G138" t="s">
        <v>149</v>
      </c>
      <c r="H138" t="s">
        <v>150</v>
      </c>
      <c r="I138" t="s">
        <v>88</v>
      </c>
      <c r="J138" t="s">
        <v>151</v>
      </c>
      <c r="K138" t="s">
        <v>2</v>
      </c>
      <c r="L138" t="s">
        <v>981</v>
      </c>
      <c r="M138" t="s">
        <v>982</v>
      </c>
      <c r="N138" t="s">
        <v>433</v>
      </c>
      <c r="O138" t="s">
        <v>53</v>
      </c>
      <c r="P138" t="s">
        <v>983</v>
      </c>
      <c r="Q138" s="14" t="s">
        <v>129</v>
      </c>
      <c r="R138" t="s">
        <v>887</v>
      </c>
      <c r="S138">
        <v>0.3</v>
      </c>
      <c r="T138">
        <v>7212</v>
      </c>
      <c r="U138">
        <v>0</v>
      </c>
      <c r="V138">
        <v>7212</v>
      </c>
    </row>
    <row r="139" spans="1:22" x14ac:dyDescent="0.25">
      <c r="A139">
        <v>79452</v>
      </c>
      <c r="B139">
        <v>130932152</v>
      </c>
      <c r="C139" t="s">
        <v>984</v>
      </c>
      <c r="D139">
        <v>249594412</v>
      </c>
      <c r="E139" t="s">
        <v>430</v>
      </c>
      <c r="F139" t="s">
        <v>431</v>
      </c>
      <c r="G139" t="s">
        <v>149</v>
      </c>
      <c r="H139" t="s">
        <v>150</v>
      </c>
      <c r="I139" t="s">
        <v>88</v>
      </c>
      <c r="J139" t="s">
        <v>151</v>
      </c>
      <c r="K139" t="s">
        <v>2</v>
      </c>
      <c r="L139" t="s">
        <v>985</v>
      </c>
      <c r="M139" t="s">
        <v>986</v>
      </c>
      <c r="N139" t="s">
        <v>433</v>
      </c>
      <c r="O139" t="s">
        <v>53</v>
      </c>
      <c r="P139" t="s">
        <v>987</v>
      </c>
      <c r="Q139" s="14" t="s">
        <v>109</v>
      </c>
      <c r="R139" t="s">
        <v>792</v>
      </c>
      <c r="S139">
        <v>0.28999999999999998</v>
      </c>
      <c r="T139">
        <v>4669</v>
      </c>
      <c r="U139">
        <v>0</v>
      </c>
      <c r="V139">
        <v>4669</v>
      </c>
    </row>
    <row r="140" spans="1:22" x14ac:dyDescent="0.25">
      <c r="A140">
        <v>79452</v>
      </c>
      <c r="B140">
        <v>130696705</v>
      </c>
      <c r="C140" t="s">
        <v>988</v>
      </c>
      <c r="D140">
        <v>249064739</v>
      </c>
      <c r="E140" t="s">
        <v>430</v>
      </c>
      <c r="F140" t="s">
        <v>431</v>
      </c>
      <c r="G140" t="s">
        <v>149</v>
      </c>
      <c r="H140" t="s">
        <v>150</v>
      </c>
      <c r="I140" t="s">
        <v>88</v>
      </c>
      <c r="J140" t="s">
        <v>151</v>
      </c>
      <c r="K140" t="s">
        <v>2</v>
      </c>
      <c r="L140" t="s">
        <v>989</v>
      </c>
      <c r="M140" t="s">
        <v>990</v>
      </c>
      <c r="N140" t="s">
        <v>433</v>
      </c>
      <c r="O140" t="s">
        <v>53</v>
      </c>
      <c r="P140" t="s">
        <v>991</v>
      </c>
      <c r="Q140" s="14" t="s">
        <v>129</v>
      </c>
      <c r="R140" t="s">
        <v>992</v>
      </c>
      <c r="S140">
        <v>1</v>
      </c>
      <c r="T140">
        <v>7212</v>
      </c>
      <c r="U140">
        <v>0</v>
      </c>
      <c r="V140">
        <v>7212</v>
      </c>
    </row>
    <row r="141" spans="1:22" x14ac:dyDescent="0.25">
      <c r="A141">
        <v>79452</v>
      </c>
      <c r="B141">
        <v>130975891</v>
      </c>
      <c r="C141" t="s">
        <v>993</v>
      </c>
      <c r="D141">
        <v>249682414</v>
      </c>
      <c r="E141" t="s">
        <v>430</v>
      </c>
      <c r="F141" t="s">
        <v>431</v>
      </c>
      <c r="G141" t="s">
        <v>149</v>
      </c>
      <c r="H141" t="s">
        <v>150</v>
      </c>
      <c r="I141" t="s">
        <v>88</v>
      </c>
      <c r="J141" t="s">
        <v>151</v>
      </c>
      <c r="K141" t="s">
        <v>2</v>
      </c>
      <c r="L141" t="s">
        <v>994</v>
      </c>
      <c r="M141" t="s">
        <v>822</v>
      </c>
      <c r="N141" t="s">
        <v>433</v>
      </c>
      <c r="O141" t="s">
        <v>53</v>
      </c>
      <c r="P141" t="s">
        <v>823</v>
      </c>
      <c r="Q141" s="14" t="s">
        <v>95</v>
      </c>
      <c r="R141" t="s">
        <v>662</v>
      </c>
      <c r="S141">
        <v>1.1499999999999999</v>
      </c>
      <c r="T141">
        <v>6244</v>
      </c>
      <c r="U141">
        <v>0</v>
      </c>
      <c r="V141">
        <v>6244</v>
      </c>
    </row>
    <row r="142" spans="1:22" x14ac:dyDescent="0.25">
      <c r="A142">
        <v>79452</v>
      </c>
      <c r="B142">
        <v>130932128</v>
      </c>
      <c r="C142" t="s">
        <v>995</v>
      </c>
      <c r="D142">
        <v>249594524</v>
      </c>
      <c r="E142" t="s">
        <v>430</v>
      </c>
      <c r="F142" t="s">
        <v>431</v>
      </c>
      <c r="G142" t="s">
        <v>149</v>
      </c>
      <c r="H142" t="s">
        <v>150</v>
      </c>
      <c r="I142" t="s">
        <v>88</v>
      </c>
      <c r="J142" t="s">
        <v>151</v>
      </c>
      <c r="K142" t="s">
        <v>2</v>
      </c>
      <c r="L142" t="s">
        <v>996</v>
      </c>
      <c r="M142" t="s">
        <v>997</v>
      </c>
      <c r="N142" t="s">
        <v>433</v>
      </c>
      <c r="O142" t="s">
        <v>53</v>
      </c>
      <c r="P142" t="s">
        <v>998</v>
      </c>
      <c r="Q142" s="14" t="s">
        <v>109</v>
      </c>
      <c r="R142" t="s">
        <v>792</v>
      </c>
      <c r="S142">
        <v>1</v>
      </c>
      <c r="T142">
        <v>4669</v>
      </c>
      <c r="U142">
        <v>0</v>
      </c>
      <c r="V142">
        <v>4669</v>
      </c>
    </row>
    <row r="143" spans="1:22" x14ac:dyDescent="0.25">
      <c r="A143">
        <v>79452</v>
      </c>
      <c r="B143">
        <v>130949924</v>
      </c>
      <c r="C143" t="s">
        <v>999</v>
      </c>
      <c r="D143">
        <v>249594327</v>
      </c>
      <c r="E143" t="s">
        <v>430</v>
      </c>
      <c r="F143" t="s">
        <v>431</v>
      </c>
      <c r="G143" t="s">
        <v>149</v>
      </c>
      <c r="H143" t="s">
        <v>150</v>
      </c>
      <c r="I143" t="s">
        <v>88</v>
      </c>
      <c r="J143" t="s">
        <v>151</v>
      </c>
      <c r="K143" t="s">
        <v>2</v>
      </c>
      <c r="L143" t="s">
        <v>1000</v>
      </c>
      <c r="M143" t="s">
        <v>1001</v>
      </c>
      <c r="N143" t="s">
        <v>433</v>
      </c>
      <c r="O143" t="s">
        <v>53</v>
      </c>
      <c r="P143" t="s">
        <v>1002</v>
      </c>
      <c r="Q143" s="14" t="s">
        <v>240</v>
      </c>
      <c r="R143" t="s">
        <v>908</v>
      </c>
      <c r="S143">
        <v>0.3</v>
      </c>
      <c r="T143">
        <v>5232</v>
      </c>
      <c r="U143">
        <v>0</v>
      </c>
      <c r="V143">
        <v>5232</v>
      </c>
    </row>
    <row r="144" spans="1:22" x14ac:dyDescent="0.25">
      <c r="A144">
        <v>79452</v>
      </c>
      <c r="B144">
        <v>130906105</v>
      </c>
      <c r="C144" t="s">
        <v>1003</v>
      </c>
      <c r="D144">
        <v>249506546</v>
      </c>
      <c r="E144" t="s">
        <v>430</v>
      </c>
      <c r="F144" t="s">
        <v>431</v>
      </c>
      <c r="G144" t="s">
        <v>149</v>
      </c>
      <c r="H144" t="s">
        <v>150</v>
      </c>
      <c r="I144" t="s">
        <v>88</v>
      </c>
      <c r="J144" t="s">
        <v>151</v>
      </c>
      <c r="K144" t="s">
        <v>2</v>
      </c>
      <c r="L144" t="s">
        <v>1004</v>
      </c>
      <c r="M144" t="s">
        <v>1005</v>
      </c>
      <c r="N144" t="s">
        <v>433</v>
      </c>
      <c r="O144" t="s">
        <v>53</v>
      </c>
      <c r="P144" t="s">
        <v>1006</v>
      </c>
      <c r="Q144" s="14" t="s">
        <v>242</v>
      </c>
      <c r="R144" t="s">
        <v>887</v>
      </c>
      <c r="S144">
        <v>0.42</v>
      </c>
      <c r="T144">
        <v>6132</v>
      </c>
      <c r="U144">
        <v>0</v>
      </c>
      <c r="V144">
        <v>6132</v>
      </c>
    </row>
    <row r="145" spans="1:22" x14ac:dyDescent="0.25">
      <c r="A145">
        <v>79452</v>
      </c>
      <c r="B145">
        <v>130990241</v>
      </c>
      <c r="C145" t="s">
        <v>1007</v>
      </c>
      <c r="D145">
        <v>249682321</v>
      </c>
      <c r="E145" t="s">
        <v>430</v>
      </c>
      <c r="F145" t="s">
        <v>431</v>
      </c>
      <c r="G145" t="s">
        <v>149</v>
      </c>
      <c r="H145" t="s">
        <v>150</v>
      </c>
      <c r="I145" t="s">
        <v>88</v>
      </c>
      <c r="J145" t="s">
        <v>151</v>
      </c>
      <c r="K145" t="s">
        <v>2</v>
      </c>
      <c r="L145" t="s">
        <v>1008</v>
      </c>
      <c r="M145" t="s">
        <v>1009</v>
      </c>
      <c r="N145" t="s">
        <v>433</v>
      </c>
      <c r="O145" t="s">
        <v>53</v>
      </c>
      <c r="P145" t="s">
        <v>1010</v>
      </c>
      <c r="Q145" s="14" t="s">
        <v>313</v>
      </c>
      <c r="R145" t="s">
        <v>394</v>
      </c>
      <c r="S145">
        <v>0.56000000000000005</v>
      </c>
      <c r="T145">
        <v>4534</v>
      </c>
      <c r="U145">
        <v>0</v>
      </c>
      <c r="V145">
        <v>4534</v>
      </c>
    </row>
    <row r="146" spans="1:22" x14ac:dyDescent="0.25">
      <c r="A146">
        <v>79452</v>
      </c>
      <c r="B146">
        <v>130932143</v>
      </c>
      <c r="C146" t="s">
        <v>1011</v>
      </c>
      <c r="D146">
        <v>249594457</v>
      </c>
      <c r="E146" t="s">
        <v>430</v>
      </c>
      <c r="F146" t="s">
        <v>431</v>
      </c>
      <c r="G146" t="s">
        <v>149</v>
      </c>
      <c r="H146" t="s">
        <v>150</v>
      </c>
      <c r="I146" t="s">
        <v>88</v>
      </c>
      <c r="J146" t="s">
        <v>151</v>
      </c>
      <c r="K146" t="s">
        <v>2</v>
      </c>
      <c r="L146" t="s">
        <v>1012</v>
      </c>
      <c r="M146" t="s">
        <v>1013</v>
      </c>
      <c r="N146" t="s">
        <v>433</v>
      </c>
      <c r="O146" t="s">
        <v>53</v>
      </c>
      <c r="P146" t="s">
        <v>1014</v>
      </c>
      <c r="Q146" s="14" t="s">
        <v>113</v>
      </c>
      <c r="R146" t="s">
        <v>792</v>
      </c>
      <c r="S146">
        <v>1</v>
      </c>
      <c r="T146">
        <v>4973</v>
      </c>
      <c r="U146">
        <v>0</v>
      </c>
      <c r="V146">
        <v>4973</v>
      </c>
    </row>
    <row r="147" spans="1:22" x14ac:dyDescent="0.25">
      <c r="A147">
        <v>79452</v>
      </c>
      <c r="B147">
        <v>130747705</v>
      </c>
      <c r="C147" t="s">
        <v>1015</v>
      </c>
      <c r="D147">
        <v>249154755</v>
      </c>
      <c r="E147" t="s">
        <v>430</v>
      </c>
      <c r="F147" t="s">
        <v>431</v>
      </c>
      <c r="G147" t="s">
        <v>149</v>
      </c>
      <c r="H147" t="s">
        <v>150</v>
      </c>
      <c r="I147" t="s">
        <v>88</v>
      </c>
      <c r="J147" t="s">
        <v>151</v>
      </c>
      <c r="K147" t="s">
        <v>2</v>
      </c>
      <c r="L147" t="s">
        <v>1016</v>
      </c>
      <c r="M147" t="s">
        <v>1017</v>
      </c>
      <c r="N147" t="s">
        <v>433</v>
      </c>
      <c r="O147" t="s">
        <v>53</v>
      </c>
      <c r="P147" t="s">
        <v>1018</v>
      </c>
      <c r="Q147" s="14" t="s">
        <v>110</v>
      </c>
      <c r="R147" t="s">
        <v>398</v>
      </c>
      <c r="S147">
        <v>1</v>
      </c>
      <c r="T147">
        <v>6267</v>
      </c>
      <c r="U147">
        <v>0</v>
      </c>
      <c r="V147">
        <v>6267</v>
      </c>
    </row>
    <row r="148" spans="1:22" x14ac:dyDescent="0.25">
      <c r="A148">
        <v>79452</v>
      </c>
      <c r="B148">
        <v>130932144</v>
      </c>
      <c r="C148" t="s">
        <v>1019</v>
      </c>
      <c r="D148">
        <v>249594449</v>
      </c>
      <c r="E148" t="s">
        <v>430</v>
      </c>
      <c r="F148" t="s">
        <v>431</v>
      </c>
      <c r="G148" t="s">
        <v>149</v>
      </c>
      <c r="H148" t="s">
        <v>150</v>
      </c>
      <c r="I148" t="s">
        <v>88</v>
      </c>
      <c r="J148" t="s">
        <v>151</v>
      </c>
      <c r="K148" t="s">
        <v>82</v>
      </c>
      <c r="L148" t="s">
        <v>248</v>
      </c>
      <c r="M148" t="s">
        <v>1020</v>
      </c>
      <c r="N148" t="s">
        <v>433</v>
      </c>
      <c r="O148" t="s">
        <v>53</v>
      </c>
      <c r="P148" t="s">
        <v>1021</v>
      </c>
      <c r="Q148" s="14" t="s">
        <v>137</v>
      </c>
      <c r="R148" t="s">
        <v>792</v>
      </c>
      <c r="S148">
        <v>1</v>
      </c>
      <c r="T148">
        <v>4219</v>
      </c>
      <c r="U148">
        <v>0</v>
      </c>
      <c r="V148">
        <v>4219</v>
      </c>
    </row>
    <row r="149" spans="1:22" x14ac:dyDescent="0.25">
      <c r="A149">
        <v>79452</v>
      </c>
      <c r="B149">
        <v>130949914</v>
      </c>
      <c r="C149" t="s">
        <v>1022</v>
      </c>
      <c r="D149">
        <v>249594363</v>
      </c>
      <c r="E149" t="s">
        <v>430</v>
      </c>
      <c r="F149" t="s">
        <v>431</v>
      </c>
      <c r="G149" t="s">
        <v>149</v>
      </c>
      <c r="H149" t="s">
        <v>150</v>
      </c>
      <c r="I149" t="s">
        <v>88</v>
      </c>
      <c r="J149" t="s">
        <v>151</v>
      </c>
      <c r="K149" t="s">
        <v>2</v>
      </c>
      <c r="L149" t="s">
        <v>1023</v>
      </c>
      <c r="M149" t="s">
        <v>1024</v>
      </c>
      <c r="N149" t="s">
        <v>433</v>
      </c>
      <c r="O149" t="s">
        <v>53</v>
      </c>
      <c r="P149" t="s">
        <v>1025</v>
      </c>
      <c r="Q149" s="14" t="s">
        <v>142</v>
      </c>
      <c r="R149" t="s">
        <v>908</v>
      </c>
      <c r="S149">
        <v>0.24</v>
      </c>
      <c r="T149">
        <v>4219</v>
      </c>
      <c r="U149">
        <v>0</v>
      </c>
      <c r="V149">
        <v>4219</v>
      </c>
    </row>
    <row r="150" spans="1:22" x14ac:dyDescent="0.25">
      <c r="A150">
        <v>79452</v>
      </c>
      <c r="B150">
        <v>130906101</v>
      </c>
      <c r="C150" t="s">
        <v>1026</v>
      </c>
      <c r="D150">
        <v>249506578</v>
      </c>
      <c r="E150" t="s">
        <v>430</v>
      </c>
      <c r="F150" t="s">
        <v>431</v>
      </c>
      <c r="G150" t="s">
        <v>149</v>
      </c>
      <c r="H150" t="s">
        <v>150</v>
      </c>
      <c r="I150" t="s">
        <v>88</v>
      </c>
      <c r="J150" t="s">
        <v>151</v>
      </c>
      <c r="K150" t="s">
        <v>2</v>
      </c>
      <c r="L150" t="s">
        <v>1027</v>
      </c>
      <c r="M150" t="s">
        <v>1028</v>
      </c>
      <c r="N150" t="s">
        <v>433</v>
      </c>
      <c r="O150" t="s">
        <v>53</v>
      </c>
      <c r="P150" t="s">
        <v>1029</v>
      </c>
      <c r="Q150" s="14" t="s">
        <v>161</v>
      </c>
      <c r="R150" t="s">
        <v>887</v>
      </c>
      <c r="S150">
        <v>0.32</v>
      </c>
      <c r="T150">
        <v>6132</v>
      </c>
      <c r="U150">
        <v>0</v>
      </c>
      <c r="V150">
        <v>6132</v>
      </c>
    </row>
    <row r="151" spans="1:22" x14ac:dyDescent="0.25">
      <c r="A151">
        <v>79452</v>
      </c>
      <c r="B151">
        <v>130906084</v>
      </c>
      <c r="C151" t="s">
        <v>1030</v>
      </c>
      <c r="D151">
        <v>249506595</v>
      </c>
      <c r="E151" t="s">
        <v>430</v>
      </c>
      <c r="F151" t="s">
        <v>431</v>
      </c>
      <c r="G151" t="s">
        <v>149</v>
      </c>
      <c r="H151" t="s">
        <v>150</v>
      </c>
      <c r="I151" t="s">
        <v>88</v>
      </c>
      <c r="J151" t="s">
        <v>151</v>
      </c>
      <c r="K151" t="s">
        <v>2</v>
      </c>
      <c r="L151" t="s">
        <v>1031</v>
      </c>
      <c r="M151" t="s">
        <v>1032</v>
      </c>
      <c r="N151" t="s">
        <v>433</v>
      </c>
      <c r="O151" t="s">
        <v>53</v>
      </c>
      <c r="P151" t="s">
        <v>1033</v>
      </c>
      <c r="Q151" s="14" t="s">
        <v>92</v>
      </c>
      <c r="R151" t="s">
        <v>887</v>
      </c>
      <c r="S151">
        <v>0.52</v>
      </c>
      <c r="T151">
        <v>4669</v>
      </c>
      <c r="U151">
        <v>0</v>
      </c>
      <c r="V151">
        <v>4669</v>
      </c>
    </row>
    <row r="152" spans="1:22" x14ac:dyDescent="0.25">
      <c r="A152">
        <v>79452</v>
      </c>
      <c r="B152">
        <v>130906095</v>
      </c>
      <c r="C152" t="s">
        <v>1034</v>
      </c>
      <c r="D152">
        <v>249506599</v>
      </c>
      <c r="E152" t="s">
        <v>430</v>
      </c>
      <c r="F152" t="s">
        <v>431</v>
      </c>
      <c r="G152" t="s">
        <v>149</v>
      </c>
      <c r="H152" t="s">
        <v>150</v>
      </c>
      <c r="I152" t="s">
        <v>88</v>
      </c>
      <c r="J152" t="s">
        <v>151</v>
      </c>
      <c r="K152" t="s">
        <v>2</v>
      </c>
      <c r="L152" t="s">
        <v>1035</v>
      </c>
      <c r="M152" t="s">
        <v>1036</v>
      </c>
      <c r="N152" t="s">
        <v>433</v>
      </c>
      <c r="O152" t="s">
        <v>53</v>
      </c>
      <c r="P152" t="s">
        <v>1037</v>
      </c>
      <c r="Q152" s="14" t="s">
        <v>92</v>
      </c>
      <c r="R152" t="s">
        <v>887</v>
      </c>
      <c r="S152">
        <v>0.33</v>
      </c>
      <c r="T152">
        <v>4669</v>
      </c>
      <c r="U152">
        <v>0</v>
      </c>
      <c r="V152">
        <v>4669</v>
      </c>
    </row>
    <row r="153" spans="1:22" x14ac:dyDescent="0.25">
      <c r="A153">
        <v>79452</v>
      </c>
      <c r="B153">
        <v>130906075</v>
      </c>
      <c r="C153" t="s">
        <v>1038</v>
      </c>
      <c r="D153">
        <v>249506625</v>
      </c>
      <c r="E153" t="s">
        <v>430</v>
      </c>
      <c r="F153" t="s">
        <v>431</v>
      </c>
      <c r="G153" t="s">
        <v>149</v>
      </c>
      <c r="H153" t="s">
        <v>150</v>
      </c>
      <c r="I153" t="s">
        <v>88</v>
      </c>
      <c r="J153" t="s">
        <v>151</v>
      </c>
      <c r="K153" t="s">
        <v>2</v>
      </c>
      <c r="L153" t="s">
        <v>1039</v>
      </c>
      <c r="M153" t="s">
        <v>1040</v>
      </c>
      <c r="N153" t="s">
        <v>433</v>
      </c>
      <c r="O153" t="s">
        <v>53</v>
      </c>
      <c r="P153" t="s">
        <v>1041</v>
      </c>
      <c r="Q153" s="14" t="s">
        <v>93</v>
      </c>
      <c r="R153" t="s">
        <v>887</v>
      </c>
      <c r="S153">
        <v>0.8</v>
      </c>
      <c r="T153">
        <v>4737</v>
      </c>
      <c r="U153">
        <v>0</v>
      </c>
      <c r="V153">
        <v>4737</v>
      </c>
    </row>
    <row r="154" spans="1:22" x14ac:dyDescent="0.25">
      <c r="A154">
        <v>79452</v>
      </c>
      <c r="B154">
        <v>130580447</v>
      </c>
      <c r="C154" t="s">
        <v>1042</v>
      </c>
      <c r="D154">
        <v>248770027</v>
      </c>
      <c r="E154" t="s">
        <v>430</v>
      </c>
      <c r="F154" t="s">
        <v>431</v>
      </c>
      <c r="G154" t="s">
        <v>149</v>
      </c>
      <c r="H154" t="s">
        <v>150</v>
      </c>
      <c r="I154" t="s">
        <v>88</v>
      </c>
      <c r="J154" t="s">
        <v>151</v>
      </c>
      <c r="K154" t="s">
        <v>2</v>
      </c>
      <c r="L154" t="s">
        <v>1043</v>
      </c>
      <c r="M154" t="s">
        <v>1044</v>
      </c>
      <c r="N154" t="s">
        <v>433</v>
      </c>
      <c r="O154" t="s">
        <v>53</v>
      </c>
      <c r="P154" t="s">
        <v>1045</v>
      </c>
      <c r="Q154" s="14" t="s">
        <v>168</v>
      </c>
      <c r="R154" t="s">
        <v>1046</v>
      </c>
      <c r="S154">
        <v>1</v>
      </c>
      <c r="T154">
        <v>6480</v>
      </c>
      <c r="U154">
        <v>0</v>
      </c>
      <c r="V154">
        <v>6480</v>
      </c>
    </row>
    <row r="155" spans="1:22" x14ac:dyDescent="0.25">
      <c r="A155">
        <v>79452</v>
      </c>
      <c r="B155">
        <v>130906080</v>
      </c>
      <c r="C155" t="s">
        <v>1047</v>
      </c>
      <c r="D155">
        <v>249506621</v>
      </c>
      <c r="E155" t="s">
        <v>430</v>
      </c>
      <c r="F155" t="s">
        <v>431</v>
      </c>
      <c r="G155" t="s">
        <v>149</v>
      </c>
      <c r="H155" t="s">
        <v>150</v>
      </c>
      <c r="I155" t="s">
        <v>88</v>
      </c>
      <c r="J155" t="s">
        <v>151</v>
      </c>
      <c r="K155" t="s">
        <v>2</v>
      </c>
      <c r="L155" t="s">
        <v>1048</v>
      </c>
      <c r="M155" t="s">
        <v>1049</v>
      </c>
      <c r="N155" t="s">
        <v>433</v>
      </c>
      <c r="O155" t="s">
        <v>53</v>
      </c>
      <c r="P155" t="s">
        <v>1050</v>
      </c>
      <c r="Q155" s="14" t="s">
        <v>196</v>
      </c>
      <c r="R155" t="s">
        <v>887</v>
      </c>
      <c r="S155">
        <v>0.46</v>
      </c>
      <c r="T155">
        <v>4219</v>
      </c>
      <c r="U155">
        <v>0</v>
      </c>
      <c r="V155">
        <v>4219</v>
      </c>
    </row>
    <row r="156" spans="1:22" x14ac:dyDescent="0.25">
      <c r="A156">
        <v>79452</v>
      </c>
      <c r="B156">
        <v>130906087</v>
      </c>
      <c r="C156" t="s">
        <v>1051</v>
      </c>
      <c r="D156">
        <v>249506590</v>
      </c>
      <c r="E156" t="s">
        <v>430</v>
      </c>
      <c r="F156" t="s">
        <v>431</v>
      </c>
      <c r="G156" t="s">
        <v>149</v>
      </c>
      <c r="H156" t="s">
        <v>150</v>
      </c>
      <c r="I156" t="s">
        <v>88</v>
      </c>
      <c r="J156" t="s">
        <v>151</v>
      </c>
      <c r="K156" t="s">
        <v>2</v>
      </c>
      <c r="L156" t="s">
        <v>1052</v>
      </c>
      <c r="M156" t="s">
        <v>258</v>
      </c>
      <c r="N156" t="s">
        <v>433</v>
      </c>
      <c r="O156" t="s">
        <v>53</v>
      </c>
      <c r="P156" t="s">
        <v>1053</v>
      </c>
      <c r="Q156" s="14" t="s">
        <v>228</v>
      </c>
      <c r="R156" t="s">
        <v>887</v>
      </c>
      <c r="S156">
        <v>1.47</v>
      </c>
      <c r="T156">
        <v>4467</v>
      </c>
      <c r="U156">
        <v>0</v>
      </c>
      <c r="V156">
        <v>4467</v>
      </c>
    </row>
    <row r="157" spans="1:22" x14ac:dyDescent="0.25">
      <c r="A157">
        <v>79452</v>
      </c>
      <c r="B157">
        <v>130906088</v>
      </c>
      <c r="C157" t="s">
        <v>1054</v>
      </c>
      <c r="D157">
        <v>249506603</v>
      </c>
      <c r="E157" t="s">
        <v>430</v>
      </c>
      <c r="F157" t="s">
        <v>431</v>
      </c>
      <c r="G157" t="s">
        <v>149</v>
      </c>
      <c r="H157" t="s">
        <v>150</v>
      </c>
      <c r="I157" t="s">
        <v>88</v>
      </c>
      <c r="J157" t="s">
        <v>151</v>
      </c>
      <c r="K157" t="s">
        <v>2</v>
      </c>
      <c r="L157" t="s">
        <v>1055</v>
      </c>
      <c r="M157" t="s">
        <v>1056</v>
      </c>
      <c r="N157" t="s">
        <v>433</v>
      </c>
      <c r="O157" t="s">
        <v>53</v>
      </c>
      <c r="P157" t="s">
        <v>1057</v>
      </c>
      <c r="Q157" s="14" t="s">
        <v>169</v>
      </c>
      <c r="R157" t="s">
        <v>887</v>
      </c>
      <c r="S157">
        <v>0.9</v>
      </c>
      <c r="T157">
        <v>4853</v>
      </c>
      <c r="U157">
        <v>0</v>
      </c>
      <c r="V157">
        <v>4853</v>
      </c>
    </row>
    <row r="158" spans="1:22" x14ac:dyDescent="0.25">
      <c r="A158">
        <v>79452</v>
      </c>
      <c r="B158">
        <v>130868133</v>
      </c>
      <c r="C158" t="s">
        <v>1058</v>
      </c>
      <c r="D158">
        <v>249438580</v>
      </c>
      <c r="E158" t="s">
        <v>430</v>
      </c>
      <c r="F158" t="s">
        <v>431</v>
      </c>
      <c r="G158" t="s">
        <v>149</v>
      </c>
      <c r="H158" t="s">
        <v>150</v>
      </c>
      <c r="I158" t="s">
        <v>88</v>
      </c>
      <c r="J158" t="s">
        <v>151</v>
      </c>
      <c r="K158" t="s">
        <v>2</v>
      </c>
      <c r="L158" t="s">
        <v>1059</v>
      </c>
      <c r="M158" t="s">
        <v>1060</v>
      </c>
      <c r="N158" t="s">
        <v>433</v>
      </c>
      <c r="O158" t="s">
        <v>53</v>
      </c>
      <c r="P158" t="s">
        <v>1061</v>
      </c>
      <c r="Q158" s="14" t="s">
        <v>125</v>
      </c>
      <c r="R158" t="s">
        <v>1062</v>
      </c>
      <c r="S158">
        <v>1</v>
      </c>
      <c r="T158">
        <v>4219</v>
      </c>
      <c r="U158">
        <v>0</v>
      </c>
      <c r="V158">
        <v>4219</v>
      </c>
    </row>
    <row r="159" spans="1:22" x14ac:dyDescent="0.25">
      <c r="A159">
        <v>79452</v>
      </c>
      <c r="B159">
        <v>130827291</v>
      </c>
      <c r="C159" t="s">
        <v>1063</v>
      </c>
      <c r="D159">
        <v>249355647</v>
      </c>
      <c r="E159" t="s">
        <v>430</v>
      </c>
      <c r="F159" t="s">
        <v>431</v>
      </c>
      <c r="G159" t="s">
        <v>149</v>
      </c>
      <c r="H159" t="s">
        <v>150</v>
      </c>
      <c r="I159" t="s">
        <v>88</v>
      </c>
      <c r="J159" t="s">
        <v>151</v>
      </c>
      <c r="K159" t="s">
        <v>2</v>
      </c>
      <c r="L159" t="s">
        <v>1064</v>
      </c>
      <c r="M159" t="s">
        <v>1065</v>
      </c>
      <c r="N159" t="s">
        <v>433</v>
      </c>
      <c r="O159" t="s">
        <v>53</v>
      </c>
      <c r="P159" t="s">
        <v>1066</v>
      </c>
      <c r="Q159" s="14" t="s">
        <v>97</v>
      </c>
      <c r="R159" t="s">
        <v>357</v>
      </c>
      <c r="S159">
        <v>0.77</v>
      </c>
      <c r="T159">
        <v>8415</v>
      </c>
      <c r="U159">
        <v>0</v>
      </c>
      <c r="V159">
        <v>8415</v>
      </c>
    </row>
    <row r="160" spans="1:22" x14ac:dyDescent="0.25">
      <c r="A160">
        <v>79452</v>
      </c>
      <c r="B160">
        <v>130868134</v>
      </c>
      <c r="C160" t="s">
        <v>1067</v>
      </c>
      <c r="D160">
        <v>249438552</v>
      </c>
      <c r="E160" t="s">
        <v>430</v>
      </c>
      <c r="F160" t="s">
        <v>431</v>
      </c>
      <c r="G160" t="s">
        <v>149</v>
      </c>
      <c r="H160" t="s">
        <v>150</v>
      </c>
      <c r="I160" t="s">
        <v>88</v>
      </c>
      <c r="J160" t="s">
        <v>151</v>
      </c>
      <c r="K160" t="s">
        <v>2</v>
      </c>
      <c r="L160" t="s">
        <v>1068</v>
      </c>
      <c r="M160" t="s">
        <v>1069</v>
      </c>
      <c r="N160" t="s">
        <v>433</v>
      </c>
      <c r="O160" t="s">
        <v>53</v>
      </c>
      <c r="P160" t="s">
        <v>1070</v>
      </c>
      <c r="Q160" s="14" t="s">
        <v>310</v>
      </c>
      <c r="R160" t="s">
        <v>1062</v>
      </c>
      <c r="S160">
        <v>0.26</v>
      </c>
      <c r="T160">
        <v>6899</v>
      </c>
      <c r="U160">
        <v>0</v>
      </c>
      <c r="V160">
        <v>6899</v>
      </c>
    </row>
    <row r="161" spans="1:22" x14ac:dyDescent="0.25">
      <c r="A161">
        <v>79452</v>
      </c>
      <c r="B161">
        <v>130868132</v>
      </c>
      <c r="C161" t="s">
        <v>1071</v>
      </c>
      <c r="D161">
        <v>249438566</v>
      </c>
      <c r="E161" t="s">
        <v>430</v>
      </c>
      <c r="F161" t="s">
        <v>431</v>
      </c>
      <c r="G161" t="s">
        <v>149</v>
      </c>
      <c r="H161" t="s">
        <v>150</v>
      </c>
      <c r="I161" t="s">
        <v>88</v>
      </c>
      <c r="J161" t="s">
        <v>151</v>
      </c>
      <c r="K161" t="s">
        <v>2</v>
      </c>
      <c r="L161" t="s">
        <v>1072</v>
      </c>
      <c r="M161" t="s">
        <v>1073</v>
      </c>
      <c r="N161" t="s">
        <v>433</v>
      </c>
      <c r="O161" t="s">
        <v>53</v>
      </c>
      <c r="P161" t="s">
        <v>1074</v>
      </c>
      <c r="Q161" s="14" t="s">
        <v>167</v>
      </c>
      <c r="R161" t="s">
        <v>1062</v>
      </c>
      <c r="S161">
        <v>1</v>
      </c>
      <c r="T161">
        <v>7212</v>
      </c>
      <c r="U161">
        <v>0</v>
      </c>
      <c r="V161">
        <v>7212</v>
      </c>
    </row>
    <row r="162" spans="1:22" x14ac:dyDescent="0.25">
      <c r="A162">
        <v>79452</v>
      </c>
      <c r="B162">
        <v>130614746</v>
      </c>
      <c r="C162" t="s">
        <v>1075</v>
      </c>
      <c r="D162">
        <v>248848727</v>
      </c>
      <c r="E162" t="s">
        <v>430</v>
      </c>
      <c r="F162" t="s">
        <v>431</v>
      </c>
      <c r="G162" t="s">
        <v>149</v>
      </c>
      <c r="H162" t="s">
        <v>150</v>
      </c>
      <c r="I162" t="s">
        <v>88</v>
      </c>
      <c r="J162" t="s">
        <v>151</v>
      </c>
      <c r="K162" t="s">
        <v>2</v>
      </c>
      <c r="L162" t="s">
        <v>1076</v>
      </c>
      <c r="M162" t="s">
        <v>1077</v>
      </c>
      <c r="N162" t="s">
        <v>433</v>
      </c>
      <c r="O162" t="s">
        <v>53</v>
      </c>
      <c r="P162" t="s">
        <v>1078</v>
      </c>
      <c r="Q162" s="14" t="s">
        <v>168</v>
      </c>
      <c r="R162" t="s">
        <v>1079</v>
      </c>
      <c r="S162">
        <v>0.3</v>
      </c>
      <c r="T162">
        <v>6480</v>
      </c>
      <c r="U162">
        <v>0</v>
      </c>
      <c r="V162">
        <v>6480</v>
      </c>
    </row>
    <row r="163" spans="1:22" x14ac:dyDescent="0.25">
      <c r="A163">
        <v>79452</v>
      </c>
      <c r="B163">
        <v>130827325</v>
      </c>
      <c r="C163" t="s">
        <v>1080</v>
      </c>
      <c r="D163">
        <v>249355473</v>
      </c>
      <c r="E163" t="s">
        <v>430</v>
      </c>
      <c r="F163" t="s">
        <v>431</v>
      </c>
      <c r="G163" t="s">
        <v>149</v>
      </c>
      <c r="H163" t="s">
        <v>150</v>
      </c>
      <c r="I163" t="s">
        <v>88</v>
      </c>
      <c r="J163" t="s">
        <v>151</v>
      </c>
      <c r="K163" t="s">
        <v>2</v>
      </c>
      <c r="L163" t="s">
        <v>1081</v>
      </c>
      <c r="M163" t="s">
        <v>1082</v>
      </c>
      <c r="N163" t="s">
        <v>433</v>
      </c>
      <c r="O163" t="s">
        <v>53</v>
      </c>
      <c r="P163" t="s">
        <v>1083</v>
      </c>
      <c r="Q163" s="14" t="s">
        <v>129</v>
      </c>
      <c r="R163" t="s">
        <v>357</v>
      </c>
      <c r="S163">
        <v>0.56999999999999995</v>
      </c>
      <c r="T163">
        <v>7212</v>
      </c>
      <c r="U163">
        <v>0</v>
      </c>
      <c r="V163">
        <v>7212</v>
      </c>
    </row>
    <row r="164" spans="1:22" x14ac:dyDescent="0.25">
      <c r="A164">
        <v>79452</v>
      </c>
      <c r="B164">
        <v>130868136</v>
      </c>
      <c r="C164" t="s">
        <v>1084</v>
      </c>
      <c r="D164">
        <v>249438535</v>
      </c>
      <c r="E164" t="s">
        <v>430</v>
      </c>
      <c r="F164" t="s">
        <v>431</v>
      </c>
      <c r="G164" t="s">
        <v>149</v>
      </c>
      <c r="H164" t="s">
        <v>150</v>
      </c>
      <c r="I164" t="s">
        <v>88</v>
      </c>
      <c r="J164" t="s">
        <v>151</v>
      </c>
      <c r="K164" t="s">
        <v>2</v>
      </c>
      <c r="L164" t="s">
        <v>1085</v>
      </c>
      <c r="M164" t="s">
        <v>1086</v>
      </c>
      <c r="N164" t="s">
        <v>433</v>
      </c>
      <c r="O164" t="s">
        <v>53</v>
      </c>
      <c r="P164" t="s">
        <v>1087</v>
      </c>
      <c r="Q164" s="14" t="s">
        <v>113</v>
      </c>
      <c r="R164" t="s">
        <v>1062</v>
      </c>
      <c r="S164">
        <v>1</v>
      </c>
      <c r="T164">
        <v>4973</v>
      </c>
      <c r="U164">
        <v>0</v>
      </c>
      <c r="V164">
        <v>4973</v>
      </c>
    </row>
    <row r="165" spans="1:22" x14ac:dyDescent="0.25">
      <c r="A165">
        <v>79452</v>
      </c>
      <c r="B165">
        <v>130827294</v>
      </c>
      <c r="C165" t="s">
        <v>1088</v>
      </c>
      <c r="D165">
        <v>249355611</v>
      </c>
      <c r="E165" t="s">
        <v>430</v>
      </c>
      <c r="F165" t="s">
        <v>431</v>
      </c>
      <c r="G165" t="s">
        <v>149</v>
      </c>
      <c r="H165" t="s">
        <v>150</v>
      </c>
      <c r="I165" t="s">
        <v>88</v>
      </c>
      <c r="J165" t="s">
        <v>151</v>
      </c>
      <c r="K165" t="s">
        <v>2</v>
      </c>
      <c r="L165" t="s">
        <v>1089</v>
      </c>
      <c r="M165" t="s">
        <v>1090</v>
      </c>
      <c r="N165" t="s">
        <v>433</v>
      </c>
      <c r="O165" t="s">
        <v>53</v>
      </c>
      <c r="P165" t="s">
        <v>1091</v>
      </c>
      <c r="Q165" s="14" t="s">
        <v>109</v>
      </c>
      <c r="R165" t="s">
        <v>357</v>
      </c>
      <c r="S165">
        <v>0.53</v>
      </c>
      <c r="T165">
        <v>4669</v>
      </c>
      <c r="U165">
        <v>0</v>
      </c>
      <c r="V165">
        <v>4669</v>
      </c>
    </row>
    <row r="166" spans="1:22" x14ac:dyDescent="0.25">
      <c r="A166">
        <v>79452</v>
      </c>
      <c r="B166">
        <v>130868140</v>
      </c>
      <c r="C166" t="s">
        <v>1092</v>
      </c>
      <c r="D166">
        <v>249438512</v>
      </c>
      <c r="E166" t="s">
        <v>430</v>
      </c>
      <c r="F166" t="s">
        <v>431</v>
      </c>
      <c r="G166" t="s">
        <v>149</v>
      </c>
      <c r="H166" t="s">
        <v>150</v>
      </c>
      <c r="I166" t="s">
        <v>88</v>
      </c>
      <c r="J166" t="s">
        <v>151</v>
      </c>
      <c r="K166" t="s">
        <v>2</v>
      </c>
      <c r="L166" t="s">
        <v>1093</v>
      </c>
      <c r="M166" t="s">
        <v>1094</v>
      </c>
      <c r="N166" t="s">
        <v>433</v>
      </c>
      <c r="O166" t="s">
        <v>53</v>
      </c>
      <c r="P166" t="s">
        <v>1095</v>
      </c>
      <c r="Q166" s="14" t="s">
        <v>144</v>
      </c>
      <c r="R166" t="s">
        <v>1062</v>
      </c>
      <c r="S166">
        <v>1</v>
      </c>
      <c r="T166">
        <v>4219</v>
      </c>
      <c r="U166">
        <v>0</v>
      </c>
      <c r="V166">
        <v>4219</v>
      </c>
    </row>
    <row r="167" spans="1:22" x14ac:dyDescent="0.25">
      <c r="A167">
        <v>79452</v>
      </c>
      <c r="B167">
        <v>130848406</v>
      </c>
      <c r="C167" t="s">
        <v>1096</v>
      </c>
      <c r="D167">
        <v>249355425</v>
      </c>
      <c r="E167" t="s">
        <v>430</v>
      </c>
      <c r="F167" t="s">
        <v>431</v>
      </c>
      <c r="G167" t="s">
        <v>149</v>
      </c>
      <c r="H167" t="s">
        <v>150</v>
      </c>
      <c r="I167" t="s">
        <v>88</v>
      </c>
      <c r="J167" t="s">
        <v>151</v>
      </c>
      <c r="K167" t="s">
        <v>2</v>
      </c>
      <c r="L167" t="s">
        <v>1097</v>
      </c>
      <c r="M167" t="s">
        <v>1098</v>
      </c>
      <c r="N167" t="s">
        <v>433</v>
      </c>
      <c r="O167" t="s">
        <v>53</v>
      </c>
      <c r="P167" t="s">
        <v>1099</v>
      </c>
      <c r="Q167" s="14" t="s">
        <v>167</v>
      </c>
      <c r="R167" t="s">
        <v>1100</v>
      </c>
      <c r="S167">
        <v>0.31</v>
      </c>
      <c r="T167">
        <v>7212</v>
      </c>
      <c r="U167">
        <v>0</v>
      </c>
      <c r="V167">
        <v>7212</v>
      </c>
    </row>
    <row r="168" spans="1:22" x14ac:dyDescent="0.25">
      <c r="A168">
        <v>79452</v>
      </c>
      <c r="B168">
        <v>130830935</v>
      </c>
      <c r="C168" t="s">
        <v>1101</v>
      </c>
      <c r="D168">
        <v>249355436</v>
      </c>
      <c r="E168" t="s">
        <v>430</v>
      </c>
      <c r="F168" t="s">
        <v>431</v>
      </c>
      <c r="G168" t="s">
        <v>149</v>
      </c>
      <c r="H168" t="s">
        <v>150</v>
      </c>
      <c r="I168" t="s">
        <v>88</v>
      </c>
      <c r="J168" t="s">
        <v>151</v>
      </c>
      <c r="K168" t="s">
        <v>2</v>
      </c>
      <c r="L168" t="s">
        <v>876</v>
      </c>
      <c r="M168" t="s">
        <v>877</v>
      </c>
      <c r="N168" t="s">
        <v>433</v>
      </c>
      <c r="O168" t="s">
        <v>53</v>
      </c>
      <c r="P168" t="s">
        <v>878</v>
      </c>
      <c r="Q168" s="14" t="s">
        <v>129</v>
      </c>
      <c r="R168" t="s">
        <v>1102</v>
      </c>
      <c r="S168">
        <v>0.24</v>
      </c>
      <c r="T168">
        <v>7212</v>
      </c>
      <c r="U168">
        <v>0</v>
      </c>
      <c r="V168">
        <v>7212</v>
      </c>
    </row>
    <row r="169" spans="1:22" x14ac:dyDescent="0.25">
      <c r="A169">
        <v>79452</v>
      </c>
      <c r="B169">
        <v>130848416</v>
      </c>
      <c r="C169" t="s">
        <v>1103</v>
      </c>
      <c r="D169">
        <v>249355369</v>
      </c>
      <c r="E169" t="s">
        <v>430</v>
      </c>
      <c r="F169" t="s">
        <v>431</v>
      </c>
      <c r="G169" t="s">
        <v>149</v>
      </c>
      <c r="H169" t="s">
        <v>150</v>
      </c>
      <c r="I169" t="s">
        <v>88</v>
      </c>
      <c r="J169" t="s">
        <v>151</v>
      </c>
      <c r="K169" t="s">
        <v>2</v>
      </c>
      <c r="L169" t="s">
        <v>1104</v>
      </c>
      <c r="M169" t="s">
        <v>1105</v>
      </c>
      <c r="N169" t="s">
        <v>433</v>
      </c>
      <c r="O169" t="s">
        <v>53</v>
      </c>
      <c r="P169" t="s">
        <v>1106</v>
      </c>
      <c r="Q169" s="14" t="s">
        <v>129</v>
      </c>
      <c r="R169" t="s">
        <v>1100</v>
      </c>
      <c r="S169">
        <v>0.88</v>
      </c>
      <c r="T169">
        <v>7212</v>
      </c>
      <c r="U169">
        <v>0</v>
      </c>
      <c r="V169">
        <v>7212</v>
      </c>
    </row>
    <row r="170" spans="1:22" x14ac:dyDescent="0.25">
      <c r="A170">
        <v>79452</v>
      </c>
      <c r="B170">
        <v>130868138</v>
      </c>
      <c r="C170" t="s">
        <v>1107</v>
      </c>
      <c r="D170">
        <v>249438529</v>
      </c>
      <c r="E170" t="s">
        <v>430</v>
      </c>
      <c r="F170" t="s">
        <v>431</v>
      </c>
      <c r="G170" t="s">
        <v>149</v>
      </c>
      <c r="H170" t="s">
        <v>150</v>
      </c>
      <c r="I170" t="s">
        <v>88</v>
      </c>
      <c r="J170" t="s">
        <v>151</v>
      </c>
      <c r="K170" t="s">
        <v>2</v>
      </c>
      <c r="L170" t="s">
        <v>1108</v>
      </c>
      <c r="M170" t="s">
        <v>1109</v>
      </c>
      <c r="N170" t="s">
        <v>433</v>
      </c>
      <c r="O170" t="s">
        <v>53</v>
      </c>
      <c r="P170" t="s">
        <v>1110</v>
      </c>
      <c r="Q170" s="14" t="s">
        <v>92</v>
      </c>
      <c r="R170" t="s">
        <v>1062</v>
      </c>
      <c r="S170">
        <v>1</v>
      </c>
      <c r="T170">
        <v>4669</v>
      </c>
      <c r="U170">
        <v>0</v>
      </c>
      <c r="V170">
        <v>4669</v>
      </c>
    </row>
    <row r="171" spans="1:22" x14ac:dyDescent="0.25">
      <c r="A171">
        <v>79452</v>
      </c>
      <c r="B171">
        <v>130830937</v>
      </c>
      <c r="C171" t="s">
        <v>1111</v>
      </c>
      <c r="D171">
        <v>249355431</v>
      </c>
      <c r="E171" t="s">
        <v>430</v>
      </c>
      <c r="F171" t="s">
        <v>431</v>
      </c>
      <c r="G171" t="s">
        <v>149</v>
      </c>
      <c r="H171" t="s">
        <v>150</v>
      </c>
      <c r="I171" t="s">
        <v>88</v>
      </c>
      <c r="J171" t="s">
        <v>151</v>
      </c>
      <c r="K171" t="s">
        <v>2</v>
      </c>
      <c r="L171" t="s">
        <v>1112</v>
      </c>
      <c r="M171" t="s">
        <v>1113</v>
      </c>
      <c r="N171" t="s">
        <v>433</v>
      </c>
      <c r="O171" t="s">
        <v>53</v>
      </c>
      <c r="P171" t="s">
        <v>1114</v>
      </c>
      <c r="Q171" s="14" t="s">
        <v>122</v>
      </c>
      <c r="R171" t="s">
        <v>1102</v>
      </c>
      <c r="S171">
        <v>0.59</v>
      </c>
      <c r="T171">
        <v>4973</v>
      </c>
      <c r="U171">
        <v>0</v>
      </c>
      <c r="V171">
        <v>4973</v>
      </c>
    </row>
    <row r="172" spans="1:22" x14ac:dyDescent="0.25">
      <c r="A172">
        <v>79452</v>
      </c>
      <c r="B172">
        <v>130827299</v>
      </c>
      <c r="C172" t="s">
        <v>1115</v>
      </c>
      <c r="D172">
        <v>249355599</v>
      </c>
      <c r="E172" t="s">
        <v>430</v>
      </c>
      <c r="F172" t="s">
        <v>431</v>
      </c>
      <c r="G172" t="s">
        <v>149</v>
      </c>
      <c r="H172" t="s">
        <v>150</v>
      </c>
      <c r="I172" t="s">
        <v>88</v>
      </c>
      <c r="J172" t="s">
        <v>151</v>
      </c>
      <c r="K172" t="s">
        <v>2</v>
      </c>
      <c r="L172" t="s">
        <v>1116</v>
      </c>
      <c r="M172" t="s">
        <v>1117</v>
      </c>
      <c r="N172" t="s">
        <v>433</v>
      </c>
      <c r="O172" t="s">
        <v>53</v>
      </c>
      <c r="P172" t="s">
        <v>1118</v>
      </c>
      <c r="Q172" s="14" t="s">
        <v>38</v>
      </c>
      <c r="R172" t="s">
        <v>357</v>
      </c>
      <c r="S172">
        <v>1</v>
      </c>
      <c r="T172">
        <v>4669</v>
      </c>
      <c r="U172">
        <v>0</v>
      </c>
      <c r="V172">
        <v>4669</v>
      </c>
    </row>
    <row r="173" spans="1:22" x14ac:dyDescent="0.25">
      <c r="A173">
        <v>79452</v>
      </c>
      <c r="B173">
        <v>130848409</v>
      </c>
      <c r="C173" t="s">
        <v>1119</v>
      </c>
      <c r="D173">
        <v>249355419</v>
      </c>
      <c r="E173" t="s">
        <v>430</v>
      </c>
      <c r="F173" t="s">
        <v>431</v>
      </c>
      <c r="G173" t="s">
        <v>149</v>
      </c>
      <c r="H173" t="s">
        <v>150</v>
      </c>
      <c r="I173" t="s">
        <v>88</v>
      </c>
      <c r="J173" t="s">
        <v>151</v>
      </c>
      <c r="K173" t="s">
        <v>2</v>
      </c>
      <c r="L173" t="s">
        <v>1120</v>
      </c>
      <c r="M173" t="s">
        <v>1121</v>
      </c>
      <c r="N173" t="s">
        <v>433</v>
      </c>
      <c r="O173" t="s">
        <v>53</v>
      </c>
      <c r="P173" t="s">
        <v>1122</v>
      </c>
      <c r="Q173" s="14" t="s">
        <v>109</v>
      </c>
      <c r="R173" t="s">
        <v>1100</v>
      </c>
      <c r="S173">
        <v>0.49</v>
      </c>
      <c r="T173">
        <v>4669</v>
      </c>
      <c r="U173">
        <v>0</v>
      </c>
      <c r="V173">
        <v>4669</v>
      </c>
    </row>
    <row r="174" spans="1:22" x14ac:dyDescent="0.25">
      <c r="A174">
        <v>79452</v>
      </c>
      <c r="B174">
        <v>130827323</v>
      </c>
      <c r="C174" t="s">
        <v>1123</v>
      </c>
      <c r="D174">
        <v>249355502</v>
      </c>
      <c r="E174" t="s">
        <v>430</v>
      </c>
      <c r="F174" t="s">
        <v>431</v>
      </c>
      <c r="G174" t="s">
        <v>149</v>
      </c>
      <c r="H174" t="s">
        <v>150</v>
      </c>
      <c r="I174" t="s">
        <v>88</v>
      </c>
      <c r="J174" t="s">
        <v>151</v>
      </c>
      <c r="K174" t="s">
        <v>2</v>
      </c>
      <c r="L174" t="s">
        <v>1124</v>
      </c>
      <c r="M174" t="s">
        <v>1125</v>
      </c>
      <c r="N174" t="s">
        <v>433</v>
      </c>
      <c r="O174" t="s">
        <v>53</v>
      </c>
      <c r="P174" t="s">
        <v>1126</v>
      </c>
      <c r="Q174" s="14" t="s">
        <v>107</v>
      </c>
      <c r="R174" t="s">
        <v>357</v>
      </c>
      <c r="S174">
        <v>0.35</v>
      </c>
      <c r="T174">
        <v>6132</v>
      </c>
      <c r="U174">
        <v>0</v>
      </c>
      <c r="V174">
        <v>6132</v>
      </c>
    </row>
    <row r="175" spans="1:22" x14ac:dyDescent="0.25">
      <c r="A175">
        <v>79452</v>
      </c>
      <c r="B175">
        <v>130827293</v>
      </c>
      <c r="C175" t="s">
        <v>1127</v>
      </c>
      <c r="D175">
        <v>249355638</v>
      </c>
      <c r="E175" t="s">
        <v>430</v>
      </c>
      <c r="F175" t="s">
        <v>431</v>
      </c>
      <c r="G175" t="s">
        <v>149</v>
      </c>
      <c r="H175" t="s">
        <v>150</v>
      </c>
      <c r="I175" t="s">
        <v>88</v>
      </c>
      <c r="J175" t="s">
        <v>151</v>
      </c>
      <c r="K175" t="s">
        <v>2</v>
      </c>
      <c r="L175" t="s">
        <v>1128</v>
      </c>
      <c r="M175" t="s">
        <v>1129</v>
      </c>
      <c r="N175" t="s">
        <v>433</v>
      </c>
      <c r="O175" t="s">
        <v>53</v>
      </c>
      <c r="P175" t="s">
        <v>1130</v>
      </c>
      <c r="Q175" s="14" t="s">
        <v>120</v>
      </c>
      <c r="R175" t="s">
        <v>357</v>
      </c>
      <c r="S175">
        <v>0.24</v>
      </c>
      <c r="T175">
        <v>5153</v>
      </c>
      <c r="U175">
        <v>0</v>
      </c>
      <c r="V175">
        <v>5153</v>
      </c>
    </row>
    <row r="176" spans="1:22" x14ac:dyDescent="0.25">
      <c r="A176">
        <v>79452</v>
      </c>
      <c r="B176">
        <v>130827318</v>
      </c>
      <c r="C176" t="s">
        <v>1131</v>
      </c>
      <c r="D176">
        <v>249355549</v>
      </c>
      <c r="E176" t="s">
        <v>430</v>
      </c>
      <c r="F176" t="s">
        <v>431</v>
      </c>
      <c r="G176" t="s">
        <v>149</v>
      </c>
      <c r="H176" t="s">
        <v>150</v>
      </c>
      <c r="I176" t="s">
        <v>88</v>
      </c>
      <c r="J176" t="s">
        <v>151</v>
      </c>
      <c r="K176" t="s">
        <v>2</v>
      </c>
      <c r="L176" t="s">
        <v>1132</v>
      </c>
      <c r="M176" t="s">
        <v>1133</v>
      </c>
      <c r="N176" t="s">
        <v>433</v>
      </c>
      <c r="O176" t="s">
        <v>53</v>
      </c>
      <c r="P176" t="s">
        <v>1134</v>
      </c>
      <c r="Q176" s="14" t="s">
        <v>120</v>
      </c>
      <c r="R176" t="s">
        <v>357</v>
      </c>
      <c r="S176">
        <v>1</v>
      </c>
      <c r="T176">
        <v>5153</v>
      </c>
      <c r="U176">
        <v>0</v>
      </c>
      <c r="V176">
        <v>5153</v>
      </c>
    </row>
    <row r="177" spans="1:22" x14ac:dyDescent="0.25">
      <c r="A177">
        <v>79452</v>
      </c>
      <c r="B177">
        <v>130484201</v>
      </c>
      <c r="C177" t="s">
        <v>1135</v>
      </c>
      <c r="D177">
        <v>248577469</v>
      </c>
      <c r="E177" t="s">
        <v>430</v>
      </c>
      <c r="F177" t="s">
        <v>431</v>
      </c>
      <c r="G177" t="s">
        <v>149</v>
      </c>
      <c r="H177" t="s">
        <v>150</v>
      </c>
      <c r="I177" t="s">
        <v>88</v>
      </c>
      <c r="J177" t="s">
        <v>151</v>
      </c>
      <c r="K177" t="s">
        <v>2</v>
      </c>
      <c r="L177" t="s">
        <v>1136</v>
      </c>
      <c r="M177" t="s">
        <v>1137</v>
      </c>
      <c r="N177" t="s">
        <v>433</v>
      </c>
      <c r="O177" t="s">
        <v>53</v>
      </c>
      <c r="P177" t="s">
        <v>1138</v>
      </c>
      <c r="Q177" s="14" t="s">
        <v>168</v>
      </c>
      <c r="R177" t="s">
        <v>1139</v>
      </c>
      <c r="S177">
        <v>0.35</v>
      </c>
      <c r="T177">
        <v>6480</v>
      </c>
      <c r="U177">
        <v>0</v>
      </c>
      <c r="V177">
        <v>6480</v>
      </c>
    </row>
    <row r="178" spans="1:22" x14ac:dyDescent="0.25">
      <c r="A178">
        <v>79452</v>
      </c>
      <c r="B178">
        <v>130827319</v>
      </c>
      <c r="C178" t="s">
        <v>1140</v>
      </c>
      <c r="D178">
        <v>249355538</v>
      </c>
      <c r="E178" t="s">
        <v>430</v>
      </c>
      <c r="F178" t="s">
        <v>431</v>
      </c>
      <c r="G178" t="s">
        <v>149</v>
      </c>
      <c r="H178" t="s">
        <v>150</v>
      </c>
      <c r="I178" t="s">
        <v>88</v>
      </c>
      <c r="J178" t="s">
        <v>151</v>
      </c>
      <c r="K178" t="s">
        <v>2</v>
      </c>
      <c r="L178" t="s">
        <v>1141</v>
      </c>
      <c r="M178" t="s">
        <v>1142</v>
      </c>
      <c r="N178" t="s">
        <v>433</v>
      </c>
      <c r="O178" t="s">
        <v>53</v>
      </c>
      <c r="P178" t="s">
        <v>1143</v>
      </c>
      <c r="Q178" s="14" t="s">
        <v>125</v>
      </c>
      <c r="R178" t="s">
        <v>357</v>
      </c>
      <c r="S178">
        <v>1</v>
      </c>
      <c r="T178">
        <v>4219</v>
      </c>
      <c r="U178">
        <v>0</v>
      </c>
      <c r="V178">
        <v>4219</v>
      </c>
    </row>
    <row r="179" spans="1:22" x14ac:dyDescent="0.25">
      <c r="A179">
        <v>79452</v>
      </c>
      <c r="B179">
        <v>130827306</v>
      </c>
      <c r="C179" t="s">
        <v>1144</v>
      </c>
      <c r="D179">
        <v>249355533</v>
      </c>
      <c r="E179" t="s">
        <v>430</v>
      </c>
      <c r="F179" t="s">
        <v>431</v>
      </c>
      <c r="G179" t="s">
        <v>149</v>
      </c>
      <c r="H179" t="s">
        <v>150</v>
      </c>
      <c r="I179" t="s">
        <v>88</v>
      </c>
      <c r="J179" t="s">
        <v>151</v>
      </c>
      <c r="K179" t="s">
        <v>2</v>
      </c>
      <c r="L179" t="s">
        <v>382</v>
      </c>
      <c r="M179" t="s">
        <v>1145</v>
      </c>
      <c r="N179" t="s">
        <v>433</v>
      </c>
      <c r="O179" t="s">
        <v>53</v>
      </c>
      <c r="P179" t="s">
        <v>1146</v>
      </c>
      <c r="Q179" s="14" t="s">
        <v>92</v>
      </c>
      <c r="R179" t="s">
        <v>357</v>
      </c>
      <c r="S179">
        <v>0.82</v>
      </c>
      <c r="T179">
        <v>4669</v>
      </c>
      <c r="U179">
        <v>0</v>
      </c>
      <c r="V179">
        <v>4669</v>
      </c>
    </row>
    <row r="180" spans="1:22" x14ac:dyDescent="0.25">
      <c r="A180">
        <v>79452</v>
      </c>
      <c r="B180">
        <v>130827290</v>
      </c>
      <c r="C180" t="s">
        <v>1147</v>
      </c>
      <c r="D180">
        <v>249355650</v>
      </c>
      <c r="E180" t="s">
        <v>430</v>
      </c>
      <c r="F180" t="s">
        <v>431</v>
      </c>
      <c r="G180" t="s">
        <v>149</v>
      </c>
      <c r="H180" t="s">
        <v>150</v>
      </c>
      <c r="I180" t="s">
        <v>88</v>
      </c>
      <c r="J180" t="s">
        <v>151</v>
      </c>
      <c r="K180" t="s">
        <v>2</v>
      </c>
      <c r="L180" t="s">
        <v>1148</v>
      </c>
      <c r="M180" t="s">
        <v>1149</v>
      </c>
      <c r="N180" t="s">
        <v>433</v>
      </c>
      <c r="O180" t="s">
        <v>53</v>
      </c>
      <c r="P180" t="s">
        <v>1150</v>
      </c>
      <c r="Q180" s="14" t="s">
        <v>92</v>
      </c>
      <c r="R180" t="s">
        <v>357</v>
      </c>
      <c r="S180">
        <v>0.76</v>
      </c>
      <c r="T180">
        <v>4669</v>
      </c>
      <c r="U180">
        <v>0</v>
      </c>
      <c r="V180">
        <v>4669</v>
      </c>
    </row>
    <row r="181" spans="1:22" x14ac:dyDescent="0.25">
      <c r="A181">
        <v>79452</v>
      </c>
      <c r="B181">
        <v>130827327</v>
      </c>
      <c r="C181" t="s">
        <v>1151</v>
      </c>
      <c r="D181">
        <v>249355465</v>
      </c>
      <c r="E181" t="s">
        <v>430</v>
      </c>
      <c r="F181" t="s">
        <v>431</v>
      </c>
      <c r="G181" t="s">
        <v>149</v>
      </c>
      <c r="H181" t="s">
        <v>150</v>
      </c>
      <c r="I181" t="s">
        <v>88</v>
      </c>
      <c r="J181" t="s">
        <v>151</v>
      </c>
      <c r="K181" t="s">
        <v>2</v>
      </c>
      <c r="L181" t="s">
        <v>1152</v>
      </c>
      <c r="M181" t="s">
        <v>1049</v>
      </c>
      <c r="N181" t="s">
        <v>433</v>
      </c>
      <c r="O181" t="s">
        <v>53</v>
      </c>
      <c r="P181" t="s">
        <v>1153</v>
      </c>
      <c r="Q181" s="14" t="s">
        <v>196</v>
      </c>
      <c r="R181" t="s">
        <v>357</v>
      </c>
      <c r="S181">
        <v>0.67</v>
      </c>
      <c r="T181">
        <v>4219</v>
      </c>
      <c r="U181">
        <v>0</v>
      </c>
      <c r="V181">
        <v>4219</v>
      </c>
    </row>
    <row r="182" spans="1:22" x14ac:dyDescent="0.25">
      <c r="A182">
        <v>79452</v>
      </c>
      <c r="B182">
        <v>130780218</v>
      </c>
      <c r="C182" t="s">
        <v>1154</v>
      </c>
      <c r="D182">
        <v>249231768</v>
      </c>
      <c r="E182" t="s">
        <v>430</v>
      </c>
      <c r="F182" t="s">
        <v>431</v>
      </c>
      <c r="G182" t="s">
        <v>149</v>
      </c>
      <c r="H182" t="s">
        <v>150</v>
      </c>
      <c r="I182" t="s">
        <v>88</v>
      </c>
      <c r="J182" t="s">
        <v>151</v>
      </c>
      <c r="K182" t="s">
        <v>2</v>
      </c>
      <c r="L182" t="s">
        <v>1155</v>
      </c>
      <c r="M182" t="s">
        <v>1156</v>
      </c>
      <c r="N182" t="s">
        <v>433</v>
      </c>
      <c r="O182" t="s">
        <v>53</v>
      </c>
      <c r="P182" t="s">
        <v>1157</v>
      </c>
      <c r="Q182" s="14" t="s">
        <v>129</v>
      </c>
      <c r="R182" t="s">
        <v>180</v>
      </c>
      <c r="S182">
        <v>1</v>
      </c>
      <c r="T182">
        <v>7212</v>
      </c>
      <c r="U182">
        <v>0</v>
      </c>
      <c r="V182">
        <v>7212</v>
      </c>
    </row>
    <row r="183" spans="1:22" x14ac:dyDescent="0.25">
      <c r="A183">
        <v>79452</v>
      </c>
      <c r="B183">
        <v>130827298</v>
      </c>
      <c r="C183" t="s">
        <v>1158</v>
      </c>
      <c r="D183">
        <v>249355605</v>
      </c>
      <c r="E183" t="s">
        <v>430</v>
      </c>
      <c r="F183" t="s">
        <v>431</v>
      </c>
      <c r="G183" t="s">
        <v>149</v>
      </c>
      <c r="H183" t="s">
        <v>150</v>
      </c>
      <c r="I183" t="s">
        <v>88</v>
      </c>
      <c r="J183" t="s">
        <v>151</v>
      </c>
      <c r="K183" t="s">
        <v>2</v>
      </c>
      <c r="L183" t="s">
        <v>1159</v>
      </c>
      <c r="M183" t="s">
        <v>1160</v>
      </c>
      <c r="N183" t="s">
        <v>433</v>
      </c>
      <c r="O183" t="s">
        <v>53</v>
      </c>
      <c r="P183" t="s">
        <v>1161</v>
      </c>
      <c r="Q183" s="14" t="s">
        <v>122</v>
      </c>
      <c r="R183" t="s">
        <v>357</v>
      </c>
      <c r="S183">
        <v>0.91</v>
      </c>
      <c r="T183">
        <v>4973</v>
      </c>
      <c r="U183">
        <v>0</v>
      </c>
      <c r="V183">
        <v>4973</v>
      </c>
    </row>
    <row r="184" spans="1:22" x14ac:dyDescent="0.25">
      <c r="A184">
        <v>79452</v>
      </c>
      <c r="B184">
        <v>130696696</v>
      </c>
      <c r="C184" t="s">
        <v>1162</v>
      </c>
      <c r="D184">
        <v>249064772</v>
      </c>
      <c r="E184" t="s">
        <v>430</v>
      </c>
      <c r="F184" t="s">
        <v>431</v>
      </c>
      <c r="G184" t="s">
        <v>149</v>
      </c>
      <c r="H184" t="s">
        <v>150</v>
      </c>
      <c r="I184" t="s">
        <v>88</v>
      </c>
      <c r="J184" t="s">
        <v>151</v>
      </c>
      <c r="K184" t="s">
        <v>2</v>
      </c>
      <c r="L184" t="s">
        <v>1163</v>
      </c>
      <c r="M184" t="s">
        <v>1164</v>
      </c>
      <c r="N184" t="s">
        <v>433</v>
      </c>
      <c r="O184" t="s">
        <v>53</v>
      </c>
      <c r="P184" t="s">
        <v>1165</v>
      </c>
      <c r="Q184" s="14" t="s">
        <v>167</v>
      </c>
      <c r="R184" t="s">
        <v>992</v>
      </c>
      <c r="S184">
        <v>0.23</v>
      </c>
      <c r="T184">
        <v>7212</v>
      </c>
      <c r="U184">
        <v>0</v>
      </c>
      <c r="V184">
        <v>7212</v>
      </c>
    </row>
    <row r="185" spans="1:22" x14ac:dyDescent="0.25">
      <c r="A185">
        <v>79452</v>
      </c>
      <c r="B185">
        <v>130771029</v>
      </c>
      <c r="C185" t="s">
        <v>1166</v>
      </c>
      <c r="D185">
        <v>249231804</v>
      </c>
      <c r="E185" t="s">
        <v>430</v>
      </c>
      <c r="F185" t="s">
        <v>431</v>
      </c>
      <c r="G185" t="s">
        <v>149</v>
      </c>
      <c r="H185" t="s">
        <v>150</v>
      </c>
      <c r="I185" t="s">
        <v>88</v>
      </c>
      <c r="J185" t="s">
        <v>151</v>
      </c>
      <c r="K185" t="s">
        <v>2</v>
      </c>
      <c r="L185" t="s">
        <v>1167</v>
      </c>
      <c r="M185" t="s">
        <v>1168</v>
      </c>
      <c r="N185" t="s">
        <v>433</v>
      </c>
      <c r="O185" t="s">
        <v>53</v>
      </c>
      <c r="P185" t="s">
        <v>1169</v>
      </c>
      <c r="Q185" s="14" t="s">
        <v>158</v>
      </c>
      <c r="R185" t="s">
        <v>917</v>
      </c>
      <c r="S185">
        <v>1</v>
      </c>
      <c r="T185">
        <v>4219</v>
      </c>
      <c r="U185">
        <v>0</v>
      </c>
      <c r="V185">
        <v>4219</v>
      </c>
    </row>
    <row r="186" spans="1:22" x14ac:dyDescent="0.25">
      <c r="A186">
        <v>79452</v>
      </c>
      <c r="B186">
        <v>130784130</v>
      </c>
      <c r="C186" t="s">
        <v>1170</v>
      </c>
      <c r="D186">
        <v>249231736</v>
      </c>
      <c r="E186" t="s">
        <v>430</v>
      </c>
      <c r="F186" t="s">
        <v>431</v>
      </c>
      <c r="G186" t="s">
        <v>149</v>
      </c>
      <c r="H186" t="s">
        <v>150</v>
      </c>
      <c r="I186" t="s">
        <v>88</v>
      </c>
      <c r="J186" t="s">
        <v>151</v>
      </c>
      <c r="K186" t="s">
        <v>2</v>
      </c>
      <c r="L186" t="s">
        <v>1171</v>
      </c>
      <c r="M186" t="s">
        <v>1172</v>
      </c>
      <c r="N186" t="s">
        <v>433</v>
      </c>
      <c r="O186" t="s">
        <v>53</v>
      </c>
      <c r="P186" t="s">
        <v>1173</v>
      </c>
      <c r="Q186" s="14" t="s">
        <v>40</v>
      </c>
      <c r="R186" t="s">
        <v>372</v>
      </c>
      <c r="S186">
        <v>1</v>
      </c>
      <c r="T186">
        <v>4534</v>
      </c>
      <c r="U186">
        <v>0</v>
      </c>
      <c r="V186">
        <v>4534</v>
      </c>
    </row>
    <row r="187" spans="1:22" x14ac:dyDescent="0.25">
      <c r="A187">
        <v>79452</v>
      </c>
      <c r="B187">
        <v>130727707</v>
      </c>
      <c r="C187" t="s">
        <v>1174</v>
      </c>
      <c r="D187">
        <v>249154841</v>
      </c>
      <c r="E187" t="s">
        <v>430</v>
      </c>
      <c r="F187" t="s">
        <v>431</v>
      </c>
      <c r="G187" t="s">
        <v>149</v>
      </c>
      <c r="H187" t="s">
        <v>150</v>
      </c>
      <c r="I187" t="s">
        <v>88</v>
      </c>
      <c r="J187" t="s">
        <v>151</v>
      </c>
      <c r="K187" t="s">
        <v>2</v>
      </c>
      <c r="L187" t="s">
        <v>1175</v>
      </c>
      <c r="M187" t="s">
        <v>1176</v>
      </c>
      <c r="N187" t="s">
        <v>433</v>
      </c>
      <c r="O187" t="s">
        <v>53</v>
      </c>
      <c r="P187" t="s">
        <v>1177</v>
      </c>
      <c r="Q187" s="14" t="s">
        <v>326</v>
      </c>
      <c r="R187" t="s">
        <v>378</v>
      </c>
      <c r="S187">
        <v>0.45</v>
      </c>
      <c r="T187">
        <v>5153</v>
      </c>
      <c r="U187">
        <v>0</v>
      </c>
      <c r="V187">
        <v>5153</v>
      </c>
    </row>
    <row r="188" spans="1:22" x14ac:dyDescent="0.25">
      <c r="A188">
        <v>79452</v>
      </c>
      <c r="B188">
        <v>130747714</v>
      </c>
      <c r="C188" t="s">
        <v>1178</v>
      </c>
      <c r="D188">
        <v>249154747</v>
      </c>
      <c r="E188" t="s">
        <v>430</v>
      </c>
      <c r="F188" t="s">
        <v>431</v>
      </c>
      <c r="G188" t="s">
        <v>149</v>
      </c>
      <c r="H188" t="s">
        <v>150</v>
      </c>
      <c r="I188" t="s">
        <v>88</v>
      </c>
      <c r="J188" t="s">
        <v>151</v>
      </c>
      <c r="K188" t="s">
        <v>2</v>
      </c>
      <c r="L188" t="s">
        <v>1179</v>
      </c>
      <c r="M188" t="s">
        <v>1180</v>
      </c>
      <c r="N188" t="s">
        <v>433</v>
      </c>
      <c r="O188" t="s">
        <v>53</v>
      </c>
      <c r="P188" t="s">
        <v>1181</v>
      </c>
      <c r="Q188" s="14" t="s">
        <v>128</v>
      </c>
      <c r="R188" t="s">
        <v>1182</v>
      </c>
      <c r="S188">
        <v>1</v>
      </c>
      <c r="T188">
        <v>7864</v>
      </c>
      <c r="U188">
        <v>0</v>
      </c>
      <c r="V188">
        <v>7864</v>
      </c>
    </row>
    <row r="189" spans="1:22" x14ac:dyDescent="0.25">
      <c r="A189">
        <v>79452</v>
      </c>
      <c r="B189">
        <v>130696704</v>
      </c>
      <c r="C189" t="s">
        <v>1183</v>
      </c>
      <c r="D189">
        <v>249064759</v>
      </c>
      <c r="E189" t="s">
        <v>430</v>
      </c>
      <c r="F189" t="s">
        <v>431</v>
      </c>
      <c r="G189" t="s">
        <v>149</v>
      </c>
      <c r="H189" t="s">
        <v>150</v>
      </c>
      <c r="I189" t="s">
        <v>88</v>
      </c>
      <c r="J189" t="s">
        <v>151</v>
      </c>
      <c r="K189" t="s">
        <v>2</v>
      </c>
      <c r="L189" t="s">
        <v>1184</v>
      </c>
      <c r="M189" t="s">
        <v>1185</v>
      </c>
      <c r="N189" t="s">
        <v>433</v>
      </c>
      <c r="O189" t="s">
        <v>53</v>
      </c>
      <c r="P189" t="s">
        <v>1186</v>
      </c>
      <c r="Q189" s="14" t="s">
        <v>128</v>
      </c>
      <c r="R189" t="s">
        <v>992</v>
      </c>
      <c r="S189">
        <v>1</v>
      </c>
      <c r="T189">
        <v>7864</v>
      </c>
      <c r="U189">
        <v>0</v>
      </c>
      <c r="V189">
        <v>7864</v>
      </c>
    </row>
    <row r="190" spans="1:22" x14ac:dyDescent="0.25">
      <c r="A190">
        <v>79452</v>
      </c>
      <c r="B190">
        <v>130433424</v>
      </c>
      <c r="C190" t="s">
        <v>1187</v>
      </c>
      <c r="D190">
        <v>248432086</v>
      </c>
      <c r="E190" t="s">
        <v>430</v>
      </c>
      <c r="F190" t="s">
        <v>431</v>
      </c>
      <c r="G190" t="s">
        <v>149</v>
      </c>
      <c r="H190" t="s">
        <v>150</v>
      </c>
      <c r="I190" t="s">
        <v>88</v>
      </c>
      <c r="J190" t="s">
        <v>151</v>
      </c>
      <c r="K190" t="s">
        <v>2</v>
      </c>
      <c r="L190" t="s">
        <v>1188</v>
      </c>
      <c r="M190" t="s">
        <v>1189</v>
      </c>
      <c r="N190" t="s">
        <v>433</v>
      </c>
      <c r="O190" t="s">
        <v>53</v>
      </c>
      <c r="P190" t="s">
        <v>1190</v>
      </c>
      <c r="Q190" s="14" t="s">
        <v>168</v>
      </c>
      <c r="R190" t="s">
        <v>1191</v>
      </c>
      <c r="S190">
        <v>0.33</v>
      </c>
      <c r="T190">
        <v>6480</v>
      </c>
      <c r="U190">
        <v>0</v>
      </c>
      <c r="V190">
        <v>6480</v>
      </c>
    </row>
    <row r="191" spans="1:22" x14ac:dyDescent="0.25">
      <c r="A191">
        <v>79452</v>
      </c>
      <c r="B191">
        <v>130727681</v>
      </c>
      <c r="C191" t="s">
        <v>1192</v>
      </c>
      <c r="D191">
        <v>249154869</v>
      </c>
      <c r="E191" t="s">
        <v>430</v>
      </c>
      <c r="F191" t="s">
        <v>431</v>
      </c>
      <c r="G191" t="s">
        <v>149</v>
      </c>
      <c r="H191" t="s">
        <v>150</v>
      </c>
      <c r="I191" t="s">
        <v>88</v>
      </c>
      <c r="J191" t="s">
        <v>151</v>
      </c>
      <c r="K191" t="s">
        <v>2</v>
      </c>
      <c r="L191" t="s">
        <v>1193</v>
      </c>
      <c r="M191" t="s">
        <v>1194</v>
      </c>
      <c r="N191" t="s">
        <v>433</v>
      </c>
      <c r="O191" t="s">
        <v>53</v>
      </c>
      <c r="P191" t="s">
        <v>1195</v>
      </c>
      <c r="Q191" s="14" t="s">
        <v>128</v>
      </c>
      <c r="R191" t="s">
        <v>378</v>
      </c>
      <c r="S191">
        <v>0.43</v>
      </c>
      <c r="T191">
        <v>7864</v>
      </c>
      <c r="U191">
        <v>0</v>
      </c>
      <c r="V191">
        <v>7864</v>
      </c>
    </row>
    <row r="192" spans="1:22" x14ac:dyDescent="0.25">
      <c r="A192">
        <v>79452</v>
      </c>
      <c r="B192">
        <v>130727703</v>
      </c>
      <c r="C192" t="s">
        <v>1196</v>
      </c>
      <c r="D192">
        <v>249154837</v>
      </c>
      <c r="E192" t="s">
        <v>430</v>
      </c>
      <c r="F192" t="s">
        <v>431</v>
      </c>
      <c r="G192" t="s">
        <v>149</v>
      </c>
      <c r="H192" t="s">
        <v>150</v>
      </c>
      <c r="I192" t="s">
        <v>88</v>
      </c>
      <c r="J192" t="s">
        <v>151</v>
      </c>
      <c r="K192" t="s">
        <v>2</v>
      </c>
      <c r="L192" t="s">
        <v>1197</v>
      </c>
      <c r="M192" t="s">
        <v>1198</v>
      </c>
      <c r="N192" t="s">
        <v>433</v>
      </c>
      <c r="O192" t="s">
        <v>53</v>
      </c>
      <c r="P192" t="s">
        <v>1199</v>
      </c>
      <c r="Q192" s="14" t="s">
        <v>196</v>
      </c>
      <c r="R192" t="s">
        <v>378</v>
      </c>
      <c r="S192">
        <v>0.36</v>
      </c>
      <c r="T192">
        <v>4219</v>
      </c>
      <c r="U192">
        <v>0</v>
      </c>
      <c r="V192">
        <v>4219</v>
      </c>
    </row>
    <row r="193" spans="1:22" x14ac:dyDescent="0.25">
      <c r="A193">
        <v>79452</v>
      </c>
      <c r="B193">
        <v>130784122</v>
      </c>
      <c r="C193" t="s">
        <v>1200</v>
      </c>
      <c r="D193">
        <v>249231761</v>
      </c>
      <c r="E193" t="s">
        <v>430</v>
      </c>
      <c r="F193" t="s">
        <v>431</v>
      </c>
      <c r="G193" t="s">
        <v>149</v>
      </c>
      <c r="H193" t="s">
        <v>150</v>
      </c>
      <c r="I193" t="s">
        <v>88</v>
      </c>
      <c r="J193" t="s">
        <v>151</v>
      </c>
      <c r="K193" t="s">
        <v>2</v>
      </c>
      <c r="L193" t="s">
        <v>1201</v>
      </c>
      <c r="M193" t="s">
        <v>1202</v>
      </c>
      <c r="N193" t="s">
        <v>433</v>
      </c>
      <c r="O193" t="s">
        <v>53</v>
      </c>
      <c r="P193" t="s">
        <v>1203</v>
      </c>
      <c r="Q193" s="14" t="s">
        <v>152</v>
      </c>
      <c r="R193" t="s">
        <v>372</v>
      </c>
      <c r="S193">
        <v>1</v>
      </c>
      <c r="T193">
        <v>4219</v>
      </c>
      <c r="U193">
        <v>0</v>
      </c>
      <c r="V193">
        <v>4219</v>
      </c>
    </row>
    <row r="194" spans="1:22" x14ac:dyDescent="0.25">
      <c r="A194">
        <v>79452</v>
      </c>
      <c r="B194">
        <v>130484220</v>
      </c>
      <c r="C194" t="s">
        <v>1204</v>
      </c>
      <c r="D194">
        <v>248577435</v>
      </c>
      <c r="E194" t="s">
        <v>430</v>
      </c>
      <c r="F194" t="s">
        <v>431</v>
      </c>
      <c r="G194" t="s">
        <v>149</v>
      </c>
      <c r="H194" t="s">
        <v>150</v>
      </c>
      <c r="I194" t="s">
        <v>88</v>
      </c>
      <c r="J194" t="s">
        <v>151</v>
      </c>
      <c r="K194" t="s">
        <v>2</v>
      </c>
      <c r="L194" t="s">
        <v>1205</v>
      </c>
      <c r="M194" t="s">
        <v>1206</v>
      </c>
      <c r="N194" t="s">
        <v>433</v>
      </c>
      <c r="O194" t="s">
        <v>53</v>
      </c>
      <c r="P194" t="s">
        <v>1207</v>
      </c>
      <c r="Q194" s="14" t="s">
        <v>168</v>
      </c>
      <c r="R194" t="s">
        <v>1139</v>
      </c>
      <c r="S194">
        <v>1</v>
      </c>
      <c r="T194">
        <v>6480</v>
      </c>
      <c r="U194">
        <v>0</v>
      </c>
      <c r="V194">
        <v>6480</v>
      </c>
    </row>
    <row r="195" spans="1:22" x14ac:dyDescent="0.25">
      <c r="A195">
        <v>79452</v>
      </c>
      <c r="B195">
        <v>130433460</v>
      </c>
      <c r="C195" t="s">
        <v>1208</v>
      </c>
      <c r="D195">
        <v>248432027</v>
      </c>
      <c r="E195" t="s">
        <v>430</v>
      </c>
      <c r="F195" t="s">
        <v>431</v>
      </c>
      <c r="G195" t="s">
        <v>149</v>
      </c>
      <c r="H195" t="s">
        <v>150</v>
      </c>
      <c r="I195" t="s">
        <v>88</v>
      </c>
      <c r="J195" t="s">
        <v>151</v>
      </c>
      <c r="K195" t="s">
        <v>2</v>
      </c>
      <c r="L195" t="s">
        <v>1209</v>
      </c>
      <c r="M195" t="s">
        <v>1210</v>
      </c>
      <c r="N195" t="s">
        <v>433</v>
      </c>
      <c r="O195" t="s">
        <v>53</v>
      </c>
      <c r="P195" t="s">
        <v>1211</v>
      </c>
      <c r="Q195" s="14" t="s">
        <v>110</v>
      </c>
      <c r="R195" t="s">
        <v>403</v>
      </c>
      <c r="S195">
        <v>0.3</v>
      </c>
      <c r="T195">
        <v>6267</v>
      </c>
      <c r="U195">
        <v>0</v>
      </c>
      <c r="V195">
        <v>6267</v>
      </c>
    </row>
    <row r="196" spans="1:22" x14ac:dyDescent="0.25">
      <c r="A196">
        <v>79452</v>
      </c>
      <c r="B196">
        <v>130727722</v>
      </c>
      <c r="C196" t="s">
        <v>1212</v>
      </c>
      <c r="D196">
        <v>249154791</v>
      </c>
      <c r="E196" t="s">
        <v>430</v>
      </c>
      <c r="F196" t="s">
        <v>431</v>
      </c>
      <c r="G196" t="s">
        <v>149</v>
      </c>
      <c r="H196" t="s">
        <v>150</v>
      </c>
      <c r="I196" t="s">
        <v>88</v>
      </c>
      <c r="J196" t="s">
        <v>151</v>
      </c>
      <c r="K196" t="s">
        <v>2</v>
      </c>
      <c r="L196" t="s">
        <v>1213</v>
      </c>
      <c r="M196" t="s">
        <v>1214</v>
      </c>
      <c r="N196" t="s">
        <v>433</v>
      </c>
      <c r="O196" t="s">
        <v>53</v>
      </c>
      <c r="P196" t="s">
        <v>1215</v>
      </c>
      <c r="Q196" s="14" t="s">
        <v>129</v>
      </c>
      <c r="R196" t="s">
        <v>378</v>
      </c>
      <c r="S196">
        <v>1</v>
      </c>
      <c r="T196">
        <v>7212</v>
      </c>
      <c r="U196">
        <v>0</v>
      </c>
      <c r="V196">
        <v>7212</v>
      </c>
    </row>
    <row r="197" spans="1:22" x14ac:dyDescent="0.25">
      <c r="A197">
        <v>79452</v>
      </c>
      <c r="B197">
        <v>130747730</v>
      </c>
      <c r="C197" t="s">
        <v>1216</v>
      </c>
      <c r="D197">
        <v>249154693</v>
      </c>
      <c r="E197" t="s">
        <v>430</v>
      </c>
      <c r="F197" t="s">
        <v>431</v>
      </c>
      <c r="G197" t="s">
        <v>149</v>
      </c>
      <c r="H197" t="s">
        <v>150</v>
      </c>
      <c r="I197" t="s">
        <v>88</v>
      </c>
      <c r="J197" t="s">
        <v>151</v>
      </c>
      <c r="K197" t="s">
        <v>2</v>
      </c>
      <c r="L197" t="s">
        <v>1217</v>
      </c>
      <c r="M197" t="s">
        <v>1218</v>
      </c>
      <c r="N197" t="s">
        <v>433</v>
      </c>
      <c r="O197" t="s">
        <v>53</v>
      </c>
      <c r="P197" t="s">
        <v>1219</v>
      </c>
      <c r="Q197" s="14" t="s">
        <v>215</v>
      </c>
      <c r="R197" t="s">
        <v>1182</v>
      </c>
      <c r="S197">
        <v>1</v>
      </c>
      <c r="T197">
        <v>5895</v>
      </c>
      <c r="U197">
        <v>0</v>
      </c>
      <c r="V197">
        <v>5895</v>
      </c>
    </row>
    <row r="198" spans="1:22" x14ac:dyDescent="0.25">
      <c r="A198">
        <v>79452</v>
      </c>
      <c r="B198">
        <v>130747736</v>
      </c>
      <c r="C198" t="s">
        <v>1220</v>
      </c>
      <c r="D198">
        <v>249154728</v>
      </c>
      <c r="E198" t="s">
        <v>430</v>
      </c>
      <c r="F198" t="s">
        <v>431</v>
      </c>
      <c r="G198" t="s">
        <v>149</v>
      </c>
      <c r="H198" t="s">
        <v>150</v>
      </c>
      <c r="I198" t="s">
        <v>88</v>
      </c>
      <c r="J198" t="s">
        <v>151</v>
      </c>
      <c r="K198" t="s">
        <v>2</v>
      </c>
      <c r="L198" t="s">
        <v>1221</v>
      </c>
      <c r="M198" t="s">
        <v>1222</v>
      </c>
      <c r="N198" t="s">
        <v>433</v>
      </c>
      <c r="O198" t="s">
        <v>53</v>
      </c>
      <c r="P198" t="s">
        <v>1223</v>
      </c>
      <c r="Q198" s="14" t="s">
        <v>40</v>
      </c>
      <c r="R198" t="s">
        <v>1182</v>
      </c>
      <c r="S198">
        <v>1</v>
      </c>
      <c r="T198">
        <v>4534</v>
      </c>
      <c r="U198">
        <v>0</v>
      </c>
      <c r="V198">
        <v>4534</v>
      </c>
    </row>
    <row r="199" spans="1:22" x14ac:dyDescent="0.25">
      <c r="A199">
        <v>79452</v>
      </c>
      <c r="B199">
        <v>130696699</v>
      </c>
      <c r="C199" t="s">
        <v>1224</v>
      </c>
      <c r="D199">
        <v>249064747</v>
      </c>
      <c r="E199" t="s">
        <v>430</v>
      </c>
      <c r="F199" t="s">
        <v>431</v>
      </c>
      <c r="G199" t="s">
        <v>149</v>
      </c>
      <c r="H199" t="s">
        <v>150</v>
      </c>
      <c r="I199" t="s">
        <v>88</v>
      </c>
      <c r="J199" t="s">
        <v>151</v>
      </c>
      <c r="K199" t="s">
        <v>2</v>
      </c>
      <c r="L199" t="s">
        <v>1225</v>
      </c>
      <c r="M199" t="s">
        <v>669</v>
      </c>
      <c r="N199" t="s">
        <v>433</v>
      </c>
      <c r="O199" t="s">
        <v>53</v>
      </c>
      <c r="P199" t="s">
        <v>670</v>
      </c>
      <c r="Q199" s="14" t="s">
        <v>120</v>
      </c>
      <c r="R199" t="s">
        <v>992</v>
      </c>
      <c r="S199">
        <v>1</v>
      </c>
      <c r="T199">
        <v>5153</v>
      </c>
      <c r="U199">
        <v>0</v>
      </c>
      <c r="V199">
        <v>5153</v>
      </c>
    </row>
    <row r="200" spans="1:22" x14ac:dyDescent="0.25">
      <c r="A200">
        <v>79452</v>
      </c>
      <c r="B200">
        <v>130696702</v>
      </c>
      <c r="C200" t="s">
        <v>1226</v>
      </c>
      <c r="D200">
        <v>249064764</v>
      </c>
      <c r="E200" t="s">
        <v>430</v>
      </c>
      <c r="F200" t="s">
        <v>431</v>
      </c>
      <c r="G200" t="s">
        <v>149</v>
      </c>
      <c r="H200" t="s">
        <v>150</v>
      </c>
      <c r="I200" t="s">
        <v>88</v>
      </c>
      <c r="J200" t="s">
        <v>151</v>
      </c>
      <c r="K200" t="s">
        <v>2</v>
      </c>
      <c r="L200" t="s">
        <v>1227</v>
      </c>
      <c r="M200" t="s">
        <v>1228</v>
      </c>
      <c r="N200" t="s">
        <v>433</v>
      </c>
      <c r="O200" t="s">
        <v>53</v>
      </c>
      <c r="P200" t="s">
        <v>1229</v>
      </c>
      <c r="Q200" s="14" t="s">
        <v>132</v>
      </c>
      <c r="R200" t="s">
        <v>992</v>
      </c>
      <c r="S200">
        <v>1</v>
      </c>
      <c r="T200">
        <v>4219</v>
      </c>
      <c r="U200">
        <v>0</v>
      </c>
      <c r="V200">
        <v>4219</v>
      </c>
    </row>
    <row r="201" spans="1:22" x14ac:dyDescent="0.25">
      <c r="A201">
        <v>79452</v>
      </c>
      <c r="B201">
        <v>130747702</v>
      </c>
      <c r="C201" t="s">
        <v>1230</v>
      </c>
      <c r="D201">
        <v>249154782</v>
      </c>
      <c r="E201" t="s">
        <v>430</v>
      </c>
      <c r="F201" t="s">
        <v>431</v>
      </c>
      <c r="G201" t="s">
        <v>149</v>
      </c>
      <c r="H201" t="s">
        <v>150</v>
      </c>
      <c r="I201" t="s">
        <v>88</v>
      </c>
      <c r="J201" t="s">
        <v>151</v>
      </c>
      <c r="K201" t="s">
        <v>2</v>
      </c>
      <c r="L201" t="s">
        <v>1231</v>
      </c>
      <c r="M201" t="s">
        <v>1232</v>
      </c>
      <c r="N201" t="s">
        <v>433</v>
      </c>
      <c r="O201" t="s">
        <v>53</v>
      </c>
      <c r="P201" t="s">
        <v>1233</v>
      </c>
      <c r="Q201" s="14" t="s">
        <v>140</v>
      </c>
      <c r="R201" t="s">
        <v>398</v>
      </c>
      <c r="S201">
        <v>0.59</v>
      </c>
      <c r="T201">
        <v>4669</v>
      </c>
      <c r="U201">
        <v>0</v>
      </c>
      <c r="V201">
        <v>4669</v>
      </c>
    </row>
    <row r="202" spans="1:22" x14ac:dyDescent="0.25">
      <c r="A202">
        <v>79452</v>
      </c>
      <c r="B202">
        <v>130700166</v>
      </c>
      <c r="C202" t="s">
        <v>1234</v>
      </c>
      <c r="D202">
        <v>249065021</v>
      </c>
      <c r="E202" t="s">
        <v>430</v>
      </c>
      <c r="F202" t="s">
        <v>431</v>
      </c>
      <c r="G202" t="s">
        <v>149</v>
      </c>
      <c r="H202" t="s">
        <v>150</v>
      </c>
      <c r="I202" t="s">
        <v>88</v>
      </c>
      <c r="J202" t="s">
        <v>151</v>
      </c>
      <c r="K202" t="s">
        <v>2</v>
      </c>
      <c r="L202" t="s">
        <v>1235</v>
      </c>
      <c r="M202" t="s">
        <v>1236</v>
      </c>
      <c r="N202" t="s">
        <v>433</v>
      </c>
      <c r="O202" t="s">
        <v>53</v>
      </c>
      <c r="P202" t="s">
        <v>1237</v>
      </c>
      <c r="Q202" s="14" t="s">
        <v>38</v>
      </c>
      <c r="R202" t="s">
        <v>1238</v>
      </c>
      <c r="S202">
        <v>0.31</v>
      </c>
      <c r="T202">
        <v>4669</v>
      </c>
      <c r="U202">
        <v>0</v>
      </c>
      <c r="V202">
        <v>4669</v>
      </c>
    </row>
    <row r="203" spans="1:22" x14ac:dyDescent="0.25">
      <c r="A203">
        <v>79452</v>
      </c>
      <c r="B203">
        <v>130747703</v>
      </c>
      <c r="C203" t="s">
        <v>1239</v>
      </c>
      <c r="D203">
        <v>249154798</v>
      </c>
      <c r="E203" t="s">
        <v>430</v>
      </c>
      <c r="F203" t="s">
        <v>431</v>
      </c>
      <c r="G203" t="s">
        <v>149</v>
      </c>
      <c r="H203" t="s">
        <v>150</v>
      </c>
      <c r="I203" t="s">
        <v>88</v>
      </c>
      <c r="J203" t="s">
        <v>151</v>
      </c>
      <c r="K203" t="s">
        <v>2</v>
      </c>
      <c r="L203" t="s">
        <v>1240</v>
      </c>
      <c r="M203" t="s">
        <v>1241</v>
      </c>
      <c r="N203" t="s">
        <v>433</v>
      </c>
      <c r="O203" t="s">
        <v>53</v>
      </c>
      <c r="P203" t="s">
        <v>1242</v>
      </c>
      <c r="Q203" s="14" t="s">
        <v>122</v>
      </c>
      <c r="R203" t="s">
        <v>398</v>
      </c>
      <c r="S203">
        <v>0.25</v>
      </c>
      <c r="T203">
        <v>4973</v>
      </c>
      <c r="U203">
        <v>0</v>
      </c>
      <c r="V203">
        <v>4973</v>
      </c>
    </row>
    <row r="204" spans="1:22" x14ac:dyDescent="0.25">
      <c r="A204">
        <v>79452</v>
      </c>
      <c r="B204">
        <v>130727713</v>
      </c>
      <c r="C204" t="s">
        <v>1243</v>
      </c>
      <c r="D204">
        <v>249154828</v>
      </c>
      <c r="E204" t="s">
        <v>430</v>
      </c>
      <c r="F204" t="s">
        <v>431</v>
      </c>
      <c r="G204" t="s">
        <v>149</v>
      </c>
      <c r="H204" t="s">
        <v>150</v>
      </c>
      <c r="I204" t="s">
        <v>88</v>
      </c>
      <c r="J204" t="s">
        <v>151</v>
      </c>
      <c r="K204" t="s">
        <v>2</v>
      </c>
      <c r="L204" t="s">
        <v>1244</v>
      </c>
      <c r="M204" t="s">
        <v>255</v>
      </c>
      <c r="N204" t="s">
        <v>433</v>
      </c>
      <c r="O204" t="s">
        <v>53</v>
      </c>
      <c r="P204" t="s">
        <v>1245</v>
      </c>
      <c r="Q204" s="14" t="s">
        <v>92</v>
      </c>
      <c r="R204" t="s">
        <v>378</v>
      </c>
      <c r="S204">
        <v>1</v>
      </c>
      <c r="T204">
        <v>4669</v>
      </c>
      <c r="U204">
        <v>0</v>
      </c>
      <c r="V204">
        <v>4669</v>
      </c>
    </row>
    <row r="205" spans="1:22" x14ac:dyDescent="0.25">
      <c r="A205">
        <v>79452</v>
      </c>
      <c r="B205">
        <v>130747725</v>
      </c>
      <c r="C205" t="s">
        <v>1246</v>
      </c>
      <c r="D205">
        <v>249154758</v>
      </c>
      <c r="E205" t="s">
        <v>430</v>
      </c>
      <c r="F205" t="s">
        <v>431</v>
      </c>
      <c r="G205" t="s">
        <v>149</v>
      </c>
      <c r="H205" t="s">
        <v>150</v>
      </c>
      <c r="I205" t="s">
        <v>88</v>
      </c>
      <c r="J205" t="s">
        <v>151</v>
      </c>
      <c r="K205" t="s">
        <v>2</v>
      </c>
      <c r="L205" t="s">
        <v>1247</v>
      </c>
      <c r="M205" t="s">
        <v>1248</v>
      </c>
      <c r="N205" t="s">
        <v>433</v>
      </c>
      <c r="O205" t="s">
        <v>53</v>
      </c>
      <c r="P205" t="s">
        <v>1249</v>
      </c>
      <c r="Q205" s="14" t="s">
        <v>203</v>
      </c>
      <c r="R205" t="s">
        <v>1182</v>
      </c>
      <c r="S205">
        <v>1</v>
      </c>
      <c r="T205">
        <v>5837</v>
      </c>
      <c r="U205">
        <v>0</v>
      </c>
      <c r="V205">
        <v>5837</v>
      </c>
    </row>
    <row r="206" spans="1:22" x14ac:dyDescent="0.25">
      <c r="A206">
        <v>79452</v>
      </c>
      <c r="B206">
        <v>130727718</v>
      </c>
      <c r="C206" t="s">
        <v>1250</v>
      </c>
      <c r="D206">
        <v>249154797</v>
      </c>
      <c r="E206" t="s">
        <v>430</v>
      </c>
      <c r="F206" t="s">
        <v>431</v>
      </c>
      <c r="G206" t="s">
        <v>149</v>
      </c>
      <c r="H206" t="s">
        <v>150</v>
      </c>
      <c r="I206" t="s">
        <v>88</v>
      </c>
      <c r="J206" t="s">
        <v>151</v>
      </c>
      <c r="K206" t="s">
        <v>2</v>
      </c>
      <c r="L206" t="s">
        <v>1251</v>
      </c>
      <c r="M206" t="s">
        <v>1252</v>
      </c>
      <c r="N206" t="s">
        <v>433</v>
      </c>
      <c r="O206" t="s">
        <v>53</v>
      </c>
      <c r="P206" t="s">
        <v>1253</v>
      </c>
      <c r="Q206" s="14" t="s">
        <v>140</v>
      </c>
      <c r="R206" t="s">
        <v>378</v>
      </c>
      <c r="S206">
        <v>1</v>
      </c>
      <c r="T206">
        <v>4669</v>
      </c>
      <c r="U206">
        <v>0</v>
      </c>
      <c r="V206">
        <v>4669</v>
      </c>
    </row>
    <row r="207" spans="1:22" x14ac:dyDescent="0.25">
      <c r="A207">
        <v>79452</v>
      </c>
      <c r="B207">
        <v>130700084</v>
      </c>
      <c r="C207" t="s">
        <v>1254</v>
      </c>
      <c r="D207">
        <v>249064714</v>
      </c>
      <c r="E207" t="s">
        <v>430</v>
      </c>
      <c r="F207" t="s">
        <v>431</v>
      </c>
      <c r="G207" t="s">
        <v>149</v>
      </c>
      <c r="H207" t="s">
        <v>150</v>
      </c>
      <c r="I207" t="s">
        <v>88</v>
      </c>
      <c r="J207" t="s">
        <v>151</v>
      </c>
      <c r="K207" t="s">
        <v>2</v>
      </c>
      <c r="L207" t="s">
        <v>1255</v>
      </c>
      <c r="M207" t="s">
        <v>1256</v>
      </c>
      <c r="N207" t="s">
        <v>433</v>
      </c>
      <c r="O207" t="s">
        <v>53</v>
      </c>
      <c r="P207" t="s">
        <v>1257</v>
      </c>
      <c r="Q207" s="14" t="s">
        <v>120</v>
      </c>
      <c r="R207" t="s">
        <v>1258</v>
      </c>
      <c r="S207">
        <v>0.31</v>
      </c>
      <c r="T207">
        <v>5153</v>
      </c>
      <c r="U207">
        <v>0</v>
      </c>
      <c r="V207">
        <v>5153</v>
      </c>
    </row>
    <row r="208" spans="1:22" x14ac:dyDescent="0.25">
      <c r="A208">
        <v>79452</v>
      </c>
      <c r="B208">
        <v>130696703</v>
      </c>
      <c r="C208" t="s">
        <v>1259</v>
      </c>
      <c r="D208">
        <v>249064745</v>
      </c>
      <c r="E208" t="s">
        <v>430</v>
      </c>
      <c r="F208" t="s">
        <v>431</v>
      </c>
      <c r="G208" t="s">
        <v>149</v>
      </c>
      <c r="H208" t="s">
        <v>150</v>
      </c>
      <c r="I208" t="s">
        <v>88</v>
      </c>
      <c r="J208" t="s">
        <v>151</v>
      </c>
      <c r="K208" t="s">
        <v>2</v>
      </c>
      <c r="L208" t="s">
        <v>1260</v>
      </c>
      <c r="M208" t="s">
        <v>1261</v>
      </c>
      <c r="N208" t="s">
        <v>433</v>
      </c>
      <c r="O208" t="s">
        <v>53</v>
      </c>
      <c r="P208" t="s">
        <v>1262</v>
      </c>
      <c r="Q208" s="14" t="s">
        <v>122</v>
      </c>
      <c r="R208" t="s">
        <v>992</v>
      </c>
      <c r="S208">
        <v>1</v>
      </c>
      <c r="T208">
        <v>4973</v>
      </c>
      <c r="U208">
        <v>0</v>
      </c>
      <c r="V208">
        <v>4973</v>
      </c>
    </row>
    <row r="209" spans="1:22" x14ac:dyDescent="0.25">
      <c r="A209">
        <v>79452</v>
      </c>
      <c r="B209">
        <v>130696706</v>
      </c>
      <c r="C209" t="s">
        <v>1263</v>
      </c>
      <c r="D209">
        <v>249064717</v>
      </c>
      <c r="E209" t="s">
        <v>430</v>
      </c>
      <c r="F209" t="s">
        <v>431</v>
      </c>
      <c r="G209" t="s">
        <v>149</v>
      </c>
      <c r="H209" t="s">
        <v>150</v>
      </c>
      <c r="I209" t="s">
        <v>88</v>
      </c>
      <c r="J209" t="s">
        <v>151</v>
      </c>
      <c r="K209" t="s">
        <v>82</v>
      </c>
      <c r="L209" t="s">
        <v>248</v>
      </c>
      <c r="M209" t="s">
        <v>1264</v>
      </c>
      <c r="N209" t="s">
        <v>433</v>
      </c>
      <c r="O209" t="s">
        <v>53</v>
      </c>
      <c r="P209" t="s">
        <v>1265</v>
      </c>
      <c r="Q209" s="14" t="s">
        <v>38</v>
      </c>
      <c r="R209" t="s">
        <v>992</v>
      </c>
      <c r="S209">
        <v>1</v>
      </c>
      <c r="T209">
        <v>4669</v>
      </c>
      <c r="U209">
        <v>0</v>
      </c>
      <c r="V209">
        <v>4669</v>
      </c>
    </row>
    <row r="210" spans="1:22" x14ac:dyDescent="0.25">
      <c r="A210">
        <v>79452</v>
      </c>
      <c r="B210">
        <v>130727685</v>
      </c>
      <c r="C210" t="s">
        <v>1266</v>
      </c>
      <c r="D210">
        <v>249154866</v>
      </c>
      <c r="E210" t="s">
        <v>430</v>
      </c>
      <c r="F210" t="s">
        <v>431</v>
      </c>
      <c r="G210" t="s">
        <v>149</v>
      </c>
      <c r="H210" t="s">
        <v>150</v>
      </c>
      <c r="I210" t="s">
        <v>88</v>
      </c>
      <c r="J210" t="s">
        <v>151</v>
      </c>
      <c r="K210" t="s">
        <v>2</v>
      </c>
      <c r="L210" t="s">
        <v>1267</v>
      </c>
      <c r="M210" t="s">
        <v>1268</v>
      </c>
      <c r="N210" t="s">
        <v>433</v>
      </c>
      <c r="O210" t="s">
        <v>53</v>
      </c>
      <c r="P210" t="s">
        <v>1269</v>
      </c>
      <c r="Q210" s="14" t="s">
        <v>294</v>
      </c>
      <c r="R210" t="s">
        <v>378</v>
      </c>
      <c r="S210">
        <v>1</v>
      </c>
      <c r="T210">
        <v>4669</v>
      </c>
      <c r="U210">
        <v>0</v>
      </c>
      <c r="V210">
        <v>4669</v>
      </c>
    </row>
    <row r="211" spans="1:22" x14ac:dyDescent="0.25">
      <c r="A211">
        <v>79452</v>
      </c>
      <c r="B211">
        <v>130673298</v>
      </c>
      <c r="C211" t="s">
        <v>1270</v>
      </c>
      <c r="D211">
        <v>249001661</v>
      </c>
      <c r="E211" t="s">
        <v>430</v>
      </c>
      <c r="F211" t="s">
        <v>431</v>
      </c>
      <c r="G211" t="s">
        <v>149</v>
      </c>
      <c r="H211" t="s">
        <v>150</v>
      </c>
      <c r="I211" t="s">
        <v>88</v>
      </c>
      <c r="J211" t="s">
        <v>151</v>
      </c>
      <c r="K211" t="s">
        <v>2</v>
      </c>
      <c r="L211" t="s">
        <v>1271</v>
      </c>
      <c r="M211" t="s">
        <v>1272</v>
      </c>
      <c r="N211" t="s">
        <v>433</v>
      </c>
      <c r="O211" t="s">
        <v>53</v>
      </c>
      <c r="P211" t="s">
        <v>1273</v>
      </c>
      <c r="Q211" s="14" t="s">
        <v>218</v>
      </c>
      <c r="R211" t="s">
        <v>222</v>
      </c>
      <c r="S211">
        <v>1</v>
      </c>
      <c r="T211">
        <v>4219</v>
      </c>
      <c r="U211">
        <v>0</v>
      </c>
      <c r="V211">
        <v>4219</v>
      </c>
    </row>
    <row r="212" spans="1:22" x14ac:dyDescent="0.25">
      <c r="A212">
        <v>79452</v>
      </c>
      <c r="B212">
        <v>130673303</v>
      </c>
      <c r="C212" t="s">
        <v>1274</v>
      </c>
      <c r="D212">
        <v>249001645</v>
      </c>
      <c r="E212" t="s">
        <v>430</v>
      </c>
      <c r="F212" t="s">
        <v>431</v>
      </c>
      <c r="G212" t="s">
        <v>149</v>
      </c>
      <c r="H212" t="s">
        <v>150</v>
      </c>
      <c r="I212" t="s">
        <v>88</v>
      </c>
      <c r="J212" t="s">
        <v>151</v>
      </c>
      <c r="K212" t="s">
        <v>2</v>
      </c>
      <c r="L212" t="s">
        <v>1275</v>
      </c>
      <c r="M212" t="s">
        <v>1276</v>
      </c>
      <c r="N212" t="s">
        <v>433</v>
      </c>
      <c r="O212" t="s">
        <v>53</v>
      </c>
      <c r="P212" t="s">
        <v>1277</v>
      </c>
      <c r="Q212" s="14" t="s">
        <v>129</v>
      </c>
      <c r="R212" t="s">
        <v>222</v>
      </c>
      <c r="S212">
        <v>1</v>
      </c>
      <c r="T212">
        <v>7212</v>
      </c>
      <c r="U212">
        <v>0</v>
      </c>
      <c r="V212">
        <v>7212</v>
      </c>
    </row>
    <row r="213" spans="1:22" x14ac:dyDescent="0.25">
      <c r="A213">
        <v>79452</v>
      </c>
      <c r="B213">
        <v>130680227</v>
      </c>
      <c r="C213" t="s">
        <v>1278</v>
      </c>
      <c r="D213">
        <v>249001597</v>
      </c>
      <c r="E213" t="s">
        <v>430</v>
      </c>
      <c r="F213" t="s">
        <v>431</v>
      </c>
      <c r="G213" t="s">
        <v>149</v>
      </c>
      <c r="H213" t="s">
        <v>150</v>
      </c>
      <c r="I213" t="s">
        <v>88</v>
      </c>
      <c r="J213" t="s">
        <v>151</v>
      </c>
      <c r="K213" t="s">
        <v>2</v>
      </c>
      <c r="L213" t="s">
        <v>1279</v>
      </c>
      <c r="M213" t="s">
        <v>1280</v>
      </c>
      <c r="N213" t="s">
        <v>433</v>
      </c>
      <c r="O213" t="s">
        <v>53</v>
      </c>
      <c r="P213" t="s">
        <v>1281</v>
      </c>
      <c r="Q213" s="14" t="s">
        <v>129</v>
      </c>
      <c r="R213" t="s">
        <v>1282</v>
      </c>
      <c r="S213">
        <v>1</v>
      </c>
      <c r="T213">
        <v>7212</v>
      </c>
      <c r="U213">
        <v>0</v>
      </c>
      <c r="V213">
        <v>7212</v>
      </c>
    </row>
    <row r="214" spans="1:22" x14ac:dyDescent="0.25">
      <c r="A214">
        <v>79452</v>
      </c>
      <c r="B214">
        <v>130673289</v>
      </c>
      <c r="C214" t="s">
        <v>1283</v>
      </c>
      <c r="D214">
        <v>249001689</v>
      </c>
      <c r="E214" t="s">
        <v>430</v>
      </c>
      <c r="F214" t="s">
        <v>431</v>
      </c>
      <c r="G214" t="s">
        <v>149</v>
      </c>
      <c r="H214" t="s">
        <v>150</v>
      </c>
      <c r="I214" t="s">
        <v>88</v>
      </c>
      <c r="J214" t="s">
        <v>151</v>
      </c>
      <c r="K214" t="s">
        <v>2</v>
      </c>
      <c r="L214" t="s">
        <v>1284</v>
      </c>
      <c r="M214" t="s">
        <v>1285</v>
      </c>
      <c r="N214" t="s">
        <v>433</v>
      </c>
      <c r="O214" t="s">
        <v>53</v>
      </c>
      <c r="P214" t="s">
        <v>1286</v>
      </c>
      <c r="Q214" s="14" t="s">
        <v>129</v>
      </c>
      <c r="R214" t="s">
        <v>222</v>
      </c>
      <c r="S214">
        <v>1</v>
      </c>
      <c r="T214">
        <v>7212</v>
      </c>
      <c r="U214">
        <v>0</v>
      </c>
      <c r="V214">
        <v>7212</v>
      </c>
    </row>
    <row r="215" spans="1:22" x14ac:dyDescent="0.25">
      <c r="A215">
        <v>79452</v>
      </c>
      <c r="B215">
        <v>130580394</v>
      </c>
      <c r="C215" t="s">
        <v>1287</v>
      </c>
      <c r="D215">
        <v>248770116</v>
      </c>
      <c r="E215" t="s">
        <v>430</v>
      </c>
      <c r="F215" t="s">
        <v>431</v>
      </c>
      <c r="G215" t="s">
        <v>149</v>
      </c>
      <c r="H215" t="s">
        <v>150</v>
      </c>
      <c r="I215" t="s">
        <v>88</v>
      </c>
      <c r="J215" t="s">
        <v>151</v>
      </c>
      <c r="K215" t="s">
        <v>2</v>
      </c>
      <c r="L215" t="s">
        <v>1288</v>
      </c>
      <c r="M215" t="s">
        <v>1289</v>
      </c>
      <c r="N215" t="s">
        <v>433</v>
      </c>
      <c r="O215" t="s">
        <v>53</v>
      </c>
      <c r="P215" t="s">
        <v>1290</v>
      </c>
      <c r="Q215" s="14" t="s">
        <v>129</v>
      </c>
      <c r="R215" t="s">
        <v>1291</v>
      </c>
      <c r="S215">
        <v>0.49</v>
      </c>
      <c r="T215">
        <v>7212</v>
      </c>
      <c r="U215">
        <v>0</v>
      </c>
      <c r="V215">
        <v>7212</v>
      </c>
    </row>
    <row r="216" spans="1:22" x14ac:dyDescent="0.25">
      <c r="A216">
        <v>79452</v>
      </c>
      <c r="B216">
        <v>130356775</v>
      </c>
      <c r="C216" t="s">
        <v>1292</v>
      </c>
      <c r="D216">
        <v>248250218</v>
      </c>
      <c r="E216" t="s">
        <v>430</v>
      </c>
      <c r="F216" t="s">
        <v>431</v>
      </c>
      <c r="G216" t="s">
        <v>149</v>
      </c>
      <c r="H216" t="s">
        <v>150</v>
      </c>
      <c r="I216" t="s">
        <v>88</v>
      </c>
      <c r="J216" t="s">
        <v>151</v>
      </c>
      <c r="K216" t="s">
        <v>2</v>
      </c>
      <c r="L216" t="s">
        <v>1293</v>
      </c>
      <c r="M216" t="s">
        <v>1294</v>
      </c>
      <c r="N216" t="s">
        <v>433</v>
      </c>
      <c r="O216" t="s">
        <v>53</v>
      </c>
      <c r="P216" t="s">
        <v>1295</v>
      </c>
      <c r="Q216" s="14" t="s">
        <v>225</v>
      </c>
      <c r="R216" t="s">
        <v>1296</v>
      </c>
      <c r="S216">
        <v>0.57999999999999996</v>
      </c>
      <c r="T216">
        <v>8404</v>
      </c>
      <c r="U216">
        <v>0</v>
      </c>
      <c r="V216">
        <v>8404</v>
      </c>
    </row>
    <row r="217" spans="1:22" x14ac:dyDescent="0.25">
      <c r="A217">
        <v>79452</v>
      </c>
      <c r="B217">
        <v>130614759</v>
      </c>
      <c r="C217" t="s">
        <v>1297</v>
      </c>
      <c r="D217">
        <v>248848712</v>
      </c>
      <c r="E217" t="s">
        <v>430</v>
      </c>
      <c r="F217" t="s">
        <v>431</v>
      </c>
      <c r="G217" t="s">
        <v>149</v>
      </c>
      <c r="H217" t="s">
        <v>150</v>
      </c>
      <c r="I217" t="s">
        <v>88</v>
      </c>
      <c r="J217" t="s">
        <v>151</v>
      </c>
      <c r="K217" t="s">
        <v>2</v>
      </c>
      <c r="L217" t="s">
        <v>1298</v>
      </c>
      <c r="M217" t="s">
        <v>1299</v>
      </c>
      <c r="N217" t="s">
        <v>433</v>
      </c>
      <c r="O217" t="s">
        <v>53</v>
      </c>
      <c r="P217" t="s">
        <v>1300</v>
      </c>
      <c r="Q217" s="14" t="s">
        <v>152</v>
      </c>
      <c r="R217" t="s">
        <v>1079</v>
      </c>
      <c r="S217">
        <v>0.49</v>
      </c>
      <c r="T217">
        <v>4219</v>
      </c>
      <c r="U217">
        <v>0</v>
      </c>
      <c r="V217">
        <v>4219</v>
      </c>
    </row>
    <row r="218" spans="1:22" x14ac:dyDescent="0.25">
      <c r="A218">
        <v>79452</v>
      </c>
      <c r="B218">
        <v>130634750</v>
      </c>
      <c r="C218" t="s">
        <v>1301</v>
      </c>
      <c r="D218">
        <v>248930728</v>
      </c>
      <c r="E218" t="s">
        <v>430</v>
      </c>
      <c r="F218" t="s">
        <v>431</v>
      </c>
      <c r="G218" t="s">
        <v>149</v>
      </c>
      <c r="H218" t="s">
        <v>150</v>
      </c>
      <c r="I218" t="s">
        <v>88</v>
      </c>
      <c r="J218" t="s">
        <v>151</v>
      </c>
      <c r="K218" t="s">
        <v>2</v>
      </c>
      <c r="L218" t="s">
        <v>946</v>
      </c>
      <c r="M218" t="s">
        <v>947</v>
      </c>
      <c r="N218" t="s">
        <v>433</v>
      </c>
      <c r="O218" t="s">
        <v>53</v>
      </c>
      <c r="P218" t="s">
        <v>1302</v>
      </c>
      <c r="Q218" s="14" t="s">
        <v>94</v>
      </c>
      <c r="R218" t="s">
        <v>1303</v>
      </c>
      <c r="S218">
        <v>1</v>
      </c>
      <c r="T218">
        <v>4669</v>
      </c>
      <c r="U218">
        <v>0</v>
      </c>
      <c r="V218">
        <v>4669</v>
      </c>
    </row>
    <row r="219" spans="1:22" x14ac:dyDescent="0.25">
      <c r="A219">
        <v>79452</v>
      </c>
      <c r="B219">
        <v>130673306</v>
      </c>
      <c r="C219" t="s">
        <v>1304</v>
      </c>
      <c r="D219">
        <v>249001623</v>
      </c>
      <c r="E219" t="s">
        <v>430</v>
      </c>
      <c r="F219" t="s">
        <v>431</v>
      </c>
      <c r="G219" t="s">
        <v>149</v>
      </c>
      <c r="H219" t="s">
        <v>150</v>
      </c>
      <c r="I219" t="s">
        <v>88</v>
      </c>
      <c r="J219" t="s">
        <v>151</v>
      </c>
      <c r="K219" t="s">
        <v>2</v>
      </c>
      <c r="L219" t="s">
        <v>1305</v>
      </c>
      <c r="M219" t="s">
        <v>1306</v>
      </c>
      <c r="N219" t="s">
        <v>433</v>
      </c>
      <c r="O219" t="s">
        <v>53</v>
      </c>
      <c r="P219" t="s">
        <v>1307</v>
      </c>
      <c r="Q219" s="14" t="s">
        <v>92</v>
      </c>
      <c r="R219" t="s">
        <v>222</v>
      </c>
      <c r="S219">
        <v>1</v>
      </c>
      <c r="T219">
        <v>4669</v>
      </c>
      <c r="U219">
        <v>0</v>
      </c>
      <c r="V219">
        <v>4669</v>
      </c>
    </row>
    <row r="220" spans="1:22" x14ac:dyDescent="0.25">
      <c r="A220">
        <v>79452</v>
      </c>
      <c r="B220">
        <v>130673294</v>
      </c>
      <c r="C220" t="s">
        <v>1308</v>
      </c>
      <c r="D220">
        <v>249001672</v>
      </c>
      <c r="E220" t="s">
        <v>430</v>
      </c>
      <c r="F220" t="s">
        <v>431</v>
      </c>
      <c r="G220" t="s">
        <v>149</v>
      </c>
      <c r="H220" t="s">
        <v>150</v>
      </c>
      <c r="I220" t="s">
        <v>88</v>
      </c>
      <c r="J220" t="s">
        <v>151</v>
      </c>
      <c r="K220" t="s">
        <v>2</v>
      </c>
      <c r="L220" t="s">
        <v>1309</v>
      </c>
      <c r="M220" t="s">
        <v>1310</v>
      </c>
      <c r="N220" t="s">
        <v>433</v>
      </c>
      <c r="O220" t="s">
        <v>53</v>
      </c>
      <c r="P220" t="s">
        <v>1311</v>
      </c>
      <c r="Q220" s="14" t="s">
        <v>163</v>
      </c>
      <c r="R220" t="s">
        <v>222</v>
      </c>
      <c r="S220">
        <v>1</v>
      </c>
      <c r="T220">
        <v>4219</v>
      </c>
      <c r="U220">
        <v>0</v>
      </c>
      <c r="V220">
        <v>4219</v>
      </c>
    </row>
    <row r="221" spans="1:22" x14ac:dyDescent="0.25">
      <c r="A221">
        <v>79452</v>
      </c>
      <c r="B221">
        <v>130680231</v>
      </c>
      <c r="C221" t="s">
        <v>1312</v>
      </c>
      <c r="D221">
        <v>249001609</v>
      </c>
      <c r="E221" t="s">
        <v>430</v>
      </c>
      <c r="F221" t="s">
        <v>431</v>
      </c>
      <c r="G221" t="s">
        <v>149</v>
      </c>
      <c r="H221" t="s">
        <v>150</v>
      </c>
      <c r="I221" t="s">
        <v>88</v>
      </c>
      <c r="J221" t="s">
        <v>151</v>
      </c>
      <c r="K221" t="s">
        <v>2</v>
      </c>
      <c r="L221" t="s">
        <v>1313</v>
      </c>
      <c r="M221" t="s">
        <v>1261</v>
      </c>
      <c r="N221" t="s">
        <v>433</v>
      </c>
      <c r="O221" t="s">
        <v>53</v>
      </c>
      <c r="P221" t="s">
        <v>1314</v>
      </c>
      <c r="Q221" s="14" t="s">
        <v>122</v>
      </c>
      <c r="R221" t="s">
        <v>1282</v>
      </c>
      <c r="S221">
        <v>1</v>
      </c>
      <c r="T221">
        <v>4973</v>
      </c>
      <c r="U221">
        <v>0</v>
      </c>
      <c r="V221">
        <v>4973</v>
      </c>
    </row>
    <row r="222" spans="1:22" x14ac:dyDescent="0.25">
      <c r="A222">
        <v>79452</v>
      </c>
      <c r="B222">
        <v>130680232</v>
      </c>
      <c r="C222" t="s">
        <v>1315</v>
      </c>
      <c r="D222">
        <v>249001601</v>
      </c>
      <c r="E222" t="s">
        <v>430</v>
      </c>
      <c r="F222" t="s">
        <v>431</v>
      </c>
      <c r="G222" t="s">
        <v>149</v>
      </c>
      <c r="H222" t="s">
        <v>150</v>
      </c>
      <c r="I222" t="s">
        <v>88</v>
      </c>
      <c r="J222" t="s">
        <v>151</v>
      </c>
      <c r="K222" t="s">
        <v>2</v>
      </c>
      <c r="L222" t="s">
        <v>1316</v>
      </c>
      <c r="M222" t="s">
        <v>1317</v>
      </c>
      <c r="N222" t="s">
        <v>433</v>
      </c>
      <c r="O222" t="s">
        <v>53</v>
      </c>
      <c r="P222" t="s">
        <v>1318</v>
      </c>
      <c r="Q222" s="14" t="s">
        <v>198</v>
      </c>
      <c r="R222" t="s">
        <v>1282</v>
      </c>
      <c r="S222">
        <v>1</v>
      </c>
      <c r="T222">
        <v>4973</v>
      </c>
      <c r="U222">
        <v>0</v>
      </c>
      <c r="V222">
        <v>4973</v>
      </c>
    </row>
    <row r="223" spans="1:22" x14ac:dyDescent="0.25">
      <c r="A223">
        <v>79452</v>
      </c>
      <c r="B223">
        <v>130673269</v>
      </c>
      <c r="C223" t="s">
        <v>1319</v>
      </c>
      <c r="D223">
        <v>249001725</v>
      </c>
      <c r="E223" t="s">
        <v>430</v>
      </c>
      <c r="F223" t="s">
        <v>431</v>
      </c>
      <c r="G223" t="s">
        <v>149</v>
      </c>
      <c r="H223" t="s">
        <v>150</v>
      </c>
      <c r="I223" t="s">
        <v>88</v>
      </c>
      <c r="J223" t="s">
        <v>151</v>
      </c>
      <c r="K223" t="s">
        <v>2</v>
      </c>
      <c r="L223" t="s">
        <v>1320</v>
      </c>
      <c r="M223" t="s">
        <v>1321</v>
      </c>
      <c r="N223" t="s">
        <v>433</v>
      </c>
      <c r="O223" t="s">
        <v>53</v>
      </c>
      <c r="P223" t="s">
        <v>1322</v>
      </c>
      <c r="Q223" s="14" t="s">
        <v>137</v>
      </c>
      <c r="R223" t="s">
        <v>222</v>
      </c>
      <c r="S223">
        <v>1</v>
      </c>
      <c r="T223">
        <v>4219</v>
      </c>
      <c r="U223">
        <v>0</v>
      </c>
      <c r="V223">
        <v>4219</v>
      </c>
    </row>
    <row r="224" spans="1:22" x14ac:dyDescent="0.25">
      <c r="A224">
        <v>79452</v>
      </c>
      <c r="B224">
        <v>130673292</v>
      </c>
      <c r="C224" t="s">
        <v>1323</v>
      </c>
      <c r="D224">
        <v>249001698</v>
      </c>
      <c r="E224" t="s">
        <v>430</v>
      </c>
      <c r="F224" t="s">
        <v>431</v>
      </c>
      <c r="G224" t="s">
        <v>149</v>
      </c>
      <c r="H224" t="s">
        <v>150</v>
      </c>
      <c r="I224" t="s">
        <v>88</v>
      </c>
      <c r="J224" t="s">
        <v>151</v>
      </c>
      <c r="K224" t="s">
        <v>2</v>
      </c>
      <c r="L224" t="s">
        <v>1324</v>
      </c>
      <c r="M224" t="s">
        <v>1325</v>
      </c>
      <c r="N224" t="s">
        <v>433</v>
      </c>
      <c r="O224" t="s">
        <v>53</v>
      </c>
      <c r="P224" t="s">
        <v>1326</v>
      </c>
      <c r="Q224" s="14" t="s">
        <v>113</v>
      </c>
      <c r="R224" t="s">
        <v>222</v>
      </c>
      <c r="S224">
        <v>1</v>
      </c>
      <c r="T224">
        <v>4973</v>
      </c>
      <c r="U224">
        <v>0</v>
      </c>
      <c r="V224">
        <v>4973</v>
      </c>
    </row>
    <row r="225" spans="1:22" x14ac:dyDescent="0.25">
      <c r="A225">
        <v>79452</v>
      </c>
      <c r="B225">
        <v>130580432</v>
      </c>
      <c r="C225" t="s">
        <v>1327</v>
      </c>
      <c r="D225">
        <v>248770073</v>
      </c>
      <c r="E225" t="s">
        <v>430</v>
      </c>
      <c r="F225" t="s">
        <v>431</v>
      </c>
      <c r="G225" t="s">
        <v>149</v>
      </c>
      <c r="H225" t="s">
        <v>150</v>
      </c>
      <c r="I225" t="s">
        <v>88</v>
      </c>
      <c r="J225" t="s">
        <v>151</v>
      </c>
      <c r="K225" t="s">
        <v>2</v>
      </c>
      <c r="L225" t="s">
        <v>1328</v>
      </c>
      <c r="M225" t="s">
        <v>1329</v>
      </c>
      <c r="N225" t="s">
        <v>433</v>
      </c>
      <c r="O225" t="s">
        <v>53</v>
      </c>
      <c r="P225" t="s">
        <v>1330</v>
      </c>
      <c r="Q225" s="14" t="s">
        <v>129</v>
      </c>
      <c r="R225" t="s">
        <v>1291</v>
      </c>
      <c r="S225">
        <v>1</v>
      </c>
      <c r="T225">
        <v>7212</v>
      </c>
      <c r="U225">
        <v>0</v>
      </c>
      <c r="V225">
        <v>7212</v>
      </c>
    </row>
    <row r="226" spans="1:22" x14ac:dyDescent="0.25">
      <c r="A226">
        <v>79452</v>
      </c>
      <c r="B226">
        <v>130601544</v>
      </c>
      <c r="C226" t="s">
        <v>1331</v>
      </c>
      <c r="D226">
        <v>248848772</v>
      </c>
      <c r="E226" t="s">
        <v>430</v>
      </c>
      <c r="F226" t="s">
        <v>431</v>
      </c>
      <c r="G226" t="s">
        <v>149</v>
      </c>
      <c r="H226" t="s">
        <v>150</v>
      </c>
      <c r="I226" t="s">
        <v>88</v>
      </c>
      <c r="J226" t="s">
        <v>151</v>
      </c>
      <c r="K226" t="s">
        <v>2</v>
      </c>
      <c r="L226" t="s">
        <v>1332</v>
      </c>
      <c r="M226" t="s">
        <v>1333</v>
      </c>
      <c r="N226" t="s">
        <v>433</v>
      </c>
      <c r="O226" t="s">
        <v>53</v>
      </c>
      <c r="P226" t="s">
        <v>1334</v>
      </c>
      <c r="Q226" s="14" t="s">
        <v>113</v>
      </c>
      <c r="R226" t="s">
        <v>1335</v>
      </c>
      <c r="S226">
        <v>0.34</v>
      </c>
      <c r="T226">
        <v>4973</v>
      </c>
      <c r="U226">
        <v>0</v>
      </c>
      <c r="V226">
        <v>4973</v>
      </c>
    </row>
    <row r="227" spans="1:22" x14ac:dyDescent="0.25">
      <c r="A227">
        <v>79452</v>
      </c>
      <c r="B227">
        <v>130311550</v>
      </c>
      <c r="C227" t="s">
        <v>1336</v>
      </c>
      <c r="D227">
        <v>248168303</v>
      </c>
      <c r="E227" t="s">
        <v>430</v>
      </c>
      <c r="F227" t="s">
        <v>431</v>
      </c>
      <c r="G227" t="s">
        <v>149</v>
      </c>
      <c r="H227" t="s">
        <v>150</v>
      </c>
      <c r="I227" t="s">
        <v>88</v>
      </c>
      <c r="J227" t="s">
        <v>151</v>
      </c>
      <c r="K227" t="s">
        <v>2</v>
      </c>
      <c r="L227" t="s">
        <v>1337</v>
      </c>
      <c r="M227" t="s">
        <v>1338</v>
      </c>
      <c r="N227" t="s">
        <v>433</v>
      </c>
      <c r="O227" t="s">
        <v>53</v>
      </c>
      <c r="P227" t="s">
        <v>1339</v>
      </c>
      <c r="Q227" s="14" t="s">
        <v>168</v>
      </c>
      <c r="R227" t="s">
        <v>1340</v>
      </c>
      <c r="S227">
        <v>0.41</v>
      </c>
      <c r="T227">
        <v>6480</v>
      </c>
      <c r="U227">
        <v>0</v>
      </c>
      <c r="V227">
        <v>6480</v>
      </c>
    </row>
    <row r="228" spans="1:22" x14ac:dyDescent="0.25">
      <c r="A228">
        <v>79452</v>
      </c>
      <c r="B228">
        <v>130650064</v>
      </c>
      <c r="C228" t="s">
        <v>1341</v>
      </c>
      <c r="D228">
        <v>248930654</v>
      </c>
      <c r="E228" t="s">
        <v>430</v>
      </c>
      <c r="F228" t="s">
        <v>431</v>
      </c>
      <c r="G228" t="s">
        <v>149</v>
      </c>
      <c r="H228" t="s">
        <v>150</v>
      </c>
      <c r="I228" t="s">
        <v>88</v>
      </c>
      <c r="J228" t="s">
        <v>151</v>
      </c>
      <c r="K228" t="s">
        <v>2</v>
      </c>
      <c r="L228" t="s">
        <v>1342</v>
      </c>
      <c r="M228" t="s">
        <v>284</v>
      </c>
      <c r="N228" t="s">
        <v>433</v>
      </c>
      <c r="O228" t="s">
        <v>53</v>
      </c>
      <c r="P228" t="s">
        <v>1343</v>
      </c>
      <c r="Q228" s="14" t="s">
        <v>119</v>
      </c>
      <c r="R228" t="s">
        <v>1344</v>
      </c>
      <c r="S228">
        <v>1</v>
      </c>
      <c r="T228">
        <v>5749</v>
      </c>
      <c r="U228">
        <v>0</v>
      </c>
      <c r="V228">
        <v>5749</v>
      </c>
    </row>
    <row r="229" spans="1:22" x14ac:dyDescent="0.25">
      <c r="A229">
        <v>79452</v>
      </c>
      <c r="B229">
        <v>130634758</v>
      </c>
      <c r="C229" t="s">
        <v>1345</v>
      </c>
      <c r="D229">
        <v>248930712</v>
      </c>
      <c r="E229" t="s">
        <v>430</v>
      </c>
      <c r="F229" t="s">
        <v>431</v>
      </c>
      <c r="G229" t="s">
        <v>149</v>
      </c>
      <c r="H229" t="s">
        <v>150</v>
      </c>
      <c r="I229" t="s">
        <v>88</v>
      </c>
      <c r="J229" t="s">
        <v>151</v>
      </c>
      <c r="K229" t="s">
        <v>2</v>
      </c>
      <c r="L229" t="s">
        <v>1346</v>
      </c>
      <c r="M229" t="s">
        <v>1125</v>
      </c>
      <c r="N229" t="s">
        <v>433</v>
      </c>
      <c r="O229" t="s">
        <v>53</v>
      </c>
      <c r="P229" t="s">
        <v>1126</v>
      </c>
      <c r="Q229" s="14" t="s">
        <v>107</v>
      </c>
      <c r="R229" t="s">
        <v>1303</v>
      </c>
      <c r="S229">
        <v>1</v>
      </c>
      <c r="T229">
        <v>6132</v>
      </c>
      <c r="U229">
        <v>0</v>
      </c>
      <c r="V229">
        <v>6132</v>
      </c>
    </row>
    <row r="230" spans="1:22" x14ac:dyDescent="0.25">
      <c r="A230">
        <v>79452</v>
      </c>
      <c r="B230">
        <v>130580438</v>
      </c>
      <c r="C230" t="s">
        <v>1347</v>
      </c>
      <c r="D230">
        <v>248770081</v>
      </c>
      <c r="E230" t="s">
        <v>430</v>
      </c>
      <c r="F230" t="s">
        <v>431</v>
      </c>
      <c r="G230" t="s">
        <v>149</v>
      </c>
      <c r="H230" t="s">
        <v>150</v>
      </c>
      <c r="I230" t="s">
        <v>88</v>
      </c>
      <c r="J230" t="s">
        <v>151</v>
      </c>
      <c r="K230" t="s">
        <v>2</v>
      </c>
      <c r="L230" t="s">
        <v>1348</v>
      </c>
      <c r="M230" t="s">
        <v>1349</v>
      </c>
      <c r="N230" t="s">
        <v>433</v>
      </c>
      <c r="O230" t="s">
        <v>53</v>
      </c>
      <c r="P230" t="s">
        <v>1350</v>
      </c>
      <c r="Q230" s="14" t="s">
        <v>122</v>
      </c>
      <c r="R230" t="s">
        <v>1291</v>
      </c>
      <c r="S230">
        <v>0.6</v>
      </c>
      <c r="T230">
        <v>4973</v>
      </c>
      <c r="U230">
        <v>0</v>
      </c>
      <c r="V230">
        <v>4973</v>
      </c>
    </row>
    <row r="231" spans="1:22" x14ac:dyDescent="0.25">
      <c r="A231">
        <v>79452</v>
      </c>
      <c r="B231">
        <v>130650062</v>
      </c>
      <c r="C231" t="s">
        <v>1351</v>
      </c>
      <c r="D231">
        <v>248930700</v>
      </c>
      <c r="E231" t="s">
        <v>430</v>
      </c>
      <c r="F231" t="s">
        <v>431</v>
      </c>
      <c r="G231" t="s">
        <v>149</v>
      </c>
      <c r="H231" t="s">
        <v>150</v>
      </c>
      <c r="I231" t="s">
        <v>88</v>
      </c>
      <c r="J231" t="s">
        <v>151</v>
      </c>
      <c r="K231" t="s">
        <v>2</v>
      </c>
      <c r="L231" t="s">
        <v>1352</v>
      </c>
      <c r="M231" t="s">
        <v>1353</v>
      </c>
      <c r="N231" t="s">
        <v>433</v>
      </c>
      <c r="O231" t="s">
        <v>53</v>
      </c>
      <c r="P231" t="s">
        <v>1354</v>
      </c>
      <c r="Q231" s="14" t="s">
        <v>113</v>
      </c>
      <c r="R231" t="s">
        <v>1344</v>
      </c>
      <c r="S231">
        <v>1</v>
      </c>
      <c r="T231">
        <v>4973</v>
      </c>
      <c r="U231">
        <v>0</v>
      </c>
      <c r="V231">
        <v>4973</v>
      </c>
    </row>
    <row r="232" spans="1:22" x14ac:dyDescent="0.25">
      <c r="A232">
        <v>79452</v>
      </c>
      <c r="B232">
        <v>130580452</v>
      </c>
      <c r="C232" t="s">
        <v>1355</v>
      </c>
      <c r="D232">
        <v>248770046</v>
      </c>
      <c r="E232" t="s">
        <v>430</v>
      </c>
      <c r="F232" t="s">
        <v>431</v>
      </c>
      <c r="G232" t="s">
        <v>149</v>
      </c>
      <c r="H232" t="s">
        <v>150</v>
      </c>
      <c r="I232" t="s">
        <v>88</v>
      </c>
      <c r="J232" t="s">
        <v>151</v>
      </c>
      <c r="K232" t="s">
        <v>2</v>
      </c>
      <c r="L232" t="s">
        <v>1356</v>
      </c>
      <c r="M232" t="s">
        <v>1357</v>
      </c>
      <c r="N232" t="s">
        <v>433</v>
      </c>
      <c r="O232" t="s">
        <v>53</v>
      </c>
      <c r="P232" t="s">
        <v>1358</v>
      </c>
      <c r="Q232" s="14" t="s">
        <v>167</v>
      </c>
      <c r="R232" t="s">
        <v>1046</v>
      </c>
      <c r="S232">
        <v>0.75</v>
      </c>
      <c r="T232">
        <v>7212</v>
      </c>
      <c r="U232">
        <v>0</v>
      </c>
      <c r="V232">
        <v>7212</v>
      </c>
    </row>
    <row r="233" spans="1:22" x14ac:dyDescent="0.25">
      <c r="A233">
        <v>79452</v>
      </c>
      <c r="B233">
        <v>130580442</v>
      </c>
      <c r="C233" t="s">
        <v>1359</v>
      </c>
      <c r="D233">
        <v>248770033</v>
      </c>
      <c r="E233" t="s">
        <v>430</v>
      </c>
      <c r="F233" t="s">
        <v>431</v>
      </c>
      <c r="G233" t="s">
        <v>149</v>
      </c>
      <c r="H233" t="s">
        <v>150</v>
      </c>
      <c r="I233" t="s">
        <v>88</v>
      </c>
      <c r="J233" t="s">
        <v>151</v>
      </c>
      <c r="K233" t="s">
        <v>2</v>
      </c>
      <c r="L233" t="s">
        <v>1360</v>
      </c>
      <c r="M233" t="s">
        <v>1361</v>
      </c>
      <c r="N233" t="s">
        <v>433</v>
      </c>
      <c r="O233" t="s">
        <v>53</v>
      </c>
      <c r="P233" t="s">
        <v>1362</v>
      </c>
      <c r="Q233" s="14" t="s">
        <v>129</v>
      </c>
      <c r="R233" t="s">
        <v>1046</v>
      </c>
      <c r="S233">
        <v>0.35</v>
      </c>
      <c r="T233">
        <v>7212</v>
      </c>
      <c r="U233">
        <v>0</v>
      </c>
      <c r="V233">
        <v>7212</v>
      </c>
    </row>
    <row r="234" spans="1:22" x14ac:dyDescent="0.25">
      <c r="A234">
        <v>79452</v>
      </c>
      <c r="B234">
        <v>130601533</v>
      </c>
      <c r="C234" t="s">
        <v>1363</v>
      </c>
      <c r="D234">
        <v>248848820</v>
      </c>
      <c r="E234" t="s">
        <v>430</v>
      </c>
      <c r="F234" t="s">
        <v>431</v>
      </c>
      <c r="G234" t="s">
        <v>149</v>
      </c>
      <c r="H234" t="s">
        <v>150</v>
      </c>
      <c r="I234" t="s">
        <v>88</v>
      </c>
      <c r="J234" t="s">
        <v>151</v>
      </c>
      <c r="K234" t="s">
        <v>2</v>
      </c>
      <c r="L234" t="s">
        <v>1364</v>
      </c>
      <c r="M234" t="s">
        <v>1365</v>
      </c>
      <c r="N234" t="s">
        <v>433</v>
      </c>
      <c r="O234" t="s">
        <v>53</v>
      </c>
      <c r="P234" t="s">
        <v>1366</v>
      </c>
      <c r="Q234" s="14" t="s">
        <v>148</v>
      </c>
      <c r="R234" t="s">
        <v>1335</v>
      </c>
      <c r="S234">
        <v>0.99</v>
      </c>
      <c r="T234">
        <v>6899</v>
      </c>
      <c r="U234">
        <v>0</v>
      </c>
      <c r="V234">
        <v>6899</v>
      </c>
    </row>
    <row r="235" spans="1:22" x14ac:dyDescent="0.25">
      <c r="A235">
        <v>79452</v>
      </c>
      <c r="B235">
        <v>130634755</v>
      </c>
      <c r="C235" t="s">
        <v>1367</v>
      </c>
      <c r="D235">
        <v>248930723</v>
      </c>
      <c r="E235" t="s">
        <v>430</v>
      </c>
      <c r="F235" t="s">
        <v>431</v>
      </c>
      <c r="G235" t="s">
        <v>149</v>
      </c>
      <c r="H235" t="s">
        <v>150</v>
      </c>
      <c r="I235" t="s">
        <v>88</v>
      </c>
      <c r="J235" t="s">
        <v>151</v>
      </c>
      <c r="K235" t="s">
        <v>2</v>
      </c>
      <c r="L235" t="s">
        <v>1368</v>
      </c>
      <c r="M235" t="s">
        <v>1369</v>
      </c>
      <c r="N235" t="s">
        <v>433</v>
      </c>
      <c r="O235" t="s">
        <v>53</v>
      </c>
      <c r="P235" t="s">
        <v>1370</v>
      </c>
      <c r="Q235" s="14" t="s">
        <v>99</v>
      </c>
      <c r="R235" t="s">
        <v>1303</v>
      </c>
      <c r="S235">
        <v>1</v>
      </c>
      <c r="T235">
        <v>4219</v>
      </c>
      <c r="U235">
        <v>0</v>
      </c>
      <c r="V235">
        <v>4219</v>
      </c>
    </row>
    <row r="236" spans="1:22" x14ac:dyDescent="0.25">
      <c r="A236">
        <v>79452</v>
      </c>
      <c r="B236">
        <v>130634743</v>
      </c>
      <c r="C236" t="s">
        <v>1371</v>
      </c>
      <c r="D236">
        <v>248930752</v>
      </c>
      <c r="E236" t="s">
        <v>430</v>
      </c>
      <c r="F236" t="s">
        <v>431</v>
      </c>
      <c r="G236" t="s">
        <v>149</v>
      </c>
      <c r="H236" t="s">
        <v>150</v>
      </c>
      <c r="I236" t="s">
        <v>88</v>
      </c>
      <c r="J236" t="s">
        <v>151</v>
      </c>
      <c r="K236" t="s">
        <v>2</v>
      </c>
      <c r="L236" t="s">
        <v>1372</v>
      </c>
      <c r="M236" t="s">
        <v>1373</v>
      </c>
      <c r="N236" t="s">
        <v>433</v>
      </c>
      <c r="O236" t="s">
        <v>53</v>
      </c>
      <c r="P236" t="s">
        <v>1374</v>
      </c>
      <c r="Q236" s="14" t="s">
        <v>124</v>
      </c>
      <c r="R236" t="s">
        <v>1303</v>
      </c>
      <c r="S236">
        <v>1</v>
      </c>
      <c r="T236">
        <v>4219</v>
      </c>
      <c r="U236">
        <v>0</v>
      </c>
      <c r="V236">
        <v>4219</v>
      </c>
    </row>
    <row r="237" spans="1:22" x14ac:dyDescent="0.25">
      <c r="A237">
        <v>79452</v>
      </c>
      <c r="B237">
        <v>130580456</v>
      </c>
      <c r="C237" t="s">
        <v>1375</v>
      </c>
      <c r="D237">
        <v>248769973</v>
      </c>
      <c r="E237" t="s">
        <v>430</v>
      </c>
      <c r="F237" t="s">
        <v>431</v>
      </c>
      <c r="G237" t="s">
        <v>149</v>
      </c>
      <c r="H237" t="s">
        <v>150</v>
      </c>
      <c r="I237" t="s">
        <v>88</v>
      </c>
      <c r="J237" t="s">
        <v>151</v>
      </c>
      <c r="K237" t="s">
        <v>2</v>
      </c>
      <c r="L237" t="s">
        <v>389</v>
      </c>
      <c r="M237" t="s">
        <v>1376</v>
      </c>
      <c r="N237" t="s">
        <v>433</v>
      </c>
      <c r="O237" t="s">
        <v>53</v>
      </c>
      <c r="P237" t="s">
        <v>1377</v>
      </c>
      <c r="Q237" s="14" t="s">
        <v>129</v>
      </c>
      <c r="R237" t="s">
        <v>1046</v>
      </c>
      <c r="S237">
        <v>0.83</v>
      </c>
      <c r="T237">
        <v>7212</v>
      </c>
      <c r="U237">
        <v>0</v>
      </c>
      <c r="V237">
        <v>7212</v>
      </c>
    </row>
    <row r="238" spans="1:22" x14ac:dyDescent="0.25">
      <c r="A238">
        <v>79452</v>
      </c>
      <c r="B238">
        <v>130580436</v>
      </c>
      <c r="C238" t="s">
        <v>1378</v>
      </c>
      <c r="D238">
        <v>248770065</v>
      </c>
      <c r="E238" t="s">
        <v>430</v>
      </c>
      <c r="F238" t="s">
        <v>431</v>
      </c>
      <c r="G238" t="s">
        <v>149</v>
      </c>
      <c r="H238" t="s">
        <v>150</v>
      </c>
      <c r="I238" t="s">
        <v>88</v>
      </c>
      <c r="J238" t="s">
        <v>151</v>
      </c>
      <c r="K238" t="s">
        <v>2</v>
      </c>
      <c r="L238" t="s">
        <v>1379</v>
      </c>
      <c r="M238" t="s">
        <v>1380</v>
      </c>
      <c r="N238" t="s">
        <v>433</v>
      </c>
      <c r="O238" t="s">
        <v>53</v>
      </c>
      <c r="P238" t="s">
        <v>1381</v>
      </c>
      <c r="Q238" s="14" t="s">
        <v>129</v>
      </c>
      <c r="R238" t="s">
        <v>1291</v>
      </c>
      <c r="S238">
        <v>0.53</v>
      </c>
      <c r="T238">
        <v>7212</v>
      </c>
      <c r="U238">
        <v>0</v>
      </c>
      <c r="V238">
        <v>7212</v>
      </c>
    </row>
    <row r="239" spans="1:22" x14ac:dyDescent="0.25">
      <c r="A239">
        <v>79452</v>
      </c>
      <c r="B239">
        <v>130534982</v>
      </c>
      <c r="C239" t="s">
        <v>1382</v>
      </c>
      <c r="D239">
        <v>248671707</v>
      </c>
      <c r="E239" t="s">
        <v>430</v>
      </c>
      <c r="F239" t="s">
        <v>431</v>
      </c>
      <c r="G239" t="s">
        <v>149</v>
      </c>
      <c r="H239" t="s">
        <v>150</v>
      </c>
      <c r="I239" t="s">
        <v>88</v>
      </c>
      <c r="J239" t="s">
        <v>151</v>
      </c>
      <c r="K239" t="s">
        <v>2</v>
      </c>
      <c r="L239" t="s">
        <v>1383</v>
      </c>
      <c r="M239" t="s">
        <v>1384</v>
      </c>
      <c r="N239" t="s">
        <v>433</v>
      </c>
      <c r="O239" t="s">
        <v>53</v>
      </c>
      <c r="P239" t="s">
        <v>1385</v>
      </c>
      <c r="Q239" s="14" t="s">
        <v>129</v>
      </c>
      <c r="R239" t="s">
        <v>212</v>
      </c>
      <c r="S239">
        <v>1.53</v>
      </c>
      <c r="T239">
        <v>7684</v>
      </c>
      <c r="U239">
        <v>0</v>
      </c>
      <c r="V239">
        <v>7684</v>
      </c>
    </row>
    <row r="240" spans="1:22" x14ac:dyDescent="0.25">
      <c r="A240">
        <v>79452</v>
      </c>
      <c r="B240">
        <v>130650069</v>
      </c>
      <c r="C240" t="s">
        <v>1386</v>
      </c>
      <c r="D240">
        <v>248930651</v>
      </c>
      <c r="E240" t="s">
        <v>430</v>
      </c>
      <c r="F240" t="s">
        <v>431</v>
      </c>
      <c r="G240" t="s">
        <v>149</v>
      </c>
      <c r="H240" t="s">
        <v>150</v>
      </c>
      <c r="I240" t="s">
        <v>88</v>
      </c>
      <c r="J240" t="s">
        <v>151</v>
      </c>
      <c r="K240" t="s">
        <v>2</v>
      </c>
      <c r="L240" t="s">
        <v>1387</v>
      </c>
      <c r="M240" t="s">
        <v>1388</v>
      </c>
      <c r="N240" t="s">
        <v>433</v>
      </c>
      <c r="O240" t="s">
        <v>53</v>
      </c>
      <c r="P240" t="s">
        <v>1389</v>
      </c>
      <c r="Q240" s="14" t="s">
        <v>122</v>
      </c>
      <c r="R240" t="s">
        <v>1390</v>
      </c>
      <c r="S240">
        <v>1</v>
      </c>
      <c r="T240">
        <v>4973</v>
      </c>
      <c r="U240">
        <v>0</v>
      </c>
      <c r="V240">
        <v>4973</v>
      </c>
    </row>
    <row r="241" spans="1:22" x14ac:dyDescent="0.25">
      <c r="A241">
        <v>79452</v>
      </c>
      <c r="B241">
        <v>130601540</v>
      </c>
      <c r="C241" t="s">
        <v>1391</v>
      </c>
      <c r="D241">
        <v>248848794</v>
      </c>
      <c r="E241" t="s">
        <v>430</v>
      </c>
      <c r="F241" t="s">
        <v>431</v>
      </c>
      <c r="G241" t="s">
        <v>149</v>
      </c>
      <c r="H241" t="s">
        <v>150</v>
      </c>
      <c r="I241" t="s">
        <v>88</v>
      </c>
      <c r="J241" t="s">
        <v>151</v>
      </c>
      <c r="K241" t="s">
        <v>2</v>
      </c>
      <c r="L241" t="s">
        <v>1392</v>
      </c>
      <c r="M241" t="s">
        <v>1393</v>
      </c>
      <c r="N241" t="s">
        <v>433</v>
      </c>
      <c r="O241" t="s">
        <v>53</v>
      </c>
      <c r="P241" t="s">
        <v>1394</v>
      </c>
      <c r="Q241" s="14" t="s">
        <v>242</v>
      </c>
      <c r="R241" t="s">
        <v>1335</v>
      </c>
      <c r="S241">
        <v>0.44</v>
      </c>
      <c r="T241">
        <v>6132</v>
      </c>
      <c r="U241">
        <v>0</v>
      </c>
      <c r="V241">
        <v>6132</v>
      </c>
    </row>
    <row r="242" spans="1:22" x14ac:dyDescent="0.25">
      <c r="A242">
        <v>79452</v>
      </c>
      <c r="B242">
        <v>130580406</v>
      </c>
      <c r="C242" t="s">
        <v>1395</v>
      </c>
      <c r="D242">
        <v>248770136</v>
      </c>
      <c r="E242" t="s">
        <v>430</v>
      </c>
      <c r="F242" t="s">
        <v>431</v>
      </c>
      <c r="G242" t="s">
        <v>149</v>
      </c>
      <c r="H242" t="s">
        <v>150</v>
      </c>
      <c r="I242" t="s">
        <v>88</v>
      </c>
      <c r="J242" t="s">
        <v>151</v>
      </c>
      <c r="K242" t="s">
        <v>2</v>
      </c>
      <c r="L242" t="s">
        <v>1396</v>
      </c>
      <c r="M242" t="s">
        <v>1397</v>
      </c>
      <c r="N242" t="s">
        <v>433</v>
      </c>
      <c r="O242" t="s">
        <v>53</v>
      </c>
      <c r="P242" t="s">
        <v>1398</v>
      </c>
      <c r="Q242" s="14" t="s">
        <v>38</v>
      </c>
      <c r="R242" t="s">
        <v>1291</v>
      </c>
      <c r="S242">
        <v>0.55000000000000004</v>
      </c>
      <c r="T242">
        <v>4669</v>
      </c>
      <c r="U242">
        <v>0</v>
      </c>
      <c r="V242">
        <v>4669</v>
      </c>
    </row>
    <row r="243" spans="1:22" x14ac:dyDescent="0.25">
      <c r="A243">
        <v>79452</v>
      </c>
      <c r="B243">
        <v>130614750</v>
      </c>
      <c r="C243" t="s">
        <v>1399</v>
      </c>
      <c r="D243">
        <v>248848724</v>
      </c>
      <c r="E243" t="s">
        <v>430</v>
      </c>
      <c r="F243" t="s">
        <v>431</v>
      </c>
      <c r="G243" t="s">
        <v>149</v>
      </c>
      <c r="H243" t="s">
        <v>150</v>
      </c>
      <c r="I243" t="s">
        <v>88</v>
      </c>
      <c r="J243" t="s">
        <v>151</v>
      </c>
      <c r="K243" t="s">
        <v>2</v>
      </c>
      <c r="L243" t="s">
        <v>1400</v>
      </c>
      <c r="M243" t="s">
        <v>1401</v>
      </c>
      <c r="N243" t="s">
        <v>433</v>
      </c>
      <c r="O243" t="s">
        <v>53</v>
      </c>
      <c r="P243" t="s">
        <v>1402</v>
      </c>
      <c r="Q243" s="14" t="s">
        <v>113</v>
      </c>
      <c r="R243" t="s">
        <v>1079</v>
      </c>
      <c r="S243">
        <v>0.57999999999999996</v>
      </c>
      <c r="T243">
        <v>4973</v>
      </c>
      <c r="U243">
        <v>0</v>
      </c>
      <c r="V243">
        <v>4973</v>
      </c>
    </row>
    <row r="244" spans="1:22" x14ac:dyDescent="0.25">
      <c r="A244">
        <v>79452</v>
      </c>
      <c r="B244">
        <v>130601547</v>
      </c>
      <c r="C244" t="s">
        <v>1403</v>
      </c>
      <c r="D244">
        <v>248848735</v>
      </c>
      <c r="E244" t="s">
        <v>430</v>
      </c>
      <c r="F244" t="s">
        <v>431</v>
      </c>
      <c r="G244" t="s">
        <v>149</v>
      </c>
      <c r="H244" t="s">
        <v>150</v>
      </c>
      <c r="I244" t="s">
        <v>88</v>
      </c>
      <c r="J244" t="s">
        <v>151</v>
      </c>
      <c r="K244" t="s">
        <v>2</v>
      </c>
      <c r="L244" t="s">
        <v>1404</v>
      </c>
      <c r="M244" t="s">
        <v>1405</v>
      </c>
      <c r="N244" t="s">
        <v>433</v>
      </c>
      <c r="O244" t="s">
        <v>53</v>
      </c>
      <c r="P244" t="s">
        <v>1406</v>
      </c>
      <c r="Q244" s="14" t="s">
        <v>93</v>
      </c>
      <c r="R244" t="s">
        <v>1335</v>
      </c>
      <c r="S244">
        <v>0.54</v>
      </c>
      <c r="T244">
        <v>4737</v>
      </c>
      <c r="U244">
        <v>0</v>
      </c>
      <c r="V244">
        <v>4737</v>
      </c>
    </row>
    <row r="245" spans="1:22" x14ac:dyDescent="0.25">
      <c r="A245">
        <v>79452</v>
      </c>
      <c r="B245">
        <v>130534105</v>
      </c>
      <c r="C245" t="s">
        <v>1407</v>
      </c>
      <c r="D245">
        <v>248671903</v>
      </c>
      <c r="E245" t="s">
        <v>430</v>
      </c>
      <c r="F245" t="s">
        <v>431</v>
      </c>
      <c r="G245" t="s">
        <v>149</v>
      </c>
      <c r="H245" t="s">
        <v>150</v>
      </c>
      <c r="I245" t="s">
        <v>88</v>
      </c>
      <c r="J245" t="s">
        <v>151</v>
      </c>
      <c r="K245" t="s">
        <v>2</v>
      </c>
      <c r="L245" t="s">
        <v>1408</v>
      </c>
      <c r="M245" t="s">
        <v>162</v>
      </c>
      <c r="N245" t="s">
        <v>433</v>
      </c>
      <c r="O245" t="s">
        <v>53</v>
      </c>
      <c r="P245" t="s">
        <v>1409</v>
      </c>
      <c r="Q245" s="14" t="s">
        <v>170</v>
      </c>
      <c r="R245" t="s">
        <v>390</v>
      </c>
      <c r="S245">
        <v>0.89</v>
      </c>
      <c r="T245">
        <v>5749</v>
      </c>
      <c r="U245">
        <v>0</v>
      </c>
      <c r="V245">
        <v>5749</v>
      </c>
    </row>
    <row r="246" spans="1:22" x14ac:dyDescent="0.25">
      <c r="A246">
        <v>79452</v>
      </c>
      <c r="B246">
        <v>130580391</v>
      </c>
      <c r="C246" t="s">
        <v>1410</v>
      </c>
      <c r="D246">
        <v>248770169</v>
      </c>
      <c r="E246" t="s">
        <v>430</v>
      </c>
      <c r="F246" t="s">
        <v>431</v>
      </c>
      <c r="G246" t="s">
        <v>149</v>
      </c>
      <c r="H246" t="s">
        <v>150</v>
      </c>
      <c r="I246" t="s">
        <v>88</v>
      </c>
      <c r="J246" t="s">
        <v>151</v>
      </c>
      <c r="K246" t="s">
        <v>2</v>
      </c>
      <c r="L246" t="s">
        <v>1309</v>
      </c>
      <c r="M246" t="s">
        <v>1411</v>
      </c>
      <c r="N246" t="s">
        <v>433</v>
      </c>
      <c r="O246" t="s">
        <v>53</v>
      </c>
      <c r="P246" t="s">
        <v>1412</v>
      </c>
      <c r="Q246" s="14" t="s">
        <v>163</v>
      </c>
      <c r="R246" t="s">
        <v>1291</v>
      </c>
      <c r="S246">
        <v>0.27</v>
      </c>
      <c r="T246">
        <v>4219</v>
      </c>
      <c r="U246">
        <v>0</v>
      </c>
      <c r="V246">
        <v>4219</v>
      </c>
    </row>
    <row r="247" spans="1:22" x14ac:dyDescent="0.25">
      <c r="A247">
        <v>79452</v>
      </c>
      <c r="B247">
        <v>130601549</v>
      </c>
      <c r="C247" t="s">
        <v>1413</v>
      </c>
      <c r="D247">
        <v>248848745</v>
      </c>
      <c r="E247" t="s">
        <v>430</v>
      </c>
      <c r="F247" t="s">
        <v>431</v>
      </c>
      <c r="G247" t="s">
        <v>149</v>
      </c>
      <c r="H247" t="s">
        <v>150</v>
      </c>
      <c r="I247" t="s">
        <v>88</v>
      </c>
      <c r="J247" t="s">
        <v>151</v>
      </c>
      <c r="K247" t="s">
        <v>2</v>
      </c>
      <c r="L247" t="s">
        <v>1414</v>
      </c>
      <c r="M247" t="s">
        <v>1415</v>
      </c>
      <c r="N247" t="s">
        <v>433</v>
      </c>
      <c r="O247" t="s">
        <v>53</v>
      </c>
      <c r="P247" t="s">
        <v>1416</v>
      </c>
      <c r="Q247" s="14" t="s">
        <v>317</v>
      </c>
      <c r="R247" t="s">
        <v>1335</v>
      </c>
      <c r="S247">
        <v>1</v>
      </c>
      <c r="T247">
        <v>4534</v>
      </c>
      <c r="U247">
        <v>0</v>
      </c>
      <c r="V247">
        <v>4534</v>
      </c>
    </row>
    <row r="248" spans="1:22" x14ac:dyDescent="0.25">
      <c r="A248">
        <v>79452</v>
      </c>
      <c r="B248">
        <v>130614761</v>
      </c>
      <c r="C248" t="s">
        <v>1417</v>
      </c>
      <c r="D248">
        <v>248848695</v>
      </c>
      <c r="E248" t="s">
        <v>430</v>
      </c>
      <c r="F248" t="s">
        <v>431</v>
      </c>
      <c r="G248" t="s">
        <v>149</v>
      </c>
      <c r="H248" t="s">
        <v>150</v>
      </c>
      <c r="I248" t="s">
        <v>88</v>
      </c>
      <c r="J248" t="s">
        <v>151</v>
      </c>
      <c r="K248" t="s">
        <v>2</v>
      </c>
      <c r="L248" t="s">
        <v>1418</v>
      </c>
      <c r="M248" t="s">
        <v>669</v>
      </c>
      <c r="N248" t="s">
        <v>433</v>
      </c>
      <c r="O248" t="s">
        <v>53</v>
      </c>
      <c r="P248" t="s">
        <v>670</v>
      </c>
      <c r="Q248" s="14" t="s">
        <v>120</v>
      </c>
      <c r="R248" t="s">
        <v>1419</v>
      </c>
      <c r="S248">
        <v>1</v>
      </c>
      <c r="T248">
        <v>5153</v>
      </c>
      <c r="U248">
        <v>0</v>
      </c>
      <c r="V248">
        <v>5153</v>
      </c>
    </row>
    <row r="249" spans="1:22" x14ac:dyDescent="0.25">
      <c r="A249">
        <v>79452</v>
      </c>
      <c r="B249">
        <v>130311555</v>
      </c>
      <c r="C249" t="s">
        <v>1420</v>
      </c>
      <c r="D249" t="s">
        <v>1421</v>
      </c>
      <c r="E249" t="s">
        <v>430</v>
      </c>
      <c r="F249" t="s">
        <v>431</v>
      </c>
      <c r="G249" t="s">
        <v>39</v>
      </c>
      <c r="H249" t="s">
        <v>153</v>
      </c>
      <c r="I249" t="s">
        <v>88</v>
      </c>
      <c r="J249" t="s">
        <v>154</v>
      </c>
      <c r="K249" t="s">
        <v>2</v>
      </c>
      <c r="L249" t="s">
        <v>155</v>
      </c>
      <c r="M249" t="s">
        <v>1422</v>
      </c>
      <c r="N249" t="s">
        <v>433</v>
      </c>
      <c r="O249" t="s">
        <v>53</v>
      </c>
      <c r="P249" t="s">
        <v>1423</v>
      </c>
      <c r="Q249" s="14" t="s">
        <v>52</v>
      </c>
      <c r="R249" t="s">
        <v>1340</v>
      </c>
      <c r="S249">
        <v>0.63</v>
      </c>
      <c r="T249">
        <v>3838</v>
      </c>
      <c r="U249">
        <v>0</v>
      </c>
      <c r="V249">
        <v>3838</v>
      </c>
    </row>
    <row r="250" spans="1:22" x14ac:dyDescent="0.25">
      <c r="A250">
        <v>79452</v>
      </c>
      <c r="B250">
        <v>130311551</v>
      </c>
      <c r="C250" t="s">
        <v>1424</v>
      </c>
      <c r="D250" t="s">
        <v>1425</v>
      </c>
      <c r="E250" t="s">
        <v>430</v>
      </c>
      <c r="F250" t="s">
        <v>431</v>
      </c>
      <c r="G250" t="s">
        <v>39</v>
      </c>
      <c r="H250" t="s">
        <v>153</v>
      </c>
      <c r="I250" t="s">
        <v>88</v>
      </c>
      <c r="J250" t="s">
        <v>154</v>
      </c>
      <c r="K250" t="s">
        <v>2</v>
      </c>
      <c r="L250" t="s">
        <v>155</v>
      </c>
      <c r="M250" t="s">
        <v>1426</v>
      </c>
      <c r="N250" t="s">
        <v>433</v>
      </c>
      <c r="O250" t="s">
        <v>53</v>
      </c>
      <c r="P250" t="s">
        <v>1427</v>
      </c>
      <c r="Q250" s="14" t="s">
        <v>293</v>
      </c>
      <c r="R250" t="s">
        <v>1340</v>
      </c>
      <c r="S250">
        <v>0.32</v>
      </c>
      <c r="T250">
        <v>5491</v>
      </c>
      <c r="U250">
        <v>0</v>
      </c>
      <c r="V250">
        <v>5491</v>
      </c>
    </row>
    <row r="251" spans="1:22" x14ac:dyDescent="0.25">
      <c r="A251">
        <v>79452</v>
      </c>
      <c r="B251">
        <v>130580454</v>
      </c>
      <c r="C251" t="s">
        <v>1428</v>
      </c>
      <c r="D251">
        <v>248770016</v>
      </c>
      <c r="E251" t="s">
        <v>430</v>
      </c>
      <c r="F251" t="s">
        <v>431</v>
      </c>
      <c r="G251" t="s">
        <v>149</v>
      </c>
      <c r="H251" t="s">
        <v>150</v>
      </c>
      <c r="I251" t="s">
        <v>88</v>
      </c>
      <c r="J251" t="s">
        <v>151</v>
      </c>
      <c r="K251" t="s">
        <v>2</v>
      </c>
      <c r="L251" t="s">
        <v>1429</v>
      </c>
      <c r="M251" t="s">
        <v>1430</v>
      </c>
      <c r="N251" t="s">
        <v>433</v>
      </c>
      <c r="O251" t="s">
        <v>53</v>
      </c>
      <c r="P251" t="s">
        <v>1431</v>
      </c>
      <c r="Q251" s="14" t="s">
        <v>124</v>
      </c>
      <c r="R251" t="s">
        <v>1046</v>
      </c>
      <c r="S251">
        <v>0.53</v>
      </c>
      <c r="T251">
        <v>4219</v>
      </c>
      <c r="U251">
        <v>0</v>
      </c>
      <c r="V251">
        <v>4219</v>
      </c>
    </row>
    <row r="252" spans="1:22" x14ac:dyDescent="0.25">
      <c r="A252">
        <v>79452</v>
      </c>
      <c r="B252">
        <v>130580426</v>
      </c>
      <c r="C252" t="s">
        <v>1432</v>
      </c>
      <c r="D252">
        <v>248770108</v>
      </c>
      <c r="E252" t="s">
        <v>430</v>
      </c>
      <c r="F252" t="s">
        <v>431</v>
      </c>
      <c r="G252" t="s">
        <v>149</v>
      </c>
      <c r="H252" t="s">
        <v>150</v>
      </c>
      <c r="I252" t="s">
        <v>88</v>
      </c>
      <c r="J252" t="s">
        <v>151</v>
      </c>
      <c r="K252" t="s">
        <v>2</v>
      </c>
      <c r="L252" t="s">
        <v>1433</v>
      </c>
      <c r="M252" t="s">
        <v>1434</v>
      </c>
      <c r="N252" t="s">
        <v>433</v>
      </c>
      <c r="O252" t="s">
        <v>53</v>
      </c>
      <c r="P252" t="s">
        <v>1435</v>
      </c>
      <c r="Q252" s="14" t="s">
        <v>104</v>
      </c>
      <c r="R252" t="s">
        <v>1291</v>
      </c>
      <c r="S252">
        <v>0.32</v>
      </c>
      <c r="T252">
        <v>4737</v>
      </c>
      <c r="U252">
        <v>0</v>
      </c>
      <c r="V252">
        <v>4737</v>
      </c>
    </row>
    <row r="253" spans="1:22" x14ac:dyDescent="0.25">
      <c r="A253">
        <v>79452</v>
      </c>
      <c r="B253">
        <v>130580427</v>
      </c>
      <c r="C253" t="s">
        <v>1436</v>
      </c>
      <c r="D253">
        <v>248770119</v>
      </c>
      <c r="E253" t="s">
        <v>430</v>
      </c>
      <c r="F253" t="s">
        <v>431</v>
      </c>
      <c r="G253" t="s">
        <v>149</v>
      </c>
      <c r="H253" t="s">
        <v>150</v>
      </c>
      <c r="I253" t="s">
        <v>88</v>
      </c>
      <c r="J253" t="s">
        <v>151</v>
      </c>
      <c r="K253" t="s">
        <v>2</v>
      </c>
      <c r="L253" t="s">
        <v>1437</v>
      </c>
      <c r="M253" t="s">
        <v>1438</v>
      </c>
      <c r="N253" t="s">
        <v>433</v>
      </c>
      <c r="O253" t="s">
        <v>53</v>
      </c>
      <c r="P253" t="s">
        <v>1439</v>
      </c>
      <c r="Q253" s="14" t="s">
        <v>198</v>
      </c>
      <c r="R253" t="s">
        <v>1291</v>
      </c>
      <c r="S253">
        <v>0.38</v>
      </c>
      <c r="T253">
        <v>4973</v>
      </c>
      <c r="U253">
        <v>0</v>
      </c>
      <c r="V253">
        <v>4973</v>
      </c>
    </row>
    <row r="254" spans="1:22" x14ac:dyDescent="0.25">
      <c r="A254">
        <v>79452</v>
      </c>
      <c r="B254">
        <v>130580435</v>
      </c>
      <c r="C254" t="s">
        <v>1440</v>
      </c>
      <c r="D254">
        <v>248770068</v>
      </c>
      <c r="E254" t="s">
        <v>430</v>
      </c>
      <c r="F254" t="s">
        <v>431</v>
      </c>
      <c r="G254" t="s">
        <v>149</v>
      </c>
      <c r="H254" t="s">
        <v>150</v>
      </c>
      <c r="I254" t="s">
        <v>88</v>
      </c>
      <c r="J254" t="s">
        <v>151</v>
      </c>
      <c r="K254" t="s">
        <v>2</v>
      </c>
      <c r="L254" t="s">
        <v>1441</v>
      </c>
      <c r="M254" t="s">
        <v>1442</v>
      </c>
      <c r="N254" t="s">
        <v>433</v>
      </c>
      <c r="O254" t="s">
        <v>53</v>
      </c>
      <c r="P254" t="s">
        <v>1443</v>
      </c>
      <c r="Q254" s="14" t="s">
        <v>152</v>
      </c>
      <c r="R254" t="s">
        <v>1291</v>
      </c>
      <c r="S254">
        <v>1</v>
      </c>
      <c r="T254">
        <v>4219</v>
      </c>
      <c r="U254">
        <v>0</v>
      </c>
      <c r="V254">
        <v>4219</v>
      </c>
    </row>
    <row r="255" spans="1:22" x14ac:dyDescent="0.25">
      <c r="A255">
        <v>79452</v>
      </c>
      <c r="B255">
        <v>130534471</v>
      </c>
      <c r="C255" t="s">
        <v>1444</v>
      </c>
      <c r="D255">
        <v>248671793</v>
      </c>
      <c r="E255" t="s">
        <v>430</v>
      </c>
      <c r="F255" t="s">
        <v>431</v>
      </c>
      <c r="G255" t="s">
        <v>149</v>
      </c>
      <c r="H255" t="s">
        <v>150</v>
      </c>
      <c r="I255" t="s">
        <v>88</v>
      </c>
      <c r="J255" t="s">
        <v>151</v>
      </c>
      <c r="K255" t="s">
        <v>2</v>
      </c>
      <c r="L255" t="s">
        <v>1445</v>
      </c>
      <c r="M255" t="s">
        <v>1446</v>
      </c>
      <c r="N255" t="s">
        <v>433</v>
      </c>
      <c r="O255" t="s">
        <v>53</v>
      </c>
      <c r="P255" t="s">
        <v>1447</v>
      </c>
      <c r="Q255" s="14" t="s">
        <v>167</v>
      </c>
      <c r="R255" t="s">
        <v>1448</v>
      </c>
      <c r="S255">
        <v>1.1399999999999999</v>
      </c>
      <c r="T255">
        <v>7684</v>
      </c>
      <c r="U255">
        <v>0</v>
      </c>
      <c r="V255">
        <v>7684</v>
      </c>
    </row>
    <row r="256" spans="1:22" x14ac:dyDescent="0.25">
      <c r="A256">
        <v>79452</v>
      </c>
      <c r="B256">
        <v>130534344</v>
      </c>
      <c r="C256" t="s">
        <v>1449</v>
      </c>
      <c r="D256">
        <v>248671810</v>
      </c>
      <c r="E256" t="s">
        <v>430</v>
      </c>
      <c r="F256" t="s">
        <v>431</v>
      </c>
      <c r="G256" t="s">
        <v>149</v>
      </c>
      <c r="H256" t="s">
        <v>150</v>
      </c>
      <c r="I256" t="s">
        <v>88</v>
      </c>
      <c r="J256" t="s">
        <v>151</v>
      </c>
      <c r="K256" t="s">
        <v>2</v>
      </c>
      <c r="L256" t="s">
        <v>1450</v>
      </c>
      <c r="M256" t="s">
        <v>1451</v>
      </c>
      <c r="N256" t="s">
        <v>433</v>
      </c>
      <c r="O256" t="s">
        <v>53</v>
      </c>
      <c r="P256" t="s">
        <v>1452</v>
      </c>
      <c r="Q256" s="14" t="s">
        <v>129</v>
      </c>
      <c r="R256" t="s">
        <v>1453</v>
      </c>
      <c r="S256">
        <v>0.38</v>
      </c>
      <c r="T256">
        <v>7212</v>
      </c>
      <c r="U256">
        <v>0</v>
      </c>
      <c r="V256">
        <v>7212</v>
      </c>
    </row>
    <row r="257" spans="1:22" x14ac:dyDescent="0.25">
      <c r="A257">
        <v>79452</v>
      </c>
      <c r="B257">
        <v>130484218</v>
      </c>
      <c r="C257" t="s">
        <v>1454</v>
      </c>
      <c r="D257">
        <v>248577433</v>
      </c>
      <c r="E257" t="s">
        <v>430</v>
      </c>
      <c r="F257" t="s">
        <v>431</v>
      </c>
      <c r="G257" t="s">
        <v>149</v>
      </c>
      <c r="H257" t="s">
        <v>150</v>
      </c>
      <c r="I257" t="s">
        <v>88</v>
      </c>
      <c r="J257" t="s">
        <v>151</v>
      </c>
      <c r="K257" t="s">
        <v>2</v>
      </c>
      <c r="L257" t="s">
        <v>1455</v>
      </c>
      <c r="M257" t="s">
        <v>1005</v>
      </c>
      <c r="N257" t="s">
        <v>433</v>
      </c>
      <c r="O257" t="s">
        <v>53</v>
      </c>
      <c r="P257" t="s">
        <v>1456</v>
      </c>
      <c r="Q257" s="14" t="s">
        <v>242</v>
      </c>
      <c r="R257" t="s">
        <v>1139</v>
      </c>
      <c r="S257">
        <v>1</v>
      </c>
      <c r="T257">
        <v>6132</v>
      </c>
      <c r="U257">
        <v>0</v>
      </c>
      <c r="V257">
        <v>6132</v>
      </c>
    </row>
    <row r="258" spans="1:22" x14ac:dyDescent="0.25">
      <c r="A258">
        <v>79452</v>
      </c>
      <c r="B258">
        <v>130484212</v>
      </c>
      <c r="C258" t="s">
        <v>1457</v>
      </c>
      <c r="D258">
        <v>248577441</v>
      </c>
      <c r="E258" t="s">
        <v>430</v>
      </c>
      <c r="F258" t="s">
        <v>431</v>
      </c>
      <c r="G258" t="s">
        <v>149</v>
      </c>
      <c r="H258" t="s">
        <v>150</v>
      </c>
      <c r="I258" t="s">
        <v>88</v>
      </c>
      <c r="J258" t="s">
        <v>151</v>
      </c>
      <c r="K258" t="s">
        <v>2</v>
      </c>
      <c r="L258" t="s">
        <v>1458</v>
      </c>
      <c r="M258" t="s">
        <v>1459</v>
      </c>
      <c r="N258" t="s">
        <v>433</v>
      </c>
      <c r="O258" t="s">
        <v>53</v>
      </c>
      <c r="P258" t="s">
        <v>1460</v>
      </c>
      <c r="Q258" s="14" t="s">
        <v>167</v>
      </c>
      <c r="R258" t="s">
        <v>1139</v>
      </c>
      <c r="S258">
        <v>0.53</v>
      </c>
      <c r="T258">
        <v>7212</v>
      </c>
      <c r="U258">
        <v>0</v>
      </c>
      <c r="V258">
        <v>7212</v>
      </c>
    </row>
    <row r="259" spans="1:22" x14ac:dyDescent="0.25">
      <c r="A259">
        <v>79452</v>
      </c>
      <c r="B259">
        <v>130534139</v>
      </c>
      <c r="C259" t="s">
        <v>1461</v>
      </c>
      <c r="D259">
        <v>248671872</v>
      </c>
      <c r="E259" t="s">
        <v>430</v>
      </c>
      <c r="F259" t="s">
        <v>431</v>
      </c>
      <c r="G259" t="s">
        <v>149</v>
      </c>
      <c r="H259" t="s">
        <v>150</v>
      </c>
      <c r="I259" t="s">
        <v>88</v>
      </c>
      <c r="J259" t="s">
        <v>151</v>
      </c>
      <c r="K259" t="s">
        <v>2</v>
      </c>
      <c r="L259" t="s">
        <v>1462</v>
      </c>
      <c r="M259" t="s">
        <v>408</v>
      </c>
      <c r="N259" t="s">
        <v>433</v>
      </c>
      <c r="O259" t="s">
        <v>53</v>
      </c>
      <c r="P259" t="s">
        <v>1463</v>
      </c>
      <c r="Q259" s="14" t="s">
        <v>129</v>
      </c>
      <c r="R259" t="s">
        <v>390</v>
      </c>
      <c r="S259">
        <v>0.28999999999999998</v>
      </c>
      <c r="T259">
        <v>7212</v>
      </c>
      <c r="U259">
        <v>0</v>
      </c>
      <c r="V259">
        <v>7212</v>
      </c>
    </row>
    <row r="260" spans="1:22" x14ac:dyDescent="0.25">
      <c r="A260">
        <v>79452</v>
      </c>
      <c r="B260">
        <v>130484208</v>
      </c>
      <c r="C260" t="s">
        <v>1464</v>
      </c>
      <c r="D260">
        <v>248577415</v>
      </c>
      <c r="E260" t="s">
        <v>430</v>
      </c>
      <c r="F260" t="s">
        <v>431</v>
      </c>
      <c r="G260" t="s">
        <v>149</v>
      </c>
      <c r="H260" t="s">
        <v>150</v>
      </c>
      <c r="I260" t="s">
        <v>88</v>
      </c>
      <c r="J260" t="s">
        <v>151</v>
      </c>
      <c r="K260" t="s">
        <v>2</v>
      </c>
      <c r="L260" t="s">
        <v>1465</v>
      </c>
      <c r="M260" t="s">
        <v>1466</v>
      </c>
      <c r="N260" t="s">
        <v>433</v>
      </c>
      <c r="O260" t="s">
        <v>53</v>
      </c>
      <c r="P260" t="s">
        <v>1467</v>
      </c>
      <c r="Q260" s="14" t="s">
        <v>167</v>
      </c>
      <c r="R260" t="s">
        <v>1139</v>
      </c>
      <c r="S260">
        <v>0.36</v>
      </c>
      <c r="T260">
        <v>7212</v>
      </c>
      <c r="U260">
        <v>0</v>
      </c>
      <c r="V260">
        <v>7212</v>
      </c>
    </row>
    <row r="261" spans="1:22" x14ac:dyDescent="0.25">
      <c r="A261">
        <v>79452</v>
      </c>
      <c r="B261">
        <v>130534760</v>
      </c>
      <c r="C261" t="s">
        <v>1468</v>
      </c>
      <c r="D261">
        <v>248671741</v>
      </c>
      <c r="E261" t="s">
        <v>430</v>
      </c>
      <c r="F261" t="s">
        <v>431</v>
      </c>
      <c r="G261" t="s">
        <v>149</v>
      </c>
      <c r="H261" t="s">
        <v>150</v>
      </c>
      <c r="I261" t="s">
        <v>88</v>
      </c>
      <c r="J261" t="s">
        <v>151</v>
      </c>
      <c r="K261" t="s">
        <v>2</v>
      </c>
      <c r="L261" t="s">
        <v>1469</v>
      </c>
      <c r="M261" t="s">
        <v>1470</v>
      </c>
      <c r="N261" t="s">
        <v>433</v>
      </c>
      <c r="O261" t="s">
        <v>53</v>
      </c>
      <c r="P261" t="s">
        <v>1471</v>
      </c>
      <c r="Q261" s="14" t="s">
        <v>111</v>
      </c>
      <c r="R261" t="s">
        <v>1472</v>
      </c>
      <c r="S261">
        <v>0.26</v>
      </c>
      <c r="T261">
        <v>5817</v>
      </c>
      <c r="U261">
        <v>0</v>
      </c>
      <c r="V261">
        <v>5817</v>
      </c>
    </row>
    <row r="262" spans="1:22" x14ac:dyDescent="0.25">
      <c r="A262">
        <v>79452</v>
      </c>
      <c r="B262">
        <v>130534905</v>
      </c>
      <c r="C262" t="s">
        <v>1473</v>
      </c>
      <c r="D262">
        <v>248671690</v>
      </c>
      <c r="E262" t="s">
        <v>430</v>
      </c>
      <c r="F262" t="s">
        <v>431</v>
      </c>
      <c r="G262" t="s">
        <v>149</v>
      </c>
      <c r="H262" t="s">
        <v>150</v>
      </c>
      <c r="I262" t="s">
        <v>88</v>
      </c>
      <c r="J262" t="s">
        <v>151</v>
      </c>
      <c r="K262" t="s">
        <v>2</v>
      </c>
      <c r="L262" t="s">
        <v>1474</v>
      </c>
      <c r="M262" t="s">
        <v>1475</v>
      </c>
      <c r="N262" t="s">
        <v>433</v>
      </c>
      <c r="O262" t="s">
        <v>53</v>
      </c>
      <c r="P262" t="s">
        <v>1476</v>
      </c>
      <c r="Q262" s="14" t="s">
        <v>120</v>
      </c>
      <c r="R262" t="s">
        <v>1477</v>
      </c>
      <c r="S262">
        <v>0.37</v>
      </c>
      <c r="T262">
        <v>5153</v>
      </c>
      <c r="U262">
        <v>0</v>
      </c>
      <c r="V262">
        <v>5153</v>
      </c>
    </row>
    <row r="263" spans="1:22" x14ac:dyDescent="0.25">
      <c r="A263">
        <v>79452</v>
      </c>
      <c r="B263">
        <v>130484209</v>
      </c>
      <c r="C263" t="s">
        <v>1478</v>
      </c>
      <c r="D263">
        <v>248577428</v>
      </c>
      <c r="E263" t="s">
        <v>430</v>
      </c>
      <c r="F263" t="s">
        <v>431</v>
      </c>
      <c r="G263" t="s">
        <v>149</v>
      </c>
      <c r="H263" t="s">
        <v>150</v>
      </c>
      <c r="I263" t="s">
        <v>88</v>
      </c>
      <c r="J263" t="s">
        <v>151</v>
      </c>
      <c r="K263" t="s">
        <v>2</v>
      </c>
      <c r="L263" t="s">
        <v>1479</v>
      </c>
      <c r="M263" t="s">
        <v>1480</v>
      </c>
      <c r="N263" t="s">
        <v>433</v>
      </c>
      <c r="O263" t="s">
        <v>53</v>
      </c>
      <c r="P263" t="s">
        <v>1481</v>
      </c>
      <c r="Q263" s="14" t="s">
        <v>125</v>
      </c>
      <c r="R263" t="s">
        <v>1139</v>
      </c>
      <c r="S263">
        <v>0.74</v>
      </c>
      <c r="T263">
        <v>4219</v>
      </c>
      <c r="U263">
        <v>0</v>
      </c>
      <c r="V263">
        <v>4219</v>
      </c>
    </row>
    <row r="264" spans="1:22" x14ac:dyDescent="0.25">
      <c r="A264">
        <v>79452</v>
      </c>
      <c r="B264">
        <v>130534625</v>
      </c>
      <c r="C264" t="s">
        <v>1482</v>
      </c>
      <c r="D264">
        <v>248671752</v>
      </c>
      <c r="E264" t="s">
        <v>430</v>
      </c>
      <c r="F264" t="s">
        <v>431</v>
      </c>
      <c r="G264" t="s">
        <v>149</v>
      </c>
      <c r="H264" t="s">
        <v>150</v>
      </c>
      <c r="I264" t="s">
        <v>88</v>
      </c>
      <c r="J264" t="s">
        <v>151</v>
      </c>
      <c r="K264" t="s">
        <v>2</v>
      </c>
      <c r="L264" t="s">
        <v>1483</v>
      </c>
      <c r="M264" t="s">
        <v>1484</v>
      </c>
      <c r="N264" t="s">
        <v>433</v>
      </c>
      <c r="O264" t="s">
        <v>53</v>
      </c>
      <c r="P264" t="s">
        <v>1485</v>
      </c>
      <c r="Q264" s="14" t="s">
        <v>38</v>
      </c>
      <c r="R264" t="s">
        <v>1486</v>
      </c>
      <c r="S264">
        <v>0.5</v>
      </c>
      <c r="T264">
        <v>4669</v>
      </c>
      <c r="U264">
        <v>0</v>
      </c>
      <c r="V264">
        <v>4669</v>
      </c>
    </row>
    <row r="265" spans="1:22" x14ac:dyDescent="0.25">
      <c r="A265">
        <v>79452</v>
      </c>
      <c r="B265">
        <v>130534370</v>
      </c>
      <c r="C265" t="s">
        <v>1487</v>
      </c>
      <c r="D265">
        <v>248671805</v>
      </c>
      <c r="E265" t="s">
        <v>430</v>
      </c>
      <c r="F265" t="s">
        <v>431</v>
      </c>
      <c r="G265" t="s">
        <v>149</v>
      </c>
      <c r="H265" t="s">
        <v>150</v>
      </c>
      <c r="I265" t="s">
        <v>88</v>
      </c>
      <c r="J265" t="s">
        <v>151</v>
      </c>
      <c r="K265" t="s">
        <v>2</v>
      </c>
      <c r="L265" t="s">
        <v>1488</v>
      </c>
      <c r="M265" t="s">
        <v>1489</v>
      </c>
      <c r="N265" t="s">
        <v>433</v>
      </c>
      <c r="O265" t="s">
        <v>53</v>
      </c>
      <c r="P265" t="s">
        <v>1490</v>
      </c>
      <c r="Q265" s="14" t="s">
        <v>122</v>
      </c>
      <c r="R265" t="s">
        <v>1448</v>
      </c>
      <c r="S265">
        <v>0.49</v>
      </c>
      <c r="T265">
        <v>4973</v>
      </c>
      <c r="U265">
        <v>0</v>
      </c>
      <c r="V265">
        <v>4973</v>
      </c>
    </row>
    <row r="266" spans="1:22" x14ac:dyDescent="0.25">
      <c r="A266">
        <v>79452</v>
      </c>
      <c r="B266">
        <v>130489475</v>
      </c>
      <c r="C266" t="s">
        <v>1491</v>
      </c>
      <c r="D266">
        <v>248577451</v>
      </c>
      <c r="E266" t="s">
        <v>430</v>
      </c>
      <c r="F266" t="s">
        <v>431</v>
      </c>
      <c r="G266" t="s">
        <v>149</v>
      </c>
      <c r="H266" t="s">
        <v>150</v>
      </c>
      <c r="I266" t="s">
        <v>88</v>
      </c>
      <c r="J266" t="s">
        <v>151</v>
      </c>
      <c r="K266" t="s">
        <v>2</v>
      </c>
      <c r="L266" t="s">
        <v>1492</v>
      </c>
      <c r="M266" t="s">
        <v>1493</v>
      </c>
      <c r="N266" t="s">
        <v>433</v>
      </c>
      <c r="O266" t="s">
        <v>53</v>
      </c>
      <c r="P266" t="s">
        <v>1494</v>
      </c>
      <c r="Q266" s="14" t="s">
        <v>108</v>
      </c>
      <c r="R266" t="s">
        <v>1495</v>
      </c>
      <c r="S266">
        <v>1</v>
      </c>
      <c r="T266">
        <v>5502</v>
      </c>
      <c r="U266">
        <v>0</v>
      </c>
      <c r="V266">
        <v>5502</v>
      </c>
    </row>
    <row r="267" spans="1:22" x14ac:dyDescent="0.25">
      <c r="A267">
        <v>79452</v>
      </c>
      <c r="B267">
        <v>130489474</v>
      </c>
      <c r="C267" t="s">
        <v>1496</v>
      </c>
      <c r="D267">
        <v>248577462</v>
      </c>
      <c r="E267" t="s">
        <v>430</v>
      </c>
      <c r="F267" t="s">
        <v>431</v>
      </c>
      <c r="G267" t="s">
        <v>149</v>
      </c>
      <c r="H267" t="s">
        <v>150</v>
      </c>
      <c r="I267" t="s">
        <v>88</v>
      </c>
      <c r="J267" t="s">
        <v>151</v>
      </c>
      <c r="K267" t="s">
        <v>2</v>
      </c>
      <c r="L267" t="s">
        <v>1497</v>
      </c>
      <c r="M267" t="s">
        <v>1498</v>
      </c>
      <c r="N267" t="s">
        <v>433</v>
      </c>
      <c r="O267" t="s">
        <v>53</v>
      </c>
      <c r="P267" t="s">
        <v>1499</v>
      </c>
      <c r="Q267" s="14" t="s">
        <v>125</v>
      </c>
      <c r="R267" t="s">
        <v>1495</v>
      </c>
      <c r="S267">
        <v>0.51</v>
      </c>
      <c r="T267">
        <v>4219</v>
      </c>
      <c r="U267">
        <v>0</v>
      </c>
      <c r="V267">
        <v>4219</v>
      </c>
    </row>
    <row r="268" spans="1:22" x14ac:dyDescent="0.25">
      <c r="A268">
        <v>79452</v>
      </c>
      <c r="B268">
        <v>130534731</v>
      </c>
      <c r="C268" t="s">
        <v>1500</v>
      </c>
      <c r="D268">
        <v>248671746</v>
      </c>
      <c r="E268" t="s">
        <v>430</v>
      </c>
      <c r="F268" t="s">
        <v>431</v>
      </c>
      <c r="G268" t="s">
        <v>149</v>
      </c>
      <c r="H268" t="s">
        <v>150</v>
      </c>
      <c r="I268" t="s">
        <v>88</v>
      </c>
      <c r="J268" t="s">
        <v>151</v>
      </c>
      <c r="K268" t="s">
        <v>2</v>
      </c>
      <c r="L268" t="s">
        <v>1501</v>
      </c>
      <c r="M268" t="s">
        <v>273</v>
      </c>
      <c r="N268" t="s">
        <v>433</v>
      </c>
      <c r="O268" t="s">
        <v>53</v>
      </c>
      <c r="P268" t="s">
        <v>1502</v>
      </c>
      <c r="Q268" s="14" t="s">
        <v>38</v>
      </c>
      <c r="R268" t="s">
        <v>1472</v>
      </c>
      <c r="S268">
        <v>0.52</v>
      </c>
      <c r="T268">
        <v>4669</v>
      </c>
      <c r="U268">
        <v>0</v>
      </c>
      <c r="V268">
        <v>4669</v>
      </c>
    </row>
    <row r="269" spans="1:22" x14ac:dyDescent="0.25">
      <c r="A269">
        <v>79452</v>
      </c>
      <c r="B269">
        <v>130534403</v>
      </c>
      <c r="C269" t="s">
        <v>1503</v>
      </c>
      <c r="D269">
        <v>248671821</v>
      </c>
      <c r="E269" t="s">
        <v>430</v>
      </c>
      <c r="F269" t="s">
        <v>431</v>
      </c>
      <c r="G269" t="s">
        <v>149</v>
      </c>
      <c r="H269" t="s">
        <v>150</v>
      </c>
      <c r="I269" t="s">
        <v>88</v>
      </c>
      <c r="J269" t="s">
        <v>151</v>
      </c>
      <c r="K269" t="s">
        <v>2</v>
      </c>
      <c r="L269" t="s">
        <v>1504</v>
      </c>
      <c r="M269" t="s">
        <v>1505</v>
      </c>
      <c r="N269" t="s">
        <v>433</v>
      </c>
      <c r="O269" t="s">
        <v>53</v>
      </c>
      <c r="P269" t="s">
        <v>1506</v>
      </c>
      <c r="Q269" s="14" t="s">
        <v>142</v>
      </c>
      <c r="R269" t="s">
        <v>1448</v>
      </c>
      <c r="S269">
        <v>1.1399999999999999</v>
      </c>
      <c r="T269">
        <v>4478</v>
      </c>
      <c r="U269">
        <v>0</v>
      </c>
      <c r="V269">
        <v>4478</v>
      </c>
    </row>
    <row r="270" spans="1:22" x14ac:dyDescent="0.25">
      <c r="A270">
        <v>79452</v>
      </c>
      <c r="B270">
        <v>130534703</v>
      </c>
      <c r="C270" t="s">
        <v>1507</v>
      </c>
      <c r="D270">
        <v>248671750</v>
      </c>
      <c r="E270" t="s">
        <v>430</v>
      </c>
      <c r="F270" t="s">
        <v>431</v>
      </c>
      <c r="G270" t="s">
        <v>149</v>
      </c>
      <c r="H270" t="s">
        <v>150</v>
      </c>
      <c r="I270" t="s">
        <v>88</v>
      </c>
      <c r="J270" t="s">
        <v>151</v>
      </c>
      <c r="K270" t="s">
        <v>2</v>
      </c>
      <c r="L270" t="s">
        <v>1508</v>
      </c>
      <c r="M270" t="s">
        <v>1509</v>
      </c>
      <c r="N270" t="s">
        <v>433</v>
      </c>
      <c r="O270" t="s">
        <v>53</v>
      </c>
      <c r="P270" t="s">
        <v>1510</v>
      </c>
      <c r="Q270" s="14" t="s">
        <v>92</v>
      </c>
      <c r="R270" t="s">
        <v>1486</v>
      </c>
      <c r="S270">
        <v>0.3</v>
      </c>
      <c r="T270">
        <v>4669</v>
      </c>
      <c r="U270">
        <v>0</v>
      </c>
      <c r="V270">
        <v>4669</v>
      </c>
    </row>
    <row r="271" spans="1:22" x14ac:dyDescent="0.25">
      <c r="A271">
        <v>79452</v>
      </c>
      <c r="B271">
        <v>130534526</v>
      </c>
      <c r="C271" t="s">
        <v>1511</v>
      </c>
      <c r="D271">
        <v>248671756</v>
      </c>
      <c r="E271" t="s">
        <v>430</v>
      </c>
      <c r="F271" t="s">
        <v>431</v>
      </c>
      <c r="G271" t="s">
        <v>149</v>
      </c>
      <c r="H271" t="s">
        <v>150</v>
      </c>
      <c r="I271" t="s">
        <v>88</v>
      </c>
      <c r="J271" t="s">
        <v>151</v>
      </c>
      <c r="K271" t="s">
        <v>2</v>
      </c>
      <c r="L271" t="s">
        <v>1512</v>
      </c>
      <c r="M271" t="s">
        <v>267</v>
      </c>
      <c r="N271" t="s">
        <v>433</v>
      </c>
      <c r="O271" t="s">
        <v>53</v>
      </c>
      <c r="P271" t="s">
        <v>1513</v>
      </c>
      <c r="Q271" s="14" t="s">
        <v>95</v>
      </c>
      <c r="R271" t="s">
        <v>1514</v>
      </c>
      <c r="S271">
        <v>1.33</v>
      </c>
      <c r="T271">
        <v>6244</v>
      </c>
      <c r="U271">
        <v>0</v>
      </c>
      <c r="V271">
        <v>6244</v>
      </c>
    </row>
    <row r="272" spans="1:22" x14ac:dyDescent="0.25">
      <c r="A272">
        <v>79452</v>
      </c>
      <c r="B272">
        <v>130534962</v>
      </c>
      <c r="C272" t="s">
        <v>1515</v>
      </c>
      <c r="D272">
        <v>248671714</v>
      </c>
      <c r="E272" t="s">
        <v>430</v>
      </c>
      <c r="F272" t="s">
        <v>431</v>
      </c>
      <c r="G272" t="s">
        <v>149</v>
      </c>
      <c r="H272" t="s">
        <v>150</v>
      </c>
      <c r="I272" t="s">
        <v>88</v>
      </c>
      <c r="J272" t="s">
        <v>151</v>
      </c>
      <c r="K272" t="s">
        <v>2</v>
      </c>
      <c r="L272" t="s">
        <v>1516</v>
      </c>
      <c r="M272" t="s">
        <v>261</v>
      </c>
      <c r="N272" t="s">
        <v>433</v>
      </c>
      <c r="O272" t="s">
        <v>53</v>
      </c>
      <c r="P272" t="s">
        <v>1517</v>
      </c>
      <c r="Q272" s="14" t="s">
        <v>133</v>
      </c>
      <c r="R272" t="s">
        <v>212</v>
      </c>
      <c r="S272">
        <v>0.53</v>
      </c>
      <c r="T272">
        <v>9945</v>
      </c>
      <c r="U272">
        <v>0</v>
      </c>
      <c r="V272">
        <v>9945</v>
      </c>
    </row>
    <row r="273" spans="1:22" x14ac:dyDescent="0.25">
      <c r="A273">
        <v>79452</v>
      </c>
      <c r="B273">
        <v>130534589</v>
      </c>
      <c r="C273" t="s">
        <v>1518</v>
      </c>
      <c r="D273">
        <v>248671753</v>
      </c>
      <c r="E273" t="s">
        <v>430</v>
      </c>
      <c r="F273" t="s">
        <v>431</v>
      </c>
      <c r="G273" t="s">
        <v>149</v>
      </c>
      <c r="H273" t="s">
        <v>150</v>
      </c>
      <c r="I273" t="s">
        <v>88</v>
      </c>
      <c r="J273" t="s">
        <v>151</v>
      </c>
      <c r="K273" t="s">
        <v>2</v>
      </c>
      <c r="L273" t="s">
        <v>1519</v>
      </c>
      <c r="M273" t="s">
        <v>1520</v>
      </c>
      <c r="N273" t="s">
        <v>433</v>
      </c>
      <c r="O273" t="s">
        <v>53</v>
      </c>
      <c r="P273" t="s">
        <v>1521</v>
      </c>
      <c r="Q273" s="14" t="s">
        <v>40</v>
      </c>
      <c r="R273" t="s">
        <v>1486</v>
      </c>
      <c r="S273">
        <v>0.5</v>
      </c>
      <c r="T273">
        <v>4534</v>
      </c>
      <c r="U273">
        <v>0</v>
      </c>
      <c r="V273">
        <v>4534</v>
      </c>
    </row>
    <row r="274" spans="1:22" x14ac:dyDescent="0.25">
      <c r="A274">
        <v>79452</v>
      </c>
      <c r="B274">
        <v>130463996</v>
      </c>
      <c r="C274" t="s">
        <v>1522</v>
      </c>
      <c r="D274">
        <v>248504650</v>
      </c>
      <c r="E274" t="s">
        <v>430</v>
      </c>
      <c r="F274" t="s">
        <v>431</v>
      </c>
      <c r="G274" t="s">
        <v>149</v>
      </c>
      <c r="H274" t="s">
        <v>150</v>
      </c>
      <c r="I274" t="s">
        <v>88</v>
      </c>
      <c r="J274" t="s">
        <v>151</v>
      </c>
      <c r="K274" t="s">
        <v>2</v>
      </c>
      <c r="L274" t="s">
        <v>1523</v>
      </c>
      <c r="M274" t="s">
        <v>1285</v>
      </c>
      <c r="N274" t="s">
        <v>433</v>
      </c>
      <c r="O274" t="s">
        <v>53</v>
      </c>
      <c r="P274" t="s">
        <v>1286</v>
      </c>
      <c r="Q274" s="14" t="s">
        <v>129</v>
      </c>
      <c r="R274" t="s">
        <v>1524</v>
      </c>
      <c r="S274">
        <v>0.37</v>
      </c>
      <c r="T274">
        <v>7212</v>
      </c>
      <c r="U274">
        <v>0</v>
      </c>
      <c r="V274">
        <v>7212</v>
      </c>
    </row>
    <row r="275" spans="1:22" x14ac:dyDescent="0.25">
      <c r="A275">
        <v>79452</v>
      </c>
      <c r="B275">
        <v>130455726</v>
      </c>
      <c r="C275" t="s">
        <v>1525</v>
      </c>
      <c r="D275">
        <v>248504577</v>
      </c>
      <c r="E275" t="s">
        <v>430</v>
      </c>
      <c r="F275" t="s">
        <v>431</v>
      </c>
      <c r="G275" t="s">
        <v>149</v>
      </c>
      <c r="H275" t="s">
        <v>150</v>
      </c>
      <c r="I275" t="s">
        <v>88</v>
      </c>
      <c r="J275" t="s">
        <v>151</v>
      </c>
      <c r="K275" t="s">
        <v>2</v>
      </c>
      <c r="L275" t="s">
        <v>1526</v>
      </c>
      <c r="M275" t="s">
        <v>1527</v>
      </c>
      <c r="N275" t="s">
        <v>433</v>
      </c>
      <c r="O275" t="s">
        <v>53</v>
      </c>
      <c r="P275" t="s">
        <v>1528</v>
      </c>
      <c r="Q275" s="14" t="s">
        <v>129</v>
      </c>
      <c r="R275" t="s">
        <v>175</v>
      </c>
      <c r="S275">
        <v>1.32</v>
      </c>
      <c r="T275">
        <v>7684</v>
      </c>
      <c r="U275">
        <v>0</v>
      </c>
      <c r="V275">
        <v>7684</v>
      </c>
    </row>
    <row r="276" spans="1:22" x14ac:dyDescent="0.25">
      <c r="A276">
        <v>79452</v>
      </c>
      <c r="B276">
        <v>130433449</v>
      </c>
      <c r="C276" t="s">
        <v>1529</v>
      </c>
      <c r="D276">
        <v>248432031</v>
      </c>
      <c r="E276" t="s">
        <v>430</v>
      </c>
      <c r="F276" t="s">
        <v>431</v>
      </c>
      <c r="G276" t="s">
        <v>149</v>
      </c>
      <c r="H276" t="s">
        <v>150</v>
      </c>
      <c r="I276" t="s">
        <v>88</v>
      </c>
      <c r="J276" t="s">
        <v>151</v>
      </c>
      <c r="K276" t="s">
        <v>2</v>
      </c>
      <c r="L276" t="s">
        <v>1530</v>
      </c>
      <c r="M276" t="s">
        <v>1531</v>
      </c>
      <c r="N276" t="s">
        <v>433</v>
      </c>
      <c r="O276" t="s">
        <v>53</v>
      </c>
      <c r="P276" t="s">
        <v>1532</v>
      </c>
      <c r="Q276" s="14" t="s">
        <v>129</v>
      </c>
      <c r="R276" t="s">
        <v>403</v>
      </c>
      <c r="S276">
        <v>1</v>
      </c>
      <c r="T276">
        <v>7212</v>
      </c>
      <c r="U276">
        <v>0</v>
      </c>
      <c r="V276">
        <v>7212</v>
      </c>
    </row>
    <row r="277" spans="1:22" x14ac:dyDescent="0.25">
      <c r="A277">
        <v>79452</v>
      </c>
      <c r="B277">
        <v>130396259</v>
      </c>
      <c r="C277" t="s">
        <v>1533</v>
      </c>
      <c r="D277">
        <v>248348356</v>
      </c>
      <c r="E277" t="s">
        <v>430</v>
      </c>
      <c r="F277" t="s">
        <v>431</v>
      </c>
      <c r="G277" t="s">
        <v>149</v>
      </c>
      <c r="H277" t="s">
        <v>150</v>
      </c>
      <c r="I277" t="s">
        <v>88</v>
      </c>
      <c r="J277" t="s">
        <v>151</v>
      </c>
      <c r="K277" t="s">
        <v>2</v>
      </c>
      <c r="L277" t="s">
        <v>1534</v>
      </c>
      <c r="M277" t="s">
        <v>1535</v>
      </c>
      <c r="N277" t="s">
        <v>433</v>
      </c>
      <c r="O277" t="s">
        <v>53</v>
      </c>
      <c r="P277" t="s">
        <v>1536</v>
      </c>
      <c r="Q277" s="14" t="s">
        <v>128</v>
      </c>
      <c r="R277" t="s">
        <v>1537</v>
      </c>
      <c r="S277">
        <v>0.56000000000000005</v>
      </c>
      <c r="T277">
        <v>7864</v>
      </c>
      <c r="U277">
        <v>0</v>
      </c>
      <c r="V277">
        <v>7864</v>
      </c>
    </row>
    <row r="278" spans="1:22" x14ac:dyDescent="0.25">
      <c r="A278">
        <v>79452</v>
      </c>
      <c r="B278">
        <v>130455742</v>
      </c>
      <c r="C278" t="s">
        <v>1538</v>
      </c>
      <c r="D278">
        <v>248504661</v>
      </c>
      <c r="E278" t="s">
        <v>430</v>
      </c>
      <c r="F278" t="s">
        <v>431</v>
      </c>
      <c r="G278" t="s">
        <v>149</v>
      </c>
      <c r="H278" t="s">
        <v>150</v>
      </c>
      <c r="I278" t="s">
        <v>88</v>
      </c>
      <c r="J278" t="s">
        <v>151</v>
      </c>
      <c r="K278" t="s">
        <v>2</v>
      </c>
      <c r="L278" t="s">
        <v>1539</v>
      </c>
      <c r="M278" t="s">
        <v>1540</v>
      </c>
      <c r="N278" t="s">
        <v>433</v>
      </c>
      <c r="O278" t="s">
        <v>53</v>
      </c>
      <c r="P278" t="s">
        <v>1541</v>
      </c>
      <c r="Q278" s="14" t="s">
        <v>167</v>
      </c>
      <c r="R278" t="s">
        <v>175</v>
      </c>
      <c r="S278">
        <v>0.89</v>
      </c>
      <c r="T278">
        <v>7212</v>
      </c>
      <c r="U278">
        <v>0</v>
      </c>
      <c r="V278">
        <v>7212</v>
      </c>
    </row>
    <row r="279" spans="1:22" x14ac:dyDescent="0.25">
      <c r="A279">
        <v>79452</v>
      </c>
      <c r="B279">
        <v>130464009</v>
      </c>
      <c r="C279" t="s">
        <v>1542</v>
      </c>
      <c r="D279">
        <v>248504742</v>
      </c>
      <c r="E279" t="s">
        <v>430</v>
      </c>
      <c r="F279" t="s">
        <v>431</v>
      </c>
      <c r="G279" t="s">
        <v>149</v>
      </c>
      <c r="H279" t="s">
        <v>150</v>
      </c>
      <c r="I279" t="s">
        <v>88</v>
      </c>
      <c r="J279" t="s">
        <v>151</v>
      </c>
      <c r="K279" t="s">
        <v>2</v>
      </c>
      <c r="L279" t="s">
        <v>1543</v>
      </c>
      <c r="M279" t="s">
        <v>1544</v>
      </c>
      <c r="N279" t="s">
        <v>433</v>
      </c>
      <c r="O279" t="s">
        <v>53</v>
      </c>
      <c r="P279" t="s">
        <v>1545</v>
      </c>
      <c r="Q279" s="14" t="s">
        <v>167</v>
      </c>
      <c r="R279" t="s">
        <v>1524</v>
      </c>
      <c r="S279">
        <v>0.38</v>
      </c>
      <c r="T279">
        <v>7212</v>
      </c>
      <c r="U279">
        <v>0</v>
      </c>
      <c r="V279">
        <v>7212</v>
      </c>
    </row>
    <row r="280" spans="1:22" x14ac:dyDescent="0.25">
      <c r="A280">
        <v>79452</v>
      </c>
      <c r="B280">
        <v>130396271</v>
      </c>
      <c r="C280" t="s">
        <v>1546</v>
      </c>
      <c r="D280">
        <v>248348307</v>
      </c>
      <c r="E280" t="s">
        <v>430</v>
      </c>
      <c r="F280" t="s">
        <v>431</v>
      </c>
      <c r="G280" t="s">
        <v>149</v>
      </c>
      <c r="H280" t="s">
        <v>150</v>
      </c>
      <c r="I280" t="s">
        <v>88</v>
      </c>
      <c r="J280" t="s">
        <v>151</v>
      </c>
      <c r="K280" t="s">
        <v>2</v>
      </c>
      <c r="L280" t="s">
        <v>1547</v>
      </c>
      <c r="M280" t="s">
        <v>1548</v>
      </c>
      <c r="N280" t="s">
        <v>433</v>
      </c>
      <c r="O280" t="s">
        <v>53</v>
      </c>
      <c r="P280" t="s">
        <v>1549</v>
      </c>
      <c r="Q280" s="14" t="s">
        <v>221</v>
      </c>
      <c r="R280" t="s">
        <v>1537</v>
      </c>
      <c r="S280">
        <v>0.25</v>
      </c>
      <c r="T280">
        <v>6132</v>
      </c>
      <c r="U280">
        <v>0</v>
      </c>
      <c r="V280">
        <v>6132</v>
      </c>
    </row>
    <row r="281" spans="1:22" x14ac:dyDescent="0.25">
      <c r="A281">
        <v>79452</v>
      </c>
      <c r="B281">
        <v>130433468</v>
      </c>
      <c r="C281" t="s">
        <v>1550</v>
      </c>
      <c r="D281">
        <v>248432011</v>
      </c>
      <c r="E281" t="s">
        <v>430</v>
      </c>
      <c r="F281" t="s">
        <v>431</v>
      </c>
      <c r="G281" t="s">
        <v>149</v>
      </c>
      <c r="H281" t="s">
        <v>150</v>
      </c>
      <c r="I281" t="s">
        <v>88</v>
      </c>
      <c r="J281" t="s">
        <v>151</v>
      </c>
      <c r="K281" t="s">
        <v>2</v>
      </c>
      <c r="L281" t="s">
        <v>1551</v>
      </c>
      <c r="M281" t="s">
        <v>1552</v>
      </c>
      <c r="N281" t="s">
        <v>433</v>
      </c>
      <c r="O281" t="s">
        <v>53</v>
      </c>
      <c r="P281" t="s">
        <v>1553</v>
      </c>
      <c r="Q281" s="14" t="s">
        <v>111</v>
      </c>
      <c r="R281" t="s">
        <v>403</v>
      </c>
      <c r="S281">
        <v>0.57999999999999996</v>
      </c>
      <c r="T281">
        <v>5817</v>
      </c>
      <c r="U281">
        <v>0</v>
      </c>
      <c r="V281">
        <v>5817</v>
      </c>
    </row>
    <row r="282" spans="1:22" x14ac:dyDescent="0.25">
      <c r="A282">
        <v>79452</v>
      </c>
      <c r="B282">
        <v>130455736</v>
      </c>
      <c r="C282" t="s">
        <v>1554</v>
      </c>
      <c r="D282">
        <v>248504627</v>
      </c>
      <c r="E282" t="s">
        <v>430</v>
      </c>
      <c r="F282" t="s">
        <v>431</v>
      </c>
      <c r="G282" t="s">
        <v>149</v>
      </c>
      <c r="H282" t="s">
        <v>150</v>
      </c>
      <c r="I282" t="s">
        <v>88</v>
      </c>
      <c r="J282" t="s">
        <v>151</v>
      </c>
      <c r="K282" t="s">
        <v>2</v>
      </c>
      <c r="L282" t="s">
        <v>1555</v>
      </c>
      <c r="M282" t="s">
        <v>1556</v>
      </c>
      <c r="N282" t="s">
        <v>433</v>
      </c>
      <c r="O282" t="s">
        <v>53</v>
      </c>
      <c r="P282" t="s">
        <v>1557</v>
      </c>
      <c r="Q282" s="14" t="s">
        <v>111</v>
      </c>
      <c r="R282" t="s">
        <v>175</v>
      </c>
      <c r="S282">
        <v>0.31</v>
      </c>
      <c r="T282">
        <v>5817</v>
      </c>
      <c r="U282">
        <v>0</v>
      </c>
      <c r="V282">
        <v>5817</v>
      </c>
    </row>
    <row r="283" spans="1:22" x14ac:dyDescent="0.25">
      <c r="A283">
        <v>79452</v>
      </c>
      <c r="B283">
        <v>130463999</v>
      </c>
      <c r="C283" t="s">
        <v>1558</v>
      </c>
      <c r="D283">
        <v>248504690</v>
      </c>
      <c r="E283" t="s">
        <v>430</v>
      </c>
      <c r="F283" t="s">
        <v>431</v>
      </c>
      <c r="G283" t="s">
        <v>149</v>
      </c>
      <c r="H283" t="s">
        <v>150</v>
      </c>
      <c r="I283" t="s">
        <v>88</v>
      </c>
      <c r="J283" t="s">
        <v>151</v>
      </c>
      <c r="K283" t="s">
        <v>2</v>
      </c>
      <c r="L283" t="s">
        <v>1559</v>
      </c>
      <c r="M283" t="s">
        <v>1560</v>
      </c>
      <c r="N283" t="s">
        <v>433</v>
      </c>
      <c r="O283" t="s">
        <v>53</v>
      </c>
      <c r="P283" t="s">
        <v>1561</v>
      </c>
      <c r="Q283" s="14" t="s">
        <v>95</v>
      </c>
      <c r="R283" t="s">
        <v>1524</v>
      </c>
      <c r="S283">
        <v>1</v>
      </c>
      <c r="T283">
        <v>5749</v>
      </c>
      <c r="U283">
        <v>0</v>
      </c>
      <c r="V283">
        <v>5749</v>
      </c>
    </row>
    <row r="284" spans="1:22" x14ac:dyDescent="0.25">
      <c r="A284">
        <v>79452</v>
      </c>
      <c r="B284">
        <v>130433474</v>
      </c>
      <c r="C284" t="s">
        <v>1562</v>
      </c>
      <c r="D284">
        <v>248432010</v>
      </c>
      <c r="E284" t="s">
        <v>430</v>
      </c>
      <c r="F284" t="s">
        <v>431</v>
      </c>
      <c r="G284" t="s">
        <v>149</v>
      </c>
      <c r="H284" t="s">
        <v>150</v>
      </c>
      <c r="I284" t="s">
        <v>88</v>
      </c>
      <c r="J284" t="s">
        <v>151</v>
      </c>
      <c r="K284" t="s">
        <v>2</v>
      </c>
      <c r="L284" t="s">
        <v>1563</v>
      </c>
      <c r="M284" t="s">
        <v>1564</v>
      </c>
      <c r="N284" t="s">
        <v>433</v>
      </c>
      <c r="O284" t="s">
        <v>53</v>
      </c>
      <c r="P284" t="s">
        <v>1565</v>
      </c>
      <c r="Q284" s="14" t="s">
        <v>142</v>
      </c>
      <c r="R284" t="s">
        <v>403</v>
      </c>
      <c r="S284">
        <v>0.34</v>
      </c>
      <c r="T284">
        <v>4219</v>
      </c>
      <c r="U284">
        <v>0</v>
      </c>
      <c r="V284">
        <v>4219</v>
      </c>
    </row>
    <row r="285" spans="1:22" x14ac:dyDescent="0.25">
      <c r="A285">
        <v>79452</v>
      </c>
      <c r="B285">
        <v>130463997</v>
      </c>
      <c r="C285" t="s">
        <v>1566</v>
      </c>
      <c r="D285">
        <v>248504674</v>
      </c>
      <c r="E285" t="s">
        <v>430</v>
      </c>
      <c r="F285" t="s">
        <v>431</v>
      </c>
      <c r="G285" t="s">
        <v>149</v>
      </c>
      <c r="H285" t="s">
        <v>150</v>
      </c>
      <c r="I285" t="s">
        <v>88</v>
      </c>
      <c r="J285" t="s">
        <v>151</v>
      </c>
      <c r="K285" t="s">
        <v>2</v>
      </c>
      <c r="L285" t="s">
        <v>1567</v>
      </c>
      <c r="M285" t="s">
        <v>1568</v>
      </c>
      <c r="N285" t="s">
        <v>433</v>
      </c>
      <c r="O285" t="s">
        <v>53</v>
      </c>
      <c r="P285" t="s">
        <v>1569</v>
      </c>
      <c r="Q285" s="14" t="s">
        <v>113</v>
      </c>
      <c r="R285" t="s">
        <v>1524</v>
      </c>
      <c r="S285">
        <v>0.39</v>
      </c>
      <c r="T285">
        <v>4973</v>
      </c>
      <c r="U285">
        <v>0</v>
      </c>
      <c r="V285">
        <v>4973</v>
      </c>
    </row>
    <row r="286" spans="1:22" x14ac:dyDescent="0.25">
      <c r="A286">
        <v>79452</v>
      </c>
      <c r="B286">
        <v>130455740</v>
      </c>
      <c r="C286" t="s">
        <v>1570</v>
      </c>
      <c r="D286">
        <v>248504610</v>
      </c>
      <c r="E286" t="s">
        <v>430</v>
      </c>
      <c r="F286" t="s">
        <v>431</v>
      </c>
      <c r="G286" t="s">
        <v>149</v>
      </c>
      <c r="H286" t="s">
        <v>150</v>
      </c>
      <c r="I286" t="s">
        <v>88</v>
      </c>
      <c r="J286" t="s">
        <v>151</v>
      </c>
      <c r="K286" t="s">
        <v>2</v>
      </c>
      <c r="L286" t="s">
        <v>1571</v>
      </c>
      <c r="M286" t="s">
        <v>1572</v>
      </c>
      <c r="N286" t="s">
        <v>433</v>
      </c>
      <c r="O286" t="s">
        <v>53</v>
      </c>
      <c r="P286" t="s">
        <v>1573</v>
      </c>
      <c r="Q286" s="14" t="s">
        <v>124</v>
      </c>
      <c r="R286" t="s">
        <v>175</v>
      </c>
      <c r="S286">
        <v>0.93</v>
      </c>
      <c r="T286">
        <v>4219</v>
      </c>
      <c r="U286">
        <v>0</v>
      </c>
      <c r="V286">
        <v>4219</v>
      </c>
    </row>
    <row r="287" spans="1:22" x14ac:dyDescent="0.25">
      <c r="A287">
        <v>79452</v>
      </c>
      <c r="B287">
        <v>130433428</v>
      </c>
      <c r="C287" t="s">
        <v>1574</v>
      </c>
      <c r="D287">
        <v>248432063</v>
      </c>
      <c r="E287" t="s">
        <v>430</v>
      </c>
      <c r="F287" t="s">
        <v>431</v>
      </c>
      <c r="G287" t="s">
        <v>149</v>
      </c>
      <c r="H287" t="s">
        <v>150</v>
      </c>
      <c r="I287" t="s">
        <v>88</v>
      </c>
      <c r="J287" t="s">
        <v>151</v>
      </c>
      <c r="K287" t="s">
        <v>2</v>
      </c>
      <c r="L287" t="s">
        <v>672</v>
      </c>
      <c r="M287" t="s">
        <v>673</v>
      </c>
      <c r="N287" t="s">
        <v>433</v>
      </c>
      <c r="O287" t="s">
        <v>53</v>
      </c>
      <c r="P287" t="s">
        <v>674</v>
      </c>
      <c r="Q287" s="14" t="s">
        <v>108</v>
      </c>
      <c r="R287" t="s">
        <v>1191</v>
      </c>
      <c r="S287">
        <v>0.2</v>
      </c>
      <c r="T287">
        <v>5502</v>
      </c>
      <c r="U287">
        <v>0</v>
      </c>
      <c r="V287">
        <v>5502</v>
      </c>
    </row>
    <row r="288" spans="1:22" x14ac:dyDescent="0.25">
      <c r="A288">
        <v>79452</v>
      </c>
      <c r="B288">
        <v>130433475</v>
      </c>
      <c r="C288" t="s">
        <v>1575</v>
      </c>
      <c r="D288">
        <v>248432005</v>
      </c>
      <c r="E288" t="s">
        <v>430</v>
      </c>
      <c r="F288" t="s">
        <v>431</v>
      </c>
      <c r="G288" t="s">
        <v>149</v>
      </c>
      <c r="H288" t="s">
        <v>150</v>
      </c>
      <c r="I288" t="s">
        <v>88</v>
      </c>
      <c r="J288" t="s">
        <v>151</v>
      </c>
      <c r="K288" t="s">
        <v>2</v>
      </c>
      <c r="L288" t="s">
        <v>1576</v>
      </c>
      <c r="M288" t="s">
        <v>1577</v>
      </c>
      <c r="N288" t="s">
        <v>433</v>
      </c>
      <c r="O288" t="s">
        <v>53</v>
      </c>
      <c r="P288" t="s">
        <v>1578</v>
      </c>
      <c r="Q288" s="14" t="s">
        <v>120</v>
      </c>
      <c r="R288" t="s">
        <v>403</v>
      </c>
      <c r="S288">
        <v>0.2</v>
      </c>
      <c r="T288">
        <v>5153</v>
      </c>
      <c r="U288">
        <v>0</v>
      </c>
      <c r="V288">
        <v>5153</v>
      </c>
    </row>
    <row r="289" spans="1:22" x14ac:dyDescent="0.25">
      <c r="A289">
        <v>79452</v>
      </c>
      <c r="B289">
        <v>130396267</v>
      </c>
      <c r="C289" t="s">
        <v>1579</v>
      </c>
      <c r="D289">
        <v>248348339</v>
      </c>
      <c r="E289" t="s">
        <v>430</v>
      </c>
      <c r="F289" t="s">
        <v>431</v>
      </c>
      <c r="G289" t="s">
        <v>149</v>
      </c>
      <c r="H289" t="s">
        <v>150</v>
      </c>
      <c r="I289" t="s">
        <v>88</v>
      </c>
      <c r="J289" t="s">
        <v>151</v>
      </c>
      <c r="K289" t="s">
        <v>2</v>
      </c>
      <c r="L289" t="s">
        <v>1580</v>
      </c>
      <c r="M289" t="s">
        <v>1581</v>
      </c>
      <c r="N289" t="s">
        <v>433</v>
      </c>
      <c r="O289" t="s">
        <v>53</v>
      </c>
      <c r="P289" t="s">
        <v>1582</v>
      </c>
      <c r="Q289" s="14" t="s">
        <v>129</v>
      </c>
      <c r="R289" t="s">
        <v>1537</v>
      </c>
      <c r="S289">
        <v>1.08</v>
      </c>
      <c r="T289">
        <v>7684</v>
      </c>
      <c r="U289">
        <v>0</v>
      </c>
      <c r="V289">
        <v>7684</v>
      </c>
    </row>
    <row r="290" spans="1:22" x14ac:dyDescent="0.25">
      <c r="A290">
        <v>79452</v>
      </c>
      <c r="B290">
        <v>130464002</v>
      </c>
      <c r="C290" t="s">
        <v>1583</v>
      </c>
      <c r="D290">
        <v>248504716</v>
      </c>
      <c r="E290" t="s">
        <v>430</v>
      </c>
      <c r="F290" t="s">
        <v>431</v>
      </c>
      <c r="G290" t="s">
        <v>149</v>
      </c>
      <c r="H290" t="s">
        <v>150</v>
      </c>
      <c r="I290" t="s">
        <v>88</v>
      </c>
      <c r="J290" t="s">
        <v>151</v>
      </c>
      <c r="K290" t="s">
        <v>2</v>
      </c>
      <c r="L290" t="s">
        <v>1584</v>
      </c>
      <c r="M290" t="s">
        <v>1585</v>
      </c>
      <c r="N290" t="s">
        <v>433</v>
      </c>
      <c r="O290" t="s">
        <v>53</v>
      </c>
      <c r="P290" t="s">
        <v>1586</v>
      </c>
      <c r="Q290" s="14" t="s">
        <v>111</v>
      </c>
      <c r="R290" t="s">
        <v>1524</v>
      </c>
      <c r="S290">
        <v>0.36</v>
      </c>
      <c r="T290">
        <v>5817</v>
      </c>
      <c r="U290">
        <v>0</v>
      </c>
      <c r="V290">
        <v>5817</v>
      </c>
    </row>
    <row r="291" spans="1:22" x14ac:dyDescent="0.25">
      <c r="A291">
        <v>79452</v>
      </c>
      <c r="B291">
        <v>130455746</v>
      </c>
      <c r="C291" t="s">
        <v>1587</v>
      </c>
      <c r="D291">
        <v>248504664</v>
      </c>
      <c r="E291" t="s">
        <v>430</v>
      </c>
      <c r="F291" t="s">
        <v>431</v>
      </c>
      <c r="G291" t="s">
        <v>149</v>
      </c>
      <c r="H291" t="s">
        <v>150</v>
      </c>
      <c r="I291" t="s">
        <v>88</v>
      </c>
      <c r="J291" t="s">
        <v>151</v>
      </c>
      <c r="K291" t="s">
        <v>2</v>
      </c>
      <c r="L291" t="s">
        <v>1588</v>
      </c>
      <c r="M291" t="s">
        <v>1589</v>
      </c>
      <c r="N291" t="s">
        <v>433</v>
      </c>
      <c r="O291" t="s">
        <v>53</v>
      </c>
      <c r="P291" t="s">
        <v>1590</v>
      </c>
      <c r="Q291" s="14" t="s">
        <v>92</v>
      </c>
      <c r="R291" t="s">
        <v>175</v>
      </c>
      <c r="S291">
        <v>0.93</v>
      </c>
      <c r="T291">
        <v>4669</v>
      </c>
      <c r="U291">
        <v>0</v>
      </c>
      <c r="V291">
        <v>4669</v>
      </c>
    </row>
    <row r="292" spans="1:22" x14ac:dyDescent="0.25">
      <c r="A292">
        <v>79452</v>
      </c>
      <c r="B292">
        <v>130396276</v>
      </c>
      <c r="C292" t="s">
        <v>1591</v>
      </c>
      <c r="D292">
        <v>248348295</v>
      </c>
      <c r="E292" t="s">
        <v>430</v>
      </c>
      <c r="F292" t="s">
        <v>431</v>
      </c>
      <c r="G292" t="s">
        <v>149</v>
      </c>
      <c r="H292" t="s">
        <v>150</v>
      </c>
      <c r="I292" t="s">
        <v>88</v>
      </c>
      <c r="J292" t="s">
        <v>151</v>
      </c>
      <c r="K292" t="s">
        <v>2</v>
      </c>
      <c r="L292" t="s">
        <v>1592</v>
      </c>
      <c r="M292" t="s">
        <v>1593</v>
      </c>
      <c r="N292" t="s">
        <v>433</v>
      </c>
      <c r="O292" t="s">
        <v>53</v>
      </c>
      <c r="P292" t="s">
        <v>1594</v>
      </c>
      <c r="Q292" s="14" t="s">
        <v>167</v>
      </c>
      <c r="R292" t="s">
        <v>1537</v>
      </c>
      <c r="S292">
        <v>0.61</v>
      </c>
      <c r="T292">
        <v>7212</v>
      </c>
      <c r="U292">
        <v>0</v>
      </c>
      <c r="V292">
        <v>7212</v>
      </c>
    </row>
    <row r="293" spans="1:22" x14ac:dyDescent="0.25">
      <c r="A293">
        <v>79452</v>
      </c>
      <c r="B293">
        <v>130433445</v>
      </c>
      <c r="C293" t="s">
        <v>1595</v>
      </c>
      <c r="D293">
        <v>248432051</v>
      </c>
      <c r="E293" t="s">
        <v>430</v>
      </c>
      <c r="F293" t="s">
        <v>431</v>
      </c>
      <c r="G293" t="s">
        <v>149</v>
      </c>
      <c r="H293" t="s">
        <v>150</v>
      </c>
      <c r="I293" t="s">
        <v>88</v>
      </c>
      <c r="J293" t="s">
        <v>151</v>
      </c>
      <c r="K293" t="s">
        <v>2</v>
      </c>
      <c r="L293" t="s">
        <v>1596</v>
      </c>
      <c r="M293" t="s">
        <v>928</v>
      </c>
      <c r="N293" t="s">
        <v>433</v>
      </c>
      <c r="O293" t="s">
        <v>53</v>
      </c>
      <c r="P293" t="s">
        <v>929</v>
      </c>
      <c r="Q293" s="14" t="s">
        <v>120</v>
      </c>
      <c r="R293" t="s">
        <v>403</v>
      </c>
      <c r="S293">
        <v>0.2</v>
      </c>
      <c r="T293">
        <v>5153</v>
      </c>
      <c r="U293">
        <v>0</v>
      </c>
      <c r="V293">
        <v>5153</v>
      </c>
    </row>
    <row r="294" spans="1:22" x14ac:dyDescent="0.25">
      <c r="A294">
        <v>79452</v>
      </c>
      <c r="B294">
        <v>130433477</v>
      </c>
      <c r="C294" t="s">
        <v>1597</v>
      </c>
      <c r="D294">
        <v>248431982</v>
      </c>
      <c r="E294" t="s">
        <v>430</v>
      </c>
      <c r="F294" t="s">
        <v>431</v>
      </c>
      <c r="G294" t="s">
        <v>149</v>
      </c>
      <c r="H294" t="s">
        <v>150</v>
      </c>
      <c r="I294" t="s">
        <v>88</v>
      </c>
      <c r="J294" t="s">
        <v>151</v>
      </c>
      <c r="K294" t="s">
        <v>2</v>
      </c>
      <c r="L294" t="s">
        <v>1598</v>
      </c>
      <c r="M294" t="s">
        <v>1599</v>
      </c>
      <c r="N294" t="s">
        <v>433</v>
      </c>
      <c r="O294" t="s">
        <v>53</v>
      </c>
      <c r="P294" t="s">
        <v>1600</v>
      </c>
      <c r="Q294" s="14" t="s">
        <v>38</v>
      </c>
      <c r="R294" t="s">
        <v>403</v>
      </c>
      <c r="S294">
        <v>0.72</v>
      </c>
      <c r="T294">
        <v>4669</v>
      </c>
      <c r="U294">
        <v>0</v>
      </c>
      <c r="V294">
        <v>4669</v>
      </c>
    </row>
    <row r="295" spans="1:22" x14ac:dyDescent="0.25">
      <c r="A295">
        <v>79452</v>
      </c>
      <c r="B295">
        <v>130455741</v>
      </c>
      <c r="C295" t="s">
        <v>1601</v>
      </c>
      <c r="D295">
        <v>248504636</v>
      </c>
      <c r="E295" t="s">
        <v>430</v>
      </c>
      <c r="F295" t="s">
        <v>431</v>
      </c>
      <c r="G295" t="s">
        <v>149</v>
      </c>
      <c r="H295" t="s">
        <v>150</v>
      </c>
      <c r="I295" t="s">
        <v>88</v>
      </c>
      <c r="J295" t="s">
        <v>151</v>
      </c>
      <c r="K295" t="s">
        <v>2</v>
      </c>
      <c r="L295" t="s">
        <v>1602</v>
      </c>
      <c r="M295" t="s">
        <v>1603</v>
      </c>
      <c r="N295" t="s">
        <v>433</v>
      </c>
      <c r="O295" t="s">
        <v>53</v>
      </c>
      <c r="P295" t="s">
        <v>1604</v>
      </c>
      <c r="Q295" s="14" t="s">
        <v>152</v>
      </c>
      <c r="R295" t="s">
        <v>175</v>
      </c>
      <c r="S295">
        <v>0.43</v>
      </c>
      <c r="T295">
        <v>4219</v>
      </c>
      <c r="U295">
        <v>0</v>
      </c>
      <c r="V295">
        <v>4219</v>
      </c>
    </row>
    <row r="296" spans="1:22" x14ac:dyDescent="0.25">
      <c r="A296">
        <v>79452</v>
      </c>
      <c r="B296">
        <v>130464001</v>
      </c>
      <c r="C296" t="s">
        <v>1605</v>
      </c>
      <c r="D296">
        <v>248504711</v>
      </c>
      <c r="E296" t="s">
        <v>430</v>
      </c>
      <c r="F296" t="s">
        <v>431</v>
      </c>
      <c r="G296" t="s">
        <v>149</v>
      </c>
      <c r="H296" t="s">
        <v>150</v>
      </c>
      <c r="I296" t="s">
        <v>88</v>
      </c>
      <c r="J296" t="s">
        <v>151</v>
      </c>
      <c r="K296" t="s">
        <v>2</v>
      </c>
      <c r="L296" t="s">
        <v>1606</v>
      </c>
      <c r="M296" t="s">
        <v>1607</v>
      </c>
      <c r="N296" t="s">
        <v>433</v>
      </c>
      <c r="O296" t="s">
        <v>53</v>
      </c>
      <c r="P296" t="s">
        <v>1608</v>
      </c>
      <c r="Q296" s="14" t="s">
        <v>38</v>
      </c>
      <c r="R296" t="s">
        <v>1524</v>
      </c>
      <c r="S296">
        <v>0.42</v>
      </c>
      <c r="T296">
        <v>4669</v>
      </c>
      <c r="U296">
        <v>0</v>
      </c>
      <c r="V296">
        <v>4669</v>
      </c>
    </row>
    <row r="297" spans="1:22" x14ac:dyDescent="0.25">
      <c r="A297">
        <v>79452</v>
      </c>
      <c r="B297">
        <v>130396270</v>
      </c>
      <c r="C297" t="s">
        <v>1609</v>
      </c>
      <c r="D297">
        <v>248348314</v>
      </c>
      <c r="E297" t="s">
        <v>430</v>
      </c>
      <c r="F297" t="s">
        <v>431</v>
      </c>
      <c r="G297" t="s">
        <v>149</v>
      </c>
      <c r="H297" t="s">
        <v>150</v>
      </c>
      <c r="I297" t="s">
        <v>88</v>
      </c>
      <c r="J297" t="s">
        <v>151</v>
      </c>
      <c r="K297" t="s">
        <v>2</v>
      </c>
      <c r="L297" t="s">
        <v>1610</v>
      </c>
      <c r="M297" t="s">
        <v>1611</v>
      </c>
      <c r="N297" t="s">
        <v>433</v>
      </c>
      <c r="O297" t="s">
        <v>53</v>
      </c>
      <c r="P297" t="s">
        <v>1612</v>
      </c>
      <c r="Q297" s="14" t="s">
        <v>129</v>
      </c>
      <c r="R297" t="s">
        <v>1537</v>
      </c>
      <c r="S297">
        <v>0.55000000000000004</v>
      </c>
      <c r="T297">
        <v>7212</v>
      </c>
      <c r="U297">
        <v>0</v>
      </c>
      <c r="V297">
        <v>7212</v>
      </c>
    </row>
    <row r="298" spans="1:22" x14ac:dyDescent="0.25">
      <c r="A298">
        <v>79452</v>
      </c>
      <c r="B298">
        <v>130455734</v>
      </c>
      <c r="C298" t="s">
        <v>1613</v>
      </c>
      <c r="D298">
        <v>248504600</v>
      </c>
      <c r="E298" t="s">
        <v>430</v>
      </c>
      <c r="F298" t="s">
        <v>431</v>
      </c>
      <c r="G298" t="s">
        <v>149</v>
      </c>
      <c r="H298" t="s">
        <v>150</v>
      </c>
      <c r="I298" t="s">
        <v>88</v>
      </c>
      <c r="J298" t="s">
        <v>151</v>
      </c>
      <c r="K298" t="s">
        <v>2</v>
      </c>
      <c r="L298" t="s">
        <v>1614</v>
      </c>
      <c r="M298" t="s">
        <v>1615</v>
      </c>
      <c r="N298" t="s">
        <v>433</v>
      </c>
      <c r="O298" t="s">
        <v>53</v>
      </c>
      <c r="P298" t="s">
        <v>1616</v>
      </c>
      <c r="Q298" s="14" t="s">
        <v>113</v>
      </c>
      <c r="R298" t="s">
        <v>175</v>
      </c>
      <c r="S298">
        <v>0.54</v>
      </c>
      <c r="T298">
        <v>4973</v>
      </c>
      <c r="U298">
        <v>0</v>
      </c>
      <c r="V298">
        <v>4973</v>
      </c>
    </row>
    <row r="299" spans="1:22" x14ac:dyDescent="0.25">
      <c r="A299">
        <v>79452</v>
      </c>
      <c r="B299">
        <v>130396255</v>
      </c>
      <c r="C299" t="s">
        <v>1617</v>
      </c>
      <c r="D299">
        <v>248348365</v>
      </c>
      <c r="E299" t="s">
        <v>430</v>
      </c>
      <c r="F299" t="s">
        <v>431</v>
      </c>
      <c r="G299" t="s">
        <v>149</v>
      </c>
      <c r="H299" t="s">
        <v>150</v>
      </c>
      <c r="I299" t="s">
        <v>88</v>
      </c>
      <c r="J299" t="s">
        <v>151</v>
      </c>
      <c r="K299" t="s">
        <v>2</v>
      </c>
      <c r="L299" t="s">
        <v>1618</v>
      </c>
      <c r="M299" t="s">
        <v>1619</v>
      </c>
      <c r="N299" t="s">
        <v>433</v>
      </c>
      <c r="O299" t="s">
        <v>53</v>
      </c>
      <c r="P299" t="s">
        <v>1620</v>
      </c>
      <c r="Q299" s="14" t="s">
        <v>119</v>
      </c>
      <c r="R299" t="s">
        <v>1537</v>
      </c>
      <c r="S299">
        <v>0.46</v>
      </c>
      <c r="T299">
        <v>5749</v>
      </c>
      <c r="U299">
        <v>0</v>
      </c>
      <c r="V299">
        <v>5749</v>
      </c>
    </row>
    <row r="300" spans="1:22" x14ac:dyDescent="0.25">
      <c r="A300">
        <v>79452</v>
      </c>
      <c r="B300">
        <v>130396268</v>
      </c>
      <c r="C300" t="s">
        <v>1621</v>
      </c>
      <c r="D300">
        <v>248348316</v>
      </c>
      <c r="E300" t="s">
        <v>430</v>
      </c>
      <c r="F300" t="s">
        <v>431</v>
      </c>
      <c r="G300" t="s">
        <v>149</v>
      </c>
      <c r="H300" t="s">
        <v>150</v>
      </c>
      <c r="I300" t="s">
        <v>88</v>
      </c>
      <c r="J300" t="s">
        <v>151</v>
      </c>
      <c r="K300" t="s">
        <v>2</v>
      </c>
      <c r="L300" t="s">
        <v>1622</v>
      </c>
      <c r="M300" t="s">
        <v>1623</v>
      </c>
      <c r="N300" t="s">
        <v>433</v>
      </c>
      <c r="O300" t="s">
        <v>53</v>
      </c>
      <c r="P300" t="s">
        <v>1624</v>
      </c>
      <c r="Q300" s="14" t="s">
        <v>113</v>
      </c>
      <c r="R300" t="s">
        <v>1537</v>
      </c>
      <c r="S300">
        <v>0.27</v>
      </c>
      <c r="T300">
        <v>4973</v>
      </c>
      <c r="U300">
        <v>0</v>
      </c>
      <c r="V300">
        <v>4973</v>
      </c>
    </row>
    <row r="301" spans="1:22" x14ac:dyDescent="0.25">
      <c r="A301">
        <v>79452</v>
      </c>
      <c r="B301">
        <v>130396261</v>
      </c>
      <c r="C301" t="s">
        <v>1625</v>
      </c>
      <c r="D301">
        <v>248348333</v>
      </c>
      <c r="E301" t="s">
        <v>430</v>
      </c>
      <c r="F301" t="s">
        <v>431</v>
      </c>
      <c r="G301" t="s">
        <v>149</v>
      </c>
      <c r="H301" t="s">
        <v>150</v>
      </c>
      <c r="I301" t="s">
        <v>88</v>
      </c>
      <c r="J301" t="s">
        <v>151</v>
      </c>
      <c r="K301" t="s">
        <v>2</v>
      </c>
      <c r="L301" t="s">
        <v>1626</v>
      </c>
      <c r="M301" t="s">
        <v>1627</v>
      </c>
      <c r="N301" t="s">
        <v>433</v>
      </c>
      <c r="O301" t="s">
        <v>53</v>
      </c>
      <c r="P301" t="s">
        <v>1628</v>
      </c>
      <c r="Q301" s="14" t="s">
        <v>104</v>
      </c>
      <c r="R301" t="s">
        <v>1537</v>
      </c>
      <c r="S301">
        <v>0.7</v>
      </c>
      <c r="T301">
        <v>4737</v>
      </c>
      <c r="U301">
        <v>0</v>
      </c>
      <c r="V301">
        <v>4737</v>
      </c>
    </row>
    <row r="302" spans="1:22" x14ac:dyDescent="0.25">
      <c r="A302">
        <v>79452</v>
      </c>
      <c r="B302">
        <v>130396290</v>
      </c>
      <c r="C302" t="s">
        <v>1629</v>
      </c>
      <c r="D302">
        <v>248348256</v>
      </c>
      <c r="E302" t="s">
        <v>430</v>
      </c>
      <c r="F302" t="s">
        <v>431</v>
      </c>
      <c r="G302" t="s">
        <v>149</v>
      </c>
      <c r="H302" t="s">
        <v>150</v>
      </c>
      <c r="I302" t="s">
        <v>88</v>
      </c>
      <c r="J302" t="s">
        <v>151</v>
      </c>
      <c r="K302" t="s">
        <v>2</v>
      </c>
      <c r="L302" t="s">
        <v>1630</v>
      </c>
      <c r="M302" t="s">
        <v>1631</v>
      </c>
      <c r="N302" t="s">
        <v>433</v>
      </c>
      <c r="O302" t="s">
        <v>53</v>
      </c>
      <c r="P302" t="s">
        <v>1632</v>
      </c>
      <c r="Q302" s="14" t="s">
        <v>96</v>
      </c>
      <c r="R302" t="s">
        <v>1537</v>
      </c>
      <c r="S302">
        <v>0.47</v>
      </c>
      <c r="T302">
        <v>4219</v>
      </c>
      <c r="U302">
        <v>0</v>
      </c>
      <c r="V302">
        <v>4219</v>
      </c>
    </row>
    <row r="303" spans="1:22" x14ac:dyDescent="0.25">
      <c r="A303">
        <v>79452</v>
      </c>
      <c r="B303">
        <v>130311494</v>
      </c>
      <c r="C303" t="s">
        <v>1633</v>
      </c>
      <c r="D303">
        <v>248168388</v>
      </c>
      <c r="E303" t="s">
        <v>430</v>
      </c>
      <c r="F303" t="s">
        <v>431</v>
      </c>
      <c r="G303" t="s">
        <v>149</v>
      </c>
      <c r="H303" t="s">
        <v>150</v>
      </c>
      <c r="I303" t="s">
        <v>88</v>
      </c>
      <c r="J303" t="s">
        <v>151</v>
      </c>
      <c r="K303" t="s">
        <v>2</v>
      </c>
      <c r="L303" t="s">
        <v>1634</v>
      </c>
      <c r="M303" t="s">
        <v>906</v>
      </c>
      <c r="N303" t="s">
        <v>433</v>
      </c>
      <c r="O303" t="s">
        <v>53</v>
      </c>
      <c r="P303" t="s">
        <v>1635</v>
      </c>
      <c r="Q303" s="14" t="s">
        <v>97</v>
      </c>
      <c r="R303" t="s">
        <v>1636</v>
      </c>
      <c r="S303">
        <v>0.78</v>
      </c>
      <c r="T303">
        <v>8415</v>
      </c>
      <c r="U303">
        <v>0</v>
      </c>
      <c r="V303">
        <v>8415</v>
      </c>
    </row>
    <row r="304" spans="1:22" x14ac:dyDescent="0.25">
      <c r="A304">
        <v>79452</v>
      </c>
      <c r="B304">
        <v>130396250</v>
      </c>
      <c r="C304" t="s">
        <v>1637</v>
      </c>
      <c r="D304">
        <v>248348390</v>
      </c>
      <c r="E304" t="s">
        <v>430</v>
      </c>
      <c r="F304" t="s">
        <v>431</v>
      </c>
      <c r="G304" t="s">
        <v>149</v>
      </c>
      <c r="H304" t="s">
        <v>150</v>
      </c>
      <c r="I304" t="s">
        <v>88</v>
      </c>
      <c r="J304" t="s">
        <v>151</v>
      </c>
      <c r="K304" t="s">
        <v>2</v>
      </c>
      <c r="L304" t="s">
        <v>1368</v>
      </c>
      <c r="M304" t="s">
        <v>1369</v>
      </c>
      <c r="N304" t="s">
        <v>433</v>
      </c>
      <c r="O304" t="s">
        <v>53</v>
      </c>
      <c r="P304" t="s">
        <v>1370</v>
      </c>
      <c r="Q304" s="14" t="s">
        <v>99</v>
      </c>
      <c r="R304" t="s">
        <v>1537</v>
      </c>
      <c r="S304">
        <v>0.6</v>
      </c>
      <c r="T304">
        <v>4219</v>
      </c>
      <c r="U304">
        <v>0</v>
      </c>
      <c r="V304">
        <v>4219</v>
      </c>
    </row>
    <row r="305" spans="1:22" x14ac:dyDescent="0.25">
      <c r="A305">
        <v>79452</v>
      </c>
      <c r="B305">
        <v>130396278</v>
      </c>
      <c r="C305" t="s">
        <v>1638</v>
      </c>
      <c r="D305">
        <v>248348291</v>
      </c>
      <c r="E305" t="s">
        <v>430</v>
      </c>
      <c r="F305" t="s">
        <v>431</v>
      </c>
      <c r="G305" t="s">
        <v>149</v>
      </c>
      <c r="H305" t="s">
        <v>150</v>
      </c>
      <c r="I305" t="s">
        <v>88</v>
      </c>
      <c r="J305" t="s">
        <v>151</v>
      </c>
      <c r="K305" t="s">
        <v>2</v>
      </c>
      <c r="L305" t="s">
        <v>1639</v>
      </c>
      <c r="M305" t="s">
        <v>282</v>
      </c>
      <c r="N305" t="s">
        <v>433</v>
      </c>
      <c r="O305" t="s">
        <v>53</v>
      </c>
      <c r="P305" t="s">
        <v>1640</v>
      </c>
      <c r="Q305" s="14" t="s">
        <v>38</v>
      </c>
      <c r="R305" t="s">
        <v>1537</v>
      </c>
      <c r="S305">
        <v>0.56000000000000005</v>
      </c>
      <c r="T305">
        <v>4669</v>
      </c>
      <c r="U305">
        <v>0</v>
      </c>
      <c r="V305">
        <v>4669</v>
      </c>
    </row>
    <row r="306" spans="1:22" x14ac:dyDescent="0.25">
      <c r="A306">
        <v>79452</v>
      </c>
      <c r="B306">
        <v>130396252</v>
      </c>
      <c r="C306" t="s">
        <v>1641</v>
      </c>
      <c r="D306">
        <v>248348400</v>
      </c>
      <c r="E306" t="s">
        <v>430</v>
      </c>
      <c r="F306" t="s">
        <v>431</v>
      </c>
      <c r="G306" t="s">
        <v>149</v>
      </c>
      <c r="H306" t="s">
        <v>150</v>
      </c>
      <c r="I306" t="s">
        <v>88</v>
      </c>
      <c r="J306" t="s">
        <v>151</v>
      </c>
      <c r="K306" t="s">
        <v>2</v>
      </c>
      <c r="L306" t="s">
        <v>1642</v>
      </c>
      <c r="M306" t="s">
        <v>1643</v>
      </c>
      <c r="N306" t="s">
        <v>433</v>
      </c>
      <c r="O306" t="s">
        <v>53</v>
      </c>
      <c r="P306" t="s">
        <v>1644</v>
      </c>
      <c r="Q306" s="14" t="s">
        <v>124</v>
      </c>
      <c r="R306" t="s">
        <v>1537</v>
      </c>
      <c r="S306">
        <v>0.64</v>
      </c>
      <c r="T306">
        <v>4219</v>
      </c>
      <c r="U306">
        <v>0</v>
      </c>
      <c r="V306">
        <v>4219</v>
      </c>
    </row>
    <row r="307" spans="1:22" x14ac:dyDescent="0.25">
      <c r="A307">
        <v>79452</v>
      </c>
      <c r="B307">
        <v>130090254</v>
      </c>
      <c r="C307" t="s">
        <v>1645</v>
      </c>
      <c r="D307">
        <v>247582089</v>
      </c>
      <c r="E307" t="s">
        <v>430</v>
      </c>
      <c r="F307" t="s">
        <v>431</v>
      </c>
      <c r="G307" t="s">
        <v>149</v>
      </c>
      <c r="H307" t="s">
        <v>150</v>
      </c>
      <c r="I307" t="s">
        <v>88</v>
      </c>
      <c r="J307" t="s">
        <v>151</v>
      </c>
      <c r="K307" t="s">
        <v>2</v>
      </c>
      <c r="L307" t="s">
        <v>1646</v>
      </c>
      <c r="M307" t="s">
        <v>1647</v>
      </c>
      <c r="N307" t="s">
        <v>433</v>
      </c>
      <c r="O307" t="s">
        <v>53</v>
      </c>
      <c r="P307" t="s">
        <v>1648</v>
      </c>
      <c r="Q307" s="14" t="s">
        <v>225</v>
      </c>
      <c r="R307" t="s">
        <v>1649</v>
      </c>
      <c r="S307">
        <v>0.6</v>
      </c>
      <c r="T307">
        <v>8404</v>
      </c>
      <c r="U307">
        <v>0</v>
      </c>
      <c r="V307">
        <v>8404</v>
      </c>
    </row>
    <row r="308" spans="1:22" x14ac:dyDescent="0.25">
      <c r="A308">
        <v>79452</v>
      </c>
      <c r="B308">
        <v>130396272</v>
      </c>
      <c r="C308" t="s">
        <v>1650</v>
      </c>
      <c r="D308">
        <v>248348275</v>
      </c>
      <c r="E308" t="s">
        <v>430</v>
      </c>
      <c r="F308" t="s">
        <v>431</v>
      </c>
      <c r="G308" t="s">
        <v>149</v>
      </c>
      <c r="H308" t="s">
        <v>150</v>
      </c>
      <c r="I308" t="s">
        <v>88</v>
      </c>
      <c r="J308" t="s">
        <v>151</v>
      </c>
      <c r="K308" t="s">
        <v>2</v>
      </c>
      <c r="L308" t="s">
        <v>1651</v>
      </c>
      <c r="M308" t="s">
        <v>1652</v>
      </c>
      <c r="N308" t="s">
        <v>433</v>
      </c>
      <c r="O308" t="s">
        <v>53</v>
      </c>
      <c r="P308" t="s">
        <v>1653</v>
      </c>
      <c r="Q308" s="14" t="s">
        <v>169</v>
      </c>
      <c r="R308" t="s">
        <v>1537</v>
      </c>
      <c r="S308">
        <v>0.46</v>
      </c>
      <c r="T308">
        <v>4853</v>
      </c>
      <c r="U308">
        <v>0</v>
      </c>
      <c r="V308">
        <v>4853</v>
      </c>
    </row>
    <row r="309" spans="1:22" x14ac:dyDescent="0.25">
      <c r="A309">
        <v>79452</v>
      </c>
      <c r="B309">
        <v>130396251</v>
      </c>
      <c r="C309" t="s">
        <v>1654</v>
      </c>
      <c r="D309">
        <v>248348407</v>
      </c>
      <c r="E309" t="s">
        <v>430</v>
      </c>
      <c r="F309" t="s">
        <v>431</v>
      </c>
      <c r="G309" t="s">
        <v>149</v>
      </c>
      <c r="H309" t="s">
        <v>150</v>
      </c>
      <c r="I309" t="s">
        <v>88</v>
      </c>
      <c r="J309" t="s">
        <v>151</v>
      </c>
      <c r="K309" t="s">
        <v>2</v>
      </c>
      <c r="L309" t="s">
        <v>1655</v>
      </c>
      <c r="M309" t="s">
        <v>1656</v>
      </c>
      <c r="N309" t="s">
        <v>433</v>
      </c>
      <c r="O309" t="s">
        <v>53</v>
      </c>
      <c r="P309" t="s">
        <v>941</v>
      </c>
      <c r="Q309" s="14" t="s">
        <v>137</v>
      </c>
      <c r="R309" t="s">
        <v>1537</v>
      </c>
      <c r="S309">
        <v>0.99</v>
      </c>
      <c r="T309">
        <v>4219</v>
      </c>
      <c r="U309">
        <v>0</v>
      </c>
      <c r="V309">
        <v>4219</v>
      </c>
    </row>
    <row r="310" spans="1:22" x14ac:dyDescent="0.25">
      <c r="A310">
        <v>79452</v>
      </c>
      <c r="B310">
        <v>130396286</v>
      </c>
      <c r="C310" t="s">
        <v>1657</v>
      </c>
      <c r="D310">
        <v>248348264</v>
      </c>
      <c r="E310" t="s">
        <v>430</v>
      </c>
      <c r="F310" t="s">
        <v>431</v>
      </c>
      <c r="G310" t="s">
        <v>149</v>
      </c>
      <c r="H310" t="s">
        <v>150</v>
      </c>
      <c r="I310" t="s">
        <v>88</v>
      </c>
      <c r="J310" t="s">
        <v>151</v>
      </c>
      <c r="K310" t="s">
        <v>2</v>
      </c>
      <c r="L310" t="s">
        <v>1658</v>
      </c>
      <c r="M310" t="s">
        <v>277</v>
      </c>
      <c r="N310" t="s">
        <v>433</v>
      </c>
      <c r="O310" t="s">
        <v>53</v>
      </c>
      <c r="P310" t="s">
        <v>1659</v>
      </c>
      <c r="Q310" s="14" t="s">
        <v>158</v>
      </c>
      <c r="R310" t="s">
        <v>1537</v>
      </c>
      <c r="S310">
        <v>0.16</v>
      </c>
      <c r="T310">
        <v>4219</v>
      </c>
      <c r="U310">
        <v>0</v>
      </c>
      <c r="V310">
        <v>4219</v>
      </c>
    </row>
    <row r="311" spans="1:22" x14ac:dyDescent="0.25">
      <c r="A311">
        <v>79452</v>
      </c>
      <c r="B311">
        <v>130311583</v>
      </c>
      <c r="C311" t="s">
        <v>1660</v>
      </c>
      <c r="D311">
        <v>248168094</v>
      </c>
      <c r="E311" t="s">
        <v>430</v>
      </c>
      <c r="F311" t="s">
        <v>431</v>
      </c>
      <c r="G311" t="s">
        <v>149</v>
      </c>
      <c r="H311" t="s">
        <v>150</v>
      </c>
      <c r="I311" t="s">
        <v>88</v>
      </c>
      <c r="J311" t="s">
        <v>151</v>
      </c>
      <c r="K311" t="s">
        <v>2</v>
      </c>
      <c r="L311" t="s">
        <v>1661</v>
      </c>
      <c r="M311" t="s">
        <v>1662</v>
      </c>
      <c r="N311" t="s">
        <v>433</v>
      </c>
      <c r="O311" t="s">
        <v>53</v>
      </c>
      <c r="P311" t="s">
        <v>1663</v>
      </c>
      <c r="Q311" s="14" t="s">
        <v>129</v>
      </c>
      <c r="R311" t="s">
        <v>1340</v>
      </c>
      <c r="S311">
        <v>1</v>
      </c>
      <c r="T311">
        <v>7212</v>
      </c>
      <c r="U311">
        <v>0</v>
      </c>
      <c r="V311">
        <v>7212</v>
      </c>
    </row>
    <row r="312" spans="1:22" x14ac:dyDescent="0.25">
      <c r="A312">
        <v>79452</v>
      </c>
      <c r="B312">
        <v>130311541</v>
      </c>
      <c r="C312" t="s">
        <v>1664</v>
      </c>
      <c r="D312">
        <v>248168330</v>
      </c>
      <c r="E312" t="s">
        <v>430</v>
      </c>
      <c r="F312" t="s">
        <v>431</v>
      </c>
      <c r="G312" t="s">
        <v>149</v>
      </c>
      <c r="H312" t="s">
        <v>150</v>
      </c>
      <c r="I312" t="s">
        <v>88</v>
      </c>
      <c r="J312" t="s">
        <v>151</v>
      </c>
      <c r="K312" t="s">
        <v>2</v>
      </c>
      <c r="L312" t="s">
        <v>1665</v>
      </c>
      <c r="M312" t="s">
        <v>227</v>
      </c>
      <c r="N312" t="s">
        <v>433</v>
      </c>
      <c r="O312" t="s">
        <v>53</v>
      </c>
      <c r="P312" t="s">
        <v>1666</v>
      </c>
      <c r="Q312" s="14" t="s">
        <v>129</v>
      </c>
      <c r="R312" t="s">
        <v>1340</v>
      </c>
      <c r="S312">
        <v>0.9</v>
      </c>
      <c r="T312">
        <v>7212</v>
      </c>
      <c r="U312">
        <v>0</v>
      </c>
      <c r="V312">
        <v>7212</v>
      </c>
    </row>
    <row r="313" spans="1:22" x14ac:dyDescent="0.25">
      <c r="A313">
        <v>79452</v>
      </c>
      <c r="B313">
        <v>130311529</v>
      </c>
      <c r="C313" t="s">
        <v>1667</v>
      </c>
      <c r="D313">
        <v>248168381</v>
      </c>
      <c r="E313" t="s">
        <v>430</v>
      </c>
      <c r="F313" t="s">
        <v>431</v>
      </c>
      <c r="G313" t="s">
        <v>149</v>
      </c>
      <c r="H313" t="s">
        <v>150</v>
      </c>
      <c r="I313" t="s">
        <v>88</v>
      </c>
      <c r="J313" t="s">
        <v>151</v>
      </c>
      <c r="K313" t="s">
        <v>2</v>
      </c>
      <c r="L313" t="s">
        <v>1668</v>
      </c>
      <c r="M313" t="s">
        <v>1669</v>
      </c>
      <c r="N313" t="s">
        <v>433</v>
      </c>
      <c r="O313" t="s">
        <v>53</v>
      </c>
      <c r="P313" t="s">
        <v>1670</v>
      </c>
      <c r="Q313" s="14" t="s">
        <v>129</v>
      </c>
      <c r="R313" t="s">
        <v>1340</v>
      </c>
      <c r="S313">
        <v>0.34</v>
      </c>
      <c r="T313">
        <v>7212</v>
      </c>
      <c r="U313">
        <v>0</v>
      </c>
      <c r="V313">
        <v>7212</v>
      </c>
    </row>
    <row r="314" spans="1:22" x14ac:dyDescent="0.25">
      <c r="A314">
        <v>79452</v>
      </c>
      <c r="B314">
        <v>130261735</v>
      </c>
      <c r="C314" t="s">
        <v>1671</v>
      </c>
      <c r="D314">
        <v>248168442</v>
      </c>
      <c r="E314" t="s">
        <v>430</v>
      </c>
      <c r="F314" t="s">
        <v>431</v>
      </c>
      <c r="G314" t="s">
        <v>149</v>
      </c>
      <c r="H314" t="s">
        <v>150</v>
      </c>
      <c r="I314" t="s">
        <v>88</v>
      </c>
      <c r="J314" t="s">
        <v>151</v>
      </c>
      <c r="K314" t="s">
        <v>2</v>
      </c>
      <c r="L314" t="s">
        <v>1672</v>
      </c>
      <c r="M314" t="s">
        <v>1673</v>
      </c>
      <c r="N314" t="s">
        <v>433</v>
      </c>
      <c r="O314" t="s">
        <v>53</v>
      </c>
      <c r="P314" t="s">
        <v>1674</v>
      </c>
      <c r="Q314" s="14" t="s">
        <v>167</v>
      </c>
      <c r="R314" t="s">
        <v>1675</v>
      </c>
      <c r="S314">
        <v>0.36</v>
      </c>
      <c r="T314">
        <v>7212</v>
      </c>
      <c r="U314">
        <v>0</v>
      </c>
      <c r="V314">
        <v>7212</v>
      </c>
    </row>
    <row r="315" spans="1:22" x14ac:dyDescent="0.25">
      <c r="A315">
        <v>79452</v>
      </c>
      <c r="B315">
        <v>130111286</v>
      </c>
      <c r="C315" t="s">
        <v>1676</v>
      </c>
      <c r="D315">
        <v>247675218</v>
      </c>
      <c r="E315" t="s">
        <v>430</v>
      </c>
      <c r="F315" t="s">
        <v>431</v>
      </c>
      <c r="G315" t="s">
        <v>149</v>
      </c>
      <c r="H315" t="s">
        <v>150</v>
      </c>
      <c r="I315" t="s">
        <v>88</v>
      </c>
      <c r="J315" t="s">
        <v>151</v>
      </c>
      <c r="K315" t="s">
        <v>2</v>
      </c>
      <c r="L315" t="s">
        <v>1677</v>
      </c>
      <c r="M315" t="s">
        <v>1206</v>
      </c>
      <c r="N315" t="s">
        <v>433</v>
      </c>
      <c r="O315" t="s">
        <v>53</v>
      </c>
      <c r="P315" t="s">
        <v>1207</v>
      </c>
      <c r="Q315" s="14" t="s">
        <v>168</v>
      </c>
      <c r="R315" t="s">
        <v>1678</v>
      </c>
      <c r="S315">
        <v>0.31</v>
      </c>
      <c r="T315">
        <v>6480</v>
      </c>
      <c r="U315">
        <v>0</v>
      </c>
      <c r="V315">
        <v>6480</v>
      </c>
    </row>
    <row r="316" spans="1:22" x14ac:dyDescent="0.25">
      <c r="A316">
        <v>79452</v>
      </c>
      <c r="B316">
        <v>130356751</v>
      </c>
      <c r="C316" t="s">
        <v>1679</v>
      </c>
      <c r="D316">
        <v>248250296</v>
      </c>
      <c r="E316" t="s">
        <v>430</v>
      </c>
      <c r="F316" t="s">
        <v>431</v>
      </c>
      <c r="G316" t="s">
        <v>149</v>
      </c>
      <c r="H316" t="s">
        <v>150</v>
      </c>
      <c r="I316" t="s">
        <v>88</v>
      </c>
      <c r="J316" t="s">
        <v>151</v>
      </c>
      <c r="K316" t="s">
        <v>2</v>
      </c>
      <c r="L316" t="s">
        <v>1680</v>
      </c>
      <c r="M316" t="s">
        <v>1681</v>
      </c>
      <c r="N316" t="s">
        <v>433</v>
      </c>
      <c r="O316" t="s">
        <v>53</v>
      </c>
      <c r="P316" t="s">
        <v>1682</v>
      </c>
      <c r="Q316" s="14" t="s">
        <v>129</v>
      </c>
      <c r="R316" t="s">
        <v>1683</v>
      </c>
      <c r="S316">
        <v>0.48</v>
      </c>
      <c r="T316">
        <v>7212</v>
      </c>
      <c r="U316">
        <v>0</v>
      </c>
      <c r="V316">
        <v>7212</v>
      </c>
    </row>
    <row r="317" spans="1:22" x14ac:dyDescent="0.25">
      <c r="A317">
        <v>79452</v>
      </c>
      <c r="B317">
        <v>130090211</v>
      </c>
      <c r="C317" t="s">
        <v>1684</v>
      </c>
      <c r="D317">
        <v>247582229</v>
      </c>
      <c r="E317" t="s">
        <v>430</v>
      </c>
      <c r="F317" t="s">
        <v>431</v>
      </c>
      <c r="G317" t="s">
        <v>149</v>
      </c>
      <c r="H317" t="s">
        <v>150</v>
      </c>
      <c r="I317" t="s">
        <v>88</v>
      </c>
      <c r="J317" t="s">
        <v>151</v>
      </c>
      <c r="K317" t="s">
        <v>2</v>
      </c>
      <c r="L317" t="s">
        <v>349</v>
      </c>
      <c r="M317" t="s">
        <v>1685</v>
      </c>
      <c r="N317" t="s">
        <v>433</v>
      </c>
      <c r="O317" t="s">
        <v>53</v>
      </c>
      <c r="P317" t="s">
        <v>1686</v>
      </c>
      <c r="Q317" s="14" t="s">
        <v>168</v>
      </c>
      <c r="R317" t="s">
        <v>1687</v>
      </c>
      <c r="S317">
        <v>0.47</v>
      </c>
      <c r="T317">
        <v>6480</v>
      </c>
      <c r="U317">
        <v>0</v>
      </c>
      <c r="V317">
        <v>6480</v>
      </c>
    </row>
    <row r="318" spans="1:22" x14ac:dyDescent="0.25">
      <c r="A318">
        <v>79452</v>
      </c>
      <c r="B318">
        <v>130311564</v>
      </c>
      <c r="C318" t="s">
        <v>1688</v>
      </c>
      <c r="D318">
        <v>248168224</v>
      </c>
      <c r="E318" t="s">
        <v>430</v>
      </c>
      <c r="F318" t="s">
        <v>431</v>
      </c>
      <c r="G318" t="s">
        <v>149</v>
      </c>
      <c r="H318" t="s">
        <v>150</v>
      </c>
      <c r="I318" t="s">
        <v>88</v>
      </c>
      <c r="J318" t="s">
        <v>151</v>
      </c>
      <c r="K318" t="s">
        <v>2</v>
      </c>
      <c r="L318" t="s">
        <v>1689</v>
      </c>
      <c r="M318" t="s">
        <v>1690</v>
      </c>
      <c r="N318" t="s">
        <v>433</v>
      </c>
      <c r="O318" t="s">
        <v>53</v>
      </c>
      <c r="P318" t="s">
        <v>1691</v>
      </c>
      <c r="Q318" s="14" t="s">
        <v>129</v>
      </c>
      <c r="R318" t="s">
        <v>1340</v>
      </c>
      <c r="S318">
        <v>1</v>
      </c>
      <c r="T318">
        <v>7212</v>
      </c>
      <c r="U318">
        <v>0</v>
      </c>
      <c r="V318">
        <v>7212</v>
      </c>
    </row>
    <row r="319" spans="1:22" x14ac:dyDescent="0.25">
      <c r="A319">
        <v>79452</v>
      </c>
      <c r="B319">
        <v>130356767</v>
      </c>
      <c r="C319" t="s">
        <v>1692</v>
      </c>
      <c r="D319">
        <v>248250300</v>
      </c>
      <c r="E319" t="s">
        <v>430</v>
      </c>
      <c r="F319" t="s">
        <v>431</v>
      </c>
      <c r="G319" t="s">
        <v>149</v>
      </c>
      <c r="H319" t="s">
        <v>150</v>
      </c>
      <c r="I319" t="s">
        <v>88</v>
      </c>
      <c r="J319" t="s">
        <v>151</v>
      </c>
      <c r="K319" t="s">
        <v>2</v>
      </c>
      <c r="L319" t="s">
        <v>1693</v>
      </c>
      <c r="M319" t="s">
        <v>1694</v>
      </c>
      <c r="N319" t="s">
        <v>433</v>
      </c>
      <c r="O319" t="s">
        <v>53</v>
      </c>
      <c r="P319" t="s">
        <v>1695</v>
      </c>
      <c r="Q319" s="14" t="s">
        <v>128</v>
      </c>
      <c r="R319" t="s">
        <v>1296</v>
      </c>
      <c r="S319">
        <v>1.22</v>
      </c>
      <c r="T319">
        <v>8404</v>
      </c>
      <c r="U319">
        <v>0</v>
      </c>
      <c r="V319">
        <v>8404</v>
      </c>
    </row>
    <row r="320" spans="1:22" x14ac:dyDescent="0.25">
      <c r="A320">
        <v>79452</v>
      </c>
      <c r="B320">
        <v>130356773</v>
      </c>
      <c r="C320" t="s">
        <v>1696</v>
      </c>
      <c r="D320">
        <v>248250257</v>
      </c>
      <c r="E320" t="s">
        <v>430</v>
      </c>
      <c r="F320" t="s">
        <v>431</v>
      </c>
      <c r="G320" t="s">
        <v>149</v>
      </c>
      <c r="H320" t="s">
        <v>150</v>
      </c>
      <c r="I320" t="s">
        <v>88</v>
      </c>
      <c r="J320" t="s">
        <v>151</v>
      </c>
      <c r="K320" t="s">
        <v>2</v>
      </c>
      <c r="L320" t="s">
        <v>1697</v>
      </c>
      <c r="M320" t="s">
        <v>1698</v>
      </c>
      <c r="N320" t="s">
        <v>433</v>
      </c>
      <c r="O320" t="s">
        <v>53</v>
      </c>
      <c r="P320" t="s">
        <v>1699</v>
      </c>
      <c r="Q320" s="14" t="s">
        <v>120</v>
      </c>
      <c r="R320" t="s">
        <v>1296</v>
      </c>
      <c r="S320">
        <v>0.25</v>
      </c>
      <c r="T320">
        <v>5153</v>
      </c>
      <c r="U320">
        <v>0</v>
      </c>
      <c r="V320">
        <v>5153</v>
      </c>
    </row>
    <row r="321" spans="1:22" x14ac:dyDescent="0.25">
      <c r="A321">
        <v>79452</v>
      </c>
      <c r="B321">
        <v>130269171</v>
      </c>
      <c r="C321" t="s">
        <v>1700</v>
      </c>
      <c r="D321">
        <v>248168432</v>
      </c>
      <c r="E321" t="s">
        <v>430</v>
      </c>
      <c r="F321" t="s">
        <v>431</v>
      </c>
      <c r="G321" t="s">
        <v>149</v>
      </c>
      <c r="H321" t="s">
        <v>150</v>
      </c>
      <c r="I321" t="s">
        <v>88</v>
      </c>
      <c r="J321" t="s">
        <v>151</v>
      </c>
      <c r="K321" t="s">
        <v>2</v>
      </c>
      <c r="L321" t="s">
        <v>1701</v>
      </c>
      <c r="M321" t="s">
        <v>1702</v>
      </c>
      <c r="N321" t="s">
        <v>433</v>
      </c>
      <c r="O321" t="s">
        <v>53</v>
      </c>
      <c r="P321" t="s">
        <v>1703</v>
      </c>
      <c r="Q321" s="14" t="s">
        <v>99</v>
      </c>
      <c r="R321" t="s">
        <v>1704</v>
      </c>
      <c r="S321">
        <v>0.65</v>
      </c>
      <c r="T321">
        <v>4219</v>
      </c>
      <c r="U321">
        <v>0</v>
      </c>
      <c r="V321">
        <v>4219</v>
      </c>
    </row>
    <row r="322" spans="1:22" x14ac:dyDescent="0.25">
      <c r="A322">
        <v>79452</v>
      </c>
      <c r="B322">
        <v>130311561</v>
      </c>
      <c r="C322" t="s">
        <v>1705</v>
      </c>
      <c r="D322">
        <v>248168278</v>
      </c>
      <c r="E322" t="s">
        <v>430</v>
      </c>
      <c r="F322" t="s">
        <v>431</v>
      </c>
      <c r="G322" t="s">
        <v>149</v>
      </c>
      <c r="H322" t="s">
        <v>150</v>
      </c>
      <c r="I322" t="s">
        <v>88</v>
      </c>
      <c r="J322" t="s">
        <v>151</v>
      </c>
      <c r="K322" t="s">
        <v>2</v>
      </c>
      <c r="L322" t="s">
        <v>1706</v>
      </c>
      <c r="M322" t="s">
        <v>1707</v>
      </c>
      <c r="N322" t="s">
        <v>433</v>
      </c>
      <c r="O322" t="s">
        <v>53</v>
      </c>
      <c r="P322" t="s">
        <v>1708</v>
      </c>
      <c r="Q322" s="14" t="s">
        <v>107</v>
      </c>
      <c r="R322" t="s">
        <v>1340</v>
      </c>
      <c r="S322">
        <v>0.55000000000000004</v>
      </c>
      <c r="T322">
        <v>6132</v>
      </c>
      <c r="U322">
        <v>0</v>
      </c>
      <c r="V322">
        <v>6132</v>
      </c>
    </row>
    <row r="323" spans="1:22" x14ac:dyDescent="0.25">
      <c r="A323">
        <v>79452</v>
      </c>
      <c r="B323">
        <v>130311565</v>
      </c>
      <c r="C323" t="s">
        <v>1709</v>
      </c>
      <c r="D323">
        <v>248168216</v>
      </c>
      <c r="E323" t="s">
        <v>430</v>
      </c>
      <c r="F323" t="s">
        <v>431</v>
      </c>
      <c r="G323" t="s">
        <v>149</v>
      </c>
      <c r="H323" t="s">
        <v>150</v>
      </c>
      <c r="I323" t="s">
        <v>88</v>
      </c>
      <c r="J323" t="s">
        <v>151</v>
      </c>
      <c r="K323" t="s">
        <v>2</v>
      </c>
      <c r="L323" t="s">
        <v>1710</v>
      </c>
      <c r="M323" t="s">
        <v>1711</v>
      </c>
      <c r="N323" t="s">
        <v>433</v>
      </c>
      <c r="O323" t="s">
        <v>53</v>
      </c>
      <c r="P323" t="s">
        <v>1712</v>
      </c>
      <c r="Q323" s="14" t="s">
        <v>161</v>
      </c>
      <c r="R323" t="s">
        <v>1340</v>
      </c>
      <c r="S323">
        <v>0.4</v>
      </c>
      <c r="T323">
        <v>6132</v>
      </c>
      <c r="U323">
        <v>0</v>
      </c>
      <c r="V323">
        <v>6132</v>
      </c>
    </row>
    <row r="324" spans="1:22" x14ac:dyDescent="0.25">
      <c r="A324">
        <v>79452</v>
      </c>
      <c r="B324">
        <v>130311586</v>
      </c>
      <c r="C324" t="s">
        <v>1713</v>
      </c>
      <c r="D324">
        <v>248168103</v>
      </c>
      <c r="E324" t="s">
        <v>430</v>
      </c>
      <c r="F324" t="s">
        <v>431</v>
      </c>
      <c r="G324" t="s">
        <v>149</v>
      </c>
      <c r="H324" t="s">
        <v>150</v>
      </c>
      <c r="I324" t="s">
        <v>88</v>
      </c>
      <c r="J324" t="s">
        <v>151</v>
      </c>
      <c r="K324" t="s">
        <v>2</v>
      </c>
      <c r="L324" t="s">
        <v>1714</v>
      </c>
      <c r="M324" t="s">
        <v>1480</v>
      </c>
      <c r="N324" t="s">
        <v>433</v>
      </c>
      <c r="O324" t="s">
        <v>53</v>
      </c>
      <c r="P324" t="s">
        <v>1481</v>
      </c>
      <c r="Q324" s="14" t="s">
        <v>125</v>
      </c>
      <c r="R324" t="s">
        <v>1340</v>
      </c>
      <c r="S324">
        <v>1</v>
      </c>
      <c r="T324">
        <v>4219</v>
      </c>
      <c r="U324">
        <v>0</v>
      </c>
      <c r="V324">
        <v>4219</v>
      </c>
    </row>
    <row r="325" spans="1:22" x14ac:dyDescent="0.25">
      <c r="A325">
        <v>79452</v>
      </c>
      <c r="B325">
        <v>130311547</v>
      </c>
      <c r="C325" t="s">
        <v>1715</v>
      </c>
      <c r="D325">
        <v>248168326</v>
      </c>
      <c r="E325" t="s">
        <v>430</v>
      </c>
      <c r="F325" t="s">
        <v>431</v>
      </c>
      <c r="G325" t="s">
        <v>149</v>
      </c>
      <c r="H325" t="s">
        <v>150</v>
      </c>
      <c r="I325" t="s">
        <v>88</v>
      </c>
      <c r="J325" t="s">
        <v>151</v>
      </c>
      <c r="K325" t="s">
        <v>2</v>
      </c>
      <c r="L325" t="s">
        <v>1716</v>
      </c>
      <c r="M325" t="s">
        <v>1717</v>
      </c>
      <c r="N325" t="s">
        <v>433</v>
      </c>
      <c r="O325" t="s">
        <v>53</v>
      </c>
      <c r="P325" t="s">
        <v>1718</v>
      </c>
      <c r="Q325" s="14" t="s">
        <v>111</v>
      </c>
      <c r="R325" t="s">
        <v>1340</v>
      </c>
      <c r="S325">
        <v>1.6</v>
      </c>
      <c r="T325">
        <v>6244</v>
      </c>
      <c r="U325">
        <v>0</v>
      </c>
      <c r="V325">
        <v>6244</v>
      </c>
    </row>
    <row r="326" spans="1:22" x14ac:dyDescent="0.25">
      <c r="A326">
        <v>79452</v>
      </c>
      <c r="B326">
        <v>130311535</v>
      </c>
      <c r="C326" t="s">
        <v>1719</v>
      </c>
      <c r="D326">
        <v>248168334</v>
      </c>
      <c r="E326" t="s">
        <v>430</v>
      </c>
      <c r="F326" t="s">
        <v>431</v>
      </c>
      <c r="G326" t="s">
        <v>149</v>
      </c>
      <c r="H326" t="s">
        <v>150</v>
      </c>
      <c r="I326" t="s">
        <v>88</v>
      </c>
      <c r="J326" t="s">
        <v>151</v>
      </c>
      <c r="K326" t="s">
        <v>2</v>
      </c>
      <c r="L326" t="s">
        <v>1720</v>
      </c>
      <c r="M326" t="s">
        <v>1721</v>
      </c>
      <c r="N326" t="s">
        <v>433</v>
      </c>
      <c r="O326" t="s">
        <v>53</v>
      </c>
      <c r="P326" t="s">
        <v>1722</v>
      </c>
      <c r="Q326" s="14" t="s">
        <v>124</v>
      </c>
      <c r="R326" t="s">
        <v>1340</v>
      </c>
      <c r="S326">
        <v>0.56999999999999995</v>
      </c>
      <c r="T326">
        <v>4219</v>
      </c>
      <c r="U326">
        <v>0</v>
      </c>
      <c r="V326">
        <v>4219</v>
      </c>
    </row>
    <row r="327" spans="1:22" x14ac:dyDescent="0.25">
      <c r="A327">
        <v>79452</v>
      </c>
      <c r="B327">
        <v>130311567</v>
      </c>
      <c r="C327" t="s">
        <v>1723</v>
      </c>
      <c r="D327">
        <v>248168207</v>
      </c>
      <c r="E327" t="s">
        <v>430</v>
      </c>
      <c r="F327" t="s">
        <v>431</v>
      </c>
      <c r="G327" t="s">
        <v>149</v>
      </c>
      <c r="H327" t="s">
        <v>150</v>
      </c>
      <c r="I327" t="s">
        <v>88</v>
      </c>
      <c r="J327" t="s">
        <v>151</v>
      </c>
      <c r="K327" t="s">
        <v>2</v>
      </c>
      <c r="L327" t="s">
        <v>1724</v>
      </c>
      <c r="M327" t="s">
        <v>1725</v>
      </c>
      <c r="N327" t="s">
        <v>433</v>
      </c>
      <c r="O327" t="s">
        <v>53</v>
      </c>
      <c r="P327" t="s">
        <v>1726</v>
      </c>
      <c r="Q327" s="14" t="s">
        <v>107</v>
      </c>
      <c r="R327" t="s">
        <v>1340</v>
      </c>
      <c r="S327">
        <v>0.74</v>
      </c>
      <c r="T327">
        <v>6132</v>
      </c>
      <c r="U327">
        <v>0</v>
      </c>
      <c r="V327">
        <v>6132</v>
      </c>
    </row>
    <row r="328" spans="1:22" x14ac:dyDescent="0.25">
      <c r="A328">
        <v>79452</v>
      </c>
      <c r="B328">
        <v>130356778</v>
      </c>
      <c r="C328" t="s">
        <v>1727</v>
      </c>
      <c r="D328">
        <v>248250192</v>
      </c>
      <c r="E328" t="s">
        <v>430</v>
      </c>
      <c r="F328" t="s">
        <v>431</v>
      </c>
      <c r="G328" t="s">
        <v>149</v>
      </c>
      <c r="H328" t="s">
        <v>150</v>
      </c>
      <c r="I328" t="s">
        <v>88</v>
      </c>
      <c r="J328" t="s">
        <v>151</v>
      </c>
      <c r="K328" t="s">
        <v>2</v>
      </c>
      <c r="L328" t="s">
        <v>1728</v>
      </c>
      <c r="M328" t="s">
        <v>271</v>
      </c>
      <c r="N328" t="s">
        <v>433</v>
      </c>
      <c r="O328" t="s">
        <v>53</v>
      </c>
      <c r="P328" t="s">
        <v>1729</v>
      </c>
      <c r="Q328" s="14" t="s">
        <v>93</v>
      </c>
      <c r="R328" t="s">
        <v>1296</v>
      </c>
      <c r="S328">
        <v>0.67</v>
      </c>
      <c r="T328">
        <v>4737</v>
      </c>
      <c r="U328">
        <v>0</v>
      </c>
      <c r="V328">
        <v>4737</v>
      </c>
    </row>
    <row r="329" spans="1:22" x14ac:dyDescent="0.25">
      <c r="A329">
        <v>79452</v>
      </c>
      <c r="B329">
        <v>130356750</v>
      </c>
      <c r="C329" t="s">
        <v>1730</v>
      </c>
      <c r="D329">
        <v>248250358</v>
      </c>
      <c r="E329" t="s">
        <v>430</v>
      </c>
      <c r="F329" t="s">
        <v>431</v>
      </c>
      <c r="G329" t="s">
        <v>149</v>
      </c>
      <c r="H329" t="s">
        <v>150</v>
      </c>
      <c r="I329" t="s">
        <v>88</v>
      </c>
      <c r="J329" t="s">
        <v>151</v>
      </c>
      <c r="K329" t="s">
        <v>2</v>
      </c>
      <c r="L329" t="s">
        <v>1731</v>
      </c>
      <c r="M329" t="s">
        <v>1732</v>
      </c>
      <c r="N329" t="s">
        <v>433</v>
      </c>
      <c r="O329" t="s">
        <v>53</v>
      </c>
      <c r="P329" t="s">
        <v>1733</v>
      </c>
      <c r="Q329" s="14" t="s">
        <v>95</v>
      </c>
      <c r="R329" t="s">
        <v>1683</v>
      </c>
      <c r="S329">
        <v>1</v>
      </c>
      <c r="T329">
        <v>5749</v>
      </c>
      <c r="U329">
        <v>0</v>
      </c>
      <c r="V329">
        <v>5749</v>
      </c>
    </row>
    <row r="330" spans="1:22" x14ac:dyDescent="0.25">
      <c r="A330">
        <v>79452</v>
      </c>
      <c r="B330">
        <v>130356788</v>
      </c>
      <c r="C330" t="s">
        <v>1734</v>
      </c>
      <c r="D330">
        <v>248250175</v>
      </c>
      <c r="E330" t="s">
        <v>430</v>
      </c>
      <c r="F330" t="s">
        <v>431</v>
      </c>
      <c r="G330" t="s">
        <v>149</v>
      </c>
      <c r="H330" t="s">
        <v>150</v>
      </c>
      <c r="I330" t="s">
        <v>88</v>
      </c>
      <c r="J330" t="s">
        <v>151</v>
      </c>
      <c r="K330" t="s">
        <v>2</v>
      </c>
      <c r="L330" t="s">
        <v>1735</v>
      </c>
      <c r="M330" t="s">
        <v>1736</v>
      </c>
      <c r="N330" t="s">
        <v>433</v>
      </c>
      <c r="O330" t="s">
        <v>53</v>
      </c>
      <c r="P330" t="s">
        <v>1737</v>
      </c>
      <c r="Q330" s="14" t="s">
        <v>124</v>
      </c>
      <c r="R330" t="s">
        <v>1296</v>
      </c>
      <c r="S330">
        <v>1</v>
      </c>
      <c r="T330">
        <v>4219</v>
      </c>
      <c r="U330">
        <v>0</v>
      </c>
      <c r="V330">
        <v>4219</v>
      </c>
    </row>
    <row r="331" spans="1:22" x14ac:dyDescent="0.25">
      <c r="A331">
        <v>79452</v>
      </c>
      <c r="B331">
        <v>130311540</v>
      </c>
      <c r="C331" t="s">
        <v>1738</v>
      </c>
      <c r="D331">
        <v>248168359</v>
      </c>
      <c r="E331" t="s">
        <v>430</v>
      </c>
      <c r="F331" t="s">
        <v>431</v>
      </c>
      <c r="G331" t="s">
        <v>149</v>
      </c>
      <c r="H331" t="s">
        <v>150</v>
      </c>
      <c r="I331" t="s">
        <v>88</v>
      </c>
      <c r="J331" t="s">
        <v>151</v>
      </c>
      <c r="K331" t="s">
        <v>2</v>
      </c>
      <c r="L331" t="s">
        <v>1739</v>
      </c>
      <c r="M331" t="s">
        <v>1430</v>
      </c>
      <c r="N331" t="s">
        <v>433</v>
      </c>
      <c r="O331" t="s">
        <v>53</v>
      </c>
      <c r="P331" t="s">
        <v>1431</v>
      </c>
      <c r="Q331" s="14" t="s">
        <v>124</v>
      </c>
      <c r="R331" t="s">
        <v>1340</v>
      </c>
      <c r="S331">
        <v>1</v>
      </c>
      <c r="T331">
        <v>4219</v>
      </c>
      <c r="U331">
        <v>0</v>
      </c>
      <c r="V331">
        <v>4219</v>
      </c>
    </row>
    <row r="332" spans="1:22" x14ac:dyDescent="0.25">
      <c r="A332">
        <v>79452</v>
      </c>
      <c r="B332">
        <v>130269179</v>
      </c>
      <c r="C332" t="s">
        <v>1740</v>
      </c>
      <c r="D332">
        <v>248168424</v>
      </c>
      <c r="E332" t="s">
        <v>430</v>
      </c>
      <c r="F332" t="s">
        <v>431</v>
      </c>
      <c r="G332" t="s">
        <v>149</v>
      </c>
      <c r="H332" t="s">
        <v>150</v>
      </c>
      <c r="I332" t="s">
        <v>88</v>
      </c>
      <c r="J332" t="s">
        <v>151</v>
      </c>
      <c r="K332" t="s">
        <v>2</v>
      </c>
      <c r="L332" t="s">
        <v>1741</v>
      </c>
      <c r="M332" t="s">
        <v>1742</v>
      </c>
      <c r="N332" t="s">
        <v>433</v>
      </c>
      <c r="O332" t="s">
        <v>53</v>
      </c>
      <c r="P332" t="s">
        <v>1743</v>
      </c>
      <c r="Q332" s="14" t="s">
        <v>124</v>
      </c>
      <c r="R332" t="s">
        <v>1704</v>
      </c>
      <c r="S332">
        <v>0.5</v>
      </c>
      <c r="T332">
        <v>4219</v>
      </c>
      <c r="U332">
        <v>0</v>
      </c>
      <c r="V332">
        <v>4219</v>
      </c>
    </row>
    <row r="333" spans="1:22" x14ac:dyDescent="0.25">
      <c r="A333">
        <v>79452</v>
      </c>
      <c r="B333">
        <v>130269176</v>
      </c>
      <c r="C333" t="s">
        <v>1744</v>
      </c>
      <c r="D333">
        <v>248168431</v>
      </c>
      <c r="E333" t="s">
        <v>430</v>
      </c>
      <c r="F333" t="s">
        <v>431</v>
      </c>
      <c r="G333" t="s">
        <v>149</v>
      </c>
      <c r="H333" t="s">
        <v>150</v>
      </c>
      <c r="I333" t="s">
        <v>88</v>
      </c>
      <c r="J333" t="s">
        <v>151</v>
      </c>
      <c r="K333" t="s">
        <v>2</v>
      </c>
      <c r="L333" t="s">
        <v>1745</v>
      </c>
      <c r="M333" t="s">
        <v>669</v>
      </c>
      <c r="N333" t="s">
        <v>433</v>
      </c>
      <c r="O333" t="s">
        <v>53</v>
      </c>
      <c r="P333" t="s">
        <v>670</v>
      </c>
      <c r="Q333" s="14" t="s">
        <v>120</v>
      </c>
      <c r="R333" t="s">
        <v>1704</v>
      </c>
      <c r="S333">
        <v>0.82</v>
      </c>
      <c r="T333">
        <v>5153</v>
      </c>
      <c r="U333">
        <v>0</v>
      </c>
      <c r="V333">
        <v>5153</v>
      </c>
    </row>
    <row r="334" spans="1:22" x14ac:dyDescent="0.25">
      <c r="A334">
        <v>79452</v>
      </c>
      <c r="B334">
        <v>130356762</v>
      </c>
      <c r="C334" t="s">
        <v>1746</v>
      </c>
      <c r="D334">
        <v>248250311</v>
      </c>
      <c r="E334" t="s">
        <v>430</v>
      </c>
      <c r="F334" t="s">
        <v>431</v>
      </c>
      <c r="G334" t="s">
        <v>149</v>
      </c>
      <c r="H334" t="s">
        <v>150</v>
      </c>
      <c r="I334" t="s">
        <v>88</v>
      </c>
      <c r="J334" t="s">
        <v>151</v>
      </c>
      <c r="K334" t="s">
        <v>2</v>
      </c>
      <c r="L334" t="s">
        <v>1747</v>
      </c>
      <c r="M334" t="s">
        <v>1748</v>
      </c>
      <c r="N334" t="s">
        <v>433</v>
      </c>
      <c r="O334" t="s">
        <v>53</v>
      </c>
      <c r="P334" t="s">
        <v>1749</v>
      </c>
      <c r="Q334" s="14" t="s">
        <v>203</v>
      </c>
      <c r="R334" t="s">
        <v>1296</v>
      </c>
      <c r="S334">
        <v>0.52</v>
      </c>
      <c r="T334">
        <v>5837</v>
      </c>
      <c r="U334">
        <v>0</v>
      </c>
      <c r="V334">
        <v>5837</v>
      </c>
    </row>
    <row r="335" spans="1:22" x14ac:dyDescent="0.25">
      <c r="A335">
        <v>79452</v>
      </c>
      <c r="B335">
        <v>130311549</v>
      </c>
      <c r="C335" t="s">
        <v>1750</v>
      </c>
      <c r="D335">
        <v>248168297</v>
      </c>
      <c r="E335" t="s">
        <v>430</v>
      </c>
      <c r="F335" t="s">
        <v>431</v>
      </c>
      <c r="G335" t="s">
        <v>149</v>
      </c>
      <c r="H335" t="s">
        <v>150</v>
      </c>
      <c r="I335" t="s">
        <v>88</v>
      </c>
      <c r="J335" t="s">
        <v>151</v>
      </c>
      <c r="K335" t="s">
        <v>2</v>
      </c>
      <c r="L335" t="s">
        <v>1751</v>
      </c>
      <c r="M335" t="s">
        <v>338</v>
      </c>
      <c r="N335" t="s">
        <v>433</v>
      </c>
      <c r="O335" t="s">
        <v>53</v>
      </c>
      <c r="P335" t="s">
        <v>1752</v>
      </c>
      <c r="Q335" s="14" t="s">
        <v>38</v>
      </c>
      <c r="R335" t="s">
        <v>1340</v>
      </c>
      <c r="S335">
        <v>1</v>
      </c>
      <c r="T335">
        <v>4669</v>
      </c>
      <c r="U335">
        <v>0</v>
      </c>
      <c r="V335">
        <v>4669</v>
      </c>
    </row>
    <row r="336" spans="1:22" x14ac:dyDescent="0.25">
      <c r="A336">
        <v>79452</v>
      </c>
      <c r="B336">
        <v>130311573</v>
      </c>
      <c r="C336" t="s">
        <v>1753</v>
      </c>
      <c r="D336">
        <v>248168136</v>
      </c>
      <c r="E336" t="s">
        <v>430</v>
      </c>
      <c r="F336" t="s">
        <v>431</v>
      </c>
      <c r="G336" t="s">
        <v>149</v>
      </c>
      <c r="H336" t="s">
        <v>150</v>
      </c>
      <c r="I336" t="s">
        <v>88</v>
      </c>
      <c r="J336" t="s">
        <v>151</v>
      </c>
      <c r="K336" t="s">
        <v>2</v>
      </c>
      <c r="L336" t="s">
        <v>1754</v>
      </c>
      <c r="M336" t="s">
        <v>1755</v>
      </c>
      <c r="N336" t="s">
        <v>433</v>
      </c>
      <c r="O336" t="s">
        <v>53</v>
      </c>
      <c r="P336" t="s">
        <v>1756</v>
      </c>
      <c r="Q336" s="14" t="s">
        <v>92</v>
      </c>
      <c r="R336" t="s">
        <v>1340</v>
      </c>
      <c r="S336">
        <v>0.27</v>
      </c>
      <c r="T336">
        <v>4669</v>
      </c>
      <c r="U336">
        <v>0</v>
      </c>
      <c r="V336">
        <v>4669</v>
      </c>
    </row>
    <row r="337" spans="1:22" x14ac:dyDescent="0.25">
      <c r="A337">
        <v>79452</v>
      </c>
      <c r="B337">
        <v>130356755</v>
      </c>
      <c r="C337" t="s">
        <v>1757</v>
      </c>
      <c r="D337">
        <v>248250291</v>
      </c>
      <c r="E337" t="s">
        <v>430</v>
      </c>
      <c r="F337" t="s">
        <v>431</v>
      </c>
      <c r="G337" t="s">
        <v>149</v>
      </c>
      <c r="H337" t="s">
        <v>150</v>
      </c>
      <c r="I337" t="s">
        <v>88</v>
      </c>
      <c r="J337" t="s">
        <v>151</v>
      </c>
      <c r="K337" t="s">
        <v>2</v>
      </c>
      <c r="L337" t="s">
        <v>1758</v>
      </c>
      <c r="M337" t="s">
        <v>1759</v>
      </c>
      <c r="N337" t="s">
        <v>433</v>
      </c>
      <c r="O337" t="s">
        <v>53</v>
      </c>
      <c r="P337" t="s">
        <v>1760</v>
      </c>
      <c r="Q337" s="14" t="s">
        <v>124</v>
      </c>
      <c r="R337" t="s">
        <v>1683</v>
      </c>
      <c r="S337">
        <v>1.01</v>
      </c>
      <c r="T337">
        <v>4467</v>
      </c>
      <c r="U337">
        <v>0</v>
      </c>
      <c r="V337">
        <v>4467</v>
      </c>
    </row>
    <row r="338" spans="1:22" x14ac:dyDescent="0.25">
      <c r="A338">
        <v>79452</v>
      </c>
      <c r="B338">
        <v>130356793</v>
      </c>
      <c r="C338" t="s">
        <v>1761</v>
      </c>
      <c r="D338">
        <v>248250170</v>
      </c>
      <c r="E338" t="s">
        <v>430</v>
      </c>
      <c r="F338" t="s">
        <v>431</v>
      </c>
      <c r="G338" t="s">
        <v>149</v>
      </c>
      <c r="H338" t="s">
        <v>150</v>
      </c>
      <c r="I338" t="s">
        <v>88</v>
      </c>
      <c r="J338" t="s">
        <v>151</v>
      </c>
      <c r="K338" t="s">
        <v>2</v>
      </c>
      <c r="L338" t="s">
        <v>1762</v>
      </c>
      <c r="M338" t="s">
        <v>1763</v>
      </c>
      <c r="N338" t="s">
        <v>433</v>
      </c>
      <c r="O338" t="s">
        <v>53</v>
      </c>
      <c r="P338" t="s">
        <v>1764</v>
      </c>
      <c r="Q338" s="14" t="s">
        <v>120</v>
      </c>
      <c r="R338" t="s">
        <v>1296</v>
      </c>
      <c r="S338">
        <v>1.96</v>
      </c>
      <c r="T338">
        <v>5569</v>
      </c>
      <c r="U338">
        <v>0</v>
      </c>
      <c r="V338">
        <v>5569</v>
      </c>
    </row>
    <row r="339" spans="1:22" x14ac:dyDescent="0.25">
      <c r="A339">
        <v>79452</v>
      </c>
      <c r="B339">
        <v>130311571</v>
      </c>
      <c r="C339" t="s">
        <v>1765</v>
      </c>
      <c r="D339">
        <v>248168151</v>
      </c>
      <c r="E339" t="s">
        <v>430</v>
      </c>
      <c r="F339" t="s">
        <v>431</v>
      </c>
      <c r="G339" t="s">
        <v>149</v>
      </c>
      <c r="H339" t="s">
        <v>150</v>
      </c>
      <c r="I339" t="s">
        <v>88</v>
      </c>
      <c r="J339" t="s">
        <v>151</v>
      </c>
      <c r="K339" t="s">
        <v>2</v>
      </c>
      <c r="L339" t="s">
        <v>1766</v>
      </c>
      <c r="M339" t="s">
        <v>1767</v>
      </c>
      <c r="N339" t="s">
        <v>433</v>
      </c>
      <c r="O339" t="s">
        <v>53</v>
      </c>
      <c r="P339" t="s">
        <v>1768</v>
      </c>
      <c r="Q339" s="14" t="s">
        <v>140</v>
      </c>
      <c r="R339" t="s">
        <v>1340</v>
      </c>
      <c r="S339">
        <v>0.48</v>
      </c>
      <c r="T339">
        <v>4669</v>
      </c>
      <c r="U339">
        <v>0</v>
      </c>
      <c r="V339">
        <v>4669</v>
      </c>
    </row>
    <row r="340" spans="1:22" x14ac:dyDescent="0.25">
      <c r="A340">
        <v>79452</v>
      </c>
      <c r="B340">
        <v>130311486</v>
      </c>
      <c r="C340" t="s">
        <v>1769</v>
      </c>
      <c r="D340">
        <v>248168418</v>
      </c>
      <c r="E340" t="s">
        <v>430</v>
      </c>
      <c r="F340" t="s">
        <v>431</v>
      </c>
      <c r="G340" t="s">
        <v>149</v>
      </c>
      <c r="H340" t="s">
        <v>150</v>
      </c>
      <c r="I340" t="s">
        <v>88</v>
      </c>
      <c r="J340" t="s">
        <v>151</v>
      </c>
      <c r="K340" t="s">
        <v>2</v>
      </c>
      <c r="L340" t="s">
        <v>1770</v>
      </c>
      <c r="M340" t="s">
        <v>1771</v>
      </c>
      <c r="N340" t="s">
        <v>433</v>
      </c>
      <c r="O340" t="s">
        <v>53</v>
      </c>
      <c r="P340" t="s">
        <v>1772</v>
      </c>
      <c r="Q340" s="14" t="s">
        <v>113</v>
      </c>
      <c r="R340" t="s">
        <v>1636</v>
      </c>
      <c r="S340">
        <v>0.56999999999999995</v>
      </c>
      <c r="T340">
        <v>4973</v>
      </c>
      <c r="U340">
        <v>0</v>
      </c>
      <c r="V340">
        <v>4973</v>
      </c>
    </row>
    <row r="341" spans="1:22" x14ac:dyDescent="0.25">
      <c r="A341">
        <v>79452</v>
      </c>
      <c r="B341">
        <v>130311570</v>
      </c>
      <c r="C341" t="s">
        <v>1773</v>
      </c>
      <c r="D341">
        <v>248168173</v>
      </c>
      <c r="E341" t="s">
        <v>430</v>
      </c>
      <c r="F341" t="s">
        <v>431</v>
      </c>
      <c r="G341" t="s">
        <v>149</v>
      </c>
      <c r="H341" t="s">
        <v>150</v>
      </c>
      <c r="I341" t="s">
        <v>88</v>
      </c>
      <c r="J341" t="s">
        <v>151</v>
      </c>
      <c r="K341" t="s">
        <v>2</v>
      </c>
      <c r="L341" t="s">
        <v>1774</v>
      </c>
      <c r="M341" t="s">
        <v>1775</v>
      </c>
      <c r="N341" t="s">
        <v>433</v>
      </c>
      <c r="O341" t="s">
        <v>53</v>
      </c>
      <c r="P341" t="s">
        <v>1776</v>
      </c>
      <c r="Q341" s="14" t="s">
        <v>109</v>
      </c>
      <c r="R341" t="s">
        <v>1340</v>
      </c>
      <c r="S341">
        <v>1</v>
      </c>
      <c r="T341">
        <v>4669</v>
      </c>
      <c r="U341">
        <v>0</v>
      </c>
      <c r="V341">
        <v>4669</v>
      </c>
    </row>
    <row r="342" spans="1:22" x14ac:dyDescent="0.25">
      <c r="A342">
        <v>79452</v>
      </c>
      <c r="B342">
        <v>130311563</v>
      </c>
      <c r="C342" t="s">
        <v>1777</v>
      </c>
      <c r="D342">
        <v>248168233</v>
      </c>
      <c r="E342" t="s">
        <v>430</v>
      </c>
      <c r="F342" t="s">
        <v>431</v>
      </c>
      <c r="G342" t="s">
        <v>149</v>
      </c>
      <c r="H342" t="s">
        <v>150</v>
      </c>
      <c r="I342" t="s">
        <v>88</v>
      </c>
      <c r="J342" t="s">
        <v>151</v>
      </c>
      <c r="K342" t="s">
        <v>2</v>
      </c>
      <c r="L342" t="s">
        <v>1778</v>
      </c>
      <c r="M342" t="s">
        <v>1779</v>
      </c>
      <c r="N342" t="s">
        <v>433</v>
      </c>
      <c r="O342" t="s">
        <v>53</v>
      </c>
      <c r="P342" t="s">
        <v>1780</v>
      </c>
      <c r="Q342" s="14" t="s">
        <v>220</v>
      </c>
      <c r="R342" t="s">
        <v>1340</v>
      </c>
      <c r="S342">
        <v>0.4</v>
      </c>
      <c r="T342">
        <v>4853</v>
      </c>
      <c r="U342">
        <v>0</v>
      </c>
      <c r="V342">
        <v>4853</v>
      </c>
    </row>
    <row r="343" spans="1:22" x14ac:dyDescent="0.25">
      <c r="A343">
        <v>79452</v>
      </c>
      <c r="B343">
        <v>130356771</v>
      </c>
      <c r="C343" t="s">
        <v>1781</v>
      </c>
      <c r="D343">
        <v>248250226</v>
      </c>
      <c r="E343" t="s">
        <v>430</v>
      </c>
      <c r="F343" t="s">
        <v>431</v>
      </c>
      <c r="G343" t="s">
        <v>149</v>
      </c>
      <c r="H343" t="s">
        <v>150</v>
      </c>
      <c r="I343" t="s">
        <v>88</v>
      </c>
      <c r="J343" t="s">
        <v>151</v>
      </c>
      <c r="K343" t="s">
        <v>2</v>
      </c>
      <c r="L343" t="s">
        <v>1782</v>
      </c>
      <c r="M343" t="s">
        <v>1783</v>
      </c>
      <c r="N343" t="s">
        <v>433</v>
      </c>
      <c r="O343" t="s">
        <v>53</v>
      </c>
      <c r="P343" t="s">
        <v>1784</v>
      </c>
      <c r="Q343" s="14" t="s">
        <v>158</v>
      </c>
      <c r="R343" t="s">
        <v>1296</v>
      </c>
      <c r="S343">
        <v>1</v>
      </c>
      <c r="T343">
        <v>4219</v>
      </c>
      <c r="U343">
        <v>0</v>
      </c>
      <c r="V343">
        <v>4219</v>
      </c>
    </row>
    <row r="344" spans="1:22" x14ac:dyDescent="0.25">
      <c r="A344">
        <v>79452</v>
      </c>
      <c r="B344">
        <v>130356774</v>
      </c>
      <c r="C344" t="s">
        <v>1785</v>
      </c>
      <c r="D344">
        <v>248250223</v>
      </c>
      <c r="E344" t="s">
        <v>430</v>
      </c>
      <c r="F344" t="s">
        <v>431</v>
      </c>
      <c r="G344" t="s">
        <v>149</v>
      </c>
      <c r="H344" t="s">
        <v>150</v>
      </c>
      <c r="I344" t="s">
        <v>88</v>
      </c>
      <c r="J344" t="s">
        <v>151</v>
      </c>
      <c r="K344" t="s">
        <v>2</v>
      </c>
      <c r="L344" t="s">
        <v>1786</v>
      </c>
      <c r="M344" t="s">
        <v>1787</v>
      </c>
      <c r="N344" t="s">
        <v>433</v>
      </c>
      <c r="O344" t="s">
        <v>53</v>
      </c>
      <c r="P344" t="s">
        <v>1788</v>
      </c>
      <c r="Q344" s="14" t="s">
        <v>99</v>
      </c>
      <c r="R344" t="s">
        <v>1296</v>
      </c>
      <c r="S344">
        <v>0.32</v>
      </c>
      <c r="T344">
        <v>4219</v>
      </c>
      <c r="U344">
        <v>0</v>
      </c>
      <c r="V344">
        <v>4219</v>
      </c>
    </row>
    <row r="345" spans="1:22" x14ac:dyDescent="0.25">
      <c r="A345">
        <v>79452</v>
      </c>
      <c r="B345">
        <v>130311579</v>
      </c>
      <c r="C345" t="s">
        <v>1789</v>
      </c>
      <c r="D345">
        <v>248168124</v>
      </c>
      <c r="E345" t="s">
        <v>430</v>
      </c>
      <c r="F345" t="s">
        <v>431</v>
      </c>
      <c r="G345" t="s">
        <v>149</v>
      </c>
      <c r="H345" t="s">
        <v>150</v>
      </c>
      <c r="I345" t="s">
        <v>88</v>
      </c>
      <c r="J345" t="s">
        <v>151</v>
      </c>
      <c r="K345" t="s">
        <v>2</v>
      </c>
      <c r="L345" t="s">
        <v>1790</v>
      </c>
      <c r="M345" t="s">
        <v>1434</v>
      </c>
      <c r="N345" t="s">
        <v>433</v>
      </c>
      <c r="O345" t="s">
        <v>53</v>
      </c>
      <c r="P345" t="s">
        <v>1435</v>
      </c>
      <c r="Q345" s="14" t="s">
        <v>104</v>
      </c>
      <c r="R345" t="s">
        <v>1340</v>
      </c>
      <c r="S345">
        <v>0.26</v>
      </c>
      <c r="T345">
        <v>4737</v>
      </c>
      <c r="U345">
        <v>0</v>
      </c>
      <c r="V345">
        <v>4737</v>
      </c>
    </row>
    <row r="346" spans="1:22" x14ac:dyDescent="0.25">
      <c r="A346">
        <v>79452</v>
      </c>
      <c r="B346">
        <v>130356769</v>
      </c>
      <c r="C346" t="s">
        <v>1791</v>
      </c>
      <c r="D346">
        <v>248250236</v>
      </c>
      <c r="E346" t="s">
        <v>430</v>
      </c>
      <c r="F346" t="s">
        <v>431</v>
      </c>
      <c r="G346" t="s">
        <v>149</v>
      </c>
      <c r="H346" t="s">
        <v>150</v>
      </c>
      <c r="I346" t="s">
        <v>88</v>
      </c>
      <c r="J346" t="s">
        <v>151</v>
      </c>
      <c r="K346" t="s">
        <v>2</v>
      </c>
      <c r="L346" t="s">
        <v>1792</v>
      </c>
      <c r="M346" t="s">
        <v>341</v>
      </c>
      <c r="N346" t="s">
        <v>433</v>
      </c>
      <c r="O346" t="s">
        <v>53</v>
      </c>
      <c r="P346" t="s">
        <v>1793</v>
      </c>
      <c r="Q346" s="14" t="s">
        <v>40</v>
      </c>
      <c r="R346" t="s">
        <v>1296</v>
      </c>
      <c r="S346">
        <v>0.28999999999999998</v>
      </c>
      <c r="T346">
        <v>4534</v>
      </c>
      <c r="U346">
        <v>0</v>
      </c>
      <c r="V346">
        <v>4534</v>
      </c>
    </row>
    <row r="347" spans="1:22" x14ac:dyDescent="0.25">
      <c r="A347">
        <v>79452</v>
      </c>
      <c r="B347">
        <v>130311548</v>
      </c>
      <c r="C347" t="s">
        <v>1794</v>
      </c>
      <c r="D347">
        <v>248168339</v>
      </c>
      <c r="E347" t="s">
        <v>430</v>
      </c>
      <c r="F347" t="s">
        <v>431</v>
      </c>
      <c r="G347" t="s">
        <v>149</v>
      </c>
      <c r="H347" t="s">
        <v>150</v>
      </c>
      <c r="I347" t="s">
        <v>88</v>
      </c>
      <c r="J347" t="s">
        <v>151</v>
      </c>
      <c r="K347" t="s">
        <v>2</v>
      </c>
      <c r="L347" t="s">
        <v>1387</v>
      </c>
      <c r="M347" t="s">
        <v>1388</v>
      </c>
      <c r="N347" t="s">
        <v>433</v>
      </c>
      <c r="O347" t="s">
        <v>53</v>
      </c>
      <c r="P347" t="s">
        <v>1795</v>
      </c>
      <c r="Q347" s="14" t="s">
        <v>122</v>
      </c>
      <c r="R347" t="s">
        <v>1340</v>
      </c>
      <c r="S347">
        <v>1.05</v>
      </c>
      <c r="T347">
        <v>5310</v>
      </c>
      <c r="U347">
        <v>0</v>
      </c>
      <c r="V347">
        <v>5310</v>
      </c>
    </row>
    <row r="348" spans="1:22" x14ac:dyDescent="0.25">
      <c r="A348">
        <v>79452</v>
      </c>
      <c r="B348">
        <v>129650431</v>
      </c>
      <c r="C348" t="s">
        <v>1796</v>
      </c>
      <c r="D348">
        <v>246704978</v>
      </c>
      <c r="E348" t="s">
        <v>430</v>
      </c>
      <c r="F348" t="s">
        <v>431</v>
      </c>
      <c r="G348" t="s">
        <v>149</v>
      </c>
      <c r="H348" t="s">
        <v>150</v>
      </c>
      <c r="I348" t="s">
        <v>88</v>
      </c>
      <c r="J348" t="s">
        <v>151</v>
      </c>
      <c r="K348" t="s">
        <v>254</v>
      </c>
      <c r="L348" t="s">
        <v>248</v>
      </c>
      <c r="M348" t="s">
        <v>1797</v>
      </c>
      <c r="N348" t="s">
        <v>433</v>
      </c>
      <c r="O348" t="s">
        <v>53</v>
      </c>
      <c r="P348" t="s">
        <v>1798</v>
      </c>
      <c r="Q348" s="14" t="s">
        <v>159</v>
      </c>
      <c r="R348" t="s">
        <v>1799</v>
      </c>
      <c r="S348">
        <v>1.27</v>
      </c>
      <c r="T348">
        <v>6660</v>
      </c>
      <c r="U348">
        <v>0</v>
      </c>
      <c r="V348">
        <v>6660</v>
      </c>
    </row>
    <row r="349" spans="1:22" x14ac:dyDescent="0.25">
      <c r="A349">
        <v>79452</v>
      </c>
      <c r="B349">
        <v>130634760</v>
      </c>
      <c r="C349" t="s">
        <v>1800</v>
      </c>
      <c r="D349" t="s">
        <v>1801</v>
      </c>
      <c r="E349" t="s">
        <v>430</v>
      </c>
      <c r="F349" t="s">
        <v>431</v>
      </c>
      <c r="G349" t="s">
        <v>86</v>
      </c>
      <c r="H349" t="s">
        <v>87</v>
      </c>
      <c r="I349" t="s">
        <v>88</v>
      </c>
      <c r="J349" t="s">
        <v>89</v>
      </c>
      <c r="K349" t="s">
        <v>2</v>
      </c>
      <c r="L349" t="s">
        <v>1802</v>
      </c>
      <c r="M349" t="s">
        <v>1803</v>
      </c>
      <c r="N349" t="s">
        <v>433</v>
      </c>
      <c r="O349" t="s">
        <v>53</v>
      </c>
      <c r="P349" t="s">
        <v>1804</v>
      </c>
      <c r="Q349" s="14" t="s">
        <v>327</v>
      </c>
      <c r="R349" t="s">
        <v>1303</v>
      </c>
      <c r="S349">
        <v>0.87</v>
      </c>
      <c r="T349">
        <v>6603</v>
      </c>
      <c r="U349">
        <v>624.85</v>
      </c>
      <c r="V349">
        <v>7227.85</v>
      </c>
    </row>
    <row r="350" spans="1:22" x14ac:dyDescent="0.25">
      <c r="A350">
        <v>79452</v>
      </c>
      <c r="B350">
        <v>130634751</v>
      </c>
      <c r="C350" t="s">
        <v>1805</v>
      </c>
      <c r="D350" t="s">
        <v>1806</v>
      </c>
      <c r="E350" t="s">
        <v>430</v>
      </c>
      <c r="F350" t="s">
        <v>431</v>
      </c>
      <c r="G350" t="s">
        <v>86</v>
      </c>
      <c r="H350" t="s">
        <v>87</v>
      </c>
      <c r="I350" t="s">
        <v>88</v>
      </c>
      <c r="J350" t="s">
        <v>89</v>
      </c>
      <c r="K350" t="s">
        <v>2</v>
      </c>
      <c r="L350" t="s">
        <v>1807</v>
      </c>
      <c r="M350" t="s">
        <v>1808</v>
      </c>
      <c r="N350" t="s">
        <v>433</v>
      </c>
      <c r="O350" t="s">
        <v>53</v>
      </c>
      <c r="P350" t="s">
        <v>1809</v>
      </c>
      <c r="Q350" s="14" t="s">
        <v>41</v>
      </c>
      <c r="R350" t="s">
        <v>1303</v>
      </c>
      <c r="S350">
        <v>0.31</v>
      </c>
      <c r="T350">
        <v>3735</v>
      </c>
      <c r="U350">
        <v>249.95</v>
      </c>
      <c r="V350">
        <v>3984.95</v>
      </c>
    </row>
    <row r="351" spans="1:22" x14ac:dyDescent="0.25">
      <c r="A351">
        <v>79452</v>
      </c>
      <c r="B351">
        <v>130634757</v>
      </c>
      <c r="C351" t="s">
        <v>1810</v>
      </c>
      <c r="D351" t="s">
        <v>1811</v>
      </c>
      <c r="E351" t="s">
        <v>430</v>
      </c>
      <c r="F351" t="s">
        <v>431</v>
      </c>
      <c r="G351" t="s">
        <v>86</v>
      </c>
      <c r="H351" t="s">
        <v>87</v>
      </c>
      <c r="I351" t="s">
        <v>88</v>
      </c>
      <c r="J351" t="s">
        <v>89</v>
      </c>
      <c r="K351" t="s">
        <v>2</v>
      </c>
      <c r="L351" t="s">
        <v>1812</v>
      </c>
      <c r="M351" t="s">
        <v>1813</v>
      </c>
      <c r="N351" t="s">
        <v>433</v>
      </c>
      <c r="O351" t="s">
        <v>53</v>
      </c>
      <c r="P351" t="s">
        <v>1814</v>
      </c>
      <c r="Q351" s="14" t="s">
        <v>130</v>
      </c>
      <c r="R351" t="s">
        <v>1303</v>
      </c>
      <c r="S351">
        <v>0.53</v>
      </c>
      <c r="T351">
        <v>5317</v>
      </c>
      <c r="U351">
        <v>299.89999999999998</v>
      </c>
      <c r="V351">
        <v>5616.9</v>
      </c>
    </row>
    <row r="352" spans="1:22" x14ac:dyDescent="0.25">
      <c r="A352">
        <v>79452</v>
      </c>
      <c r="B352">
        <v>130634746</v>
      </c>
      <c r="C352" t="s">
        <v>1815</v>
      </c>
      <c r="D352" t="s">
        <v>1816</v>
      </c>
      <c r="E352" t="s">
        <v>430</v>
      </c>
      <c r="F352" t="s">
        <v>431</v>
      </c>
      <c r="G352" t="s">
        <v>86</v>
      </c>
      <c r="H352" t="s">
        <v>87</v>
      </c>
      <c r="I352" t="s">
        <v>88</v>
      </c>
      <c r="J352" t="s">
        <v>89</v>
      </c>
      <c r="K352" t="s">
        <v>2</v>
      </c>
      <c r="L352" t="s">
        <v>1817</v>
      </c>
      <c r="M352" t="s">
        <v>1818</v>
      </c>
      <c r="N352" t="s">
        <v>433</v>
      </c>
      <c r="O352" t="s">
        <v>53</v>
      </c>
      <c r="P352" t="s">
        <v>1819</v>
      </c>
      <c r="Q352" s="14" t="s">
        <v>315</v>
      </c>
      <c r="R352" t="s">
        <v>1303</v>
      </c>
      <c r="S352">
        <v>0.32</v>
      </c>
      <c r="T352">
        <v>6351</v>
      </c>
      <c r="U352">
        <v>174.95</v>
      </c>
      <c r="V352">
        <v>6525.95</v>
      </c>
    </row>
    <row r="353" spans="1:22" x14ac:dyDescent="0.25">
      <c r="A353">
        <v>79452</v>
      </c>
      <c r="B353">
        <v>131134416</v>
      </c>
      <c r="C353" t="s">
        <v>1820</v>
      </c>
      <c r="D353" t="s">
        <v>1821</v>
      </c>
      <c r="E353" t="s">
        <v>430</v>
      </c>
      <c r="F353" t="s">
        <v>431</v>
      </c>
      <c r="G353" t="s">
        <v>86</v>
      </c>
      <c r="H353" t="s">
        <v>87</v>
      </c>
      <c r="I353" t="s">
        <v>88</v>
      </c>
      <c r="J353" t="s">
        <v>89</v>
      </c>
      <c r="K353" t="s">
        <v>2</v>
      </c>
      <c r="L353" t="s">
        <v>90</v>
      </c>
      <c r="M353" t="s">
        <v>1822</v>
      </c>
      <c r="N353" t="s">
        <v>433</v>
      </c>
      <c r="O353" t="s">
        <v>53</v>
      </c>
      <c r="P353" t="s">
        <v>1823</v>
      </c>
      <c r="Q353" s="14" t="s">
        <v>41</v>
      </c>
      <c r="R353" t="s">
        <v>520</v>
      </c>
      <c r="S353">
        <v>0.24</v>
      </c>
      <c r="T353">
        <v>3735</v>
      </c>
      <c r="U353">
        <v>149.94999999999999</v>
      </c>
      <c r="V353">
        <v>3884.95</v>
      </c>
    </row>
    <row r="354" spans="1:22" x14ac:dyDescent="0.25">
      <c r="A354">
        <v>79452</v>
      </c>
      <c r="B354">
        <v>131107343</v>
      </c>
      <c r="C354" t="s">
        <v>1824</v>
      </c>
      <c r="D354" t="s">
        <v>1825</v>
      </c>
      <c r="E354" t="s">
        <v>430</v>
      </c>
      <c r="F354" t="s">
        <v>431</v>
      </c>
      <c r="G354" t="s">
        <v>86</v>
      </c>
      <c r="H354" t="s">
        <v>87</v>
      </c>
      <c r="I354" t="s">
        <v>88</v>
      </c>
      <c r="J354" t="s">
        <v>89</v>
      </c>
      <c r="K354" t="s">
        <v>2</v>
      </c>
      <c r="L354" t="s">
        <v>90</v>
      </c>
      <c r="M354" t="s">
        <v>1826</v>
      </c>
      <c r="N354" t="s">
        <v>433</v>
      </c>
      <c r="O354" t="s">
        <v>53</v>
      </c>
      <c r="P354" t="s">
        <v>1827</v>
      </c>
      <c r="Q354" s="14" t="s">
        <v>139</v>
      </c>
      <c r="R354" t="s">
        <v>710</v>
      </c>
      <c r="S354">
        <v>0.79</v>
      </c>
      <c r="T354">
        <v>5317</v>
      </c>
      <c r="U354">
        <v>449.85</v>
      </c>
      <c r="V354">
        <v>5766.85</v>
      </c>
    </row>
    <row r="355" spans="1:22" x14ac:dyDescent="0.25">
      <c r="A355">
        <v>79452</v>
      </c>
      <c r="B355">
        <v>131078305</v>
      </c>
      <c r="C355" t="s">
        <v>1828</v>
      </c>
      <c r="D355" t="s">
        <v>1829</v>
      </c>
      <c r="E355" t="s">
        <v>430</v>
      </c>
      <c r="F355" t="s">
        <v>431</v>
      </c>
      <c r="G355" t="s">
        <v>86</v>
      </c>
      <c r="H355" t="s">
        <v>87</v>
      </c>
      <c r="I355" t="s">
        <v>88</v>
      </c>
      <c r="J355" t="s">
        <v>89</v>
      </c>
      <c r="K355" t="s">
        <v>2</v>
      </c>
      <c r="L355" t="s">
        <v>90</v>
      </c>
      <c r="M355" t="s">
        <v>1830</v>
      </c>
      <c r="N355" t="s">
        <v>433</v>
      </c>
      <c r="O355" t="s">
        <v>53</v>
      </c>
      <c r="P355" t="s">
        <v>1831</v>
      </c>
      <c r="Q355" s="14" t="s">
        <v>145</v>
      </c>
      <c r="R355" t="s">
        <v>553</v>
      </c>
      <c r="S355">
        <v>0.65</v>
      </c>
      <c r="T355">
        <v>6381</v>
      </c>
      <c r="U355">
        <v>324.89999999999998</v>
      </c>
      <c r="V355">
        <v>6705.9</v>
      </c>
    </row>
    <row r="356" spans="1:22" x14ac:dyDescent="0.25">
      <c r="A356">
        <v>79452</v>
      </c>
      <c r="B356">
        <v>131023679</v>
      </c>
      <c r="C356" t="s">
        <v>1832</v>
      </c>
      <c r="D356" t="s">
        <v>1833</v>
      </c>
      <c r="E356" t="s">
        <v>430</v>
      </c>
      <c r="F356" t="s">
        <v>431</v>
      </c>
      <c r="G356" t="s">
        <v>86</v>
      </c>
      <c r="H356" t="s">
        <v>87</v>
      </c>
      <c r="I356" t="s">
        <v>88</v>
      </c>
      <c r="J356" t="s">
        <v>89</v>
      </c>
      <c r="K356" t="s">
        <v>2</v>
      </c>
      <c r="L356" t="s">
        <v>90</v>
      </c>
      <c r="M356" t="s">
        <v>1834</v>
      </c>
      <c r="N356" t="s">
        <v>433</v>
      </c>
      <c r="O356" t="s">
        <v>53</v>
      </c>
      <c r="P356" t="s">
        <v>1835</v>
      </c>
      <c r="Q356" s="14" t="s">
        <v>145</v>
      </c>
      <c r="R356" t="s">
        <v>586</v>
      </c>
      <c r="S356">
        <v>0.67</v>
      </c>
      <c r="T356">
        <v>6381</v>
      </c>
      <c r="U356">
        <v>349.9</v>
      </c>
      <c r="V356">
        <v>6730.9</v>
      </c>
    </row>
    <row r="357" spans="1:22" x14ac:dyDescent="0.25">
      <c r="A357">
        <v>79452</v>
      </c>
      <c r="B357">
        <v>130827305</v>
      </c>
      <c r="C357" t="s">
        <v>1836</v>
      </c>
      <c r="D357" t="s">
        <v>1837</v>
      </c>
      <c r="E357" t="s">
        <v>430</v>
      </c>
      <c r="F357" t="s">
        <v>431</v>
      </c>
      <c r="G357" t="s">
        <v>86</v>
      </c>
      <c r="H357" t="s">
        <v>87</v>
      </c>
      <c r="I357" t="s">
        <v>88</v>
      </c>
      <c r="J357" t="s">
        <v>89</v>
      </c>
      <c r="K357" t="s">
        <v>2</v>
      </c>
      <c r="L357" t="s">
        <v>90</v>
      </c>
      <c r="M357" t="s">
        <v>1838</v>
      </c>
      <c r="N357" t="s">
        <v>433</v>
      </c>
      <c r="O357" t="s">
        <v>53</v>
      </c>
      <c r="P357" t="s">
        <v>1839</v>
      </c>
      <c r="Q357" s="14" t="s">
        <v>145</v>
      </c>
      <c r="R357" t="s">
        <v>357</v>
      </c>
      <c r="S357">
        <v>1.1000000000000001</v>
      </c>
      <c r="T357">
        <v>7337</v>
      </c>
      <c r="U357">
        <v>349.95</v>
      </c>
      <c r="V357">
        <v>7686.95</v>
      </c>
    </row>
    <row r="358" spans="1:22" x14ac:dyDescent="0.25">
      <c r="A358">
        <v>79452</v>
      </c>
      <c r="B358">
        <v>130868143</v>
      </c>
      <c r="C358" t="s">
        <v>1840</v>
      </c>
      <c r="D358" t="s">
        <v>1841</v>
      </c>
      <c r="E358" t="s">
        <v>430</v>
      </c>
      <c r="F358" t="s">
        <v>431</v>
      </c>
      <c r="G358" t="s">
        <v>86</v>
      </c>
      <c r="H358" t="s">
        <v>87</v>
      </c>
      <c r="I358" t="s">
        <v>88</v>
      </c>
      <c r="J358" t="s">
        <v>89</v>
      </c>
      <c r="K358" t="s">
        <v>254</v>
      </c>
      <c r="L358" t="s">
        <v>166</v>
      </c>
      <c r="M358" t="s">
        <v>1842</v>
      </c>
      <c r="N358" t="s">
        <v>433</v>
      </c>
      <c r="O358" t="s">
        <v>53</v>
      </c>
      <c r="P358" t="s">
        <v>1843</v>
      </c>
      <c r="Q358" s="14" t="s">
        <v>156</v>
      </c>
      <c r="R358" t="s">
        <v>1062</v>
      </c>
      <c r="S358">
        <v>1.02</v>
      </c>
      <c r="T358">
        <v>8624</v>
      </c>
      <c r="U358">
        <v>299.89999999999998</v>
      </c>
      <c r="V358">
        <v>8923.9</v>
      </c>
    </row>
    <row r="359" spans="1:22" x14ac:dyDescent="0.25">
      <c r="A359">
        <v>79452</v>
      </c>
      <c r="B359">
        <v>130827320</v>
      </c>
      <c r="C359" t="s">
        <v>1844</v>
      </c>
      <c r="D359" t="s">
        <v>1845</v>
      </c>
      <c r="E359" t="s">
        <v>430</v>
      </c>
      <c r="F359" t="s">
        <v>431</v>
      </c>
      <c r="G359" t="s">
        <v>86</v>
      </c>
      <c r="H359" t="s">
        <v>87</v>
      </c>
      <c r="I359" t="s">
        <v>88</v>
      </c>
      <c r="J359" t="s">
        <v>89</v>
      </c>
      <c r="K359" t="s">
        <v>2</v>
      </c>
      <c r="L359" t="s">
        <v>90</v>
      </c>
      <c r="M359" t="s">
        <v>1846</v>
      </c>
      <c r="N359" t="s">
        <v>433</v>
      </c>
      <c r="O359" t="s">
        <v>53</v>
      </c>
      <c r="P359" t="s">
        <v>1847</v>
      </c>
      <c r="Q359" s="14" t="s">
        <v>312</v>
      </c>
      <c r="R359" t="s">
        <v>357</v>
      </c>
      <c r="S359">
        <v>0.28000000000000003</v>
      </c>
      <c r="T359">
        <v>6595</v>
      </c>
      <c r="U359">
        <v>149.94999999999999</v>
      </c>
      <c r="V359">
        <v>6744.95</v>
      </c>
    </row>
    <row r="360" spans="1:22" x14ac:dyDescent="0.25">
      <c r="A360">
        <v>79452</v>
      </c>
      <c r="B360">
        <v>130780206</v>
      </c>
      <c r="C360" t="s">
        <v>1848</v>
      </c>
      <c r="D360" t="s">
        <v>1849</v>
      </c>
      <c r="E360" t="s">
        <v>430</v>
      </c>
      <c r="F360" t="s">
        <v>431</v>
      </c>
      <c r="G360" t="s">
        <v>86</v>
      </c>
      <c r="H360" t="s">
        <v>87</v>
      </c>
      <c r="I360" t="s">
        <v>88</v>
      </c>
      <c r="J360" t="s">
        <v>89</v>
      </c>
      <c r="K360" t="s">
        <v>2</v>
      </c>
      <c r="L360" t="s">
        <v>90</v>
      </c>
      <c r="M360" t="s">
        <v>1850</v>
      </c>
      <c r="N360" t="s">
        <v>433</v>
      </c>
      <c r="O360" t="s">
        <v>53</v>
      </c>
      <c r="P360" t="s">
        <v>1851</v>
      </c>
      <c r="Q360" s="14" t="s">
        <v>145</v>
      </c>
      <c r="R360" t="s">
        <v>180</v>
      </c>
      <c r="S360">
        <v>1.03</v>
      </c>
      <c r="T360">
        <v>7337</v>
      </c>
      <c r="U360">
        <v>599.79999999999995</v>
      </c>
      <c r="V360">
        <v>7936.8</v>
      </c>
    </row>
    <row r="361" spans="1:22" x14ac:dyDescent="0.25">
      <c r="A361">
        <v>79452</v>
      </c>
      <c r="B361">
        <v>130747707</v>
      </c>
      <c r="C361" t="s">
        <v>1852</v>
      </c>
      <c r="D361" t="s">
        <v>1853</v>
      </c>
      <c r="E361" t="s">
        <v>430</v>
      </c>
      <c r="F361" t="s">
        <v>431</v>
      </c>
      <c r="G361" t="s">
        <v>86</v>
      </c>
      <c r="H361" t="s">
        <v>87</v>
      </c>
      <c r="I361" t="s">
        <v>88</v>
      </c>
      <c r="J361" t="s">
        <v>89</v>
      </c>
      <c r="K361" t="s">
        <v>2</v>
      </c>
      <c r="L361" t="s">
        <v>90</v>
      </c>
      <c r="M361" t="s">
        <v>1854</v>
      </c>
      <c r="N361" t="s">
        <v>433</v>
      </c>
      <c r="O361" t="s">
        <v>53</v>
      </c>
      <c r="P361" t="s">
        <v>1855</v>
      </c>
      <c r="Q361" s="14" t="s">
        <v>121</v>
      </c>
      <c r="R361" t="s">
        <v>398</v>
      </c>
      <c r="S361">
        <v>0.54</v>
      </c>
      <c r="T361">
        <v>6381</v>
      </c>
      <c r="U361">
        <v>299.89999999999998</v>
      </c>
      <c r="V361">
        <v>6680.9</v>
      </c>
    </row>
    <row r="362" spans="1:22" x14ac:dyDescent="0.25">
      <c r="A362">
        <v>79452</v>
      </c>
      <c r="B362">
        <v>130727714</v>
      </c>
      <c r="C362" t="s">
        <v>1856</v>
      </c>
      <c r="D362" t="s">
        <v>1857</v>
      </c>
      <c r="E362" t="s">
        <v>430</v>
      </c>
      <c r="F362" t="s">
        <v>431</v>
      </c>
      <c r="G362" t="s">
        <v>86</v>
      </c>
      <c r="H362" t="s">
        <v>87</v>
      </c>
      <c r="I362" t="s">
        <v>88</v>
      </c>
      <c r="J362" t="s">
        <v>89</v>
      </c>
      <c r="K362" t="s">
        <v>2</v>
      </c>
      <c r="L362" t="s">
        <v>90</v>
      </c>
      <c r="M362" t="s">
        <v>1858</v>
      </c>
      <c r="N362" t="s">
        <v>433</v>
      </c>
      <c r="O362" t="s">
        <v>53</v>
      </c>
      <c r="P362" t="s">
        <v>1859</v>
      </c>
      <c r="Q362" s="14" t="s">
        <v>250</v>
      </c>
      <c r="R362" t="s">
        <v>378</v>
      </c>
      <c r="S362">
        <v>0.46</v>
      </c>
      <c r="T362">
        <v>5116</v>
      </c>
      <c r="U362">
        <v>299.89999999999998</v>
      </c>
      <c r="V362">
        <v>5415.9</v>
      </c>
    </row>
    <row r="363" spans="1:22" x14ac:dyDescent="0.25">
      <c r="A363">
        <v>79452</v>
      </c>
      <c r="B363">
        <v>130614763</v>
      </c>
      <c r="C363" t="s">
        <v>1860</v>
      </c>
      <c r="D363" t="s">
        <v>1861</v>
      </c>
      <c r="E363" t="s">
        <v>430</v>
      </c>
      <c r="F363" t="s">
        <v>431</v>
      </c>
      <c r="G363" t="s">
        <v>86</v>
      </c>
      <c r="H363" t="s">
        <v>87</v>
      </c>
      <c r="I363" t="s">
        <v>88</v>
      </c>
      <c r="J363" t="s">
        <v>89</v>
      </c>
      <c r="K363" t="s">
        <v>2</v>
      </c>
      <c r="L363" t="s">
        <v>90</v>
      </c>
      <c r="M363" t="s">
        <v>1862</v>
      </c>
      <c r="N363" t="s">
        <v>433</v>
      </c>
      <c r="O363" t="s">
        <v>53</v>
      </c>
      <c r="P363" t="s">
        <v>1863</v>
      </c>
      <c r="Q363" s="14" t="s">
        <v>295</v>
      </c>
      <c r="R363" t="s">
        <v>1419</v>
      </c>
      <c r="S363">
        <v>0.27</v>
      </c>
      <c r="T363">
        <v>5564</v>
      </c>
      <c r="U363">
        <v>149.94999999999999</v>
      </c>
      <c r="V363">
        <v>5713.95</v>
      </c>
    </row>
    <row r="364" spans="1:22" x14ac:dyDescent="0.25">
      <c r="A364">
        <v>79452</v>
      </c>
      <c r="B364">
        <v>130601546</v>
      </c>
      <c r="C364" t="s">
        <v>1864</v>
      </c>
      <c r="D364" t="s">
        <v>1865</v>
      </c>
      <c r="E364" t="s">
        <v>430</v>
      </c>
      <c r="F364" t="s">
        <v>431</v>
      </c>
      <c r="G364" t="s">
        <v>86</v>
      </c>
      <c r="H364" t="s">
        <v>87</v>
      </c>
      <c r="I364" t="s">
        <v>88</v>
      </c>
      <c r="J364" t="s">
        <v>89</v>
      </c>
      <c r="K364" t="s">
        <v>2</v>
      </c>
      <c r="L364" t="s">
        <v>90</v>
      </c>
      <c r="M364" t="s">
        <v>1866</v>
      </c>
      <c r="N364" t="s">
        <v>433</v>
      </c>
      <c r="O364" t="s">
        <v>53</v>
      </c>
      <c r="P364" t="s">
        <v>1867</v>
      </c>
      <c r="Q364" s="14" t="s">
        <v>178</v>
      </c>
      <c r="R364" t="s">
        <v>1335</v>
      </c>
      <c r="S364">
        <v>0.51</v>
      </c>
      <c r="T364">
        <v>6077</v>
      </c>
      <c r="U364">
        <v>299.89999999999998</v>
      </c>
      <c r="V364">
        <v>6376.9</v>
      </c>
    </row>
    <row r="365" spans="1:22" x14ac:dyDescent="0.25">
      <c r="A365">
        <v>79452</v>
      </c>
      <c r="B365">
        <v>130580412</v>
      </c>
      <c r="C365" t="s">
        <v>1868</v>
      </c>
      <c r="D365" t="s">
        <v>1869</v>
      </c>
      <c r="E365" t="s">
        <v>430</v>
      </c>
      <c r="F365" t="s">
        <v>431</v>
      </c>
      <c r="G365" t="s">
        <v>86</v>
      </c>
      <c r="H365" t="s">
        <v>87</v>
      </c>
      <c r="I365" t="s">
        <v>88</v>
      </c>
      <c r="J365" t="s">
        <v>89</v>
      </c>
      <c r="K365" t="s">
        <v>2</v>
      </c>
      <c r="L365" t="s">
        <v>90</v>
      </c>
      <c r="M365" t="s">
        <v>1870</v>
      </c>
      <c r="N365" t="s">
        <v>433</v>
      </c>
      <c r="O365" t="s">
        <v>53</v>
      </c>
      <c r="P365" t="s">
        <v>1871</v>
      </c>
      <c r="Q365" s="14" t="s">
        <v>145</v>
      </c>
      <c r="R365" t="s">
        <v>1291</v>
      </c>
      <c r="S365">
        <v>0.3</v>
      </c>
      <c r="T365">
        <v>6381</v>
      </c>
      <c r="U365">
        <v>174.95</v>
      </c>
      <c r="V365">
        <v>6555.95</v>
      </c>
    </row>
    <row r="366" spans="1:22" x14ac:dyDescent="0.25">
      <c r="A366">
        <v>79452</v>
      </c>
      <c r="B366">
        <v>130580393</v>
      </c>
      <c r="C366" t="s">
        <v>1872</v>
      </c>
      <c r="D366" t="s">
        <v>1873</v>
      </c>
      <c r="E366" t="s">
        <v>430</v>
      </c>
      <c r="F366" t="s">
        <v>431</v>
      </c>
      <c r="G366" t="s">
        <v>86</v>
      </c>
      <c r="H366" t="s">
        <v>87</v>
      </c>
      <c r="I366" t="s">
        <v>88</v>
      </c>
      <c r="J366" t="s">
        <v>89</v>
      </c>
      <c r="K366" t="s">
        <v>2</v>
      </c>
      <c r="L366" t="s">
        <v>90</v>
      </c>
      <c r="M366" t="s">
        <v>268</v>
      </c>
      <c r="N366" t="s">
        <v>433</v>
      </c>
      <c r="O366" t="s">
        <v>53</v>
      </c>
      <c r="P366" t="s">
        <v>1874</v>
      </c>
      <c r="Q366" s="14" t="s">
        <v>145</v>
      </c>
      <c r="R366" t="s">
        <v>1291</v>
      </c>
      <c r="S366">
        <v>0.31</v>
      </c>
      <c r="T366">
        <v>6381</v>
      </c>
      <c r="U366">
        <v>174.95</v>
      </c>
      <c r="V366">
        <v>6555.95</v>
      </c>
    </row>
    <row r="367" spans="1:22" x14ac:dyDescent="0.25">
      <c r="A367">
        <v>79452</v>
      </c>
      <c r="B367">
        <v>130433431</v>
      </c>
      <c r="C367" t="s">
        <v>1875</v>
      </c>
      <c r="D367" t="s">
        <v>1876</v>
      </c>
      <c r="E367" t="s">
        <v>430</v>
      </c>
      <c r="F367" t="s">
        <v>431</v>
      </c>
      <c r="G367" t="s">
        <v>86</v>
      </c>
      <c r="H367" t="s">
        <v>87</v>
      </c>
      <c r="I367" t="s">
        <v>88</v>
      </c>
      <c r="J367" t="s">
        <v>89</v>
      </c>
      <c r="K367" t="s">
        <v>2</v>
      </c>
      <c r="L367" t="s">
        <v>90</v>
      </c>
      <c r="M367" t="s">
        <v>1877</v>
      </c>
      <c r="N367" t="s">
        <v>433</v>
      </c>
      <c r="O367" t="s">
        <v>53</v>
      </c>
      <c r="P367" t="s">
        <v>1878</v>
      </c>
      <c r="Q367" s="14" t="s">
        <v>145</v>
      </c>
      <c r="R367" t="s">
        <v>1191</v>
      </c>
      <c r="S367">
        <v>0.61</v>
      </c>
      <c r="T367">
        <v>6381</v>
      </c>
      <c r="U367">
        <v>449.9</v>
      </c>
      <c r="V367">
        <v>6830.9</v>
      </c>
    </row>
    <row r="368" spans="1:22" x14ac:dyDescent="0.25">
      <c r="A368">
        <v>79452</v>
      </c>
      <c r="B368">
        <v>130433439</v>
      </c>
      <c r="C368" t="s">
        <v>1879</v>
      </c>
      <c r="D368" t="s">
        <v>1880</v>
      </c>
      <c r="E368" t="s">
        <v>430</v>
      </c>
      <c r="F368" t="s">
        <v>431</v>
      </c>
      <c r="G368" t="s">
        <v>86</v>
      </c>
      <c r="H368" t="s">
        <v>87</v>
      </c>
      <c r="I368" t="s">
        <v>88</v>
      </c>
      <c r="J368" t="s">
        <v>89</v>
      </c>
      <c r="K368" t="s">
        <v>2</v>
      </c>
      <c r="L368" t="s">
        <v>90</v>
      </c>
      <c r="M368" t="s">
        <v>1881</v>
      </c>
      <c r="N368" t="s">
        <v>433</v>
      </c>
      <c r="O368" t="s">
        <v>53</v>
      </c>
      <c r="P368" t="s">
        <v>1882</v>
      </c>
      <c r="Q368" s="14" t="s">
        <v>139</v>
      </c>
      <c r="R368" t="s">
        <v>403</v>
      </c>
      <c r="S368">
        <v>0.49</v>
      </c>
      <c r="T368">
        <v>5317</v>
      </c>
      <c r="U368">
        <v>299.89999999999998</v>
      </c>
      <c r="V368">
        <v>5616.9</v>
      </c>
    </row>
    <row r="369" spans="1:22" x14ac:dyDescent="0.25">
      <c r="A369">
        <v>79452</v>
      </c>
      <c r="B369">
        <v>130356770</v>
      </c>
      <c r="C369" t="s">
        <v>1883</v>
      </c>
      <c r="D369" t="s">
        <v>1884</v>
      </c>
      <c r="E369" t="s">
        <v>430</v>
      </c>
      <c r="F369" t="s">
        <v>431</v>
      </c>
      <c r="G369" t="s">
        <v>86</v>
      </c>
      <c r="H369" t="s">
        <v>87</v>
      </c>
      <c r="I369" t="s">
        <v>88</v>
      </c>
      <c r="J369" t="s">
        <v>89</v>
      </c>
      <c r="K369" t="s">
        <v>2</v>
      </c>
      <c r="L369" t="s">
        <v>90</v>
      </c>
      <c r="M369" t="s">
        <v>1818</v>
      </c>
      <c r="N369" t="s">
        <v>433</v>
      </c>
      <c r="O369" t="s">
        <v>53</v>
      </c>
      <c r="P369" t="s">
        <v>1819</v>
      </c>
      <c r="Q369" s="14" t="s">
        <v>315</v>
      </c>
      <c r="R369" t="s">
        <v>1296</v>
      </c>
      <c r="S369">
        <v>0.46</v>
      </c>
      <c r="T369">
        <v>6351</v>
      </c>
      <c r="U369">
        <v>299.89999999999998</v>
      </c>
      <c r="V369">
        <v>6650.9</v>
      </c>
    </row>
    <row r="370" spans="1:22" x14ac:dyDescent="0.25">
      <c r="A370">
        <v>79452</v>
      </c>
      <c r="B370">
        <v>130311484</v>
      </c>
      <c r="C370" t="s">
        <v>1885</v>
      </c>
      <c r="D370" t="s">
        <v>1886</v>
      </c>
      <c r="E370" t="s">
        <v>430</v>
      </c>
      <c r="F370" t="s">
        <v>431</v>
      </c>
      <c r="G370" t="s">
        <v>86</v>
      </c>
      <c r="H370" t="s">
        <v>87</v>
      </c>
      <c r="I370" t="s">
        <v>88</v>
      </c>
      <c r="J370" t="s">
        <v>89</v>
      </c>
      <c r="K370" t="s">
        <v>2</v>
      </c>
      <c r="L370" t="s">
        <v>90</v>
      </c>
      <c r="M370" t="s">
        <v>1887</v>
      </c>
      <c r="N370" t="s">
        <v>433</v>
      </c>
      <c r="O370" t="s">
        <v>53</v>
      </c>
      <c r="P370" t="s">
        <v>1888</v>
      </c>
      <c r="Q370" s="14" t="s">
        <v>136</v>
      </c>
      <c r="R370" t="s">
        <v>1636</v>
      </c>
      <c r="S370">
        <v>0.31</v>
      </c>
      <c r="T370">
        <v>6084</v>
      </c>
      <c r="U370">
        <v>174.95</v>
      </c>
      <c r="V370">
        <v>6258.95</v>
      </c>
    </row>
    <row r="371" spans="1:22" x14ac:dyDescent="0.25">
      <c r="A371">
        <v>79452</v>
      </c>
      <c r="B371">
        <v>130932127</v>
      </c>
      <c r="C371" t="s">
        <v>1889</v>
      </c>
      <c r="D371" t="s">
        <v>1890</v>
      </c>
      <c r="E371" t="s">
        <v>430</v>
      </c>
      <c r="F371" t="s">
        <v>431</v>
      </c>
      <c r="G371" t="s">
        <v>39</v>
      </c>
      <c r="H371" t="s">
        <v>153</v>
      </c>
      <c r="I371" t="s">
        <v>88</v>
      </c>
      <c r="J371" t="s">
        <v>154</v>
      </c>
      <c r="K371" t="s">
        <v>2</v>
      </c>
      <c r="L371" t="s">
        <v>155</v>
      </c>
      <c r="M371" t="s">
        <v>1891</v>
      </c>
      <c r="N371" t="s">
        <v>433</v>
      </c>
      <c r="O371" t="s">
        <v>53</v>
      </c>
      <c r="P371" t="s">
        <v>1892</v>
      </c>
      <c r="Q371" s="14" t="s">
        <v>70</v>
      </c>
      <c r="R371" t="s">
        <v>792</v>
      </c>
      <c r="S371">
        <v>1.26</v>
      </c>
      <c r="T371">
        <v>3915</v>
      </c>
      <c r="U371">
        <v>0</v>
      </c>
      <c r="V371">
        <v>3915</v>
      </c>
    </row>
    <row r="372" spans="1:22" x14ac:dyDescent="0.25">
      <c r="A372">
        <v>79452</v>
      </c>
      <c r="B372">
        <v>130932137</v>
      </c>
      <c r="C372" t="s">
        <v>1893</v>
      </c>
      <c r="D372" t="s">
        <v>1894</v>
      </c>
      <c r="E372" t="s">
        <v>430</v>
      </c>
      <c r="F372" t="s">
        <v>431</v>
      </c>
      <c r="G372" t="s">
        <v>39</v>
      </c>
      <c r="H372" t="s">
        <v>153</v>
      </c>
      <c r="I372" t="s">
        <v>88</v>
      </c>
      <c r="J372" t="s">
        <v>154</v>
      </c>
      <c r="K372" t="s">
        <v>2</v>
      </c>
      <c r="L372" t="s">
        <v>155</v>
      </c>
      <c r="M372" t="s">
        <v>1895</v>
      </c>
      <c r="N372" t="s">
        <v>433</v>
      </c>
      <c r="O372" t="s">
        <v>53</v>
      </c>
      <c r="P372" t="s">
        <v>1896</v>
      </c>
      <c r="Q372" s="14" t="s">
        <v>176</v>
      </c>
      <c r="R372" t="s">
        <v>792</v>
      </c>
      <c r="S372">
        <v>0.41</v>
      </c>
      <c r="T372">
        <v>5601</v>
      </c>
      <c r="U372">
        <v>0</v>
      </c>
      <c r="V372">
        <v>5601</v>
      </c>
    </row>
    <row r="373" spans="1:22" x14ac:dyDescent="0.25">
      <c r="A373">
        <v>79452</v>
      </c>
      <c r="B373">
        <v>131023681</v>
      </c>
      <c r="C373" t="s">
        <v>1897</v>
      </c>
      <c r="D373" t="s">
        <v>1898</v>
      </c>
      <c r="E373" t="s">
        <v>430</v>
      </c>
      <c r="F373" t="s">
        <v>431</v>
      </c>
      <c r="G373" t="s">
        <v>39</v>
      </c>
      <c r="H373" t="s">
        <v>153</v>
      </c>
      <c r="I373" t="s">
        <v>88</v>
      </c>
      <c r="J373" t="s">
        <v>154</v>
      </c>
      <c r="K373" t="s">
        <v>2</v>
      </c>
      <c r="L373" t="s">
        <v>155</v>
      </c>
      <c r="M373" t="s">
        <v>1899</v>
      </c>
      <c r="N373" t="s">
        <v>433</v>
      </c>
      <c r="O373" t="s">
        <v>53</v>
      </c>
      <c r="P373" t="s">
        <v>1900</v>
      </c>
      <c r="Q373" s="14" t="s">
        <v>135</v>
      </c>
      <c r="R373" t="s">
        <v>586</v>
      </c>
      <c r="S373">
        <v>0.76</v>
      </c>
      <c r="T373">
        <v>5992</v>
      </c>
      <c r="U373">
        <v>0</v>
      </c>
      <c r="V373">
        <v>5992</v>
      </c>
    </row>
    <row r="374" spans="1:22" x14ac:dyDescent="0.25">
      <c r="A374">
        <v>79452</v>
      </c>
      <c r="B374">
        <v>131045459</v>
      </c>
      <c r="C374" t="s">
        <v>1901</v>
      </c>
      <c r="D374" t="s">
        <v>1902</v>
      </c>
      <c r="E374" t="s">
        <v>430</v>
      </c>
      <c r="F374" t="s">
        <v>431</v>
      </c>
      <c r="G374" t="s">
        <v>39</v>
      </c>
      <c r="H374" t="s">
        <v>153</v>
      </c>
      <c r="I374" t="s">
        <v>88</v>
      </c>
      <c r="J374" t="s">
        <v>154</v>
      </c>
      <c r="K374" t="s">
        <v>2</v>
      </c>
      <c r="L374" t="s">
        <v>155</v>
      </c>
      <c r="M374" t="s">
        <v>1903</v>
      </c>
      <c r="N374" t="s">
        <v>433</v>
      </c>
      <c r="O374" t="s">
        <v>53</v>
      </c>
      <c r="P374" t="s">
        <v>1904</v>
      </c>
      <c r="Q374" s="14" t="s">
        <v>70</v>
      </c>
      <c r="R374" t="s">
        <v>355</v>
      </c>
      <c r="S374">
        <v>0.28999999999999998</v>
      </c>
      <c r="T374">
        <v>3776</v>
      </c>
      <c r="U374">
        <v>0</v>
      </c>
      <c r="V374">
        <v>3776</v>
      </c>
    </row>
    <row r="375" spans="1:22" x14ac:dyDescent="0.25">
      <c r="A375">
        <v>79452</v>
      </c>
      <c r="B375">
        <v>131041027</v>
      </c>
      <c r="C375" t="s">
        <v>1905</v>
      </c>
      <c r="D375" t="s">
        <v>1906</v>
      </c>
      <c r="E375" t="s">
        <v>430</v>
      </c>
      <c r="F375" t="s">
        <v>431</v>
      </c>
      <c r="G375" t="s">
        <v>39</v>
      </c>
      <c r="H375" t="s">
        <v>153</v>
      </c>
      <c r="I375" t="s">
        <v>88</v>
      </c>
      <c r="J375" t="s">
        <v>154</v>
      </c>
      <c r="K375" t="s">
        <v>2</v>
      </c>
      <c r="L375" t="s">
        <v>155</v>
      </c>
      <c r="M375" t="s">
        <v>1907</v>
      </c>
      <c r="N375" t="s">
        <v>433</v>
      </c>
      <c r="O375" t="s">
        <v>53</v>
      </c>
      <c r="P375" t="s">
        <v>1908</v>
      </c>
      <c r="Q375" s="14" t="s">
        <v>133</v>
      </c>
      <c r="R375" t="s">
        <v>847</v>
      </c>
      <c r="S375">
        <v>1.08</v>
      </c>
      <c r="T375">
        <v>6125</v>
      </c>
      <c r="U375">
        <v>0</v>
      </c>
      <c r="V375">
        <v>6125</v>
      </c>
    </row>
    <row r="376" spans="1:22" x14ac:dyDescent="0.25">
      <c r="A376">
        <v>79452</v>
      </c>
      <c r="B376">
        <v>130727716</v>
      </c>
      <c r="C376" t="s">
        <v>1909</v>
      </c>
      <c r="D376" t="s">
        <v>1910</v>
      </c>
      <c r="E376" t="s">
        <v>430</v>
      </c>
      <c r="F376" t="s">
        <v>431</v>
      </c>
      <c r="G376" t="s">
        <v>39</v>
      </c>
      <c r="H376" t="s">
        <v>153</v>
      </c>
      <c r="I376" t="s">
        <v>88</v>
      </c>
      <c r="J376" t="s">
        <v>154</v>
      </c>
      <c r="K376" t="s">
        <v>2</v>
      </c>
      <c r="L376" t="s">
        <v>155</v>
      </c>
      <c r="M376" t="s">
        <v>1911</v>
      </c>
      <c r="N376" t="s">
        <v>433</v>
      </c>
      <c r="O376" t="s">
        <v>53</v>
      </c>
      <c r="P376" t="s">
        <v>1912</v>
      </c>
      <c r="Q376" s="14" t="s">
        <v>61</v>
      </c>
      <c r="R376" t="s">
        <v>378</v>
      </c>
      <c r="S376">
        <v>0.48</v>
      </c>
      <c r="T376">
        <v>3776</v>
      </c>
      <c r="U376">
        <v>0</v>
      </c>
      <c r="V376">
        <v>3776</v>
      </c>
    </row>
    <row r="377" spans="1:22" x14ac:dyDescent="0.25">
      <c r="A377">
        <v>79452</v>
      </c>
      <c r="B377">
        <v>130906081</v>
      </c>
      <c r="C377" t="s">
        <v>1913</v>
      </c>
      <c r="D377" t="s">
        <v>1914</v>
      </c>
      <c r="E377" t="s">
        <v>430</v>
      </c>
      <c r="F377" t="s">
        <v>431</v>
      </c>
      <c r="G377" t="s">
        <v>39</v>
      </c>
      <c r="H377" t="s">
        <v>153</v>
      </c>
      <c r="I377" t="s">
        <v>88</v>
      </c>
      <c r="J377" t="s">
        <v>154</v>
      </c>
      <c r="K377" t="s">
        <v>2</v>
      </c>
      <c r="L377" t="s">
        <v>155</v>
      </c>
      <c r="M377" t="s">
        <v>1915</v>
      </c>
      <c r="N377" t="s">
        <v>433</v>
      </c>
      <c r="O377" t="s">
        <v>53</v>
      </c>
      <c r="P377" t="s">
        <v>1916</v>
      </c>
      <c r="Q377" s="14" t="s">
        <v>66</v>
      </c>
      <c r="R377" t="s">
        <v>887</v>
      </c>
      <c r="S377">
        <v>0.28000000000000003</v>
      </c>
      <c r="T377">
        <v>3776</v>
      </c>
      <c r="U377">
        <v>0</v>
      </c>
      <c r="V377">
        <v>3776</v>
      </c>
    </row>
    <row r="378" spans="1:22" x14ac:dyDescent="0.25">
      <c r="A378">
        <v>79452</v>
      </c>
      <c r="B378">
        <v>130727687</v>
      </c>
      <c r="C378" t="s">
        <v>1917</v>
      </c>
      <c r="D378" t="s">
        <v>1918</v>
      </c>
      <c r="E378" t="s">
        <v>430</v>
      </c>
      <c r="F378" t="s">
        <v>431</v>
      </c>
      <c r="G378" t="s">
        <v>39</v>
      </c>
      <c r="H378" t="s">
        <v>153</v>
      </c>
      <c r="I378" t="s">
        <v>88</v>
      </c>
      <c r="J378" t="s">
        <v>154</v>
      </c>
      <c r="K378" t="s">
        <v>2</v>
      </c>
      <c r="L378" t="s">
        <v>155</v>
      </c>
      <c r="M378" t="s">
        <v>1919</v>
      </c>
      <c r="N378" t="s">
        <v>433</v>
      </c>
      <c r="O378" t="s">
        <v>53</v>
      </c>
      <c r="P378" t="s">
        <v>1920</v>
      </c>
      <c r="Q378" s="14" t="s">
        <v>187</v>
      </c>
      <c r="R378" t="s">
        <v>378</v>
      </c>
      <c r="S378">
        <v>0.93</v>
      </c>
      <c r="T378">
        <v>6381</v>
      </c>
      <c r="U378">
        <v>0</v>
      </c>
      <c r="V378">
        <v>6381</v>
      </c>
    </row>
    <row r="379" spans="1:22" x14ac:dyDescent="0.25">
      <c r="A379">
        <v>79452</v>
      </c>
      <c r="B379">
        <v>130827315</v>
      </c>
      <c r="C379" t="s">
        <v>1921</v>
      </c>
      <c r="D379" t="s">
        <v>1922</v>
      </c>
      <c r="E379" t="s">
        <v>430</v>
      </c>
      <c r="F379" t="s">
        <v>431</v>
      </c>
      <c r="G379" t="s">
        <v>39</v>
      </c>
      <c r="H379" t="s">
        <v>153</v>
      </c>
      <c r="I379" t="s">
        <v>88</v>
      </c>
      <c r="J379" t="s">
        <v>154</v>
      </c>
      <c r="K379" t="s">
        <v>2</v>
      </c>
      <c r="L379" t="s">
        <v>155</v>
      </c>
      <c r="M379" t="s">
        <v>1923</v>
      </c>
      <c r="N379" t="s">
        <v>433</v>
      </c>
      <c r="O379" t="s">
        <v>53</v>
      </c>
      <c r="P379" t="s">
        <v>1924</v>
      </c>
      <c r="Q379" s="14" t="s">
        <v>135</v>
      </c>
      <c r="R379" t="s">
        <v>357</v>
      </c>
      <c r="S379">
        <v>1.31</v>
      </c>
      <c r="T379">
        <v>5992</v>
      </c>
      <c r="U379">
        <v>0</v>
      </c>
      <c r="V379">
        <v>5992</v>
      </c>
    </row>
    <row r="380" spans="1:22" x14ac:dyDescent="0.25">
      <c r="A380">
        <v>79452</v>
      </c>
      <c r="B380">
        <v>130848402</v>
      </c>
      <c r="C380" t="s">
        <v>1925</v>
      </c>
      <c r="D380" t="s">
        <v>1926</v>
      </c>
      <c r="E380" t="s">
        <v>430</v>
      </c>
      <c r="F380" t="s">
        <v>431</v>
      </c>
      <c r="G380" t="s">
        <v>39</v>
      </c>
      <c r="H380" t="s">
        <v>153</v>
      </c>
      <c r="I380" t="s">
        <v>88</v>
      </c>
      <c r="J380" t="s">
        <v>154</v>
      </c>
      <c r="K380" t="s">
        <v>2</v>
      </c>
      <c r="L380" t="s">
        <v>155</v>
      </c>
      <c r="M380" t="s">
        <v>1927</v>
      </c>
      <c r="N380" t="s">
        <v>433</v>
      </c>
      <c r="O380" t="s">
        <v>53</v>
      </c>
      <c r="P380" t="s">
        <v>1928</v>
      </c>
      <c r="Q380" s="14" t="s">
        <v>116</v>
      </c>
      <c r="R380" t="s">
        <v>1100</v>
      </c>
      <c r="S380">
        <v>0.42</v>
      </c>
      <c r="T380">
        <v>5733</v>
      </c>
      <c r="U380">
        <v>0</v>
      </c>
      <c r="V380">
        <v>5733</v>
      </c>
    </row>
    <row r="381" spans="1:22" x14ac:dyDescent="0.25">
      <c r="A381">
        <v>79452</v>
      </c>
      <c r="B381">
        <v>130827311</v>
      </c>
      <c r="C381" t="s">
        <v>1929</v>
      </c>
      <c r="D381" t="s">
        <v>1930</v>
      </c>
      <c r="E381" t="s">
        <v>430</v>
      </c>
      <c r="F381" t="s">
        <v>431</v>
      </c>
      <c r="G381" t="s">
        <v>39</v>
      </c>
      <c r="H381" t="s">
        <v>153</v>
      </c>
      <c r="I381" t="s">
        <v>88</v>
      </c>
      <c r="J381" t="s">
        <v>154</v>
      </c>
      <c r="K381" t="s">
        <v>2</v>
      </c>
      <c r="L381" t="s">
        <v>155</v>
      </c>
      <c r="M381" t="s">
        <v>1931</v>
      </c>
      <c r="N381" t="s">
        <v>433</v>
      </c>
      <c r="O381" t="s">
        <v>53</v>
      </c>
      <c r="P381" t="s">
        <v>1932</v>
      </c>
      <c r="Q381" s="14" t="s">
        <v>135</v>
      </c>
      <c r="R381" t="s">
        <v>357</v>
      </c>
      <c r="S381">
        <v>1.45</v>
      </c>
      <c r="T381">
        <v>5992</v>
      </c>
      <c r="U381">
        <v>0</v>
      </c>
      <c r="V381">
        <v>5992</v>
      </c>
    </row>
    <row r="382" spans="1:22" x14ac:dyDescent="0.25">
      <c r="A382">
        <v>79452</v>
      </c>
      <c r="B382">
        <v>130830931</v>
      </c>
      <c r="C382" t="s">
        <v>1933</v>
      </c>
      <c r="D382" t="s">
        <v>1934</v>
      </c>
      <c r="E382" t="s">
        <v>430</v>
      </c>
      <c r="F382" t="s">
        <v>431</v>
      </c>
      <c r="G382" t="s">
        <v>39</v>
      </c>
      <c r="H382" t="s">
        <v>153</v>
      </c>
      <c r="I382" t="s">
        <v>88</v>
      </c>
      <c r="J382" t="s">
        <v>154</v>
      </c>
      <c r="K382" t="s">
        <v>2</v>
      </c>
      <c r="L382" t="s">
        <v>155</v>
      </c>
      <c r="M382" t="s">
        <v>1935</v>
      </c>
      <c r="N382" t="s">
        <v>433</v>
      </c>
      <c r="O382" t="s">
        <v>53</v>
      </c>
      <c r="P382" t="s">
        <v>1936</v>
      </c>
      <c r="Q382" s="14" t="s">
        <v>133</v>
      </c>
      <c r="R382" t="s">
        <v>1102</v>
      </c>
      <c r="S382">
        <v>0.57999999999999996</v>
      </c>
      <c r="T382">
        <v>6125</v>
      </c>
      <c r="U382">
        <v>0</v>
      </c>
      <c r="V382">
        <v>6125</v>
      </c>
    </row>
    <row r="383" spans="1:22" x14ac:dyDescent="0.25">
      <c r="A383">
        <v>79452</v>
      </c>
      <c r="B383">
        <v>130771030</v>
      </c>
      <c r="C383" t="s">
        <v>1937</v>
      </c>
      <c r="D383" t="s">
        <v>1938</v>
      </c>
      <c r="E383" t="s">
        <v>430</v>
      </c>
      <c r="F383" t="s">
        <v>431</v>
      </c>
      <c r="G383" t="s">
        <v>39</v>
      </c>
      <c r="H383" t="s">
        <v>153</v>
      </c>
      <c r="I383" t="s">
        <v>88</v>
      </c>
      <c r="J383" t="s">
        <v>154</v>
      </c>
      <c r="K383" t="s">
        <v>2</v>
      </c>
      <c r="L383" t="s">
        <v>155</v>
      </c>
      <c r="M383" t="s">
        <v>1939</v>
      </c>
      <c r="N383" t="s">
        <v>433</v>
      </c>
      <c r="O383" t="s">
        <v>53</v>
      </c>
      <c r="P383" t="s">
        <v>1940</v>
      </c>
      <c r="Q383" s="14" t="s">
        <v>171</v>
      </c>
      <c r="R383" t="s">
        <v>917</v>
      </c>
      <c r="S383">
        <v>0.56999999999999995</v>
      </c>
      <c r="T383">
        <v>5992</v>
      </c>
      <c r="U383">
        <v>0</v>
      </c>
      <c r="V383">
        <v>5992</v>
      </c>
    </row>
    <row r="384" spans="1:22" x14ac:dyDescent="0.25">
      <c r="A384">
        <v>79452</v>
      </c>
      <c r="B384">
        <v>130580423</v>
      </c>
      <c r="C384" t="s">
        <v>1941</v>
      </c>
      <c r="D384" t="s">
        <v>1942</v>
      </c>
      <c r="E384" t="s">
        <v>430</v>
      </c>
      <c r="F384" t="s">
        <v>431</v>
      </c>
      <c r="G384" t="s">
        <v>39</v>
      </c>
      <c r="H384" t="s">
        <v>153</v>
      </c>
      <c r="I384" t="s">
        <v>88</v>
      </c>
      <c r="J384" t="s">
        <v>154</v>
      </c>
      <c r="K384" t="s">
        <v>2</v>
      </c>
      <c r="L384" t="s">
        <v>155</v>
      </c>
      <c r="M384" t="s">
        <v>214</v>
      </c>
      <c r="N384" t="s">
        <v>433</v>
      </c>
      <c r="O384" t="s">
        <v>53</v>
      </c>
      <c r="P384" t="s">
        <v>1943</v>
      </c>
      <c r="Q384" s="14" t="s">
        <v>52</v>
      </c>
      <c r="R384" t="s">
        <v>1291</v>
      </c>
      <c r="S384">
        <v>1.75</v>
      </c>
      <c r="T384">
        <v>4168</v>
      </c>
      <c r="U384">
        <v>0</v>
      </c>
      <c r="V384">
        <v>4168</v>
      </c>
    </row>
    <row r="385" spans="1:22" x14ac:dyDescent="0.25">
      <c r="A385">
        <v>79452</v>
      </c>
      <c r="B385">
        <v>130601545</v>
      </c>
      <c r="C385" t="s">
        <v>1944</v>
      </c>
      <c r="D385" t="s">
        <v>1945</v>
      </c>
      <c r="E385" t="s">
        <v>430</v>
      </c>
      <c r="F385" t="s">
        <v>431</v>
      </c>
      <c r="G385" t="s">
        <v>39</v>
      </c>
      <c r="H385" t="s">
        <v>153</v>
      </c>
      <c r="I385" t="s">
        <v>88</v>
      </c>
      <c r="J385" t="s">
        <v>154</v>
      </c>
      <c r="K385" t="s">
        <v>2</v>
      </c>
      <c r="L385" t="s">
        <v>155</v>
      </c>
      <c r="M385" t="s">
        <v>1919</v>
      </c>
      <c r="N385" t="s">
        <v>433</v>
      </c>
      <c r="O385" t="s">
        <v>53</v>
      </c>
      <c r="P385" t="s">
        <v>1946</v>
      </c>
      <c r="Q385" s="14" t="s">
        <v>187</v>
      </c>
      <c r="R385" t="s">
        <v>1335</v>
      </c>
      <c r="S385">
        <v>0.43</v>
      </c>
      <c r="T385">
        <v>5964</v>
      </c>
      <c r="U385">
        <v>0</v>
      </c>
      <c r="V385">
        <v>5964</v>
      </c>
    </row>
    <row r="386" spans="1:22" x14ac:dyDescent="0.25">
      <c r="A386">
        <v>79452</v>
      </c>
      <c r="B386">
        <v>130673297</v>
      </c>
      <c r="C386" t="s">
        <v>1947</v>
      </c>
      <c r="D386" t="s">
        <v>1948</v>
      </c>
      <c r="E386" t="s">
        <v>430</v>
      </c>
      <c r="F386" t="s">
        <v>431</v>
      </c>
      <c r="G386" t="s">
        <v>39</v>
      </c>
      <c r="H386" t="s">
        <v>153</v>
      </c>
      <c r="I386" t="s">
        <v>88</v>
      </c>
      <c r="J386" t="s">
        <v>154</v>
      </c>
      <c r="K386" t="s">
        <v>2</v>
      </c>
      <c r="L386" t="s">
        <v>155</v>
      </c>
      <c r="M386" t="s">
        <v>1949</v>
      </c>
      <c r="N386" t="s">
        <v>433</v>
      </c>
      <c r="O386" t="s">
        <v>53</v>
      </c>
      <c r="P386" t="s">
        <v>1950</v>
      </c>
      <c r="Q386" s="14" t="s">
        <v>179</v>
      </c>
      <c r="R386" t="s">
        <v>222</v>
      </c>
      <c r="S386">
        <v>0.63</v>
      </c>
      <c r="T386">
        <v>6064</v>
      </c>
      <c r="U386">
        <v>0</v>
      </c>
      <c r="V386">
        <v>6064</v>
      </c>
    </row>
    <row r="387" spans="1:22" x14ac:dyDescent="0.25">
      <c r="A387">
        <v>79452</v>
      </c>
      <c r="B387">
        <v>130650058</v>
      </c>
      <c r="C387" t="s">
        <v>1951</v>
      </c>
      <c r="D387" t="s">
        <v>1952</v>
      </c>
      <c r="E387" t="s">
        <v>430</v>
      </c>
      <c r="F387" t="s">
        <v>431</v>
      </c>
      <c r="G387" t="s">
        <v>39</v>
      </c>
      <c r="H387" t="s">
        <v>153</v>
      </c>
      <c r="I387" t="s">
        <v>88</v>
      </c>
      <c r="J387" t="s">
        <v>154</v>
      </c>
      <c r="K387" t="s">
        <v>2</v>
      </c>
      <c r="L387" t="s">
        <v>155</v>
      </c>
      <c r="M387" t="s">
        <v>1953</v>
      </c>
      <c r="N387" t="s">
        <v>433</v>
      </c>
      <c r="O387" t="s">
        <v>53</v>
      </c>
      <c r="P387" t="s">
        <v>1954</v>
      </c>
      <c r="Q387" s="14" t="s">
        <v>52</v>
      </c>
      <c r="R387" t="s">
        <v>1344</v>
      </c>
      <c r="S387">
        <v>0.44</v>
      </c>
      <c r="T387">
        <v>3776</v>
      </c>
      <c r="U387">
        <v>0</v>
      </c>
      <c r="V387">
        <v>3776</v>
      </c>
    </row>
    <row r="388" spans="1:22" x14ac:dyDescent="0.25">
      <c r="A388">
        <v>79452</v>
      </c>
      <c r="B388">
        <v>130534306</v>
      </c>
      <c r="C388" t="s">
        <v>1955</v>
      </c>
      <c r="D388" t="s">
        <v>1956</v>
      </c>
      <c r="E388" t="s">
        <v>430</v>
      </c>
      <c r="F388" t="s">
        <v>431</v>
      </c>
      <c r="G388" t="s">
        <v>39</v>
      </c>
      <c r="H388" t="s">
        <v>153</v>
      </c>
      <c r="I388" t="s">
        <v>88</v>
      </c>
      <c r="J388" t="s">
        <v>154</v>
      </c>
      <c r="K388" t="s">
        <v>2</v>
      </c>
      <c r="L388" t="s">
        <v>155</v>
      </c>
      <c r="M388" t="s">
        <v>1808</v>
      </c>
      <c r="N388" t="s">
        <v>433</v>
      </c>
      <c r="O388" t="s">
        <v>53</v>
      </c>
      <c r="P388" t="s">
        <v>1957</v>
      </c>
      <c r="Q388" s="14" t="s">
        <v>41</v>
      </c>
      <c r="R388" t="s">
        <v>1453</v>
      </c>
      <c r="S388">
        <v>1.76</v>
      </c>
      <c r="T388">
        <v>6708</v>
      </c>
      <c r="U388">
        <v>0</v>
      </c>
      <c r="V388">
        <v>6708</v>
      </c>
    </row>
    <row r="389" spans="1:22" x14ac:dyDescent="0.25">
      <c r="A389">
        <v>79452</v>
      </c>
      <c r="B389">
        <v>130580396</v>
      </c>
      <c r="C389" t="s">
        <v>1958</v>
      </c>
      <c r="D389" t="s">
        <v>1959</v>
      </c>
      <c r="E389" t="s">
        <v>430</v>
      </c>
      <c r="F389" t="s">
        <v>431</v>
      </c>
      <c r="G389" t="s">
        <v>39</v>
      </c>
      <c r="H389" t="s">
        <v>153</v>
      </c>
      <c r="I389" t="s">
        <v>88</v>
      </c>
      <c r="J389" t="s">
        <v>154</v>
      </c>
      <c r="K389" t="s">
        <v>2</v>
      </c>
      <c r="L389" t="s">
        <v>155</v>
      </c>
      <c r="M389" t="s">
        <v>1960</v>
      </c>
      <c r="N389" t="s">
        <v>433</v>
      </c>
      <c r="O389" t="s">
        <v>53</v>
      </c>
      <c r="P389" t="s">
        <v>1961</v>
      </c>
      <c r="Q389" s="14" t="s">
        <v>304</v>
      </c>
      <c r="R389" t="s">
        <v>1291</v>
      </c>
      <c r="S389">
        <v>0.5</v>
      </c>
      <c r="T389">
        <v>5733</v>
      </c>
      <c r="U389">
        <v>0</v>
      </c>
      <c r="V389">
        <v>5733</v>
      </c>
    </row>
    <row r="390" spans="1:22" x14ac:dyDescent="0.25">
      <c r="A390">
        <v>79452</v>
      </c>
      <c r="B390">
        <v>130634747</v>
      </c>
      <c r="C390" t="s">
        <v>1962</v>
      </c>
      <c r="D390" t="s">
        <v>1963</v>
      </c>
      <c r="E390" t="s">
        <v>430</v>
      </c>
      <c r="F390" t="s">
        <v>431</v>
      </c>
      <c r="G390" t="s">
        <v>39</v>
      </c>
      <c r="H390" t="s">
        <v>153</v>
      </c>
      <c r="I390" t="s">
        <v>88</v>
      </c>
      <c r="J390" t="s">
        <v>154</v>
      </c>
      <c r="K390" t="s">
        <v>2</v>
      </c>
      <c r="L390" t="s">
        <v>155</v>
      </c>
      <c r="M390" t="s">
        <v>1964</v>
      </c>
      <c r="N390" t="s">
        <v>433</v>
      </c>
      <c r="O390" t="s">
        <v>53</v>
      </c>
      <c r="P390" t="s">
        <v>1965</v>
      </c>
      <c r="Q390" s="14" t="s">
        <v>135</v>
      </c>
      <c r="R390" t="s">
        <v>1303</v>
      </c>
      <c r="S390">
        <v>0.32</v>
      </c>
      <c r="T390">
        <v>5601</v>
      </c>
      <c r="U390">
        <v>0</v>
      </c>
      <c r="V390">
        <v>5601</v>
      </c>
    </row>
    <row r="391" spans="1:22" x14ac:dyDescent="0.25">
      <c r="A391">
        <v>79452</v>
      </c>
      <c r="B391">
        <v>130601541</v>
      </c>
      <c r="C391" t="s">
        <v>1966</v>
      </c>
      <c r="D391" t="s">
        <v>1967</v>
      </c>
      <c r="E391" t="s">
        <v>430</v>
      </c>
      <c r="F391" t="s">
        <v>431</v>
      </c>
      <c r="G391" t="s">
        <v>39</v>
      </c>
      <c r="H391" t="s">
        <v>153</v>
      </c>
      <c r="I391" t="s">
        <v>88</v>
      </c>
      <c r="J391" t="s">
        <v>154</v>
      </c>
      <c r="K391" t="s">
        <v>2</v>
      </c>
      <c r="L391" t="s">
        <v>155</v>
      </c>
      <c r="M391" t="s">
        <v>1968</v>
      </c>
      <c r="N391" t="s">
        <v>433</v>
      </c>
      <c r="O391" t="s">
        <v>53</v>
      </c>
      <c r="P391" t="s">
        <v>1969</v>
      </c>
      <c r="Q391" s="14" t="s">
        <v>135</v>
      </c>
      <c r="R391" t="s">
        <v>1335</v>
      </c>
      <c r="S391">
        <v>1.4</v>
      </c>
      <c r="T391">
        <v>5992</v>
      </c>
      <c r="U391">
        <v>0</v>
      </c>
      <c r="V391">
        <v>5992</v>
      </c>
    </row>
    <row r="392" spans="1:22" x14ac:dyDescent="0.25">
      <c r="A392">
        <v>79452</v>
      </c>
      <c r="B392">
        <v>130601543</v>
      </c>
      <c r="C392" t="s">
        <v>1970</v>
      </c>
      <c r="D392" t="s">
        <v>1971</v>
      </c>
      <c r="E392" t="s">
        <v>430</v>
      </c>
      <c r="F392" t="s">
        <v>431</v>
      </c>
      <c r="G392" t="s">
        <v>39</v>
      </c>
      <c r="H392" t="s">
        <v>153</v>
      </c>
      <c r="I392" t="s">
        <v>88</v>
      </c>
      <c r="J392" t="s">
        <v>154</v>
      </c>
      <c r="K392" t="s">
        <v>2</v>
      </c>
      <c r="L392" t="s">
        <v>155</v>
      </c>
      <c r="M392" t="s">
        <v>1972</v>
      </c>
      <c r="N392" t="s">
        <v>433</v>
      </c>
      <c r="O392" t="s">
        <v>53</v>
      </c>
      <c r="P392" t="s">
        <v>1973</v>
      </c>
      <c r="Q392" s="14" t="s">
        <v>216</v>
      </c>
      <c r="R392" t="s">
        <v>1335</v>
      </c>
      <c r="S392">
        <v>0.2</v>
      </c>
      <c r="T392">
        <v>5601</v>
      </c>
      <c r="U392">
        <v>0</v>
      </c>
      <c r="V392">
        <v>5601</v>
      </c>
    </row>
    <row r="393" spans="1:22" x14ac:dyDescent="0.25">
      <c r="A393">
        <v>79452</v>
      </c>
      <c r="B393">
        <v>130534842</v>
      </c>
      <c r="C393" t="s">
        <v>1974</v>
      </c>
      <c r="D393" t="s">
        <v>1975</v>
      </c>
      <c r="E393" t="s">
        <v>430</v>
      </c>
      <c r="F393" t="s">
        <v>431</v>
      </c>
      <c r="G393" t="s">
        <v>39</v>
      </c>
      <c r="H393" t="s">
        <v>153</v>
      </c>
      <c r="I393" t="s">
        <v>88</v>
      </c>
      <c r="J393" t="s">
        <v>154</v>
      </c>
      <c r="K393" t="s">
        <v>2</v>
      </c>
      <c r="L393" t="s">
        <v>155</v>
      </c>
      <c r="M393" t="s">
        <v>1976</v>
      </c>
      <c r="N393" t="s">
        <v>433</v>
      </c>
      <c r="O393" t="s">
        <v>53</v>
      </c>
      <c r="P393" t="s">
        <v>1977</v>
      </c>
      <c r="Q393" s="14" t="s">
        <v>52</v>
      </c>
      <c r="R393" t="s">
        <v>1477</v>
      </c>
      <c r="S393">
        <v>0.34</v>
      </c>
      <c r="T393">
        <v>3776</v>
      </c>
      <c r="U393">
        <v>0</v>
      </c>
      <c r="V393">
        <v>3776</v>
      </c>
    </row>
    <row r="394" spans="1:22" x14ac:dyDescent="0.25">
      <c r="A394">
        <v>79452</v>
      </c>
      <c r="B394">
        <v>130673283</v>
      </c>
      <c r="C394" t="s">
        <v>1978</v>
      </c>
      <c r="D394" t="s">
        <v>1979</v>
      </c>
      <c r="E394" t="s">
        <v>430</v>
      </c>
      <c r="F394" t="s">
        <v>431</v>
      </c>
      <c r="G394" t="s">
        <v>39</v>
      </c>
      <c r="H394" t="s">
        <v>153</v>
      </c>
      <c r="I394" t="s">
        <v>88</v>
      </c>
      <c r="J394" t="s">
        <v>154</v>
      </c>
      <c r="K394" t="s">
        <v>2</v>
      </c>
      <c r="L394" t="s">
        <v>155</v>
      </c>
      <c r="M394" t="s">
        <v>1426</v>
      </c>
      <c r="N394" t="s">
        <v>433</v>
      </c>
      <c r="O394" t="s">
        <v>53</v>
      </c>
      <c r="P394" t="s">
        <v>1427</v>
      </c>
      <c r="Q394" s="14" t="s">
        <v>293</v>
      </c>
      <c r="R394" t="s">
        <v>222</v>
      </c>
      <c r="S394">
        <v>0.3</v>
      </c>
      <c r="T394">
        <v>5601</v>
      </c>
      <c r="U394">
        <v>0</v>
      </c>
      <c r="V394">
        <v>5601</v>
      </c>
    </row>
    <row r="395" spans="1:22" x14ac:dyDescent="0.25">
      <c r="A395">
        <v>79452</v>
      </c>
      <c r="B395">
        <v>130225528</v>
      </c>
      <c r="C395" t="s">
        <v>1980</v>
      </c>
      <c r="D395" t="s">
        <v>1981</v>
      </c>
      <c r="E395" t="s">
        <v>430</v>
      </c>
      <c r="F395" t="s">
        <v>431</v>
      </c>
      <c r="G395" t="s">
        <v>39</v>
      </c>
      <c r="H395" t="s">
        <v>153</v>
      </c>
      <c r="I395" t="s">
        <v>88</v>
      </c>
      <c r="J395" t="s">
        <v>154</v>
      </c>
      <c r="K395" t="s">
        <v>2</v>
      </c>
      <c r="L395" t="s">
        <v>155</v>
      </c>
      <c r="M395" t="s">
        <v>1982</v>
      </c>
      <c r="N395" t="s">
        <v>433</v>
      </c>
      <c r="O395" t="s">
        <v>53</v>
      </c>
      <c r="P395" t="s">
        <v>1983</v>
      </c>
      <c r="Q395" s="14" t="s">
        <v>135</v>
      </c>
      <c r="R395" t="s">
        <v>247</v>
      </c>
      <c r="S395">
        <v>0.76</v>
      </c>
      <c r="T395">
        <v>5874</v>
      </c>
      <c r="U395">
        <v>0</v>
      </c>
      <c r="V395">
        <v>5874</v>
      </c>
    </row>
    <row r="396" spans="1:22" x14ac:dyDescent="0.25">
      <c r="A396">
        <v>79452</v>
      </c>
      <c r="B396">
        <v>130484204</v>
      </c>
      <c r="C396" t="s">
        <v>1984</v>
      </c>
      <c r="D396" t="s">
        <v>1985</v>
      </c>
      <c r="E396" t="s">
        <v>430</v>
      </c>
      <c r="F396" t="s">
        <v>431</v>
      </c>
      <c r="G396" t="s">
        <v>39</v>
      </c>
      <c r="H396" t="s">
        <v>153</v>
      </c>
      <c r="I396" t="s">
        <v>88</v>
      </c>
      <c r="J396" t="s">
        <v>154</v>
      </c>
      <c r="K396" t="s">
        <v>2</v>
      </c>
      <c r="L396" t="s">
        <v>155</v>
      </c>
      <c r="M396" t="s">
        <v>1986</v>
      </c>
      <c r="N396" t="s">
        <v>433</v>
      </c>
      <c r="O396" t="s">
        <v>53</v>
      </c>
      <c r="P396" t="s">
        <v>1987</v>
      </c>
      <c r="Q396" s="14" t="s">
        <v>181</v>
      </c>
      <c r="R396" t="s">
        <v>1139</v>
      </c>
      <c r="S396">
        <v>2.1</v>
      </c>
      <c r="T396">
        <v>8410</v>
      </c>
      <c r="U396">
        <v>0</v>
      </c>
      <c r="V396">
        <v>8410</v>
      </c>
    </row>
    <row r="397" spans="1:22" x14ac:dyDescent="0.25">
      <c r="A397">
        <v>79452</v>
      </c>
      <c r="B397">
        <v>130433451</v>
      </c>
      <c r="C397" t="s">
        <v>1988</v>
      </c>
      <c r="D397" t="s">
        <v>1989</v>
      </c>
      <c r="E397" t="s">
        <v>430</v>
      </c>
      <c r="F397" t="s">
        <v>431</v>
      </c>
      <c r="G397" t="s">
        <v>39</v>
      </c>
      <c r="H397" t="s">
        <v>153</v>
      </c>
      <c r="I397" t="s">
        <v>88</v>
      </c>
      <c r="J397" t="s">
        <v>154</v>
      </c>
      <c r="K397" t="s">
        <v>2</v>
      </c>
      <c r="L397" t="s">
        <v>155</v>
      </c>
      <c r="M397" t="s">
        <v>1990</v>
      </c>
      <c r="N397" t="s">
        <v>433</v>
      </c>
      <c r="O397" t="s">
        <v>53</v>
      </c>
      <c r="P397" t="s">
        <v>1991</v>
      </c>
      <c r="Q397" s="14" t="s">
        <v>70</v>
      </c>
      <c r="R397" t="s">
        <v>403</v>
      </c>
      <c r="S397">
        <v>0.33</v>
      </c>
      <c r="T397">
        <v>3776</v>
      </c>
      <c r="U397">
        <v>0</v>
      </c>
      <c r="V397">
        <v>3776</v>
      </c>
    </row>
    <row r="398" spans="1:22" x14ac:dyDescent="0.25">
      <c r="A398">
        <v>79452</v>
      </c>
      <c r="B398">
        <v>130433452</v>
      </c>
      <c r="C398" t="s">
        <v>1992</v>
      </c>
      <c r="D398" t="s">
        <v>1993</v>
      </c>
      <c r="E398" t="s">
        <v>430</v>
      </c>
      <c r="F398" t="s">
        <v>431</v>
      </c>
      <c r="G398" t="s">
        <v>39</v>
      </c>
      <c r="H398" t="s">
        <v>153</v>
      </c>
      <c r="I398" t="s">
        <v>88</v>
      </c>
      <c r="J398" t="s">
        <v>154</v>
      </c>
      <c r="K398" t="s">
        <v>2</v>
      </c>
      <c r="L398" t="s">
        <v>155</v>
      </c>
      <c r="M398" t="s">
        <v>1994</v>
      </c>
      <c r="N398" t="s">
        <v>433</v>
      </c>
      <c r="O398" t="s">
        <v>53</v>
      </c>
      <c r="P398" t="s">
        <v>1995</v>
      </c>
      <c r="Q398" s="14" t="s">
        <v>52</v>
      </c>
      <c r="R398" t="s">
        <v>403</v>
      </c>
      <c r="S398">
        <v>0.54</v>
      </c>
      <c r="T398">
        <v>3915</v>
      </c>
      <c r="U398">
        <v>0</v>
      </c>
      <c r="V398">
        <v>3915</v>
      </c>
    </row>
    <row r="399" spans="1:22" x14ac:dyDescent="0.25">
      <c r="A399">
        <v>79452</v>
      </c>
      <c r="B399">
        <v>130396253</v>
      </c>
      <c r="C399" t="s">
        <v>1996</v>
      </c>
      <c r="D399" t="s">
        <v>1997</v>
      </c>
      <c r="E399" t="s">
        <v>430</v>
      </c>
      <c r="F399" t="s">
        <v>431</v>
      </c>
      <c r="G399" t="s">
        <v>39</v>
      </c>
      <c r="H399" t="s">
        <v>153</v>
      </c>
      <c r="I399" t="s">
        <v>88</v>
      </c>
      <c r="J399" t="s">
        <v>154</v>
      </c>
      <c r="K399" t="s">
        <v>2</v>
      </c>
      <c r="L399" t="s">
        <v>155</v>
      </c>
      <c r="M399" t="s">
        <v>1998</v>
      </c>
      <c r="N399" t="s">
        <v>433</v>
      </c>
      <c r="O399" t="s">
        <v>53</v>
      </c>
      <c r="P399" t="s">
        <v>1999</v>
      </c>
      <c r="Q399" s="14" t="s">
        <v>67</v>
      </c>
      <c r="R399" t="s">
        <v>1537</v>
      </c>
      <c r="S399">
        <v>1.45</v>
      </c>
      <c r="T399">
        <v>6064</v>
      </c>
      <c r="U399">
        <v>0</v>
      </c>
      <c r="V399">
        <v>6064</v>
      </c>
    </row>
    <row r="400" spans="1:22" x14ac:dyDescent="0.25">
      <c r="A400">
        <v>79452</v>
      </c>
      <c r="B400">
        <v>130396254</v>
      </c>
      <c r="C400" t="s">
        <v>2000</v>
      </c>
      <c r="D400" t="s">
        <v>2001</v>
      </c>
      <c r="E400" t="s">
        <v>430</v>
      </c>
      <c r="F400" t="s">
        <v>431</v>
      </c>
      <c r="G400" t="s">
        <v>39</v>
      </c>
      <c r="H400" t="s">
        <v>153</v>
      </c>
      <c r="I400" t="s">
        <v>88</v>
      </c>
      <c r="J400" t="s">
        <v>154</v>
      </c>
      <c r="K400" t="s">
        <v>2</v>
      </c>
      <c r="L400" t="s">
        <v>155</v>
      </c>
      <c r="M400" t="s">
        <v>2002</v>
      </c>
      <c r="N400" t="s">
        <v>433</v>
      </c>
      <c r="O400" t="s">
        <v>53</v>
      </c>
      <c r="P400" t="s">
        <v>2003</v>
      </c>
      <c r="Q400" s="14" t="s">
        <v>69</v>
      </c>
      <c r="R400" t="s">
        <v>1537</v>
      </c>
      <c r="S400">
        <v>0.28999999999999998</v>
      </c>
      <c r="T400">
        <v>3776</v>
      </c>
      <c r="U400">
        <v>0</v>
      </c>
      <c r="V400">
        <v>3776</v>
      </c>
    </row>
    <row r="401" spans="1:22" x14ac:dyDescent="0.25">
      <c r="A401">
        <v>79452</v>
      </c>
      <c r="B401">
        <v>130396285</v>
      </c>
      <c r="C401" t="s">
        <v>2004</v>
      </c>
      <c r="D401" t="s">
        <v>2005</v>
      </c>
      <c r="E401" t="s">
        <v>430</v>
      </c>
      <c r="F401" t="s">
        <v>431</v>
      </c>
      <c r="G401" t="s">
        <v>39</v>
      </c>
      <c r="H401" t="s">
        <v>153</v>
      </c>
      <c r="I401" t="s">
        <v>88</v>
      </c>
      <c r="J401" t="s">
        <v>154</v>
      </c>
      <c r="K401" t="s">
        <v>2</v>
      </c>
      <c r="L401" t="s">
        <v>155</v>
      </c>
      <c r="M401" t="s">
        <v>2006</v>
      </c>
      <c r="N401" t="s">
        <v>433</v>
      </c>
      <c r="O401" t="s">
        <v>53</v>
      </c>
      <c r="P401" t="s">
        <v>2007</v>
      </c>
      <c r="Q401" s="14" t="s">
        <v>126</v>
      </c>
      <c r="R401" t="s">
        <v>1537</v>
      </c>
      <c r="S401">
        <v>0.61</v>
      </c>
      <c r="T401">
        <v>6381</v>
      </c>
      <c r="U401">
        <v>0</v>
      </c>
      <c r="V401">
        <v>6381</v>
      </c>
    </row>
    <row r="402" spans="1:22" x14ac:dyDescent="0.25">
      <c r="A402">
        <v>79452</v>
      </c>
      <c r="B402">
        <v>130464011</v>
      </c>
      <c r="C402" t="s">
        <v>2008</v>
      </c>
      <c r="D402" t="s">
        <v>2009</v>
      </c>
      <c r="E402" t="s">
        <v>430</v>
      </c>
      <c r="F402" t="s">
        <v>431</v>
      </c>
      <c r="G402" t="s">
        <v>39</v>
      </c>
      <c r="H402" t="s">
        <v>153</v>
      </c>
      <c r="I402" t="s">
        <v>88</v>
      </c>
      <c r="J402" t="s">
        <v>154</v>
      </c>
      <c r="K402" t="s">
        <v>2</v>
      </c>
      <c r="L402" t="s">
        <v>155</v>
      </c>
      <c r="M402" t="s">
        <v>2010</v>
      </c>
      <c r="N402" t="s">
        <v>433</v>
      </c>
      <c r="O402" t="s">
        <v>53</v>
      </c>
      <c r="P402" t="s">
        <v>2011</v>
      </c>
      <c r="Q402" s="14" t="s">
        <v>61</v>
      </c>
      <c r="R402" t="s">
        <v>1524</v>
      </c>
      <c r="S402">
        <v>2.4</v>
      </c>
      <c r="T402">
        <v>4168</v>
      </c>
      <c r="U402">
        <v>0</v>
      </c>
      <c r="V402">
        <v>4168</v>
      </c>
    </row>
    <row r="403" spans="1:22" x14ac:dyDescent="0.25">
      <c r="A403">
        <v>79452</v>
      </c>
      <c r="B403">
        <v>130464003</v>
      </c>
      <c r="C403" t="s">
        <v>2012</v>
      </c>
      <c r="D403" t="s">
        <v>2013</v>
      </c>
      <c r="E403" t="s">
        <v>430</v>
      </c>
      <c r="F403" t="s">
        <v>431</v>
      </c>
      <c r="G403" t="s">
        <v>39</v>
      </c>
      <c r="H403" t="s">
        <v>153</v>
      </c>
      <c r="I403" t="s">
        <v>88</v>
      </c>
      <c r="J403" t="s">
        <v>154</v>
      </c>
      <c r="K403" t="s">
        <v>2</v>
      </c>
      <c r="L403" t="s">
        <v>155</v>
      </c>
      <c r="M403" t="s">
        <v>2014</v>
      </c>
      <c r="N403" t="s">
        <v>433</v>
      </c>
      <c r="O403" t="s">
        <v>53</v>
      </c>
      <c r="P403" t="s">
        <v>2015</v>
      </c>
      <c r="Q403" s="14" t="s">
        <v>135</v>
      </c>
      <c r="R403" t="s">
        <v>1524</v>
      </c>
      <c r="S403">
        <v>0.28000000000000003</v>
      </c>
      <c r="T403">
        <v>5601</v>
      </c>
      <c r="U403">
        <v>0</v>
      </c>
      <c r="V403">
        <v>5601</v>
      </c>
    </row>
    <row r="404" spans="1:22" x14ac:dyDescent="0.25">
      <c r="A404">
        <v>79452</v>
      </c>
      <c r="B404">
        <v>130464000</v>
      </c>
      <c r="C404" t="s">
        <v>2016</v>
      </c>
      <c r="D404" t="s">
        <v>2017</v>
      </c>
      <c r="E404" t="s">
        <v>430</v>
      </c>
      <c r="F404" t="s">
        <v>431</v>
      </c>
      <c r="G404" t="s">
        <v>39</v>
      </c>
      <c r="H404" t="s">
        <v>153</v>
      </c>
      <c r="I404" t="s">
        <v>88</v>
      </c>
      <c r="J404" t="s">
        <v>154</v>
      </c>
      <c r="K404" t="s">
        <v>2</v>
      </c>
      <c r="L404" t="s">
        <v>155</v>
      </c>
      <c r="M404" t="s">
        <v>2018</v>
      </c>
      <c r="N404" t="s">
        <v>433</v>
      </c>
      <c r="O404" t="s">
        <v>53</v>
      </c>
      <c r="P404" t="s">
        <v>2019</v>
      </c>
      <c r="Q404" s="14" t="s">
        <v>176</v>
      </c>
      <c r="R404" t="s">
        <v>1524</v>
      </c>
      <c r="S404">
        <v>2.17</v>
      </c>
      <c r="T404">
        <v>6800</v>
      </c>
      <c r="U404">
        <v>0</v>
      </c>
      <c r="V404">
        <v>6800</v>
      </c>
    </row>
    <row r="405" spans="1:22" x14ac:dyDescent="0.25">
      <c r="A405">
        <v>79452</v>
      </c>
      <c r="B405">
        <v>130463998</v>
      </c>
      <c r="C405" t="s">
        <v>2020</v>
      </c>
      <c r="D405" t="s">
        <v>2021</v>
      </c>
      <c r="E405" t="s">
        <v>430</v>
      </c>
      <c r="F405" t="s">
        <v>431</v>
      </c>
      <c r="G405" t="s">
        <v>39</v>
      </c>
      <c r="H405" t="s">
        <v>153</v>
      </c>
      <c r="I405" t="s">
        <v>88</v>
      </c>
      <c r="J405" t="s">
        <v>154</v>
      </c>
      <c r="K405" t="s">
        <v>2</v>
      </c>
      <c r="L405" t="s">
        <v>155</v>
      </c>
      <c r="M405" t="s">
        <v>2022</v>
      </c>
      <c r="N405" t="s">
        <v>433</v>
      </c>
      <c r="O405" t="s">
        <v>53</v>
      </c>
      <c r="P405" t="s">
        <v>2023</v>
      </c>
      <c r="Q405" s="14" t="s">
        <v>135</v>
      </c>
      <c r="R405" t="s">
        <v>1524</v>
      </c>
      <c r="S405">
        <v>1.66</v>
      </c>
      <c r="T405">
        <v>6800</v>
      </c>
      <c r="U405">
        <v>0</v>
      </c>
      <c r="V405">
        <v>6800</v>
      </c>
    </row>
    <row r="406" spans="1:22" x14ac:dyDescent="0.25">
      <c r="A406">
        <v>79452</v>
      </c>
      <c r="B406">
        <v>130180715</v>
      </c>
      <c r="C406" t="s">
        <v>2024</v>
      </c>
      <c r="D406" t="s">
        <v>2025</v>
      </c>
      <c r="E406" t="s">
        <v>430</v>
      </c>
      <c r="F406" t="s">
        <v>431</v>
      </c>
      <c r="G406" t="s">
        <v>39</v>
      </c>
      <c r="H406" t="s">
        <v>153</v>
      </c>
      <c r="I406" t="s">
        <v>88</v>
      </c>
      <c r="J406" t="s">
        <v>154</v>
      </c>
      <c r="K406" t="s">
        <v>2</v>
      </c>
      <c r="L406" t="s">
        <v>155</v>
      </c>
      <c r="M406" t="s">
        <v>2026</v>
      </c>
      <c r="N406" t="s">
        <v>433</v>
      </c>
      <c r="O406" t="s">
        <v>53</v>
      </c>
      <c r="P406" t="s">
        <v>2027</v>
      </c>
      <c r="Q406" s="14" t="s">
        <v>176</v>
      </c>
      <c r="R406" t="s">
        <v>2028</v>
      </c>
      <c r="S406">
        <v>0.55000000000000004</v>
      </c>
      <c r="T406">
        <v>5874</v>
      </c>
      <c r="U406">
        <v>0</v>
      </c>
      <c r="V406">
        <v>5874</v>
      </c>
    </row>
    <row r="407" spans="1:22" x14ac:dyDescent="0.25">
      <c r="A407">
        <v>79452</v>
      </c>
      <c r="B407">
        <v>130192815</v>
      </c>
      <c r="C407" t="s">
        <v>2029</v>
      </c>
      <c r="D407" t="s">
        <v>2030</v>
      </c>
      <c r="E407" t="s">
        <v>430</v>
      </c>
      <c r="F407" t="s">
        <v>431</v>
      </c>
      <c r="G407" t="s">
        <v>39</v>
      </c>
      <c r="H407" t="s">
        <v>153</v>
      </c>
      <c r="I407" t="s">
        <v>88</v>
      </c>
      <c r="J407" t="s">
        <v>154</v>
      </c>
      <c r="K407" t="s">
        <v>2</v>
      </c>
      <c r="L407" t="s">
        <v>155</v>
      </c>
      <c r="M407" t="s">
        <v>2031</v>
      </c>
      <c r="N407" t="s">
        <v>433</v>
      </c>
      <c r="O407" t="s">
        <v>53</v>
      </c>
      <c r="P407" t="s">
        <v>2032</v>
      </c>
      <c r="Q407" s="14" t="s">
        <v>135</v>
      </c>
      <c r="R407" t="s">
        <v>2033</v>
      </c>
      <c r="S407">
        <v>1.1000000000000001</v>
      </c>
      <c r="T407">
        <v>5874</v>
      </c>
      <c r="U407">
        <v>0</v>
      </c>
      <c r="V407">
        <v>5874</v>
      </c>
    </row>
    <row r="408" spans="1:22" x14ac:dyDescent="0.25">
      <c r="A408">
        <v>79452</v>
      </c>
      <c r="B408">
        <v>130192807</v>
      </c>
      <c r="C408" t="s">
        <v>2034</v>
      </c>
      <c r="D408" t="s">
        <v>2035</v>
      </c>
      <c r="E408" t="s">
        <v>430</v>
      </c>
      <c r="F408" t="s">
        <v>431</v>
      </c>
      <c r="G408" t="s">
        <v>39</v>
      </c>
      <c r="H408" t="s">
        <v>153</v>
      </c>
      <c r="I408" t="s">
        <v>88</v>
      </c>
      <c r="J408" t="s">
        <v>154</v>
      </c>
      <c r="K408" t="s">
        <v>2</v>
      </c>
      <c r="L408" t="s">
        <v>155</v>
      </c>
      <c r="M408" t="s">
        <v>2036</v>
      </c>
      <c r="N408" t="s">
        <v>433</v>
      </c>
      <c r="O408" t="s">
        <v>53</v>
      </c>
      <c r="P408" t="s">
        <v>2037</v>
      </c>
      <c r="Q408" s="14" t="s">
        <v>171</v>
      </c>
      <c r="R408" t="s">
        <v>2033</v>
      </c>
      <c r="S408">
        <v>0.95</v>
      </c>
      <c r="T408">
        <v>5874</v>
      </c>
      <c r="U408">
        <v>0</v>
      </c>
      <c r="V408">
        <v>5874</v>
      </c>
    </row>
    <row r="409" spans="1:22" x14ac:dyDescent="0.25">
      <c r="A409">
        <v>79452</v>
      </c>
      <c r="B409">
        <v>130147707</v>
      </c>
      <c r="C409" t="s">
        <v>2038</v>
      </c>
      <c r="D409" t="s">
        <v>2039</v>
      </c>
      <c r="E409" t="s">
        <v>430</v>
      </c>
      <c r="F409" t="s">
        <v>431</v>
      </c>
      <c r="G409" t="s">
        <v>39</v>
      </c>
      <c r="H409" t="s">
        <v>153</v>
      </c>
      <c r="I409" t="s">
        <v>88</v>
      </c>
      <c r="J409" t="s">
        <v>154</v>
      </c>
      <c r="K409" t="s">
        <v>2</v>
      </c>
      <c r="L409" t="s">
        <v>155</v>
      </c>
      <c r="M409" t="s">
        <v>261</v>
      </c>
      <c r="N409" t="s">
        <v>433</v>
      </c>
      <c r="O409" t="s">
        <v>53</v>
      </c>
      <c r="P409" t="s">
        <v>1517</v>
      </c>
      <c r="Q409" s="14" t="s">
        <v>133</v>
      </c>
      <c r="R409" t="s">
        <v>2040</v>
      </c>
      <c r="S409">
        <v>0.56000000000000005</v>
      </c>
      <c r="T409">
        <v>6004</v>
      </c>
      <c r="U409">
        <v>0</v>
      </c>
      <c r="V409">
        <v>6004</v>
      </c>
    </row>
    <row r="410" spans="1:22" x14ac:dyDescent="0.25">
      <c r="A410">
        <v>79452</v>
      </c>
      <c r="B410">
        <v>130218734</v>
      </c>
      <c r="C410" t="s">
        <v>2041</v>
      </c>
      <c r="D410" t="s">
        <v>2042</v>
      </c>
      <c r="E410" t="s">
        <v>430</v>
      </c>
      <c r="F410" t="s">
        <v>431</v>
      </c>
      <c r="G410" t="s">
        <v>39</v>
      </c>
      <c r="H410" t="s">
        <v>153</v>
      </c>
      <c r="I410" t="s">
        <v>88</v>
      </c>
      <c r="J410" t="s">
        <v>154</v>
      </c>
      <c r="K410" t="s">
        <v>2</v>
      </c>
      <c r="L410" t="s">
        <v>155</v>
      </c>
      <c r="M410" t="s">
        <v>2043</v>
      </c>
      <c r="N410" t="s">
        <v>433</v>
      </c>
      <c r="O410" t="s">
        <v>53</v>
      </c>
      <c r="P410" t="s">
        <v>2044</v>
      </c>
      <c r="Q410" s="14" t="s">
        <v>70</v>
      </c>
      <c r="R410" t="s">
        <v>2045</v>
      </c>
      <c r="S410">
        <v>0.31</v>
      </c>
      <c r="T410">
        <v>3701</v>
      </c>
      <c r="U410">
        <v>0</v>
      </c>
      <c r="V410">
        <v>3701</v>
      </c>
    </row>
    <row r="411" spans="1:22" x14ac:dyDescent="0.25">
      <c r="A411">
        <v>79452</v>
      </c>
      <c r="B411">
        <v>130192803</v>
      </c>
      <c r="C411" t="s">
        <v>2046</v>
      </c>
      <c r="D411" t="s">
        <v>2047</v>
      </c>
      <c r="E411" t="s">
        <v>430</v>
      </c>
      <c r="F411" t="s">
        <v>431</v>
      </c>
      <c r="G411" t="s">
        <v>39</v>
      </c>
      <c r="H411" t="s">
        <v>153</v>
      </c>
      <c r="I411" t="s">
        <v>88</v>
      </c>
      <c r="J411" t="s">
        <v>154</v>
      </c>
      <c r="K411" t="s">
        <v>2</v>
      </c>
      <c r="L411" t="s">
        <v>155</v>
      </c>
      <c r="M411" t="s">
        <v>2048</v>
      </c>
      <c r="N411" t="s">
        <v>433</v>
      </c>
      <c r="O411" t="s">
        <v>53</v>
      </c>
      <c r="P411" t="s">
        <v>2049</v>
      </c>
      <c r="Q411" s="14" t="s">
        <v>52</v>
      </c>
      <c r="R411" t="s">
        <v>2033</v>
      </c>
      <c r="S411">
        <v>0.52</v>
      </c>
      <c r="T411">
        <v>3838</v>
      </c>
      <c r="U411">
        <v>0</v>
      </c>
      <c r="V411">
        <v>3838</v>
      </c>
    </row>
    <row r="412" spans="1:22" x14ac:dyDescent="0.25">
      <c r="A412">
        <v>80147</v>
      </c>
      <c r="B412">
        <v>131056279</v>
      </c>
      <c r="C412" t="s">
        <v>2050</v>
      </c>
      <c r="D412" t="s">
        <v>2051</v>
      </c>
      <c r="E412" t="s">
        <v>2052</v>
      </c>
      <c r="F412" t="s">
        <v>431</v>
      </c>
      <c r="G412" t="s">
        <v>83</v>
      </c>
      <c r="H412" t="s">
        <v>205</v>
      </c>
      <c r="I412" t="s">
        <v>88</v>
      </c>
      <c r="J412" t="s">
        <v>209</v>
      </c>
      <c r="K412" t="s">
        <v>2</v>
      </c>
      <c r="L412" t="s">
        <v>166</v>
      </c>
      <c r="M412" t="s">
        <v>2053</v>
      </c>
      <c r="N412" t="s">
        <v>433</v>
      </c>
      <c r="O412" t="s">
        <v>53</v>
      </c>
      <c r="P412" t="s">
        <v>2054</v>
      </c>
      <c r="Q412" s="14" t="s">
        <v>64</v>
      </c>
      <c r="R412" t="s">
        <v>2055</v>
      </c>
      <c r="S412">
        <v>1</v>
      </c>
      <c r="T412">
        <v>2706</v>
      </c>
      <c r="U412">
        <v>0</v>
      </c>
      <c r="V412">
        <v>2706</v>
      </c>
    </row>
    <row r="413" spans="1:22" x14ac:dyDescent="0.25">
      <c r="A413">
        <v>80147</v>
      </c>
      <c r="B413">
        <v>131053350</v>
      </c>
      <c r="C413" t="s">
        <v>2056</v>
      </c>
      <c r="D413" t="s">
        <v>2057</v>
      </c>
      <c r="E413" t="s">
        <v>2052</v>
      </c>
      <c r="F413" t="s">
        <v>431</v>
      </c>
      <c r="G413" t="s">
        <v>83</v>
      </c>
      <c r="H413" t="s">
        <v>205</v>
      </c>
      <c r="I413" t="s">
        <v>88</v>
      </c>
      <c r="J413" t="s">
        <v>209</v>
      </c>
      <c r="K413" t="s">
        <v>2</v>
      </c>
      <c r="L413" t="s">
        <v>166</v>
      </c>
      <c r="M413" t="s">
        <v>2058</v>
      </c>
      <c r="N413" t="s">
        <v>433</v>
      </c>
      <c r="O413" t="s">
        <v>53</v>
      </c>
      <c r="P413" t="s">
        <v>2059</v>
      </c>
      <c r="Q413" s="14" t="s">
        <v>60</v>
      </c>
      <c r="R413" t="s">
        <v>2060</v>
      </c>
      <c r="S413">
        <v>1</v>
      </c>
      <c r="T413">
        <v>2706</v>
      </c>
      <c r="U413">
        <v>0</v>
      </c>
      <c r="V413">
        <v>2706</v>
      </c>
    </row>
    <row r="414" spans="1:22" x14ac:dyDescent="0.25">
      <c r="A414">
        <v>80147</v>
      </c>
      <c r="B414">
        <v>131230373</v>
      </c>
      <c r="C414" t="s">
        <v>2061</v>
      </c>
      <c r="D414">
        <v>250202638</v>
      </c>
      <c r="E414" t="s">
        <v>2052</v>
      </c>
      <c r="F414" t="s">
        <v>431</v>
      </c>
      <c r="G414" t="s">
        <v>149</v>
      </c>
      <c r="H414" t="s">
        <v>150</v>
      </c>
      <c r="I414" t="s">
        <v>88</v>
      </c>
      <c r="J414" t="s">
        <v>151</v>
      </c>
      <c r="K414" t="s">
        <v>2</v>
      </c>
      <c r="L414" t="s">
        <v>2062</v>
      </c>
      <c r="M414" t="s">
        <v>2063</v>
      </c>
      <c r="N414" t="s">
        <v>433</v>
      </c>
      <c r="O414" t="s">
        <v>53</v>
      </c>
      <c r="P414" t="s">
        <v>2064</v>
      </c>
      <c r="Q414" s="14" t="s">
        <v>163</v>
      </c>
      <c r="R414" t="s">
        <v>2065</v>
      </c>
      <c r="S414">
        <v>1</v>
      </c>
      <c r="T414">
        <v>4219</v>
      </c>
      <c r="U414">
        <v>0</v>
      </c>
      <c r="V414">
        <v>4219</v>
      </c>
    </row>
    <row r="415" spans="1:22" x14ac:dyDescent="0.25">
      <c r="A415">
        <v>80147</v>
      </c>
      <c r="B415">
        <v>131230358</v>
      </c>
      <c r="C415" t="s">
        <v>2066</v>
      </c>
      <c r="D415">
        <v>250202656</v>
      </c>
      <c r="E415" t="s">
        <v>2052</v>
      </c>
      <c r="F415" t="s">
        <v>431</v>
      </c>
      <c r="G415" t="s">
        <v>149</v>
      </c>
      <c r="H415" t="s">
        <v>150</v>
      </c>
      <c r="I415" t="s">
        <v>88</v>
      </c>
      <c r="J415" t="s">
        <v>151</v>
      </c>
      <c r="K415" t="s">
        <v>2</v>
      </c>
      <c r="L415" t="s">
        <v>2067</v>
      </c>
      <c r="M415" t="s">
        <v>2068</v>
      </c>
      <c r="N415" t="s">
        <v>433</v>
      </c>
      <c r="O415" t="s">
        <v>53</v>
      </c>
      <c r="P415" t="s">
        <v>2069</v>
      </c>
      <c r="Q415" s="14" t="s">
        <v>135</v>
      </c>
      <c r="R415" t="s">
        <v>2065</v>
      </c>
      <c r="S415">
        <v>1</v>
      </c>
      <c r="T415">
        <v>4219</v>
      </c>
      <c r="U415">
        <v>0</v>
      </c>
      <c r="V415">
        <v>4219</v>
      </c>
    </row>
    <row r="416" spans="1:22" x14ac:dyDescent="0.25">
      <c r="A416">
        <v>80147</v>
      </c>
      <c r="B416">
        <v>131230376</v>
      </c>
      <c r="C416" t="s">
        <v>2070</v>
      </c>
      <c r="D416">
        <v>250202613</v>
      </c>
      <c r="E416" t="s">
        <v>2052</v>
      </c>
      <c r="F416" t="s">
        <v>431</v>
      </c>
      <c r="G416" t="s">
        <v>149</v>
      </c>
      <c r="H416" t="s">
        <v>150</v>
      </c>
      <c r="I416" t="s">
        <v>88</v>
      </c>
      <c r="J416" t="s">
        <v>151</v>
      </c>
      <c r="K416" t="s">
        <v>2</v>
      </c>
      <c r="L416" t="s">
        <v>2071</v>
      </c>
      <c r="M416" t="s">
        <v>2072</v>
      </c>
      <c r="N416" t="s">
        <v>433</v>
      </c>
      <c r="O416" t="s">
        <v>53</v>
      </c>
      <c r="P416" t="s">
        <v>2073</v>
      </c>
      <c r="Q416" s="14" t="s">
        <v>122</v>
      </c>
      <c r="R416" t="s">
        <v>2065</v>
      </c>
      <c r="S416">
        <v>1</v>
      </c>
      <c r="T416">
        <v>4973</v>
      </c>
      <c r="U416">
        <v>0</v>
      </c>
      <c r="V416">
        <v>4973</v>
      </c>
    </row>
    <row r="417" spans="1:22" x14ac:dyDescent="0.25">
      <c r="A417">
        <v>80147</v>
      </c>
      <c r="B417">
        <v>131182378</v>
      </c>
      <c r="C417" t="s">
        <v>2074</v>
      </c>
      <c r="D417">
        <v>250123115</v>
      </c>
      <c r="E417" t="s">
        <v>2052</v>
      </c>
      <c r="F417" t="s">
        <v>431</v>
      </c>
      <c r="G417" t="s">
        <v>149</v>
      </c>
      <c r="H417" t="s">
        <v>150</v>
      </c>
      <c r="I417" t="s">
        <v>88</v>
      </c>
      <c r="J417" t="s">
        <v>151</v>
      </c>
      <c r="K417" t="s">
        <v>2</v>
      </c>
      <c r="L417" t="s">
        <v>2075</v>
      </c>
      <c r="M417" t="s">
        <v>2076</v>
      </c>
      <c r="N417" t="s">
        <v>433</v>
      </c>
      <c r="O417" t="s">
        <v>53</v>
      </c>
      <c r="P417" t="s">
        <v>2077</v>
      </c>
      <c r="Q417" s="14" t="s">
        <v>93</v>
      </c>
      <c r="R417" t="s">
        <v>2078</v>
      </c>
      <c r="S417">
        <v>1</v>
      </c>
      <c r="T417">
        <v>4737</v>
      </c>
      <c r="U417">
        <v>0</v>
      </c>
      <c r="V417">
        <v>4737</v>
      </c>
    </row>
    <row r="418" spans="1:22" x14ac:dyDescent="0.25">
      <c r="A418">
        <v>80147</v>
      </c>
      <c r="B418">
        <v>131182370</v>
      </c>
      <c r="C418" t="s">
        <v>2079</v>
      </c>
      <c r="D418">
        <v>250123148</v>
      </c>
      <c r="E418" t="s">
        <v>2052</v>
      </c>
      <c r="F418" t="s">
        <v>431</v>
      </c>
      <c r="G418" t="s">
        <v>149</v>
      </c>
      <c r="H418" t="s">
        <v>150</v>
      </c>
      <c r="I418" t="s">
        <v>88</v>
      </c>
      <c r="J418" t="s">
        <v>151</v>
      </c>
      <c r="K418" t="s">
        <v>2</v>
      </c>
      <c r="L418" t="s">
        <v>2080</v>
      </c>
      <c r="M418" t="s">
        <v>2081</v>
      </c>
      <c r="N418" t="s">
        <v>433</v>
      </c>
      <c r="O418" t="s">
        <v>53</v>
      </c>
      <c r="P418" t="s">
        <v>2082</v>
      </c>
      <c r="Q418" s="14" t="s">
        <v>91</v>
      </c>
      <c r="R418" t="s">
        <v>2078</v>
      </c>
      <c r="S418">
        <v>1</v>
      </c>
      <c r="T418">
        <v>4669</v>
      </c>
      <c r="U418">
        <v>0</v>
      </c>
      <c r="V418">
        <v>4669</v>
      </c>
    </row>
    <row r="419" spans="1:22" x14ac:dyDescent="0.25">
      <c r="A419">
        <v>80147</v>
      </c>
      <c r="B419">
        <v>131134561</v>
      </c>
      <c r="C419" t="s">
        <v>2083</v>
      </c>
      <c r="D419">
        <v>250037958</v>
      </c>
      <c r="E419" t="s">
        <v>2052</v>
      </c>
      <c r="F419" t="s">
        <v>431</v>
      </c>
      <c r="G419" t="s">
        <v>149</v>
      </c>
      <c r="H419" t="s">
        <v>150</v>
      </c>
      <c r="I419" t="s">
        <v>88</v>
      </c>
      <c r="J419" t="s">
        <v>151</v>
      </c>
      <c r="K419" t="s">
        <v>2</v>
      </c>
      <c r="L419" t="s">
        <v>2084</v>
      </c>
      <c r="M419" t="s">
        <v>2085</v>
      </c>
      <c r="N419" t="s">
        <v>433</v>
      </c>
      <c r="O419" t="s">
        <v>53</v>
      </c>
      <c r="P419" t="s">
        <v>2086</v>
      </c>
      <c r="Q419" s="14" t="s">
        <v>167</v>
      </c>
      <c r="R419" t="s">
        <v>2087</v>
      </c>
      <c r="S419">
        <v>1</v>
      </c>
      <c r="T419">
        <v>7212</v>
      </c>
      <c r="U419">
        <v>0</v>
      </c>
      <c r="V419">
        <v>7212</v>
      </c>
    </row>
    <row r="420" spans="1:22" x14ac:dyDescent="0.25">
      <c r="A420">
        <v>80147</v>
      </c>
      <c r="B420">
        <v>131134586</v>
      </c>
      <c r="C420" t="s">
        <v>2088</v>
      </c>
      <c r="D420">
        <v>250037862</v>
      </c>
      <c r="E420" t="s">
        <v>2052</v>
      </c>
      <c r="F420" t="s">
        <v>431</v>
      </c>
      <c r="G420" t="s">
        <v>149</v>
      </c>
      <c r="H420" t="s">
        <v>150</v>
      </c>
      <c r="I420" t="s">
        <v>88</v>
      </c>
      <c r="J420" t="s">
        <v>151</v>
      </c>
      <c r="K420" t="s">
        <v>2</v>
      </c>
      <c r="L420" t="s">
        <v>2089</v>
      </c>
      <c r="M420" t="s">
        <v>2090</v>
      </c>
      <c r="N420" t="s">
        <v>433</v>
      </c>
      <c r="O420" t="s">
        <v>53</v>
      </c>
      <c r="P420" t="s">
        <v>2091</v>
      </c>
      <c r="Q420" s="14" t="s">
        <v>144</v>
      </c>
      <c r="R420" t="s">
        <v>2087</v>
      </c>
      <c r="S420">
        <v>1</v>
      </c>
      <c r="T420">
        <v>4219</v>
      </c>
      <c r="U420">
        <v>0</v>
      </c>
      <c r="V420">
        <v>4219</v>
      </c>
    </row>
    <row r="421" spans="1:22" x14ac:dyDescent="0.25">
      <c r="A421">
        <v>80147</v>
      </c>
      <c r="B421">
        <v>131041038</v>
      </c>
      <c r="C421" t="s">
        <v>2092</v>
      </c>
      <c r="D421">
        <v>249824893</v>
      </c>
      <c r="E421" t="s">
        <v>2052</v>
      </c>
      <c r="F421" t="s">
        <v>431</v>
      </c>
      <c r="G421" t="s">
        <v>149</v>
      </c>
      <c r="H421" t="s">
        <v>150</v>
      </c>
      <c r="I421" t="s">
        <v>88</v>
      </c>
      <c r="J421" t="s">
        <v>151</v>
      </c>
      <c r="K421" t="s">
        <v>2</v>
      </c>
      <c r="L421" t="s">
        <v>2093</v>
      </c>
      <c r="M421" t="s">
        <v>2094</v>
      </c>
      <c r="N421" t="s">
        <v>433</v>
      </c>
      <c r="O421" t="s">
        <v>53</v>
      </c>
      <c r="P421" t="s">
        <v>2095</v>
      </c>
      <c r="Q421" s="14" t="s">
        <v>168</v>
      </c>
      <c r="R421" t="s">
        <v>847</v>
      </c>
      <c r="S421">
        <v>1</v>
      </c>
      <c r="T421">
        <v>6480</v>
      </c>
      <c r="U421">
        <v>0</v>
      </c>
      <c r="V421">
        <v>6480</v>
      </c>
    </row>
    <row r="422" spans="1:22" x14ac:dyDescent="0.25">
      <c r="A422">
        <v>80147</v>
      </c>
      <c r="B422">
        <v>130932402</v>
      </c>
      <c r="C422" t="s">
        <v>2096</v>
      </c>
      <c r="D422">
        <v>249582926</v>
      </c>
      <c r="E422" t="s">
        <v>2052</v>
      </c>
      <c r="F422" t="s">
        <v>431</v>
      </c>
      <c r="G422" t="s">
        <v>149</v>
      </c>
      <c r="H422" t="s">
        <v>150</v>
      </c>
      <c r="I422" t="s">
        <v>88</v>
      </c>
      <c r="J422" t="s">
        <v>151</v>
      </c>
      <c r="K422" t="s">
        <v>2</v>
      </c>
      <c r="L422" t="s">
        <v>361</v>
      </c>
      <c r="M422" t="s">
        <v>2097</v>
      </c>
      <c r="N422" t="s">
        <v>433</v>
      </c>
      <c r="O422" t="s">
        <v>53</v>
      </c>
      <c r="P422" t="s">
        <v>2098</v>
      </c>
      <c r="Q422" s="14" t="s">
        <v>99</v>
      </c>
      <c r="R422" t="s">
        <v>395</v>
      </c>
      <c r="S422">
        <v>1</v>
      </c>
      <c r="T422">
        <v>4219</v>
      </c>
      <c r="U422">
        <v>0</v>
      </c>
      <c r="V422">
        <v>4219</v>
      </c>
    </row>
    <row r="423" spans="1:22" x14ac:dyDescent="0.25">
      <c r="A423">
        <v>80147</v>
      </c>
      <c r="B423">
        <v>131134554</v>
      </c>
      <c r="C423" t="s">
        <v>2099</v>
      </c>
      <c r="D423">
        <v>250037967</v>
      </c>
      <c r="E423" t="s">
        <v>2052</v>
      </c>
      <c r="F423" t="s">
        <v>431</v>
      </c>
      <c r="G423" t="s">
        <v>149</v>
      </c>
      <c r="H423" t="s">
        <v>150</v>
      </c>
      <c r="I423" t="s">
        <v>88</v>
      </c>
      <c r="J423" t="s">
        <v>151</v>
      </c>
      <c r="K423" t="s">
        <v>2</v>
      </c>
      <c r="L423" t="s">
        <v>2100</v>
      </c>
      <c r="M423" t="s">
        <v>2101</v>
      </c>
      <c r="N423" t="s">
        <v>433</v>
      </c>
      <c r="O423" t="s">
        <v>53</v>
      </c>
      <c r="P423" t="s">
        <v>2102</v>
      </c>
      <c r="Q423" s="14" t="s">
        <v>38</v>
      </c>
      <c r="R423" t="s">
        <v>2087</v>
      </c>
      <c r="S423">
        <v>1</v>
      </c>
      <c r="T423">
        <v>4669</v>
      </c>
      <c r="U423">
        <v>0</v>
      </c>
      <c r="V423">
        <v>4669</v>
      </c>
    </row>
    <row r="424" spans="1:22" x14ac:dyDescent="0.25">
      <c r="A424">
        <v>80147</v>
      </c>
      <c r="B424">
        <v>131024157</v>
      </c>
      <c r="C424" t="s">
        <v>2103</v>
      </c>
      <c r="D424">
        <v>250037981</v>
      </c>
      <c r="E424" t="s">
        <v>2052</v>
      </c>
      <c r="F424" t="s">
        <v>431</v>
      </c>
      <c r="G424" t="s">
        <v>149</v>
      </c>
      <c r="H424" t="s">
        <v>150</v>
      </c>
      <c r="I424" t="s">
        <v>88</v>
      </c>
      <c r="J424" t="s">
        <v>151</v>
      </c>
      <c r="K424" t="s">
        <v>2</v>
      </c>
      <c r="L424" t="s">
        <v>2104</v>
      </c>
      <c r="M424" t="s">
        <v>2105</v>
      </c>
      <c r="N424" t="s">
        <v>433</v>
      </c>
      <c r="O424" t="s">
        <v>53</v>
      </c>
      <c r="P424" t="s">
        <v>2106</v>
      </c>
      <c r="Q424" s="14" t="s">
        <v>305</v>
      </c>
      <c r="R424" t="s">
        <v>2107</v>
      </c>
      <c r="S424">
        <v>1</v>
      </c>
      <c r="T424">
        <v>4219</v>
      </c>
      <c r="U424">
        <v>0</v>
      </c>
      <c r="V424">
        <v>4219</v>
      </c>
    </row>
    <row r="425" spans="1:22" x14ac:dyDescent="0.25">
      <c r="A425">
        <v>80147</v>
      </c>
      <c r="B425">
        <v>131134562</v>
      </c>
      <c r="C425" t="s">
        <v>2108</v>
      </c>
      <c r="D425">
        <v>250037914</v>
      </c>
      <c r="E425" t="s">
        <v>2052</v>
      </c>
      <c r="F425" t="s">
        <v>431</v>
      </c>
      <c r="G425" t="s">
        <v>149</v>
      </c>
      <c r="H425" t="s">
        <v>150</v>
      </c>
      <c r="I425" t="s">
        <v>88</v>
      </c>
      <c r="J425" t="s">
        <v>151</v>
      </c>
      <c r="K425" t="s">
        <v>2</v>
      </c>
      <c r="L425" t="s">
        <v>2109</v>
      </c>
      <c r="M425" t="s">
        <v>2110</v>
      </c>
      <c r="N425" t="s">
        <v>433</v>
      </c>
      <c r="O425" t="s">
        <v>53</v>
      </c>
      <c r="P425" t="s">
        <v>2111</v>
      </c>
      <c r="Q425" s="14" t="s">
        <v>125</v>
      </c>
      <c r="R425" t="s">
        <v>2087</v>
      </c>
      <c r="S425">
        <v>1</v>
      </c>
      <c r="T425">
        <v>4219</v>
      </c>
      <c r="U425">
        <v>0</v>
      </c>
      <c r="V425">
        <v>4219</v>
      </c>
    </row>
    <row r="426" spans="1:22" x14ac:dyDescent="0.25">
      <c r="A426">
        <v>80147</v>
      </c>
      <c r="B426">
        <v>131134578</v>
      </c>
      <c r="C426" t="s">
        <v>2112</v>
      </c>
      <c r="D426">
        <v>250037867</v>
      </c>
      <c r="E426" t="s">
        <v>2052</v>
      </c>
      <c r="F426" t="s">
        <v>431</v>
      </c>
      <c r="G426" t="s">
        <v>149</v>
      </c>
      <c r="H426" t="s">
        <v>150</v>
      </c>
      <c r="I426" t="s">
        <v>88</v>
      </c>
      <c r="J426" t="s">
        <v>151</v>
      </c>
      <c r="K426" t="s">
        <v>2</v>
      </c>
      <c r="L426" t="s">
        <v>2113</v>
      </c>
      <c r="M426" t="s">
        <v>2114</v>
      </c>
      <c r="N426" t="s">
        <v>433</v>
      </c>
      <c r="O426" t="s">
        <v>53</v>
      </c>
      <c r="P426" t="s">
        <v>2115</v>
      </c>
      <c r="Q426" s="14" t="s">
        <v>158</v>
      </c>
      <c r="R426" t="s">
        <v>2087</v>
      </c>
      <c r="S426">
        <v>1</v>
      </c>
      <c r="T426">
        <v>4219</v>
      </c>
      <c r="U426">
        <v>0</v>
      </c>
      <c r="V426">
        <v>4219</v>
      </c>
    </row>
    <row r="427" spans="1:22" x14ac:dyDescent="0.25">
      <c r="A427">
        <v>80147</v>
      </c>
      <c r="B427">
        <v>131134570</v>
      </c>
      <c r="C427" t="s">
        <v>2116</v>
      </c>
      <c r="D427">
        <v>250037919</v>
      </c>
      <c r="E427" t="s">
        <v>2052</v>
      </c>
      <c r="F427" t="s">
        <v>431</v>
      </c>
      <c r="G427" t="s">
        <v>149</v>
      </c>
      <c r="H427" t="s">
        <v>150</v>
      </c>
      <c r="I427" t="s">
        <v>88</v>
      </c>
      <c r="J427" t="s">
        <v>151</v>
      </c>
      <c r="K427" t="s">
        <v>2</v>
      </c>
      <c r="L427" t="s">
        <v>2117</v>
      </c>
      <c r="M427" t="s">
        <v>2118</v>
      </c>
      <c r="N427" t="s">
        <v>433</v>
      </c>
      <c r="O427" t="s">
        <v>53</v>
      </c>
      <c r="P427" t="s">
        <v>2119</v>
      </c>
      <c r="Q427" s="14" t="s">
        <v>142</v>
      </c>
      <c r="R427" t="s">
        <v>2087</v>
      </c>
      <c r="S427">
        <v>1</v>
      </c>
      <c r="T427">
        <v>4219</v>
      </c>
      <c r="U427">
        <v>0</v>
      </c>
      <c r="V427">
        <v>4219</v>
      </c>
    </row>
    <row r="428" spans="1:22" x14ac:dyDescent="0.25">
      <c r="A428">
        <v>80147</v>
      </c>
      <c r="B428">
        <v>131134592</v>
      </c>
      <c r="C428" t="s">
        <v>2120</v>
      </c>
      <c r="D428">
        <v>250037837</v>
      </c>
      <c r="E428" t="s">
        <v>2052</v>
      </c>
      <c r="F428" t="s">
        <v>431</v>
      </c>
      <c r="G428" t="s">
        <v>149</v>
      </c>
      <c r="H428" t="s">
        <v>150</v>
      </c>
      <c r="I428" t="s">
        <v>88</v>
      </c>
      <c r="J428" t="s">
        <v>151</v>
      </c>
      <c r="K428" t="s">
        <v>2</v>
      </c>
      <c r="L428" t="s">
        <v>2121</v>
      </c>
      <c r="M428" t="s">
        <v>2122</v>
      </c>
      <c r="N428" t="s">
        <v>433</v>
      </c>
      <c r="O428" t="s">
        <v>53</v>
      </c>
      <c r="P428" t="s">
        <v>2123</v>
      </c>
      <c r="Q428" s="14" t="s">
        <v>303</v>
      </c>
      <c r="R428" t="s">
        <v>2087</v>
      </c>
      <c r="S428">
        <v>1</v>
      </c>
      <c r="T428">
        <v>4669</v>
      </c>
      <c r="U428">
        <v>0</v>
      </c>
      <c r="V428">
        <v>4669</v>
      </c>
    </row>
    <row r="429" spans="1:22" x14ac:dyDescent="0.25">
      <c r="A429">
        <v>80147</v>
      </c>
      <c r="B429">
        <v>131134587</v>
      </c>
      <c r="C429" t="s">
        <v>2124</v>
      </c>
      <c r="D429">
        <v>250037860</v>
      </c>
      <c r="E429" t="s">
        <v>2052</v>
      </c>
      <c r="F429" t="s">
        <v>431</v>
      </c>
      <c r="G429" t="s">
        <v>149</v>
      </c>
      <c r="H429" t="s">
        <v>150</v>
      </c>
      <c r="I429" t="s">
        <v>88</v>
      </c>
      <c r="J429" t="s">
        <v>151</v>
      </c>
      <c r="K429" t="s">
        <v>2</v>
      </c>
      <c r="L429" t="s">
        <v>2125</v>
      </c>
      <c r="M429" t="s">
        <v>2126</v>
      </c>
      <c r="N429" t="s">
        <v>433</v>
      </c>
      <c r="O429" t="s">
        <v>53</v>
      </c>
      <c r="P429" t="s">
        <v>2127</v>
      </c>
      <c r="Q429" s="14" t="s">
        <v>38</v>
      </c>
      <c r="R429" t="s">
        <v>2087</v>
      </c>
      <c r="S429">
        <v>1</v>
      </c>
      <c r="T429">
        <v>4669</v>
      </c>
      <c r="U429">
        <v>0</v>
      </c>
      <c r="V429">
        <v>4669</v>
      </c>
    </row>
    <row r="430" spans="1:22" x14ac:dyDescent="0.25">
      <c r="A430">
        <v>80147</v>
      </c>
      <c r="B430">
        <v>131134557</v>
      </c>
      <c r="C430" t="s">
        <v>2128</v>
      </c>
      <c r="D430">
        <v>250037950</v>
      </c>
      <c r="E430" t="s">
        <v>2052</v>
      </c>
      <c r="F430" t="s">
        <v>431</v>
      </c>
      <c r="G430" t="s">
        <v>149</v>
      </c>
      <c r="H430" t="s">
        <v>150</v>
      </c>
      <c r="I430" t="s">
        <v>88</v>
      </c>
      <c r="J430" t="s">
        <v>151</v>
      </c>
      <c r="K430" t="s">
        <v>2</v>
      </c>
      <c r="L430" t="s">
        <v>2129</v>
      </c>
      <c r="M430" t="s">
        <v>2130</v>
      </c>
      <c r="N430" t="s">
        <v>433</v>
      </c>
      <c r="O430" t="s">
        <v>53</v>
      </c>
      <c r="P430" t="s">
        <v>2131</v>
      </c>
      <c r="Q430" s="14" t="s">
        <v>120</v>
      </c>
      <c r="R430" t="s">
        <v>2087</v>
      </c>
      <c r="S430">
        <v>1</v>
      </c>
      <c r="T430">
        <v>5153</v>
      </c>
      <c r="U430">
        <v>0</v>
      </c>
      <c r="V430">
        <v>5153</v>
      </c>
    </row>
    <row r="431" spans="1:22" x14ac:dyDescent="0.25">
      <c r="A431">
        <v>80147</v>
      </c>
      <c r="B431">
        <v>131134564</v>
      </c>
      <c r="C431" t="s">
        <v>2132</v>
      </c>
      <c r="D431">
        <v>250037907</v>
      </c>
      <c r="E431" t="s">
        <v>2052</v>
      </c>
      <c r="F431" t="s">
        <v>431</v>
      </c>
      <c r="G431" t="s">
        <v>149</v>
      </c>
      <c r="H431" t="s">
        <v>150</v>
      </c>
      <c r="I431" t="s">
        <v>88</v>
      </c>
      <c r="J431" t="s">
        <v>151</v>
      </c>
      <c r="K431" t="s">
        <v>2</v>
      </c>
      <c r="L431" t="s">
        <v>2133</v>
      </c>
      <c r="M431" t="s">
        <v>2134</v>
      </c>
      <c r="N431" t="s">
        <v>433</v>
      </c>
      <c r="O431" t="s">
        <v>53</v>
      </c>
      <c r="P431" t="s">
        <v>2135</v>
      </c>
      <c r="Q431" s="14" t="s">
        <v>137</v>
      </c>
      <c r="R431" t="s">
        <v>2087</v>
      </c>
      <c r="S431">
        <v>1</v>
      </c>
      <c r="T431">
        <v>4219</v>
      </c>
      <c r="U431">
        <v>0</v>
      </c>
      <c r="V431">
        <v>4219</v>
      </c>
    </row>
    <row r="432" spans="1:22" x14ac:dyDescent="0.25">
      <c r="A432">
        <v>80147</v>
      </c>
      <c r="B432">
        <v>131134577</v>
      </c>
      <c r="C432" t="s">
        <v>2136</v>
      </c>
      <c r="D432">
        <v>250037883</v>
      </c>
      <c r="E432" t="s">
        <v>2052</v>
      </c>
      <c r="F432" t="s">
        <v>431</v>
      </c>
      <c r="G432" t="s">
        <v>149</v>
      </c>
      <c r="H432" t="s">
        <v>150</v>
      </c>
      <c r="I432" t="s">
        <v>88</v>
      </c>
      <c r="J432" t="s">
        <v>151</v>
      </c>
      <c r="K432" t="s">
        <v>2</v>
      </c>
      <c r="L432" t="s">
        <v>2137</v>
      </c>
      <c r="M432" t="s">
        <v>2138</v>
      </c>
      <c r="N432" t="s">
        <v>433</v>
      </c>
      <c r="O432" t="s">
        <v>53</v>
      </c>
      <c r="P432" t="s">
        <v>2139</v>
      </c>
      <c r="Q432" s="14" t="s">
        <v>119</v>
      </c>
      <c r="R432" t="s">
        <v>2087</v>
      </c>
      <c r="S432">
        <v>1</v>
      </c>
      <c r="T432">
        <v>5749</v>
      </c>
      <c r="U432">
        <v>0</v>
      </c>
      <c r="V432">
        <v>5749</v>
      </c>
    </row>
    <row r="433" spans="1:22" x14ac:dyDescent="0.25">
      <c r="A433">
        <v>80147</v>
      </c>
      <c r="B433">
        <v>131134590</v>
      </c>
      <c r="C433" t="s">
        <v>2140</v>
      </c>
      <c r="D433">
        <v>250037817</v>
      </c>
      <c r="E433" t="s">
        <v>2052</v>
      </c>
      <c r="F433" t="s">
        <v>431</v>
      </c>
      <c r="G433" t="s">
        <v>149</v>
      </c>
      <c r="H433" t="s">
        <v>150</v>
      </c>
      <c r="I433" t="s">
        <v>88</v>
      </c>
      <c r="J433" t="s">
        <v>151</v>
      </c>
      <c r="K433" t="s">
        <v>2</v>
      </c>
      <c r="L433" t="s">
        <v>2141</v>
      </c>
      <c r="M433" t="s">
        <v>1603</v>
      </c>
      <c r="N433" t="s">
        <v>433</v>
      </c>
      <c r="O433" t="s">
        <v>53</v>
      </c>
      <c r="P433" t="s">
        <v>2142</v>
      </c>
      <c r="Q433" s="14" t="s">
        <v>152</v>
      </c>
      <c r="R433" t="s">
        <v>2087</v>
      </c>
      <c r="S433">
        <v>0.9</v>
      </c>
      <c r="T433">
        <v>4219</v>
      </c>
      <c r="U433">
        <v>0</v>
      </c>
      <c r="V433">
        <v>4219</v>
      </c>
    </row>
    <row r="434" spans="1:22" x14ac:dyDescent="0.25">
      <c r="A434">
        <v>80147</v>
      </c>
      <c r="B434">
        <v>131134569</v>
      </c>
      <c r="C434" t="s">
        <v>2143</v>
      </c>
      <c r="D434">
        <v>250037903</v>
      </c>
      <c r="E434" t="s">
        <v>2052</v>
      </c>
      <c r="F434" t="s">
        <v>431</v>
      </c>
      <c r="G434" t="s">
        <v>149</v>
      </c>
      <c r="H434" t="s">
        <v>150</v>
      </c>
      <c r="I434" t="s">
        <v>88</v>
      </c>
      <c r="J434" t="s">
        <v>151</v>
      </c>
      <c r="K434" t="s">
        <v>2</v>
      </c>
      <c r="L434" t="s">
        <v>2144</v>
      </c>
      <c r="M434" t="s">
        <v>2145</v>
      </c>
      <c r="N434" t="s">
        <v>433</v>
      </c>
      <c r="O434" t="s">
        <v>53</v>
      </c>
      <c r="P434" t="s">
        <v>2146</v>
      </c>
      <c r="Q434" s="14" t="s">
        <v>40</v>
      </c>
      <c r="R434" t="s">
        <v>2087</v>
      </c>
      <c r="S434">
        <v>1</v>
      </c>
      <c r="T434">
        <v>4534</v>
      </c>
      <c r="U434">
        <v>0</v>
      </c>
      <c r="V434">
        <v>4534</v>
      </c>
    </row>
    <row r="435" spans="1:22" x14ac:dyDescent="0.25">
      <c r="A435">
        <v>80147</v>
      </c>
      <c r="B435">
        <v>130932400</v>
      </c>
      <c r="C435" t="s">
        <v>2147</v>
      </c>
      <c r="D435">
        <v>249582940</v>
      </c>
      <c r="E435" t="s">
        <v>2052</v>
      </c>
      <c r="F435" t="s">
        <v>431</v>
      </c>
      <c r="G435" t="s">
        <v>149</v>
      </c>
      <c r="H435" t="s">
        <v>150</v>
      </c>
      <c r="I435" t="s">
        <v>88</v>
      </c>
      <c r="J435" t="s">
        <v>151</v>
      </c>
      <c r="K435" t="s">
        <v>2</v>
      </c>
      <c r="L435" t="s">
        <v>2148</v>
      </c>
      <c r="M435" t="s">
        <v>2149</v>
      </c>
      <c r="N435" t="s">
        <v>433</v>
      </c>
      <c r="O435" t="s">
        <v>53</v>
      </c>
      <c r="P435" t="s">
        <v>2150</v>
      </c>
      <c r="Q435" s="14" t="s">
        <v>110</v>
      </c>
      <c r="R435" t="s">
        <v>395</v>
      </c>
      <c r="S435">
        <v>0.9</v>
      </c>
      <c r="T435">
        <v>6267</v>
      </c>
      <c r="U435">
        <v>0</v>
      </c>
      <c r="V435">
        <v>6267</v>
      </c>
    </row>
    <row r="436" spans="1:22" x14ac:dyDescent="0.25">
      <c r="A436">
        <v>80147</v>
      </c>
      <c r="B436">
        <v>131041043</v>
      </c>
      <c r="C436" t="s">
        <v>2151</v>
      </c>
      <c r="D436">
        <v>249824926</v>
      </c>
      <c r="E436" t="s">
        <v>2052</v>
      </c>
      <c r="F436" t="s">
        <v>431</v>
      </c>
      <c r="G436" t="s">
        <v>149</v>
      </c>
      <c r="H436" t="s">
        <v>150</v>
      </c>
      <c r="I436" t="s">
        <v>88</v>
      </c>
      <c r="J436" t="s">
        <v>151</v>
      </c>
      <c r="K436" t="s">
        <v>2</v>
      </c>
      <c r="L436" t="s">
        <v>2152</v>
      </c>
      <c r="M436" t="s">
        <v>2153</v>
      </c>
      <c r="N436" t="s">
        <v>433</v>
      </c>
      <c r="O436" t="s">
        <v>53</v>
      </c>
      <c r="P436" t="s">
        <v>2154</v>
      </c>
      <c r="Q436" s="14" t="s">
        <v>217</v>
      </c>
      <c r="R436" t="s">
        <v>847</v>
      </c>
      <c r="S436">
        <v>3.11</v>
      </c>
      <c r="T436">
        <v>5783</v>
      </c>
      <c r="U436">
        <v>0</v>
      </c>
      <c r="V436">
        <v>5783</v>
      </c>
    </row>
    <row r="437" spans="1:22" x14ac:dyDescent="0.25">
      <c r="A437">
        <v>80147</v>
      </c>
      <c r="B437">
        <v>131056283</v>
      </c>
      <c r="C437" t="s">
        <v>2155</v>
      </c>
      <c r="D437">
        <v>249894707</v>
      </c>
      <c r="E437" t="s">
        <v>2052</v>
      </c>
      <c r="F437" t="s">
        <v>431</v>
      </c>
      <c r="G437" t="s">
        <v>149</v>
      </c>
      <c r="H437" t="s">
        <v>150</v>
      </c>
      <c r="I437" t="s">
        <v>88</v>
      </c>
      <c r="J437" t="s">
        <v>151</v>
      </c>
      <c r="K437" t="s">
        <v>2</v>
      </c>
      <c r="L437" t="s">
        <v>2156</v>
      </c>
      <c r="M437" t="s">
        <v>2157</v>
      </c>
      <c r="N437" t="s">
        <v>433</v>
      </c>
      <c r="O437" t="s">
        <v>53</v>
      </c>
      <c r="P437" t="s">
        <v>2158</v>
      </c>
      <c r="Q437" s="14" t="s">
        <v>167</v>
      </c>
      <c r="R437" t="s">
        <v>2055</v>
      </c>
      <c r="S437">
        <v>1</v>
      </c>
      <c r="T437">
        <v>7212</v>
      </c>
      <c r="U437">
        <v>0</v>
      </c>
      <c r="V437">
        <v>7212</v>
      </c>
    </row>
    <row r="438" spans="1:22" x14ac:dyDescent="0.25">
      <c r="A438">
        <v>80147</v>
      </c>
      <c r="B438">
        <v>131041029</v>
      </c>
      <c r="C438" t="s">
        <v>2159</v>
      </c>
      <c r="D438">
        <v>249824875</v>
      </c>
      <c r="E438" t="s">
        <v>2052</v>
      </c>
      <c r="F438" t="s">
        <v>431</v>
      </c>
      <c r="G438" t="s">
        <v>149</v>
      </c>
      <c r="H438" t="s">
        <v>150</v>
      </c>
      <c r="I438" t="s">
        <v>88</v>
      </c>
      <c r="J438" t="s">
        <v>151</v>
      </c>
      <c r="K438" t="s">
        <v>2</v>
      </c>
      <c r="L438" t="s">
        <v>2160</v>
      </c>
      <c r="M438" t="s">
        <v>290</v>
      </c>
      <c r="N438" t="s">
        <v>433</v>
      </c>
      <c r="O438" t="s">
        <v>53</v>
      </c>
      <c r="P438" t="s">
        <v>2161</v>
      </c>
      <c r="Q438" s="14" t="s">
        <v>134</v>
      </c>
      <c r="R438" t="s">
        <v>847</v>
      </c>
      <c r="S438">
        <v>1</v>
      </c>
      <c r="T438">
        <v>4669</v>
      </c>
      <c r="U438">
        <v>0</v>
      </c>
      <c r="V438">
        <v>4669</v>
      </c>
    </row>
    <row r="439" spans="1:22" x14ac:dyDescent="0.25">
      <c r="A439">
        <v>80147</v>
      </c>
      <c r="B439">
        <v>131078550</v>
      </c>
      <c r="C439" t="s">
        <v>2162</v>
      </c>
      <c r="D439">
        <v>249894682</v>
      </c>
      <c r="E439" t="s">
        <v>2052</v>
      </c>
      <c r="F439" t="s">
        <v>431</v>
      </c>
      <c r="G439" t="s">
        <v>149</v>
      </c>
      <c r="H439" t="s">
        <v>150</v>
      </c>
      <c r="I439" t="s">
        <v>88</v>
      </c>
      <c r="J439" t="s">
        <v>151</v>
      </c>
      <c r="K439" t="s">
        <v>2</v>
      </c>
      <c r="L439" t="s">
        <v>2163</v>
      </c>
      <c r="M439" t="s">
        <v>2164</v>
      </c>
      <c r="N439" t="s">
        <v>433</v>
      </c>
      <c r="O439" t="s">
        <v>53</v>
      </c>
      <c r="P439" t="s">
        <v>2165</v>
      </c>
      <c r="Q439" s="14" t="s">
        <v>105</v>
      </c>
      <c r="R439" t="s">
        <v>2166</v>
      </c>
      <c r="S439">
        <v>1</v>
      </c>
      <c r="T439">
        <v>5749</v>
      </c>
      <c r="U439">
        <v>0</v>
      </c>
      <c r="V439">
        <v>5749</v>
      </c>
    </row>
    <row r="440" spans="1:22" x14ac:dyDescent="0.25">
      <c r="A440">
        <v>80147</v>
      </c>
      <c r="B440">
        <v>131078538</v>
      </c>
      <c r="C440" t="s">
        <v>2167</v>
      </c>
      <c r="D440">
        <v>249894702</v>
      </c>
      <c r="E440" t="s">
        <v>2052</v>
      </c>
      <c r="F440" t="s">
        <v>431</v>
      </c>
      <c r="G440" t="s">
        <v>149</v>
      </c>
      <c r="H440" t="s">
        <v>150</v>
      </c>
      <c r="I440" t="s">
        <v>88</v>
      </c>
      <c r="J440" t="s">
        <v>151</v>
      </c>
      <c r="K440" t="s">
        <v>2</v>
      </c>
      <c r="L440" t="s">
        <v>2168</v>
      </c>
      <c r="M440" t="s">
        <v>2169</v>
      </c>
      <c r="N440" t="s">
        <v>433</v>
      </c>
      <c r="O440" t="s">
        <v>53</v>
      </c>
      <c r="P440" t="s">
        <v>2170</v>
      </c>
      <c r="Q440" s="14" t="s">
        <v>124</v>
      </c>
      <c r="R440" t="s">
        <v>2171</v>
      </c>
      <c r="S440">
        <v>1</v>
      </c>
      <c r="T440">
        <v>4219</v>
      </c>
      <c r="U440">
        <v>0</v>
      </c>
      <c r="V440">
        <v>4219</v>
      </c>
    </row>
    <row r="441" spans="1:22" x14ac:dyDescent="0.25">
      <c r="A441">
        <v>80147</v>
      </c>
      <c r="B441">
        <v>131078542</v>
      </c>
      <c r="C441" t="s">
        <v>2172</v>
      </c>
      <c r="D441">
        <v>249894676</v>
      </c>
      <c r="E441" t="s">
        <v>2052</v>
      </c>
      <c r="F441" t="s">
        <v>431</v>
      </c>
      <c r="G441" t="s">
        <v>149</v>
      </c>
      <c r="H441" t="s">
        <v>150</v>
      </c>
      <c r="I441" t="s">
        <v>88</v>
      </c>
      <c r="J441" t="s">
        <v>151</v>
      </c>
      <c r="K441" t="s">
        <v>2</v>
      </c>
      <c r="L441" t="s">
        <v>2173</v>
      </c>
      <c r="M441" t="s">
        <v>2174</v>
      </c>
      <c r="N441" t="s">
        <v>433</v>
      </c>
      <c r="O441" t="s">
        <v>53</v>
      </c>
      <c r="P441" t="s">
        <v>2175</v>
      </c>
      <c r="Q441" s="14" t="s">
        <v>137</v>
      </c>
      <c r="R441" t="s">
        <v>2171</v>
      </c>
      <c r="S441">
        <v>1</v>
      </c>
      <c r="T441">
        <v>4219</v>
      </c>
      <c r="U441">
        <v>0</v>
      </c>
      <c r="V441">
        <v>4219</v>
      </c>
    </row>
    <row r="442" spans="1:22" x14ac:dyDescent="0.25">
      <c r="A442">
        <v>80147</v>
      </c>
      <c r="B442">
        <v>131041041</v>
      </c>
      <c r="C442" t="s">
        <v>2176</v>
      </c>
      <c r="D442">
        <v>249824906</v>
      </c>
      <c r="E442" t="s">
        <v>2052</v>
      </c>
      <c r="F442" t="s">
        <v>431</v>
      </c>
      <c r="G442" t="s">
        <v>149</v>
      </c>
      <c r="H442" t="s">
        <v>150</v>
      </c>
      <c r="I442" t="s">
        <v>88</v>
      </c>
      <c r="J442" t="s">
        <v>151</v>
      </c>
      <c r="K442" t="s">
        <v>2</v>
      </c>
      <c r="L442" t="s">
        <v>2177</v>
      </c>
      <c r="M442" t="s">
        <v>2178</v>
      </c>
      <c r="N442" t="s">
        <v>433</v>
      </c>
      <c r="O442" t="s">
        <v>53</v>
      </c>
      <c r="P442" t="s">
        <v>2179</v>
      </c>
      <c r="Q442" s="14" t="s">
        <v>158</v>
      </c>
      <c r="R442" t="s">
        <v>847</v>
      </c>
      <c r="S442">
        <v>1</v>
      </c>
      <c r="T442">
        <v>4219</v>
      </c>
      <c r="U442">
        <v>0</v>
      </c>
      <c r="V442">
        <v>4219</v>
      </c>
    </row>
    <row r="443" spans="1:22" x14ac:dyDescent="0.25">
      <c r="A443">
        <v>80147</v>
      </c>
      <c r="B443">
        <v>130989903</v>
      </c>
      <c r="C443" t="s">
        <v>2180</v>
      </c>
      <c r="D443">
        <v>249748519</v>
      </c>
      <c r="E443" t="s">
        <v>2052</v>
      </c>
      <c r="F443" t="s">
        <v>431</v>
      </c>
      <c r="G443" t="s">
        <v>149</v>
      </c>
      <c r="H443" t="s">
        <v>150</v>
      </c>
      <c r="I443" t="s">
        <v>88</v>
      </c>
      <c r="J443" t="s">
        <v>151</v>
      </c>
      <c r="K443" t="s">
        <v>2</v>
      </c>
      <c r="L443" t="s">
        <v>2181</v>
      </c>
      <c r="M443" t="s">
        <v>2182</v>
      </c>
      <c r="N443" t="s">
        <v>433</v>
      </c>
      <c r="O443" t="s">
        <v>53</v>
      </c>
      <c r="P443" t="s">
        <v>2183</v>
      </c>
      <c r="Q443" s="14" t="s">
        <v>128</v>
      </c>
      <c r="R443" t="s">
        <v>2184</v>
      </c>
      <c r="S443">
        <v>1</v>
      </c>
      <c r="T443">
        <v>7864</v>
      </c>
      <c r="U443">
        <v>0</v>
      </c>
      <c r="V443">
        <v>7864</v>
      </c>
    </row>
    <row r="444" spans="1:22" x14ac:dyDescent="0.25">
      <c r="A444">
        <v>80147</v>
      </c>
      <c r="B444">
        <v>130780367</v>
      </c>
      <c r="C444" t="s">
        <v>2185</v>
      </c>
      <c r="D444">
        <v>249226391</v>
      </c>
      <c r="E444" t="s">
        <v>2052</v>
      </c>
      <c r="F444" t="s">
        <v>431</v>
      </c>
      <c r="G444" t="s">
        <v>149</v>
      </c>
      <c r="H444" t="s">
        <v>150</v>
      </c>
      <c r="I444" t="s">
        <v>88</v>
      </c>
      <c r="J444" t="s">
        <v>151</v>
      </c>
      <c r="K444" t="s">
        <v>2</v>
      </c>
      <c r="L444" t="s">
        <v>2186</v>
      </c>
      <c r="M444" t="s">
        <v>2187</v>
      </c>
      <c r="N444" t="s">
        <v>433</v>
      </c>
      <c r="O444" t="s">
        <v>53</v>
      </c>
      <c r="P444" t="s">
        <v>2188</v>
      </c>
      <c r="Q444" s="14" t="s">
        <v>225</v>
      </c>
      <c r="R444" t="s">
        <v>387</v>
      </c>
      <c r="S444">
        <v>0.9</v>
      </c>
      <c r="T444">
        <v>8404</v>
      </c>
      <c r="U444">
        <v>0</v>
      </c>
      <c r="V444">
        <v>8404</v>
      </c>
    </row>
    <row r="445" spans="1:22" x14ac:dyDescent="0.25">
      <c r="A445">
        <v>80147</v>
      </c>
      <c r="B445">
        <v>131041036</v>
      </c>
      <c r="C445" t="s">
        <v>2189</v>
      </c>
      <c r="D445">
        <v>249824877</v>
      </c>
      <c r="E445" t="s">
        <v>2052</v>
      </c>
      <c r="F445" t="s">
        <v>431</v>
      </c>
      <c r="G445" t="s">
        <v>149</v>
      </c>
      <c r="H445" t="s">
        <v>150</v>
      </c>
      <c r="I445" t="s">
        <v>88</v>
      </c>
      <c r="J445" t="s">
        <v>151</v>
      </c>
      <c r="K445" t="s">
        <v>2</v>
      </c>
      <c r="L445" t="s">
        <v>2190</v>
      </c>
      <c r="M445" t="s">
        <v>2191</v>
      </c>
      <c r="N445" t="s">
        <v>433</v>
      </c>
      <c r="O445" t="s">
        <v>53</v>
      </c>
      <c r="P445" t="s">
        <v>2192</v>
      </c>
      <c r="Q445" s="14" t="s">
        <v>40</v>
      </c>
      <c r="R445" t="s">
        <v>847</v>
      </c>
      <c r="S445">
        <v>1</v>
      </c>
      <c r="T445">
        <v>4534</v>
      </c>
      <c r="U445">
        <v>0</v>
      </c>
      <c r="V445">
        <v>4534</v>
      </c>
    </row>
    <row r="446" spans="1:22" x14ac:dyDescent="0.25">
      <c r="A446">
        <v>80147</v>
      </c>
      <c r="B446">
        <v>131041039</v>
      </c>
      <c r="C446" t="s">
        <v>2193</v>
      </c>
      <c r="D446">
        <v>249824904</v>
      </c>
      <c r="E446" t="s">
        <v>2052</v>
      </c>
      <c r="F446" t="s">
        <v>431</v>
      </c>
      <c r="G446" t="s">
        <v>149</v>
      </c>
      <c r="H446" t="s">
        <v>150</v>
      </c>
      <c r="I446" t="s">
        <v>88</v>
      </c>
      <c r="J446" t="s">
        <v>151</v>
      </c>
      <c r="K446" t="s">
        <v>2</v>
      </c>
      <c r="L446" t="s">
        <v>2194</v>
      </c>
      <c r="M446" t="s">
        <v>2130</v>
      </c>
      <c r="N446" t="s">
        <v>433</v>
      </c>
      <c r="O446" t="s">
        <v>53</v>
      </c>
      <c r="P446" t="s">
        <v>2195</v>
      </c>
      <c r="Q446" s="14" t="s">
        <v>120</v>
      </c>
      <c r="R446" t="s">
        <v>847</v>
      </c>
      <c r="S446">
        <v>1</v>
      </c>
      <c r="T446">
        <v>5153</v>
      </c>
      <c r="U446">
        <v>0</v>
      </c>
      <c r="V446">
        <v>5153</v>
      </c>
    </row>
    <row r="447" spans="1:22" x14ac:dyDescent="0.25">
      <c r="A447">
        <v>80147</v>
      </c>
      <c r="B447">
        <v>130989905</v>
      </c>
      <c r="C447" t="s">
        <v>2196</v>
      </c>
      <c r="D447">
        <v>249748497</v>
      </c>
      <c r="E447" t="s">
        <v>2052</v>
      </c>
      <c r="F447" t="s">
        <v>431</v>
      </c>
      <c r="G447" t="s">
        <v>149</v>
      </c>
      <c r="H447" t="s">
        <v>150</v>
      </c>
      <c r="I447" t="s">
        <v>88</v>
      </c>
      <c r="J447" t="s">
        <v>151</v>
      </c>
      <c r="K447" t="s">
        <v>2</v>
      </c>
      <c r="L447" t="s">
        <v>2197</v>
      </c>
      <c r="M447" t="s">
        <v>2198</v>
      </c>
      <c r="N447" t="s">
        <v>433</v>
      </c>
      <c r="O447" t="s">
        <v>53</v>
      </c>
      <c r="P447" t="s">
        <v>2199</v>
      </c>
      <c r="Q447" s="14" t="s">
        <v>129</v>
      </c>
      <c r="R447" t="s">
        <v>2184</v>
      </c>
      <c r="S447">
        <v>35.57</v>
      </c>
      <c r="T447">
        <v>24649</v>
      </c>
      <c r="U447">
        <v>0</v>
      </c>
      <c r="V447">
        <v>24649</v>
      </c>
    </row>
    <row r="448" spans="1:22" x14ac:dyDescent="0.25">
      <c r="A448">
        <v>80147</v>
      </c>
      <c r="B448">
        <v>130906623</v>
      </c>
      <c r="C448" t="s">
        <v>2200</v>
      </c>
      <c r="D448">
        <v>249583055</v>
      </c>
      <c r="E448" t="s">
        <v>2052</v>
      </c>
      <c r="F448" t="s">
        <v>431</v>
      </c>
      <c r="G448" t="s">
        <v>149</v>
      </c>
      <c r="H448" t="s">
        <v>150</v>
      </c>
      <c r="I448" t="s">
        <v>88</v>
      </c>
      <c r="J448" t="s">
        <v>151</v>
      </c>
      <c r="K448" t="s">
        <v>2</v>
      </c>
      <c r="L448" t="s">
        <v>2201</v>
      </c>
      <c r="M448" t="s">
        <v>2202</v>
      </c>
      <c r="N448" t="s">
        <v>433</v>
      </c>
      <c r="O448" t="s">
        <v>53</v>
      </c>
      <c r="P448" t="s">
        <v>2203</v>
      </c>
      <c r="Q448" s="14" t="s">
        <v>128</v>
      </c>
      <c r="R448" t="s">
        <v>2204</v>
      </c>
      <c r="S448">
        <v>1</v>
      </c>
      <c r="T448">
        <v>7864</v>
      </c>
      <c r="U448">
        <v>0</v>
      </c>
      <c r="V448">
        <v>7864</v>
      </c>
    </row>
    <row r="449" spans="1:22" x14ac:dyDescent="0.25">
      <c r="A449">
        <v>80147</v>
      </c>
      <c r="B449">
        <v>131041042</v>
      </c>
      <c r="C449" t="s">
        <v>2205</v>
      </c>
      <c r="D449">
        <v>249824922</v>
      </c>
      <c r="E449" t="s">
        <v>2052</v>
      </c>
      <c r="F449" t="s">
        <v>431</v>
      </c>
      <c r="G449" t="s">
        <v>149</v>
      </c>
      <c r="H449" t="s">
        <v>150</v>
      </c>
      <c r="I449" t="s">
        <v>88</v>
      </c>
      <c r="J449" t="s">
        <v>151</v>
      </c>
      <c r="K449" t="s">
        <v>2</v>
      </c>
      <c r="L449" t="s">
        <v>2206</v>
      </c>
      <c r="M449" t="s">
        <v>2207</v>
      </c>
      <c r="N449" t="s">
        <v>433</v>
      </c>
      <c r="O449" t="s">
        <v>53</v>
      </c>
      <c r="P449" t="s">
        <v>2208</v>
      </c>
      <c r="Q449" s="14" t="s">
        <v>96</v>
      </c>
      <c r="R449" t="s">
        <v>847</v>
      </c>
      <c r="S449">
        <v>1</v>
      </c>
      <c r="T449">
        <v>4219</v>
      </c>
      <c r="U449">
        <v>0</v>
      </c>
      <c r="V449">
        <v>4219</v>
      </c>
    </row>
    <row r="450" spans="1:22" x14ac:dyDescent="0.25">
      <c r="A450">
        <v>80147</v>
      </c>
      <c r="B450">
        <v>130932393</v>
      </c>
      <c r="C450" t="s">
        <v>2209</v>
      </c>
      <c r="D450">
        <v>249582967</v>
      </c>
      <c r="E450" t="s">
        <v>2052</v>
      </c>
      <c r="F450" t="s">
        <v>431</v>
      </c>
      <c r="G450" t="s">
        <v>149</v>
      </c>
      <c r="H450" t="s">
        <v>150</v>
      </c>
      <c r="I450" t="s">
        <v>88</v>
      </c>
      <c r="J450" t="s">
        <v>151</v>
      </c>
      <c r="K450" t="s">
        <v>2</v>
      </c>
      <c r="L450" t="s">
        <v>2210</v>
      </c>
      <c r="M450" t="s">
        <v>2211</v>
      </c>
      <c r="N450" t="s">
        <v>433</v>
      </c>
      <c r="O450" t="s">
        <v>53</v>
      </c>
      <c r="P450" t="s">
        <v>2212</v>
      </c>
      <c r="Q450" s="14" t="s">
        <v>128</v>
      </c>
      <c r="R450" t="s">
        <v>395</v>
      </c>
      <c r="S450">
        <v>1</v>
      </c>
      <c r="T450">
        <v>7864</v>
      </c>
      <c r="U450">
        <v>0</v>
      </c>
      <c r="V450">
        <v>7864</v>
      </c>
    </row>
    <row r="451" spans="1:22" x14ac:dyDescent="0.25">
      <c r="A451">
        <v>80147</v>
      </c>
      <c r="B451">
        <v>130975906</v>
      </c>
      <c r="C451" t="s">
        <v>2213</v>
      </c>
      <c r="D451">
        <v>249654989</v>
      </c>
      <c r="E451" t="s">
        <v>2052</v>
      </c>
      <c r="F451" t="s">
        <v>431</v>
      </c>
      <c r="G451" t="s">
        <v>149</v>
      </c>
      <c r="H451" t="s">
        <v>150</v>
      </c>
      <c r="I451" t="s">
        <v>88</v>
      </c>
      <c r="J451" t="s">
        <v>151</v>
      </c>
      <c r="K451" t="s">
        <v>2</v>
      </c>
      <c r="L451" t="s">
        <v>2214</v>
      </c>
      <c r="M451" t="s">
        <v>2215</v>
      </c>
      <c r="N451" t="s">
        <v>433</v>
      </c>
      <c r="O451" t="s">
        <v>53</v>
      </c>
      <c r="P451" t="s">
        <v>2216</v>
      </c>
      <c r="Q451" s="14" t="s">
        <v>128</v>
      </c>
      <c r="R451" t="s">
        <v>662</v>
      </c>
      <c r="S451">
        <v>1</v>
      </c>
      <c r="T451">
        <v>7864</v>
      </c>
      <c r="U451">
        <v>0</v>
      </c>
      <c r="V451">
        <v>7864</v>
      </c>
    </row>
    <row r="452" spans="1:22" x14ac:dyDescent="0.25">
      <c r="A452">
        <v>80147</v>
      </c>
      <c r="B452">
        <v>131017561</v>
      </c>
      <c r="C452" t="s">
        <v>2217</v>
      </c>
      <c r="D452">
        <v>249748429</v>
      </c>
      <c r="E452" t="s">
        <v>2052</v>
      </c>
      <c r="F452" t="s">
        <v>431</v>
      </c>
      <c r="G452" t="s">
        <v>149</v>
      </c>
      <c r="H452" t="s">
        <v>150</v>
      </c>
      <c r="I452" t="s">
        <v>88</v>
      </c>
      <c r="J452" t="s">
        <v>151</v>
      </c>
      <c r="K452" t="s">
        <v>2</v>
      </c>
      <c r="L452" t="s">
        <v>2218</v>
      </c>
      <c r="M452" t="s">
        <v>2219</v>
      </c>
      <c r="N452" t="s">
        <v>433</v>
      </c>
      <c r="O452" t="s">
        <v>53</v>
      </c>
      <c r="P452" t="s">
        <v>2220</v>
      </c>
      <c r="Q452" s="14" t="s">
        <v>120</v>
      </c>
      <c r="R452" t="s">
        <v>364</v>
      </c>
      <c r="S452">
        <v>1</v>
      </c>
      <c r="T452">
        <v>5153</v>
      </c>
      <c r="U452">
        <v>0</v>
      </c>
      <c r="V452">
        <v>5153</v>
      </c>
    </row>
    <row r="453" spans="1:22" x14ac:dyDescent="0.25">
      <c r="A453">
        <v>80147</v>
      </c>
      <c r="B453">
        <v>130932395</v>
      </c>
      <c r="C453" t="s">
        <v>2221</v>
      </c>
      <c r="D453">
        <v>249582936</v>
      </c>
      <c r="E453" t="s">
        <v>2052</v>
      </c>
      <c r="F453" t="s">
        <v>431</v>
      </c>
      <c r="G453" t="s">
        <v>149</v>
      </c>
      <c r="H453" t="s">
        <v>150</v>
      </c>
      <c r="I453" t="s">
        <v>88</v>
      </c>
      <c r="J453" t="s">
        <v>151</v>
      </c>
      <c r="K453" t="s">
        <v>2</v>
      </c>
      <c r="L453" t="s">
        <v>2222</v>
      </c>
      <c r="M453" t="s">
        <v>2223</v>
      </c>
      <c r="N453" t="s">
        <v>433</v>
      </c>
      <c r="O453" t="s">
        <v>53</v>
      </c>
      <c r="P453" t="s">
        <v>2224</v>
      </c>
      <c r="Q453" s="14" t="s">
        <v>109</v>
      </c>
      <c r="R453" t="s">
        <v>395</v>
      </c>
      <c r="S453">
        <v>1</v>
      </c>
      <c r="T453">
        <v>4669</v>
      </c>
      <c r="U453">
        <v>0</v>
      </c>
      <c r="V453">
        <v>4669</v>
      </c>
    </row>
    <row r="454" spans="1:22" x14ac:dyDescent="0.25">
      <c r="A454">
        <v>80147</v>
      </c>
      <c r="B454">
        <v>130932405</v>
      </c>
      <c r="C454" t="s">
        <v>2225</v>
      </c>
      <c r="D454">
        <v>249582914</v>
      </c>
      <c r="E454" t="s">
        <v>2052</v>
      </c>
      <c r="F454" t="s">
        <v>431</v>
      </c>
      <c r="G454" t="s">
        <v>149</v>
      </c>
      <c r="H454" t="s">
        <v>150</v>
      </c>
      <c r="I454" t="s">
        <v>88</v>
      </c>
      <c r="J454" t="s">
        <v>151</v>
      </c>
      <c r="K454" t="s">
        <v>2</v>
      </c>
      <c r="L454" t="s">
        <v>2226</v>
      </c>
      <c r="M454" t="s">
        <v>2227</v>
      </c>
      <c r="N454" t="s">
        <v>433</v>
      </c>
      <c r="O454" t="s">
        <v>53</v>
      </c>
      <c r="P454" t="s">
        <v>2228</v>
      </c>
      <c r="Q454" s="14" t="s">
        <v>128</v>
      </c>
      <c r="R454" t="s">
        <v>395</v>
      </c>
      <c r="S454">
        <v>1</v>
      </c>
      <c r="T454">
        <v>7864</v>
      </c>
      <c r="U454">
        <v>0</v>
      </c>
      <c r="V454">
        <v>7864</v>
      </c>
    </row>
    <row r="455" spans="1:22" x14ac:dyDescent="0.25">
      <c r="A455">
        <v>80147</v>
      </c>
      <c r="B455">
        <v>130906627</v>
      </c>
      <c r="C455" t="s">
        <v>2229</v>
      </c>
      <c r="D455">
        <v>249583054</v>
      </c>
      <c r="E455" t="s">
        <v>2052</v>
      </c>
      <c r="F455" t="s">
        <v>431</v>
      </c>
      <c r="G455" t="s">
        <v>149</v>
      </c>
      <c r="H455" t="s">
        <v>150</v>
      </c>
      <c r="I455" t="s">
        <v>88</v>
      </c>
      <c r="J455" t="s">
        <v>151</v>
      </c>
      <c r="K455" t="s">
        <v>2</v>
      </c>
      <c r="L455" t="s">
        <v>2230</v>
      </c>
      <c r="M455" t="s">
        <v>2231</v>
      </c>
      <c r="N455" t="s">
        <v>433</v>
      </c>
      <c r="O455" t="s">
        <v>53</v>
      </c>
      <c r="P455" t="s">
        <v>2232</v>
      </c>
      <c r="Q455" s="14" t="s">
        <v>129</v>
      </c>
      <c r="R455" t="s">
        <v>405</v>
      </c>
      <c r="S455">
        <v>1</v>
      </c>
      <c r="T455">
        <v>7212</v>
      </c>
      <c r="U455">
        <v>0</v>
      </c>
      <c r="V455">
        <v>7212</v>
      </c>
    </row>
    <row r="456" spans="1:22" x14ac:dyDescent="0.25">
      <c r="A456">
        <v>80147</v>
      </c>
      <c r="B456">
        <v>130975910</v>
      </c>
      <c r="C456" t="s">
        <v>2233</v>
      </c>
      <c r="D456">
        <v>249654999</v>
      </c>
      <c r="E456" t="s">
        <v>2052</v>
      </c>
      <c r="F456" t="s">
        <v>431</v>
      </c>
      <c r="G456" t="s">
        <v>149</v>
      </c>
      <c r="H456" t="s">
        <v>150</v>
      </c>
      <c r="I456" t="s">
        <v>88</v>
      </c>
      <c r="J456" t="s">
        <v>151</v>
      </c>
      <c r="K456" t="s">
        <v>2</v>
      </c>
      <c r="L456" t="s">
        <v>2234</v>
      </c>
      <c r="M456" t="s">
        <v>2235</v>
      </c>
      <c r="N456" t="s">
        <v>433</v>
      </c>
      <c r="O456" t="s">
        <v>53</v>
      </c>
      <c r="P456" t="s">
        <v>2236</v>
      </c>
      <c r="Q456" s="14" t="s">
        <v>97</v>
      </c>
      <c r="R456" t="s">
        <v>662</v>
      </c>
      <c r="S456">
        <v>1</v>
      </c>
      <c r="T456">
        <v>8415</v>
      </c>
      <c r="U456">
        <v>0</v>
      </c>
      <c r="V456">
        <v>8415</v>
      </c>
    </row>
    <row r="457" spans="1:22" x14ac:dyDescent="0.25">
      <c r="A457">
        <v>80147</v>
      </c>
      <c r="B457">
        <v>131017559</v>
      </c>
      <c r="C457" t="s">
        <v>2237</v>
      </c>
      <c r="D457">
        <v>249748433</v>
      </c>
      <c r="E457" t="s">
        <v>2052</v>
      </c>
      <c r="F457" t="s">
        <v>431</v>
      </c>
      <c r="G457" t="s">
        <v>149</v>
      </c>
      <c r="H457" t="s">
        <v>150</v>
      </c>
      <c r="I457" t="s">
        <v>88</v>
      </c>
      <c r="J457" t="s">
        <v>151</v>
      </c>
      <c r="K457" t="s">
        <v>2</v>
      </c>
      <c r="L457" t="s">
        <v>2238</v>
      </c>
      <c r="M457" t="s">
        <v>2239</v>
      </c>
      <c r="N457" t="s">
        <v>433</v>
      </c>
      <c r="O457" t="s">
        <v>53</v>
      </c>
      <c r="P457" t="s">
        <v>2240</v>
      </c>
      <c r="Q457" s="14" t="s">
        <v>120</v>
      </c>
      <c r="R457" t="s">
        <v>364</v>
      </c>
      <c r="S457">
        <v>45.18</v>
      </c>
      <c r="T457">
        <v>25144</v>
      </c>
      <c r="U457">
        <v>0</v>
      </c>
      <c r="V457">
        <v>25144</v>
      </c>
    </row>
    <row r="458" spans="1:22" x14ac:dyDescent="0.25">
      <c r="A458">
        <v>80147</v>
      </c>
      <c r="B458">
        <v>130975907</v>
      </c>
      <c r="C458" t="s">
        <v>2241</v>
      </c>
      <c r="D458">
        <v>249655001</v>
      </c>
      <c r="E458" t="s">
        <v>2052</v>
      </c>
      <c r="F458" t="s">
        <v>431</v>
      </c>
      <c r="G458" t="s">
        <v>149</v>
      </c>
      <c r="H458" t="s">
        <v>150</v>
      </c>
      <c r="I458" t="s">
        <v>88</v>
      </c>
      <c r="J458" t="s">
        <v>151</v>
      </c>
      <c r="K458" t="s">
        <v>2</v>
      </c>
      <c r="L458" t="s">
        <v>2242</v>
      </c>
      <c r="M458" t="s">
        <v>2243</v>
      </c>
      <c r="N458" t="s">
        <v>433</v>
      </c>
      <c r="O458" t="s">
        <v>53</v>
      </c>
      <c r="P458" t="s">
        <v>2244</v>
      </c>
      <c r="Q458" s="14" t="s">
        <v>167</v>
      </c>
      <c r="R458" t="s">
        <v>662</v>
      </c>
      <c r="S458">
        <v>43.87</v>
      </c>
      <c r="T458">
        <v>30128</v>
      </c>
      <c r="U458">
        <v>0</v>
      </c>
      <c r="V458">
        <v>30128</v>
      </c>
    </row>
    <row r="459" spans="1:22" x14ac:dyDescent="0.25">
      <c r="A459">
        <v>80147</v>
      </c>
      <c r="B459">
        <v>131017567</v>
      </c>
      <c r="C459" t="s">
        <v>2245</v>
      </c>
      <c r="D459">
        <v>249748426</v>
      </c>
      <c r="E459" t="s">
        <v>2052</v>
      </c>
      <c r="F459" t="s">
        <v>431</v>
      </c>
      <c r="G459" t="s">
        <v>149</v>
      </c>
      <c r="H459" t="s">
        <v>150</v>
      </c>
      <c r="I459" t="s">
        <v>88</v>
      </c>
      <c r="J459" t="s">
        <v>151</v>
      </c>
      <c r="K459" t="s">
        <v>2</v>
      </c>
      <c r="L459" t="s">
        <v>2246</v>
      </c>
      <c r="M459" t="s">
        <v>2247</v>
      </c>
      <c r="N459" t="s">
        <v>433</v>
      </c>
      <c r="O459" t="s">
        <v>53</v>
      </c>
      <c r="P459" t="s">
        <v>2248</v>
      </c>
      <c r="Q459" s="14" t="s">
        <v>96</v>
      </c>
      <c r="R459" t="s">
        <v>364</v>
      </c>
      <c r="S459">
        <v>1</v>
      </c>
      <c r="T459">
        <v>4219</v>
      </c>
      <c r="U459">
        <v>0</v>
      </c>
      <c r="V459">
        <v>4219</v>
      </c>
    </row>
    <row r="460" spans="1:22" x14ac:dyDescent="0.25">
      <c r="A460">
        <v>80147</v>
      </c>
      <c r="B460">
        <v>130975913</v>
      </c>
      <c r="C460" t="s">
        <v>2249</v>
      </c>
      <c r="D460">
        <v>249654987</v>
      </c>
      <c r="E460" t="s">
        <v>2052</v>
      </c>
      <c r="F460" t="s">
        <v>431</v>
      </c>
      <c r="G460" t="s">
        <v>149</v>
      </c>
      <c r="H460" t="s">
        <v>150</v>
      </c>
      <c r="I460" t="s">
        <v>88</v>
      </c>
      <c r="J460" t="s">
        <v>151</v>
      </c>
      <c r="K460" t="s">
        <v>2</v>
      </c>
      <c r="L460" t="s">
        <v>2250</v>
      </c>
      <c r="M460" t="s">
        <v>2251</v>
      </c>
      <c r="N460" t="s">
        <v>433</v>
      </c>
      <c r="O460" t="s">
        <v>53</v>
      </c>
      <c r="P460" t="s">
        <v>2252</v>
      </c>
      <c r="Q460" s="14" t="s">
        <v>129</v>
      </c>
      <c r="R460" t="s">
        <v>662</v>
      </c>
      <c r="S460">
        <v>1</v>
      </c>
      <c r="T460">
        <v>7212</v>
      </c>
      <c r="U460">
        <v>0</v>
      </c>
      <c r="V460">
        <v>7212</v>
      </c>
    </row>
    <row r="461" spans="1:22" x14ac:dyDescent="0.25">
      <c r="A461">
        <v>80147</v>
      </c>
      <c r="B461">
        <v>130883074</v>
      </c>
      <c r="C461" t="s">
        <v>2253</v>
      </c>
      <c r="D461">
        <v>249583081</v>
      </c>
      <c r="E461" t="s">
        <v>2052</v>
      </c>
      <c r="F461" t="s">
        <v>431</v>
      </c>
      <c r="G461" t="s">
        <v>149</v>
      </c>
      <c r="H461" t="s">
        <v>150</v>
      </c>
      <c r="I461" t="s">
        <v>88</v>
      </c>
      <c r="J461" t="s">
        <v>151</v>
      </c>
      <c r="K461" t="s">
        <v>2</v>
      </c>
      <c r="L461" t="s">
        <v>2254</v>
      </c>
      <c r="M461" t="s">
        <v>2255</v>
      </c>
      <c r="N461" t="s">
        <v>433</v>
      </c>
      <c r="O461" t="s">
        <v>53</v>
      </c>
      <c r="P461" t="s">
        <v>2256</v>
      </c>
      <c r="Q461" s="14" t="s">
        <v>93</v>
      </c>
      <c r="R461" t="s">
        <v>351</v>
      </c>
      <c r="S461">
        <v>1</v>
      </c>
      <c r="T461">
        <v>4737</v>
      </c>
      <c r="U461">
        <v>0</v>
      </c>
      <c r="V461">
        <v>4737</v>
      </c>
    </row>
    <row r="462" spans="1:22" x14ac:dyDescent="0.25">
      <c r="A462">
        <v>80147</v>
      </c>
      <c r="B462">
        <v>130673310</v>
      </c>
      <c r="C462" t="s">
        <v>2257</v>
      </c>
      <c r="D462">
        <v>248995745</v>
      </c>
      <c r="E462" t="s">
        <v>2052</v>
      </c>
      <c r="F462" t="s">
        <v>431</v>
      </c>
      <c r="G462" t="s">
        <v>149</v>
      </c>
      <c r="H462" t="s">
        <v>150</v>
      </c>
      <c r="I462" t="s">
        <v>88</v>
      </c>
      <c r="J462" t="s">
        <v>151</v>
      </c>
      <c r="K462" t="s">
        <v>2</v>
      </c>
      <c r="L462" t="s">
        <v>2258</v>
      </c>
      <c r="M462" t="s">
        <v>84</v>
      </c>
      <c r="N462" t="s">
        <v>433</v>
      </c>
      <c r="O462" t="s">
        <v>53</v>
      </c>
      <c r="P462" t="s">
        <v>2259</v>
      </c>
      <c r="Q462" s="14" t="s">
        <v>168</v>
      </c>
      <c r="R462" t="s">
        <v>222</v>
      </c>
      <c r="S462">
        <v>1</v>
      </c>
      <c r="T462">
        <v>6480</v>
      </c>
      <c r="U462">
        <v>0</v>
      </c>
      <c r="V462">
        <v>6480</v>
      </c>
    </row>
    <row r="463" spans="1:22" x14ac:dyDescent="0.25">
      <c r="A463">
        <v>80147</v>
      </c>
      <c r="B463">
        <v>130906634</v>
      </c>
      <c r="C463" t="s">
        <v>2260</v>
      </c>
      <c r="D463">
        <v>249583065</v>
      </c>
      <c r="E463" t="s">
        <v>2052</v>
      </c>
      <c r="F463" t="s">
        <v>431</v>
      </c>
      <c r="G463" t="s">
        <v>149</v>
      </c>
      <c r="H463" t="s">
        <v>150</v>
      </c>
      <c r="I463" t="s">
        <v>88</v>
      </c>
      <c r="J463" t="s">
        <v>151</v>
      </c>
      <c r="K463" t="s">
        <v>2</v>
      </c>
      <c r="L463" t="s">
        <v>2261</v>
      </c>
      <c r="M463" t="s">
        <v>2262</v>
      </c>
      <c r="N463" t="s">
        <v>433</v>
      </c>
      <c r="O463" t="s">
        <v>53</v>
      </c>
      <c r="P463" t="s">
        <v>2263</v>
      </c>
      <c r="Q463" s="14" t="s">
        <v>111</v>
      </c>
      <c r="R463" t="s">
        <v>405</v>
      </c>
      <c r="S463">
        <v>3.17</v>
      </c>
      <c r="T463">
        <v>7122</v>
      </c>
      <c r="U463">
        <v>0</v>
      </c>
      <c r="V463">
        <v>7122</v>
      </c>
    </row>
    <row r="464" spans="1:22" x14ac:dyDescent="0.25">
      <c r="A464">
        <v>80147</v>
      </c>
      <c r="B464">
        <v>130932369</v>
      </c>
      <c r="C464" t="s">
        <v>2264</v>
      </c>
      <c r="D464">
        <v>249583030</v>
      </c>
      <c r="E464" t="s">
        <v>2052</v>
      </c>
      <c r="F464" t="s">
        <v>431</v>
      </c>
      <c r="G464" t="s">
        <v>149</v>
      </c>
      <c r="H464" t="s">
        <v>150</v>
      </c>
      <c r="I464" t="s">
        <v>88</v>
      </c>
      <c r="J464" t="s">
        <v>151</v>
      </c>
      <c r="K464" t="s">
        <v>2</v>
      </c>
      <c r="L464" t="s">
        <v>2265</v>
      </c>
      <c r="M464" t="s">
        <v>2266</v>
      </c>
      <c r="N464" t="s">
        <v>433</v>
      </c>
      <c r="O464" t="s">
        <v>53</v>
      </c>
      <c r="P464" t="s">
        <v>2267</v>
      </c>
      <c r="Q464" s="14" t="s">
        <v>38</v>
      </c>
      <c r="R464" t="s">
        <v>395</v>
      </c>
      <c r="S464">
        <v>1</v>
      </c>
      <c r="T464">
        <v>4669</v>
      </c>
      <c r="U464">
        <v>0</v>
      </c>
      <c r="V464">
        <v>4669</v>
      </c>
    </row>
    <row r="465" spans="1:22" x14ac:dyDescent="0.25">
      <c r="A465">
        <v>80147</v>
      </c>
      <c r="B465">
        <v>130932384</v>
      </c>
      <c r="C465" t="s">
        <v>2268</v>
      </c>
      <c r="D465">
        <v>249582985</v>
      </c>
      <c r="E465" t="s">
        <v>2052</v>
      </c>
      <c r="F465" t="s">
        <v>431</v>
      </c>
      <c r="G465" t="s">
        <v>149</v>
      </c>
      <c r="H465" t="s">
        <v>150</v>
      </c>
      <c r="I465" t="s">
        <v>88</v>
      </c>
      <c r="J465" t="s">
        <v>151</v>
      </c>
      <c r="K465" t="s">
        <v>2</v>
      </c>
      <c r="L465" t="s">
        <v>2269</v>
      </c>
      <c r="M465" t="s">
        <v>332</v>
      </c>
      <c r="N465" t="s">
        <v>433</v>
      </c>
      <c r="O465" t="s">
        <v>53</v>
      </c>
      <c r="P465" t="s">
        <v>2270</v>
      </c>
      <c r="Q465" s="14" t="s">
        <v>107</v>
      </c>
      <c r="R465" t="s">
        <v>395</v>
      </c>
      <c r="S465">
        <v>1</v>
      </c>
      <c r="T465">
        <v>6132</v>
      </c>
      <c r="U465">
        <v>0</v>
      </c>
      <c r="V465">
        <v>6132</v>
      </c>
    </row>
    <row r="466" spans="1:22" x14ac:dyDescent="0.25">
      <c r="A466">
        <v>80147</v>
      </c>
      <c r="B466">
        <v>130883084</v>
      </c>
      <c r="C466" t="s">
        <v>2271</v>
      </c>
      <c r="D466">
        <v>249583079</v>
      </c>
      <c r="E466" t="s">
        <v>2052</v>
      </c>
      <c r="F466" t="s">
        <v>431</v>
      </c>
      <c r="G466" t="s">
        <v>149</v>
      </c>
      <c r="H466" t="s">
        <v>150</v>
      </c>
      <c r="I466" t="s">
        <v>88</v>
      </c>
      <c r="J466" t="s">
        <v>151</v>
      </c>
      <c r="K466" t="s">
        <v>2</v>
      </c>
      <c r="L466" t="s">
        <v>2272</v>
      </c>
      <c r="M466" t="s">
        <v>2273</v>
      </c>
      <c r="N466" t="s">
        <v>433</v>
      </c>
      <c r="O466" t="s">
        <v>53</v>
      </c>
      <c r="P466" t="s">
        <v>2274</v>
      </c>
      <c r="Q466" s="14" t="s">
        <v>125</v>
      </c>
      <c r="R466" t="s">
        <v>351</v>
      </c>
      <c r="S466">
        <v>1</v>
      </c>
      <c r="T466">
        <v>4219</v>
      </c>
      <c r="U466">
        <v>0</v>
      </c>
      <c r="V466">
        <v>4219</v>
      </c>
    </row>
    <row r="467" spans="1:22" x14ac:dyDescent="0.25">
      <c r="A467">
        <v>80147</v>
      </c>
      <c r="B467">
        <v>130932382</v>
      </c>
      <c r="C467" t="s">
        <v>2275</v>
      </c>
      <c r="D467">
        <v>249583022</v>
      </c>
      <c r="E467" t="s">
        <v>2052</v>
      </c>
      <c r="F467" t="s">
        <v>431</v>
      </c>
      <c r="G467" t="s">
        <v>149</v>
      </c>
      <c r="H467" t="s">
        <v>150</v>
      </c>
      <c r="I467" t="s">
        <v>88</v>
      </c>
      <c r="J467" t="s">
        <v>151</v>
      </c>
      <c r="K467" t="s">
        <v>2</v>
      </c>
      <c r="L467" t="s">
        <v>2276</v>
      </c>
      <c r="M467" t="s">
        <v>2277</v>
      </c>
      <c r="N467" t="s">
        <v>433</v>
      </c>
      <c r="O467" t="s">
        <v>53</v>
      </c>
      <c r="P467" t="s">
        <v>2278</v>
      </c>
      <c r="Q467" s="14" t="s">
        <v>120</v>
      </c>
      <c r="R467" t="s">
        <v>395</v>
      </c>
      <c r="S467">
        <v>1</v>
      </c>
      <c r="T467">
        <v>5153</v>
      </c>
      <c r="U467">
        <v>0</v>
      </c>
      <c r="V467">
        <v>5153</v>
      </c>
    </row>
    <row r="468" spans="1:22" x14ac:dyDescent="0.25">
      <c r="A468">
        <v>80147</v>
      </c>
      <c r="B468">
        <v>130906638</v>
      </c>
      <c r="C468" t="s">
        <v>2279</v>
      </c>
      <c r="D468">
        <v>249583033</v>
      </c>
      <c r="E468" t="s">
        <v>2052</v>
      </c>
      <c r="F468" t="s">
        <v>431</v>
      </c>
      <c r="G468" t="s">
        <v>149</v>
      </c>
      <c r="H468" t="s">
        <v>150</v>
      </c>
      <c r="I468" t="s">
        <v>88</v>
      </c>
      <c r="J468" t="s">
        <v>151</v>
      </c>
      <c r="K468" t="s">
        <v>2</v>
      </c>
      <c r="L468" t="s">
        <v>2280</v>
      </c>
      <c r="M468" t="s">
        <v>2281</v>
      </c>
      <c r="N468" t="s">
        <v>433</v>
      </c>
      <c r="O468" t="s">
        <v>53</v>
      </c>
      <c r="P468" t="s">
        <v>2282</v>
      </c>
      <c r="Q468" s="14" t="s">
        <v>240</v>
      </c>
      <c r="R468" t="s">
        <v>405</v>
      </c>
      <c r="S468">
        <v>1</v>
      </c>
      <c r="T468">
        <v>5232</v>
      </c>
      <c r="U468">
        <v>0</v>
      </c>
      <c r="V468">
        <v>5232</v>
      </c>
    </row>
    <row r="469" spans="1:22" x14ac:dyDescent="0.25">
      <c r="A469">
        <v>80147</v>
      </c>
      <c r="B469">
        <v>130932388</v>
      </c>
      <c r="C469" t="s">
        <v>2283</v>
      </c>
      <c r="D469">
        <v>249582954</v>
      </c>
      <c r="E469" t="s">
        <v>2052</v>
      </c>
      <c r="F469" t="s">
        <v>431</v>
      </c>
      <c r="G469" t="s">
        <v>149</v>
      </c>
      <c r="H469" t="s">
        <v>150</v>
      </c>
      <c r="I469" t="s">
        <v>88</v>
      </c>
      <c r="J469" t="s">
        <v>151</v>
      </c>
      <c r="K469" t="s">
        <v>2</v>
      </c>
      <c r="L469" t="s">
        <v>2284</v>
      </c>
      <c r="M469" t="s">
        <v>2285</v>
      </c>
      <c r="N469" t="s">
        <v>433</v>
      </c>
      <c r="O469" t="s">
        <v>53</v>
      </c>
      <c r="P469" t="s">
        <v>2286</v>
      </c>
      <c r="Q469" s="14" t="s">
        <v>40</v>
      </c>
      <c r="R469" t="s">
        <v>395</v>
      </c>
      <c r="S469">
        <v>1</v>
      </c>
      <c r="T469">
        <v>4534</v>
      </c>
      <c r="U469">
        <v>0</v>
      </c>
      <c r="V469">
        <v>4534</v>
      </c>
    </row>
    <row r="470" spans="1:22" x14ac:dyDescent="0.25">
      <c r="A470">
        <v>80147</v>
      </c>
      <c r="B470">
        <v>130868168</v>
      </c>
      <c r="C470" t="s">
        <v>2287</v>
      </c>
      <c r="D470">
        <v>249427450</v>
      </c>
      <c r="E470" t="s">
        <v>2052</v>
      </c>
      <c r="F470" t="s">
        <v>431</v>
      </c>
      <c r="G470" t="s">
        <v>149</v>
      </c>
      <c r="H470" t="s">
        <v>150</v>
      </c>
      <c r="I470" t="s">
        <v>88</v>
      </c>
      <c r="J470" t="s">
        <v>151</v>
      </c>
      <c r="K470" t="s">
        <v>2</v>
      </c>
      <c r="L470" t="s">
        <v>2288</v>
      </c>
      <c r="M470" t="s">
        <v>2289</v>
      </c>
      <c r="N470" t="s">
        <v>433</v>
      </c>
      <c r="O470" t="s">
        <v>53</v>
      </c>
      <c r="P470" t="s">
        <v>2290</v>
      </c>
      <c r="Q470" s="14" t="s">
        <v>170</v>
      </c>
      <c r="R470" t="s">
        <v>2291</v>
      </c>
      <c r="S470">
        <v>1</v>
      </c>
      <c r="T470">
        <v>5749</v>
      </c>
      <c r="U470">
        <v>0</v>
      </c>
      <c r="V470">
        <v>5749</v>
      </c>
    </row>
    <row r="471" spans="1:22" x14ac:dyDescent="0.25">
      <c r="A471">
        <v>80147</v>
      </c>
      <c r="B471">
        <v>130644150</v>
      </c>
      <c r="C471" t="s">
        <v>2292</v>
      </c>
      <c r="D471">
        <v>248922396</v>
      </c>
      <c r="E471" t="s">
        <v>2052</v>
      </c>
      <c r="F471" t="s">
        <v>431</v>
      </c>
      <c r="G471" t="s">
        <v>149</v>
      </c>
      <c r="H471" t="s">
        <v>150</v>
      </c>
      <c r="I471" t="s">
        <v>88</v>
      </c>
      <c r="J471" t="s">
        <v>151</v>
      </c>
      <c r="K471" t="s">
        <v>2</v>
      </c>
      <c r="L471" t="s">
        <v>2293</v>
      </c>
      <c r="M471" t="s">
        <v>2294</v>
      </c>
      <c r="N471" t="s">
        <v>433</v>
      </c>
      <c r="O471" t="s">
        <v>53</v>
      </c>
      <c r="P471" t="s">
        <v>2295</v>
      </c>
      <c r="Q471" s="14" t="s">
        <v>110</v>
      </c>
      <c r="R471" t="s">
        <v>2296</v>
      </c>
      <c r="S471">
        <v>1</v>
      </c>
      <c r="T471">
        <v>6267</v>
      </c>
      <c r="U471">
        <v>0</v>
      </c>
      <c r="V471">
        <v>6267</v>
      </c>
    </row>
    <row r="472" spans="1:22" x14ac:dyDescent="0.25">
      <c r="A472">
        <v>80147</v>
      </c>
      <c r="B472">
        <v>130829735</v>
      </c>
      <c r="C472" t="s">
        <v>2297</v>
      </c>
      <c r="D472">
        <v>249342835</v>
      </c>
      <c r="E472" t="s">
        <v>2052</v>
      </c>
      <c r="F472" t="s">
        <v>431</v>
      </c>
      <c r="G472" t="s">
        <v>149</v>
      </c>
      <c r="H472" t="s">
        <v>150</v>
      </c>
      <c r="I472" t="s">
        <v>88</v>
      </c>
      <c r="J472" t="s">
        <v>151</v>
      </c>
      <c r="K472" t="s">
        <v>2</v>
      </c>
      <c r="L472" t="s">
        <v>2298</v>
      </c>
      <c r="M472" t="s">
        <v>2299</v>
      </c>
      <c r="N472" t="s">
        <v>433</v>
      </c>
      <c r="O472" t="s">
        <v>53</v>
      </c>
      <c r="P472" t="s">
        <v>2300</v>
      </c>
      <c r="Q472" s="14" t="s">
        <v>221</v>
      </c>
      <c r="R472" t="s">
        <v>2301</v>
      </c>
      <c r="S472">
        <v>1</v>
      </c>
      <c r="T472">
        <v>6132</v>
      </c>
      <c r="U472">
        <v>0</v>
      </c>
      <c r="V472">
        <v>6132</v>
      </c>
    </row>
    <row r="473" spans="1:22" x14ac:dyDescent="0.25">
      <c r="A473">
        <v>80147</v>
      </c>
      <c r="B473">
        <v>130829755</v>
      </c>
      <c r="C473" t="s">
        <v>2302</v>
      </c>
      <c r="D473">
        <v>249342758</v>
      </c>
      <c r="E473" t="s">
        <v>2052</v>
      </c>
      <c r="F473" t="s">
        <v>431</v>
      </c>
      <c r="G473" t="s">
        <v>149</v>
      </c>
      <c r="H473" t="s">
        <v>150</v>
      </c>
      <c r="I473" t="s">
        <v>88</v>
      </c>
      <c r="J473" t="s">
        <v>151</v>
      </c>
      <c r="K473" t="s">
        <v>2</v>
      </c>
      <c r="L473" t="s">
        <v>2303</v>
      </c>
      <c r="M473" t="s">
        <v>2304</v>
      </c>
      <c r="N473" t="s">
        <v>433</v>
      </c>
      <c r="O473" t="s">
        <v>53</v>
      </c>
      <c r="P473" t="s">
        <v>2305</v>
      </c>
      <c r="Q473" s="14" t="s">
        <v>167</v>
      </c>
      <c r="R473" t="s">
        <v>2301</v>
      </c>
      <c r="S473">
        <v>1</v>
      </c>
      <c r="T473">
        <v>7212</v>
      </c>
      <c r="U473">
        <v>0</v>
      </c>
      <c r="V473">
        <v>7212</v>
      </c>
    </row>
    <row r="474" spans="1:22" x14ac:dyDescent="0.25">
      <c r="A474">
        <v>80147</v>
      </c>
      <c r="B474">
        <v>130846228</v>
      </c>
      <c r="C474" t="s">
        <v>2306</v>
      </c>
      <c r="D474">
        <v>249427486</v>
      </c>
      <c r="E474" t="s">
        <v>2052</v>
      </c>
      <c r="F474" t="s">
        <v>431</v>
      </c>
      <c r="G474" t="s">
        <v>149</v>
      </c>
      <c r="H474" t="s">
        <v>150</v>
      </c>
      <c r="I474" t="s">
        <v>88</v>
      </c>
      <c r="J474" t="s">
        <v>151</v>
      </c>
      <c r="K474" t="s">
        <v>2</v>
      </c>
      <c r="L474" t="s">
        <v>2307</v>
      </c>
      <c r="M474" t="s">
        <v>2308</v>
      </c>
      <c r="N474" t="s">
        <v>433</v>
      </c>
      <c r="O474" t="s">
        <v>53</v>
      </c>
      <c r="P474" t="s">
        <v>2309</v>
      </c>
      <c r="Q474" s="14" t="s">
        <v>192</v>
      </c>
      <c r="R474" t="s">
        <v>422</v>
      </c>
      <c r="S474">
        <v>1</v>
      </c>
      <c r="T474">
        <v>4853</v>
      </c>
      <c r="U474">
        <v>0</v>
      </c>
      <c r="V474">
        <v>4853</v>
      </c>
    </row>
    <row r="475" spans="1:22" x14ac:dyDescent="0.25">
      <c r="A475">
        <v>80147</v>
      </c>
      <c r="B475">
        <v>130829742</v>
      </c>
      <c r="C475" t="s">
        <v>2310</v>
      </c>
      <c r="D475">
        <v>249342777</v>
      </c>
      <c r="E475" t="s">
        <v>2052</v>
      </c>
      <c r="F475" t="s">
        <v>431</v>
      </c>
      <c r="G475" t="s">
        <v>149</v>
      </c>
      <c r="H475" t="s">
        <v>150</v>
      </c>
      <c r="I475" t="s">
        <v>88</v>
      </c>
      <c r="J475" t="s">
        <v>151</v>
      </c>
      <c r="K475" t="s">
        <v>2</v>
      </c>
      <c r="L475" t="s">
        <v>2311</v>
      </c>
      <c r="M475" t="s">
        <v>2312</v>
      </c>
      <c r="N475" t="s">
        <v>433</v>
      </c>
      <c r="O475" t="s">
        <v>53</v>
      </c>
      <c r="P475" t="s">
        <v>2313</v>
      </c>
      <c r="Q475" s="14" t="s">
        <v>124</v>
      </c>
      <c r="R475" t="s">
        <v>2301</v>
      </c>
      <c r="S475">
        <v>1</v>
      </c>
      <c r="T475">
        <v>4219</v>
      </c>
      <c r="U475">
        <v>0</v>
      </c>
      <c r="V475">
        <v>4219</v>
      </c>
    </row>
    <row r="476" spans="1:22" x14ac:dyDescent="0.25">
      <c r="A476">
        <v>80147</v>
      </c>
      <c r="B476">
        <v>130829748</v>
      </c>
      <c r="C476" t="s">
        <v>2314</v>
      </c>
      <c r="D476">
        <v>249342784</v>
      </c>
      <c r="E476" t="s">
        <v>2052</v>
      </c>
      <c r="F476" t="s">
        <v>431</v>
      </c>
      <c r="G476" t="s">
        <v>149</v>
      </c>
      <c r="H476" t="s">
        <v>150</v>
      </c>
      <c r="I476" t="s">
        <v>88</v>
      </c>
      <c r="J476" t="s">
        <v>151</v>
      </c>
      <c r="K476" t="s">
        <v>2</v>
      </c>
      <c r="L476" t="s">
        <v>2315</v>
      </c>
      <c r="M476" t="s">
        <v>2316</v>
      </c>
      <c r="N476" t="s">
        <v>433</v>
      </c>
      <c r="O476" t="s">
        <v>53</v>
      </c>
      <c r="P476" t="s">
        <v>2317</v>
      </c>
      <c r="Q476" s="14" t="s">
        <v>125</v>
      </c>
      <c r="R476" t="s">
        <v>2301</v>
      </c>
      <c r="S476">
        <v>1</v>
      </c>
      <c r="T476">
        <v>4219</v>
      </c>
      <c r="U476">
        <v>0</v>
      </c>
      <c r="V476">
        <v>4219</v>
      </c>
    </row>
    <row r="477" spans="1:22" x14ac:dyDescent="0.25">
      <c r="A477">
        <v>80147</v>
      </c>
      <c r="B477">
        <v>130829747</v>
      </c>
      <c r="C477" t="s">
        <v>2318</v>
      </c>
      <c r="D477">
        <v>249342788</v>
      </c>
      <c r="E477" t="s">
        <v>2052</v>
      </c>
      <c r="F477" t="s">
        <v>431</v>
      </c>
      <c r="G477" t="s">
        <v>149</v>
      </c>
      <c r="H477" t="s">
        <v>150</v>
      </c>
      <c r="I477" t="s">
        <v>88</v>
      </c>
      <c r="J477" t="s">
        <v>151</v>
      </c>
      <c r="K477" t="s">
        <v>2</v>
      </c>
      <c r="L477" t="s">
        <v>2319</v>
      </c>
      <c r="M477" t="s">
        <v>2320</v>
      </c>
      <c r="N477" t="s">
        <v>433</v>
      </c>
      <c r="O477" t="s">
        <v>53</v>
      </c>
      <c r="P477" t="s">
        <v>2321</v>
      </c>
      <c r="Q477" s="14" t="s">
        <v>167</v>
      </c>
      <c r="R477" t="s">
        <v>2301</v>
      </c>
      <c r="S477">
        <v>1</v>
      </c>
      <c r="T477">
        <v>7212</v>
      </c>
      <c r="U477">
        <v>0</v>
      </c>
      <c r="V477">
        <v>7212</v>
      </c>
    </row>
    <row r="478" spans="1:22" x14ac:dyDescent="0.25">
      <c r="A478">
        <v>80147</v>
      </c>
      <c r="B478">
        <v>130829741</v>
      </c>
      <c r="C478" t="s">
        <v>2322</v>
      </c>
      <c r="D478">
        <v>249342802</v>
      </c>
      <c r="E478" t="s">
        <v>2052</v>
      </c>
      <c r="F478" t="s">
        <v>431</v>
      </c>
      <c r="G478" t="s">
        <v>149</v>
      </c>
      <c r="H478" t="s">
        <v>150</v>
      </c>
      <c r="I478" t="s">
        <v>88</v>
      </c>
      <c r="J478" t="s">
        <v>151</v>
      </c>
      <c r="K478" t="s">
        <v>2</v>
      </c>
      <c r="L478" t="s">
        <v>2323</v>
      </c>
      <c r="M478" t="s">
        <v>2324</v>
      </c>
      <c r="N478" t="s">
        <v>433</v>
      </c>
      <c r="O478" t="s">
        <v>53</v>
      </c>
      <c r="P478" t="s">
        <v>2325</v>
      </c>
      <c r="Q478" s="14" t="s">
        <v>159</v>
      </c>
      <c r="R478" t="s">
        <v>2301</v>
      </c>
      <c r="S478">
        <v>1</v>
      </c>
      <c r="T478">
        <v>6132</v>
      </c>
      <c r="U478">
        <v>0</v>
      </c>
      <c r="V478">
        <v>6132</v>
      </c>
    </row>
    <row r="479" spans="1:22" x14ac:dyDescent="0.25">
      <c r="A479">
        <v>80147</v>
      </c>
      <c r="B479">
        <v>130829746</v>
      </c>
      <c r="C479" t="s">
        <v>2326</v>
      </c>
      <c r="D479">
        <v>249342771</v>
      </c>
      <c r="E479" t="s">
        <v>2052</v>
      </c>
      <c r="F479" t="s">
        <v>431</v>
      </c>
      <c r="G479" t="s">
        <v>149</v>
      </c>
      <c r="H479" t="s">
        <v>150</v>
      </c>
      <c r="I479" t="s">
        <v>88</v>
      </c>
      <c r="J479" t="s">
        <v>151</v>
      </c>
      <c r="K479" t="s">
        <v>2</v>
      </c>
      <c r="L479" t="s">
        <v>2327</v>
      </c>
      <c r="M479" t="s">
        <v>2328</v>
      </c>
      <c r="N479" t="s">
        <v>433</v>
      </c>
      <c r="O479" t="s">
        <v>53</v>
      </c>
      <c r="P479" t="s">
        <v>2329</v>
      </c>
      <c r="Q479" s="14" t="s">
        <v>38</v>
      </c>
      <c r="R479" t="s">
        <v>2301</v>
      </c>
      <c r="S479">
        <v>0.9</v>
      </c>
      <c r="T479">
        <v>4669</v>
      </c>
      <c r="U479">
        <v>0</v>
      </c>
      <c r="V479">
        <v>4669</v>
      </c>
    </row>
    <row r="480" spans="1:22" x14ac:dyDescent="0.25">
      <c r="A480">
        <v>80147</v>
      </c>
      <c r="B480">
        <v>130771227</v>
      </c>
      <c r="C480" t="s">
        <v>2330</v>
      </c>
      <c r="D480">
        <v>249226415</v>
      </c>
      <c r="E480" t="s">
        <v>2052</v>
      </c>
      <c r="F480" t="s">
        <v>431</v>
      </c>
      <c r="G480" t="s">
        <v>149</v>
      </c>
      <c r="H480" t="s">
        <v>150</v>
      </c>
      <c r="I480" t="s">
        <v>88</v>
      </c>
      <c r="J480" t="s">
        <v>151</v>
      </c>
      <c r="K480" t="s">
        <v>2</v>
      </c>
      <c r="L480" t="s">
        <v>2331</v>
      </c>
      <c r="M480" t="s">
        <v>2332</v>
      </c>
      <c r="N480" t="s">
        <v>433</v>
      </c>
      <c r="O480" t="s">
        <v>53</v>
      </c>
      <c r="P480" t="s">
        <v>2333</v>
      </c>
      <c r="Q480" s="14" t="s">
        <v>128</v>
      </c>
      <c r="R480" t="s">
        <v>2334</v>
      </c>
      <c r="S480">
        <v>1</v>
      </c>
      <c r="T480">
        <v>7864</v>
      </c>
      <c r="U480">
        <v>0</v>
      </c>
      <c r="V480">
        <v>7864</v>
      </c>
    </row>
    <row r="481" spans="1:22" x14ac:dyDescent="0.25">
      <c r="A481">
        <v>80147</v>
      </c>
      <c r="B481">
        <v>130696717</v>
      </c>
      <c r="C481" t="s">
        <v>2335</v>
      </c>
      <c r="D481">
        <v>249144901</v>
      </c>
      <c r="E481" t="s">
        <v>2052</v>
      </c>
      <c r="F481" t="s">
        <v>431</v>
      </c>
      <c r="G481" t="s">
        <v>149</v>
      </c>
      <c r="H481" t="s">
        <v>150</v>
      </c>
      <c r="I481" t="s">
        <v>88</v>
      </c>
      <c r="J481" t="s">
        <v>151</v>
      </c>
      <c r="K481" t="s">
        <v>2</v>
      </c>
      <c r="L481" t="s">
        <v>2336</v>
      </c>
      <c r="M481" t="s">
        <v>2337</v>
      </c>
      <c r="N481" t="s">
        <v>433</v>
      </c>
      <c r="O481" t="s">
        <v>53</v>
      </c>
      <c r="P481" t="s">
        <v>2338</v>
      </c>
      <c r="Q481" s="14" t="s">
        <v>97</v>
      </c>
      <c r="R481" t="s">
        <v>2339</v>
      </c>
      <c r="S481">
        <v>1</v>
      </c>
      <c r="T481">
        <v>8415</v>
      </c>
      <c r="U481">
        <v>0</v>
      </c>
      <c r="V481">
        <v>8415</v>
      </c>
    </row>
    <row r="482" spans="1:22" x14ac:dyDescent="0.25">
      <c r="A482">
        <v>80147</v>
      </c>
      <c r="B482">
        <v>130829737</v>
      </c>
      <c r="C482" t="s">
        <v>2340</v>
      </c>
      <c r="D482">
        <v>249342839</v>
      </c>
      <c r="E482" t="s">
        <v>2052</v>
      </c>
      <c r="F482" t="s">
        <v>431</v>
      </c>
      <c r="G482" t="s">
        <v>149</v>
      </c>
      <c r="H482" t="s">
        <v>150</v>
      </c>
      <c r="I482" t="s">
        <v>88</v>
      </c>
      <c r="J482" t="s">
        <v>151</v>
      </c>
      <c r="K482" t="s">
        <v>2</v>
      </c>
      <c r="L482" t="s">
        <v>2341</v>
      </c>
      <c r="M482" t="s">
        <v>2342</v>
      </c>
      <c r="N482" t="s">
        <v>433</v>
      </c>
      <c r="O482" t="s">
        <v>53</v>
      </c>
      <c r="P482" t="s">
        <v>2343</v>
      </c>
      <c r="Q482" s="14" t="s">
        <v>122</v>
      </c>
      <c r="R482" t="s">
        <v>2301</v>
      </c>
      <c r="S482">
        <v>1</v>
      </c>
      <c r="T482">
        <v>4973</v>
      </c>
      <c r="U482">
        <v>0</v>
      </c>
      <c r="V482">
        <v>4973</v>
      </c>
    </row>
    <row r="483" spans="1:22" x14ac:dyDescent="0.25">
      <c r="A483">
        <v>80147</v>
      </c>
      <c r="B483">
        <v>130829751</v>
      </c>
      <c r="C483" t="s">
        <v>2344</v>
      </c>
      <c r="D483">
        <v>249342779</v>
      </c>
      <c r="E483" t="s">
        <v>2052</v>
      </c>
      <c r="F483" t="s">
        <v>431</v>
      </c>
      <c r="G483" t="s">
        <v>149</v>
      </c>
      <c r="H483" t="s">
        <v>150</v>
      </c>
      <c r="I483" t="s">
        <v>88</v>
      </c>
      <c r="J483" t="s">
        <v>151</v>
      </c>
      <c r="K483" t="s">
        <v>2</v>
      </c>
      <c r="L483" t="s">
        <v>2345</v>
      </c>
      <c r="M483" t="s">
        <v>2346</v>
      </c>
      <c r="N483" t="s">
        <v>433</v>
      </c>
      <c r="O483" t="s">
        <v>53</v>
      </c>
      <c r="P483" t="s">
        <v>2347</v>
      </c>
      <c r="Q483" s="14" t="s">
        <v>142</v>
      </c>
      <c r="R483" t="s">
        <v>2301</v>
      </c>
      <c r="S483">
        <v>1</v>
      </c>
      <c r="T483">
        <v>4219</v>
      </c>
      <c r="U483">
        <v>0</v>
      </c>
      <c r="V483">
        <v>4219</v>
      </c>
    </row>
    <row r="484" spans="1:22" x14ac:dyDescent="0.25">
      <c r="A484">
        <v>80147</v>
      </c>
      <c r="B484">
        <v>130829753</v>
      </c>
      <c r="C484" t="s">
        <v>2348</v>
      </c>
      <c r="D484">
        <v>249342757</v>
      </c>
      <c r="E484" t="s">
        <v>2052</v>
      </c>
      <c r="F484" t="s">
        <v>431</v>
      </c>
      <c r="G484" t="s">
        <v>149</v>
      </c>
      <c r="H484" t="s">
        <v>150</v>
      </c>
      <c r="I484" t="s">
        <v>88</v>
      </c>
      <c r="J484" t="s">
        <v>151</v>
      </c>
      <c r="K484" t="s">
        <v>2</v>
      </c>
      <c r="L484" t="s">
        <v>2349</v>
      </c>
      <c r="M484" t="s">
        <v>2350</v>
      </c>
      <c r="N484" t="s">
        <v>433</v>
      </c>
      <c r="O484" t="s">
        <v>53</v>
      </c>
      <c r="P484" t="s">
        <v>2351</v>
      </c>
      <c r="Q484" s="14" t="s">
        <v>124</v>
      </c>
      <c r="R484" t="s">
        <v>2301</v>
      </c>
      <c r="S484">
        <v>0.9</v>
      </c>
      <c r="T484">
        <v>4219</v>
      </c>
      <c r="U484">
        <v>0</v>
      </c>
      <c r="V484">
        <v>4219</v>
      </c>
    </row>
    <row r="485" spans="1:22" x14ac:dyDescent="0.25">
      <c r="A485">
        <v>80147</v>
      </c>
      <c r="B485">
        <v>130771212</v>
      </c>
      <c r="C485" t="s">
        <v>2352</v>
      </c>
      <c r="D485">
        <v>249226469</v>
      </c>
      <c r="E485" t="s">
        <v>2052</v>
      </c>
      <c r="F485" t="s">
        <v>431</v>
      </c>
      <c r="G485" t="s">
        <v>149</v>
      </c>
      <c r="H485" t="s">
        <v>150</v>
      </c>
      <c r="I485" t="s">
        <v>88</v>
      </c>
      <c r="J485" t="s">
        <v>151</v>
      </c>
      <c r="K485" t="s">
        <v>2</v>
      </c>
      <c r="L485" t="s">
        <v>2353</v>
      </c>
      <c r="M485" t="s">
        <v>2354</v>
      </c>
      <c r="N485" t="s">
        <v>433</v>
      </c>
      <c r="O485" t="s">
        <v>53</v>
      </c>
      <c r="P485" t="s">
        <v>2355</v>
      </c>
      <c r="Q485" s="14" t="s">
        <v>159</v>
      </c>
      <c r="R485" t="s">
        <v>2334</v>
      </c>
      <c r="S485">
        <v>1</v>
      </c>
      <c r="T485">
        <v>6132</v>
      </c>
      <c r="U485">
        <v>0</v>
      </c>
      <c r="V485">
        <v>6132</v>
      </c>
    </row>
    <row r="486" spans="1:22" x14ac:dyDescent="0.25">
      <c r="A486">
        <v>80147</v>
      </c>
      <c r="B486">
        <v>130829740</v>
      </c>
      <c r="C486" t="s">
        <v>2356</v>
      </c>
      <c r="D486">
        <v>249342806</v>
      </c>
      <c r="E486" t="s">
        <v>2052</v>
      </c>
      <c r="F486" t="s">
        <v>431</v>
      </c>
      <c r="G486" t="s">
        <v>149</v>
      </c>
      <c r="H486" t="s">
        <v>150</v>
      </c>
      <c r="I486" t="s">
        <v>88</v>
      </c>
      <c r="J486" t="s">
        <v>151</v>
      </c>
      <c r="K486" t="s">
        <v>2</v>
      </c>
      <c r="L486" t="s">
        <v>2357</v>
      </c>
      <c r="M486" t="s">
        <v>2358</v>
      </c>
      <c r="N486" t="s">
        <v>433</v>
      </c>
      <c r="O486" t="s">
        <v>53</v>
      </c>
      <c r="P486" t="s">
        <v>2359</v>
      </c>
      <c r="Q486" s="14" t="s">
        <v>120</v>
      </c>
      <c r="R486" t="s">
        <v>2301</v>
      </c>
      <c r="S486">
        <v>1</v>
      </c>
      <c r="T486">
        <v>5153</v>
      </c>
      <c r="U486">
        <v>0</v>
      </c>
      <c r="V486">
        <v>5153</v>
      </c>
    </row>
    <row r="487" spans="1:22" x14ac:dyDescent="0.25">
      <c r="A487">
        <v>80147</v>
      </c>
      <c r="B487">
        <v>130771226</v>
      </c>
      <c r="C487" t="s">
        <v>2360</v>
      </c>
      <c r="D487">
        <v>249226443</v>
      </c>
      <c r="E487" t="s">
        <v>2052</v>
      </c>
      <c r="F487" t="s">
        <v>431</v>
      </c>
      <c r="G487" t="s">
        <v>149</v>
      </c>
      <c r="H487" t="s">
        <v>150</v>
      </c>
      <c r="I487" t="s">
        <v>88</v>
      </c>
      <c r="J487" t="s">
        <v>151</v>
      </c>
      <c r="K487" t="s">
        <v>2</v>
      </c>
      <c r="L487" t="s">
        <v>2361</v>
      </c>
      <c r="M487" t="s">
        <v>2362</v>
      </c>
      <c r="N487" t="s">
        <v>433</v>
      </c>
      <c r="O487" t="s">
        <v>53</v>
      </c>
      <c r="P487" t="s">
        <v>2363</v>
      </c>
      <c r="Q487" s="14" t="s">
        <v>129</v>
      </c>
      <c r="R487" t="s">
        <v>2334</v>
      </c>
      <c r="S487">
        <v>1</v>
      </c>
      <c r="T487">
        <v>7212</v>
      </c>
      <c r="U487">
        <v>0</v>
      </c>
      <c r="V487">
        <v>7212</v>
      </c>
    </row>
    <row r="488" spans="1:22" x14ac:dyDescent="0.25">
      <c r="A488">
        <v>80147</v>
      </c>
      <c r="B488">
        <v>130829738</v>
      </c>
      <c r="C488" t="s">
        <v>2364</v>
      </c>
      <c r="D488">
        <v>249342825</v>
      </c>
      <c r="E488" t="s">
        <v>2052</v>
      </c>
      <c r="F488" t="s">
        <v>431</v>
      </c>
      <c r="G488" t="s">
        <v>149</v>
      </c>
      <c r="H488" t="s">
        <v>150</v>
      </c>
      <c r="I488" t="s">
        <v>88</v>
      </c>
      <c r="J488" t="s">
        <v>151</v>
      </c>
      <c r="K488" t="s">
        <v>2</v>
      </c>
      <c r="L488" t="s">
        <v>2365</v>
      </c>
      <c r="M488" t="s">
        <v>2366</v>
      </c>
      <c r="N488" t="s">
        <v>433</v>
      </c>
      <c r="O488" t="s">
        <v>53</v>
      </c>
      <c r="P488" t="s">
        <v>2367</v>
      </c>
      <c r="Q488" s="14" t="s">
        <v>93</v>
      </c>
      <c r="R488" t="s">
        <v>2301</v>
      </c>
      <c r="S488">
        <v>1</v>
      </c>
      <c r="T488">
        <v>4737</v>
      </c>
      <c r="U488">
        <v>0</v>
      </c>
      <c r="V488">
        <v>4737</v>
      </c>
    </row>
    <row r="489" spans="1:22" x14ac:dyDescent="0.25">
      <c r="A489">
        <v>80147</v>
      </c>
      <c r="B489">
        <v>130771234</v>
      </c>
      <c r="C489" t="s">
        <v>2368</v>
      </c>
      <c r="D489">
        <v>249226401</v>
      </c>
      <c r="E489" t="s">
        <v>2052</v>
      </c>
      <c r="F489" t="s">
        <v>431</v>
      </c>
      <c r="G489" t="s">
        <v>149</v>
      </c>
      <c r="H489" t="s">
        <v>150</v>
      </c>
      <c r="I489" t="s">
        <v>88</v>
      </c>
      <c r="J489" t="s">
        <v>151</v>
      </c>
      <c r="K489" t="s">
        <v>2</v>
      </c>
      <c r="L489" t="s">
        <v>2369</v>
      </c>
      <c r="M489" t="s">
        <v>2370</v>
      </c>
      <c r="N489" t="s">
        <v>433</v>
      </c>
      <c r="O489" t="s">
        <v>53</v>
      </c>
      <c r="P489" t="s">
        <v>2371</v>
      </c>
      <c r="Q489" s="14" t="s">
        <v>120</v>
      </c>
      <c r="R489" t="s">
        <v>2334</v>
      </c>
      <c r="S489">
        <v>1</v>
      </c>
      <c r="T489">
        <v>5153</v>
      </c>
      <c r="U489">
        <v>0</v>
      </c>
      <c r="V489">
        <v>5153</v>
      </c>
    </row>
    <row r="490" spans="1:22" x14ac:dyDescent="0.25">
      <c r="A490">
        <v>80147</v>
      </c>
      <c r="B490">
        <v>130727700</v>
      </c>
      <c r="C490" t="s">
        <v>2372</v>
      </c>
      <c r="D490">
        <v>249144811</v>
      </c>
      <c r="E490" t="s">
        <v>2052</v>
      </c>
      <c r="F490" t="s">
        <v>431</v>
      </c>
      <c r="G490" t="s">
        <v>149</v>
      </c>
      <c r="H490" t="s">
        <v>150</v>
      </c>
      <c r="I490" t="s">
        <v>88</v>
      </c>
      <c r="J490" t="s">
        <v>151</v>
      </c>
      <c r="K490" t="s">
        <v>2</v>
      </c>
      <c r="L490" t="s">
        <v>2373</v>
      </c>
      <c r="M490" t="s">
        <v>2374</v>
      </c>
      <c r="N490" t="s">
        <v>433</v>
      </c>
      <c r="O490" t="s">
        <v>53</v>
      </c>
      <c r="P490" t="s">
        <v>2375</v>
      </c>
      <c r="Q490" s="14" t="s">
        <v>128</v>
      </c>
      <c r="R490" t="s">
        <v>378</v>
      </c>
      <c r="S490">
        <v>1</v>
      </c>
      <c r="T490">
        <v>7864</v>
      </c>
      <c r="U490">
        <v>0</v>
      </c>
      <c r="V490">
        <v>7864</v>
      </c>
    </row>
    <row r="491" spans="1:22" x14ac:dyDescent="0.25">
      <c r="A491">
        <v>80147</v>
      </c>
      <c r="B491">
        <v>130771228</v>
      </c>
      <c r="C491" t="s">
        <v>2376</v>
      </c>
      <c r="D491">
        <v>249226434</v>
      </c>
      <c r="E491" t="s">
        <v>2052</v>
      </c>
      <c r="F491" t="s">
        <v>431</v>
      </c>
      <c r="G491" t="s">
        <v>149</v>
      </c>
      <c r="H491" t="s">
        <v>150</v>
      </c>
      <c r="I491" t="s">
        <v>88</v>
      </c>
      <c r="J491" t="s">
        <v>151</v>
      </c>
      <c r="K491" t="s">
        <v>2</v>
      </c>
      <c r="L491" t="s">
        <v>2377</v>
      </c>
      <c r="M491" t="s">
        <v>2378</v>
      </c>
      <c r="N491" t="s">
        <v>433</v>
      </c>
      <c r="O491" t="s">
        <v>53</v>
      </c>
      <c r="P491" t="s">
        <v>2379</v>
      </c>
      <c r="Q491" s="14" t="s">
        <v>119</v>
      </c>
      <c r="R491" t="s">
        <v>2334</v>
      </c>
      <c r="S491">
        <v>1</v>
      </c>
      <c r="T491">
        <v>5749</v>
      </c>
      <c r="U491">
        <v>0</v>
      </c>
      <c r="V491">
        <v>5749</v>
      </c>
    </row>
    <row r="492" spans="1:22" x14ac:dyDescent="0.25">
      <c r="A492">
        <v>80147</v>
      </c>
      <c r="B492">
        <v>130771233</v>
      </c>
      <c r="C492" t="s">
        <v>2380</v>
      </c>
      <c r="D492">
        <v>249226404</v>
      </c>
      <c r="E492" t="s">
        <v>2052</v>
      </c>
      <c r="F492" t="s">
        <v>431</v>
      </c>
      <c r="G492" t="s">
        <v>149</v>
      </c>
      <c r="H492" t="s">
        <v>150</v>
      </c>
      <c r="I492" t="s">
        <v>88</v>
      </c>
      <c r="J492" t="s">
        <v>151</v>
      </c>
      <c r="K492" t="s">
        <v>2</v>
      </c>
      <c r="L492" t="s">
        <v>2381</v>
      </c>
      <c r="M492" t="s">
        <v>2382</v>
      </c>
      <c r="N492" t="s">
        <v>433</v>
      </c>
      <c r="O492" t="s">
        <v>53</v>
      </c>
      <c r="P492" t="s">
        <v>2383</v>
      </c>
      <c r="Q492" s="14" t="s">
        <v>109</v>
      </c>
      <c r="R492" t="s">
        <v>2334</v>
      </c>
      <c r="S492">
        <v>1</v>
      </c>
      <c r="T492">
        <v>4669</v>
      </c>
      <c r="U492">
        <v>0</v>
      </c>
      <c r="V492">
        <v>4669</v>
      </c>
    </row>
    <row r="493" spans="1:22" x14ac:dyDescent="0.25">
      <c r="A493">
        <v>80147</v>
      </c>
      <c r="B493">
        <v>130780364</v>
      </c>
      <c r="C493" t="s">
        <v>2384</v>
      </c>
      <c r="D493">
        <v>249226399</v>
      </c>
      <c r="E493" t="s">
        <v>2052</v>
      </c>
      <c r="F493" t="s">
        <v>431</v>
      </c>
      <c r="G493" t="s">
        <v>149</v>
      </c>
      <c r="H493" t="s">
        <v>150</v>
      </c>
      <c r="I493" t="s">
        <v>88</v>
      </c>
      <c r="J493" t="s">
        <v>151</v>
      </c>
      <c r="K493" t="s">
        <v>2</v>
      </c>
      <c r="L493" t="s">
        <v>2385</v>
      </c>
      <c r="M493" t="s">
        <v>2386</v>
      </c>
      <c r="N493" t="s">
        <v>433</v>
      </c>
      <c r="O493" t="s">
        <v>53</v>
      </c>
      <c r="P493" t="s">
        <v>2387</v>
      </c>
      <c r="Q493" s="14" t="s">
        <v>109</v>
      </c>
      <c r="R493" t="s">
        <v>387</v>
      </c>
      <c r="S493">
        <v>1</v>
      </c>
      <c r="T493">
        <v>4669</v>
      </c>
      <c r="U493">
        <v>0</v>
      </c>
      <c r="V493">
        <v>4669</v>
      </c>
    </row>
    <row r="494" spans="1:22" x14ac:dyDescent="0.25">
      <c r="A494">
        <v>80147</v>
      </c>
      <c r="B494">
        <v>130771220</v>
      </c>
      <c r="C494" t="s">
        <v>2388</v>
      </c>
      <c r="D494">
        <v>249226453</v>
      </c>
      <c r="E494" t="s">
        <v>2052</v>
      </c>
      <c r="F494" t="s">
        <v>431</v>
      </c>
      <c r="G494" t="s">
        <v>149</v>
      </c>
      <c r="H494" t="s">
        <v>150</v>
      </c>
      <c r="I494" t="s">
        <v>88</v>
      </c>
      <c r="J494" t="s">
        <v>151</v>
      </c>
      <c r="K494" t="s">
        <v>2</v>
      </c>
      <c r="L494" t="s">
        <v>2389</v>
      </c>
      <c r="M494" t="s">
        <v>2390</v>
      </c>
      <c r="N494" t="s">
        <v>433</v>
      </c>
      <c r="O494" t="s">
        <v>53</v>
      </c>
      <c r="P494" t="s">
        <v>2391</v>
      </c>
      <c r="Q494" s="14" t="s">
        <v>135</v>
      </c>
      <c r="R494" t="s">
        <v>2334</v>
      </c>
      <c r="S494">
        <v>1</v>
      </c>
      <c r="T494">
        <v>4219</v>
      </c>
      <c r="U494">
        <v>0</v>
      </c>
      <c r="V494">
        <v>4219</v>
      </c>
    </row>
    <row r="495" spans="1:22" x14ac:dyDescent="0.25">
      <c r="A495">
        <v>80147</v>
      </c>
      <c r="B495">
        <v>130771231</v>
      </c>
      <c r="C495" t="s">
        <v>2392</v>
      </c>
      <c r="D495">
        <v>249226408</v>
      </c>
      <c r="E495" t="s">
        <v>2052</v>
      </c>
      <c r="F495" t="s">
        <v>431</v>
      </c>
      <c r="G495" t="s">
        <v>149</v>
      </c>
      <c r="H495" t="s">
        <v>150</v>
      </c>
      <c r="I495" t="s">
        <v>88</v>
      </c>
      <c r="J495" t="s">
        <v>151</v>
      </c>
      <c r="K495" t="s">
        <v>2</v>
      </c>
      <c r="L495" t="s">
        <v>2393</v>
      </c>
      <c r="M495" t="s">
        <v>2394</v>
      </c>
      <c r="N495" t="s">
        <v>433</v>
      </c>
      <c r="O495" t="s">
        <v>53</v>
      </c>
      <c r="P495" t="s">
        <v>2395</v>
      </c>
      <c r="Q495" s="14" t="s">
        <v>124</v>
      </c>
      <c r="R495" t="s">
        <v>2334</v>
      </c>
      <c r="S495">
        <v>1</v>
      </c>
      <c r="T495">
        <v>4219</v>
      </c>
      <c r="U495">
        <v>0</v>
      </c>
      <c r="V495">
        <v>4219</v>
      </c>
    </row>
    <row r="496" spans="1:22" x14ac:dyDescent="0.25">
      <c r="A496">
        <v>80147</v>
      </c>
      <c r="B496">
        <v>130771209</v>
      </c>
      <c r="C496" t="s">
        <v>2396</v>
      </c>
      <c r="D496">
        <v>249226475</v>
      </c>
      <c r="E496" t="s">
        <v>2052</v>
      </c>
      <c r="F496" t="s">
        <v>431</v>
      </c>
      <c r="G496" t="s">
        <v>149</v>
      </c>
      <c r="H496" t="s">
        <v>150</v>
      </c>
      <c r="I496" t="s">
        <v>88</v>
      </c>
      <c r="J496" t="s">
        <v>151</v>
      </c>
      <c r="K496" t="s">
        <v>2</v>
      </c>
      <c r="L496" t="s">
        <v>2397</v>
      </c>
      <c r="M496" t="s">
        <v>2398</v>
      </c>
      <c r="N496" t="s">
        <v>433</v>
      </c>
      <c r="O496" t="s">
        <v>53</v>
      </c>
      <c r="P496" t="s">
        <v>2399</v>
      </c>
      <c r="Q496" s="14" t="s">
        <v>93</v>
      </c>
      <c r="R496" t="s">
        <v>2334</v>
      </c>
      <c r="S496">
        <v>1</v>
      </c>
      <c r="T496">
        <v>4737</v>
      </c>
      <c r="U496">
        <v>0</v>
      </c>
      <c r="V496">
        <v>4737</v>
      </c>
    </row>
    <row r="497" spans="1:22" x14ac:dyDescent="0.25">
      <c r="A497">
        <v>80147</v>
      </c>
      <c r="B497">
        <v>130771223</v>
      </c>
      <c r="C497" t="s">
        <v>2400</v>
      </c>
      <c r="D497">
        <v>249226458</v>
      </c>
      <c r="E497" t="s">
        <v>2052</v>
      </c>
      <c r="F497" t="s">
        <v>431</v>
      </c>
      <c r="G497" t="s">
        <v>149</v>
      </c>
      <c r="H497" t="s">
        <v>150</v>
      </c>
      <c r="I497" t="s">
        <v>88</v>
      </c>
      <c r="J497" t="s">
        <v>151</v>
      </c>
      <c r="K497" t="s">
        <v>2</v>
      </c>
      <c r="L497" t="s">
        <v>2401</v>
      </c>
      <c r="M497" t="s">
        <v>2394</v>
      </c>
      <c r="N497" t="s">
        <v>433</v>
      </c>
      <c r="O497" t="s">
        <v>53</v>
      </c>
      <c r="P497" t="s">
        <v>2395</v>
      </c>
      <c r="Q497" s="14" t="s">
        <v>124</v>
      </c>
      <c r="R497" t="s">
        <v>2334</v>
      </c>
      <c r="S497">
        <v>0.9</v>
      </c>
      <c r="T497">
        <v>4219</v>
      </c>
      <c r="U497">
        <v>0</v>
      </c>
      <c r="V497">
        <v>4219</v>
      </c>
    </row>
    <row r="498" spans="1:22" x14ac:dyDescent="0.25">
      <c r="A498">
        <v>80147</v>
      </c>
      <c r="B498">
        <v>130700766</v>
      </c>
      <c r="C498" t="s">
        <v>2402</v>
      </c>
      <c r="D498">
        <v>249144851</v>
      </c>
      <c r="E498" t="s">
        <v>2052</v>
      </c>
      <c r="F498" t="s">
        <v>431</v>
      </c>
      <c r="G498" t="s">
        <v>149</v>
      </c>
      <c r="H498" t="s">
        <v>150</v>
      </c>
      <c r="I498" t="s">
        <v>88</v>
      </c>
      <c r="J498" t="s">
        <v>151</v>
      </c>
      <c r="K498" t="s">
        <v>2</v>
      </c>
      <c r="L498" t="s">
        <v>2403</v>
      </c>
      <c r="M498" t="s">
        <v>2404</v>
      </c>
      <c r="N498" t="s">
        <v>433</v>
      </c>
      <c r="O498" t="s">
        <v>53</v>
      </c>
      <c r="P498" t="s">
        <v>2405</v>
      </c>
      <c r="Q498" s="14" t="s">
        <v>129</v>
      </c>
      <c r="R498" t="s">
        <v>2406</v>
      </c>
      <c r="S498">
        <v>1</v>
      </c>
      <c r="T498">
        <v>7212</v>
      </c>
      <c r="U498">
        <v>0</v>
      </c>
      <c r="V498">
        <v>7212</v>
      </c>
    </row>
    <row r="499" spans="1:22" x14ac:dyDescent="0.25">
      <c r="A499">
        <v>80147</v>
      </c>
      <c r="B499">
        <v>130700767</v>
      </c>
      <c r="C499" t="s">
        <v>2407</v>
      </c>
      <c r="D499">
        <v>249144869</v>
      </c>
      <c r="E499" t="s">
        <v>2052</v>
      </c>
      <c r="F499" t="s">
        <v>431</v>
      </c>
      <c r="G499" t="s">
        <v>149</v>
      </c>
      <c r="H499" t="s">
        <v>150</v>
      </c>
      <c r="I499" t="s">
        <v>88</v>
      </c>
      <c r="J499" t="s">
        <v>151</v>
      </c>
      <c r="K499" t="s">
        <v>2</v>
      </c>
      <c r="L499" t="s">
        <v>2408</v>
      </c>
      <c r="M499" t="s">
        <v>2409</v>
      </c>
      <c r="N499" t="s">
        <v>433</v>
      </c>
      <c r="O499" t="s">
        <v>53</v>
      </c>
      <c r="P499" t="s">
        <v>2410</v>
      </c>
      <c r="Q499" s="14" t="s">
        <v>119</v>
      </c>
      <c r="R499" t="s">
        <v>2406</v>
      </c>
      <c r="S499">
        <v>1</v>
      </c>
      <c r="T499">
        <v>5749</v>
      </c>
      <c r="U499">
        <v>0</v>
      </c>
      <c r="V499">
        <v>5749</v>
      </c>
    </row>
    <row r="500" spans="1:22" x14ac:dyDescent="0.25">
      <c r="A500">
        <v>80147</v>
      </c>
      <c r="B500">
        <v>130727698</v>
      </c>
      <c r="C500" t="s">
        <v>2411</v>
      </c>
      <c r="D500">
        <v>249144848</v>
      </c>
      <c r="E500" t="s">
        <v>2052</v>
      </c>
      <c r="F500" t="s">
        <v>431</v>
      </c>
      <c r="G500" t="s">
        <v>149</v>
      </c>
      <c r="H500" t="s">
        <v>150</v>
      </c>
      <c r="I500" t="s">
        <v>88</v>
      </c>
      <c r="J500" t="s">
        <v>151</v>
      </c>
      <c r="K500" t="s">
        <v>2</v>
      </c>
      <c r="L500" t="s">
        <v>2412</v>
      </c>
      <c r="M500" t="s">
        <v>2413</v>
      </c>
      <c r="N500" t="s">
        <v>433</v>
      </c>
      <c r="O500" t="s">
        <v>53</v>
      </c>
      <c r="P500" t="s">
        <v>2414</v>
      </c>
      <c r="Q500" s="14" t="s">
        <v>124</v>
      </c>
      <c r="R500" t="s">
        <v>378</v>
      </c>
      <c r="S500">
        <v>1</v>
      </c>
      <c r="T500">
        <v>4219</v>
      </c>
      <c r="U500">
        <v>0</v>
      </c>
      <c r="V500">
        <v>4219</v>
      </c>
    </row>
    <row r="501" spans="1:22" x14ac:dyDescent="0.25">
      <c r="A501">
        <v>80147</v>
      </c>
      <c r="B501">
        <v>130727712</v>
      </c>
      <c r="C501" t="s">
        <v>2415</v>
      </c>
      <c r="D501">
        <v>249144789</v>
      </c>
      <c r="E501" t="s">
        <v>2052</v>
      </c>
      <c r="F501" t="s">
        <v>431</v>
      </c>
      <c r="G501" t="s">
        <v>149</v>
      </c>
      <c r="H501" t="s">
        <v>150</v>
      </c>
      <c r="I501" t="s">
        <v>88</v>
      </c>
      <c r="J501" t="s">
        <v>151</v>
      </c>
      <c r="K501" t="s">
        <v>2</v>
      </c>
      <c r="L501" t="s">
        <v>2416</v>
      </c>
      <c r="M501" t="s">
        <v>2417</v>
      </c>
      <c r="N501" t="s">
        <v>433</v>
      </c>
      <c r="O501" t="s">
        <v>53</v>
      </c>
      <c r="P501" t="s">
        <v>2418</v>
      </c>
      <c r="Q501" s="14" t="s">
        <v>169</v>
      </c>
      <c r="R501" t="s">
        <v>378</v>
      </c>
      <c r="S501">
        <v>1</v>
      </c>
      <c r="T501">
        <v>4853</v>
      </c>
      <c r="U501">
        <v>0</v>
      </c>
      <c r="V501">
        <v>4853</v>
      </c>
    </row>
    <row r="502" spans="1:22" x14ac:dyDescent="0.25">
      <c r="A502">
        <v>80147</v>
      </c>
      <c r="B502">
        <v>130696715</v>
      </c>
      <c r="C502" t="s">
        <v>2419</v>
      </c>
      <c r="D502">
        <v>249144887</v>
      </c>
      <c r="E502" t="s">
        <v>2052</v>
      </c>
      <c r="F502" t="s">
        <v>431</v>
      </c>
      <c r="G502" t="s">
        <v>149</v>
      </c>
      <c r="H502" t="s">
        <v>150</v>
      </c>
      <c r="I502" t="s">
        <v>88</v>
      </c>
      <c r="J502" t="s">
        <v>151</v>
      </c>
      <c r="K502" t="s">
        <v>2</v>
      </c>
      <c r="L502" t="s">
        <v>2420</v>
      </c>
      <c r="M502" t="s">
        <v>2421</v>
      </c>
      <c r="N502" t="s">
        <v>433</v>
      </c>
      <c r="O502" t="s">
        <v>53</v>
      </c>
      <c r="P502" t="s">
        <v>2422</v>
      </c>
      <c r="Q502" s="14" t="s">
        <v>38</v>
      </c>
      <c r="R502" t="s">
        <v>2339</v>
      </c>
      <c r="S502">
        <v>1</v>
      </c>
      <c r="T502">
        <v>4669</v>
      </c>
      <c r="U502">
        <v>0</v>
      </c>
      <c r="V502">
        <v>4669</v>
      </c>
    </row>
    <row r="503" spans="1:22" x14ac:dyDescent="0.25">
      <c r="A503">
        <v>80147</v>
      </c>
      <c r="B503">
        <v>130739959</v>
      </c>
      <c r="C503" t="s">
        <v>2423</v>
      </c>
      <c r="D503">
        <v>249144760</v>
      </c>
      <c r="E503" t="s">
        <v>2052</v>
      </c>
      <c r="F503" t="s">
        <v>431</v>
      </c>
      <c r="G503" t="s">
        <v>149</v>
      </c>
      <c r="H503" t="s">
        <v>150</v>
      </c>
      <c r="I503" t="s">
        <v>88</v>
      </c>
      <c r="J503" t="s">
        <v>151</v>
      </c>
      <c r="K503" t="s">
        <v>2</v>
      </c>
      <c r="L503" t="s">
        <v>2424</v>
      </c>
      <c r="M503" t="s">
        <v>751</v>
      </c>
      <c r="N503" t="s">
        <v>433</v>
      </c>
      <c r="O503" t="s">
        <v>53</v>
      </c>
      <c r="P503" t="s">
        <v>2425</v>
      </c>
      <c r="Q503" s="14" t="s">
        <v>111</v>
      </c>
      <c r="R503" t="s">
        <v>2426</v>
      </c>
      <c r="S503">
        <v>1</v>
      </c>
      <c r="T503">
        <v>5817</v>
      </c>
      <c r="U503">
        <v>0</v>
      </c>
      <c r="V503">
        <v>5817</v>
      </c>
    </row>
    <row r="504" spans="1:22" x14ac:dyDescent="0.25">
      <c r="A504">
        <v>80147</v>
      </c>
      <c r="B504">
        <v>130727704</v>
      </c>
      <c r="C504" t="s">
        <v>2427</v>
      </c>
      <c r="D504">
        <v>249144797</v>
      </c>
      <c r="E504" t="s">
        <v>2052</v>
      </c>
      <c r="F504" t="s">
        <v>431</v>
      </c>
      <c r="G504" t="s">
        <v>149</v>
      </c>
      <c r="H504" t="s">
        <v>150</v>
      </c>
      <c r="I504" t="s">
        <v>88</v>
      </c>
      <c r="J504" t="s">
        <v>151</v>
      </c>
      <c r="K504" t="s">
        <v>2</v>
      </c>
      <c r="L504" t="s">
        <v>2428</v>
      </c>
      <c r="M504" t="s">
        <v>2429</v>
      </c>
      <c r="N504" t="s">
        <v>433</v>
      </c>
      <c r="O504" t="s">
        <v>53</v>
      </c>
      <c r="P504" t="s">
        <v>2430</v>
      </c>
      <c r="Q504" s="14" t="s">
        <v>111</v>
      </c>
      <c r="R504" t="s">
        <v>378</v>
      </c>
      <c r="S504">
        <v>1</v>
      </c>
      <c r="T504">
        <v>5817</v>
      </c>
      <c r="U504">
        <v>0</v>
      </c>
      <c r="V504">
        <v>5817</v>
      </c>
    </row>
    <row r="505" spans="1:22" x14ac:dyDescent="0.25">
      <c r="A505">
        <v>80147</v>
      </c>
      <c r="B505">
        <v>130727699</v>
      </c>
      <c r="C505" t="s">
        <v>2431</v>
      </c>
      <c r="D505">
        <v>249144846</v>
      </c>
      <c r="E505" t="s">
        <v>2052</v>
      </c>
      <c r="F505" t="s">
        <v>431</v>
      </c>
      <c r="G505" t="s">
        <v>149</v>
      </c>
      <c r="H505" t="s">
        <v>150</v>
      </c>
      <c r="I505" t="s">
        <v>88</v>
      </c>
      <c r="J505" t="s">
        <v>151</v>
      </c>
      <c r="K505" t="s">
        <v>2</v>
      </c>
      <c r="L505" t="s">
        <v>2432</v>
      </c>
      <c r="M505" t="s">
        <v>2433</v>
      </c>
      <c r="N505" t="s">
        <v>433</v>
      </c>
      <c r="O505" t="s">
        <v>53</v>
      </c>
      <c r="P505" t="s">
        <v>2434</v>
      </c>
      <c r="Q505" s="14" t="s">
        <v>91</v>
      </c>
      <c r="R505" t="s">
        <v>378</v>
      </c>
      <c r="S505">
        <v>1</v>
      </c>
      <c r="T505">
        <v>4669</v>
      </c>
      <c r="U505">
        <v>0</v>
      </c>
      <c r="V505">
        <v>4669</v>
      </c>
    </row>
    <row r="506" spans="1:22" x14ac:dyDescent="0.25">
      <c r="A506">
        <v>80147</v>
      </c>
      <c r="B506">
        <v>130673309</v>
      </c>
      <c r="C506" t="s">
        <v>2435</v>
      </c>
      <c r="D506">
        <v>248995763</v>
      </c>
      <c r="E506" t="s">
        <v>2052</v>
      </c>
      <c r="F506" t="s">
        <v>431</v>
      </c>
      <c r="G506" t="s">
        <v>149</v>
      </c>
      <c r="H506" t="s">
        <v>150</v>
      </c>
      <c r="I506" t="s">
        <v>88</v>
      </c>
      <c r="J506" t="s">
        <v>151</v>
      </c>
      <c r="K506" t="s">
        <v>2</v>
      </c>
      <c r="L506" t="s">
        <v>2436</v>
      </c>
      <c r="M506" t="s">
        <v>2437</v>
      </c>
      <c r="N506" t="s">
        <v>433</v>
      </c>
      <c r="O506" t="s">
        <v>53</v>
      </c>
      <c r="P506" t="s">
        <v>2438</v>
      </c>
      <c r="Q506" s="14" t="s">
        <v>124</v>
      </c>
      <c r="R506" t="s">
        <v>222</v>
      </c>
      <c r="S506">
        <v>1</v>
      </c>
      <c r="T506">
        <v>4219</v>
      </c>
      <c r="U506">
        <v>0</v>
      </c>
      <c r="V506">
        <v>4219</v>
      </c>
    </row>
    <row r="507" spans="1:22" x14ac:dyDescent="0.25">
      <c r="A507">
        <v>80147</v>
      </c>
      <c r="B507">
        <v>130700765</v>
      </c>
      <c r="C507" t="s">
        <v>2439</v>
      </c>
      <c r="D507">
        <v>249144898</v>
      </c>
      <c r="E507" t="s">
        <v>2052</v>
      </c>
      <c r="F507" t="s">
        <v>431</v>
      </c>
      <c r="G507" t="s">
        <v>149</v>
      </c>
      <c r="H507" t="s">
        <v>150</v>
      </c>
      <c r="I507" t="s">
        <v>88</v>
      </c>
      <c r="J507" t="s">
        <v>151</v>
      </c>
      <c r="K507" t="s">
        <v>2</v>
      </c>
      <c r="L507" t="s">
        <v>2440</v>
      </c>
      <c r="M507" t="s">
        <v>2441</v>
      </c>
      <c r="N507" t="s">
        <v>433</v>
      </c>
      <c r="O507" t="s">
        <v>53</v>
      </c>
      <c r="P507" t="s">
        <v>2442</v>
      </c>
      <c r="Q507" s="14" t="s">
        <v>93</v>
      </c>
      <c r="R507" t="s">
        <v>2406</v>
      </c>
      <c r="S507">
        <v>0.9</v>
      </c>
      <c r="T507">
        <v>4737</v>
      </c>
      <c r="U507">
        <v>0</v>
      </c>
      <c r="V507">
        <v>4737</v>
      </c>
    </row>
    <row r="508" spans="1:22" x14ac:dyDescent="0.25">
      <c r="A508">
        <v>80147</v>
      </c>
      <c r="B508">
        <v>130727710</v>
      </c>
      <c r="C508" t="s">
        <v>2443</v>
      </c>
      <c r="D508">
        <v>249144795</v>
      </c>
      <c r="E508" t="s">
        <v>2052</v>
      </c>
      <c r="F508" t="s">
        <v>431</v>
      </c>
      <c r="G508" t="s">
        <v>149</v>
      </c>
      <c r="H508" t="s">
        <v>150</v>
      </c>
      <c r="I508" t="s">
        <v>88</v>
      </c>
      <c r="J508" t="s">
        <v>151</v>
      </c>
      <c r="K508" t="s">
        <v>2</v>
      </c>
      <c r="L508" t="s">
        <v>2444</v>
      </c>
      <c r="M508" t="s">
        <v>2445</v>
      </c>
      <c r="N508" t="s">
        <v>433</v>
      </c>
      <c r="O508" t="s">
        <v>53</v>
      </c>
      <c r="P508" t="s">
        <v>2446</v>
      </c>
      <c r="Q508" s="14" t="s">
        <v>311</v>
      </c>
      <c r="R508" t="s">
        <v>378</v>
      </c>
      <c r="S508">
        <v>1</v>
      </c>
      <c r="T508">
        <v>4219</v>
      </c>
      <c r="U508">
        <v>0</v>
      </c>
      <c r="V508">
        <v>4219</v>
      </c>
    </row>
    <row r="509" spans="1:22" x14ac:dyDescent="0.25">
      <c r="A509">
        <v>80147</v>
      </c>
      <c r="B509">
        <v>130739957</v>
      </c>
      <c r="C509" t="s">
        <v>2447</v>
      </c>
      <c r="D509">
        <v>249144781</v>
      </c>
      <c r="E509" t="s">
        <v>2052</v>
      </c>
      <c r="F509" t="s">
        <v>431</v>
      </c>
      <c r="G509" t="s">
        <v>149</v>
      </c>
      <c r="H509" t="s">
        <v>150</v>
      </c>
      <c r="I509" t="s">
        <v>88</v>
      </c>
      <c r="J509" t="s">
        <v>151</v>
      </c>
      <c r="K509" t="s">
        <v>2</v>
      </c>
      <c r="L509" t="s">
        <v>2448</v>
      </c>
      <c r="M509" t="s">
        <v>2449</v>
      </c>
      <c r="N509" t="s">
        <v>433</v>
      </c>
      <c r="O509" t="s">
        <v>53</v>
      </c>
      <c r="P509" t="s">
        <v>2450</v>
      </c>
      <c r="Q509" s="14" t="s">
        <v>169</v>
      </c>
      <c r="R509" t="s">
        <v>2426</v>
      </c>
      <c r="S509">
        <v>1</v>
      </c>
      <c r="T509">
        <v>4853</v>
      </c>
      <c r="U509">
        <v>0</v>
      </c>
      <c r="V509">
        <v>4853</v>
      </c>
    </row>
    <row r="510" spans="1:22" x14ac:dyDescent="0.25">
      <c r="A510">
        <v>80147</v>
      </c>
      <c r="B510">
        <v>130395484</v>
      </c>
      <c r="C510" t="s">
        <v>2451</v>
      </c>
      <c r="D510">
        <v>248330500</v>
      </c>
      <c r="E510" t="s">
        <v>2052</v>
      </c>
      <c r="F510" t="s">
        <v>431</v>
      </c>
      <c r="G510" t="s">
        <v>149</v>
      </c>
      <c r="H510" t="s">
        <v>150</v>
      </c>
      <c r="I510" t="s">
        <v>88</v>
      </c>
      <c r="J510" t="s">
        <v>151</v>
      </c>
      <c r="K510" t="s">
        <v>2</v>
      </c>
      <c r="L510" t="s">
        <v>2452</v>
      </c>
      <c r="M510" t="s">
        <v>2453</v>
      </c>
      <c r="N510" t="s">
        <v>433</v>
      </c>
      <c r="O510" t="s">
        <v>53</v>
      </c>
      <c r="P510" t="s">
        <v>2454</v>
      </c>
      <c r="Q510" s="14" t="s">
        <v>110</v>
      </c>
      <c r="R510" t="s">
        <v>358</v>
      </c>
      <c r="S510">
        <v>1</v>
      </c>
      <c r="T510">
        <v>6267</v>
      </c>
      <c r="U510">
        <v>0</v>
      </c>
      <c r="V510">
        <v>6267</v>
      </c>
    </row>
    <row r="511" spans="1:22" x14ac:dyDescent="0.25">
      <c r="A511">
        <v>80147</v>
      </c>
      <c r="B511">
        <v>130644158</v>
      </c>
      <c r="C511" t="s">
        <v>2455</v>
      </c>
      <c r="D511">
        <v>248922406</v>
      </c>
      <c r="E511" t="s">
        <v>2052</v>
      </c>
      <c r="F511" t="s">
        <v>431</v>
      </c>
      <c r="G511" t="s">
        <v>149</v>
      </c>
      <c r="H511" t="s">
        <v>150</v>
      </c>
      <c r="I511" t="s">
        <v>88</v>
      </c>
      <c r="J511" t="s">
        <v>151</v>
      </c>
      <c r="K511" t="s">
        <v>2</v>
      </c>
      <c r="L511" t="s">
        <v>2456</v>
      </c>
      <c r="M511" t="s">
        <v>2457</v>
      </c>
      <c r="N511" t="s">
        <v>433</v>
      </c>
      <c r="O511" t="s">
        <v>53</v>
      </c>
      <c r="P511" t="s">
        <v>2458</v>
      </c>
      <c r="Q511" s="14" t="s">
        <v>129</v>
      </c>
      <c r="R511" t="s">
        <v>2296</v>
      </c>
      <c r="S511">
        <v>10.210000000000001</v>
      </c>
      <c r="T511">
        <v>11925</v>
      </c>
      <c r="U511">
        <v>0</v>
      </c>
      <c r="V511">
        <v>11925</v>
      </c>
    </row>
    <row r="512" spans="1:22" x14ac:dyDescent="0.25">
      <c r="A512">
        <v>80147</v>
      </c>
      <c r="B512">
        <v>130311827</v>
      </c>
      <c r="C512" t="s">
        <v>2459</v>
      </c>
      <c r="D512">
        <v>248150794</v>
      </c>
      <c r="E512" t="s">
        <v>2052</v>
      </c>
      <c r="F512" t="s">
        <v>431</v>
      </c>
      <c r="G512" t="s">
        <v>149</v>
      </c>
      <c r="H512" t="s">
        <v>150</v>
      </c>
      <c r="I512" t="s">
        <v>88</v>
      </c>
      <c r="J512" t="s">
        <v>151</v>
      </c>
      <c r="K512" t="s">
        <v>2</v>
      </c>
      <c r="L512" t="s">
        <v>200</v>
      </c>
      <c r="M512" t="s">
        <v>2460</v>
      </c>
      <c r="N512" t="s">
        <v>433</v>
      </c>
      <c r="O512" t="s">
        <v>53</v>
      </c>
      <c r="P512" t="s">
        <v>2461</v>
      </c>
      <c r="Q512" s="14" t="s">
        <v>110</v>
      </c>
      <c r="R512" t="s">
        <v>2462</v>
      </c>
      <c r="S512">
        <v>1</v>
      </c>
      <c r="T512">
        <v>6267</v>
      </c>
      <c r="U512">
        <v>0</v>
      </c>
      <c r="V512">
        <v>6267</v>
      </c>
    </row>
    <row r="513" spans="1:22" x14ac:dyDescent="0.25">
      <c r="A513">
        <v>80147</v>
      </c>
      <c r="B513">
        <v>130356932</v>
      </c>
      <c r="C513" t="s">
        <v>2463</v>
      </c>
      <c r="D513">
        <v>248240160</v>
      </c>
      <c r="E513" t="s">
        <v>2052</v>
      </c>
      <c r="F513" t="s">
        <v>431</v>
      </c>
      <c r="G513" t="s">
        <v>149</v>
      </c>
      <c r="H513" t="s">
        <v>150</v>
      </c>
      <c r="I513" t="s">
        <v>88</v>
      </c>
      <c r="J513" t="s">
        <v>151</v>
      </c>
      <c r="K513" t="s">
        <v>2</v>
      </c>
      <c r="L513" t="s">
        <v>2464</v>
      </c>
      <c r="M513" t="s">
        <v>2465</v>
      </c>
      <c r="N513" t="s">
        <v>433</v>
      </c>
      <c r="O513" t="s">
        <v>53</v>
      </c>
      <c r="P513" t="s">
        <v>2466</v>
      </c>
      <c r="Q513" s="14" t="s">
        <v>168</v>
      </c>
      <c r="R513" t="s">
        <v>425</v>
      </c>
      <c r="S513">
        <v>1</v>
      </c>
      <c r="T513">
        <v>6480</v>
      </c>
      <c r="U513">
        <v>0</v>
      </c>
      <c r="V513">
        <v>6480</v>
      </c>
    </row>
    <row r="514" spans="1:22" x14ac:dyDescent="0.25">
      <c r="A514">
        <v>80147</v>
      </c>
      <c r="B514">
        <v>130644166</v>
      </c>
      <c r="C514" t="s">
        <v>2467</v>
      </c>
      <c r="D514">
        <v>248922398</v>
      </c>
      <c r="E514" t="s">
        <v>2052</v>
      </c>
      <c r="F514" t="s">
        <v>431</v>
      </c>
      <c r="G514" t="s">
        <v>149</v>
      </c>
      <c r="H514" t="s">
        <v>150</v>
      </c>
      <c r="I514" t="s">
        <v>88</v>
      </c>
      <c r="J514" t="s">
        <v>151</v>
      </c>
      <c r="K514" t="s">
        <v>2</v>
      </c>
      <c r="L514" t="s">
        <v>2468</v>
      </c>
      <c r="M514" t="s">
        <v>2469</v>
      </c>
      <c r="N514" t="s">
        <v>433</v>
      </c>
      <c r="O514" t="s">
        <v>53</v>
      </c>
      <c r="P514" t="s">
        <v>2470</v>
      </c>
      <c r="Q514" s="14" t="s">
        <v>124</v>
      </c>
      <c r="R514" t="s">
        <v>2296</v>
      </c>
      <c r="S514">
        <v>1</v>
      </c>
      <c r="T514">
        <v>4219</v>
      </c>
      <c r="U514">
        <v>0</v>
      </c>
      <c r="V514">
        <v>4219</v>
      </c>
    </row>
    <row r="515" spans="1:22" x14ac:dyDescent="0.25">
      <c r="A515">
        <v>80147</v>
      </c>
      <c r="B515">
        <v>130644167</v>
      </c>
      <c r="C515" t="s">
        <v>2471</v>
      </c>
      <c r="D515">
        <v>248922380</v>
      </c>
      <c r="E515" t="s">
        <v>2052</v>
      </c>
      <c r="F515" t="s">
        <v>431</v>
      </c>
      <c r="G515" t="s">
        <v>149</v>
      </c>
      <c r="H515" t="s">
        <v>150</v>
      </c>
      <c r="I515" t="s">
        <v>88</v>
      </c>
      <c r="J515" t="s">
        <v>151</v>
      </c>
      <c r="K515" t="s">
        <v>2</v>
      </c>
      <c r="L515" t="s">
        <v>2472</v>
      </c>
      <c r="M515" t="s">
        <v>350</v>
      </c>
      <c r="N515" t="s">
        <v>433</v>
      </c>
      <c r="O515" t="s">
        <v>53</v>
      </c>
      <c r="P515" t="s">
        <v>2473</v>
      </c>
      <c r="Q515" s="14" t="s">
        <v>120</v>
      </c>
      <c r="R515" t="s">
        <v>2296</v>
      </c>
      <c r="S515">
        <v>3.16</v>
      </c>
      <c r="T515">
        <v>6413</v>
      </c>
      <c r="U515">
        <v>0</v>
      </c>
      <c r="V515">
        <v>6413</v>
      </c>
    </row>
    <row r="516" spans="1:22" x14ac:dyDescent="0.25">
      <c r="A516">
        <v>80147</v>
      </c>
      <c r="B516">
        <v>130644153</v>
      </c>
      <c r="C516" t="s">
        <v>2474</v>
      </c>
      <c r="D516">
        <v>248922409</v>
      </c>
      <c r="E516" t="s">
        <v>2052</v>
      </c>
      <c r="F516" t="s">
        <v>431</v>
      </c>
      <c r="G516" t="s">
        <v>149</v>
      </c>
      <c r="H516" t="s">
        <v>150</v>
      </c>
      <c r="I516" t="s">
        <v>88</v>
      </c>
      <c r="J516" t="s">
        <v>151</v>
      </c>
      <c r="K516" t="s">
        <v>2</v>
      </c>
      <c r="L516" t="s">
        <v>2475</v>
      </c>
      <c r="M516" t="s">
        <v>2476</v>
      </c>
      <c r="N516" t="s">
        <v>433</v>
      </c>
      <c r="O516" t="s">
        <v>53</v>
      </c>
      <c r="P516" t="s">
        <v>2477</v>
      </c>
      <c r="Q516" s="14" t="s">
        <v>132</v>
      </c>
      <c r="R516" t="s">
        <v>2296</v>
      </c>
      <c r="S516">
        <v>1</v>
      </c>
      <c r="T516">
        <v>4219</v>
      </c>
      <c r="U516">
        <v>0</v>
      </c>
      <c r="V516">
        <v>4219</v>
      </c>
    </row>
    <row r="517" spans="1:22" x14ac:dyDescent="0.25">
      <c r="A517">
        <v>80147</v>
      </c>
      <c r="B517">
        <v>130311830</v>
      </c>
      <c r="C517" t="s">
        <v>2478</v>
      </c>
      <c r="D517" t="s">
        <v>2479</v>
      </c>
      <c r="E517" t="s">
        <v>2052</v>
      </c>
      <c r="F517" t="s">
        <v>431</v>
      </c>
      <c r="G517" t="s">
        <v>39</v>
      </c>
      <c r="H517" t="s">
        <v>153</v>
      </c>
      <c r="I517" t="s">
        <v>88</v>
      </c>
      <c r="J517" t="s">
        <v>154</v>
      </c>
      <c r="K517" t="s">
        <v>2</v>
      </c>
      <c r="L517" t="s">
        <v>155</v>
      </c>
      <c r="M517" t="s">
        <v>2480</v>
      </c>
      <c r="N517" t="s">
        <v>433</v>
      </c>
      <c r="O517" t="s">
        <v>53</v>
      </c>
      <c r="P517" t="s">
        <v>2481</v>
      </c>
      <c r="Q517" s="14" t="s">
        <v>75</v>
      </c>
      <c r="R517" t="s">
        <v>2462</v>
      </c>
      <c r="S517">
        <v>7.65</v>
      </c>
      <c r="T517">
        <v>9910</v>
      </c>
      <c r="U517">
        <v>0</v>
      </c>
      <c r="V517">
        <v>9910</v>
      </c>
    </row>
    <row r="518" spans="1:22" x14ac:dyDescent="0.25">
      <c r="A518">
        <v>80147</v>
      </c>
      <c r="B518">
        <v>130274531</v>
      </c>
      <c r="C518" t="s">
        <v>2482</v>
      </c>
      <c r="D518" t="s">
        <v>2483</v>
      </c>
      <c r="E518" t="s">
        <v>2052</v>
      </c>
      <c r="F518" t="s">
        <v>431</v>
      </c>
      <c r="G518" t="s">
        <v>39</v>
      </c>
      <c r="H518" t="s">
        <v>153</v>
      </c>
      <c r="I518" t="s">
        <v>88</v>
      </c>
      <c r="J518" t="s">
        <v>154</v>
      </c>
      <c r="K518" t="s">
        <v>2</v>
      </c>
      <c r="L518" t="s">
        <v>155</v>
      </c>
      <c r="M518" t="s">
        <v>373</v>
      </c>
      <c r="N518" t="s">
        <v>433</v>
      </c>
      <c r="O518" t="s">
        <v>53</v>
      </c>
      <c r="P518" t="s">
        <v>2484</v>
      </c>
      <c r="Q518" s="14" t="s">
        <v>143</v>
      </c>
      <c r="R518" t="s">
        <v>2485</v>
      </c>
      <c r="S518">
        <v>7.51</v>
      </c>
      <c r="T518">
        <v>8522</v>
      </c>
      <c r="U518">
        <v>0</v>
      </c>
      <c r="V518">
        <v>8522</v>
      </c>
    </row>
    <row r="519" spans="1:22" x14ac:dyDescent="0.25">
      <c r="A519">
        <v>80147</v>
      </c>
      <c r="B519">
        <v>130311813</v>
      </c>
      <c r="C519" t="s">
        <v>2486</v>
      </c>
      <c r="D519" t="s">
        <v>2487</v>
      </c>
      <c r="E519" t="s">
        <v>2052</v>
      </c>
      <c r="F519" t="s">
        <v>431</v>
      </c>
      <c r="G519" t="s">
        <v>39</v>
      </c>
      <c r="H519" t="s">
        <v>153</v>
      </c>
      <c r="I519" t="s">
        <v>88</v>
      </c>
      <c r="J519" t="s">
        <v>154</v>
      </c>
      <c r="K519" t="s">
        <v>2</v>
      </c>
      <c r="L519" t="s">
        <v>155</v>
      </c>
      <c r="M519" t="s">
        <v>2488</v>
      </c>
      <c r="N519" t="s">
        <v>433</v>
      </c>
      <c r="O519" t="s">
        <v>53</v>
      </c>
      <c r="P519" t="s">
        <v>2489</v>
      </c>
      <c r="Q519" s="14" t="s">
        <v>130</v>
      </c>
      <c r="R519" t="s">
        <v>2462</v>
      </c>
      <c r="S519">
        <v>7.8</v>
      </c>
      <c r="T519">
        <v>9590</v>
      </c>
      <c r="U519">
        <v>0</v>
      </c>
      <c r="V519">
        <v>9590</v>
      </c>
    </row>
    <row r="520" spans="1:22" x14ac:dyDescent="0.25">
      <c r="A520">
        <v>80147</v>
      </c>
      <c r="B520">
        <v>130644146</v>
      </c>
      <c r="C520" t="s">
        <v>2490</v>
      </c>
      <c r="D520">
        <v>248922415</v>
      </c>
      <c r="E520" t="s">
        <v>2052</v>
      </c>
      <c r="F520" t="s">
        <v>431</v>
      </c>
      <c r="G520" t="s">
        <v>149</v>
      </c>
      <c r="H520" t="s">
        <v>150</v>
      </c>
      <c r="I520" t="s">
        <v>88</v>
      </c>
      <c r="J520" t="s">
        <v>151</v>
      </c>
      <c r="K520" t="s">
        <v>2</v>
      </c>
      <c r="L520" t="s">
        <v>2491</v>
      </c>
      <c r="M520" t="s">
        <v>2492</v>
      </c>
      <c r="N520" t="s">
        <v>433</v>
      </c>
      <c r="O520" t="s">
        <v>53</v>
      </c>
      <c r="P520" t="s">
        <v>2493</v>
      </c>
      <c r="Q520" s="14" t="s">
        <v>112</v>
      </c>
      <c r="R520" t="s">
        <v>2296</v>
      </c>
      <c r="S520">
        <v>1</v>
      </c>
      <c r="T520">
        <v>4669</v>
      </c>
      <c r="U520">
        <v>0</v>
      </c>
      <c r="V520">
        <v>4669</v>
      </c>
    </row>
    <row r="521" spans="1:22" x14ac:dyDescent="0.25">
      <c r="A521">
        <v>80147</v>
      </c>
      <c r="B521">
        <v>130469931</v>
      </c>
      <c r="C521" t="s">
        <v>2494</v>
      </c>
      <c r="D521">
        <v>248666371</v>
      </c>
      <c r="E521" t="s">
        <v>2052</v>
      </c>
      <c r="F521" t="s">
        <v>431</v>
      </c>
      <c r="G521" t="s">
        <v>149</v>
      </c>
      <c r="H521" t="s">
        <v>150</v>
      </c>
      <c r="I521" t="s">
        <v>88</v>
      </c>
      <c r="J521" t="s">
        <v>151</v>
      </c>
      <c r="K521" t="s">
        <v>2</v>
      </c>
      <c r="L521" t="s">
        <v>2495</v>
      </c>
      <c r="M521" t="s">
        <v>2496</v>
      </c>
      <c r="N521" t="s">
        <v>433</v>
      </c>
      <c r="O521" t="s">
        <v>53</v>
      </c>
      <c r="P521" t="s">
        <v>2497</v>
      </c>
      <c r="Q521" s="14" t="s">
        <v>309</v>
      </c>
      <c r="R521" t="s">
        <v>2498</v>
      </c>
      <c r="S521">
        <v>1</v>
      </c>
      <c r="T521">
        <v>4219</v>
      </c>
      <c r="U521">
        <v>0</v>
      </c>
      <c r="V521">
        <v>4219</v>
      </c>
    </row>
    <row r="522" spans="1:22" x14ac:dyDescent="0.25">
      <c r="A522">
        <v>80147</v>
      </c>
      <c r="B522">
        <v>130469930</v>
      </c>
      <c r="C522" t="s">
        <v>2499</v>
      </c>
      <c r="D522">
        <v>248666389</v>
      </c>
      <c r="E522" t="s">
        <v>2052</v>
      </c>
      <c r="F522" t="s">
        <v>431</v>
      </c>
      <c r="G522" t="s">
        <v>149</v>
      </c>
      <c r="H522" t="s">
        <v>150</v>
      </c>
      <c r="I522" t="s">
        <v>88</v>
      </c>
      <c r="J522" t="s">
        <v>151</v>
      </c>
      <c r="K522" t="s">
        <v>2</v>
      </c>
      <c r="L522" t="s">
        <v>2500</v>
      </c>
      <c r="M522" t="s">
        <v>2501</v>
      </c>
      <c r="N522" t="s">
        <v>433</v>
      </c>
      <c r="O522" t="s">
        <v>53</v>
      </c>
      <c r="P522" t="s">
        <v>2502</v>
      </c>
      <c r="Q522" s="14" t="s">
        <v>97</v>
      </c>
      <c r="R522" t="s">
        <v>2498</v>
      </c>
      <c r="S522">
        <v>1</v>
      </c>
      <c r="T522">
        <v>8415</v>
      </c>
      <c r="U522">
        <v>0</v>
      </c>
      <c r="V522">
        <v>8415</v>
      </c>
    </row>
    <row r="523" spans="1:22" x14ac:dyDescent="0.25">
      <c r="A523">
        <v>80147</v>
      </c>
      <c r="B523">
        <v>130644165</v>
      </c>
      <c r="C523" t="s">
        <v>2503</v>
      </c>
      <c r="D523">
        <v>248922403</v>
      </c>
      <c r="E523" t="s">
        <v>2052</v>
      </c>
      <c r="F523" t="s">
        <v>431</v>
      </c>
      <c r="G523" t="s">
        <v>149</v>
      </c>
      <c r="H523" t="s">
        <v>150</v>
      </c>
      <c r="I523" t="s">
        <v>88</v>
      </c>
      <c r="J523" t="s">
        <v>151</v>
      </c>
      <c r="K523" t="s">
        <v>2</v>
      </c>
      <c r="L523" t="s">
        <v>2504</v>
      </c>
      <c r="M523" t="s">
        <v>2505</v>
      </c>
      <c r="N523" t="s">
        <v>433</v>
      </c>
      <c r="O523" t="s">
        <v>53</v>
      </c>
      <c r="P523" t="s">
        <v>2506</v>
      </c>
      <c r="Q523" s="14" t="s">
        <v>125</v>
      </c>
      <c r="R523" t="s">
        <v>2296</v>
      </c>
      <c r="S523">
        <v>1</v>
      </c>
      <c r="T523">
        <v>4219</v>
      </c>
      <c r="U523">
        <v>0</v>
      </c>
      <c r="V523">
        <v>4219</v>
      </c>
    </row>
    <row r="524" spans="1:22" x14ac:dyDescent="0.25">
      <c r="A524">
        <v>80147</v>
      </c>
      <c r="B524">
        <v>130528321</v>
      </c>
      <c r="C524" t="s">
        <v>2507</v>
      </c>
      <c r="D524">
        <v>248666264</v>
      </c>
      <c r="E524" t="s">
        <v>2052</v>
      </c>
      <c r="F524" t="s">
        <v>431</v>
      </c>
      <c r="G524" t="s">
        <v>149</v>
      </c>
      <c r="H524" t="s">
        <v>150</v>
      </c>
      <c r="I524" t="s">
        <v>88</v>
      </c>
      <c r="J524" t="s">
        <v>151</v>
      </c>
      <c r="K524" t="s">
        <v>2</v>
      </c>
      <c r="L524" t="s">
        <v>2508</v>
      </c>
      <c r="M524" t="s">
        <v>2509</v>
      </c>
      <c r="N524" t="s">
        <v>433</v>
      </c>
      <c r="O524" t="s">
        <v>53</v>
      </c>
      <c r="P524" t="s">
        <v>2510</v>
      </c>
      <c r="Q524" s="14" t="s">
        <v>128</v>
      </c>
      <c r="R524" t="s">
        <v>2511</v>
      </c>
      <c r="S524">
        <v>0.9</v>
      </c>
      <c r="T524">
        <v>7864</v>
      </c>
      <c r="U524">
        <v>0</v>
      </c>
      <c r="V524">
        <v>7864</v>
      </c>
    </row>
    <row r="525" spans="1:22" x14ac:dyDescent="0.25">
      <c r="A525">
        <v>80147</v>
      </c>
      <c r="B525">
        <v>130528343</v>
      </c>
      <c r="C525" t="s">
        <v>2512</v>
      </c>
      <c r="D525">
        <v>248666248</v>
      </c>
      <c r="E525" t="s">
        <v>2052</v>
      </c>
      <c r="F525" t="s">
        <v>431</v>
      </c>
      <c r="G525" t="s">
        <v>149</v>
      </c>
      <c r="H525" t="s">
        <v>150</v>
      </c>
      <c r="I525" t="s">
        <v>88</v>
      </c>
      <c r="J525" t="s">
        <v>151</v>
      </c>
      <c r="K525" t="s">
        <v>2</v>
      </c>
      <c r="L525" t="s">
        <v>2513</v>
      </c>
      <c r="M525" t="s">
        <v>2514</v>
      </c>
      <c r="N525" t="s">
        <v>433</v>
      </c>
      <c r="O525" t="s">
        <v>53</v>
      </c>
      <c r="P525" t="s">
        <v>2515</v>
      </c>
      <c r="Q525" s="14" t="s">
        <v>97</v>
      </c>
      <c r="R525" t="s">
        <v>2511</v>
      </c>
      <c r="S525">
        <v>1</v>
      </c>
      <c r="T525">
        <v>8415</v>
      </c>
      <c r="U525">
        <v>0</v>
      </c>
      <c r="V525">
        <v>8415</v>
      </c>
    </row>
    <row r="526" spans="1:22" x14ac:dyDescent="0.25">
      <c r="A526">
        <v>80147</v>
      </c>
      <c r="B526">
        <v>130601585</v>
      </c>
      <c r="C526" t="s">
        <v>2516</v>
      </c>
      <c r="D526">
        <v>248845411</v>
      </c>
      <c r="E526" t="s">
        <v>2052</v>
      </c>
      <c r="F526" t="s">
        <v>431</v>
      </c>
      <c r="G526" t="s">
        <v>149</v>
      </c>
      <c r="H526" t="s">
        <v>150</v>
      </c>
      <c r="I526" t="s">
        <v>88</v>
      </c>
      <c r="J526" t="s">
        <v>151</v>
      </c>
      <c r="K526" t="s">
        <v>2</v>
      </c>
      <c r="L526" t="s">
        <v>2517</v>
      </c>
      <c r="M526" t="s">
        <v>2518</v>
      </c>
      <c r="N526" t="s">
        <v>433</v>
      </c>
      <c r="O526" t="s">
        <v>53</v>
      </c>
      <c r="P526" t="s">
        <v>2519</v>
      </c>
      <c r="Q526" s="14" t="s">
        <v>40</v>
      </c>
      <c r="R526" t="s">
        <v>2520</v>
      </c>
      <c r="S526">
        <v>1</v>
      </c>
      <c r="T526">
        <v>4534</v>
      </c>
      <c r="U526">
        <v>0</v>
      </c>
      <c r="V526">
        <v>4534</v>
      </c>
    </row>
    <row r="527" spans="1:22" x14ac:dyDescent="0.25">
      <c r="A527">
        <v>80147</v>
      </c>
      <c r="B527">
        <v>130601595</v>
      </c>
      <c r="C527" t="s">
        <v>2521</v>
      </c>
      <c r="D527">
        <v>248845420</v>
      </c>
      <c r="E527" t="s">
        <v>2052</v>
      </c>
      <c r="F527" t="s">
        <v>431</v>
      </c>
      <c r="G527" t="s">
        <v>149</v>
      </c>
      <c r="H527" t="s">
        <v>150</v>
      </c>
      <c r="I527" t="s">
        <v>88</v>
      </c>
      <c r="J527" t="s">
        <v>151</v>
      </c>
      <c r="K527" t="s">
        <v>2</v>
      </c>
      <c r="L527" t="s">
        <v>2522</v>
      </c>
      <c r="M527" t="s">
        <v>2523</v>
      </c>
      <c r="N527" t="s">
        <v>433</v>
      </c>
      <c r="O527" t="s">
        <v>53</v>
      </c>
      <c r="P527" t="s">
        <v>2524</v>
      </c>
      <c r="Q527" s="14" t="s">
        <v>122</v>
      </c>
      <c r="R527" t="s">
        <v>2520</v>
      </c>
      <c r="S527">
        <v>6.13</v>
      </c>
      <c r="T527">
        <v>7065</v>
      </c>
      <c r="U527">
        <v>0</v>
      </c>
      <c r="V527">
        <v>7065</v>
      </c>
    </row>
    <row r="528" spans="1:22" x14ac:dyDescent="0.25">
      <c r="A528">
        <v>80147</v>
      </c>
      <c r="B528">
        <v>130613315</v>
      </c>
      <c r="C528" t="s">
        <v>2525</v>
      </c>
      <c r="D528">
        <v>248845392</v>
      </c>
      <c r="E528" t="s">
        <v>2052</v>
      </c>
      <c r="F528" t="s">
        <v>431</v>
      </c>
      <c r="G528" t="s">
        <v>149</v>
      </c>
      <c r="H528" t="s">
        <v>150</v>
      </c>
      <c r="I528" t="s">
        <v>88</v>
      </c>
      <c r="J528" t="s">
        <v>151</v>
      </c>
      <c r="K528" t="s">
        <v>2</v>
      </c>
      <c r="L528" t="s">
        <v>2526</v>
      </c>
      <c r="M528" t="s">
        <v>2527</v>
      </c>
      <c r="N528" t="s">
        <v>433</v>
      </c>
      <c r="O528" t="s">
        <v>53</v>
      </c>
      <c r="P528" t="s">
        <v>2528</v>
      </c>
      <c r="Q528" s="14" t="s">
        <v>294</v>
      </c>
      <c r="R528" t="s">
        <v>2529</v>
      </c>
      <c r="S528">
        <v>5.34</v>
      </c>
      <c r="T528">
        <v>6537</v>
      </c>
      <c r="U528">
        <v>0</v>
      </c>
      <c r="V528">
        <v>6537</v>
      </c>
    </row>
    <row r="529" spans="1:22" x14ac:dyDescent="0.25">
      <c r="A529">
        <v>80147</v>
      </c>
      <c r="B529">
        <v>130601586</v>
      </c>
      <c r="C529" t="s">
        <v>2530</v>
      </c>
      <c r="D529">
        <v>248845426</v>
      </c>
      <c r="E529" t="s">
        <v>2052</v>
      </c>
      <c r="F529" t="s">
        <v>431</v>
      </c>
      <c r="G529" t="s">
        <v>149</v>
      </c>
      <c r="H529" t="s">
        <v>150</v>
      </c>
      <c r="I529" t="s">
        <v>88</v>
      </c>
      <c r="J529" t="s">
        <v>151</v>
      </c>
      <c r="K529" t="s">
        <v>2</v>
      </c>
      <c r="L529" t="s">
        <v>2531</v>
      </c>
      <c r="M529" t="s">
        <v>2532</v>
      </c>
      <c r="N529" t="s">
        <v>433</v>
      </c>
      <c r="O529" t="s">
        <v>53</v>
      </c>
      <c r="P529" t="s">
        <v>2533</v>
      </c>
      <c r="Q529" s="14" t="s">
        <v>107</v>
      </c>
      <c r="R529" t="s">
        <v>2520</v>
      </c>
      <c r="S529">
        <v>6.11</v>
      </c>
      <c r="T529">
        <v>9282</v>
      </c>
      <c r="U529">
        <v>0</v>
      </c>
      <c r="V529">
        <v>9282</v>
      </c>
    </row>
    <row r="530" spans="1:22" x14ac:dyDescent="0.25">
      <c r="A530">
        <v>80147</v>
      </c>
      <c r="B530">
        <v>130601597</v>
      </c>
      <c r="C530" t="s">
        <v>2534</v>
      </c>
      <c r="D530">
        <v>248845397</v>
      </c>
      <c r="E530" t="s">
        <v>2052</v>
      </c>
      <c r="F530" t="s">
        <v>431</v>
      </c>
      <c r="G530" t="s">
        <v>149</v>
      </c>
      <c r="H530" t="s">
        <v>150</v>
      </c>
      <c r="I530" t="s">
        <v>88</v>
      </c>
      <c r="J530" t="s">
        <v>151</v>
      </c>
      <c r="K530" t="s">
        <v>2</v>
      </c>
      <c r="L530" t="s">
        <v>2535</v>
      </c>
      <c r="M530" t="s">
        <v>2536</v>
      </c>
      <c r="N530" t="s">
        <v>433</v>
      </c>
      <c r="O530" t="s">
        <v>53</v>
      </c>
      <c r="P530" t="s">
        <v>2537</v>
      </c>
      <c r="Q530" s="14" t="s">
        <v>124</v>
      </c>
      <c r="R530" t="s">
        <v>2520</v>
      </c>
      <c r="S530">
        <v>5.4</v>
      </c>
      <c r="T530">
        <v>5513</v>
      </c>
      <c r="U530">
        <v>0</v>
      </c>
      <c r="V530">
        <v>5513</v>
      </c>
    </row>
    <row r="531" spans="1:22" x14ac:dyDescent="0.25">
      <c r="A531">
        <v>80147</v>
      </c>
      <c r="B531">
        <v>130575243</v>
      </c>
      <c r="C531" t="s">
        <v>2538</v>
      </c>
      <c r="D531">
        <v>248761475</v>
      </c>
      <c r="E531" t="s">
        <v>2052</v>
      </c>
      <c r="F531" t="s">
        <v>431</v>
      </c>
      <c r="G531" t="s">
        <v>149</v>
      </c>
      <c r="H531" t="s">
        <v>150</v>
      </c>
      <c r="I531" t="s">
        <v>88</v>
      </c>
      <c r="J531" t="s">
        <v>151</v>
      </c>
      <c r="K531" t="s">
        <v>2</v>
      </c>
      <c r="L531" t="s">
        <v>2539</v>
      </c>
      <c r="M531" t="s">
        <v>2540</v>
      </c>
      <c r="N531" t="s">
        <v>433</v>
      </c>
      <c r="O531" t="s">
        <v>53</v>
      </c>
      <c r="P531" t="s">
        <v>2541</v>
      </c>
      <c r="Q531" s="14" t="s">
        <v>128</v>
      </c>
      <c r="R531" t="s">
        <v>375</v>
      </c>
      <c r="S531">
        <v>1</v>
      </c>
      <c r="T531">
        <v>7864</v>
      </c>
      <c r="U531">
        <v>0</v>
      </c>
      <c r="V531">
        <v>7864</v>
      </c>
    </row>
    <row r="532" spans="1:22" x14ac:dyDescent="0.25">
      <c r="A532">
        <v>80147</v>
      </c>
      <c r="B532">
        <v>130575276</v>
      </c>
      <c r="C532" t="s">
        <v>2542</v>
      </c>
      <c r="D532">
        <v>248761398</v>
      </c>
      <c r="E532" t="s">
        <v>2052</v>
      </c>
      <c r="F532" t="s">
        <v>431</v>
      </c>
      <c r="G532" t="s">
        <v>149</v>
      </c>
      <c r="H532" t="s">
        <v>150</v>
      </c>
      <c r="I532" t="s">
        <v>88</v>
      </c>
      <c r="J532" t="s">
        <v>151</v>
      </c>
      <c r="K532" t="s">
        <v>2</v>
      </c>
      <c r="L532" t="s">
        <v>2543</v>
      </c>
      <c r="M532" t="s">
        <v>1834</v>
      </c>
      <c r="N532" t="s">
        <v>433</v>
      </c>
      <c r="O532" t="s">
        <v>53</v>
      </c>
      <c r="P532" t="s">
        <v>2544</v>
      </c>
      <c r="Q532" s="14" t="s">
        <v>145</v>
      </c>
      <c r="R532" t="s">
        <v>375</v>
      </c>
      <c r="S532">
        <v>1</v>
      </c>
      <c r="T532">
        <v>7664</v>
      </c>
      <c r="U532">
        <v>0</v>
      </c>
      <c r="V532">
        <v>7664</v>
      </c>
    </row>
    <row r="533" spans="1:22" x14ac:dyDescent="0.25">
      <c r="A533">
        <v>80147</v>
      </c>
      <c r="B533">
        <v>130528384</v>
      </c>
      <c r="C533" t="s">
        <v>2545</v>
      </c>
      <c r="D533">
        <v>248666177</v>
      </c>
      <c r="E533" t="s">
        <v>2052</v>
      </c>
      <c r="F533" t="s">
        <v>431</v>
      </c>
      <c r="G533" t="s">
        <v>149</v>
      </c>
      <c r="H533" t="s">
        <v>150</v>
      </c>
      <c r="I533" t="s">
        <v>88</v>
      </c>
      <c r="J533" t="s">
        <v>151</v>
      </c>
      <c r="K533" t="s">
        <v>2</v>
      </c>
      <c r="L533" t="s">
        <v>2546</v>
      </c>
      <c r="M533" t="s">
        <v>2547</v>
      </c>
      <c r="N533" t="s">
        <v>433</v>
      </c>
      <c r="O533" t="s">
        <v>53</v>
      </c>
      <c r="P533" t="s">
        <v>2548</v>
      </c>
      <c r="Q533" s="14" t="s">
        <v>129</v>
      </c>
      <c r="R533" t="s">
        <v>2511</v>
      </c>
      <c r="S533">
        <v>1</v>
      </c>
      <c r="T533">
        <v>7212</v>
      </c>
      <c r="U533">
        <v>0</v>
      </c>
      <c r="V533">
        <v>7212</v>
      </c>
    </row>
    <row r="534" spans="1:22" x14ac:dyDescent="0.25">
      <c r="A534">
        <v>80147</v>
      </c>
      <c r="B534">
        <v>130528255</v>
      </c>
      <c r="C534" t="s">
        <v>2549</v>
      </c>
      <c r="D534">
        <v>248666292</v>
      </c>
      <c r="E534" t="s">
        <v>2052</v>
      </c>
      <c r="F534" t="s">
        <v>431</v>
      </c>
      <c r="G534" t="s">
        <v>149</v>
      </c>
      <c r="H534" t="s">
        <v>150</v>
      </c>
      <c r="I534" t="s">
        <v>88</v>
      </c>
      <c r="J534" t="s">
        <v>151</v>
      </c>
      <c r="K534" t="s">
        <v>2</v>
      </c>
      <c r="L534" t="s">
        <v>2550</v>
      </c>
      <c r="M534" t="s">
        <v>2551</v>
      </c>
      <c r="N534" t="s">
        <v>433</v>
      </c>
      <c r="O534" t="s">
        <v>53</v>
      </c>
      <c r="P534" t="s">
        <v>2552</v>
      </c>
      <c r="Q534" s="14" t="s">
        <v>95</v>
      </c>
      <c r="R534" t="s">
        <v>2511</v>
      </c>
      <c r="S534">
        <v>1</v>
      </c>
      <c r="T534">
        <v>5749</v>
      </c>
      <c r="U534">
        <v>0</v>
      </c>
      <c r="V534">
        <v>5749</v>
      </c>
    </row>
    <row r="535" spans="1:22" x14ac:dyDescent="0.25">
      <c r="A535">
        <v>80147</v>
      </c>
      <c r="B535">
        <v>130575268</v>
      </c>
      <c r="C535" t="s">
        <v>2553</v>
      </c>
      <c r="D535">
        <v>248761446</v>
      </c>
      <c r="E535" t="s">
        <v>2052</v>
      </c>
      <c r="F535" t="s">
        <v>431</v>
      </c>
      <c r="G535" t="s">
        <v>149</v>
      </c>
      <c r="H535" t="s">
        <v>150</v>
      </c>
      <c r="I535" t="s">
        <v>88</v>
      </c>
      <c r="J535" t="s">
        <v>151</v>
      </c>
      <c r="K535" t="s">
        <v>2</v>
      </c>
      <c r="L535" t="s">
        <v>2554</v>
      </c>
      <c r="M535" t="s">
        <v>2555</v>
      </c>
      <c r="N535" t="s">
        <v>433</v>
      </c>
      <c r="O535" t="s">
        <v>53</v>
      </c>
      <c r="P535" t="s">
        <v>2556</v>
      </c>
      <c r="Q535" s="14" t="s">
        <v>196</v>
      </c>
      <c r="R535" t="s">
        <v>375</v>
      </c>
      <c r="S535">
        <v>1</v>
      </c>
      <c r="T535">
        <v>4219</v>
      </c>
      <c r="U535">
        <v>0</v>
      </c>
      <c r="V535">
        <v>4219</v>
      </c>
    </row>
    <row r="536" spans="1:22" x14ac:dyDescent="0.25">
      <c r="A536">
        <v>80147</v>
      </c>
      <c r="B536">
        <v>130528330</v>
      </c>
      <c r="C536" t="s">
        <v>2557</v>
      </c>
      <c r="D536">
        <v>248666260</v>
      </c>
      <c r="E536" t="s">
        <v>2052</v>
      </c>
      <c r="F536" t="s">
        <v>431</v>
      </c>
      <c r="G536" t="s">
        <v>149</v>
      </c>
      <c r="H536" t="s">
        <v>150</v>
      </c>
      <c r="I536" t="s">
        <v>88</v>
      </c>
      <c r="J536" t="s">
        <v>151</v>
      </c>
      <c r="K536" t="s">
        <v>2</v>
      </c>
      <c r="L536" t="s">
        <v>2558</v>
      </c>
      <c r="M536" t="s">
        <v>2559</v>
      </c>
      <c r="N536" t="s">
        <v>433</v>
      </c>
      <c r="O536" t="s">
        <v>53</v>
      </c>
      <c r="P536" t="s">
        <v>2560</v>
      </c>
      <c r="Q536" s="14" t="s">
        <v>107</v>
      </c>
      <c r="R536" t="s">
        <v>2511</v>
      </c>
      <c r="S536">
        <v>1</v>
      </c>
      <c r="T536">
        <v>6132</v>
      </c>
      <c r="U536">
        <v>0</v>
      </c>
      <c r="V536">
        <v>6132</v>
      </c>
    </row>
    <row r="537" spans="1:22" x14ac:dyDescent="0.25">
      <c r="A537">
        <v>80147</v>
      </c>
      <c r="B537">
        <v>130484098</v>
      </c>
      <c r="C537" t="s">
        <v>2561</v>
      </c>
      <c r="D537">
        <v>248666320</v>
      </c>
      <c r="E537" t="s">
        <v>2052</v>
      </c>
      <c r="F537" t="s">
        <v>431</v>
      </c>
      <c r="G537" t="s">
        <v>149</v>
      </c>
      <c r="H537" t="s">
        <v>150</v>
      </c>
      <c r="I537" t="s">
        <v>88</v>
      </c>
      <c r="J537" t="s">
        <v>151</v>
      </c>
      <c r="K537" t="s">
        <v>2</v>
      </c>
      <c r="L537" t="s">
        <v>2562</v>
      </c>
      <c r="M537" t="s">
        <v>2563</v>
      </c>
      <c r="N537" t="s">
        <v>433</v>
      </c>
      <c r="O537" t="s">
        <v>53</v>
      </c>
      <c r="P537" t="s">
        <v>2564</v>
      </c>
      <c r="Q537" s="14" t="s">
        <v>98</v>
      </c>
      <c r="R537" t="s">
        <v>2565</v>
      </c>
      <c r="S537">
        <v>1</v>
      </c>
      <c r="T537">
        <v>6348</v>
      </c>
      <c r="U537">
        <v>0</v>
      </c>
      <c r="V537">
        <v>6348</v>
      </c>
    </row>
    <row r="538" spans="1:22" x14ac:dyDescent="0.25">
      <c r="A538">
        <v>80147</v>
      </c>
      <c r="B538">
        <v>130528258</v>
      </c>
      <c r="C538" t="s">
        <v>2566</v>
      </c>
      <c r="D538">
        <v>248666303</v>
      </c>
      <c r="E538" t="s">
        <v>2052</v>
      </c>
      <c r="F538" t="s">
        <v>431</v>
      </c>
      <c r="G538" t="s">
        <v>149</v>
      </c>
      <c r="H538" t="s">
        <v>150</v>
      </c>
      <c r="I538" t="s">
        <v>88</v>
      </c>
      <c r="J538" t="s">
        <v>151</v>
      </c>
      <c r="K538" t="s">
        <v>2</v>
      </c>
      <c r="L538" t="s">
        <v>2567</v>
      </c>
      <c r="M538" t="s">
        <v>2568</v>
      </c>
      <c r="N538" t="s">
        <v>433</v>
      </c>
      <c r="O538" t="s">
        <v>53</v>
      </c>
      <c r="P538" t="s">
        <v>2569</v>
      </c>
      <c r="Q538" s="14" t="s">
        <v>140</v>
      </c>
      <c r="R538" t="s">
        <v>2511</v>
      </c>
      <c r="S538">
        <v>1</v>
      </c>
      <c r="T538">
        <v>4669</v>
      </c>
      <c r="U538">
        <v>0</v>
      </c>
      <c r="V538">
        <v>4669</v>
      </c>
    </row>
    <row r="539" spans="1:22" x14ac:dyDescent="0.25">
      <c r="A539">
        <v>80147</v>
      </c>
      <c r="B539">
        <v>130575272</v>
      </c>
      <c r="C539" t="s">
        <v>2570</v>
      </c>
      <c r="D539">
        <v>248761423</v>
      </c>
      <c r="E539" t="s">
        <v>2052</v>
      </c>
      <c r="F539" t="s">
        <v>431</v>
      </c>
      <c r="G539" t="s">
        <v>149</v>
      </c>
      <c r="H539" t="s">
        <v>150</v>
      </c>
      <c r="I539" t="s">
        <v>88</v>
      </c>
      <c r="J539" t="s">
        <v>151</v>
      </c>
      <c r="K539" t="s">
        <v>2</v>
      </c>
      <c r="L539" t="s">
        <v>2571</v>
      </c>
      <c r="M539" t="s">
        <v>2572</v>
      </c>
      <c r="N539" t="s">
        <v>433</v>
      </c>
      <c r="O539" t="s">
        <v>53</v>
      </c>
      <c r="P539" t="s">
        <v>2573</v>
      </c>
      <c r="Q539" s="14" t="s">
        <v>99</v>
      </c>
      <c r="R539" t="s">
        <v>375</v>
      </c>
      <c r="S539">
        <v>1</v>
      </c>
      <c r="T539">
        <v>4219</v>
      </c>
      <c r="U539">
        <v>0</v>
      </c>
      <c r="V539">
        <v>4219</v>
      </c>
    </row>
    <row r="540" spans="1:22" x14ac:dyDescent="0.25">
      <c r="A540">
        <v>80147</v>
      </c>
      <c r="B540">
        <v>130484096</v>
      </c>
      <c r="C540" t="s">
        <v>2574</v>
      </c>
      <c r="D540">
        <v>248666501</v>
      </c>
      <c r="E540" t="s">
        <v>2052</v>
      </c>
      <c r="F540" t="s">
        <v>431</v>
      </c>
      <c r="G540" t="s">
        <v>149</v>
      </c>
      <c r="H540" t="s">
        <v>150</v>
      </c>
      <c r="I540" t="s">
        <v>88</v>
      </c>
      <c r="J540" t="s">
        <v>151</v>
      </c>
      <c r="K540" t="s">
        <v>2</v>
      </c>
      <c r="L540" t="s">
        <v>2575</v>
      </c>
      <c r="M540" t="s">
        <v>2576</v>
      </c>
      <c r="N540" t="s">
        <v>433</v>
      </c>
      <c r="O540" t="s">
        <v>53</v>
      </c>
      <c r="P540" t="s">
        <v>2577</v>
      </c>
      <c r="Q540" s="14" t="s">
        <v>192</v>
      </c>
      <c r="R540" t="s">
        <v>2565</v>
      </c>
      <c r="S540">
        <v>0.9</v>
      </c>
      <c r="T540">
        <v>4853</v>
      </c>
      <c r="U540">
        <v>0</v>
      </c>
      <c r="V540">
        <v>4853</v>
      </c>
    </row>
    <row r="541" spans="1:22" x14ac:dyDescent="0.25">
      <c r="A541">
        <v>80147</v>
      </c>
      <c r="B541">
        <v>130484090</v>
      </c>
      <c r="C541" t="s">
        <v>2578</v>
      </c>
      <c r="D541">
        <v>248666332</v>
      </c>
      <c r="E541" t="s">
        <v>2052</v>
      </c>
      <c r="F541" t="s">
        <v>431</v>
      </c>
      <c r="G541" t="s">
        <v>149</v>
      </c>
      <c r="H541" t="s">
        <v>150</v>
      </c>
      <c r="I541" t="s">
        <v>88</v>
      </c>
      <c r="J541" t="s">
        <v>151</v>
      </c>
      <c r="K541" t="s">
        <v>2</v>
      </c>
      <c r="L541" t="s">
        <v>2579</v>
      </c>
      <c r="M541" t="s">
        <v>2580</v>
      </c>
      <c r="N541" t="s">
        <v>433</v>
      </c>
      <c r="O541" t="s">
        <v>53</v>
      </c>
      <c r="P541" t="s">
        <v>2581</v>
      </c>
      <c r="Q541" s="14" t="s">
        <v>120</v>
      </c>
      <c r="R541" t="s">
        <v>2565</v>
      </c>
      <c r="S541">
        <v>1</v>
      </c>
      <c r="T541">
        <v>5153</v>
      </c>
      <c r="U541">
        <v>0</v>
      </c>
      <c r="V541">
        <v>5153</v>
      </c>
    </row>
    <row r="542" spans="1:22" x14ac:dyDescent="0.25">
      <c r="A542">
        <v>80147</v>
      </c>
      <c r="B542">
        <v>130575253</v>
      </c>
      <c r="C542" t="s">
        <v>2582</v>
      </c>
      <c r="D542">
        <v>248761459</v>
      </c>
      <c r="E542" t="s">
        <v>2052</v>
      </c>
      <c r="F542" t="s">
        <v>431</v>
      </c>
      <c r="G542" t="s">
        <v>149</v>
      </c>
      <c r="H542" t="s">
        <v>150</v>
      </c>
      <c r="I542" t="s">
        <v>88</v>
      </c>
      <c r="J542" t="s">
        <v>151</v>
      </c>
      <c r="K542" t="s">
        <v>2</v>
      </c>
      <c r="L542" t="s">
        <v>2583</v>
      </c>
      <c r="M542" t="s">
        <v>2584</v>
      </c>
      <c r="N542" t="s">
        <v>433</v>
      </c>
      <c r="O542" t="s">
        <v>53</v>
      </c>
      <c r="P542" t="s">
        <v>2585</v>
      </c>
      <c r="Q542" s="14" t="s">
        <v>38</v>
      </c>
      <c r="R542" t="s">
        <v>375</v>
      </c>
      <c r="S542">
        <v>1</v>
      </c>
      <c r="T542">
        <v>4669</v>
      </c>
      <c r="U542">
        <v>0</v>
      </c>
      <c r="V542">
        <v>4669</v>
      </c>
    </row>
    <row r="543" spans="1:22" x14ac:dyDescent="0.25">
      <c r="A543">
        <v>80147</v>
      </c>
      <c r="B543">
        <v>130528390</v>
      </c>
      <c r="C543" t="s">
        <v>2586</v>
      </c>
      <c r="D543">
        <v>248666163</v>
      </c>
      <c r="E543" t="s">
        <v>2052</v>
      </c>
      <c r="F543" t="s">
        <v>431</v>
      </c>
      <c r="G543" t="s">
        <v>149</v>
      </c>
      <c r="H543" t="s">
        <v>150</v>
      </c>
      <c r="I543" t="s">
        <v>88</v>
      </c>
      <c r="J543" t="s">
        <v>151</v>
      </c>
      <c r="K543" t="s">
        <v>2</v>
      </c>
      <c r="L543" t="s">
        <v>2587</v>
      </c>
      <c r="M543" t="s">
        <v>2588</v>
      </c>
      <c r="N543" t="s">
        <v>433</v>
      </c>
      <c r="O543" t="s">
        <v>53</v>
      </c>
      <c r="P543" t="s">
        <v>2589</v>
      </c>
      <c r="Q543" s="14" t="s">
        <v>124</v>
      </c>
      <c r="R543" t="s">
        <v>2511</v>
      </c>
      <c r="S543">
        <v>1</v>
      </c>
      <c r="T543">
        <v>4219</v>
      </c>
      <c r="U543">
        <v>0</v>
      </c>
      <c r="V543">
        <v>4219</v>
      </c>
    </row>
    <row r="544" spans="1:22" x14ac:dyDescent="0.25">
      <c r="A544">
        <v>80147</v>
      </c>
      <c r="B544">
        <v>130269192</v>
      </c>
      <c r="C544" t="s">
        <v>2590</v>
      </c>
      <c r="D544">
        <v>248150987</v>
      </c>
      <c r="E544" t="s">
        <v>2052</v>
      </c>
      <c r="F544" t="s">
        <v>431</v>
      </c>
      <c r="G544" t="s">
        <v>149</v>
      </c>
      <c r="H544" t="s">
        <v>150</v>
      </c>
      <c r="I544" t="s">
        <v>88</v>
      </c>
      <c r="J544" t="s">
        <v>151</v>
      </c>
      <c r="K544" t="s">
        <v>2</v>
      </c>
      <c r="L544" t="s">
        <v>2591</v>
      </c>
      <c r="M544" t="s">
        <v>2592</v>
      </c>
      <c r="N544" t="s">
        <v>433</v>
      </c>
      <c r="O544" t="s">
        <v>53</v>
      </c>
      <c r="P544" t="s">
        <v>2593</v>
      </c>
      <c r="Q544" s="14" t="s">
        <v>110</v>
      </c>
      <c r="R544" t="s">
        <v>2594</v>
      </c>
      <c r="S544">
        <v>1</v>
      </c>
      <c r="T544">
        <v>6267</v>
      </c>
      <c r="U544">
        <v>0</v>
      </c>
      <c r="V544">
        <v>6267</v>
      </c>
    </row>
    <row r="545" spans="1:22" x14ac:dyDescent="0.25">
      <c r="A545">
        <v>80147</v>
      </c>
      <c r="B545">
        <v>130484088</v>
      </c>
      <c r="C545" t="s">
        <v>2595</v>
      </c>
      <c r="D545">
        <v>248666359</v>
      </c>
      <c r="E545" t="s">
        <v>2052</v>
      </c>
      <c r="F545" t="s">
        <v>431</v>
      </c>
      <c r="G545" t="s">
        <v>149</v>
      </c>
      <c r="H545" t="s">
        <v>150</v>
      </c>
      <c r="I545" t="s">
        <v>88</v>
      </c>
      <c r="J545" t="s">
        <v>151</v>
      </c>
      <c r="K545" t="s">
        <v>2</v>
      </c>
      <c r="L545" t="s">
        <v>2596</v>
      </c>
      <c r="M545" t="s">
        <v>2597</v>
      </c>
      <c r="N545" t="s">
        <v>433</v>
      </c>
      <c r="O545" t="s">
        <v>53</v>
      </c>
      <c r="P545" t="s">
        <v>2598</v>
      </c>
      <c r="Q545" s="14" t="s">
        <v>40</v>
      </c>
      <c r="R545" t="s">
        <v>2565</v>
      </c>
      <c r="S545">
        <v>1</v>
      </c>
      <c r="T545">
        <v>4534</v>
      </c>
      <c r="U545">
        <v>0</v>
      </c>
      <c r="V545">
        <v>4534</v>
      </c>
    </row>
    <row r="546" spans="1:22" x14ac:dyDescent="0.25">
      <c r="A546">
        <v>80147</v>
      </c>
      <c r="B546">
        <v>130528299</v>
      </c>
      <c r="C546" t="s">
        <v>2599</v>
      </c>
      <c r="D546">
        <v>248666267</v>
      </c>
      <c r="E546" t="s">
        <v>2052</v>
      </c>
      <c r="F546" t="s">
        <v>431</v>
      </c>
      <c r="G546" t="s">
        <v>149</v>
      </c>
      <c r="H546" t="s">
        <v>150</v>
      </c>
      <c r="I546" t="s">
        <v>88</v>
      </c>
      <c r="J546" t="s">
        <v>151</v>
      </c>
      <c r="K546" t="s">
        <v>2</v>
      </c>
      <c r="L546" t="s">
        <v>2600</v>
      </c>
      <c r="M546" t="s">
        <v>2601</v>
      </c>
      <c r="N546" t="s">
        <v>433</v>
      </c>
      <c r="O546" t="s">
        <v>53</v>
      </c>
      <c r="P546" t="s">
        <v>2602</v>
      </c>
      <c r="Q546" s="14" t="s">
        <v>196</v>
      </c>
      <c r="R546" t="s">
        <v>2511</v>
      </c>
      <c r="S546">
        <v>1</v>
      </c>
      <c r="T546">
        <v>4219</v>
      </c>
      <c r="U546">
        <v>0</v>
      </c>
      <c r="V546">
        <v>4219</v>
      </c>
    </row>
    <row r="547" spans="1:22" x14ac:dyDescent="0.25">
      <c r="A547">
        <v>80147</v>
      </c>
      <c r="B547">
        <v>130528351</v>
      </c>
      <c r="C547" t="s">
        <v>2603</v>
      </c>
      <c r="D547">
        <v>248666227</v>
      </c>
      <c r="E547" t="s">
        <v>2052</v>
      </c>
      <c r="F547" t="s">
        <v>431</v>
      </c>
      <c r="G547" t="s">
        <v>149</v>
      </c>
      <c r="H547" t="s">
        <v>150</v>
      </c>
      <c r="I547" t="s">
        <v>88</v>
      </c>
      <c r="J547" t="s">
        <v>151</v>
      </c>
      <c r="K547" t="s">
        <v>2</v>
      </c>
      <c r="L547" t="s">
        <v>2604</v>
      </c>
      <c r="M547" t="s">
        <v>2605</v>
      </c>
      <c r="N547" t="s">
        <v>433</v>
      </c>
      <c r="O547" t="s">
        <v>53</v>
      </c>
      <c r="P547" t="s">
        <v>2606</v>
      </c>
      <c r="Q547" s="14" t="s">
        <v>120</v>
      </c>
      <c r="R547" t="s">
        <v>2511</v>
      </c>
      <c r="S547">
        <v>1</v>
      </c>
      <c r="T547">
        <v>5153</v>
      </c>
      <c r="U547">
        <v>0</v>
      </c>
      <c r="V547">
        <v>5153</v>
      </c>
    </row>
    <row r="548" spans="1:22" x14ac:dyDescent="0.25">
      <c r="A548">
        <v>80147</v>
      </c>
      <c r="B548">
        <v>130575244</v>
      </c>
      <c r="C548" t="s">
        <v>2607</v>
      </c>
      <c r="D548">
        <v>248761453</v>
      </c>
      <c r="E548" t="s">
        <v>2052</v>
      </c>
      <c r="F548" t="s">
        <v>431</v>
      </c>
      <c r="G548" t="s">
        <v>149</v>
      </c>
      <c r="H548" t="s">
        <v>150</v>
      </c>
      <c r="I548" t="s">
        <v>88</v>
      </c>
      <c r="J548" t="s">
        <v>151</v>
      </c>
      <c r="K548" t="s">
        <v>2</v>
      </c>
      <c r="L548" t="s">
        <v>2608</v>
      </c>
      <c r="M548" t="s">
        <v>2609</v>
      </c>
      <c r="N548" t="s">
        <v>433</v>
      </c>
      <c r="O548" t="s">
        <v>53</v>
      </c>
      <c r="P548" t="s">
        <v>2610</v>
      </c>
      <c r="Q548" s="14" t="s">
        <v>107</v>
      </c>
      <c r="R548" t="s">
        <v>375</v>
      </c>
      <c r="S548">
        <v>1</v>
      </c>
      <c r="T548">
        <v>6132</v>
      </c>
      <c r="U548">
        <v>0</v>
      </c>
      <c r="V548">
        <v>6132</v>
      </c>
    </row>
    <row r="549" spans="1:22" x14ac:dyDescent="0.25">
      <c r="A549">
        <v>80147</v>
      </c>
      <c r="B549">
        <v>130528383</v>
      </c>
      <c r="C549" t="s">
        <v>2611</v>
      </c>
      <c r="D549">
        <v>248666200</v>
      </c>
      <c r="E549" t="s">
        <v>2052</v>
      </c>
      <c r="F549" t="s">
        <v>431</v>
      </c>
      <c r="G549" t="s">
        <v>149</v>
      </c>
      <c r="H549" t="s">
        <v>150</v>
      </c>
      <c r="I549" t="s">
        <v>88</v>
      </c>
      <c r="J549" t="s">
        <v>151</v>
      </c>
      <c r="K549" t="s">
        <v>2</v>
      </c>
      <c r="L549" t="s">
        <v>2612</v>
      </c>
      <c r="M549" t="s">
        <v>2118</v>
      </c>
      <c r="N549" t="s">
        <v>433</v>
      </c>
      <c r="O549" t="s">
        <v>53</v>
      </c>
      <c r="P549" t="s">
        <v>2119</v>
      </c>
      <c r="Q549" s="14" t="s">
        <v>142</v>
      </c>
      <c r="R549" t="s">
        <v>2511</v>
      </c>
      <c r="S549">
        <v>1</v>
      </c>
      <c r="T549">
        <v>4219</v>
      </c>
      <c r="U549">
        <v>0</v>
      </c>
      <c r="V549">
        <v>4219</v>
      </c>
    </row>
    <row r="550" spans="1:22" x14ac:dyDescent="0.25">
      <c r="A550">
        <v>80147</v>
      </c>
      <c r="B550">
        <v>130528385</v>
      </c>
      <c r="C550" t="s">
        <v>2613</v>
      </c>
      <c r="D550">
        <v>248666171</v>
      </c>
      <c r="E550" t="s">
        <v>2052</v>
      </c>
      <c r="F550" t="s">
        <v>431</v>
      </c>
      <c r="G550" t="s">
        <v>149</v>
      </c>
      <c r="H550" t="s">
        <v>150</v>
      </c>
      <c r="I550" t="s">
        <v>88</v>
      </c>
      <c r="J550" t="s">
        <v>151</v>
      </c>
      <c r="K550" t="s">
        <v>2</v>
      </c>
      <c r="L550" t="s">
        <v>2614</v>
      </c>
      <c r="M550" t="s">
        <v>2615</v>
      </c>
      <c r="N550" t="s">
        <v>433</v>
      </c>
      <c r="O550" t="s">
        <v>53</v>
      </c>
      <c r="P550" t="s">
        <v>2616</v>
      </c>
      <c r="Q550" s="14" t="s">
        <v>109</v>
      </c>
      <c r="R550" t="s">
        <v>2511</v>
      </c>
      <c r="S550">
        <v>1</v>
      </c>
      <c r="T550">
        <v>4669</v>
      </c>
      <c r="U550">
        <v>0</v>
      </c>
      <c r="V550">
        <v>4669</v>
      </c>
    </row>
    <row r="551" spans="1:22" x14ac:dyDescent="0.25">
      <c r="A551">
        <v>80147</v>
      </c>
      <c r="B551">
        <v>130528357</v>
      </c>
      <c r="C551" t="s">
        <v>2617</v>
      </c>
      <c r="D551">
        <v>248666216</v>
      </c>
      <c r="E551" t="s">
        <v>2052</v>
      </c>
      <c r="F551" t="s">
        <v>431</v>
      </c>
      <c r="G551" t="s">
        <v>149</v>
      </c>
      <c r="H551" t="s">
        <v>150</v>
      </c>
      <c r="I551" t="s">
        <v>88</v>
      </c>
      <c r="J551" t="s">
        <v>151</v>
      </c>
      <c r="K551" t="s">
        <v>2</v>
      </c>
      <c r="L551" t="s">
        <v>2618</v>
      </c>
      <c r="M551" t="s">
        <v>264</v>
      </c>
      <c r="N551" t="s">
        <v>433</v>
      </c>
      <c r="O551" t="s">
        <v>53</v>
      </c>
      <c r="P551" t="s">
        <v>2619</v>
      </c>
      <c r="Q551" s="14" t="s">
        <v>119</v>
      </c>
      <c r="R551" t="s">
        <v>2511</v>
      </c>
      <c r="S551">
        <v>1</v>
      </c>
      <c r="T551">
        <v>5749</v>
      </c>
      <c r="U551">
        <v>0</v>
      </c>
      <c r="V551">
        <v>5749</v>
      </c>
    </row>
    <row r="552" spans="1:22" x14ac:dyDescent="0.25">
      <c r="A552">
        <v>80147</v>
      </c>
      <c r="B552">
        <v>130575269</v>
      </c>
      <c r="C552" t="s">
        <v>2620</v>
      </c>
      <c r="D552">
        <v>248761429</v>
      </c>
      <c r="E552" t="s">
        <v>2052</v>
      </c>
      <c r="F552" t="s">
        <v>431</v>
      </c>
      <c r="G552" t="s">
        <v>149</v>
      </c>
      <c r="H552" t="s">
        <v>150</v>
      </c>
      <c r="I552" t="s">
        <v>88</v>
      </c>
      <c r="J552" t="s">
        <v>151</v>
      </c>
      <c r="K552" t="s">
        <v>2</v>
      </c>
      <c r="L552" t="s">
        <v>2621</v>
      </c>
      <c r="M552" t="s">
        <v>2622</v>
      </c>
      <c r="N552" t="s">
        <v>433</v>
      </c>
      <c r="O552" t="s">
        <v>53</v>
      </c>
      <c r="P552" t="s">
        <v>2623</v>
      </c>
      <c r="Q552" s="14" t="s">
        <v>113</v>
      </c>
      <c r="R552" t="s">
        <v>375</v>
      </c>
      <c r="S552">
        <v>1</v>
      </c>
      <c r="T552">
        <v>4973</v>
      </c>
      <c r="U552">
        <v>0</v>
      </c>
      <c r="V552">
        <v>4973</v>
      </c>
    </row>
    <row r="553" spans="1:22" x14ac:dyDescent="0.25">
      <c r="A553">
        <v>80147</v>
      </c>
      <c r="B553">
        <v>130528262</v>
      </c>
      <c r="C553" t="s">
        <v>2624</v>
      </c>
      <c r="D553">
        <v>248666287</v>
      </c>
      <c r="E553" t="s">
        <v>2052</v>
      </c>
      <c r="F553" t="s">
        <v>431</v>
      </c>
      <c r="G553" t="s">
        <v>149</v>
      </c>
      <c r="H553" t="s">
        <v>150</v>
      </c>
      <c r="I553" t="s">
        <v>88</v>
      </c>
      <c r="J553" t="s">
        <v>151</v>
      </c>
      <c r="K553" t="s">
        <v>2</v>
      </c>
      <c r="L553" t="s">
        <v>2625</v>
      </c>
      <c r="M553" t="s">
        <v>2626</v>
      </c>
      <c r="N553" t="s">
        <v>433</v>
      </c>
      <c r="O553" t="s">
        <v>53</v>
      </c>
      <c r="P553" t="s">
        <v>2627</v>
      </c>
      <c r="Q553" s="14" t="s">
        <v>38</v>
      </c>
      <c r="R553" t="s">
        <v>2511</v>
      </c>
      <c r="S553">
        <v>1</v>
      </c>
      <c r="T553">
        <v>4669</v>
      </c>
      <c r="U553">
        <v>0</v>
      </c>
      <c r="V553">
        <v>4669</v>
      </c>
    </row>
    <row r="554" spans="1:22" x14ac:dyDescent="0.25">
      <c r="A554">
        <v>80147</v>
      </c>
      <c r="B554">
        <v>130528371</v>
      </c>
      <c r="C554" t="s">
        <v>2628</v>
      </c>
      <c r="D554">
        <v>248666206</v>
      </c>
      <c r="E554" t="s">
        <v>2052</v>
      </c>
      <c r="F554" t="s">
        <v>431</v>
      </c>
      <c r="G554" t="s">
        <v>149</v>
      </c>
      <c r="H554" t="s">
        <v>150</v>
      </c>
      <c r="I554" t="s">
        <v>88</v>
      </c>
      <c r="J554" t="s">
        <v>151</v>
      </c>
      <c r="K554" t="s">
        <v>2</v>
      </c>
      <c r="L554" t="s">
        <v>2629</v>
      </c>
      <c r="M554" t="s">
        <v>2630</v>
      </c>
      <c r="N554" t="s">
        <v>433</v>
      </c>
      <c r="O554" t="s">
        <v>53</v>
      </c>
      <c r="P554" t="s">
        <v>2631</v>
      </c>
      <c r="Q554" s="14" t="s">
        <v>137</v>
      </c>
      <c r="R554" t="s">
        <v>2511</v>
      </c>
      <c r="S554">
        <v>1</v>
      </c>
      <c r="T554">
        <v>4219</v>
      </c>
      <c r="U554">
        <v>0</v>
      </c>
      <c r="V554">
        <v>4219</v>
      </c>
    </row>
    <row r="555" spans="1:22" x14ac:dyDescent="0.25">
      <c r="A555">
        <v>80147</v>
      </c>
      <c r="B555">
        <v>130575273</v>
      </c>
      <c r="C555" t="s">
        <v>2632</v>
      </c>
      <c r="D555">
        <v>248761415</v>
      </c>
      <c r="E555" t="s">
        <v>2052</v>
      </c>
      <c r="F555" t="s">
        <v>431</v>
      </c>
      <c r="G555" t="s">
        <v>149</v>
      </c>
      <c r="H555" t="s">
        <v>150</v>
      </c>
      <c r="I555" t="s">
        <v>88</v>
      </c>
      <c r="J555" t="s">
        <v>151</v>
      </c>
      <c r="K555" t="s">
        <v>2</v>
      </c>
      <c r="L555" t="s">
        <v>2633</v>
      </c>
      <c r="M555" t="s">
        <v>2634</v>
      </c>
      <c r="N555" t="s">
        <v>433</v>
      </c>
      <c r="O555" t="s">
        <v>53</v>
      </c>
      <c r="P555" t="s">
        <v>2635</v>
      </c>
      <c r="Q555" s="14" t="s">
        <v>124</v>
      </c>
      <c r="R555" t="s">
        <v>375</v>
      </c>
      <c r="S555">
        <v>0.9</v>
      </c>
      <c r="T555">
        <v>4219</v>
      </c>
      <c r="U555">
        <v>0</v>
      </c>
      <c r="V555">
        <v>4219</v>
      </c>
    </row>
    <row r="556" spans="1:22" x14ac:dyDescent="0.25">
      <c r="A556">
        <v>80147</v>
      </c>
      <c r="B556">
        <v>130528280</v>
      </c>
      <c r="C556" t="s">
        <v>2636</v>
      </c>
      <c r="D556">
        <v>248666271</v>
      </c>
      <c r="E556" t="s">
        <v>2052</v>
      </c>
      <c r="F556" t="s">
        <v>431</v>
      </c>
      <c r="G556" t="s">
        <v>149</v>
      </c>
      <c r="H556" t="s">
        <v>150</v>
      </c>
      <c r="I556" t="s">
        <v>88</v>
      </c>
      <c r="J556" t="s">
        <v>151</v>
      </c>
      <c r="K556" t="s">
        <v>2</v>
      </c>
      <c r="L556" t="s">
        <v>2637</v>
      </c>
      <c r="M556" t="s">
        <v>2638</v>
      </c>
      <c r="N556" t="s">
        <v>433</v>
      </c>
      <c r="O556" t="s">
        <v>53</v>
      </c>
      <c r="P556" t="s">
        <v>2639</v>
      </c>
      <c r="Q556" s="14" t="s">
        <v>38</v>
      </c>
      <c r="R556" t="s">
        <v>2511</v>
      </c>
      <c r="S556">
        <v>1</v>
      </c>
      <c r="T556">
        <v>4669</v>
      </c>
      <c r="U556">
        <v>0</v>
      </c>
      <c r="V556">
        <v>4669</v>
      </c>
    </row>
    <row r="557" spans="1:22" x14ac:dyDescent="0.25">
      <c r="A557">
        <v>80147</v>
      </c>
      <c r="B557">
        <v>130484099</v>
      </c>
      <c r="C557" t="s">
        <v>2640</v>
      </c>
      <c r="D557">
        <v>248666294</v>
      </c>
      <c r="E557" t="s">
        <v>2052</v>
      </c>
      <c r="F557" t="s">
        <v>431</v>
      </c>
      <c r="G557" t="s">
        <v>149</v>
      </c>
      <c r="H557" t="s">
        <v>150</v>
      </c>
      <c r="I557" t="s">
        <v>88</v>
      </c>
      <c r="J557" t="s">
        <v>151</v>
      </c>
      <c r="K557" t="s">
        <v>2</v>
      </c>
      <c r="L557" t="s">
        <v>2641</v>
      </c>
      <c r="M557" t="s">
        <v>2642</v>
      </c>
      <c r="N557" t="s">
        <v>433</v>
      </c>
      <c r="O557" t="s">
        <v>53</v>
      </c>
      <c r="P557" t="s">
        <v>2643</v>
      </c>
      <c r="Q557" s="14" t="s">
        <v>122</v>
      </c>
      <c r="R557" t="s">
        <v>2565</v>
      </c>
      <c r="S557">
        <v>1</v>
      </c>
      <c r="T557">
        <v>4973</v>
      </c>
      <c r="U557">
        <v>0</v>
      </c>
      <c r="V557">
        <v>4973</v>
      </c>
    </row>
    <row r="558" spans="1:22" x14ac:dyDescent="0.25">
      <c r="A558">
        <v>80147</v>
      </c>
      <c r="B558">
        <v>130469933</v>
      </c>
      <c r="C558" t="s">
        <v>2644</v>
      </c>
      <c r="D558">
        <v>248666363</v>
      </c>
      <c r="E558" t="s">
        <v>2052</v>
      </c>
      <c r="F558" t="s">
        <v>431</v>
      </c>
      <c r="G558" t="s">
        <v>149</v>
      </c>
      <c r="H558" t="s">
        <v>150</v>
      </c>
      <c r="I558" t="s">
        <v>88</v>
      </c>
      <c r="J558" t="s">
        <v>151</v>
      </c>
      <c r="K558" t="s">
        <v>2</v>
      </c>
      <c r="L558" t="s">
        <v>2645</v>
      </c>
      <c r="M558" t="s">
        <v>2646</v>
      </c>
      <c r="N558" t="s">
        <v>433</v>
      </c>
      <c r="O558" t="s">
        <v>53</v>
      </c>
      <c r="P558" t="s">
        <v>2647</v>
      </c>
      <c r="Q558" s="14" t="s">
        <v>137</v>
      </c>
      <c r="R558" t="s">
        <v>2498</v>
      </c>
      <c r="S558">
        <v>1</v>
      </c>
      <c r="T558">
        <v>4219</v>
      </c>
      <c r="U558">
        <v>0</v>
      </c>
      <c r="V558">
        <v>4219</v>
      </c>
    </row>
    <row r="559" spans="1:22" x14ac:dyDescent="0.25">
      <c r="A559">
        <v>80147</v>
      </c>
      <c r="B559">
        <v>130464394</v>
      </c>
      <c r="C559" t="s">
        <v>2648</v>
      </c>
      <c r="D559">
        <v>248494617</v>
      </c>
      <c r="E559" t="s">
        <v>2052</v>
      </c>
      <c r="F559" t="s">
        <v>431</v>
      </c>
      <c r="G559" t="s">
        <v>149</v>
      </c>
      <c r="H559" t="s">
        <v>150</v>
      </c>
      <c r="I559" t="s">
        <v>88</v>
      </c>
      <c r="J559" t="s">
        <v>151</v>
      </c>
      <c r="K559" t="s">
        <v>2</v>
      </c>
      <c r="L559" t="s">
        <v>2649</v>
      </c>
      <c r="M559" t="s">
        <v>2650</v>
      </c>
      <c r="N559" t="s">
        <v>433</v>
      </c>
      <c r="O559" t="s">
        <v>53</v>
      </c>
      <c r="P559" t="s">
        <v>2651</v>
      </c>
      <c r="Q559" s="14" t="s">
        <v>128</v>
      </c>
      <c r="R559" t="s">
        <v>2652</v>
      </c>
      <c r="S559">
        <v>1</v>
      </c>
      <c r="T559">
        <v>7864</v>
      </c>
      <c r="U559">
        <v>0</v>
      </c>
      <c r="V559">
        <v>7864</v>
      </c>
    </row>
    <row r="560" spans="1:22" x14ac:dyDescent="0.25">
      <c r="A560">
        <v>80147</v>
      </c>
      <c r="B560">
        <v>130252235</v>
      </c>
      <c r="C560" t="s">
        <v>2653</v>
      </c>
      <c r="D560" t="s">
        <v>2654</v>
      </c>
      <c r="E560" t="s">
        <v>2052</v>
      </c>
      <c r="F560" t="s">
        <v>431</v>
      </c>
      <c r="G560" t="s">
        <v>39</v>
      </c>
      <c r="H560" t="s">
        <v>153</v>
      </c>
      <c r="I560" t="s">
        <v>88</v>
      </c>
      <c r="J560" t="s">
        <v>154</v>
      </c>
      <c r="K560" t="s">
        <v>2</v>
      </c>
      <c r="L560" t="s">
        <v>155</v>
      </c>
      <c r="M560" t="s">
        <v>2655</v>
      </c>
      <c r="N560" t="s">
        <v>433</v>
      </c>
      <c r="O560" t="s">
        <v>53</v>
      </c>
      <c r="P560" t="s">
        <v>2656</v>
      </c>
      <c r="Q560" s="14" t="s">
        <v>320</v>
      </c>
      <c r="R560" t="s">
        <v>2657</v>
      </c>
      <c r="S560">
        <v>7.13</v>
      </c>
      <c r="T560">
        <v>23024</v>
      </c>
      <c r="U560">
        <v>0</v>
      </c>
      <c r="V560">
        <v>23024</v>
      </c>
    </row>
    <row r="561" spans="1:22" x14ac:dyDescent="0.25">
      <c r="A561">
        <v>80147</v>
      </c>
      <c r="B561">
        <v>130455785</v>
      </c>
      <c r="C561" t="s">
        <v>2658</v>
      </c>
      <c r="D561">
        <v>248494603</v>
      </c>
      <c r="E561" t="s">
        <v>2052</v>
      </c>
      <c r="F561" t="s">
        <v>431</v>
      </c>
      <c r="G561" t="s">
        <v>149</v>
      </c>
      <c r="H561" t="s">
        <v>150</v>
      </c>
      <c r="I561" t="s">
        <v>88</v>
      </c>
      <c r="J561" t="s">
        <v>151</v>
      </c>
      <c r="K561" t="s">
        <v>2</v>
      </c>
      <c r="L561" t="s">
        <v>2659</v>
      </c>
      <c r="M561" t="s">
        <v>2660</v>
      </c>
      <c r="N561" t="s">
        <v>433</v>
      </c>
      <c r="O561" t="s">
        <v>53</v>
      </c>
      <c r="P561" t="s">
        <v>2661</v>
      </c>
      <c r="Q561" s="14" t="s">
        <v>152</v>
      </c>
      <c r="R561" t="s">
        <v>2662</v>
      </c>
      <c r="S561">
        <v>1</v>
      </c>
      <c r="T561">
        <v>4219</v>
      </c>
      <c r="U561">
        <v>0</v>
      </c>
      <c r="V561">
        <v>4219</v>
      </c>
    </row>
    <row r="562" spans="1:22" x14ac:dyDescent="0.25">
      <c r="A562">
        <v>80147</v>
      </c>
      <c r="B562">
        <v>130464391</v>
      </c>
      <c r="C562" t="s">
        <v>2663</v>
      </c>
      <c r="D562">
        <v>248494609</v>
      </c>
      <c r="E562" t="s">
        <v>2052</v>
      </c>
      <c r="F562" t="s">
        <v>431</v>
      </c>
      <c r="G562" t="s">
        <v>149</v>
      </c>
      <c r="H562" t="s">
        <v>150</v>
      </c>
      <c r="I562" t="s">
        <v>88</v>
      </c>
      <c r="J562" t="s">
        <v>151</v>
      </c>
      <c r="K562" t="s">
        <v>2</v>
      </c>
      <c r="L562" t="s">
        <v>2664</v>
      </c>
      <c r="M562" t="s">
        <v>2665</v>
      </c>
      <c r="N562" t="s">
        <v>433</v>
      </c>
      <c r="O562" t="s">
        <v>53</v>
      </c>
      <c r="P562" t="s">
        <v>2666</v>
      </c>
      <c r="Q562" s="14" t="s">
        <v>135</v>
      </c>
      <c r="R562" t="s">
        <v>2652</v>
      </c>
      <c r="S562">
        <v>1</v>
      </c>
      <c r="T562">
        <v>4219</v>
      </c>
      <c r="U562">
        <v>0</v>
      </c>
      <c r="V562">
        <v>4219</v>
      </c>
    </row>
    <row r="563" spans="1:22" x14ac:dyDescent="0.25">
      <c r="A563">
        <v>80147</v>
      </c>
      <c r="B563">
        <v>130432549</v>
      </c>
      <c r="C563" t="s">
        <v>2667</v>
      </c>
      <c r="D563">
        <v>248416073</v>
      </c>
      <c r="E563" t="s">
        <v>2052</v>
      </c>
      <c r="F563" t="s">
        <v>431</v>
      </c>
      <c r="G563" t="s">
        <v>149</v>
      </c>
      <c r="H563" t="s">
        <v>150</v>
      </c>
      <c r="I563" t="s">
        <v>88</v>
      </c>
      <c r="J563" t="s">
        <v>151</v>
      </c>
      <c r="K563" t="s">
        <v>2</v>
      </c>
      <c r="L563" t="s">
        <v>2668</v>
      </c>
      <c r="M563" t="s">
        <v>2669</v>
      </c>
      <c r="N563" t="s">
        <v>433</v>
      </c>
      <c r="O563" t="s">
        <v>53</v>
      </c>
      <c r="P563" t="s">
        <v>2670</v>
      </c>
      <c r="Q563" s="14" t="s">
        <v>129</v>
      </c>
      <c r="R563" t="s">
        <v>253</v>
      </c>
      <c r="S563">
        <v>1</v>
      </c>
      <c r="T563">
        <v>7212</v>
      </c>
      <c r="U563">
        <v>0</v>
      </c>
      <c r="V563">
        <v>7212</v>
      </c>
    </row>
    <row r="564" spans="1:22" x14ac:dyDescent="0.25">
      <c r="A564">
        <v>80147</v>
      </c>
      <c r="B564">
        <v>130432531</v>
      </c>
      <c r="C564" t="s">
        <v>2671</v>
      </c>
      <c r="D564">
        <v>248416104</v>
      </c>
      <c r="E564" t="s">
        <v>2052</v>
      </c>
      <c r="F564" t="s">
        <v>431</v>
      </c>
      <c r="G564" t="s">
        <v>149</v>
      </c>
      <c r="H564" t="s">
        <v>150</v>
      </c>
      <c r="I564" t="s">
        <v>88</v>
      </c>
      <c r="J564" t="s">
        <v>151</v>
      </c>
      <c r="K564" t="s">
        <v>2</v>
      </c>
      <c r="L564" t="s">
        <v>2672</v>
      </c>
      <c r="M564" t="s">
        <v>2673</v>
      </c>
      <c r="N564" t="s">
        <v>433</v>
      </c>
      <c r="O564" t="s">
        <v>53</v>
      </c>
      <c r="P564" t="s">
        <v>2674</v>
      </c>
      <c r="Q564" s="14" t="s">
        <v>119</v>
      </c>
      <c r="R564" t="s">
        <v>253</v>
      </c>
      <c r="S564">
        <v>1</v>
      </c>
      <c r="T564">
        <v>5749</v>
      </c>
      <c r="U564">
        <v>0</v>
      </c>
      <c r="V564">
        <v>5749</v>
      </c>
    </row>
    <row r="565" spans="1:22" x14ac:dyDescent="0.25">
      <c r="A565">
        <v>80147</v>
      </c>
      <c r="B565">
        <v>130432536</v>
      </c>
      <c r="C565" t="s">
        <v>2675</v>
      </c>
      <c r="D565">
        <v>248416086</v>
      </c>
      <c r="E565" t="s">
        <v>2052</v>
      </c>
      <c r="F565" t="s">
        <v>431</v>
      </c>
      <c r="G565" t="s">
        <v>149</v>
      </c>
      <c r="H565" t="s">
        <v>150</v>
      </c>
      <c r="I565" t="s">
        <v>88</v>
      </c>
      <c r="J565" t="s">
        <v>151</v>
      </c>
      <c r="K565" t="s">
        <v>2</v>
      </c>
      <c r="L565" t="s">
        <v>2676</v>
      </c>
      <c r="M565" t="s">
        <v>2677</v>
      </c>
      <c r="N565" t="s">
        <v>433</v>
      </c>
      <c r="O565" t="s">
        <v>53</v>
      </c>
      <c r="P565" t="s">
        <v>2678</v>
      </c>
      <c r="Q565" s="14" t="s">
        <v>124</v>
      </c>
      <c r="R565" t="s">
        <v>253</v>
      </c>
      <c r="S565">
        <v>1</v>
      </c>
      <c r="T565">
        <v>4219</v>
      </c>
      <c r="U565">
        <v>0</v>
      </c>
      <c r="V565">
        <v>4219</v>
      </c>
    </row>
    <row r="566" spans="1:22" x14ac:dyDescent="0.25">
      <c r="A566">
        <v>80147</v>
      </c>
      <c r="B566">
        <v>130395473</v>
      </c>
      <c r="C566" t="s">
        <v>2679</v>
      </c>
      <c r="D566">
        <v>248330563</v>
      </c>
      <c r="E566" t="s">
        <v>2052</v>
      </c>
      <c r="F566" t="s">
        <v>431</v>
      </c>
      <c r="G566" t="s">
        <v>149</v>
      </c>
      <c r="H566" t="s">
        <v>150</v>
      </c>
      <c r="I566" t="s">
        <v>88</v>
      </c>
      <c r="J566" t="s">
        <v>151</v>
      </c>
      <c r="K566" t="s">
        <v>2</v>
      </c>
      <c r="L566" t="s">
        <v>2680</v>
      </c>
      <c r="M566" t="s">
        <v>2681</v>
      </c>
      <c r="N566" t="s">
        <v>433</v>
      </c>
      <c r="O566" t="s">
        <v>53</v>
      </c>
      <c r="P566" t="s">
        <v>2682</v>
      </c>
      <c r="Q566" s="14" t="s">
        <v>97</v>
      </c>
      <c r="R566" t="s">
        <v>358</v>
      </c>
      <c r="S566">
        <v>1</v>
      </c>
      <c r="T566">
        <v>8415</v>
      </c>
      <c r="U566">
        <v>0</v>
      </c>
      <c r="V566">
        <v>8415</v>
      </c>
    </row>
    <row r="567" spans="1:22" x14ac:dyDescent="0.25">
      <c r="A567">
        <v>80147</v>
      </c>
      <c r="B567">
        <v>130432520</v>
      </c>
      <c r="C567" t="s">
        <v>2683</v>
      </c>
      <c r="D567">
        <v>248416093</v>
      </c>
      <c r="E567" t="s">
        <v>2052</v>
      </c>
      <c r="F567" t="s">
        <v>431</v>
      </c>
      <c r="G567" t="s">
        <v>149</v>
      </c>
      <c r="H567" t="s">
        <v>150</v>
      </c>
      <c r="I567" t="s">
        <v>88</v>
      </c>
      <c r="J567" t="s">
        <v>151</v>
      </c>
      <c r="K567" t="s">
        <v>2</v>
      </c>
      <c r="L567" t="s">
        <v>2684</v>
      </c>
      <c r="M567" t="s">
        <v>2685</v>
      </c>
      <c r="N567" t="s">
        <v>433</v>
      </c>
      <c r="O567" t="s">
        <v>53</v>
      </c>
      <c r="P567" t="s">
        <v>2686</v>
      </c>
      <c r="Q567" s="14" t="s">
        <v>92</v>
      </c>
      <c r="R567" t="s">
        <v>253</v>
      </c>
      <c r="S567">
        <v>1</v>
      </c>
      <c r="T567">
        <v>4669</v>
      </c>
      <c r="U567">
        <v>0</v>
      </c>
      <c r="V567">
        <v>4669</v>
      </c>
    </row>
    <row r="568" spans="1:22" x14ac:dyDescent="0.25">
      <c r="A568">
        <v>80147</v>
      </c>
      <c r="B568">
        <v>130395483</v>
      </c>
      <c r="C568" t="s">
        <v>2687</v>
      </c>
      <c r="D568">
        <v>248330503</v>
      </c>
      <c r="E568" t="s">
        <v>2052</v>
      </c>
      <c r="F568" t="s">
        <v>431</v>
      </c>
      <c r="G568" t="s">
        <v>149</v>
      </c>
      <c r="H568" t="s">
        <v>150</v>
      </c>
      <c r="I568" t="s">
        <v>88</v>
      </c>
      <c r="J568" t="s">
        <v>151</v>
      </c>
      <c r="K568" t="s">
        <v>2</v>
      </c>
      <c r="L568" t="s">
        <v>2688</v>
      </c>
      <c r="M568" t="s">
        <v>2689</v>
      </c>
      <c r="N568" t="s">
        <v>433</v>
      </c>
      <c r="O568" t="s">
        <v>53</v>
      </c>
      <c r="P568" t="s">
        <v>2690</v>
      </c>
      <c r="Q568" s="14" t="s">
        <v>142</v>
      </c>
      <c r="R568" t="s">
        <v>358</v>
      </c>
      <c r="S568">
        <v>5.4</v>
      </c>
      <c r="T568">
        <v>5513</v>
      </c>
      <c r="U568">
        <v>0</v>
      </c>
      <c r="V568">
        <v>5513</v>
      </c>
    </row>
    <row r="569" spans="1:22" x14ac:dyDescent="0.25">
      <c r="A569">
        <v>80147</v>
      </c>
      <c r="B569">
        <v>130395476</v>
      </c>
      <c r="C569" t="s">
        <v>2691</v>
      </c>
      <c r="D569">
        <v>248330542</v>
      </c>
      <c r="E569" t="s">
        <v>2052</v>
      </c>
      <c r="F569" t="s">
        <v>431</v>
      </c>
      <c r="G569" t="s">
        <v>149</v>
      </c>
      <c r="H569" t="s">
        <v>150</v>
      </c>
      <c r="I569" t="s">
        <v>88</v>
      </c>
      <c r="J569" t="s">
        <v>151</v>
      </c>
      <c r="K569" t="s">
        <v>2</v>
      </c>
      <c r="L569" t="s">
        <v>2692</v>
      </c>
      <c r="M569" t="s">
        <v>2693</v>
      </c>
      <c r="N569" t="s">
        <v>433</v>
      </c>
      <c r="O569" t="s">
        <v>53</v>
      </c>
      <c r="P569" t="s">
        <v>2694</v>
      </c>
      <c r="Q569" s="14" t="s">
        <v>122</v>
      </c>
      <c r="R569" t="s">
        <v>358</v>
      </c>
      <c r="S569">
        <v>3.44</v>
      </c>
      <c r="T569">
        <v>6008</v>
      </c>
      <c r="U569">
        <v>0</v>
      </c>
      <c r="V569">
        <v>6008</v>
      </c>
    </row>
    <row r="570" spans="1:22" x14ac:dyDescent="0.25">
      <c r="A570">
        <v>80147</v>
      </c>
      <c r="B570">
        <v>130395479</v>
      </c>
      <c r="C570" t="s">
        <v>2695</v>
      </c>
      <c r="D570">
        <v>248330531</v>
      </c>
      <c r="E570" t="s">
        <v>2052</v>
      </c>
      <c r="F570" t="s">
        <v>431</v>
      </c>
      <c r="G570" t="s">
        <v>149</v>
      </c>
      <c r="H570" t="s">
        <v>150</v>
      </c>
      <c r="I570" t="s">
        <v>88</v>
      </c>
      <c r="J570" t="s">
        <v>151</v>
      </c>
      <c r="K570" t="s">
        <v>2</v>
      </c>
      <c r="L570" t="s">
        <v>2696</v>
      </c>
      <c r="M570" t="s">
        <v>2697</v>
      </c>
      <c r="N570" t="s">
        <v>433</v>
      </c>
      <c r="O570" t="s">
        <v>53</v>
      </c>
      <c r="P570" t="s">
        <v>2698</v>
      </c>
      <c r="Q570" s="14" t="s">
        <v>112</v>
      </c>
      <c r="R570" t="s">
        <v>358</v>
      </c>
      <c r="S570">
        <v>1</v>
      </c>
      <c r="T570">
        <v>4669</v>
      </c>
      <c r="U570">
        <v>0</v>
      </c>
      <c r="V570">
        <v>4669</v>
      </c>
    </row>
    <row r="571" spans="1:22" x14ac:dyDescent="0.25">
      <c r="A571">
        <v>80147</v>
      </c>
      <c r="B571">
        <v>130395471</v>
      </c>
      <c r="C571" t="s">
        <v>2699</v>
      </c>
      <c r="D571">
        <v>248330565</v>
      </c>
      <c r="E571" t="s">
        <v>2052</v>
      </c>
      <c r="F571" t="s">
        <v>431</v>
      </c>
      <c r="G571" t="s">
        <v>149</v>
      </c>
      <c r="H571" t="s">
        <v>150</v>
      </c>
      <c r="I571" t="s">
        <v>88</v>
      </c>
      <c r="J571" t="s">
        <v>151</v>
      </c>
      <c r="K571" t="s">
        <v>2</v>
      </c>
      <c r="L571" t="s">
        <v>2700</v>
      </c>
      <c r="M571" t="s">
        <v>2701</v>
      </c>
      <c r="N571" t="s">
        <v>433</v>
      </c>
      <c r="O571" t="s">
        <v>53</v>
      </c>
      <c r="P571" t="s">
        <v>2702</v>
      </c>
      <c r="Q571" s="14" t="s">
        <v>111</v>
      </c>
      <c r="R571" t="s">
        <v>358</v>
      </c>
      <c r="S571">
        <v>1</v>
      </c>
      <c r="T571">
        <v>5817</v>
      </c>
      <c r="U571">
        <v>0</v>
      </c>
      <c r="V571">
        <v>5817</v>
      </c>
    </row>
    <row r="572" spans="1:22" x14ac:dyDescent="0.25">
      <c r="A572">
        <v>80147</v>
      </c>
      <c r="B572">
        <v>130395481</v>
      </c>
      <c r="C572" t="s">
        <v>2703</v>
      </c>
      <c r="D572">
        <v>248330524</v>
      </c>
      <c r="E572" t="s">
        <v>2052</v>
      </c>
      <c r="F572" t="s">
        <v>431</v>
      </c>
      <c r="G572" t="s">
        <v>149</v>
      </c>
      <c r="H572" t="s">
        <v>150</v>
      </c>
      <c r="I572" t="s">
        <v>88</v>
      </c>
      <c r="J572" t="s">
        <v>151</v>
      </c>
      <c r="K572" t="s">
        <v>2</v>
      </c>
      <c r="L572" t="s">
        <v>2704</v>
      </c>
      <c r="M572" t="s">
        <v>2705</v>
      </c>
      <c r="N572" t="s">
        <v>433</v>
      </c>
      <c r="O572" t="s">
        <v>53</v>
      </c>
      <c r="P572" t="s">
        <v>2706</v>
      </c>
      <c r="Q572" s="14" t="s">
        <v>108</v>
      </c>
      <c r="R572" t="s">
        <v>358</v>
      </c>
      <c r="S572">
        <v>1</v>
      </c>
      <c r="T572">
        <v>5502</v>
      </c>
      <c r="U572">
        <v>0</v>
      </c>
      <c r="V572">
        <v>5502</v>
      </c>
    </row>
    <row r="573" spans="1:22" x14ac:dyDescent="0.25">
      <c r="A573">
        <v>80147</v>
      </c>
      <c r="B573">
        <v>130111426</v>
      </c>
      <c r="C573" t="s">
        <v>2707</v>
      </c>
      <c r="D573">
        <v>247668224</v>
      </c>
      <c r="E573" t="s">
        <v>2052</v>
      </c>
      <c r="F573" t="s">
        <v>431</v>
      </c>
      <c r="G573" t="s">
        <v>149</v>
      </c>
      <c r="H573" t="s">
        <v>150</v>
      </c>
      <c r="I573" t="s">
        <v>88</v>
      </c>
      <c r="J573" t="s">
        <v>151</v>
      </c>
      <c r="K573" t="s">
        <v>2</v>
      </c>
      <c r="L573" t="s">
        <v>2708</v>
      </c>
      <c r="M573" t="s">
        <v>2709</v>
      </c>
      <c r="N573" t="s">
        <v>433</v>
      </c>
      <c r="O573" t="s">
        <v>53</v>
      </c>
      <c r="P573" t="s">
        <v>2710</v>
      </c>
      <c r="Q573" s="14" t="s">
        <v>168</v>
      </c>
      <c r="R573" t="s">
        <v>2711</v>
      </c>
      <c r="S573">
        <v>1</v>
      </c>
      <c r="T573">
        <v>6480</v>
      </c>
      <c r="U573">
        <v>0</v>
      </c>
      <c r="V573">
        <v>6480</v>
      </c>
    </row>
    <row r="574" spans="1:22" x14ac:dyDescent="0.25">
      <c r="A574">
        <v>80147</v>
      </c>
      <c r="B574">
        <v>130395470</v>
      </c>
      <c r="C574" t="s">
        <v>2712</v>
      </c>
      <c r="D574">
        <v>248330568</v>
      </c>
      <c r="E574" t="s">
        <v>2052</v>
      </c>
      <c r="F574" t="s">
        <v>431</v>
      </c>
      <c r="G574" t="s">
        <v>149</v>
      </c>
      <c r="H574" t="s">
        <v>150</v>
      </c>
      <c r="I574" t="s">
        <v>88</v>
      </c>
      <c r="J574" t="s">
        <v>151</v>
      </c>
      <c r="K574" t="s">
        <v>2</v>
      </c>
      <c r="L574" t="s">
        <v>2713</v>
      </c>
      <c r="M574" t="s">
        <v>2714</v>
      </c>
      <c r="N574" t="s">
        <v>433</v>
      </c>
      <c r="O574" t="s">
        <v>53</v>
      </c>
      <c r="P574" t="s">
        <v>2715</v>
      </c>
      <c r="Q574" s="14" t="s">
        <v>93</v>
      </c>
      <c r="R574" t="s">
        <v>358</v>
      </c>
      <c r="S574">
        <v>1</v>
      </c>
      <c r="T574">
        <v>4737</v>
      </c>
      <c r="U574">
        <v>0</v>
      </c>
      <c r="V574">
        <v>4737</v>
      </c>
    </row>
    <row r="575" spans="1:22" x14ac:dyDescent="0.25">
      <c r="A575">
        <v>80147</v>
      </c>
      <c r="B575">
        <v>130311822</v>
      </c>
      <c r="C575" t="s">
        <v>2716</v>
      </c>
      <c r="D575">
        <v>248150841</v>
      </c>
      <c r="E575" t="s">
        <v>2052</v>
      </c>
      <c r="F575" t="s">
        <v>431</v>
      </c>
      <c r="G575" t="s">
        <v>149</v>
      </c>
      <c r="H575" t="s">
        <v>150</v>
      </c>
      <c r="I575" t="s">
        <v>88</v>
      </c>
      <c r="J575" t="s">
        <v>151</v>
      </c>
      <c r="K575" t="s">
        <v>2</v>
      </c>
      <c r="L575" t="s">
        <v>2717</v>
      </c>
      <c r="M575" t="s">
        <v>2718</v>
      </c>
      <c r="N575" t="s">
        <v>433</v>
      </c>
      <c r="O575" t="s">
        <v>53</v>
      </c>
      <c r="P575" t="s">
        <v>2719</v>
      </c>
      <c r="Q575" s="14" t="s">
        <v>128</v>
      </c>
      <c r="R575" t="s">
        <v>2462</v>
      </c>
      <c r="S575">
        <v>1</v>
      </c>
      <c r="T575">
        <v>7864</v>
      </c>
      <c r="U575">
        <v>0</v>
      </c>
      <c r="V575">
        <v>7864</v>
      </c>
    </row>
    <row r="576" spans="1:22" x14ac:dyDescent="0.25">
      <c r="A576">
        <v>80147</v>
      </c>
      <c r="B576">
        <v>130311850</v>
      </c>
      <c r="C576" t="s">
        <v>2720</v>
      </c>
      <c r="D576">
        <v>248150664</v>
      </c>
      <c r="E576" t="s">
        <v>2052</v>
      </c>
      <c r="F576" t="s">
        <v>431</v>
      </c>
      <c r="G576" t="s">
        <v>149</v>
      </c>
      <c r="H576" t="s">
        <v>150</v>
      </c>
      <c r="I576" t="s">
        <v>88</v>
      </c>
      <c r="J576" t="s">
        <v>151</v>
      </c>
      <c r="K576" t="s">
        <v>2</v>
      </c>
      <c r="L576" t="s">
        <v>2721</v>
      </c>
      <c r="M576" t="s">
        <v>2722</v>
      </c>
      <c r="N576" t="s">
        <v>433</v>
      </c>
      <c r="O576" t="s">
        <v>53</v>
      </c>
      <c r="P576" t="s">
        <v>2723</v>
      </c>
      <c r="Q576" s="14" t="s">
        <v>167</v>
      </c>
      <c r="R576" t="s">
        <v>2462</v>
      </c>
      <c r="S576">
        <v>1</v>
      </c>
      <c r="T576">
        <v>7212</v>
      </c>
      <c r="U576">
        <v>0</v>
      </c>
      <c r="V576">
        <v>7212</v>
      </c>
    </row>
    <row r="577" spans="1:22" x14ac:dyDescent="0.25">
      <c r="A577">
        <v>80147</v>
      </c>
      <c r="B577">
        <v>130311842</v>
      </c>
      <c r="C577" t="s">
        <v>2724</v>
      </c>
      <c r="D577">
        <v>248150704</v>
      </c>
      <c r="E577" t="s">
        <v>2052</v>
      </c>
      <c r="F577" t="s">
        <v>431</v>
      </c>
      <c r="G577" t="s">
        <v>149</v>
      </c>
      <c r="H577" t="s">
        <v>150</v>
      </c>
      <c r="I577" t="s">
        <v>88</v>
      </c>
      <c r="J577" t="s">
        <v>151</v>
      </c>
      <c r="K577" t="s">
        <v>2</v>
      </c>
      <c r="L577" t="s">
        <v>2725</v>
      </c>
      <c r="M577" t="s">
        <v>2726</v>
      </c>
      <c r="N577" t="s">
        <v>433</v>
      </c>
      <c r="O577" t="s">
        <v>53</v>
      </c>
      <c r="P577" t="s">
        <v>2727</v>
      </c>
      <c r="Q577" s="14" t="s">
        <v>129</v>
      </c>
      <c r="R577" t="s">
        <v>2462</v>
      </c>
      <c r="S577">
        <v>1</v>
      </c>
      <c r="T577">
        <v>7212</v>
      </c>
      <c r="U577">
        <v>0</v>
      </c>
      <c r="V577">
        <v>7212</v>
      </c>
    </row>
    <row r="578" spans="1:22" x14ac:dyDescent="0.25">
      <c r="A578">
        <v>80147</v>
      </c>
      <c r="B578">
        <v>130311819</v>
      </c>
      <c r="C578" t="s">
        <v>2728</v>
      </c>
      <c r="D578">
        <v>248150853</v>
      </c>
      <c r="E578" t="s">
        <v>2052</v>
      </c>
      <c r="F578" t="s">
        <v>431</v>
      </c>
      <c r="G578" t="s">
        <v>149</v>
      </c>
      <c r="H578" t="s">
        <v>150</v>
      </c>
      <c r="I578" t="s">
        <v>88</v>
      </c>
      <c r="J578" t="s">
        <v>151</v>
      </c>
      <c r="K578" t="s">
        <v>2</v>
      </c>
      <c r="L578" t="s">
        <v>2729</v>
      </c>
      <c r="M578" t="s">
        <v>2730</v>
      </c>
      <c r="N578" t="s">
        <v>433</v>
      </c>
      <c r="O578" t="s">
        <v>53</v>
      </c>
      <c r="P578" t="s">
        <v>2731</v>
      </c>
      <c r="Q578" s="14" t="s">
        <v>128</v>
      </c>
      <c r="R578" t="s">
        <v>2462</v>
      </c>
      <c r="S578">
        <v>1</v>
      </c>
      <c r="T578">
        <v>7864</v>
      </c>
      <c r="U578">
        <v>0</v>
      </c>
      <c r="V578">
        <v>7864</v>
      </c>
    </row>
    <row r="579" spans="1:22" x14ac:dyDescent="0.25">
      <c r="A579">
        <v>80147</v>
      </c>
      <c r="B579">
        <v>130356931</v>
      </c>
      <c r="C579" t="s">
        <v>2732</v>
      </c>
      <c r="D579">
        <v>248240134</v>
      </c>
      <c r="E579" t="s">
        <v>2052</v>
      </c>
      <c r="F579" t="s">
        <v>431</v>
      </c>
      <c r="G579" t="s">
        <v>149</v>
      </c>
      <c r="H579" t="s">
        <v>150</v>
      </c>
      <c r="I579" t="s">
        <v>88</v>
      </c>
      <c r="J579" t="s">
        <v>151</v>
      </c>
      <c r="K579" t="s">
        <v>2</v>
      </c>
      <c r="L579" t="s">
        <v>2733</v>
      </c>
      <c r="M579" t="s">
        <v>2734</v>
      </c>
      <c r="N579" t="s">
        <v>433</v>
      </c>
      <c r="O579" t="s">
        <v>53</v>
      </c>
      <c r="P579" t="s">
        <v>2735</v>
      </c>
      <c r="Q579" s="14" t="s">
        <v>111</v>
      </c>
      <c r="R579" t="s">
        <v>425</v>
      </c>
      <c r="S579">
        <v>0.9</v>
      </c>
      <c r="T579">
        <v>5817</v>
      </c>
      <c r="U579">
        <v>0</v>
      </c>
      <c r="V579">
        <v>5817</v>
      </c>
    </row>
    <row r="580" spans="1:22" x14ac:dyDescent="0.25">
      <c r="A580">
        <v>80147</v>
      </c>
      <c r="B580">
        <v>130311855</v>
      </c>
      <c r="C580" t="s">
        <v>2736</v>
      </c>
      <c r="D580">
        <v>248150658</v>
      </c>
      <c r="E580" t="s">
        <v>2052</v>
      </c>
      <c r="F580" t="s">
        <v>431</v>
      </c>
      <c r="G580" t="s">
        <v>149</v>
      </c>
      <c r="H580" t="s">
        <v>150</v>
      </c>
      <c r="I580" t="s">
        <v>88</v>
      </c>
      <c r="J580" t="s">
        <v>151</v>
      </c>
      <c r="K580" t="s">
        <v>2</v>
      </c>
      <c r="L580" t="s">
        <v>2737</v>
      </c>
      <c r="M580" t="s">
        <v>2738</v>
      </c>
      <c r="N580" t="s">
        <v>433</v>
      </c>
      <c r="O580" t="s">
        <v>53</v>
      </c>
      <c r="P580" t="s">
        <v>2739</v>
      </c>
      <c r="Q580" s="14" t="s">
        <v>97</v>
      </c>
      <c r="R580" t="s">
        <v>2462</v>
      </c>
      <c r="S580">
        <v>1</v>
      </c>
      <c r="T580">
        <v>8415</v>
      </c>
      <c r="U580">
        <v>0</v>
      </c>
      <c r="V580">
        <v>8415</v>
      </c>
    </row>
    <row r="581" spans="1:22" x14ac:dyDescent="0.25">
      <c r="A581">
        <v>80147</v>
      </c>
      <c r="B581">
        <v>130311809</v>
      </c>
      <c r="C581" t="s">
        <v>2740</v>
      </c>
      <c r="D581">
        <v>248150904</v>
      </c>
      <c r="E581" t="s">
        <v>2052</v>
      </c>
      <c r="F581" t="s">
        <v>431</v>
      </c>
      <c r="G581" t="s">
        <v>149</v>
      </c>
      <c r="H581" t="s">
        <v>150</v>
      </c>
      <c r="I581" t="s">
        <v>88</v>
      </c>
      <c r="J581" t="s">
        <v>151</v>
      </c>
      <c r="K581" t="s">
        <v>2</v>
      </c>
      <c r="L581" t="s">
        <v>2741</v>
      </c>
      <c r="M581" t="s">
        <v>2742</v>
      </c>
      <c r="N581" t="s">
        <v>433</v>
      </c>
      <c r="O581" t="s">
        <v>53</v>
      </c>
      <c r="P581" t="s">
        <v>2743</v>
      </c>
      <c r="Q581" s="14" t="s">
        <v>167</v>
      </c>
      <c r="R581" t="s">
        <v>2462</v>
      </c>
      <c r="S581">
        <v>1</v>
      </c>
      <c r="T581">
        <v>7212</v>
      </c>
      <c r="U581">
        <v>0</v>
      </c>
      <c r="V581">
        <v>7212</v>
      </c>
    </row>
    <row r="582" spans="1:22" x14ac:dyDescent="0.25">
      <c r="A582">
        <v>80147</v>
      </c>
      <c r="B582">
        <v>130311815</v>
      </c>
      <c r="C582" t="s">
        <v>2744</v>
      </c>
      <c r="D582">
        <v>248150863</v>
      </c>
      <c r="E582" t="s">
        <v>2052</v>
      </c>
      <c r="F582" t="s">
        <v>431</v>
      </c>
      <c r="G582" t="s">
        <v>149</v>
      </c>
      <c r="H582" t="s">
        <v>150</v>
      </c>
      <c r="I582" t="s">
        <v>88</v>
      </c>
      <c r="J582" t="s">
        <v>151</v>
      </c>
      <c r="K582" t="s">
        <v>2</v>
      </c>
      <c r="L582" t="s">
        <v>2745</v>
      </c>
      <c r="M582" t="s">
        <v>2746</v>
      </c>
      <c r="N582" t="s">
        <v>433</v>
      </c>
      <c r="O582" t="s">
        <v>53</v>
      </c>
      <c r="P582" t="s">
        <v>2747</v>
      </c>
      <c r="Q582" s="14" t="s">
        <v>128</v>
      </c>
      <c r="R582" t="s">
        <v>2462</v>
      </c>
      <c r="S582">
        <v>1</v>
      </c>
      <c r="T582">
        <v>7864</v>
      </c>
      <c r="U582">
        <v>0</v>
      </c>
      <c r="V582">
        <v>7864</v>
      </c>
    </row>
    <row r="583" spans="1:22" x14ac:dyDescent="0.25">
      <c r="A583">
        <v>80147</v>
      </c>
      <c r="B583">
        <v>130269195</v>
      </c>
      <c r="C583" t="s">
        <v>2748</v>
      </c>
      <c r="D583">
        <v>248150934</v>
      </c>
      <c r="E583" t="s">
        <v>2052</v>
      </c>
      <c r="F583" t="s">
        <v>431</v>
      </c>
      <c r="G583" t="s">
        <v>149</v>
      </c>
      <c r="H583" t="s">
        <v>150</v>
      </c>
      <c r="I583" t="s">
        <v>88</v>
      </c>
      <c r="J583" t="s">
        <v>151</v>
      </c>
      <c r="K583" t="s">
        <v>2</v>
      </c>
      <c r="L583" t="s">
        <v>2749</v>
      </c>
      <c r="M583" t="s">
        <v>336</v>
      </c>
      <c r="N583" t="s">
        <v>433</v>
      </c>
      <c r="O583" t="s">
        <v>53</v>
      </c>
      <c r="P583" t="s">
        <v>2750</v>
      </c>
      <c r="Q583" s="14" t="s">
        <v>128</v>
      </c>
      <c r="R583" t="s">
        <v>2594</v>
      </c>
      <c r="S583">
        <v>1</v>
      </c>
      <c r="T583">
        <v>7864</v>
      </c>
      <c r="U583">
        <v>0</v>
      </c>
      <c r="V583">
        <v>7864</v>
      </c>
    </row>
    <row r="584" spans="1:22" x14ac:dyDescent="0.25">
      <c r="A584">
        <v>80147</v>
      </c>
      <c r="B584">
        <v>130269197</v>
      </c>
      <c r="C584" t="s">
        <v>2751</v>
      </c>
      <c r="D584">
        <v>248150929</v>
      </c>
      <c r="E584" t="s">
        <v>2052</v>
      </c>
      <c r="F584" t="s">
        <v>431</v>
      </c>
      <c r="G584" t="s">
        <v>149</v>
      </c>
      <c r="H584" t="s">
        <v>150</v>
      </c>
      <c r="I584" t="s">
        <v>88</v>
      </c>
      <c r="J584" t="s">
        <v>151</v>
      </c>
      <c r="K584" t="s">
        <v>2</v>
      </c>
      <c r="L584" t="s">
        <v>2752</v>
      </c>
      <c r="M584" t="s">
        <v>265</v>
      </c>
      <c r="N584" t="s">
        <v>433</v>
      </c>
      <c r="O584" t="s">
        <v>53</v>
      </c>
      <c r="P584" t="s">
        <v>2753</v>
      </c>
      <c r="Q584" s="14" t="s">
        <v>111</v>
      </c>
      <c r="R584" t="s">
        <v>2594</v>
      </c>
      <c r="S584">
        <v>1</v>
      </c>
      <c r="T584">
        <v>5817</v>
      </c>
      <c r="U584">
        <v>0</v>
      </c>
      <c r="V584">
        <v>5817</v>
      </c>
    </row>
    <row r="585" spans="1:22" x14ac:dyDescent="0.25">
      <c r="A585">
        <v>80147</v>
      </c>
      <c r="B585">
        <v>130311814</v>
      </c>
      <c r="C585" t="s">
        <v>2754</v>
      </c>
      <c r="D585">
        <v>248150873</v>
      </c>
      <c r="E585" t="s">
        <v>2052</v>
      </c>
      <c r="F585" t="s">
        <v>431</v>
      </c>
      <c r="G585" t="s">
        <v>149</v>
      </c>
      <c r="H585" t="s">
        <v>150</v>
      </c>
      <c r="I585" t="s">
        <v>88</v>
      </c>
      <c r="J585" t="s">
        <v>151</v>
      </c>
      <c r="K585" t="s">
        <v>2</v>
      </c>
      <c r="L585" t="s">
        <v>2755</v>
      </c>
      <c r="M585" t="s">
        <v>2756</v>
      </c>
      <c r="N585" t="s">
        <v>433</v>
      </c>
      <c r="O585" t="s">
        <v>53</v>
      </c>
      <c r="P585" t="s">
        <v>2757</v>
      </c>
      <c r="Q585" s="14" t="s">
        <v>91</v>
      </c>
      <c r="R585" t="s">
        <v>2462</v>
      </c>
      <c r="S585">
        <v>1</v>
      </c>
      <c r="T585">
        <v>4669</v>
      </c>
      <c r="U585">
        <v>0</v>
      </c>
      <c r="V585">
        <v>4669</v>
      </c>
    </row>
    <row r="586" spans="1:22" x14ac:dyDescent="0.25">
      <c r="A586">
        <v>80147</v>
      </c>
      <c r="B586">
        <v>130311832</v>
      </c>
      <c r="C586" t="s">
        <v>2758</v>
      </c>
      <c r="D586">
        <v>248150777</v>
      </c>
      <c r="E586" t="s">
        <v>2052</v>
      </c>
      <c r="F586" t="s">
        <v>431</v>
      </c>
      <c r="G586" t="s">
        <v>149</v>
      </c>
      <c r="H586" t="s">
        <v>150</v>
      </c>
      <c r="I586" t="s">
        <v>88</v>
      </c>
      <c r="J586" t="s">
        <v>151</v>
      </c>
      <c r="K586" t="s">
        <v>2</v>
      </c>
      <c r="L586" t="s">
        <v>2759</v>
      </c>
      <c r="M586" t="s">
        <v>2760</v>
      </c>
      <c r="N586" t="s">
        <v>433</v>
      </c>
      <c r="O586" t="s">
        <v>53</v>
      </c>
      <c r="P586" t="s">
        <v>2761</v>
      </c>
      <c r="Q586" s="14" t="s">
        <v>92</v>
      </c>
      <c r="R586" t="s">
        <v>2462</v>
      </c>
      <c r="S586">
        <v>1</v>
      </c>
      <c r="T586">
        <v>4669</v>
      </c>
      <c r="U586">
        <v>0</v>
      </c>
      <c r="V586">
        <v>4669</v>
      </c>
    </row>
    <row r="587" spans="1:22" x14ac:dyDescent="0.25">
      <c r="A587">
        <v>80147</v>
      </c>
      <c r="B587">
        <v>130269194</v>
      </c>
      <c r="C587" t="s">
        <v>2762</v>
      </c>
      <c r="D587">
        <v>248150951</v>
      </c>
      <c r="E587" t="s">
        <v>2052</v>
      </c>
      <c r="F587" t="s">
        <v>431</v>
      </c>
      <c r="G587" t="s">
        <v>149</v>
      </c>
      <c r="H587" t="s">
        <v>150</v>
      </c>
      <c r="I587" t="s">
        <v>88</v>
      </c>
      <c r="J587" t="s">
        <v>151</v>
      </c>
      <c r="K587" t="s">
        <v>2</v>
      </c>
      <c r="L587" t="s">
        <v>2763</v>
      </c>
      <c r="M587" t="s">
        <v>2764</v>
      </c>
      <c r="N587" t="s">
        <v>433</v>
      </c>
      <c r="O587" t="s">
        <v>53</v>
      </c>
      <c r="P587" t="s">
        <v>2765</v>
      </c>
      <c r="Q587" s="14" t="s">
        <v>95</v>
      </c>
      <c r="R587" t="s">
        <v>2594</v>
      </c>
      <c r="S587">
        <v>1</v>
      </c>
      <c r="T587">
        <v>5749</v>
      </c>
      <c r="U587">
        <v>0</v>
      </c>
      <c r="V587">
        <v>5749</v>
      </c>
    </row>
    <row r="588" spans="1:22" x14ac:dyDescent="0.25">
      <c r="A588">
        <v>80147</v>
      </c>
      <c r="B588">
        <v>130311837</v>
      </c>
      <c r="C588" t="s">
        <v>2766</v>
      </c>
      <c r="D588">
        <v>248150725</v>
      </c>
      <c r="E588" t="s">
        <v>2052</v>
      </c>
      <c r="F588" t="s">
        <v>431</v>
      </c>
      <c r="G588" t="s">
        <v>149</v>
      </c>
      <c r="H588" t="s">
        <v>150</v>
      </c>
      <c r="I588" t="s">
        <v>88</v>
      </c>
      <c r="J588" t="s">
        <v>151</v>
      </c>
      <c r="K588" t="s">
        <v>2</v>
      </c>
      <c r="L588" t="s">
        <v>2767</v>
      </c>
      <c r="M588" t="s">
        <v>2768</v>
      </c>
      <c r="N588" t="s">
        <v>433</v>
      </c>
      <c r="O588" t="s">
        <v>53</v>
      </c>
      <c r="P588" t="s">
        <v>2769</v>
      </c>
      <c r="Q588" s="14" t="s">
        <v>203</v>
      </c>
      <c r="R588" t="s">
        <v>2462</v>
      </c>
      <c r="S588">
        <v>1</v>
      </c>
      <c r="T588">
        <v>5837</v>
      </c>
      <c r="U588">
        <v>0</v>
      </c>
      <c r="V588">
        <v>5837</v>
      </c>
    </row>
    <row r="589" spans="1:22" x14ac:dyDescent="0.25">
      <c r="A589">
        <v>80147</v>
      </c>
      <c r="B589">
        <v>130311835</v>
      </c>
      <c r="C589" t="s">
        <v>2770</v>
      </c>
      <c r="D589">
        <v>248150742</v>
      </c>
      <c r="E589" t="s">
        <v>2052</v>
      </c>
      <c r="F589" t="s">
        <v>431</v>
      </c>
      <c r="G589" t="s">
        <v>149</v>
      </c>
      <c r="H589" t="s">
        <v>150</v>
      </c>
      <c r="I589" t="s">
        <v>88</v>
      </c>
      <c r="J589" t="s">
        <v>151</v>
      </c>
      <c r="K589" t="s">
        <v>2</v>
      </c>
      <c r="L589" t="s">
        <v>2771</v>
      </c>
      <c r="M589" t="s">
        <v>2772</v>
      </c>
      <c r="N589" t="s">
        <v>433</v>
      </c>
      <c r="O589" t="s">
        <v>53</v>
      </c>
      <c r="P589" t="s">
        <v>2773</v>
      </c>
      <c r="Q589" s="14" t="s">
        <v>120</v>
      </c>
      <c r="R589" t="s">
        <v>2462</v>
      </c>
      <c r="S589">
        <v>6.29</v>
      </c>
      <c r="T589">
        <v>7673</v>
      </c>
      <c r="U589">
        <v>0</v>
      </c>
      <c r="V589">
        <v>7673</v>
      </c>
    </row>
    <row r="590" spans="1:22" x14ac:dyDescent="0.25">
      <c r="A590">
        <v>80147</v>
      </c>
      <c r="B590">
        <v>130311846</v>
      </c>
      <c r="C590" t="s">
        <v>2774</v>
      </c>
      <c r="D590">
        <v>248150673</v>
      </c>
      <c r="E590" t="s">
        <v>2052</v>
      </c>
      <c r="F590" t="s">
        <v>431</v>
      </c>
      <c r="G590" t="s">
        <v>149</v>
      </c>
      <c r="H590" t="s">
        <v>150</v>
      </c>
      <c r="I590" t="s">
        <v>88</v>
      </c>
      <c r="J590" t="s">
        <v>151</v>
      </c>
      <c r="K590" t="s">
        <v>2</v>
      </c>
      <c r="L590" t="s">
        <v>2775</v>
      </c>
      <c r="M590" t="s">
        <v>2776</v>
      </c>
      <c r="N590" t="s">
        <v>433</v>
      </c>
      <c r="O590" t="s">
        <v>53</v>
      </c>
      <c r="P590" t="s">
        <v>2777</v>
      </c>
      <c r="Q590" s="14" t="s">
        <v>91</v>
      </c>
      <c r="R590" t="s">
        <v>2462</v>
      </c>
      <c r="S590">
        <v>5.94</v>
      </c>
      <c r="T590">
        <v>6537</v>
      </c>
      <c r="U590">
        <v>0</v>
      </c>
      <c r="V590">
        <v>6537</v>
      </c>
    </row>
    <row r="591" spans="1:22" x14ac:dyDescent="0.25">
      <c r="A591">
        <v>80147</v>
      </c>
      <c r="B591">
        <v>130274527</v>
      </c>
      <c r="C591" t="s">
        <v>2778</v>
      </c>
      <c r="D591">
        <v>248150915</v>
      </c>
      <c r="E591" t="s">
        <v>2052</v>
      </c>
      <c r="F591" t="s">
        <v>431</v>
      </c>
      <c r="G591" t="s">
        <v>149</v>
      </c>
      <c r="H591" t="s">
        <v>150</v>
      </c>
      <c r="I591" t="s">
        <v>88</v>
      </c>
      <c r="J591" t="s">
        <v>151</v>
      </c>
      <c r="K591" t="s">
        <v>2</v>
      </c>
      <c r="L591" t="s">
        <v>2779</v>
      </c>
      <c r="M591" t="s">
        <v>2780</v>
      </c>
      <c r="N591" t="s">
        <v>433</v>
      </c>
      <c r="O591" t="s">
        <v>53</v>
      </c>
      <c r="P591" t="s">
        <v>2781</v>
      </c>
      <c r="Q591" s="14" t="s">
        <v>109</v>
      </c>
      <c r="R591" t="s">
        <v>2485</v>
      </c>
      <c r="S591">
        <v>1</v>
      </c>
      <c r="T591">
        <v>4669</v>
      </c>
      <c r="U591">
        <v>0</v>
      </c>
      <c r="V591">
        <v>4669</v>
      </c>
    </row>
    <row r="592" spans="1:22" x14ac:dyDescent="0.25">
      <c r="A592">
        <v>80147</v>
      </c>
      <c r="B592">
        <v>130311808</v>
      </c>
      <c r="C592" t="s">
        <v>2782</v>
      </c>
      <c r="D592">
        <v>248150892</v>
      </c>
      <c r="E592" t="s">
        <v>2052</v>
      </c>
      <c r="F592" t="s">
        <v>431</v>
      </c>
      <c r="G592" t="s">
        <v>149</v>
      </c>
      <c r="H592" t="s">
        <v>150</v>
      </c>
      <c r="I592" t="s">
        <v>88</v>
      </c>
      <c r="J592" t="s">
        <v>151</v>
      </c>
      <c r="K592" t="s">
        <v>2</v>
      </c>
      <c r="L592" t="s">
        <v>2783</v>
      </c>
      <c r="M592" t="s">
        <v>2784</v>
      </c>
      <c r="N592" t="s">
        <v>433</v>
      </c>
      <c r="O592" t="s">
        <v>53</v>
      </c>
      <c r="P592" t="s">
        <v>2785</v>
      </c>
      <c r="Q592" s="14" t="s">
        <v>40</v>
      </c>
      <c r="R592" t="s">
        <v>2462</v>
      </c>
      <c r="S592">
        <v>1</v>
      </c>
      <c r="T592">
        <v>4534</v>
      </c>
      <c r="U592">
        <v>0</v>
      </c>
      <c r="V592">
        <v>4534</v>
      </c>
    </row>
    <row r="593" spans="1:22" x14ac:dyDescent="0.25">
      <c r="A593">
        <v>80147</v>
      </c>
      <c r="B593">
        <v>130311834</v>
      </c>
      <c r="C593" t="s">
        <v>2786</v>
      </c>
      <c r="D593">
        <v>248150752</v>
      </c>
      <c r="E593" t="s">
        <v>2052</v>
      </c>
      <c r="F593" t="s">
        <v>431</v>
      </c>
      <c r="G593" t="s">
        <v>149</v>
      </c>
      <c r="H593" t="s">
        <v>150</v>
      </c>
      <c r="I593" t="s">
        <v>88</v>
      </c>
      <c r="J593" t="s">
        <v>151</v>
      </c>
      <c r="K593" t="s">
        <v>2</v>
      </c>
      <c r="L593" t="s">
        <v>2535</v>
      </c>
      <c r="M593" t="s">
        <v>2787</v>
      </c>
      <c r="N593" t="s">
        <v>433</v>
      </c>
      <c r="O593" t="s">
        <v>53</v>
      </c>
      <c r="P593" t="s">
        <v>2788</v>
      </c>
      <c r="Q593" s="14" t="s">
        <v>124</v>
      </c>
      <c r="R593" t="s">
        <v>2462</v>
      </c>
      <c r="S593">
        <v>1</v>
      </c>
      <c r="T593">
        <v>4219</v>
      </c>
      <c r="U593">
        <v>0</v>
      </c>
      <c r="V593">
        <v>4219</v>
      </c>
    </row>
    <row r="594" spans="1:22" x14ac:dyDescent="0.25">
      <c r="A594">
        <v>80147</v>
      </c>
      <c r="B594">
        <v>130311856</v>
      </c>
      <c r="C594" t="s">
        <v>2789</v>
      </c>
      <c r="D594">
        <v>248150633</v>
      </c>
      <c r="E594" t="s">
        <v>2052</v>
      </c>
      <c r="F594" t="s">
        <v>431</v>
      </c>
      <c r="G594" t="s">
        <v>149</v>
      </c>
      <c r="H594" t="s">
        <v>150</v>
      </c>
      <c r="I594" t="s">
        <v>88</v>
      </c>
      <c r="J594" t="s">
        <v>151</v>
      </c>
      <c r="K594" t="s">
        <v>2</v>
      </c>
      <c r="L594" t="s">
        <v>2790</v>
      </c>
      <c r="M594" t="s">
        <v>2791</v>
      </c>
      <c r="N594" t="s">
        <v>433</v>
      </c>
      <c r="O594" t="s">
        <v>53</v>
      </c>
      <c r="P594" t="s">
        <v>2792</v>
      </c>
      <c r="Q594" s="14" t="s">
        <v>40</v>
      </c>
      <c r="R594" t="s">
        <v>2462</v>
      </c>
      <c r="S594">
        <v>1</v>
      </c>
      <c r="T594">
        <v>4534</v>
      </c>
      <c r="U594">
        <v>0</v>
      </c>
      <c r="V594">
        <v>4534</v>
      </c>
    </row>
    <row r="595" spans="1:22" x14ac:dyDescent="0.25">
      <c r="A595">
        <v>80147</v>
      </c>
      <c r="B595">
        <v>130975916</v>
      </c>
      <c r="C595" t="s">
        <v>2793</v>
      </c>
      <c r="D595" t="s">
        <v>2794</v>
      </c>
      <c r="E595" t="s">
        <v>2052</v>
      </c>
      <c r="F595" t="s">
        <v>431</v>
      </c>
      <c r="G595" t="s">
        <v>86</v>
      </c>
      <c r="H595" t="s">
        <v>87</v>
      </c>
      <c r="I595" t="s">
        <v>88</v>
      </c>
      <c r="J595" t="s">
        <v>89</v>
      </c>
      <c r="K595" t="s">
        <v>2</v>
      </c>
      <c r="L595" t="s">
        <v>90</v>
      </c>
      <c r="M595" t="s">
        <v>2795</v>
      </c>
      <c r="N595" t="s">
        <v>433</v>
      </c>
      <c r="O595" t="s">
        <v>53</v>
      </c>
      <c r="P595" t="s">
        <v>2796</v>
      </c>
      <c r="Q595" s="14" t="s">
        <v>47</v>
      </c>
      <c r="R595" t="s">
        <v>662</v>
      </c>
      <c r="S595">
        <v>2.94</v>
      </c>
      <c r="T595">
        <v>4738</v>
      </c>
      <c r="U595">
        <v>199.95</v>
      </c>
      <c r="V595">
        <v>4937.95</v>
      </c>
    </row>
    <row r="596" spans="1:22" x14ac:dyDescent="0.25">
      <c r="A596">
        <v>80147</v>
      </c>
      <c r="B596">
        <v>130975912</v>
      </c>
      <c r="C596" t="s">
        <v>2797</v>
      </c>
      <c r="D596" t="s">
        <v>2798</v>
      </c>
      <c r="E596" t="s">
        <v>2052</v>
      </c>
      <c r="F596" t="s">
        <v>431</v>
      </c>
      <c r="G596" t="s">
        <v>86</v>
      </c>
      <c r="H596" t="s">
        <v>87</v>
      </c>
      <c r="I596" t="s">
        <v>88</v>
      </c>
      <c r="J596" t="s">
        <v>89</v>
      </c>
      <c r="K596" t="s">
        <v>2</v>
      </c>
      <c r="L596" t="s">
        <v>90</v>
      </c>
      <c r="M596" t="s">
        <v>2799</v>
      </c>
      <c r="N596" t="s">
        <v>433</v>
      </c>
      <c r="O596" t="s">
        <v>53</v>
      </c>
      <c r="P596" t="s">
        <v>2800</v>
      </c>
      <c r="Q596" s="14" t="s">
        <v>189</v>
      </c>
      <c r="R596" t="s">
        <v>662</v>
      </c>
      <c r="S596">
        <v>3.41</v>
      </c>
      <c r="T596">
        <v>9302</v>
      </c>
      <c r="U596">
        <v>199.95</v>
      </c>
      <c r="V596">
        <v>9501.9500000000007</v>
      </c>
    </row>
    <row r="597" spans="1:22" x14ac:dyDescent="0.25">
      <c r="A597">
        <v>80147</v>
      </c>
      <c r="B597">
        <v>130528353</v>
      </c>
      <c r="C597" t="s">
        <v>2801</v>
      </c>
      <c r="D597" t="s">
        <v>2802</v>
      </c>
      <c r="E597" t="s">
        <v>2052</v>
      </c>
      <c r="F597" t="s">
        <v>431</v>
      </c>
      <c r="G597" t="s">
        <v>86</v>
      </c>
      <c r="H597" t="s">
        <v>87</v>
      </c>
      <c r="I597" t="s">
        <v>88</v>
      </c>
      <c r="J597" t="s">
        <v>89</v>
      </c>
      <c r="K597" t="s">
        <v>2</v>
      </c>
      <c r="L597" t="s">
        <v>90</v>
      </c>
      <c r="M597" t="s">
        <v>283</v>
      </c>
      <c r="N597" t="s">
        <v>433</v>
      </c>
      <c r="O597" t="s">
        <v>53</v>
      </c>
      <c r="P597" t="s">
        <v>2803</v>
      </c>
      <c r="Q597" s="14" t="s">
        <v>70</v>
      </c>
      <c r="R597" t="s">
        <v>2511</v>
      </c>
      <c r="S597">
        <v>0.56000000000000005</v>
      </c>
      <c r="T597">
        <v>3735</v>
      </c>
      <c r="U597">
        <v>74.95</v>
      </c>
      <c r="V597">
        <v>3809.95</v>
      </c>
    </row>
    <row r="598" spans="1:22" x14ac:dyDescent="0.25">
      <c r="A598">
        <v>80147</v>
      </c>
      <c r="B598">
        <v>130528391</v>
      </c>
      <c r="C598" t="s">
        <v>2804</v>
      </c>
      <c r="D598" t="s">
        <v>2805</v>
      </c>
      <c r="E598" t="s">
        <v>2052</v>
      </c>
      <c r="F598" t="s">
        <v>431</v>
      </c>
      <c r="G598" t="s">
        <v>86</v>
      </c>
      <c r="H598" t="s">
        <v>87</v>
      </c>
      <c r="I598" t="s">
        <v>88</v>
      </c>
      <c r="J598" t="s">
        <v>89</v>
      </c>
      <c r="K598" t="s">
        <v>2</v>
      </c>
      <c r="L598" t="s">
        <v>90</v>
      </c>
      <c r="M598" t="s">
        <v>2806</v>
      </c>
      <c r="N598" t="s">
        <v>433</v>
      </c>
      <c r="O598" t="s">
        <v>53</v>
      </c>
      <c r="P598" t="s">
        <v>2807</v>
      </c>
      <c r="Q598" s="14" t="s">
        <v>41</v>
      </c>
      <c r="R598" t="s">
        <v>2511</v>
      </c>
      <c r="S598">
        <v>3.21</v>
      </c>
      <c r="T598">
        <v>4451</v>
      </c>
      <c r="U598">
        <v>274.89999999999998</v>
      </c>
      <c r="V598">
        <v>4725.8999999999996</v>
      </c>
    </row>
    <row r="599" spans="1:22" x14ac:dyDescent="0.25">
      <c r="A599">
        <v>80147</v>
      </c>
      <c r="B599">
        <v>130575274</v>
      </c>
      <c r="C599" t="s">
        <v>2808</v>
      </c>
      <c r="D599" t="s">
        <v>2809</v>
      </c>
      <c r="E599" t="s">
        <v>2052</v>
      </c>
      <c r="F599" t="s">
        <v>431</v>
      </c>
      <c r="G599" t="s">
        <v>86</v>
      </c>
      <c r="H599" t="s">
        <v>87</v>
      </c>
      <c r="I599" t="s">
        <v>88</v>
      </c>
      <c r="J599" t="s">
        <v>89</v>
      </c>
      <c r="K599" t="s">
        <v>2</v>
      </c>
      <c r="L599" t="s">
        <v>90</v>
      </c>
      <c r="M599" t="s">
        <v>263</v>
      </c>
      <c r="N599" t="s">
        <v>433</v>
      </c>
      <c r="O599" t="s">
        <v>53</v>
      </c>
      <c r="P599" t="s">
        <v>2810</v>
      </c>
      <c r="Q599" s="14" t="s">
        <v>307</v>
      </c>
      <c r="R599" t="s">
        <v>375</v>
      </c>
      <c r="S599">
        <v>2.93</v>
      </c>
      <c r="T599">
        <v>8079</v>
      </c>
      <c r="U599">
        <v>199.95</v>
      </c>
      <c r="V599">
        <v>8278.9500000000007</v>
      </c>
    </row>
    <row r="600" spans="1:22" x14ac:dyDescent="0.25">
      <c r="A600">
        <v>80147</v>
      </c>
      <c r="B600">
        <v>130906630</v>
      </c>
      <c r="C600" t="s">
        <v>2811</v>
      </c>
      <c r="D600" t="s">
        <v>2812</v>
      </c>
      <c r="E600" t="s">
        <v>2052</v>
      </c>
      <c r="F600" t="s">
        <v>431</v>
      </c>
      <c r="G600" t="s">
        <v>39</v>
      </c>
      <c r="H600" t="s">
        <v>153</v>
      </c>
      <c r="I600" t="s">
        <v>88</v>
      </c>
      <c r="J600" t="s">
        <v>154</v>
      </c>
      <c r="K600" t="s">
        <v>2</v>
      </c>
      <c r="L600" t="s">
        <v>155</v>
      </c>
      <c r="M600" t="s">
        <v>2813</v>
      </c>
      <c r="N600" t="s">
        <v>433</v>
      </c>
      <c r="O600" t="s">
        <v>53</v>
      </c>
      <c r="P600" t="s">
        <v>2814</v>
      </c>
      <c r="Q600" s="14" t="s">
        <v>216</v>
      </c>
      <c r="R600" t="s">
        <v>405</v>
      </c>
      <c r="S600">
        <v>8.81</v>
      </c>
      <c r="T600">
        <v>8693</v>
      </c>
      <c r="U600">
        <v>0</v>
      </c>
      <c r="V600">
        <v>8693</v>
      </c>
    </row>
    <row r="601" spans="1:22" x14ac:dyDescent="0.25">
      <c r="A601">
        <v>80147</v>
      </c>
      <c r="B601">
        <v>131041035</v>
      </c>
      <c r="C601" t="s">
        <v>2815</v>
      </c>
      <c r="D601" t="s">
        <v>2816</v>
      </c>
      <c r="E601" t="s">
        <v>2052</v>
      </c>
      <c r="F601" t="s">
        <v>431</v>
      </c>
      <c r="G601" t="s">
        <v>39</v>
      </c>
      <c r="H601" t="s">
        <v>153</v>
      </c>
      <c r="I601" t="s">
        <v>88</v>
      </c>
      <c r="J601" t="s">
        <v>154</v>
      </c>
      <c r="K601" t="s">
        <v>2</v>
      </c>
      <c r="L601" t="s">
        <v>155</v>
      </c>
      <c r="M601" t="s">
        <v>272</v>
      </c>
      <c r="N601" t="s">
        <v>433</v>
      </c>
      <c r="O601" t="s">
        <v>53</v>
      </c>
      <c r="P601" t="s">
        <v>2817</v>
      </c>
      <c r="Q601" s="14" t="s">
        <v>52</v>
      </c>
      <c r="R601" t="s">
        <v>847</v>
      </c>
      <c r="S601">
        <v>5.01</v>
      </c>
      <c r="T601">
        <v>4537</v>
      </c>
      <c r="U601">
        <v>0</v>
      </c>
      <c r="V601">
        <v>4537</v>
      </c>
    </row>
    <row r="602" spans="1:22" x14ac:dyDescent="0.25">
      <c r="A602">
        <v>80147</v>
      </c>
      <c r="B602">
        <v>130932383</v>
      </c>
      <c r="C602" t="s">
        <v>2818</v>
      </c>
      <c r="D602" t="s">
        <v>2819</v>
      </c>
      <c r="E602" t="s">
        <v>2052</v>
      </c>
      <c r="F602" t="s">
        <v>431</v>
      </c>
      <c r="G602" t="s">
        <v>39</v>
      </c>
      <c r="H602" t="s">
        <v>153</v>
      </c>
      <c r="I602" t="s">
        <v>88</v>
      </c>
      <c r="J602" t="s">
        <v>154</v>
      </c>
      <c r="K602" t="s">
        <v>2</v>
      </c>
      <c r="L602" t="s">
        <v>155</v>
      </c>
      <c r="M602" t="s">
        <v>2820</v>
      </c>
      <c r="N602" t="s">
        <v>433</v>
      </c>
      <c r="O602" t="s">
        <v>53</v>
      </c>
      <c r="P602" t="s">
        <v>2821</v>
      </c>
      <c r="Q602" s="14" t="s">
        <v>121</v>
      </c>
      <c r="R602" t="s">
        <v>395</v>
      </c>
      <c r="S602">
        <v>8.7899999999999991</v>
      </c>
      <c r="T602">
        <v>9782</v>
      </c>
      <c r="U602">
        <v>0</v>
      </c>
      <c r="V602">
        <v>9782</v>
      </c>
    </row>
    <row r="603" spans="1:22" x14ac:dyDescent="0.25">
      <c r="A603">
        <v>80147</v>
      </c>
      <c r="B603">
        <v>130932385</v>
      </c>
      <c r="C603" t="s">
        <v>2822</v>
      </c>
      <c r="D603" t="s">
        <v>2823</v>
      </c>
      <c r="E603" t="s">
        <v>2052</v>
      </c>
      <c r="F603" t="s">
        <v>431</v>
      </c>
      <c r="G603" t="s">
        <v>39</v>
      </c>
      <c r="H603" t="s">
        <v>153</v>
      </c>
      <c r="I603" t="s">
        <v>88</v>
      </c>
      <c r="J603" t="s">
        <v>154</v>
      </c>
      <c r="K603" t="s">
        <v>2</v>
      </c>
      <c r="L603" t="s">
        <v>155</v>
      </c>
      <c r="M603" t="s">
        <v>2824</v>
      </c>
      <c r="N603" t="s">
        <v>433</v>
      </c>
      <c r="O603" t="s">
        <v>53</v>
      </c>
      <c r="P603" t="s">
        <v>2825</v>
      </c>
      <c r="Q603" s="14" t="s">
        <v>160</v>
      </c>
      <c r="R603" t="s">
        <v>395</v>
      </c>
      <c r="S603">
        <v>8.1</v>
      </c>
      <c r="T603">
        <v>9333</v>
      </c>
      <c r="U603">
        <v>0</v>
      </c>
      <c r="V603">
        <v>9333</v>
      </c>
    </row>
    <row r="604" spans="1:22" x14ac:dyDescent="0.25">
      <c r="A604">
        <v>80147</v>
      </c>
      <c r="B604">
        <v>130727720</v>
      </c>
      <c r="C604" t="s">
        <v>2826</v>
      </c>
      <c r="D604" t="s">
        <v>2827</v>
      </c>
      <c r="E604" t="s">
        <v>2052</v>
      </c>
      <c r="F604" t="s">
        <v>431</v>
      </c>
      <c r="G604" t="s">
        <v>39</v>
      </c>
      <c r="H604" t="s">
        <v>153</v>
      </c>
      <c r="I604" t="s">
        <v>88</v>
      </c>
      <c r="J604" t="s">
        <v>154</v>
      </c>
      <c r="K604" t="s">
        <v>2</v>
      </c>
      <c r="L604" t="s">
        <v>155</v>
      </c>
      <c r="M604" t="s">
        <v>2828</v>
      </c>
      <c r="N604" t="s">
        <v>433</v>
      </c>
      <c r="O604" t="s">
        <v>53</v>
      </c>
      <c r="P604" t="s">
        <v>2829</v>
      </c>
      <c r="Q604" s="14" t="s">
        <v>52</v>
      </c>
      <c r="R604" t="s">
        <v>378</v>
      </c>
      <c r="S604">
        <v>5.01</v>
      </c>
      <c r="T604">
        <v>4537</v>
      </c>
      <c r="U604">
        <v>0</v>
      </c>
      <c r="V604">
        <v>4537</v>
      </c>
    </row>
    <row r="605" spans="1:22" x14ac:dyDescent="0.25">
      <c r="A605">
        <v>80147</v>
      </c>
      <c r="B605">
        <v>130780363</v>
      </c>
      <c r="C605" t="s">
        <v>2830</v>
      </c>
      <c r="D605" t="s">
        <v>2831</v>
      </c>
      <c r="E605" t="s">
        <v>2052</v>
      </c>
      <c r="F605" t="s">
        <v>431</v>
      </c>
      <c r="G605" t="s">
        <v>39</v>
      </c>
      <c r="H605" t="s">
        <v>153</v>
      </c>
      <c r="I605" t="s">
        <v>88</v>
      </c>
      <c r="J605" t="s">
        <v>154</v>
      </c>
      <c r="K605" t="s">
        <v>2</v>
      </c>
      <c r="L605" t="s">
        <v>155</v>
      </c>
      <c r="M605" t="s">
        <v>2832</v>
      </c>
      <c r="N605" t="s">
        <v>433</v>
      </c>
      <c r="O605" t="s">
        <v>53</v>
      </c>
      <c r="P605" t="s">
        <v>2833</v>
      </c>
      <c r="Q605" s="14" t="s">
        <v>226</v>
      </c>
      <c r="R605" t="s">
        <v>387</v>
      </c>
      <c r="S605">
        <v>8.76</v>
      </c>
      <c r="T605">
        <v>8930</v>
      </c>
      <c r="U605">
        <v>0</v>
      </c>
      <c r="V605">
        <v>8930</v>
      </c>
    </row>
    <row r="606" spans="1:22" x14ac:dyDescent="0.25">
      <c r="A606">
        <v>80147</v>
      </c>
      <c r="B606">
        <v>130868166</v>
      </c>
      <c r="C606" t="s">
        <v>2834</v>
      </c>
      <c r="D606" t="s">
        <v>2835</v>
      </c>
      <c r="E606" t="s">
        <v>2052</v>
      </c>
      <c r="F606" t="s">
        <v>431</v>
      </c>
      <c r="G606" t="s">
        <v>39</v>
      </c>
      <c r="H606" t="s">
        <v>153</v>
      </c>
      <c r="I606" t="s">
        <v>88</v>
      </c>
      <c r="J606" t="s">
        <v>154</v>
      </c>
      <c r="K606" t="s">
        <v>2</v>
      </c>
      <c r="L606" t="s">
        <v>155</v>
      </c>
      <c r="M606" t="s">
        <v>2836</v>
      </c>
      <c r="N606" t="s">
        <v>433</v>
      </c>
      <c r="O606" t="s">
        <v>53</v>
      </c>
      <c r="P606" t="s">
        <v>2837</v>
      </c>
      <c r="Q606" s="14" t="s">
        <v>324</v>
      </c>
      <c r="R606" t="s">
        <v>2291</v>
      </c>
      <c r="S606">
        <v>7.88</v>
      </c>
      <c r="T606">
        <v>16656</v>
      </c>
      <c r="U606">
        <v>0</v>
      </c>
      <c r="V606">
        <v>16656</v>
      </c>
    </row>
    <row r="607" spans="1:22" x14ac:dyDescent="0.25">
      <c r="A607">
        <v>80147</v>
      </c>
      <c r="B607">
        <v>130829754</v>
      </c>
      <c r="C607" t="s">
        <v>2838</v>
      </c>
      <c r="D607" t="s">
        <v>2839</v>
      </c>
      <c r="E607" t="s">
        <v>2052</v>
      </c>
      <c r="F607" t="s">
        <v>431</v>
      </c>
      <c r="G607" t="s">
        <v>39</v>
      </c>
      <c r="H607" t="s">
        <v>153</v>
      </c>
      <c r="I607" t="s">
        <v>88</v>
      </c>
      <c r="J607" t="s">
        <v>154</v>
      </c>
      <c r="K607" t="s">
        <v>2</v>
      </c>
      <c r="L607" t="s">
        <v>155</v>
      </c>
      <c r="M607" t="s">
        <v>2840</v>
      </c>
      <c r="N607" t="s">
        <v>433</v>
      </c>
      <c r="O607" t="s">
        <v>53</v>
      </c>
      <c r="P607" t="s">
        <v>2841</v>
      </c>
      <c r="Q607" s="14" t="s">
        <v>52</v>
      </c>
      <c r="R607" t="s">
        <v>2301</v>
      </c>
      <c r="S607">
        <v>6.48</v>
      </c>
      <c r="T607">
        <v>5255</v>
      </c>
      <c r="U607">
        <v>0</v>
      </c>
      <c r="V607">
        <v>5255</v>
      </c>
    </row>
    <row r="608" spans="1:22" x14ac:dyDescent="0.25">
      <c r="A608">
        <v>80147</v>
      </c>
      <c r="B608">
        <v>130575264</v>
      </c>
      <c r="C608" t="s">
        <v>2842</v>
      </c>
      <c r="D608" t="s">
        <v>2843</v>
      </c>
      <c r="E608" t="s">
        <v>2052</v>
      </c>
      <c r="F608" t="s">
        <v>431</v>
      </c>
      <c r="G608" t="s">
        <v>39</v>
      </c>
      <c r="H608" t="s">
        <v>153</v>
      </c>
      <c r="I608" t="s">
        <v>88</v>
      </c>
      <c r="J608" t="s">
        <v>154</v>
      </c>
      <c r="K608" t="s">
        <v>2</v>
      </c>
      <c r="L608" t="s">
        <v>155</v>
      </c>
      <c r="M608" t="s">
        <v>2844</v>
      </c>
      <c r="N608" t="s">
        <v>433</v>
      </c>
      <c r="O608" t="s">
        <v>53</v>
      </c>
      <c r="P608" t="s">
        <v>2845</v>
      </c>
      <c r="Q608" s="14" t="s">
        <v>61</v>
      </c>
      <c r="R608" t="s">
        <v>375</v>
      </c>
      <c r="S608">
        <v>5.27</v>
      </c>
      <c r="T608">
        <v>4537</v>
      </c>
      <c r="U608">
        <v>0</v>
      </c>
      <c r="V608">
        <v>4537</v>
      </c>
    </row>
    <row r="609" spans="1:22" x14ac:dyDescent="0.25">
      <c r="A609">
        <v>80147</v>
      </c>
      <c r="B609">
        <v>130673311</v>
      </c>
      <c r="C609" t="s">
        <v>2846</v>
      </c>
      <c r="D609" t="s">
        <v>2847</v>
      </c>
      <c r="E609" t="s">
        <v>2052</v>
      </c>
      <c r="F609" t="s">
        <v>431</v>
      </c>
      <c r="G609" t="s">
        <v>39</v>
      </c>
      <c r="H609" t="s">
        <v>153</v>
      </c>
      <c r="I609" t="s">
        <v>88</v>
      </c>
      <c r="J609" t="s">
        <v>154</v>
      </c>
      <c r="K609" t="s">
        <v>2</v>
      </c>
      <c r="L609" t="s">
        <v>155</v>
      </c>
      <c r="M609" t="s">
        <v>2848</v>
      </c>
      <c r="N609" t="s">
        <v>433</v>
      </c>
      <c r="O609" t="s">
        <v>53</v>
      </c>
      <c r="P609" t="s">
        <v>2849</v>
      </c>
      <c r="Q609" s="14" t="s">
        <v>123</v>
      </c>
      <c r="R609" t="s">
        <v>222</v>
      </c>
      <c r="S609">
        <v>11.18</v>
      </c>
      <c r="T609">
        <v>5714</v>
      </c>
      <c r="U609">
        <v>0</v>
      </c>
      <c r="V609">
        <v>5714</v>
      </c>
    </row>
    <row r="610" spans="1:22" x14ac:dyDescent="0.25">
      <c r="A610">
        <v>80147</v>
      </c>
      <c r="B610">
        <v>130575275</v>
      </c>
      <c r="C610" t="s">
        <v>2850</v>
      </c>
      <c r="D610" t="s">
        <v>2851</v>
      </c>
      <c r="E610" t="s">
        <v>2052</v>
      </c>
      <c r="F610" t="s">
        <v>431</v>
      </c>
      <c r="G610" t="s">
        <v>39</v>
      </c>
      <c r="H610" t="s">
        <v>153</v>
      </c>
      <c r="I610" t="s">
        <v>88</v>
      </c>
      <c r="J610" t="s">
        <v>154</v>
      </c>
      <c r="K610" t="s">
        <v>2</v>
      </c>
      <c r="L610" t="s">
        <v>155</v>
      </c>
      <c r="M610" t="s">
        <v>2852</v>
      </c>
      <c r="N610" t="s">
        <v>433</v>
      </c>
      <c r="O610" t="s">
        <v>53</v>
      </c>
      <c r="P610" t="s">
        <v>2853</v>
      </c>
      <c r="Q610" s="14" t="s">
        <v>118</v>
      </c>
      <c r="R610" t="s">
        <v>375</v>
      </c>
      <c r="S610">
        <v>5.21</v>
      </c>
      <c r="T610">
        <v>18881</v>
      </c>
      <c r="U610">
        <v>0</v>
      </c>
      <c r="V610">
        <v>18881</v>
      </c>
    </row>
    <row r="611" spans="1:22" x14ac:dyDescent="0.25">
      <c r="A611">
        <v>80147</v>
      </c>
      <c r="B611">
        <v>130432521</v>
      </c>
      <c r="C611" t="s">
        <v>2854</v>
      </c>
      <c r="D611" t="s">
        <v>2855</v>
      </c>
      <c r="E611" t="s">
        <v>2052</v>
      </c>
      <c r="F611" t="s">
        <v>431</v>
      </c>
      <c r="G611" t="s">
        <v>39</v>
      </c>
      <c r="H611" t="s">
        <v>153</v>
      </c>
      <c r="I611" t="s">
        <v>88</v>
      </c>
      <c r="J611" t="s">
        <v>154</v>
      </c>
      <c r="K611" t="s">
        <v>2</v>
      </c>
      <c r="L611" t="s">
        <v>155</v>
      </c>
      <c r="M611" t="s">
        <v>2856</v>
      </c>
      <c r="N611" t="s">
        <v>433</v>
      </c>
      <c r="O611" t="s">
        <v>53</v>
      </c>
      <c r="P611" t="s">
        <v>2857</v>
      </c>
      <c r="Q611" s="14" t="s">
        <v>66</v>
      </c>
      <c r="R611" t="s">
        <v>253</v>
      </c>
      <c r="S611">
        <v>7.29</v>
      </c>
      <c r="T611">
        <v>5255</v>
      </c>
      <c r="U611">
        <v>0</v>
      </c>
      <c r="V611">
        <v>5255</v>
      </c>
    </row>
    <row r="612" spans="1:22" x14ac:dyDescent="0.25">
      <c r="A612">
        <v>80147</v>
      </c>
      <c r="B612">
        <v>130432528</v>
      </c>
      <c r="C612" t="s">
        <v>2858</v>
      </c>
      <c r="D612" t="s">
        <v>2859</v>
      </c>
      <c r="E612" t="s">
        <v>2052</v>
      </c>
      <c r="F612" t="s">
        <v>431</v>
      </c>
      <c r="G612" t="s">
        <v>39</v>
      </c>
      <c r="H612" t="s">
        <v>153</v>
      </c>
      <c r="I612" t="s">
        <v>88</v>
      </c>
      <c r="J612" t="s">
        <v>154</v>
      </c>
      <c r="K612" t="s">
        <v>2</v>
      </c>
      <c r="L612" t="s">
        <v>155</v>
      </c>
      <c r="M612" t="s">
        <v>2860</v>
      </c>
      <c r="N612" t="s">
        <v>433</v>
      </c>
      <c r="O612" t="s">
        <v>53</v>
      </c>
      <c r="P612" t="s">
        <v>2861</v>
      </c>
      <c r="Q612" s="14" t="s">
        <v>164</v>
      </c>
      <c r="R612" t="s">
        <v>253</v>
      </c>
      <c r="S612">
        <v>5.74</v>
      </c>
      <c r="T612">
        <v>11321</v>
      </c>
      <c r="U612">
        <v>0</v>
      </c>
      <c r="V612">
        <v>11321</v>
      </c>
    </row>
    <row r="613" spans="1:22" x14ac:dyDescent="0.25">
      <c r="A613">
        <v>80147</v>
      </c>
      <c r="B613">
        <v>130395478</v>
      </c>
      <c r="C613" t="s">
        <v>2862</v>
      </c>
      <c r="D613" t="s">
        <v>2863</v>
      </c>
      <c r="E613" t="s">
        <v>2052</v>
      </c>
      <c r="F613" t="s">
        <v>431</v>
      </c>
      <c r="G613" t="s">
        <v>39</v>
      </c>
      <c r="H613" t="s">
        <v>153</v>
      </c>
      <c r="I613" t="s">
        <v>88</v>
      </c>
      <c r="J613" t="s">
        <v>154</v>
      </c>
      <c r="K613" t="s">
        <v>2</v>
      </c>
      <c r="L613" t="s">
        <v>155</v>
      </c>
      <c r="M613" t="s">
        <v>2864</v>
      </c>
      <c r="N613" t="s">
        <v>433</v>
      </c>
      <c r="O613" t="s">
        <v>53</v>
      </c>
      <c r="P613" t="s">
        <v>2865</v>
      </c>
      <c r="Q613" s="14" t="s">
        <v>61</v>
      </c>
      <c r="R613" t="s">
        <v>358</v>
      </c>
      <c r="S613">
        <v>6.32</v>
      </c>
      <c r="T613">
        <v>5255</v>
      </c>
      <c r="U613">
        <v>0</v>
      </c>
      <c r="V613">
        <v>5255</v>
      </c>
    </row>
    <row r="614" spans="1:22" x14ac:dyDescent="0.25">
      <c r="A614">
        <v>80147</v>
      </c>
      <c r="B614">
        <v>130218849</v>
      </c>
      <c r="C614" t="s">
        <v>2866</v>
      </c>
      <c r="D614" t="s">
        <v>2867</v>
      </c>
      <c r="E614" t="s">
        <v>2052</v>
      </c>
      <c r="F614" t="s">
        <v>431</v>
      </c>
      <c r="G614" t="s">
        <v>39</v>
      </c>
      <c r="H614" t="s">
        <v>153</v>
      </c>
      <c r="I614" t="s">
        <v>88</v>
      </c>
      <c r="J614" t="s">
        <v>154</v>
      </c>
      <c r="K614" t="s">
        <v>2</v>
      </c>
      <c r="L614" t="s">
        <v>155</v>
      </c>
      <c r="M614" t="s">
        <v>2868</v>
      </c>
      <c r="N614" t="s">
        <v>433</v>
      </c>
      <c r="O614" t="s">
        <v>53</v>
      </c>
      <c r="P614" t="s">
        <v>2869</v>
      </c>
      <c r="Q614" s="14" t="s">
        <v>219</v>
      </c>
      <c r="R614" t="s">
        <v>2870</v>
      </c>
      <c r="S614">
        <v>7.06</v>
      </c>
      <c r="T614">
        <v>8681</v>
      </c>
      <c r="U614">
        <v>0</v>
      </c>
      <c r="V614">
        <v>8681</v>
      </c>
    </row>
    <row r="615" spans="1:22" x14ac:dyDescent="0.25">
      <c r="A615">
        <v>80147</v>
      </c>
      <c r="B615">
        <v>130180829</v>
      </c>
      <c r="C615" t="s">
        <v>2871</v>
      </c>
      <c r="D615" t="s">
        <v>2872</v>
      </c>
      <c r="E615" t="s">
        <v>2052</v>
      </c>
      <c r="F615" t="s">
        <v>431</v>
      </c>
      <c r="G615" t="s">
        <v>39</v>
      </c>
      <c r="H615" t="s">
        <v>153</v>
      </c>
      <c r="I615" t="s">
        <v>88</v>
      </c>
      <c r="J615" t="s">
        <v>154</v>
      </c>
      <c r="K615" t="s">
        <v>2</v>
      </c>
      <c r="L615" t="s">
        <v>155</v>
      </c>
      <c r="M615" t="s">
        <v>262</v>
      </c>
      <c r="N615" t="s">
        <v>433</v>
      </c>
      <c r="O615" t="s">
        <v>53</v>
      </c>
      <c r="P615" t="s">
        <v>2873</v>
      </c>
      <c r="Q615" s="14" t="s">
        <v>233</v>
      </c>
      <c r="R615" t="s">
        <v>2874</v>
      </c>
      <c r="S615">
        <v>6.06</v>
      </c>
      <c r="T615">
        <v>8754</v>
      </c>
      <c r="U615">
        <v>0</v>
      </c>
      <c r="V615">
        <v>8754</v>
      </c>
    </row>
    <row r="616" spans="1:22" x14ac:dyDescent="0.25">
      <c r="A616">
        <v>80147</v>
      </c>
      <c r="B616">
        <v>130218856</v>
      </c>
      <c r="C616" t="s">
        <v>2875</v>
      </c>
      <c r="D616" t="s">
        <v>2876</v>
      </c>
      <c r="E616" t="s">
        <v>2052</v>
      </c>
      <c r="F616" t="s">
        <v>431</v>
      </c>
      <c r="G616" t="s">
        <v>39</v>
      </c>
      <c r="H616" t="s">
        <v>153</v>
      </c>
      <c r="I616" t="s">
        <v>88</v>
      </c>
      <c r="J616" t="s">
        <v>154</v>
      </c>
      <c r="K616" t="s">
        <v>2</v>
      </c>
      <c r="L616" t="s">
        <v>155</v>
      </c>
      <c r="M616" t="s">
        <v>337</v>
      </c>
      <c r="N616" t="s">
        <v>433</v>
      </c>
      <c r="O616" t="s">
        <v>53</v>
      </c>
      <c r="P616" t="s">
        <v>2877</v>
      </c>
      <c r="Q616" s="14" t="s">
        <v>52</v>
      </c>
      <c r="R616" t="s">
        <v>2870</v>
      </c>
      <c r="S616">
        <v>5.25</v>
      </c>
      <c r="T616">
        <v>4448</v>
      </c>
      <c r="U616">
        <v>0</v>
      </c>
      <c r="V616">
        <v>4448</v>
      </c>
    </row>
    <row r="617" spans="1:22" x14ac:dyDescent="0.25">
      <c r="A617">
        <v>80147</v>
      </c>
      <c r="B617">
        <v>130147731</v>
      </c>
      <c r="C617" t="s">
        <v>2878</v>
      </c>
      <c r="D617" t="s">
        <v>2879</v>
      </c>
      <c r="E617" t="s">
        <v>2052</v>
      </c>
      <c r="F617" t="s">
        <v>431</v>
      </c>
      <c r="G617" t="s">
        <v>39</v>
      </c>
      <c r="H617" t="s">
        <v>153</v>
      </c>
      <c r="I617" t="s">
        <v>88</v>
      </c>
      <c r="J617" t="s">
        <v>154</v>
      </c>
      <c r="K617" t="s">
        <v>2</v>
      </c>
      <c r="L617" t="s">
        <v>155</v>
      </c>
      <c r="M617" t="s">
        <v>343</v>
      </c>
      <c r="N617" t="s">
        <v>433</v>
      </c>
      <c r="O617" t="s">
        <v>53</v>
      </c>
      <c r="P617" t="s">
        <v>2880</v>
      </c>
      <c r="Q617" s="14" t="s">
        <v>130</v>
      </c>
      <c r="R617" t="s">
        <v>2881</v>
      </c>
      <c r="S617">
        <v>10.79</v>
      </c>
      <c r="T617">
        <v>11355</v>
      </c>
      <c r="U617">
        <v>0</v>
      </c>
      <c r="V617">
        <v>11355</v>
      </c>
    </row>
    <row r="618" spans="1:22" x14ac:dyDescent="0.25">
      <c r="A618">
        <v>80147</v>
      </c>
      <c r="B618">
        <v>130111439</v>
      </c>
      <c r="C618" t="s">
        <v>2882</v>
      </c>
      <c r="D618" t="s">
        <v>2883</v>
      </c>
      <c r="E618" t="s">
        <v>2052</v>
      </c>
      <c r="F618" t="s">
        <v>431</v>
      </c>
      <c r="G618" t="s">
        <v>39</v>
      </c>
      <c r="H618" t="s">
        <v>153</v>
      </c>
      <c r="I618" t="s">
        <v>88</v>
      </c>
      <c r="J618" t="s">
        <v>154</v>
      </c>
      <c r="K618" t="s">
        <v>2</v>
      </c>
      <c r="L618" t="s">
        <v>155</v>
      </c>
      <c r="M618" t="s">
        <v>2884</v>
      </c>
      <c r="N618" t="s">
        <v>433</v>
      </c>
      <c r="O618" t="s">
        <v>53</v>
      </c>
      <c r="P618" t="s">
        <v>2885</v>
      </c>
      <c r="Q618" s="14" t="s">
        <v>61</v>
      </c>
      <c r="R618" t="s">
        <v>2711</v>
      </c>
      <c r="S618">
        <v>5.21</v>
      </c>
      <c r="T618">
        <v>4448</v>
      </c>
      <c r="U618">
        <v>0</v>
      </c>
      <c r="V618">
        <v>4448</v>
      </c>
    </row>
    <row r="619" spans="1:22" x14ac:dyDescent="0.25">
      <c r="A619">
        <v>80147</v>
      </c>
      <c r="B619">
        <v>130356948</v>
      </c>
      <c r="C619" t="s">
        <v>2886</v>
      </c>
      <c r="D619" t="s">
        <v>2887</v>
      </c>
      <c r="E619" t="s">
        <v>2052</v>
      </c>
      <c r="F619" t="s">
        <v>431</v>
      </c>
      <c r="G619" t="s">
        <v>39</v>
      </c>
      <c r="H619" t="s">
        <v>153</v>
      </c>
      <c r="I619" t="s">
        <v>88</v>
      </c>
      <c r="J619" t="s">
        <v>154</v>
      </c>
      <c r="K619" t="s">
        <v>2</v>
      </c>
      <c r="L619" t="s">
        <v>155</v>
      </c>
      <c r="M619" t="s">
        <v>2888</v>
      </c>
      <c r="N619" t="s">
        <v>433</v>
      </c>
      <c r="O619" t="s">
        <v>53</v>
      </c>
      <c r="P619" t="s">
        <v>2889</v>
      </c>
      <c r="Q619" s="14" t="s">
        <v>66</v>
      </c>
      <c r="R619" t="s">
        <v>202</v>
      </c>
      <c r="S619">
        <v>11.7</v>
      </c>
      <c r="T619">
        <v>5714</v>
      </c>
      <c r="U619">
        <v>0</v>
      </c>
      <c r="V619">
        <v>5714</v>
      </c>
    </row>
    <row r="620" spans="1:22" x14ac:dyDescent="0.25">
      <c r="A620">
        <v>187276</v>
      </c>
      <c r="B620">
        <v>130979416</v>
      </c>
      <c r="C620" t="s">
        <v>2890</v>
      </c>
      <c r="D620" t="s">
        <v>2891</v>
      </c>
      <c r="E620" t="s">
        <v>2892</v>
      </c>
      <c r="F620" t="s">
        <v>431</v>
      </c>
      <c r="G620" t="s">
        <v>83</v>
      </c>
      <c r="H620" t="s">
        <v>205</v>
      </c>
      <c r="I620" t="s">
        <v>88</v>
      </c>
      <c r="J620" t="s">
        <v>209</v>
      </c>
      <c r="K620" t="s">
        <v>2</v>
      </c>
      <c r="L620" t="s">
        <v>166</v>
      </c>
      <c r="M620" t="s">
        <v>2893</v>
      </c>
      <c r="N620" t="s">
        <v>433</v>
      </c>
      <c r="O620" t="s">
        <v>53</v>
      </c>
      <c r="P620" t="s">
        <v>2894</v>
      </c>
      <c r="Q620" s="14" t="s">
        <v>58</v>
      </c>
      <c r="R620" t="s">
        <v>2895</v>
      </c>
      <c r="S620">
        <v>1</v>
      </c>
      <c r="T620">
        <v>2706</v>
      </c>
      <c r="U620">
        <v>0</v>
      </c>
      <c r="V620">
        <v>2706</v>
      </c>
    </row>
    <row r="621" spans="1:22" x14ac:dyDescent="0.25">
      <c r="A621">
        <v>187276</v>
      </c>
      <c r="B621">
        <v>130990294</v>
      </c>
      <c r="C621" t="s">
        <v>2896</v>
      </c>
      <c r="D621" t="s">
        <v>2897</v>
      </c>
      <c r="E621" t="s">
        <v>2892</v>
      </c>
      <c r="F621" t="s">
        <v>431</v>
      </c>
      <c r="G621" t="s">
        <v>83</v>
      </c>
      <c r="H621" t="s">
        <v>205</v>
      </c>
      <c r="I621" t="s">
        <v>88</v>
      </c>
      <c r="J621" t="s">
        <v>209</v>
      </c>
      <c r="K621" t="s">
        <v>2</v>
      </c>
      <c r="L621" t="s">
        <v>166</v>
      </c>
      <c r="M621" t="s">
        <v>2898</v>
      </c>
      <c r="N621" t="s">
        <v>433</v>
      </c>
      <c r="O621" t="s">
        <v>53</v>
      </c>
      <c r="P621" t="s">
        <v>2899</v>
      </c>
      <c r="Q621" s="14" t="s">
        <v>53</v>
      </c>
      <c r="R621" t="s">
        <v>371</v>
      </c>
      <c r="S621">
        <v>1</v>
      </c>
      <c r="T621">
        <v>2706</v>
      </c>
      <c r="U621">
        <v>0</v>
      </c>
      <c r="V621">
        <v>2706</v>
      </c>
    </row>
    <row r="622" spans="1:22" x14ac:dyDescent="0.25">
      <c r="A622">
        <v>187276</v>
      </c>
      <c r="B622">
        <v>130917393</v>
      </c>
      <c r="C622" t="s">
        <v>2900</v>
      </c>
      <c r="D622">
        <v>249603786</v>
      </c>
      <c r="E622" t="s">
        <v>2892</v>
      </c>
      <c r="F622" t="s">
        <v>431</v>
      </c>
      <c r="G622" t="s">
        <v>149</v>
      </c>
      <c r="H622" t="s">
        <v>150</v>
      </c>
      <c r="I622" t="s">
        <v>88</v>
      </c>
      <c r="J622" t="s">
        <v>151</v>
      </c>
      <c r="K622" t="s">
        <v>2</v>
      </c>
      <c r="L622" t="s">
        <v>2901</v>
      </c>
      <c r="M622" t="s">
        <v>2902</v>
      </c>
      <c r="N622" t="s">
        <v>433</v>
      </c>
      <c r="O622" t="s">
        <v>53</v>
      </c>
      <c r="P622" t="s">
        <v>2903</v>
      </c>
      <c r="Q622" s="14" t="s">
        <v>128</v>
      </c>
      <c r="R622" t="s">
        <v>2904</v>
      </c>
      <c r="S622">
        <v>0.5</v>
      </c>
      <c r="T622">
        <v>7864</v>
      </c>
      <c r="U622">
        <v>0</v>
      </c>
      <c r="V622">
        <v>7864</v>
      </c>
    </row>
    <row r="623" spans="1:22" x14ac:dyDescent="0.25">
      <c r="A623">
        <v>187276</v>
      </c>
      <c r="B623">
        <v>130764695</v>
      </c>
      <c r="C623" t="s">
        <v>2905</v>
      </c>
      <c r="D623">
        <v>249242794</v>
      </c>
      <c r="E623" t="s">
        <v>2892</v>
      </c>
      <c r="F623" t="s">
        <v>431</v>
      </c>
      <c r="G623" t="s">
        <v>149</v>
      </c>
      <c r="H623" t="s">
        <v>150</v>
      </c>
      <c r="I623" t="s">
        <v>88</v>
      </c>
      <c r="J623" t="s">
        <v>151</v>
      </c>
      <c r="K623" t="s">
        <v>2</v>
      </c>
      <c r="L623" t="s">
        <v>2906</v>
      </c>
      <c r="M623" t="s">
        <v>2907</v>
      </c>
      <c r="N623" t="s">
        <v>433</v>
      </c>
      <c r="O623" t="s">
        <v>53</v>
      </c>
      <c r="P623" t="s">
        <v>2908</v>
      </c>
      <c r="Q623" s="14" t="s">
        <v>122</v>
      </c>
      <c r="R623" t="s">
        <v>2909</v>
      </c>
      <c r="S623">
        <v>2.48</v>
      </c>
      <c r="T623">
        <v>5659</v>
      </c>
      <c r="U623">
        <v>0</v>
      </c>
      <c r="V623">
        <v>5659</v>
      </c>
    </row>
    <row r="624" spans="1:22" x14ac:dyDescent="0.25">
      <c r="A624">
        <v>187276</v>
      </c>
      <c r="B624">
        <v>130662396</v>
      </c>
      <c r="C624" t="s">
        <v>2910</v>
      </c>
      <c r="D624">
        <v>249004358</v>
      </c>
      <c r="E624" t="s">
        <v>2892</v>
      </c>
      <c r="F624" t="s">
        <v>431</v>
      </c>
      <c r="G624" t="s">
        <v>149</v>
      </c>
      <c r="H624" t="s">
        <v>150</v>
      </c>
      <c r="I624" t="s">
        <v>88</v>
      </c>
      <c r="J624" t="s">
        <v>151</v>
      </c>
      <c r="K624" t="s">
        <v>2</v>
      </c>
      <c r="L624" t="s">
        <v>2911</v>
      </c>
      <c r="M624" t="s">
        <v>2912</v>
      </c>
      <c r="N624" t="s">
        <v>433</v>
      </c>
      <c r="O624" t="s">
        <v>53</v>
      </c>
      <c r="P624" t="s">
        <v>2913</v>
      </c>
      <c r="Q624" s="14" t="s">
        <v>91</v>
      </c>
      <c r="R624" t="s">
        <v>2914</v>
      </c>
      <c r="S624">
        <v>1.6</v>
      </c>
      <c r="T624">
        <v>5040</v>
      </c>
      <c r="U624">
        <v>0</v>
      </c>
      <c r="V624">
        <v>5040</v>
      </c>
    </row>
    <row r="625" spans="1:22" x14ac:dyDescent="0.25">
      <c r="A625">
        <v>187276</v>
      </c>
      <c r="B625">
        <v>130502044</v>
      </c>
      <c r="C625" t="s">
        <v>2915</v>
      </c>
      <c r="D625">
        <v>248686638</v>
      </c>
      <c r="E625" t="s">
        <v>2892</v>
      </c>
      <c r="F625" t="s">
        <v>431</v>
      </c>
      <c r="G625" t="s">
        <v>149</v>
      </c>
      <c r="H625" t="s">
        <v>150</v>
      </c>
      <c r="I625" t="s">
        <v>88</v>
      </c>
      <c r="J625" t="s">
        <v>151</v>
      </c>
      <c r="K625" t="s">
        <v>2</v>
      </c>
      <c r="L625" t="s">
        <v>2916</v>
      </c>
      <c r="M625" t="s">
        <v>2917</v>
      </c>
      <c r="N625" t="s">
        <v>433</v>
      </c>
      <c r="O625" t="s">
        <v>53</v>
      </c>
      <c r="P625" t="s">
        <v>2918</v>
      </c>
      <c r="Q625" s="14" t="s">
        <v>125</v>
      </c>
      <c r="R625" t="s">
        <v>2919</v>
      </c>
      <c r="S625">
        <v>1</v>
      </c>
      <c r="T625">
        <v>4219</v>
      </c>
      <c r="U625">
        <v>0</v>
      </c>
      <c r="V625">
        <v>4219</v>
      </c>
    </row>
    <row r="626" spans="1:22" x14ac:dyDescent="0.25">
      <c r="A626">
        <v>187276</v>
      </c>
      <c r="B626">
        <v>130356575</v>
      </c>
      <c r="C626" t="s">
        <v>2920</v>
      </c>
      <c r="D626">
        <v>248509170</v>
      </c>
      <c r="E626" t="s">
        <v>2892</v>
      </c>
      <c r="F626" t="s">
        <v>431</v>
      </c>
      <c r="G626" t="s">
        <v>149</v>
      </c>
      <c r="H626" t="s">
        <v>150</v>
      </c>
      <c r="I626" t="s">
        <v>88</v>
      </c>
      <c r="J626" t="s">
        <v>151</v>
      </c>
      <c r="K626" t="s">
        <v>2</v>
      </c>
      <c r="L626" t="s">
        <v>2921</v>
      </c>
      <c r="M626" t="s">
        <v>2922</v>
      </c>
      <c r="N626" t="s">
        <v>433</v>
      </c>
      <c r="O626" t="s">
        <v>53</v>
      </c>
      <c r="P626" t="s">
        <v>2923</v>
      </c>
      <c r="Q626" s="14" t="s">
        <v>95</v>
      </c>
      <c r="R626" t="s">
        <v>2924</v>
      </c>
      <c r="S626">
        <v>3.19</v>
      </c>
      <c r="T626">
        <v>7234</v>
      </c>
      <c r="U626">
        <v>0</v>
      </c>
      <c r="V626">
        <v>7234</v>
      </c>
    </row>
    <row r="627" spans="1:22" x14ac:dyDescent="0.25">
      <c r="A627">
        <v>187276</v>
      </c>
      <c r="B627">
        <v>130303301</v>
      </c>
      <c r="C627" t="s">
        <v>2925</v>
      </c>
      <c r="D627">
        <v>248165972</v>
      </c>
      <c r="E627" t="s">
        <v>2892</v>
      </c>
      <c r="F627" t="s">
        <v>431</v>
      </c>
      <c r="G627" t="s">
        <v>149</v>
      </c>
      <c r="H627" t="s">
        <v>150</v>
      </c>
      <c r="I627" t="s">
        <v>88</v>
      </c>
      <c r="J627" t="s">
        <v>151</v>
      </c>
      <c r="K627" t="s">
        <v>2</v>
      </c>
      <c r="L627" t="s">
        <v>2926</v>
      </c>
      <c r="M627" t="s">
        <v>2927</v>
      </c>
      <c r="N627" t="s">
        <v>433</v>
      </c>
      <c r="O627" t="s">
        <v>53</v>
      </c>
      <c r="P627" t="s">
        <v>2928</v>
      </c>
      <c r="Q627" s="14" t="s">
        <v>120</v>
      </c>
      <c r="R627" t="s">
        <v>2929</v>
      </c>
      <c r="S627">
        <v>0.4</v>
      </c>
      <c r="T627">
        <v>5153</v>
      </c>
      <c r="U627">
        <v>0</v>
      </c>
      <c r="V627">
        <v>5153</v>
      </c>
    </row>
    <row r="628" spans="1:22" x14ac:dyDescent="0.25">
      <c r="A628">
        <v>187276</v>
      </c>
      <c r="B628">
        <v>130638809</v>
      </c>
      <c r="C628" t="s">
        <v>2930</v>
      </c>
      <c r="D628" t="s">
        <v>2931</v>
      </c>
      <c r="E628" t="s">
        <v>2892</v>
      </c>
      <c r="F628" t="s">
        <v>431</v>
      </c>
      <c r="G628" t="s">
        <v>86</v>
      </c>
      <c r="H628" t="s">
        <v>87</v>
      </c>
      <c r="I628" t="s">
        <v>88</v>
      </c>
      <c r="J628" t="s">
        <v>89</v>
      </c>
      <c r="K628" t="s">
        <v>2</v>
      </c>
      <c r="L628" t="s">
        <v>2932</v>
      </c>
      <c r="M628" t="s">
        <v>2933</v>
      </c>
      <c r="N628" t="s">
        <v>433</v>
      </c>
      <c r="O628" t="s">
        <v>53</v>
      </c>
      <c r="P628" t="s">
        <v>2934</v>
      </c>
      <c r="Q628" s="14" t="s">
        <v>139</v>
      </c>
      <c r="R628" t="s">
        <v>2935</v>
      </c>
      <c r="S628">
        <v>1.29</v>
      </c>
      <c r="T628">
        <v>6115</v>
      </c>
      <c r="U628">
        <v>49.95</v>
      </c>
      <c r="V628">
        <v>6164.95</v>
      </c>
    </row>
    <row r="629" spans="1:22" x14ac:dyDescent="0.25">
      <c r="A629">
        <v>187276</v>
      </c>
      <c r="B629">
        <v>130759004</v>
      </c>
      <c r="C629" t="s">
        <v>2936</v>
      </c>
      <c r="D629" t="s">
        <v>2937</v>
      </c>
      <c r="E629" t="s">
        <v>2892</v>
      </c>
      <c r="F629" t="s">
        <v>431</v>
      </c>
      <c r="G629" t="s">
        <v>86</v>
      </c>
      <c r="H629" t="s">
        <v>87</v>
      </c>
      <c r="I629" t="s">
        <v>88</v>
      </c>
      <c r="J629" t="s">
        <v>89</v>
      </c>
      <c r="K629" t="s">
        <v>2</v>
      </c>
      <c r="L629" t="s">
        <v>90</v>
      </c>
      <c r="M629" t="s">
        <v>280</v>
      </c>
      <c r="N629" t="s">
        <v>433</v>
      </c>
      <c r="O629" t="s">
        <v>53</v>
      </c>
      <c r="P629" t="s">
        <v>2938</v>
      </c>
      <c r="Q629" s="14" t="s">
        <v>130</v>
      </c>
      <c r="R629" t="s">
        <v>2939</v>
      </c>
      <c r="S629">
        <v>0.6</v>
      </c>
      <c r="T629">
        <v>5317</v>
      </c>
      <c r="U629">
        <v>94.9</v>
      </c>
      <c r="V629">
        <v>5411.9</v>
      </c>
    </row>
    <row r="630" spans="1:22" x14ac:dyDescent="0.25">
      <c r="A630">
        <v>187276</v>
      </c>
      <c r="B630">
        <v>130909244</v>
      </c>
      <c r="C630" t="s">
        <v>2940</v>
      </c>
      <c r="D630" t="s">
        <v>2941</v>
      </c>
      <c r="E630" t="s">
        <v>2892</v>
      </c>
      <c r="F630" t="s">
        <v>431</v>
      </c>
      <c r="G630" t="s">
        <v>39</v>
      </c>
      <c r="H630" t="s">
        <v>153</v>
      </c>
      <c r="I630" t="s">
        <v>88</v>
      </c>
      <c r="J630" t="s">
        <v>154</v>
      </c>
      <c r="K630" t="s">
        <v>2</v>
      </c>
      <c r="L630" t="s">
        <v>155</v>
      </c>
      <c r="M630" t="s">
        <v>259</v>
      </c>
      <c r="N630" t="s">
        <v>433</v>
      </c>
      <c r="O630" t="s">
        <v>53</v>
      </c>
      <c r="P630" t="s">
        <v>2942</v>
      </c>
      <c r="Q630" s="14" t="s">
        <v>245</v>
      </c>
      <c r="R630" t="s">
        <v>2943</v>
      </c>
      <c r="S630">
        <v>2.0699999999999998</v>
      </c>
      <c r="T630">
        <v>7015</v>
      </c>
      <c r="U630">
        <v>0</v>
      </c>
      <c r="V630">
        <v>7015</v>
      </c>
    </row>
    <row r="631" spans="1:22" x14ac:dyDescent="0.25">
      <c r="A631">
        <v>187276</v>
      </c>
      <c r="B631">
        <v>130243472</v>
      </c>
      <c r="C631" t="s">
        <v>2944</v>
      </c>
      <c r="D631" t="s">
        <v>2945</v>
      </c>
      <c r="E631" t="s">
        <v>2892</v>
      </c>
      <c r="F631" t="s">
        <v>431</v>
      </c>
      <c r="G631" t="s">
        <v>39</v>
      </c>
      <c r="H631" t="s">
        <v>153</v>
      </c>
      <c r="I631" t="s">
        <v>88</v>
      </c>
      <c r="J631" t="s">
        <v>154</v>
      </c>
      <c r="K631" t="s">
        <v>2</v>
      </c>
      <c r="L631" t="s">
        <v>155</v>
      </c>
      <c r="M631" t="s">
        <v>2946</v>
      </c>
      <c r="N631" t="s">
        <v>433</v>
      </c>
      <c r="O631" t="s">
        <v>53</v>
      </c>
      <c r="P631" t="s">
        <v>2947</v>
      </c>
      <c r="Q631" s="14" t="s">
        <v>296</v>
      </c>
      <c r="R631" t="s">
        <v>2948</v>
      </c>
      <c r="S631">
        <v>2.79</v>
      </c>
      <c r="T631">
        <v>7789</v>
      </c>
      <c r="U631">
        <v>0</v>
      </c>
      <c r="V631">
        <v>7789</v>
      </c>
    </row>
    <row r="632" spans="1:22" x14ac:dyDescent="0.25">
      <c r="A632">
        <v>187694</v>
      </c>
      <c r="B632">
        <v>131238393</v>
      </c>
      <c r="C632" t="s">
        <v>2949</v>
      </c>
      <c r="D632" t="s">
        <v>2950</v>
      </c>
      <c r="E632" t="s">
        <v>2951</v>
      </c>
      <c r="F632" t="s">
        <v>431</v>
      </c>
      <c r="G632" t="s">
        <v>83</v>
      </c>
      <c r="H632" t="s">
        <v>205</v>
      </c>
      <c r="I632" t="s">
        <v>88</v>
      </c>
      <c r="J632" t="s">
        <v>209</v>
      </c>
      <c r="K632" t="s">
        <v>2</v>
      </c>
      <c r="L632" t="s">
        <v>166</v>
      </c>
      <c r="M632" t="s">
        <v>2952</v>
      </c>
      <c r="N632" t="s">
        <v>433</v>
      </c>
      <c r="O632" t="s">
        <v>53</v>
      </c>
      <c r="P632" t="s">
        <v>2953</v>
      </c>
      <c r="Q632" s="14" t="s">
        <v>48</v>
      </c>
      <c r="R632" t="s">
        <v>420</v>
      </c>
      <c r="S632">
        <v>1</v>
      </c>
      <c r="T632">
        <v>2706</v>
      </c>
      <c r="U632">
        <v>0</v>
      </c>
      <c r="V632">
        <v>2706</v>
      </c>
    </row>
    <row r="633" spans="1:22" x14ac:dyDescent="0.25">
      <c r="A633">
        <v>187694</v>
      </c>
      <c r="B633">
        <v>131199779</v>
      </c>
      <c r="C633" t="s">
        <v>2954</v>
      </c>
      <c r="D633" t="s">
        <v>2955</v>
      </c>
      <c r="E633" t="s">
        <v>2951</v>
      </c>
      <c r="F633" t="s">
        <v>431</v>
      </c>
      <c r="G633" t="s">
        <v>83</v>
      </c>
      <c r="H633" t="s">
        <v>205</v>
      </c>
      <c r="I633" t="s">
        <v>88</v>
      </c>
      <c r="J633" t="s">
        <v>209</v>
      </c>
      <c r="K633" t="s">
        <v>2</v>
      </c>
      <c r="L633" t="s">
        <v>166</v>
      </c>
      <c r="M633" t="s">
        <v>2956</v>
      </c>
      <c r="N633" t="s">
        <v>433</v>
      </c>
      <c r="O633" t="s">
        <v>53</v>
      </c>
      <c r="P633" t="s">
        <v>2957</v>
      </c>
      <c r="Q633" s="14" t="s">
        <v>45</v>
      </c>
      <c r="R633" t="s">
        <v>2958</v>
      </c>
      <c r="S633">
        <v>1</v>
      </c>
      <c r="T633">
        <v>2706</v>
      </c>
      <c r="U633">
        <v>0</v>
      </c>
      <c r="V633">
        <v>2706</v>
      </c>
    </row>
    <row r="634" spans="1:22" x14ac:dyDescent="0.25">
      <c r="A634">
        <v>187694</v>
      </c>
      <c r="B634">
        <v>131199781</v>
      </c>
      <c r="C634" t="s">
        <v>2959</v>
      </c>
      <c r="D634" t="s">
        <v>2960</v>
      </c>
      <c r="E634" t="s">
        <v>2951</v>
      </c>
      <c r="F634" t="s">
        <v>431</v>
      </c>
      <c r="G634" t="s">
        <v>83</v>
      </c>
      <c r="H634" t="s">
        <v>205</v>
      </c>
      <c r="I634" t="s">
        <v>88</v>
      </c>
      <c r="J634" t="s">
        <v>209</v>
      </c>
      <c r="K634" t="s">
        <v>2</v>
      </c>
      <c r="L634" t="s">
        <v>166</v>
      </c>
      <c r="M634" t="s">
        <v>2961</v>
      </c>
      <c r="N634" t="s">
        <v>433</v>
      </c>
      <c r="O634" t="s">
        <v>53</v>
      </c>
      <c r="P634" t="s">
        <v>2962</v>
      </c>
      <c r="Q634" s="14" t="s">
        <v>56</v>
      </c>
      <c r="R634" t="s">
        <v>2958</v>
      </c>
      <c r="S634">
        <v>1</v>
      </c>
      <c r="T634">
        <v>6125</v>
      </c>
      <c r="U634">
        <v>0</v>
      </c>
      <c r="V634">
        <v>6125</v>
      </c>
    </row>
    <row r="635" spans="1:22" x14ac:dyDescent="0.25">
      <c r="A635">
        <v>187694</v>
      </c>
      <c r="B635">
        <v>131159355</v>
      </c>
      <c r="C635" t="s">
        <v>2963</v>
      </c>
      <c r="D635" t="s">
        <v>2964</v>
      </c>
      <c r="E635" t="s">
        <v>2951</v>
      </c>
      <c r="F635" t="s">
        <v>431</v>
      </c>
      <c r="G635" t="s">
        <v>83</v>
      </c>
      <c r="H635" t="s">
        <v>205</v>
      </c>
      <c r="I635" t="s">
        <v>88</v>
      </c>
      <c r="J635" t="s">
        <v>209</v>
      </c>
      <c r="K635" t="s">
        <v>2</v>
      </c>
      <c r="L635" t="s">
        <v>166</v>
      </c>
      <c r="M635" t="s">
        <v>2965</v>
      </c>
      <c r="N635" t="s">
        <v>433</v>
      </c>
      <c r="O635" t="s">
        <v>53</v>
      </c>
      <c r="P635" t="s">
        <v>2966</v>
      </c>
      <c r="Q635" s="14" t="s">
        <v>71</v>
      </c>
      <c r="R635" t="s">
        <v>2967</v>
      </c>
      <c r="S635">
        <v>1</v>
      </c>
      <c r="T635">
        <v>2706</v>
      </c>
      <c r="U635">
        <v>0</v>
      </c>
      <c r="V635">
        <v>2706</v>
      </c>
    </row>
    <row r="636" spans="1:22" x14ac:dyDescent="0.25">
      <c r="A636">
        <v>187694</v>
      </c>
      <c r="B636">
        <v>131159357</v>
      </c>
      <c r="C636" t="s">
        <v>2968</v>
      </c>
      <c r="D636" t="s">
        <v>2969</v>
      </c>
      <c r="E636" t="s">
        <v>2951</v>
      </c>
      <c r="F636" t="s">
        <v>431</v>
      </c>
      <c r="G636" t="s">
        <v>83</v>
      </c>
      <c r="H636" t="s">
        <v>205</v>
      </c>
      <c r="I636" t="s">
        <v>88</v>
      </c>
      <c r="J636" t="s">
        <v>209</v>
      </c>
      <c r="K636" t="s">
        <v>2</v>
      </c>
      <c r="L636" t="s">
        <v>166</v>
      </c>
      <c r="M636" t="s">
        <v>2970</v>
      </c>
      <c r="N636" t="s">
        <v>433</v>
      </c>
      <c r="O636" t="s">
        <v>53</v>
      </c>
      <c r="P636" t="s">
        <v>2971</v>
      </c>
      <c r="Q636" s="14" t="s">
        <v>79</v>
      </c>
      <c r="R636" t="s">
        <v>2967</v>
      </c>
      <c r="S636">
        <v>1</v>
      </c>
      <c r="T636">
        <v>2706</v>
      </c>
      <c r="U636">
        <v>0</v>
      </c>
      <c r="V636">
        <v>2706</v>
      </c>
    </row>
    <row r="637" spans="1:22" x14ac:dyDescent="0.25">
      <c r="A637">
        <v>187694</v>
      </c>
      <c r="B637">
        <v>131089767</v>
      </c>
      <c r="C637" t="s">
        <v>2972</v>
      </c>
      <c r="D637" t="s">
        <v>2973</v>
      </c>
      <c r="E637" t="s">
        <v>2951</v>
      </c>
      <c r="F637" t="s">
        <v>431</v>
      </c>
      <c r="G637" t="s">
        <v>83</v>
      </c>
      <c r="H637" t="s">
        <v>205</v>
      </c>
      <c r="I637" t="s">
        <v>88</v>
      </c>
      <c r="J637" t="s">
        <v>209</v>
      </c>
      <c r="K637" t="s">
        <v>2</v>
      </c>
      <c r="L637" t="s">
        <v>166</v>
      </c>
      <c r="M637" t="s">
        <v>2974</v>
      </c>
      <c r="N637" t="s">
        <v>433</v>
      </c>
      <c r="O637" t="s">
        <v>53</v>
      </c>
      <c r="P637" t="s">
        <v>2975</v>
      </c>
      <c r="Q637" s="14" t="s">
        <v>62</v>
      </c>
      <c r="R637" t="s">
        <v>2976</v>
      </c>
      <c r="S637">
        <v>1</v>
      </c>
      <c r="T637">
        <v>2706</v>
      </c>
      <c r="U637">
        <v>0</v>
      </c>
      <c r="V637">
        <v>2706</v>
      </c>
    </row>
    <row r="638" spans="1:22" x14ac:dyDescent="0.25">
      <c r="A638">
        <v>187694</v>
      </c>
      <c r="B638">
        <v>131089160</v>
      </c>
      <c r="C638" t="s">
        <v>2977</v>
      </c>
      <c r="D638" t="s">
        <v>2978</v>
      </c>
      <c r="E638" t="s">
        <v>2951</v>
      </c>
      <c r="F638" t="s">
        <v>431</v>
      </c>
      <c r="G638" t="s">
        <v>83</v>
      </c>
      <c r="H638" t="s">
        <v>205</v>
      </c>
      <c r="I638" t="s">
        <v>88</v>
      </c>
      <c r="J638" t="s">
        <v>209</v>
      </c>
      <c r="K638" t="s">
        <v>2</v>
      </c>
      <c r="L638" t="s">
        <v>166</v>
      </c>
      <c r="M638" t="s">
        <v>2979</v>
      </c>
      <c r="N638" t="s">
        <v>433</v>
      </c>
      <c r="O638" t="s">
        <v>53</v>
      </c>
      <c r="P638" t="s">
        <v>2980</v>
      </c>
      <c r="Q638" s="14" t="s">
        <v>48</v>
      </c>
      <c r="R638" t="s">
        <v>2981</v>
      </c>
      <c r="S638">
        <v>1</v>
      </c>
      <c r="T638">
        <v>2706</v>
      </c>
      <c r="U638">
        <v>0</v>
      </c>
      <c r="V638">
        <v>2706</v>
      </c>
    </row>
    <row r="639" spans="1:22" x14ac:dyDescent="0.25">
      <c r="A639">
        <v>187694</v>
      </c>
      <c r="B639">
        <v>131025126</v>
      </c>
      <c r="C639" t="s">
        <v>2982</v>
      </c>
      <c r="D639" t="s">
        <v>2983</v>
      </c>
      <c r="E639" t="s">
        <v>2951</v>
      </c>
      <c r="F639" t="s">
        <v>431</v>
      </c>
      <c r="G639" t="s">
        <v>83</v>
      </c>
      <c r="H639" t="s">
        <v>205</v>
      </c>
      <c r="I639" t="s">
        <v>88</v>
      </c>
      <c r="J639" t="s">
        <v>209</v>
      </c>
      <c r="K639" t="s">
        <v>2</v>
      </c>
      <c r="L639" t="s">
        <v>166</v>
      </c>
      <c r="M639" t="s">
        <v>2984</v>
      </c>
      <c r="N639" t="s">
        <v>433</v>
      </c>
      <c r="O639" t="s">
        <v>53</v>
      </c>
      <c r="P639" t="s">
        <v>2985</v>
      </c>
      <c r="Q639" s="14" t="s">
        <v>56</v>
      </c>
      <c r="R639" t="s">
        <v>404</v>
      </c>
      <c r="S639">
        <v>1</v>
      </c>
      <c r="T639">
        <v>2706</v>
      </c>
      <c r="U639">
        <v>0</v>
      </c>
      <c r="V639">
        <v>2706</v>
      </c>
    </row>
    <row r="640" spans="1:22" x14ac:dyDescent="0.25">
      <c r="A640">
        <v>187694</v>
      </c>
      <c r="B640">
        <v>131238392</v>
      </c>
      <c r="C640" t="s">
        <v>2986</v>
      </c>
      <c r="D640">
        <v>250208533</v>
      </c>
      <c r="E640" t="s">
        <v>2951</v>
      </c>
      <c r="F640" t="s">
        <v>431</v>
      </c>
      <c r="G640" t="s">
        <v>149</v>
      </c>
      <c r="H640" t="s">
        <v>150</v>
      </c>
      <c r="I640" t="s">
        <v>88</v>
      </c>
      <c r="J640" t="s">
        <v>151</v>
      </c>
      <c r="K640" t="s">
        <v>2</v>
      </c>
      <c r="L640" t="s">
        <v>2987</v>
      </c>
      <c r="M640" t="s">
        <v>2988</v>
      </c>
      <c r="N640" t="s">
        <v>433</v>
      </c>
      <c r="O640" t="s">
        <v>53</v>
      </c>
      <c r="P640" t="s">
        <v>235</v>
      </c>
      <c r="Q640" s="14" t="s">
        <v>93</v>
      </c>
      <c r="R640" t="s">
        <v>420</v>
      </c>
      <c r="S640">
        <v>1.85</v>
      </c>
      <c r="T640">
        <v>5052</v>
      </c>
      <c r="U640">
        <v>0</v>
      </c>
      <c r="V640">
        <v>5052</v>
      </c>
    </row>
    <row r="641" spans="1:22" x14ac:dyDescent="0.25">
      <c r="A641">
        <v>187694</v>
      </c>
      <c r="B641">
        <v>131159351</v>
      </c>
      <c r="C641" t="s">
        <v>2989</v>
      </c>
      <c r="D641">
        <v>250048537</v>
      </c>
      <c r="E641" t="s">
        <v>2951</v>
      </c>
      <c r="F641" t="s">
        <v>431</v>
      </c>
      <c r="G641" t="s">
        <v>149</v>
      </c>
      <c r="H641" t="s">
        <v>150</v>
      </c>
      <c r="I641" t="s">
        <v>88</v>
      </c>
      <c r="J641" t="s">
        <v>151</v>
      </c>
      <c r="K641" t="s">
        <v>2</v>
      </c>
      <c r="L641" t="s">
        <v>2990</v>
      </c>
      <c r="M641" t="s">
        <v>2991</v>
      </c>
      <c r="N641" t="s">
        <v>433</v>
      </c>
      <c r="O641" t="s">
        <v>53</v>
      </c>
      <c r="P641" t="s">
        <v>2992</v>
      </c>
      <c r="Q641" s="14" t="s">
        <v>101</v>
      </c>
      <c r="R641" t="s">
        <v>2967</v>
      </c>
      <c r="S641">
        <v>1.25</v>
      </c>
      <c r="T641">
        <v>7493</v>
      </c>
      <c r="U641">
        <v>0</v>
      </c>
      <c r="V641">
        <v>7493</v>
      </c>
    </row>
    <row r="642" spans="1:22" x14ac:dyDescent="0.25">
      <c r="A642">
        <v>187694</v>
      </c>
      <c r="B642">
        <v>131089549</v>
      </c>
      <c r="C642" t="s">
        <v>2993</v>
      </c>
      <c r="D642">
        <v>249907133</v>
      </c>
      <c r="E642" t="s">
        <v>2951</v>
      </c>
      <c r="F642" t="s">
        <v>431</v>
      </c>
      <c r="G642" t="s">
        <v>149</v>
      </c>
      <c r="H642" t="s">
        <v>150</v>
      </c>
      <c r="I642" t="s">
        <v>88</v>
      </c>
      <c r="J642" t="s">
        <v>151</v>
      </c>
      <c r="K642" t="s">
        <v>2</v>
      </c>
      <c r="L642" t="s">
        <v>2994</v>
      </c>
      <c r="M642" t="s">
        <v>2995</v>
      </c>
      <c r="N642" t="s">
        <v>433</v>
      </c>
      <c r="O642" t="s">
        <v>53</v>
      </c>
      <c r="P642" t="s">
        <v>2996</v>
      </c>
      <c r="Q642" s="14" t="s">
        <v>159</v>
      </c>
      <c r="R642" t="s">
        <v>211</v>
      </c>
      <c r="S642">
        <v>1.65</v>
      </c>
      <c r="T642">
        <v>6660</v>
      </c>
      <c r="U642">
        <v>0</v>
      </c>
      <c r="V642">
        <v>6660</v>
      </c>
    </row>
    <row r="643" spans="1:22" x14ac:dyDescent="0.25">
      <c r="A643">
        <v>187694</v>
      </c>
      <c r="B643">
        <v>131025122</v>
      </c>
      <c r="C643" t="s">
        <v>2997</v>
      </c>
      <c r="D643">
        <v>249762952</v>
      </c>
      <c r="E643" t="s">
        <v>2951</v>
      </c>
      <c r="F643" t="s">
        <v>431</v>
      </c>
      <c r="G643" t="s">
        <v>149</v>
      </c>
      <c r="H643" t="s">
        <v>150</v>
      </c>
      <c r="I643" t="s">
        <v>88</v>
      </c>
      <c r="J643" t="s">
        <v>151</v>
      </c>
      <c r="K643" t="s">
        <v>2</v>
      </c>
      <c r="L643" t="s">
        <v>2998</v>
      </c>
      <c r="M643" t="s">
        <v>2999</v>
      </c>
      <c r="N643" t="s">
        <v>433</v>
      </c>
      <c r="O643" t="s">
        <v>53</v>
      </c>
      <c r="P643" t="s">
        <v>3000</v>
      </c>
      <c r="Q643" s="14" t="s">
        <v>38</v>
      </c>
      <c r="R643" t="s">
        <v>404</v>
      </c>
      <c r="S643">
        <v>2.38</v>
      </c>
      <c r="T643">
        <v>5423</v>
      </c>
      <c r="U643">
        <v>0</v>
      </c>
      <c r="V643">
        <v>5423</v>
      </c>
    </row>
    <row r="644" spans="1:22" x14ac:dyDescent="0.25">
      <c r="A644">
        <v>187694</v>
      </c>
      <c r="B644">
        <v>130886635</v>
      </c>
      <c r="C644" t="s">
        <v>3001</v>
      </c>
      <c r="D644">
        <v>249441712</v>
      </c>
      <c r="E644" t="s">
        <v>2951</v>
      </c>
      <c r="F644" t="s">
        <v>431</v>
      </c>
      <c r="G644" t="s">
        <v>149</v>
      </c>
      <c r="H644" t="s">
        <v>150</v>
      </c>
      <c r="I644" t="s">
        <v>88</v>
      </c>
      <c r="J644" t="s">
        <v>151</v>
      </c>
      <c r="K644" t="s">
        <v>2</v>
      </c>
      <c r="L644" t="s">
        <v>3002</v>
      </c>
      <c r="M644" t="s">
        <v>3003</v>
      </c>
      <c r="N644" t="s">
        <v>433</v>
      </c>
      <c r="O644" t="s">
        <v>53</v>
      </c>
      <c r="P644" t="s">
        <v>3004</v>
      </c>
      <c r="Q644" s="14" t="s">
        <v>120</v>
      </c>
      <c r="R644" t="s">
        <v>3005</v>
      </c>
      <c r="S644">
        <v>1.1000000000000001</v>
      </c>
      <c r="T644">
        <v>5569</v>
      </c>
      <c r="U644">
        <v>0</v>
      </c>
      <c r="V644">
        <v>5569</v>
      </c>
    </row>
    <row r="645" spans="1:22" x14ac:dyDescent="0.25">
      <c r="A645">
        <v>187694</v>
      </c>
      <c r="B645">
        <v>130703738</v>
      </c>
      <c r="C645" t="s">
        <v>3006</v>
      </c>
      <c r="D645">
        <v>249074850</v>
      </c>
      <c r="E645" t="s">
        <v>2951</v>
      </c>
      <c r="F645" t="s">
        <v>431</v>
      </c>
      <c r="G645" t="s">
        <v>149</v>
      </c>
      <c r="H645" t="s">
        <v>150</v>
      </c>
      <c r="I645" t="s">
        <v>88</v>
      </c>
      <c r="J645" t="s">
        <v>151</v>
      </c>
      <c r="K645" t="s">
        <v>2</v>
      </c>
      <c r="L645" t="s">
        <v>3007</v>
      </c>
      <c r="M645" t="s">
        <v>279</v>
      </c>
      <c r="N645" t="s">
        <v>433</v>
      </c>
      <c r="O645" t="s">
        <v>53</v>
      </c>
      <c r="P645" t="s">
        <v>3008</v>
      </c>
      <c r="Q645" s="14" t="s">
        <v>92</v>
      </c>
      <c r="R645" t="s">
        <v>3009</v>
      </c>
      <c r="S645">
        <v>1.27</v>
      </c>
      <c r="T645">
        <v>5040</v>
      </c>
      <c r="U645">
        <v>0</v>
      </c>
      <c r="V645">
        <v>5040</v>
      </c>
    </row>
    <row r="646" spans="1:22" x14ac:dyDescent="0.25">
      <c r="A646">
        <v>187694</v>
      </c>
      <c r="B646">
        <v>130540331</v>
      </c>
      <c r="C646" t="s">
        <v>3010</v>
      </c>
      <c r="D646">
        <v>248680401</v>
      </c>
      <c r="E646" t="s">
        <v>2951</v>
      </c>
      <c r="F646" t="s">
        <v>431</v>
      </c>
      <c r="G646" t="s">
        <v>149</v>
      </c>
      <c r="H646" t="s">
        <v>150</v>
      </c>
      <c r="I646" t="s">
        <v>88</v>
      </c>
      <c r="J646" t="s">
        <v>151</v>
      </c>
      <c r="K646" t="s">
        <v>2</v>
      </c>
      <c r="L646" t="s">
        <v>3011</v>
      </c>
      <c r="M646" t="s">
        <v>3012</v>
      </c>
      <c r="N646" t="s">
        <v>433</v>
      </c>
      <c r="O646" t="s">
        <v>53</v>
      </c>
      <c r="P646" t="s">
        <v>3013</v>
      </c>
      <c r="Q646" s="14" t="s">
        <v>129</v>
      </c>
      <c r="R646" t="s">
        <v>3014</v>
      </c>
      <c r="S646">
        <v>1.29</v>
      </c>
      <c r="T646">
        <v>7684</v>
      </c>
      <c r="U646">
        <v>0</v>
      </c>
      <c r="V646">
        <v>7684</v>
      </c>
    </row>
    <row r="647" spans="1:22" x14ac:dyDescent="0.25">
      <c r="A647">
        <v>187694</v>
      </c>
      <c r="B647">
        <v>130438673</v>
      </c>
      <c r="C647" t="s">
        <v>3015</v>
      </c>
      <c r="D647">
        <v>248425970</v>
      </c>
      <c r="E647" t="s">
        <v>2951</v>
      </c>
      <c r="F647" t="s">
        <v>431</v>
      </c>
      <c r="G647" t="s">
        <v>149</v>
      </c>
      <c r="H647" t="s">
        <v>150</v>
      </c>
      <c r="I647" t="s">
        <v>88</v>
      </c>
      <c r="J647" t="s">
        <v>151</v>
      </c>
      <c r="K647" t="s">
        <v>2</v>
      </c>
      <c r="L647" t="s">
        <v>3016</v>
      </c>
      <c r="M647" t="s">
        <v>3017</v>
      </c>
      <c r="N647" t="s">
        <v>433</v>
      </c>
      <c r="O647" t="s">
        <v>53</v>
      </c>
      <c r="P647" t="s">
        <v>3018</v>
      </c>
      <c r="Q647" s="14" t="s">
        <v>38</v>
      </c>
      <c r="R647" t="s">
        <v>3019</v>
      </c>
      <c r="S647">
        <v>1.36</v>
      </c>
      <c r="T647">
        <v>5040</v>
      </c>
      <c r="U647">
        <v>0</v>
      </c>
      <c r="V647">
        <v>5040</v>
      </c>
    </row>
    <row r="648" spans="1:22" x14ac:dyDescent="0.25">
      <c r="A648">
        <v>187694</v>
      </c>
      <c r="B648">
        <v>130438675</v>
      </c>
      <c r="C648" t="s">
        <v>3020</v>
      </c>
      <c r="D648">
        <v>248425930</v>
      </c>
      <c r="E648" t="s">
        <v>2951</v>
      </c>
      <c r="F648" t="s">
        <v>431</v>
      </c>
      <c r="G648" t="s">
        <v>149</v>
      </c>
      <c r="H648" t="s">
        <v>150</v>
      </c>
      <c r="I648" t="s">
        <v>88</v>
      </c>
      <c r="J648" t="s">
        <v>151</v>
      </c>
      <c r="K648" t="s">
        <v>2</v>
      </c>
      <c r="L648" t="s">
        <v>3021</v>
      </c>
      <c r="M648" t="s">
        <v>3022</v>
      </c>
      <c r="N648" t="s">
        <v>433</v>
      </c>
      <c r="O648" t="s">
        <v>53</v>
      </c>
      <c r="P648" t="s">
        <v>3023</v>
      </c>
      <c r="Q648" s="14" t="s">
        <v>112</v>
      </c>
      <c r="R648" t="s">
        <v>3019</v>
      </c>
      <c r="S648">
        <v>1.37</v>
      </c>
      <c r="T648">
        <v>5040</v>
      </c>
      <c r="U648">
        <v>0</v>
      </c>
      <c r="V648">
        <v>5040</v>
      </c>
    </row>
    <row r="649" spans="1:22" x14ac:dyDescent="0.25">
      <c r="A649">
        <v>187694</v>
      </c>
      <c r="B649">
        <v>130326402</v>
      </c>
      <c r="C649" t="s">
        <v>3024</v>
      </c>
      <c r="D649">
        <v>248165060</v>
      </c>
      <c r="E649" t="s">
        <v>2951</v>
      </c>
      <c r="F649" t="s">
        <v>431</v>
      </c>
      <c r="G649" t="s">
        <v>149</v>
      </c>
      <c r="H649" t="s">
        <v>150</v>
      </c>
      <c r="I649" t="s">
        <v>88</v>
      </c>
      <c r="J649" t="s">
        <v>151</v>
      </c>
      <c r="K649" t="s">
        <v>254</v>
      </c>
      <c r="L649" t="s">
        <v>248</v>
      </c>
      <c r="M649" t="s">
        <v>3025</v>
      </c>
      <c r="N649" t="s">
        <v>433</v>
      </c>
      <c r="O649" t="s">
        <v>53</v>
      </c>
      <c r="P649" t="s">
        <v>3026</v>
      </c>
      <c r="Q649" s="14" t="s">
        <v>196</v>
      </c>
      <c r="R649" t="s">
        <v>3027</v>
      </c>
      <c r="S649">
        <v>1.34</v>
      </c>
      <c r="T649">
        <v>4467</v>
      </c>
      <c r="U649">
        <v>0</v>
      </c>
      <c r="V649">
        <v>4467</v>
      </c>
    </row>
    <row r="650" spans="1:22" x14ac:dyDescent="0.25">
      <c r="A650">
        <v>187694</v>
      </c>
      <c r="B650">
        <v>130325836</v>
      </c>
      <c r="C650" t="s">
        <v>3028</v>
      </c>
      <c r="D650">
        <v>248165067</v>
      </c>
      <c r="E650" t="s">
        <v>2951</v>
      </c>
      <c r="F650" t="s">
        <v>431</v>
      </c>
      <c r="G650" t="s">
        <v>149</v>
      </c>
      <c r="H650" t="s">
        <v>150</v>
      </c>
      <c r="I650" t="s">
        <v>88</v>
      </c>
      <c r="J650" t="s">
        <v>151</v>
      </c>
      <c r="K650" t="s">
        <v>2</v>
      </c>
      <c r="L650" t="s">
        <v>3029</v>
      </c>
      <c r="M650" t="s">
        <v>3030</v>
      </c>
      <c r="N650" t="s">
        <v>433</v>
      </c>
      <c r="O650" t="s">
        <v>53</v>
      </c>
      <c r="P650" t="s">
        <v>3031</v>
      </c>
      <c r="Q650" s="14" t="s">
        <v>129</v>
      </c>
      <c r="R650" t="s">
        <v>3032</v>
      </c>
      <c r="S650">
        <v>0.31</v>
      </c>
      <c r="T650">
        <v>7212</v>
      </c>
      <c r="U650">
        <v>0</v>
      </c>
      <c r="V650">
        <v>7212</v>
      </c>
    </row>
    <row r="651" spans="1:22" x14ac:dyDescent="0.25">
      <c r="A651">
        <v>187694</v>
      </c>
      <c r="B651">
        <v>130325835</v>
      </c>
      <c r="C651" t="s">
        <v>3033</v>
      </c>
      <c r="D651">
        <v>248165056</v>
      </c>
      <c r="E651" t="s">
        <v>2951</v>
      </c>
      <c r="F651" t="s">
        <v>431</v>
      </c>
      <c r="G651" t="s">
        <v>149</v>
      </c>
      <c r="H651" t="s">
        <v>150</v>
      </c>
      <c r="I651" t="s">
        <v>88</v>
      </c>
      <c r="J651" t="s">
        <v>151</v>
      </c>
      <c r="K651" t="s">
        <v>2</v>
      </c>
      <c r="L651" t="s">
        <v>3034</v>
      </c>
      <c r="M651" t="s">
        <v>3035</v>
      </c>
      <c r="N651" t="s">
        <v>433</v>
      </c>
      <c r="O651" t="s">
        <v>53</v>
      </c>
      <c r="P651" t="s">
        <v>3036</v>
      </c>
      <c r="Q651" s="14" t="s">
        <v>119</v>
      </c>
      <c r="R651" t="s">
        <v>3032</v>
      </c>
      <c r="S651">
        <v>2.5</v>
      </c>
      <c r="T651">
        <v>6728</v>
      </c>
      <c r="U651">
        <v>0</v>
      </c>
      <c r="V651">
        <v>6728</v>
      </c>
    </row>
    <row r="652" spans="1:22" x14ac:dyDescent="0.25">
      <c r="A652">
        <v>154063</v>
      </c>
      <c r="B652">
        <v>131054388</v>
      </c>
      <c r="C652" t="s">
        <v>3037</v>
      </c>
      <c r="D652" t="s">
        <v>3038</v>
      </c>
      <c r="E652" t="s">
        <v>3039</v>
      </c>
      <c r="F652" t="s">
        <v>431</v>
      </c>
      <c r="G652" t="s">
        <v>83</v>
      </c>
      <c r="H652" t="s">
        <v>205</v>
      </c>
      <c r="I652" t="s">
        <v>88</v>
      </c>
      <c r="J652" t="s">
        <v>209</v>
      </c>
      <c r="K652" t="s">
        <v>2</v>
      </c>
      <c r="L652" t="s">
        <v>166</v>
      </c>
      <c r="M652" t="s">
        <v>3040</v>
      </c>
      <c r="N652" t="s">
        <v>433</v>
      </c>
      <c r="O652" t="s">
        <v>53</v>
      </c>
      <c r="P652" t="s">
        <v>3041</v>
      </c>
      <c r="Q652" s="14" t="s">
        <v>68</v>
      </c>
      <c r="R652" t="s">
        <v>3042</v>
      </c>
      <c r="S652">
        <v>1</v>
      </c>
      <c r="T652">
        <v>2706</v>
      </c>
      <c r="U652">
        <v>0</v>
      </c>
      <c r="V652">
        <v>2706</v>
      </c>
    </row>
    <row r="653" spans="1:22" x14ac:dyDescent="0.25">
      <c r="A653">
        <v>154063</v>
      </c>
      <c r="B653">
        <v>131157790</v>
      </c>
      <c r="C653" t="s">
        <v>3043</v>
      </c>
      <c r="D653">
        <v>250046123</v>
      </c>
      <c r="E653" t="s">
        <v>3039</v>
      </c>
      <c r="F653" t="s">
        <v>431</v>
      </c>
      <c r="G653" t="s">
        <v>149</v>
      </c>
      <c r="H653" t="s">
        <v>150</v>
      </c>
      <c r="I653" t="s">
        <v>88</v>
      </c>
      <c r="J653" t="s">
        <v>151</v>
      </c>
      <c r="K653" t="s">
        <v>2</v>
      </c>
      <c r="L653" t="s">
        <v>3044</v>
      </c>
      <c r="M653" t="s">
        <v>3045</v>
      </c>
      <c r="N653" t="s">
        <v>433</v>
      </c>
      <c r="O653" t="s">
        <v>53</v>
      </c>
      <c r="P653" t="s">
        <v>3046</v>
      </c>
      <c r="Q653" s="14" t="s">
        <v>129</v>
      </c>
      <c r="R653" t="s">
        <v>208</v>
      </c>
      <c r="S653">
        <v>0.5</v>
      </c>
      <c r="T653">
        <v>7212</v>
      </c>
      <c r="U653">
        <v>0</v>
      </c>
      <c r="V653">
        <v>7212</v>
      </c>
    </row>
    <row r="654" spans="1:22" x14ac:dyDescent="0.25">
      <c r="A654">
        <v>154063</v>
      </c>
      <c r="B654">
        <v>131025963</v>
      </c>
      <c r="C654" t="s">
        <v>3047</v>
      </c>
      <c r="D654">
        <v>249765052</v>
      </c>
      <c r="E654" t="s">
        <v>3039</v>
      </c>
      <c r="F654" t="s">
        <v>431</v>
      </c>
      <c r="G654" t="s">
        <v>149</v>
      </c>
      <c r="H654" t="s">
        <v>150</v>
      </c>
      <c r="I654" t="s">
        <v>88</v>
      </c>
      <c r="J654" t="s">
        <v>151</v>
      </c>
      <c r="K654" t="s">
        <v>2</v>
      </c>
      <c r="L654" t="s">
        <v>3048</v>
      </c>
      <c r="M654" t="s">
        <v>3049</v>
      </c>
      <c r="N654" t="s">
        <v>433</v>
      </c>
      <c r="O654" t="s">
        <v>53</v>
      </c>
      <c r="P654" t="s">
        <v>3050</v>
      </c>
      <c r="Q654" s="14" t="s">
        <v>111</v>
      </c>
      <c r="R654" t="s">
        <v>3051</v>
      </c>
      <c r="S654">
        <v>0.48</v>
      </c>
      <c r="T654">
        <v>5817</v>
      </c>
      <c r="U654">
        <v>0</v>
      </c>
      <c r="V654">
        <v>5817</v>
      </c>
    </row>
    <row r="655" spans="1:22" x14ac:dyDescent="0.25">
      <c r="A655">
        <v>154063</v>
      </c>
      <c r="B655">
        <v>130681748</v>
      </c>
      <c r="C655" t="s">
        <v>3052</v>
      </c>
      <c r="D655">
        <v>249003693</v>
      </c>
      <c r="E655" t="s">
        <v>3039</v>
      </c>
      <c r="F655" t="s">
        <v>431</v>
      </c>
      <c r="G655" t="s">
        <v>149</v>
      </c>
      <c r="H655" t="s">
        <v>150</v>
      </c>
      <c r="I655" t="s">
        <v>88</v>
      </c>
      <c r="J655" t="s">
        <v>151</v>
      </c>
      <c r="K655" t="s">
        <v>2</v>
      </c>
      <c r="L655" t="s">
        <v>3053</v>
      </c>
      <c r="M655" t="s">
        <v>3054</v>
      </c>
      <c r="N655" t="s">
        <v>433</v>
      </c>
      <c r="O655" t="s">
        <v>53</v>
      </c>
      <c r="P655" t="s">
        <v>3055</v>
      </c>
      <c r="Q655" s="14" t="s">
        <v>110</v>
      </c>
      <c r="R655" t="s">
        <v>3056</v>
      </c>
      <c r="S655">
        <v>0.5</v>
      </c>
      <c r="T655">
        <v>6267</v>
      </c>
      <c r="U655">
        <v>0</v>
      </c>
      <c r="V655">
        <v>6267</v>
      </c>
    </row>
    <row r="656" spans="1:22" x14ac:dyDescent="0.25">
      <c r="A656">
        <v>154063</v>
      </c>
      <c r="B656">
        <v>130929211</v>
      </c>
      <c r="C656" t="s">
        <v>3057</v>
      </c>
      <c r="D656">
        <v>249552565</v>
      </c>
      <c r="E656" t="s">
        <v>3039</v>
      </c>
      <c r="F656" t="s">
        <v>431</v>
      </c>
      <c r="G656" t="s">
        <v>149</v>
      </c>
      <c r="H656" t="s">
        <v>150</v>
      </c>
      <c r="I656" t="s">
        <v>88</v>
      </c>
      <c r="J656" t="s">
        <v>151</v>
      </c>
      <c r="K656" t="s">
        <v>2</v>
      </c>
      <c r="L656" t="s">
        <v>3058</v>
      </c>
      <c r="M656" t="s">
        <v>3059</v>
      </c>
      <c r="N656" t="s">
        <v>433</v>
      </c>
      <c r="O656" t="s">
        <v>53</v>
      </c>
      <c r="P656" t="s">
        <v>3060</v>
      </c>
      <c r="Q656" s="14" t="s">
        <v>140</v>
      </c>
      <c r="R656" t="s">
        <v>3061</v>
      </c>
      <c r="S656">
        <v>0.59</v>
      </c>
      <c r="T656">
        <v>4669</v>
      </c>
      <c r="U656">
        <v>0</v>
      </c>
      <c r="V656">
        <v>4669</v>
      </c>
    </row>
    <row r="657" spans="1:22" x14ac:dyDescent="0.25">
      <c r="A657">
        <v>154063</v>
      </c>
      <c r="B657">
        <v>130929212</v>
      </c>
      <c r="C657" t="s">
        <v>3062</v>
      </c>
      <c r="D657">
        <v>249552562</v>
      </c>
      <c r="E657" t="s">
        <v>3039</v>
      </c>
      <c r="F657" t="s">
        <v>431</v>
      </c>
      <c r="G657" t="s">
        <v>149</v>
      </c>
      <c r="H657" t="s">
        <v>150</v>
      </c>
      <c r="I657" t="s">
        <v>88</v>
      </c>
      <c r="J657" t="s">
        <v>151</v>
      </c>
      <c r="K657" t="s">
        <v>2</v>
      </c>
      <c r="L657" t="s">
        <v>3063</v>
      </c>
      <c r="M657" t="s">
        <v>3064</v>
      </c>
      <c r="N657" t="s">
        <v>433</v>
      </c>
      <c r="O657" t="s">
        <v>53</v>
      </c>
      <c r="P657" t="s">
        <v>3065</v>
      </c>
      <c r="Q657" s="14" t="s">
        <v>120</v>
      </c>
      <c r="R657" t="s">
        <v>3061</v>
      </c>
      <c r="S657">
        <v>1</v>
      </c>
      <c r="T657">
        <v>5153</v>
      </c>
      <c r="U657">
        <v>0</v>
      </c>
      <c r="V657">
        <v>5153</v>
      </c>
    </row>
    <row r="658" spans="1:22" x14ac:dyDescent="0.25">
      <c r="A658">
        <v>154063</v>
      </c>
      <c r="B658">
        <v>130955266</v>
      </c>
      <c r="C658" t="s">
        <v>3066</v>
      </c>
      <c r="D658">
        <v>249597340</v>
      </c>
      <c r="E658" t="s">
        <v>3039</v>
      </c>
      <c r="F658" t="s">
        <v>431</v>
      </c>
      <c r="G658" t="s">
        <v>149</v>
      </c>
      <c r="H658" t="s">
        <v>150</v>
      </c>
      <c r="I658" t="s">
        <v>88</v>
      </c>
      <c r="J658" t="s">
        <v>151</v>
      </c>
      <c r="K658" t="s">
        <v>2</v>
      </c>
      <c r="L658" t="s">
        <v>3067</v>
      </c>
      <c r="M658" t="s">
        <v>3068</v>
      </c>
      <c r="N658" t="s">
        <v>433</v>
      </c>
      <c r="O658" t="s">
        <v>53</v>
      </c>
      <c r="P658" t="s">
        <v>3069</v>
      </c>
      <c r="Q658" s="14" t="s">
        <v>113</v>
      </c>
      <c r="R658" t="s">
        <v>3070</v>
      </c>
      <c r="S658">
        <v>0.53</v>
      </c>
      <c r="T658">
        <v>4973</v>
      </c>
      <c r="U658">
        <v>0</v>
      </c>
      <c r="V658">
        <v>4973</v>
      </c>
    </row>
    <row r="659" spans="1:22" x14ac:dyDescent="0.25">
      <c r="A659">
        <v>154063</v>
      </c>
      <c r="B659">
        <v>130884122</v>
      </c>
      <c r="C659" t="s">
        <v>3071</v>
      </c>
      <c r="D659">
        <v>249436878</v>
      </c>
      <c r="E659" t="s">
        <v>3039</v>
      </c>
      <c r="F659" t="s">
        <v>431</v>
      </c>
      <c r="G659" t="s">
        <v>149</v>
      </c>
      <c r="H659" t="s">
        <v>150</v>
      </c>
      <c r="I659" t="s">
        <v>88</v>
      </c>
      <c r="J659" t="s">
        <v>151</v>
      </c>
      <c r="K659" t="s">
        <v>2</v>
      </c>
      <c r="L659" t="s">
        <v>3072</v>
      </c>
      <c r="M659" t="s">
        <v>3073</v>
      </c>
      <c r="N659" t="s">
        <v>433</v>
      </c>
      <c r="O659" t="s">
        <v>53</v>
      </c>
      <c r="P659" t="s">
        <v>3074</v>
      </c>
      <c r="Q659" s="14" t="s">
        <v>107</v>
      </c>
      <c r="R659" t="s">
        <v>3075</v>
      </c>
      <c r="S659">
        <v>0.5</v>
      </c>
      <c r="T659">
        <v>6132</v>
      </c>
      <c r="U659">
        <v>0</v>
      </c>
      <c r="V659">
        <v>6132</v>
      </c>
    </row>
    <row r="660" spans="1:22" x14ac:dyDescent="0.25">
      <c r="A660">
        <v>154063</v>
      </c>
      <c r="B660">
        <v>130846984</v>
      </c>
      <c r="C660" t="s">
        <v>3076</v>
      </c>
      <c r="D660">
        <v>249351691</v>
      </c>
      <c r="E660" t="s">
        <v>3039</v>
      </c>
      <c r="F660" t="s">
        <v>431</v>
      </c>
      <c r="G660" t="s">
        <v>149</v>
      </c>
      <c r="H660" t="s">
        <v>150</v>
      </c>
      <c r="I660" t="s">
        <v>88</v>
      </c>
      <c r="J660" t="s">
        <v>151</v>
      </c>
      <c r="K660" t="s">
        <v>2</v>
      </c>
      <c r="L660" t="s">
        <v>3077</v>
      </c>
      <c r="M660" t="s">
        <v>3078</v>
      </c>
      <c r="N660" t="s">
        <v>433</v>
      </c>
      <c r="O660" t="s">
        <v>53</v>
      </c>
      <c r="P660" t="s">
        <v>3079</v>
      </c>
      <c r="Q660" s="14" t="s">
        <v>129</v>
      </c>
      <c r="R660" t="s">
        <v>3080</v>
      </c>
      <c r="S660">
        <v>0.49</v>
      </c>
      <c r="T660">
        <v>7212</v>
      </c>
      <c r="U660">
        <v>0</v>
      </c>
      <c r="V660">
        <v>7212</v>
      </c>
    </row>
    <row r="661" spans="1:22" x14ac:dyDescent="0.25">
      <c r="A661">
        <v>154063</v>
      </c>
      <c r="B661">
        <v>130846980</v>
      </c>
      <c r="C661" t="s">
        <v>3081</v>
      </c>
      <c r="D661">
        <v>249351667</v>
      </c>
      <c r="E661" t="s">
        <v>3039</v>
      </c>
      <c r="F661" t="s">
        <v>431</v>
      </c>
      <c r="G661" t="s">
        <v>149</v>
      </c>
      <c r="H661" t="s">
        <v>150</v>
      </c>
      <c r="I661" t="s">
        <v>88</v>
      </c>
      <c r="J661" t="s">
        <v>151</v>
      </c>
      <c r="K661" t="s">
        <v>2</v>
      </c>
      <c r="L661" t="s">
        <v>3082</v>
      </c>
      <c r="M661" t="s">
        <v>3083</v>
      </c>
      <c r="N661" t="s">
        <v>433</v>
      </c>
      <c r="O661" t="s">
        <v>53</v>
      </c>
      <c r="P661" t="s">
        <v>3084</v>
      </c>
      <c r="Q661" s="14" t="s">
        <v>40</v>
      </c>
      <c r="R661" t="s">
        <v>3080</v>
      </c>
      <c r="S661">
        <v>0.54</v>
      </c>
      <c r="T661">
        <v>4534</v>
      </c>
      <c r="U661">
        <v>0</v>
      </c>
      <c r="V661">
        <v>4534</v>
      </c>
    </row>
    <row r="662" spans="1:22" x14ac:dyDescent="0.25">
      <c r="A662">
        <v>154063</v>
      </c>
      <c r="B662">
        <v>130846978</v>
      </c>
      <c r="C662" t="s">
        <v>3085</v>
      </c>
      <c r="D662">
        <v>249351706</v>
      </c>
      <c r="E662" t="s">
        <v>3039</v>
      </c>
      <c r="F662" t="s">
        <v>431</v>
      </c>
      <c r="G662" t="s">
        <v>149</v>
      </c>
      <c r="H662" t="s">
        <v>150</v>
      </c>
      <c r="I662" t="s">
        <v>88</v>
      </c>
      <c r="J662" t="s">
        <v>151</v>
      </c>
      <c r="K662" t="s">
        <v>2</v>
      </c>
      <c r="L662" t="s">
        <v>3086</v>
      </c>
      <c r="M662" t="s">
        <v>3087</v>
      </c>
      <c r="N662" t="s">
        <v>433</v>
      </c>
      <c r="O662" t="s">
        <v>53</v>
      </c>
      <c r="P662" t="s">
        <v>3088</v>
      </c>
      <c r="Q662" s="14" t="s">
        <v>137</v>
      </c>
      <c r="R662" t="s">
        <v>3080</v>
      </c>
      <c r="S662">
        <v>0.52</v>
      </c>
      <c r="T662">
        <v>4219</v>
      </c>
      <c r="U662">
        <v>0</v>
      </c>
      <c r="V662">
        <v>4219</v>
      </c>
    </row>
    <row r="663" spans="1:22" x14ac:dyDescent="0.25">
      <c r="A663">
        <v>154063</v>
      </c>
      <c r="B663">
        <v>130747621</v>
      </c>
      <c r="C663" t="s">
        <v>3089</v>
      </c>
      <c r="D663">
        <v>249153550</v>
      </c>
      <c r="E663" t="s">
        <v>3039</v>
      </c>
      <c r="F663" t="s">
        <v>431</v>
      </c>
      <c r="G663" t="s">
        <v>149</v>
      </c>
      <c r="H663" t="s">
        <v>150</v>
      </c>
      <c r="I663" t="s">
        <v>88</v>
      </c>
      <c r="J663" t="s">
        <v>151</v>
      </c>
      <c r="K663" t="s">
        <v>2</v>
      </c>
      <c r="L663" t="s">
        <v>3090</v>
      </c>
      <c r="M663" t="s">
        <v>3091</v>
      </c>
      <c r="N663" t="s">
        <v>433</v>
      </c>
      <c r="O663" t="s">
        <v>53</v>
      </c>
      <c r="P663" t="s">
        <v>3092</v>
      </c>
      <c r="Q663" s="14" t="s">
        <v>139</v>
      </c>
      <c r="R663" t="s">
        <v>398</v>
      </c>
      <c r="S663">
        <v>0.5</v>
      </c>
      <c r="T663">
        <v>9473</v>
      </c>
      <c r="U663">
        <v>0</v>
      </c>
      <c r="V663">
        <v>9473</v>
      </c>
    </row>
    <row r="664" spans="1:22" x14ac:dyDescent="0.25">
      <c r="A664">
        <v>154063</v>
      </c>
      <c r="B664">
        <v>130747510</v>
      </c>
      <c r="C664" t="s">
        <v>3093</v>
      </c>
      <c r="D664">
        <v>249153450</v>
      </c>
      <c r="E664" t="s">
        <v>3039</v>
      </c>
      <c r="F664" t="s">
        <v>431</v>
      </c>
      <c r="G664" t="s">
        <v>149</v>
      </c>
      <c r="H664" t="s">
        <v>150</v>
      </c>
      <c r="I664" t="s">
        <v>88</v>
      </c>
      <c r="J664" t="s">
        <v>151</v>
      </c>
      <c r="K664" t="s">
        <v>2</v>
      </c>
      <c r="L664" t="s">
        <v>3094</v>
      </c>
      <c r="M664" t="s">
        <v>3095</v>
      </c>
      <c r="N664" t="s">
        <v>433</v>
      </c>
      <c r="O664" t="s">
        <v>53</v>
      </c>
      <c r="P664" t="s">
        <v>3096</v>
      </c>
      <c r="Q664" s="14" t="s">
        <v>99</v>
      </c>
      <c r="R664" t="s">
        <v>399</v>
      </c>
      <c r="S664">
        <v>0.9</v>
      </c>
      <c r="T664">
        <v>4219</v>
      </c>
      <c r="U664">
        <v>0</v>
      </c>
      <c r="V664">
        <v>4219</v>
      </c>
    </row>
    <row r="665" spans="1:22" x14ac:dyDescent="0.25">
      <c r="A665">
        <v>154063</v>
      </c>
      <c r="B665">
        <v>130580834</v>
      </c>
      <c r="C665" t="s">
        <v>3097</v>
      </c>
      <c r="D665">
        <v>248768935</v>
      </c>
      <c r="E665" t="s">
        <v>3039</v>
      </c>
      <c r="F665" t="s">
        <v>431</v>
      </c>
      <c r="G665" t="s">
        <v>149</v>
      </c>
      <c r="H665" t="s">
        <v>150</v>
      </c>
      <c r="I665" t="s">
        <v>88</v>
      </c>
      <c r="J665" t="s">
        <v>151</v>
      </c>
      <c r="K665" t="s">
        <v>2</v>
      </c>
      <c r="L665" t="s">
        <v>3098</v>
      </c>
      <c r="M665" t="s">
        <v>3099</v>
      </c>
      <c r="N665" t="s">
        <v>433</v>
      </c>
      <c r="O665" t="s">
        <v>53</v>
      </c>
      <c r="P665" t="s">
        <v>3100</v>
      </c>
      <c r="Q665" s="14" t="s">
        <v>168</v>
      </c>
      <c r="R665" t="s">
        <v>3101</v>
      </c>
      <c r="S665">
        <v>0.5</v>
      </c>
      <c r="T665">
        <v>6480</v>
      </c>
      <c r="U665">
        <v>0</v>
      </c>
      <c r="V665">
        <v>6480</v>
      </c>
    </row>
    <row r="666" spans="1:22" x14ac:dyDescent="0.25">
      <c r="A666">
        <v>154063</v>
      </c>
      <c r="B666">
        <v>130681345</v>
      </c>
      <c r="C666" t="s">
        <v>3102</v>
      </c>
      <c r="D666">
        <v>249002965</v>
      </c>
      <c r="E666" t="s">
        <v>3039</v>
      </c>
      <c r="F666" t="s">
        <v>431</v>
      </c>
      <c r="G666" t="s">
        <v>149</v>
      </c>
      <c r="H666" t="s">
        <v>150</v>
      </c>
      <c r="I666" t="s">
        <v>88</v>
      </c>
      <c r="J666" t="s">
        <v>151</v>
      </c>
      <c r="K666" t="s">
        <v>2</v>
      </c>
      <c r="L666" t="s">
        <v>3103</v>
      </c>
      <c r="M666" t="s">
        <v>3104</v>
      </c>
      <c r="N666" t="s">
        <v>433</v>
      </c>
      <c r="O666" t="s">
        <v>53</v>
      </c>
      <c r="P666" t="s">
        <v>3105</v>
      </c>
      <c r="Q666" s="14" t="s">
        <v>120</v>
      </c>
      <c r="R666" t="s">
        <v>3106</v>
      </c>
      <c r="S666">
        <v>0.5</v>
      </c>
      <c r="T666">
        <v>5153</v>
      </c>
      <c r="U666">
        <v>0</v>
      </c>
      <c r="V666">
        <v>5153</v>
      </c>
    </row>
    <row r="667" spans="1:22" x14ac:dyDescent="0.25">
      <c r="A667">
        <v>154063</v>
      </c>
      <c r="B667">
        <v>130644248</v>
      </c>
      <c r="C667" t="s">
        <v>3107</v>
      </c>
      <c r="D667">
        <v>248922129</v>
      </c>
      <c r="E667" t="s">
        <v>3039</v>
      </c>
      <c r="F667" t="s">
        <v>431</v>
      </c>
      <c r="G667" t="s">
        <v>149</v>
      </c>
      <c r="H667" t="s">
        <v>150</v>
      </c>
      <c r="I667" t="s">
        <v>88</v>
      </c>
      <c r="J667" t="s">
        <v>151</v>
      </c>
      <c r="K667" t="s">
        <v>2</v>
      </c>
      <c r="L667" t="s">
        <v>3108</v>
      </c>
      <c r="M667" t="s">
        <v>3109</v>
      </c>
      <c r="N667" t="s">
        <v>433</v>
      </c>
      <c r="O667" t="s">
        <v>53</v>
      </c>
      <c r="P667" t="s">
        <v>3110</v>
      </c>
      <c r="Q667" s="14" t="s">
        <v>93</v>
      </c>
      <c r="R667" t="s">
        <v>413</v>
      </c>
      <c r="S667">
        <v>0.5</v>
      </c>
      <c r="T667">
        <v>4737</v>
      </c>
      <c r="U667">
        <v>0</v>
      </c>
      <c r="V667">
        <v>4737</v>
      </c>
    </row>
    <row r="668" spans="1:22" x14ac:dyDescent="0.25">
      <c r="A668">
        <v>154063</v>
      </c>
      <c r="B668">
        <v>130614685</v>
      </c>
      <c r="C668" t="s">
        <v>3111</v>
      </c>
      <c r="D668">
        <v>248847956</v>
      </c>
      <c r="E668" t="s">
        <v>3039</v>
      </c>
      <c r="F668" t="s">
        <v>431</v>
      </c>
      <c r="G668" t="s">
        <v>149</v>
      </c>
      <c r="H668" t="s">
        <v>150</v>
      </c>
      <c r="I668" t="s">
        <v>88</v>
      </c>
      <c r="J668" t="s">
        <v>151</v>
      </c>
      <c r="K668" t="s">
        <v>2</v>
      </c>
      <c r="L668" t="s">
        <v>3112</v>
      </c>
      <c r="M668" t="s">
        <v>3113</v>
      </c>
      <c r="N668" t="s">
        <v>433</v>
      </c>
      <c r="O668" t="s">
        <v>53</v>
      </c>
      <c r="P668" t="s">
        <v>3114</v>
      </c>
      <c r="Q668" s="14" t="s">
        <v>120</v>
      </c>
      <c r="R668" t="s">
        <v>3115</v>
      </c>
      <c r="S668">
        <v>0.53</v>
      </c>
      <c r="T668">
        <v>5153</v>
      </c>
      <c r="U668">
        <v>0</v>
      </c>
      <c r="V668">
        <v>5153</v>
      </c>
    </row>
    <row r="669" spans="1:22" x14ac:dyDescent="0.25">
      <c r="A669">
        <v>154063</v>
      </c>
      <c r="B669">
        <v>130614678</v>
      </c>
      <c r="C669" t="s">
        <v>3116</v>
      </c>
      <c r="D669">
        <v>248847979</v>
      </c>
      <c r="E669" t="s">
        <v>3039</v>
      </c>
      <c r="F669" t="s">
        <v>431</v>
      </c>
      <c r="G669" t="s">
        <v>149</v>
      </c>
      <c r="H669" t="s">
        <v>150</v>
      </c>
      <c r="I669" t="s">
        <v>88</v>
      </c>
      <c r="J669" t="s">
        <v>151</v>
      </c>
      <c r="K669" t="s">
        <v>2</v>
      </c>
      <c r="L669" t="s">
        <v>3117</v>
      </c>
      <c r="M669" t="s">
        <v>3118</v>
      </c>
      <c r="N669" t="s">
        <v>433</v>
      </c>
      <c r="O669" t="s">
        <v>53</v>
      </c>
      <c r="P669" t="s">
        <v>3119</v>
      </c>
      <c r="Q669" s="14" t="s">
        <v>251</v>
      </c>
      <c r="R669" t="s">
        <v>3115</v>
      </c>
      <c r="S669">
        <v>0.3</v>
      </c>
      <c r="T669">
        <v>4534</v>
      </c>
      <c r="U669">
        <v>0</v>
      </c>
      <c r="V669">
        <v>4534</v>
      </c>
    </row>
    <row r="670" spans="1:22" x14ac:dyDescent="0.25">
      <c r="A670">
        <v>154063</v>
      </c>
      <c r="B670">
        <v>130549270</v>
      </c>
      <c r="C670" t="s">
        <v>3120</v>
      </c>
      <c r="D670">
        <v>248697110</v>
      </c>
      <c r="E670" t="s">
        <v>3039</v>
      </c>
      <c r="F670" t="s">
        <v>431</v>
      </c>
      <c r="G670" t="s">
        <v>149</v>
      </c>
      <c r="H670" t="s">
        <v>150</v>
      </c>
      <c r="I670" t="s">
        <v>88</v>
      </c>
      <c r="J670" t="s">
        <v>151</v>
      </c>
      <c r="K670" t="s">
        <v>2</v>
      </c>
      <c r="L670" t="s">
        <v>3121</v>
      </c>
      <c r="M670" t="s">
        <v>270</v>
      </c>
      <c r="N670" t="s">
        <v>433</v>
      </c>
      <c r="O670" t="s">
        <v>53</v>
      </c>
      <c r="P670" t="s">
        <v>3122</v>
      </c>
      <c r="Q670" s="14" t="s">
        <v>95</v>
      </c>
      <c r="R670" t="s">
        <v>3123</v>
      </c>
      <c r="S670">
        <v>0.5</v>
      </c>
      <c r="T670">
        <v>5749</v>
      </c>
      <c r="U670">
        <v>0</v>
      </c>
      <c r="V670">
        <v>5749</v>
      </c>
    </row>
    <row r="671" spans="1:22" x14ac:dyDescent="0.25">
      <c r="A671">
        <v>154063</v>
      </c>
      <c r="B671">
        <v>130544064</v>
      </c>
      <c r="C671" t="s">
        <v>3124</v>
      </c>
      <c r="D671">
        <v>248687157</v>
      </c>
      <c r="E671" t="s">
        <v>3039</v>
      </c>
      <c r="F671" t="s">
        <v>431</v>
      </c>
      <c r="G671" t="s">
        <v>149</v>
      </c>
      <c r="H671" t="s">
        <v>150</v>
      </c>
      <c r="I671" t="s">
        <v>88</v>
      </c>
      <c r="J671" t="s">
        <v>151</v>
      </c>
      <c r="K671" t="s">
        <v>2</v>
      </c>
      <c r="L671" t="s">
        <v>3125</v>
      </c>
      <c r="M671" t="s">
        <v>3126</v>
      </c>
      <c r="N671" t="s">
        <v>433</v>
      </c>
      <c r="O671" t="s">
        <v>53</v>
      </c>
      <c r="P671" t="s">
        <v>3127</v>
      </c>
      <c r="Q671" s="14" t="s">
        <v>38</v>
      </c>
      <c r="R671" t="s">
        <v>3128</v>
      </c>
      <c r="S671">
        <v>0.5</v>
      </c>
      <c r="T671">
        <v>4669</v>
      </c>
      <c r="U671">
        <v>0</v>
      </c>
      <c r="V671">
        <v>4669</v>
      </c>
    </row>
    <row r="672" spans="1:22" x14ac:dyDescent="0.25">
      <c r="A672">
        <v>154063</v>
      </c>
      <c r="B672">
        <v>130500818</v>
      </c>
      <c r="C672" t="s">
        <v>3129</v>
      </c>
      <c r="D672">
        <v>248598162</v>
      </c>
      <c r="E672" t="s">
        <v>3039</v>
      </c>
      <c r="F672" t="s">
        <v>431</v>
      </c>
      <c r="G672" t="s">
        <v>149</v>
      </c>
      <c r="H672" t="s">
        <v>150</v>
      </c>
      <c r="I672" t="s">
        <v>88</v>
      </c>
      <c r="J672" t="s">
        <v>151</v>
      </c>
      <c r="K672" t="s">
        <v>2</v>
      </c>
      <c r="L672" t="s">
        <v>3130</v>
      </c>
      <c r="M672" t="s">
        <v>3131</v>
      </c>
      <c r="N672" t="s">
        <v>433</v>
      </c>
      <c r="O672" t="s">
        <v>53</v>
      </c>
      <c r="P672" t="s">
        <v>3132</v>
      </c>
      <c r="Q672" s="14" t="s">
        <v>125</v>
      </c>
      <c r="R672" t="s">
        <v>3133</v>
      </c>
      <c r="S672">
        <v>0.6</v>
      </c>
      <c r="T672">
        <v>4219</v>
      </c>
      <c r="U672">
        <v>0</v>
      </c>
      <c r="V672">
        <v>4219</v>
      </c>
    </row>
    <row r="673" spans="1:22" x14ac:dyDescent="0.25">
      <c r="A673">
        <v>154063</v>
      </c>
      <c r="B673">
        <v>130500788</v>
      </c>
      <c r="C673" t="s">
        <v>3134</v>
      </c>
      <c r="D673">
        <v>248598141</v>
      </c>
      <c r="E673" t="s">
        <v>3039</v>
      </c>
      <c r="F673" t="s">
        <v>431</v>
      </c>
      <c r="G673" t="s">
        <v>149</v>
      </c>
      <c r="H673" t="s">
        <v>150</v>
      </c>
      <c r="I673" t="s">
        <v>88</v>
      </c>
      <c r="J673" t="s">
        <v>151</v>
      </c>
      <c r="K673" t="s">
        <v>2</v>
      </c>
      <c r="L673" t="s">
        <v>3135</v>
      </c>
      <c r="M673" t="s">
        <v>3136</v>
      </c>
      <c r="N673" t="s">
        <v>433</v>
      </c>
      <c r="O673" t="s">
        <v>53</v>
      </c>
      <c r="P673" t="s">
        <v>3137</v>
      </c>
      <c r="Q673" s="14" t="s">
        <v>137</v>
      </c>
      <c r="R673" t="s">
        <v>3138</v>
      </c>
      <c r="S673">
        <v>0.63</v>
      </c>
      <c r="T673">
        <v>4219</v>
      </c>
      <c r="U673">
        <v>0</v>
      </c>
      <c r="V673">
        <v>4219</v>
      </c>
    </row>
    <row r="674" spans="1:22" x14ac:dyDescent="0.25">
      <c r="A674">
        <v>154063</v>
      </c>
      <c r="B674">
        <v>130468667</v>
      </c>
      <c r="C674" t="s">
        <v>3139</v>
      </c>
      <c r="D674">
        <v>248501738</v>
      </c>
      <c r="E674" t="s">
        <v>3039</v>
      </c>
      <c r="F674" t="s">
        <v>431</v>
      </c>
      <c r="G674" t="s">
        <v>149</v>
      </c>
      <c r="H674" t="s">
        <v>150</v>
      </c>
      <c r="I674" t="s">
        <v>88</v>
      </c>
      <c r="J674" t="s">
        <v>151</v>
      </c>
      <c r="K674" t="s">
        <v>2</v>
      </c>
      <c r="L674" t="s">
        <v>3140</v>
      </c>
      <c r="M674" t="s">
        <v>3141</v>
      </c>
      <c r="N674" t="s">
        <v>433</v>
      </c>
      <c r="O674" t="s">
        <v>53</v>
      </c>
      <c r="P674" t="s">
        <v>3142</v>
      </c>
      <c r="Q674" s="14" t="s">
        <v>124</v>
      </c>
      <c r="R674" t="s">
        <v>348</v>
      </c>
      <c r="S674">
        <v>0.5</v>
      </c>
      <c r="T674">
        <v>4219</v>
      </c>
      <c r="U674">
        <v>0</v>
      </c>
      <c r="V674">
        <v>4219</v>
      </c>
    </row>
    <row r="675" spans="1:22" x14ac:dyDescent="0.25">
      <c r="A675">
        <v>154063</v>
      </c>
      <c r="B675">
        <v>130366174</v>
      </c>
      <c r="C675" t="s">
        <v>3143</v>
      </c>
      <c r="D675">
        <v>248253051</v>
      </c>
      <c r="E675" t="s">
        <v>3039</v>
      </c>
      <c r="F675" t="s">
        <v>431</v>
      </c>
      <c r="G675" t="s">
        <v>149</v>
      </c>
      <c r="H675" t="s">
        <v>150</v>
      </c>
      <c r="I675" t="s">
        <v>88</v>
      </c>
      <c r="J675" t="s">
        <v>151</v>
      </c>
      <c r="K675" t="s">
        <v>2</v>
      </c>
      <c r="L675" t="s">
        <v>3144</v>
      </c>
      <c r="M675" t="s">
        <v>3145</v>
      </c>
      <c r="N675" t="s">
        <v>433</v>
      </c>
      <c r="O675" t="s">
        <v>53</v>
      </c>
      <c r="P675" t="s">
        <v>3146</v>
      </c>
      <c r="Q675" s="14" t="s">
        <v>128</v>
      </c>
      <c r="R675" t="s">
        <v>377</v>
      </c>
      <c r="S675">
        <v>0.48</v>
      </c>
      <c r="T675">
        <v>7864</v>
      </c>
      <c r="U675">
        <v>0</v>
      </c>
      <c r="V675">
        <v>7864</v>
      </c>
    </row>
    <row r="676" spans="1:22" x14ac:dyDescent="0.25">
      <c r="A676">
        <v>154063</v>
      </c>
      <c r="B676">
        <v>130366177</v>
      </c>
      <c r="C676" t="s">
        <v>3147</v>
      </c>
      <c r="D676">
        <v>248253066</v>
      </c>
      <c r="E676" t="s">
        <v>3039</v>
      </c>
      <c r="F676" t="s">
        <v>431</v>
      </c>
      <c r="G676" t="s">
        <v>149</v>
      </c>
      <c r="H676" t="s">
        <v>150</v>
      </c>
      <c r="I676" t="s">
        <v>88</v>
      </c>
      <c r="J676" t="s">
        <v>151</v>
      </c>
      <c r="K676" t="s">
        <v>2</v>
      </c>
      <c r="L676" t="s">
        <v>3148</v>
      </c>
      <c r="M676" t="s">
        <v>3149</v>
      </c>
      <c r="N676" t="s">
        <v>433</v>
      </c>
      <c r="O676" t="s">
        <v>53</v>
      </c>
      <c r="P676" t="s">
        <v>3150</v>
      </c>
      <c r="Q676" s="14" t="s">
        <v>318</v>
      </c>
      <c r="R676" t="s">
        <v>377</v>
      </c>
      <c r="S676">
        <v>0.6</v>
      </c>
      <c r="T676">
        <v>5153</v>
      </c>
      <c r="U676">
        <v>0</v>
      </c>
      <c r="V676">
        <v>5153</v>
      </c>
    </row>
    <row r="677" spans="1:22" x14ac:dyDescent="0.25">
      <c r="A677">
        <v>154063</v>
      </c>
      <c r="B677">
        <v>130325440</v>
      </c>
      <c r="C677" t="s">
        <v>3151</v>
      </c>
      <c r="D677">
        <v>248163323</v>
      </c>
      <c r="E677" t="s">
        <v>3039</v>
      </c>
      <c r="F677" t="s">
        <v>431</v>
      </c>
      <c r="G677" t="s">
        <v>149</v>
      </c>
      <c r="H677" t="s">
        <v>150</v>
      </c>
      <c r="I677" t="s">
        <v>88</v>
      </c>
      <c r="J677" t="s">
        <v>151</v>
      </c>
      <c r="K677" t="s">
        <v>2</v>
      </c>
      <c r="L677" t="s">
        <v>3152</v>
      </c>
      <c r="M677" t="s">
        <v>3153</v>
      </c>
      <c r="N677" t="s">
        <v>433</v>
      </c>
      <c r="O677" t="s">
        <v>53</v>
      </c>
      <c r="P677" t="s">
        <v>3154</v>
      </c>
      <c r="Q677" s="14" t="s">
        <v>107</v>
      </c>
      <c r="R677" t="s">
        <v>3155</v>
      </c>
      <c r="S677">
        <v>0.61</v>
      </c>
      <c r="T677">
        <v>6132</v>
      </c>
      <c r="U677">
        <v>0</v>
      </c>
      <c r="V677">
        <v>6132</v>
      </c>
    </row>
    <row r="678" spans="1:22" x14ac:dyDescent="0.25">
      <c r="A678">
        <v>154063</v>
      </c>
      <c r="B678">
        <v>130294340</v>
      </c>
      <c r="C678" t="s">
        <v>3156</v>
      </c>
      <c r="D678">
        <v>248110564</v>
      </c>
      <c r="E678" t="s">
        <v>3039</v>
      </c>
      <c r="F678" t="s">
        <v>431</v>
      </c>
      <c r="G678" t="s">
        <v>149</v>
      </c>
      <c r="H678" t="s">
        <v>150</v>
      </c>
      <c r="I678" t="s">
        <v>88</v>
      </c>
      <c r="J678" t="s">
        <v>151</v>
      </c>
      <c r="K678" t="s">
        <v>2</v>
      </c>
      <c r="L678" t="s">
        <v>3157</v>
      </c>
      <c r="M678" t="s">
        <v>3158</v>
      </c>
      <c r="N678" t="s">
        <v>433</v>
      </c>
      <c r="O678" t="s">
        <v>53</v>
      </c>
      <c r="P678" t="s">
        <v>3159</v>
      </c>
      <c r="Q678" s="14" t="s">
        <v>120</v>
      </c>
      <c r="R678" t="s">
        <v>3160</v>
      </c>
      <c r="S678">
        <v>0.18</v>
      </c>
      <c r="T678">
        <v>5153</v>
      </c>
      <c r="U678">
        <v>0</v>
      </c>
      <c r="V678">
        <v>5153</v>
      </c>
    </row>
    <row r="679" spans="1:22" x14ac:dyDescent="0.25">
      <c r="A679">
        <v>154063</v>
      </c>
      <c r="B679">
        <v>130325441</v>
      </c>
      <c r="C679" t="s">
        <v>3161</v>
      </c>
      <c r="D679">
        <v>248163316</v>
      </c>
      <c r="E679" t="s">
        <v>3039</v>
      </c>
      <c r="F679" t="s">
        <v>431</v>
      </c>
      <c r="G679" t="s">
        <v>149</v>
      </c>
      <c r="H679" t="s">
        <v>150</v>
      </c>
      <c r="I679" t="s">
        <v>88</v>
      </c>
      <c r="J679" t="s">
        <v>151</v>
      </c>
      <c r="K679" t="s">
        <v>2</v>
      </c>
      <c r="L679" t="s">
        <v>3162</v>
      </c>
      <c r="M679" t="s">
        <v>3163</v>
      </c>
      <c r="N679" t="s">
        <v>433</v>
      </c>
      <c r="O679" t="s">
        <v>53</v>
      </c>
      <c r="P679" t="s">
        <v>3164</v>
      </c>
      <c r="Q679" s="14" t="s">
        <v>38</v>
      </c>
      <c r="R679" t="s">
        <v>3155</v>
      </c>
      <c r="S679">
        <v>0.5</v>
      </c>
      <c r="T679">
        <v>4669</v>
      </c>
      <c r="U679">
        <v>0</v>
      </c>
      <c r="V679">
        <v>4669</v>
      </c>
    </row>
    <row r="680" spans="1:22" x14ac:dyDescent="0.25">
      <c r="A680">
        <v>154063</v>
      </c>
      <c r="B680">
        <v>130325439</v>
      </c>
      <c r="C680" t="s">
        <v>3165</v>
      </c>
      <c r="D680">
        <v>248163344</v>
      </c>
      <c r="E680" t="s">
        <v>3039</v>
      </c>
      <c r="F680" t="s">
        <v>431</v>
      </c>
      <c r="G680" t="s">
        <v>149</v>
      </c>
      <c r="H680" t="s">
        <v>150</v>
      </c>
      <c r="I680" t="s">
        <v>88</v>
      </c>
      <c r="J680" t="s">
        <v>151</v>
      </c>
      <c r="K680" t="s">
        <v>2</v>
      </c>
      <c r="L680" t="s">
        <v>3166</v>
      </c>
      <c r="M680" t="s">
        <v>3167</v>
      </c>
      <c r="N680" t="s">
        <v>433</v>
      </c>
      <c r="O680" t="s">
        <v>53</v>
      </c>
      <c r="P680" t="s">
        <v>3168</v>
      </c>
      <c r="Q680" s="14" t="s">
        <v>113</v>
      </c>
      <c r="R680" t="s">
        <v>3155</v>
      </c>
      <c r="S680">
        <v>0.1</v>
      </c>
      <c r="T680">
        <v>4973</v>
      </c>
      <c r="U680">
        <v>0</v>
      </c>
      <c r="V680">
        <v>4973</v>
      </c>
    </row>
    <row r="681" spans="1:22" x14ac:dyDescent="0.25">
      <c r="A681">
        <v>187830</v>
      </c>
      <c r="B681">
        <v>131237317</v>
      </c>
      <c r="C681" t="s">
        <v>3169</v>
      </c>
      <c r="D681" t="s">
        <v>3170</v>
      </c>
      <c r="E681" t="s">
        <v>3171</v>
      </c>
      <c r="F681" t="s">
        <v>431</v>
      </c>
      <c r="G681" t="s">
        <v>83</v>
      </c>
      <c r="H681" t="s">
        <v>205</v>
      </c>
      <c r="I681" t="s">
        <v>88</v>
      </c>
      <c r="J681" t="s">
        <v>209</v>
      </c>
      <c r="K681" t="s">
        <v>2</v>
      </c>
      <c r="L681" t="s">
        <v>166</v>
      </c>
      <c r="M681" t="s">
        <v>3172</v>
      </c>
      <c r="N681" t="s">
        <v>433</v>
      </c>
      <c r="O681" t="s">
        <v>53</v>
      </c>
      <c r="P681" t="s">
        <v>3173</v>
      </c>
      <c r="Q681" s="14" t="s">
        <v>49</v>
      </c>
      <c r="R681" t="s">
        <v>3174</v>
      </c>
      <c r="S681">
        <v>1</v>
      </c>
      <c r="T681">
        <v>2706</v>
      </c>
      <c r="U681">
        <v>0</v>
      </c>
      <c r="V681">
        <v>2706</v>
      </c>
    </row>
    <row r="682" spans="1:22" x14ac:dyDescent="0.25">
      <c r="A682">
        <v>187830</v>
      </c>
      <c r="B682">
        <v>131158562</v>
      </c>
      <c r="C682" t="s">
        <v>3175</v>
      </c>
      <c r="D682" t="s">
        <v>3176</v>
      </c>
      <c r="E682" t="s">
        <v>3171</v>
      </c>
      <c r="F682" t="s">
        <v>431</v>
      </c>
      <c r="G682" t="s">
        <v>83</v>
      </c>
      <c r="H682" t="s">
        <v>205</v>
      </c>
      <c r="I682" t="s">
        <v>88</v>
      </c>
      <c r="J682" t="s">
        <v>209</v>
      </c>
      <c r="K682" t="s">
        <v>2</v>
      </c>
      <c r="L682" t="s">
        <v>166</v>
      </c>
      <c r="M682" t="s">
        <v>3177</v>
      </c>
      <c r="N682" t="s">
        <v>433</v>
      </c>
      <c r="O682" t="s">
        <v>53</v>
      </c>
      <c r="P682" t="s">
        <v>3178</v>
      </c>
      <c r="Q682" s="14" t="s">
        <v>65</v>
      </c>
      <c r="R682" t="s">
        <v>3179</v>
      </c>
      <c r="S682">
        <v>1</v>
      </c>
      <c r="T682">
        <v>2706</v>
      </c>
      <c r="U682">
        <v>0</v>
      </c>
      <c r="V682">
        <v>2706</v>
      </c>
    </row>
    <row r="683" spans="1:22" x14ac:dyDescent="0.25">
      <c r="A683">
        <v>187830</v>
      </c>
      <c r="B683">
        <v>131158566</v>
      </c>
      <c r="C683" t="s">
        <v>3180</v>
      </c>
      <c r="D683" t="s">
        <v>3181</v>
      </c>
      <c r="E683" t="s">
        <v>3171</v>
      </c>
      <c r="F683" t="s">
        <v>431</v>
      </c>
      <c r="G683" t="s">
        <v>83</v>
      </c>
      <c r="H683" t="s">
        <v>205</v>
      </c>
      <c r="I683" t="s">
        <v>88</v>
      </c>
      <c r="J683" t="s">
        <v>209</v>
      </c>
      <c r="K683" t="s">
        <v>2</v>
      </c>
      <c r="L683" t="s">
        <v>166</v>
      </c>
      <c r="M683" t="s">
        <v>3182</v>
      </c>
      <c r="N683" t="s">
        <v>433</v>
      </c>
      <c r="O683" t="s">
        <v>53</v>
      </c>
      <c r="P683" t="s">
        <v>3183</v>
      </c>
      <c r="Q683" s="14" t="s">
        <v>54</v>
      </c>
      <c r="R683" t="s">
        <v>3179</v>
      </c>
      <c r="S683">
        <v>1</v>
      </c>
      <c r="T683">
        <v>2706</v>
      </c>
      <c r="U683">
        <v>0</v>
      </c>
      <c r="V683">
        <v>2706</v>
      </c>
    </row>
    <row r="684" spans="1:22" x14ac:dyDescent="0.25">
      <c r="A684">
        <v>187830</v>
      </c>
      <c r="B684">
        <v>131158571</v>
      </c>
      <c r="C684" t="s">
        <v>3184</v>
      </c>
      <c r="D684" t="s">
        <v>3185</v>
      </c>
      <c r="E684" t="s">
        <v>3171</v>
      </c>
      <c r="F684" t="s">
        <v>431</v>
      </c>
      <c r="G684" t="s">
        <v>83</v>
      </c>
      <c r="H684" t="s">
        <v>205</v>
      </c>
      <c r="I684" t="s">
        <v>88</v>
      </c>
      <c r="J684" t="s">
        <v>209</v>
      </c>
      <c r="K684" t="s">
        <v>2</v>
      </c>
      <c r="L684" t="s">
        <v>166</v>
      </c>
      <c r="M684" t="s">
        <v>3186</v>
      </c>
      <c r="N684" t="s">
        <v>433</v>
      </c>
      <c r="O684" t="s">
        <v>53</v>
      </c>
      <c r="P684" t="s">
        <v>3187</v>
      </c>
      <c r="Q684" s="14" t="s">
        <v>45</v>
      </c>
      <c r="R684" t="s">
        <v>3179</v>
      </c>
      <c r="S684">
        <v>1</v>
      </c>
      <c r="T684">
        <v>2706</v>
      </c>
      <c r="U684">
        <v>0</v>
      </c>
      <c r="V684">
        <v>2706</v>
      </c>
    </row>
    <row r="685" spans="1:22" x14ac:dyDescent="0.25">
      <c r="A685">
        <v>187830</v>
      </c>
      <c r="B685">
        <v>131055220</v>
      </c>
      <c r="C685" t="s">
        <v>3188</v>
      </c>
      <c r="D685" t="s">
        <v>3189</v>
      </c>
      <c r="E685" t="s">
        <v>3171</v>
      </c>
      <c r="F685" t="s">
        <v>431</v>
      </c>
      <c r="G685" t="s">
        <v>83</v>
      </c>
      <c r="H685" t="s">
        <v>205</v>
      </c>
      <c r="I685" t="s">
        <v>88</v>
      </c>
      <c r="J685" t="s">
        <v>209</v>
      </c>
      <c r="K685" t="s">
        <v>2</v>
      </c>
      <c r="L685" t="s">
        <v>166</v>
      </c>
      <c r="M685" t="s">
        <v>3190</v>
      </c>
      <c r="N685" t="s">
        <v>433</v>
      </c>
      <c r="O685" t="s">
        <v>53</v>
      </c>
      <c r="P685" t="s">
        <v>3191</v>
      </c>
      <c r="Q685" s="14" t="s">
        <v>71</v>
      </c>
      <c r="R685" t="s">
        <v>3192</v>
      </c>
      <c r="S685">
        <v>1</v>
      </c>
      <c r="T685">
        <v>2706</v>
      </c>
      <c r="U685">
        <v>0</v>
      </c>
      <c r="V685">
        <v>2706</v>
      </c>
    </row>
    <row r="686" spans="1:22" x14ac:dyDescent="0.25">
      <c r="A686">
        <v>187830</v>
      </c>
      <c r="B686">
        <v>131024852</v>
      </c>
      <c r="C686" t="s">
        <v>3193</v>
      </c>
      <c r="D686" t="s">
        <v>3194</v>
      </c>
      <c r="E686" t="s">
        <v>3171</v>
      </c>
      <c r="F686" t="s">
        <v>431</v>
      </c>
      <c r="G686" t="s">
        <v>83</v>
      </c>
      <c r="H686" t="s">
        <v>205</v>
      </c>
      <c r="I686" t="s">
        <v>88</v>
      </c>
      <c r="J686" t="s">
        <v>209</v>
      </c>
      <c r="K686" t="s">
        <v>2</v>
      </c>
      <c r="L686" t="s">
        <v>166</v>
      </c>
      <c r="M686" t="s">
        <v>3195</v>
      </c>
      <c r="N686" t="s">
        <v>433</v>
      </c>
      <c r="O686" t="s">
        <v>53</v>
      </c>
      <c r="P686" t="s">
        <v>3196</v>
      </c>
      <c r="Q686" s="14" t="s">
        <v>50</v>
      </c>
      <c r="R686" t="s">
        <v>3197</v>
      </c>
      <c r="S686">
        <v>1</v>
      </c>
      <c r="T686">
        <v>2706</v>
      </c>
      <c r="U686">
        <v>0</v>
      </c>
      <c r="V686">
        <v>2706</v>
      </c>
    </row>
    <row r="687" spans="1:22" x14ac:dyDescent="0.25">
      <c r="A687">
        <v>187830</v>
      </c>
      <c r="B687">
        <v>131024853</v>
      </c>
      <c r="C687" t="s">
        <v>3198</v>
      </c>
      <c r="D687" t="s">
        <v>3199</v>
      </c>
      <c r="E687" t="s">
        <v>3171</v>
      </c>
      <c r="F687" t="s">
        <v>431</v>
      </c>
      <c r="G687" t="s">
        <v>83</v>
      </c>
      <c r="H687" t="s">
        <v>205</v>
      </c>
      <c r="I687" t="s">
        <v>88</v>
      </c>
      <c r="J687" t="s">
        <v>209</v>
      </c>
      <c r="K687" t="s">
        <v>2</v>
      </c>
      <c r="L687" t="s">
        <v>166</v>
      </c>
      <c r="M687" t="s">
        <v>3200</v>
      </c>
      <c r="N687" t="s">
        <v>433</v>
      </c>
      <c r="O687" t="s">
        <v>53</v>
      </c>
      <c r="P687" t="s">
        <v>3201</v>
      </c>
      <c r="Q687" s="14" t="s">
        <v>48</v>
      </c>
      <c r="R687" t="s">
        <v>3197</v>
      </c>
      <c r="S687">
        <v>1</v>
      </c>
      <c r="T687">
        <v>2706</v>
      </c>
      <c r="U687">
        <v>0</v>
      </c>
      <c r="V687">
        <v>2706</v>
      </c>
    </row>
    <row r="688" spans="1:22" x14ac:dyDescent="0.25">
      <c r="A688">
        <v>187830</v>
      </c>
      <c r="B688">
        <v>131024855</v>
      </c>
      <c r="C688" t="s">
        <v>3202</v>
      </c>
      <c r="D688" t="s">
        <v>3203</v>
      </c>
      <c r="E688" t="s">
        <v>3171</v>
      </c>
      <c r="F688" t="s">
        <v>431</v>
      </c>
      <c r="G688" t="s">
        <v>83</v>
      </c>
      <c r="H688" t="s">
        <v>205</v>
      </c>
      <c r="I688" t="s">
        <v>88</v>
      </c>
      <c r="J688" t="s">
        <v>209</v>
      </c>
      <c r="K688" t="s">
        <v>2</v>
      </c>
      <c r="L688" t="s">
        <v>166</v>
      </c>
      <c r="M688" t="s">
        <v>241</v>
      </c>
      <c r="N688" t="s">
        <v>433</v>
      </c>
      <c r="O688" t="s">
        <v>53</v>
      </c>
      <c r="P688" t="s">
        <v>3204</v>
      </c>
      <c r="Q688" s="14" t="s">
        <v>48</v>
      </c>
      <c r="R688" t="s">
        <v>3197</v>
      </c>
      <c r="S688">
        <v>1</v>
      </c>
      <c r="T688">
        <v>2706</v>
      </c>
      <c r="U688">
        <v>0</v>
      </c>
      <c r="V688">
        <v>2706</v>
      </c>
    </row>
    <row r="689" spans="1:22" x14ac:dyDescent="0.25">
      <c r="A689">
        <v>187830</v>
      </c>
      <c r="B689">
        <v>131024858</v>
      </c>
      <c r="C689" t="s">
        <v>3205</v>
      </c>
      <c r="D689" t="s">
        <v>3206</v>
      </c>
      <c r="E689" t="s">
        <v>3171</v>
      </c>
      <c r="F689" t="s">
        <v>431</v>
      </c>
      <c r="G689" t="s">
        <v>83</v>
      </c>
      <c r="H689" t="s">
        <v>205</v>
      </c>
      <c r="I689" t="s">
        <v>88</v>
      </c>
      <c r="J689" t="s">
        <v>209</v>
      </c>
      <c r="K689" t="s">
        <v>2</v>
      </c>
      <c r="L689" t="s">
        <v>166</v>
      </c>
      <c r="M689" t="s">
        <v>3207</v>
      </c>
      <c r="N689" t="s">
        <v>433</v>
      </c>
      <c r="O689" t="s">
        <v>53</v>
      </c>
      <c r="P689" t="s">
        <v>3208</v>
      </c>
      <c r="Q689" s="14" t="s">
        <v>54</v>
      </c>
      <c r="R689" t="s">
        <v>3197</v>
      </c>
      <c r="S689">
        <v>1</v>
      </c>
      <c r="T689">
        <v>2706</v>
      </c>
      <c r="U689">
        <v>0</v>
      </c>
      <c r="V689">
        <v>2706</v>
      </c>
    </row>
    <row r="690" spans="1:22" x14ac:dyDescent="0.25">
      <c r="A690">
        <v>187830</v>
      </c>
      <c r="B690">
        <v>131024862</v>
      </c>
      <c r="C690" t="s">
        <v>3209</v>
      </c>
      <c r="D690" t="s">
        <v>3210</v>
      </c>
      <c r="E690" t="s">
        <v>3171</v>
      </c>
      <c r="F690" t="s">
        <v>431</v>
      </c>
      <c r="G690" t="s">
        <v>83</v>
      </c>
      <c r="H690" t="s">
        <v>205</v>
      </c>
      <c r="I690" t="s">
        <v>88</v>
      </c>
      <c r="J690" t="s">
        <v>209</v>
      </c>
      <c r="K690" t="s">
        <v>2</v>
      </c>
      <c r="L690" t="s">
        <v>166</v>
      </c>
      <c r="M690" t="s">
        <v>3211</v>
      </c>
      <c r="N690" t="s">
        <v>433</v>
      </c>
      <c r="O690" t="s">
        <v>53</v>
      </c>
      <c r="P690" t="s">
        <v>3212</v>
      </c>
      <c r="Q690" s="14" t="s">
        <v>62</v>
      </c>
      <c r="R690" t="s">
        <v>3197</v>
      </c>
      <c r="S690">
        <v>1</v>
      </c>
      <c r="T690">
        <v>2706</v>
      </c>
      <c r="U690">
        <v>0</v>
      </c>
      <c r="V690">
        <v>2706</v>
      </c>
    </row>
    <row r="691" spans="1:22" x14ac:dyDescent="0.25">
      <c r="A691">
        <v>187830</v>
      </c>
      <c r="B691">
        <v>131024868</v>
      </c>
      <c r="C691" t="s">
        <v>3213</v>
      </c>
      <c r="D691" t="s">
        <v>3214</v>
      </c>
      <c r="E691" t="s">
        <v>3171</v>
      </c>
      <c r="F691" t="s">
        <v>431</v>
      </c>
      <c r="G691" t="s">
        <v>83</v>
      </c>
      <c r="H691" t="s">
        <v>205</v>
      </c>
      <c r="I691" t="s">
        <v>88</v>
      </c>
      <c r="J691" t="s">
        <v>209</v>
      </c>
      <c r="K691" t="s">
        <v>2</v>
      </c>
      <c r="L691" t="s">
        <v>166</v>
      </c>
      <c r="M691" t="s">
        <v>3215</v>
      </c>
      <c r="N691" t="s">
        <v>433</v>
      </c>
      <c r="O691" t="s">
        <v>53</v>
      </c>
      <c r="P691" t="s">
        <v>3216</v>
      </c>
      <c r="Q691" s="14" t="s">
        <v>49</v>
      </c>
      <c r="R691" t="s">
        <v>3197</v>
      </c>
      <c r="S691">
        <v>1</v>
      </c>
      <c r="T691">
        <v>2706</v>
      </c>
      <c r="U691">
        <v>0</v>
      </c>
      <c r="V691">
        <v>2706</v>
      </c>
    </row>
    <row r="692" spans="1:22" x14ac:dyDescent="0.25">
      <c r="A692">
        <v>187830</v>
      </c>
      <c r="B692">
        <v>131237333</v>
      </c>
      <c r="C692" t="s">
        <v>3217</v>
      </c>
      <c r="D692">
        <v>250207271</v>
      </c>
      <c r="E692" t="s">
        <v>3171</v>
      </c>
      <c r="F692" t="s">
        <v>431</v>
      </c>
      <c r="G692" t="s">
        <v>149</v>
      </c>
      <c r="H692" t="s">
        <v>150</v>
      </c>
      <c r="I692" t="s">
        <v>88</v>
      </c>
      <c r="J692" t="s">
        <v>151</v>
      </c>
      <c r="K692" t="s">
        <v>2</v>
      </c>
      <c r="L692" t="s">
        <v>3218</v>
      </c>
      <c r="M692" t="s">
        <v>3219</v>
      </c>
      <c r="N692" t="s">
        <v>433</v>
      </c>
      <c r="O692" t="s">
        <v>53</v>
      </c>
      <c r="P692" t="s">
        <v>3220</v>
      </c>
      <c r="Q692" s="14" t="s">
        <v>95</v>
      </c>
      <c r="R692" t="s">
        <v>3174</v>
      </c>
      <c r="S692">
        <v>1</v>
      </c>
      <c r="T692">
        <v>5749</v>
      </c>
      <c r="U692">
        <v>0</v>
      </c>
      <c r="V692">
        <v>5749</v>
      </c>
    </row>
    <row r="693" spans="1:22" x14ac:dyDescent="0.25">
      <c r="A693">
        <v>187830</v>
      </c>
      <c r="B693">
        <v>131198692</v>
      </c>
      <c r="C693" t="s">
        <v>3221</v>
      </c>
      <c r="D693">
        <v>250130290</v>
      </c>
      <c r="E693" t="s">
        <v>3171</v>
      </c>
      <c r="F693" t="s">
        <v>431</v>
      </c>
      <c r="G693" t="s">
        <v>149</v>
      </c>
      <c r="H693" t="s">
        <v>150</v>
      </c>
      <c r="I693" t="s">
        <v>88</v>
      </c>
      <c r="J693" t="s">
        <v>151</v>
      </c>
      <c r="K693" t="s">
        <v>2</v>
      </c>
      <c r="L693" t="s">
        <v>3222</v>
      </c>
      <c r="M693" t="s">
        <v>3223</v>
      </c>
      <c r="N693" t="s">
        <v>433</v>
      </c>
      <c r="O693" t="s">
        <v>53</v>
      </c>
      <c r="P693" t="s">
        <v>3224</v>
      </c>
      <c r="Q693" s="14" t="s">
        <v>301</v>
      </c>
      <c r="R693" t="s">
        <v>503</v>
      </c>
      <c r="S693">
        <v>0.34</v>
      </c>
      <c r="T693">
        <v>5895</v>
      </c>
      <c r="U693">
        <v>0</v>
      </c>
      <c r="V693">
        <v>5895</v>
      </c>
    </row>
    <row r="694" spans="1:22" x14ac:dyDescent="0.25">
      <c r="A694">
        <v>187830</v>
      </c>
      <c r="B694">
        <v>131198694</v>
      </c>
      <c r="C694" t="s">
        <v>3225</v>
      </c>
      <c r="D694">
        <v>250130275</v>
      </c>
      <c r="E694" t="s">
        <v>3171</v>
      </c>
      <c r="F694" t="s">
        <v>431</v>
      </c>
      <c r="G694" t="s">
        <v>149</v>
      </c>
      <c r="H694" t="s">
        <v>150</v>
      </c>
      <c r="I694" t="s">
        <v>88</v>
      </c>
      <c r="J694" t="s">
        <v>151</v>
      </c>
      <c r="K694" t="s">
        <v>2</v>
      </c>
      <c r="L694" t="s">
        <v>3226</v>
      </c>
      <c r="M694" t="s">
        <v>3227</v>
      </c>
      <c r="N694" t="s">
        <v>433</v>
      </c>
      <c r="O694" t="s">
        <v>53</v>
      </c>
      <c r="P694" t="s">
        <v>3228</v>
      </c>
      <c r="Q694" s="14" t="s">
        <v>140</v>
      </c>
      <c r="R694" t="s">
        <v>503</v>
      </c>
      <c r="S694">
        <v>1.19</v>
      </c>
      <c r="T694">
        <v>5040</v>
      </c>
      <c r="U694">
        <v>0</v>
      </c>
      <c r="V694">
        <v>5040</v>
      </c>
    </row>
    <row r="695" spans="1:22" x14ac:dyDescent="0.25">
      <c r="A695">
        <v>187830</v>
      </c>
      <c r="B695">
        <v>131198691</v>
      </c>
      <c r="C695" t="s">
        <v>3229</v>
      </c>
      <c r="D695">
        <v>250130301</v>
      </c>
      <c r="E695" t="s">
        <v>3171</v>
      </c>
      <c r="F695" t="s">
        <v>431</v>
      </c>
      <c r="G695" t="s">
        <v>149</v>
      </c>
      <c r="H695" t="s">
        <v>150</v>
      </c>
      <c r="I695" t="s">
        <v>88</v>
      </c>
      <c r="J695" t="s">
        <v>151</v>
      </c>
      <c r="K695" t="s">
        <v>2</v>
      </c>
      <c r="L695" t="s">
        <v>3230</v>
      </c>
      <c r="M695" t="s">
        <v>3231</v>
      </c>
      <c r="N695" t="s">
        <v>433</v>
      </c>
      <c r="O695" t="s">
        <v>53</v>
      </c>
      <c r="P695" t="s">
        <v>3232</v>
      </c>
      <c r="Q695" s="14" t="s">
        <v>38</v>
      </c>
      <c r="R695" t="s">
        <v>503</v>
      </c>
      <c r="S695">
        <v>0.54</v>
      </c>
      <c r="T695">
        <v>4669</v>
      </c>
      <c r="U695">
        <v>0</v>
      </c>
      <c r="V695">
        <v>4669</v>
      </c>
    </row>
    <row r="696" spans="1:22" x14ac:dyDescent="0.25">
      <c r="A696">
        <v>187830</v>
      </c>
      <c r="B696">
        <v>131108391</v>
      </c>
      <c r="C696" t="s">
        <v>3233</v>
      </c>
      <c r="D696">
        <v>249964988</v>
      </c>
      <c r="E696" t="s">
        <v>3171</v>
      </c>
      <c r="F696" t="s">
        <v>431</v>
      </c>
      <c r="G696" t="s">
        <v>149</v>
      </c>
      <c r="H696" t="s">
        <v>150</v>
      </c>
      <c r="I696" t="s">
        <v>88</v>
      </c>
      <c r="J696" t="s">
        <v>151</v>
      </c>
      <c r="K696" t="s">
        <v>2</v>
      </c>
      <c r="L696" t="s">
        <v>3234</v>
      </c>
      <c r="M696" t="s">
        <v>3235</v>
      </c>
      <c r="N696" t="s">
        <v>433</v>
      </c>
      <c r="O696" t="s">
        <v>53</v>
      </c>
      <c r="P696" t="s">
        <v>3236</v>
      </c>
      <c r="Q696" s="14" t="s">
        <v>129</v>
      </c>
      <c r="R696" t="s">
        <v>3237</v>
      </c>
      <c r="S696">
        <v>1.96</v>
      </c>
      <c r="T696">
        <v>7684</v>
      </c>
      <c r="U696">
        <v>0</v>
      </c>
      <c r="V696">
        <v>7684</v>
      </c>
    </row>
    <row r="697" spans="1:22" x14ac:dyDescent="0.25">
      <c r="A697">
        <v>187830</v>
      </c>
      <c r="B697">
        <v>131158561</v>
      </c>
      <c r="C697" t="s">
        <v>3238</v>
      </c>
      <c r="D697">
        <v>250047458</v>
      </c>
      <c r="E697" t="s">
        <v>3171</v>
      </c>
      <c r="F697" t="s">
        <v>431</v>
      </c>
      <c r="G697" t="s">
        <v>149</v>
      </c>
      <c r="H697" t="s">
        <v>150</v>
      </c>
      <c r="I697" t="s">
        <v>88</v>
      </c>
      <c r="J697" t="s">
        <v>151</v>
      </c>
      <c r="K697" t="s">
        <v>2</v>
      </c>
      <c r="L697" t="s">
        <v>3239</v>
      </c>
      <c r="M697" t="s">
        <v>3240</v>
      </c>
      <c r="N697" t="s">
        <v>433</v>
      </c>
      <c r="O697" t="s">
        <v>53</v>
      </c>
      <c r="P697" t="s">
        <v>3241</v>
      </c>
      <c r="Q697" s="14" t="s">
        <v>129</v>
      </c>
      <c r="R697" t="s">
        <v>3179</v>
      </c>
      <c r="S697">
        <v>1.0900000000000001</v>
      </c>
      <c r="T697">
        <v>7684</v>
      </c>
      <c r="U697">
        <v>0</v>
      </c>
      <c r="V697">
        <v>7684</v>
      </c>
    </row>
    <row r="698" spans="1:22" x14ac:dyDescent="0.25">
      <c r="A698">
        <v>187830</v>
      </c>
      <c r="B698">
        <v>131158570</v>
      </c>
      <c r="C698" t="s">
        <v>3242</v>
      </c>
      <c r="D698">
        <v>250047452</v>
      </c>
      <c r="E698" t="s">
        <v>3171</v>
      </c>
      <c r="F698" t="s">
        <v>431</v>
      </c>
      <c r="G698" t="s">
        <v>149</v>
      </c>
      <c r="H698" t="s">
        <v>150</v>
      </c>
      <c r="I698" t="s">
        <v>88</v>
      </c>
      <c r="J698" t="s">
        <v>151</v>
      </c>
      <c r="K698" t="s">
        <v>2</v>
      </c>
      <c r="L698" t="s">
        <v>3243</v>
      </c>
      <c r="M698" t="s">
        <v>3244</v>
      </c>
      <c r="N698" t="s">
        <v>433</v>
      </c>
      <c r="O698" t="s">
        <v>53</v>
      </c>
      <c r="P698" t="s">
        <v>3245</v>
      </c>
      <c r="Q698" s="14" t="s">
        <v>38</v>
      </c>
      <c r="R698" t="s">
        <v>3179</v>
      </c>
      <c r="S698">
        <v>0.47</v>
      </c>
      <c r="T698">
        <v>4669</v>
      </c>
      <c r="U698">
        <v>0</v>
      </c>
      <c r="V698">
        <v>4669</v>
      </c>
    </row>
    <row r="699" spans="1:22" x14ac:dyDescent="0.25">
      <c r="A699">
        <v>187830</v>
      </c>
      <c r="B699">
        <v>131158563</v>
      </c>
      <c r="C699" t="s">
        <v>3246</v>
      </c>
      <c r="D699">
        <v>250047511</v>
      </c>
      <c r="E699" t="s">
        <v>3171</v>
      </c>
      <c r="F699" t="s">
        <v>431</v>
      </c>
      <c r="G699" t="s">
        <v>149</v>
      </c>
      <c r="H699" t="s">
        <v>150</v>
      </c>
      <c r="I699" t="s">
        <v>88</v>
      </c>
      <c r="J699" t="s">
        <v>151</v>
      </c>
      <c r="K699" t="s">
        <v>2</v>
      </c>
      <c r="L699" t="s">
        <v>3247</v>
      </c>
      <c r="M699" t="s">
        <v>3248</v>
      </c>
      <c r="N699" t="s">
        <v>433</v>
      </c>
      <c r="O699" t="s">
        <v>53</v>
      </c>
      <c r="P699" t="s">
        <v>3249</v>
      </c>
      <c r="Q699" s="14" t="s">
        <v>243</v>
      </c>
      <c r="R699" t="s">
        <v>3179</v>
      </c>
      <c r="S699">
        <v>1.18</v>
      </c>
      <c r="T699">
        <v>5040</v>
      </c>
      <c r="U699">
        <v>0</v>
      </c>
      <c r="V699">
        <v>5040</v>
      </c>
    </row>
    <row r="700" spans="1:22" x14ac:dyDescent="0.25">
      <c r="A700">
        <v>187830</v>
      </c>
      <c r="B700">
        <v>131108394</v>
      </c>
      <c r="C700" t="s">
        <v>3250</v>
      </c>
      <c r="D700">
        <v>249965007</v>
      </c>
      <c r="E700" t="s">
        <v>3171</v>
      </c>
      <c r="F700" t="s">
        <v>431</v>
      </c>
      <c r="G700" t="s">
        <v>149</v>
      </c>
      <c r="H700" t="s">
        <v>150</v>
      </c>
      <c r="I700" t="s">
        <v>88</v>
      </c>
      <c r="J700" t="s">
        <v>151</v>
      </c>
      <c r="K700" t="s">
        <v>2</v>
      </c>
      <c r="L700" t="s">
        <v>3251</v>
      </c>
      <c r="M700" t="s">
        <v>3252</v>
      </c>
      <c r="N700" t="s">
        <v>433</v>
      </c>
      <c r="O700" t="s">
        <v>53</v>
      </c>
      <c r="P700" t="s">
        <v>3253</v>
      </c>
      <c r="Q700" s="14" t="s">
        <v>38</v>
      </c>
      <c r="R700" t="s">
        <v>3237</v>
      </c>
      <c r="S700">
        <v>1.1499999999999999</v>
      </c>
      <c r="T700">
        <v>5040</v>
      </c>
      <c r="U700">
        <v>0</v>
      </c>
      <c r="V700">
        <v>5040</v>
      </c>
    </row>
    <row r="701" spans="1:22" x14ac:dyDescent="0.25">
      <c r="A701">
        <v>187830</v>
      </c>
      <c r="B701">
        <v>131108392</v>
      </c>
      <c r="C701" t="s">
        <v>3254</v>
      </c>
      <c r="D701">
        <v>249964992</v>
      </c>
      <c r="E701" t="s">
        <v>3171</v>
      </c>
      <c r="F701" t="s">
        <v>431</v>
      </c>
      <c r="G701" t="s">
        <v>149</v>
      </c>
      <c r="H701" t="s">
        <v>150</v>
      </c>
      <c r="I701" t="s">
        <v>88</v>
      </c>
      <c r="J701" t="s">
        <v>151</v>
      </c>
      <c r="K701" t="s">
        <v>2</v>
      </c>
      <c r="L701" t="s">
        <v>3255</v>
      </c>
      <c r="M701" t="s">
        <v>3256</v>
      </c>
      <c r="N701" t="s">
        <v>433</v>
      </c>
      <c r="O701" t="s">
        <v>53</v>
      </c>
      <c r="P701" t="s">
        <v>3257</v>
      </c>
      <c r="Q701" s="14" t="s">
        <v>140</v>
      </c>
      <c r="R701" t="s">
        <v>3237</v>
      </c>
      <c r="S701">
        <v>1.0900000000000001</v>
      </c>
      <c r="T701">
        <v>5040</v>
      </c>
      <c r="U701">
        <v>0</v>
      </c>
      <c r="V701">
        <v>5040</v>
      </c>
    </row>
    <row r="702" spans="1:22" x14ac:dyDescent="0.25">
      <c r="A702">
        <v>187830</v>
      </c>
      <c r="B702">
        <v>131108390</v>
      </c>
      <c r="C702" t="s">
        <v>3258</v>
      </c>
      <c r="D702">
        <v>249964974</v>
      </c>
      <c r="E702" t="s">
        <v>3171</v>
      </c>
      <c r="F702" t="s">
        <v>431</v>
      </c>
      <c r="G702" t="s">
        <v>149</v>
      </c>
      <c r="H702" t="s">
        <v>150</v>
      </c>
      <c r="I702" t="s">
        <v>88</v>
      </c>
      <c r="J702" t="s">
        <v>151</v>
      </c>
      <c r="K702" t="s">
        <v>2</v>
      </c>
      <c r="L702" t="s">
        <v>3259</v>
      </c>
      <c r="M702" t="s">
        <v>3260</v>
      </c>
      <c r="N702" t="s">
        <v>433</v>
      </c>
      <c r="O702" t="s">
        <v>53</v>
      </c>
      <c r="P702" t="s">
        <v>3261</v>
      </c>
      <c r="Q702" s="14" t="s">
        <v>124</v>
      </c>
      <c r="R702" t="s">
        <v>3237</v>
      </c>
      <c r="S702">
        <v>1.03</v>
      </c>
      <c r="T702">
        <v>4467</v>
      </c>
      <c r="U702">
        <v>0</v>
      </c>
      <c r="V702">
        <v>4467</v>
      </c>
    </row>
    <row r="703" spans="1:22" x14ac:dyDescent="0.25">
      <c r="A703">
        <v>187830</v>
      </c>
      <c r="B703">
        <v>131088814</v>
      </c>
      <c r="C703" t="s">
        <v>3262</v>
      </c>
      <c r="D703">
        <v>249905707</v>
      </c>
      <c r="E703" t="s">
        <v>3171</v>
      </c>
      <c r="F703" t="s">
        <v>431</v>
      </c>
      <c r="G703" t="s">
        <v>149</v>
      </c>
      <c r="H703" t="s">
        <v>150</v>
      </c>
      <c r="I703" t="s">
        <v>88</v>
      </c>
      <c r="J703" t="s">
        <v>151</v>
      </c>
      <c r="K703" t="s">
        <v>2</v>
      </c>
      <c r="L703" t="s">
        <v>3263</v>
      </c>
      <c r="M703" t="s">
        <v>3264</v>
      </c>
      <c r="N703" t="s">
        <v>433</v>
      </c>
      <c r="O703" t="s">
        <v>53</v>
      </c>
      <c r="P703" t="s">
        <v>3265</v>
      </c>
      <c r="Q703" s="14" t="s">
        <v>159</v>
      </c>
      <c r="R703" t="s">
        <v>3266</v>
      </c>
      <c r="S703">
        <v>1</v>
      </c>
      <c r="T703">
        <v>6132</v>
      </c>
      <c r="U703">
        <v>0</v>
      </c>
      <c r="V703">
        <v>6132</v>
      </c>
    </row>
    <row r="704" spans="1:22" x14ac:dyDescent="0.25">
      <c r="A704">
        <v>187830</v>
      </c>
      <c r="B704">
        <v>131055221</v>
      </c>
      <c r="C704" t="s">
        <v>3267</v>
      </c>
      <c r="D704">
        <v>249835469</v>
      </c>
      <c r="E704" t="s">
        <v>3171</v>
      </c>
      <c r="F704" t="s">
        <v>431</v>
      </c>
      <c r="G704" t="s">
        <v>149</v>
      </c>
      <c r="H704" t="s">
        <v>150</v>
      </c>
      <c r="I704" t="s">
        <v>88</v>
      </c>
      <c r="J704" t="s">
        <v>151</v>
      </c>
      <c r="K704" t="s">
        <v>2</v>
      </c>
      <c r="L704" t="s">
        <v>3268</v>
      </c>
      <c r="M704" t="s">
        <v>3269</v>
      </c>
      <c r="N704" t="s">
        <v>433</v>
      </c>
      <c r="O704" t="s">
        <v>53</v>
      </c>
      <c r="P704" t="s">
        <v>3270</v>
      </c>
      <c r="Q704" s="14" t="s">
        <v>170</v>
      </c>
      <c r="R704" t="s">
        <v>3192</v>
      </c>
      <c r="S704">
        <v>1</v>
      </c>
      <c r="T704">
        <v>5749</v>
      </c>
      <c r="U704">
        <v>0</v>
      </c>
      <c r="V704">
        <v>5749</v>
      </c>
    </row>
    <row r="705" spans="1:22" x14ac:dyDescent="0.25">
      <c r="A705">
        <v>187830</v>
      </c>
      <c r="B705">
        <v>131088805</v>
      </c>
      <c r="C705" t="s">
        <v>3271</v>
      </c>
      <c r="D705">
        <v>249905764</v>
      </c>
      <c r="E705" t="s">
        <v>3171</v>
      </c>
      <c r="F705" t="s">
        <v>431</v>
      </c>
      <c r="G705" t="s">
        <v>149</v>
      </c>
      <c r="H705" t="s">
        <v>150</v>
      </c>
      <c r="I705" t="s">
        <v>88</v>
      </c>
      <c r="J705" t="s">
        <v>151</v>
      </c>
      <c r="K705" t="s">
        <v>2</v>
      </c>
      <c r="L705" t="s">
        <v>3272</v>
      </c>
      <c r="M705" t="s">
        <v>3273</v>
      </c>
      <c r="N705" t="s">
        <v>433</v>
      </c>
      <c r="O705" t="s">
        <v>53</v>
      </c>
      <c r="P705" t="s">
        <v>3274</v>
      </c>
      <c r="Q705" s="14" t="s">
        <v>38</v>
      </c>
      <c r="R705" t="s">
        <v>3266</v>
      </c>
      <c r="S705">
        <v>1</v>
      </c>
      <c r="T705">
        <v>4669</v>
      </c>
      <c r="U705">
        <v>0</v>
      </c>
      <c r="V705">
        <v>4669</v>
      </c>
    </row>
    <row r="706" spans="1:22" x14ac:dyDescent="0.25">
      <c r="A706">
        <v>187830</v>
      </c>
      <c r="B706">
        <v>131088811</v>
      </c>
      <c r="C706" t="s">
        <v>3275</v>
      </c>
      <c r="D706">
        <v>249905714</v>
      </c>
      <c r="E706" t="s">
        <v>3171</v>
      </c>
      <c r="F706" t="s">
        <v>431</v>
      </c>
      <c r="G706" t="s">
        <v>149</v>
      </c>
      <c r="H706" t="s">
        <v>150</v>
      </c>
      <c r="I706" t="s">
        <v>88</v>
      </c>
      <c r="J706" t="s">
        <v>151</v>
      </c>
      <c r="K706" t="s">
        <v>2</v>
      </c>
      <c r="L706" t="s">
        <v>3276</v>
      </c>
      <c r="M706" t="s">
        <v>3277</v>
      </c>
      <c r="N706" t="s">
        <v>433</v>
      </c>
      <c r="O706" t="s">
        <v>53</v>
      </c>
      <c r="P706" t="s">
        <v>3278</v>
      </c>
      <c r="Q706" s="14" t="s">
        <v>120</v>
      </c>
      <c r="R706" t="s">
        <v>3266</v>
      </c>
      <c r="S706">
        <v>1</v>
      </c>
      <c r="T706">
        <v>5153</v>
      </c>
      <c r="U706">
        <v>0</v>
      </c>
      <c r="V706">
        <v>5153</v>
      </c>
    </row>
    <row r="707" spans="1:22" x14ac:dyDescent="0.25">
      <c r="A707">
        <v>187830</v>
      </c>
      <c r="B707">
        <v>131055230</v>
      </c>
      <c r="C707" t="s">
        <v>3279</v>
      </c>
      <c r="D707">
        <v>249835418</v>
      </c>
      <c r="E707" t="s">
        <v>3171</v>
      </c>
      <c r="F707" t="s">
        <v>431</v>
      </c>
      <c r="G707" t="s">
        <v>149</v>
      </c>
      <c r="H707" t="s">
        <v>150</v>
      </c>
      <c r="I707" t="s">
        <v>88</v>
      </c>
      <c r="J707" t="s">
        <v>151</v>
      </c>
      <c r="K707" t="s">
        <v>2</v>
      </c>
      <c r="L707" t="s">
        <v>3280</v>
      </c>
      <c r="M707" t="s">
        <v>3281</v>
      </c>
      <c r="N707" t="s">
        <v>433</v>
      </c>
      <c r="O707" t="s">
        <v>53</v>
      </c>
      <c r="P707" t="s">
        <v>3282</v>
      </c>
      <c r="Q707" s="14" t="s">
        <v>167</v>
      </c>
      <c r="R707" t="s">
        <v>3192</v>
      </c>
      <c r="S707">
        <v>1.1499999999999999</v>
      </c>
      <c r="T707">
        <v>7684</v>
      </c>
      <c r="U707">
        <v>0</v>
      </c>
      <c r="V707">
        <v>7684</v>
      </c>
    </row>
    <row r="708" spans="1:22" x14ac:dyDescent="0.25">
      <c r="A708">
        <v>187830</v>
      </c>
      <c r="B708">
        <v>131088808</v>
      </c>
      <c r="C708" t="s">
        <v>3283</v>
      </c>
      <c r="D708">
        <v>249905760</v>
      </c>
      <c r="E708" t="s">
        <v>3171</v>
      </c>
      <c r="F708" t="s">
        <v>431</v>
      </c>
      <c r="G708" t="s">
        <v>149</v>
      </c>
      <c r="H708" t="s">
        <v>150</v>
      </c>
      <c r="I708" t="s">
        <v>88</v>
      </c>
      <c r="J708" t="s">
        <v>151</v>
      </c>
      <c r="K708" t="s">
        <v>2</v>
      </c>
      <c r="L708" t="s">
        <v>3284</v>
      </c>
      <c r="M708" t="s">
        <v>3285</v>
      </c>
      <c r="N708" t="s">
        <v>433</v>
      </c>
      <c r="O708" t="s">
        <v>53</v>
      </c>
      <c r="P708" t="s">
        <v>3286</v>
      </c>
      <c r="Q708" s="14" t="s">
        <v>198</v>
      </c>
      <c r="R708" t="s">
        <v>3266</v>
      </c>
      <c r="S708">
        <v>1</v>
      </c>
      <c r="T708">
        <v>4973</v>
      </c>
      <c r="U708">
        <v>0</v>
      </c>
      <c r="V708">
        <v>4973</v>
      </c>
    </row>
    <row r="709" spans="1:22" x14ac:dyDescent="0.25">
      <c r="A709">
        <v>187830</v>
      </c>
      <c r="B709">
        <v>131088809</v>
      </c>
      <c r="C709" t="s">
        <v>3287</v>
      </c>
      <c r="D709">
        <v>249905735</v>
      </c>
      <c r="E709" t="s">
        <v>3171</v>
      </c>
      <c r="F709" t="s">
        <v>431</v>
      </c>
      <c r="G709" t="s">
        <v>149</v>
      </c>
      <c r="H709" t="s">
        <v>150</v>
      </c>
      <c r="I709" t="s">
        <v>88</v>
      </c>
      <c r="J709" t="s">
        <v>151</v>
      </c>
      <c r="K709" t="s">
        <v>2</v>
      </c>
      <c r="L709" t="s">
        <v>3288</v>
      </c>
      <c r="M709" t="s">
        <v>3289</v>
      </c>
      <c r="N709" t="s">
        <v>433</v>
      </c>
      <c r="O709" t="s">
        <v>53</v>
      </c>
      <c r="P709" t="s">
        <v>3290</v>
      </c>
      <c r="Q709" s="14" t="s">
        <v>107</v>
      </c>
      <c r="R709" t="s">
        <v>3266</v>
      </c>
      <c r="S709">
        <v>1</v>
      </c>
      <c r="T709">
        <v>6132</v>
      </c>
      <c r="U709">
        <v>0</v>
      </c>
      <c r="V709">
        <v>6132</v>
      </c>
    </row>
    <row r="710" spans="1:22" x14ac:dyDescent="0.25">
      <c r="A710">
        <v>187830</v>
      </c>
      <c r="B710">
        <v>131055229</v>
      </c>
      <c r="C710" t="s">
        <v>3291</v>
      </c>
      <c r="D710">
        <v>249835388</v>
      </c>
      <c r="E710" t="s">
        <v>3171</v>
      </c>
      <c r="F710" t="s">
        <v>431</v>
      </c>
      <c r="G710" t="s">
        <v>149</v>
      </c>
      <c r="H710" t="s">
        <v>150</v>
      </c>
      <c r="I710" t="s">
        <v>88</v>
      </c>
      <c r="J710" t="s">
        <v>151</v>
      </c>
      <c r="K710" t="s">
        <v>2</v>
      </c>
      <c r="L710" t="s">
        <v>3292</v>
      </c>
      <c r="M710" t="s">
        <v>3293</v>
      </c>
      <c r="N710" t="s">
        <v>433</v>
      </c>
      <c r="O710" t="s">
        <v>53</v>
      </c>
      <c r="P710" t="s">
        <v>3294</v>
      </c>
      <c r="Q710" s="14" t="s">
        <v>107</v>
      </c>
      <c r="R710" t="s">
        <v>3192</v>
      </c>
      <c r="S710">
        <v>1</v>
      </c>
      <c r="T710">
        <v>6132</v>
      </c>
      <c r="U710">
        <v>0</v>
      </c>
      <c r="V710">
        <v>6132</v>
      </c>
    </row>
    <row r="711" spans="1:22" x14ac:dyDescent="0.25">
      <c r="A711">
        <v>187830</v>
      </c>
      <c r="B711">
        <v>131055227</v>
      </c>
      <c r="C711" t="s">
        <v>3295</v>
      </c>
      <c r="D711">
        <v>249835449</v>
      </c>
      <c r="E711" t="s">
        <v>3171</v>
      </c>
      <c r="F711" t="s">
        <v>431</v>
      </c>
      <c r="G711" t="s">
        <v>149</v>
      </c>
      <c r="H711" t="s">
        <v>150</v>
      </c>
      <c r="I711" t="s">
        <v>88</v>
      </c>
      <c r="J711" t="s">
        <v>151</v>
      </c>
      <c r="K711" t="s">
        <v>2</v>
      </c>
      <c r="L711" t="s">
        <v>3296</v>
      </c>
      <c r="M711" t="s">
        <v>3297</v>
      </c>
      <c r="N711" t="s">
        <v>433</v>
      </c>
      <c r="O711" t="s">
        <v>53</v>
      </c>
      <c r="P711" t="s">
        <v>3298</v>
      </c>
      <c r="Q711" s="14" t="s">
        <v>119</v>
      </c>
      <c r="R711" t="s">
        <v>3192</v>
      </c>
      <c r="S711">
        <v>1</v>
      </c>
      <c r="T711">
        <v>5749</v>
      </c>
      <c r="U711">
        <v>0</v>
      </c>
      <c r="V711">
        <v>5749</v>
      </c>
    </row>
    <row r="712" spans="1:22" x14ac:dyDescent="0.25">
      <c r="A712">
        <v>187830</v>
      </c>
      <c r="B712">
        <v>131055222</v>
      </c>
      <c r="C712" t="s">
        <v>3299</v>
      </c>
      <c r="D712">
        <v>249835463</v>
      </c>
      <c r="E712" t="s">
        <v>3171</v>
      </c>
      <c r="F712" t="s">
        <v>431</v>
      </c>
      <c r="G712" t="s">
        <v>149</v>
      </c>
      <c r="H712" t="s">
        <v>150</v>
      </c>
      <c r="I712" t="s">
        <v>88</v>
      </c>
      <c r="J712" t="s">
        <v>151</v>
      </c>
      <c r="K712" t="s">
        <v>2</v>
      </c>
      <c r="L712" t="s">
        <v>3300</v>
      </c>
      <c r="M712" t="s">
        <v>3301</v>
      </c>
      <c r="N712" t="s">
        <v>433</v>
      </c>
      <c r="O712" t="s">
        <v>53</v>
      </c>
      <c r="P712" t="s">
        <v>3302</v>
      </c>
      <c r="Q712" s="14" t="s">
        <v>99</v>
      </c>
      <c r="R712" t="s">
        <v>3192</v>
      </c>
      <c r="S712">
        <v>1</v>
      </c>
      <c r="T712">
        <v>4219</v>
      </c>
      <c r="U712">
        <v>0</v>
      </c>
      <c r="V712">
        <v>4219</v>
      </c>
    </row>
    <row r="713" spans="1:22" x14ac:dyDescent="0.25">
      <c r="A713">
        <v>187830</v>
      </c>
      <c r="B713">
        <v>131025727</v>
      </c>
      <c r="C713" t="s">
        <v>3303</v>
      </c>
      <c r="D713">
        <v>249764255</v>
      </c>
      <c r="E713" t="s">
        <v>3171</v>
      </c>
      <c r="F713" t="s">
        <v>431</v>
      </c>
      <c r="G713" t="s">
        <v>149</v>
      </c>
      <c r="H713" t="s">
        <v>150</v>
      </c>
      <c r="I713" t="s">
        <v>88</v>
      </c>
      <c r="J713" t="s">
        <v>151</v>
      </c>
      <c r="K713" t="s">
        <v>2</v>
      </c>
      <c r="L713" t="s">
        <v>3304</v>
      </c>
      <c r="M713" t="s">
        <v>3305</v>
      </c>
      <c r="N713" t="s">
        <v>433</v>
      </c>
      <c r="O713" t="s">
        <v>53</v>
      </c>
      <c r="P713" t="s">
        <v>3306</v>
      </c>
      <c r="Q713" s="14" t="s">
        <v>120</v>
      </c>
      <c r="R713" t="s">
        <v>3307</v>
      </c>
      <c r="S713">
        <v>0.52</v>
      </c>
      <c r="T713">
        <v>5153</v>
      </c>
      <c r="U713">
        <v>0</v>
      </c>
      <c r="V713">
        <v>5153</v>
      </c>
    </row>
    <row r="714" spans="1:22" x14ac:dyDescent="0.25">
      <c r="A714">
        <v>187830</v>
      </c>
      <c r="B714">
        <v>131055219</v>
      </c>
      <c r="C714" t="s">
        <v>3308</v>
      </c>
      <c r="D714">
        <v>249835474</v>
      </c>
      <c r="E714" t="s">
        <v>3171</v>
      </c>
      <c r="F714" t="s">
        <v>431</v>
      </c>
      <c r="G714" t="s">
        <v>149</v>
      </c>
      <c r="H714" t="s">
        <v>150</v>
      </c>
      <c r="I714" t="s">
        <v>88</v>
      </c>
      <c r="J714" t="s">
        <v>151</v>
      </c>
      <c r="K714" t="s">
        <v>2</v>
      </c>
      <c r="L714" t="s">
        <v>3309</v>
      </c>
      <c r="M714" t="s">
        <v>3310</v>
      </c>
      <c r="N714" t="s">
        <v>433</v>
      </c>
      <c r="O714" t="s">
        <v>53</v>
      </c>
      <c r="P714" t="s">
        <v>3311</v>
      </c>
      <c r="Q714" s="14" t="s">
        <v>38</v>
      </c>
      <c r="R714" t="s">
        <v>3192</v>
      </c>
      <c r="S714">
        <v>1.5</v>
      </c>
      <c r="T714">
        <v>5040</v>
      </c>
      <c r="U714">
        <v>0</v>
      </c>
      <c r="V714">
        <v>5040</v>
      </c>
    </row>
    <row r="715" spans="1:22" x14ac:dyDescent="0.25">
      <c r="A715">
        <v>187830</v>
      </c>
      <c r="B715">
        <v>131055232</v>
      </c>
      <c r="C715" t="s">
        <v>3312</v>
      </c>
      <c r="D715">
        <v>249835402</v>
      </c>
      <c r="E715" t="s">
        <v>3171</v>
      </c>
      <c r="F715" t="s">
        <v>431</v>
      </c>
      <c r="G715" t="s">
        <v>149</v>
      </c>
      <c r="H715" t="s">
        <v>150</v>
      </c>
      <c r="I715" t="s">
        <v>88</v>
      </c>
      <c r="J715" t="s">
        <v>151</v>
      </c>
      <c r="K715" t="s">
        <v>2</v>
      </c>
      <c r="L715" t="s">
        <v>3313</v>
      </c>
      <c r="M715" t="s">
        <v>3314</v>
      </c>
      <c r="N715" t="s">
        <v>433</v>
      </c>
      <c r="O715" t="s">
        <v>53</v>
      </c>
      <c r="P715" t="s">
        <v>3315</v>
      </c>
      <c r="Q715" s="14" t="s">
        <v>38</v>
      </c>
      <c r="R715" t="s">
        <v>3192</v>
      </c>
      <c r="S715">
        <v>1.36</v>
      </c>
      <c r="T715">
        <v>5040</v>
      </c>
      <c r="U715">
        <v>0</v>
      </c>
      <c r="V715">
        <v>5040</v>
      </c>
    </row>
    <row r="716" spans="1:22" x14ac:dyDescent="0.25">
      <c r="A716">
        <v>187830</v>
      </c>
      <c r="B716">
        <v>131055226</v>
      </c>
      <c r="C716" t="s">
        <v>3316</v>
      </c>
      <c r="D716">
        <v>249835425</v>
      </c>
      <c r="E716" t="s">
        <v>3171</v>
      </c>
      <c r="F716" t="s">
        <v>431</v>
      </c>
      <c r="G716" t="s">
        <v>149</v>
      </c>
      <c r="H716" t="s">
        <v>150</v>
      </c>
      <c r="I716" t="s">
        <v>88</v>
      </c>
      <c r="J716" t="s">
        <v>151</v>
      </c>
      <c r="K716" t="s">
        <v>2</v>
      </c>
      <c r="L716" t="s">
        <v>3317</v>
      </c>
      <c r="M716" t="s">
        <v>3318</v>
      </c>
      <c r="N716" t="s">
        <v>433</v>
      </c>
      <c r="O716" t="s">
        <v>53</v>
      </c>
      <c r="P716" t="s">
        <v>3319</v>
      </c>
      <c r="Q716" s="14" t="s">
        <v>40</v>
      </c>
      <c r="R716" t="s">
        <v>3192</v>
      </c>
      <c r="S716">
        <v>1</v>
      </c>
      <c r="T716">
        <v>4534</v>
      </c>
      <c r="U716">
        <v>0</v>
      </c>
      <c r="V716">
        <v>4534</v>
      </c>
    </row>
    <row r="717" spans="1:22" x14ac:dyDescent="0.25">
      <c r="A717">
        <v>187830</v>
      </c>
      <c r="B717">
        <v>131055235</v>
      </c>
      <c r="C717" t="s">
        <v>3320</v>
      </c>
      <c r="D717">
        <v>249835459</v>
      </c>
      <c r="E717" t="s">
        <v>3171</v>
      </c>
      <c r="F717" t="s">
        <v>431</v>
      </c>
      <c r="G717" t="s">
        <v>149</v>
      </c>
      <c r="H717" t="s">
        <v>150</v>
      </c>
      <c r="I717" t="s">
        <v>88</v>
      </c>
      <c r="J717" t="s">
        <v>151</v>
      </c>
      <c r="K717" t="s">
        <v>2</v>
      </c>
      <c r="L717" t="s">
        <v>3321</v>
      </c>
      <c r="M717" t="s">
        <v>3322</v>
      </c>
      <c r="N717" t="s">
        <v>433</v>
      </c>
      <c r="O717" t="s">
        <v>53</v>
      </c>
      <c r="P717" t="s">
        <v>3323</v>
      </c>
      <c r="Q717" s="14" t="s">
        <v>93</v>
      </c>
      <c r="R717" t="s">
        <v>3192</v>
      </c>
      <c r="S717">
        <v>1</v>
      </c>
      <c r="T717">
        <v>4737</v>
      </c>
      <c r="U717">
        <v>0</v>
      </c>
      <c r="V717">
        <v>4737</v>
      </c>
    </row>
    <row r="718" spans="1:22" x14ac:dyDescent="0.25">
      <c r="A718">
        <v>187830</v>
      </c>
      <c r="B718">
        <v>130908191</v>
      </c>
      <c r="C718" t="s">
        <v>3324</v>
      </c>
      <c r="D718">
        <v>249507169</v>
      </c>
      <c r="E718" t="s">
        <v>3171</v>
      </c>
      <c r="F718" t="s">
        <v>431</v>
      </c>
      <c r="G718" t="s">
        <v>149</v>
      </c>
      <c r="H718" t="s">
        <v>150</v>
      </c>
      <c r="I718" t="s">
        <v>88</v>
      </c>
      <c r="J718" t="s">
        <v>151</v>
      </c>
      <c r="K718" t="s">
        <v>2</v>
      </c>
      <c r="L718" t="s">
        <v>3325</v>
      </c>
      <c r="M718" t="s">
        <v>3326</v>
      </c>
      <c r="N718" t="s">
        <v>433</v>
      </c>
      <c r="O718" t="s">
        <v>53</v>
      </c>
      <c r="P718" t="s">
        <v>3327</v>
      </c>
      <c r="Q718" s="14" t="s">
        <v>97</v>
      </c>
      <c r="R718" t="s">
        <v>419</v>
      </c>
      <c r="S718">
        <v>0.99</v>
      </c>
      <c r="T718">
        <v>8415</v>
      </c>
      <c r="U718">
        <v>0</v>
      </c>
      <c r="V718">
        <v>8415</v>
      </c>
    </row>
    <row r="719" spans="1:22" x14ac:dyDescent="0.25">
      <c r="A719">
        <v>187830</v>
      </c>
      <c r="B719">
        <v>131025725</v>
      </c>
      <c r="C719" t="s">
        <v>3328</v>
      </c>
      <c r="D719">
        <v>249764270</v>
      </c>
      <c r="E719" t="s">
        <v>3171</v>
      </c>
      <c r="F719" t="s">
        <v>431</v>
      </c>
      <c r="G719" t="s">
        <v>149</v>
      </c>
      <c r="H719" t="s">
        <v>150</v>
      </c>
      <c r="I719" t="s">
        <v>88</v>
      </c>
      <c r="J719" t="s">
        <v>151</v>
      </c>
      <c r="K719" t="s">
        <v>2</v>
      </c>
      <c r="L719" t="s">
        <v>3329</v>
      </c>
      <c r="M719" t="s">
        <v>3330</v>
      </c>
      <c r="N719" t="s">
        <v>433</v>
      </c>
      <c r="O719" t="s">
        <v>53</v>
      </c>
      <c r="P719" t="s">
        <v>3331</v>
      </c>
      <c r="Q719" s="14" t="s">
        <v>95</v>
      </c>
      <c r="R719" t="s">
        <v>3307</v>
      </c>
      <c r="S719">
        <v>0.22</v>
      </c>
      <c r="T719">
        <v>5749</v>
      </c>
      <c r="U719">
        <v>0</v>
      </c>
      <c r="V719">
        <v>5749</v>
      </c>
    </row>
    <row r="720" spans="1:22" x14ac:dyDescent="0.25">
      <c r="A720">
        <v>187830</v>
      </c>
      <c r="B720">
        <v>130908201</v>
      </c>
      <c r="C720" t="s">
        <v>3332</v>
      </c>
      <c r="D720">
        <v>249507151</v>
      </c>
      <c r="E720" t="s">
        <v>3171</v>
      </c>
      <c r="F720" t="s">
        <v>431</v>
      </c>
      <c r="G720" t="s">
        <v>149</v>
      </c>
      <c r="H720" t="s">
        <v>150</v>
      </c>
      <c r="I720" t="s">
        <v>88</v>
      </c>
      <c r="J720" t="s">
        <v>151</v>
      </c>
      <c r="K720" t="s">
        <v>2</v>
      </c>
      <c r="L720" t="s">
        <v>3333</v>
      </c>
      <c r="M720" t="s">
        <v>3269</v>
      </c>
      <c r="N720" t="s">
        <v>433</v>
      </c>
      <c r="O720" t="s">
        <v>53</v>
      </c>
      <c r="P720" t="s">
        <v>3334</v>
      </c>
      <c r="Q720" s="14" t="s">
        <v>170</v>
      </c>
      <c r="R720" t="s">
        <v>419</v>
      </c>
      <c r="S720">
        <v>1.25</v>
      </c>
      <c r="T720">
        <v>6244</v>
      </c>
      <c r="U720">
        <v>0</v>
      </c>
      <c r="V720">
        <v>6244</v>
      </c>
    </row>
    <row r="721" spans="1:22" x14ac:dyDescent="0.25">
      <c r="A721">
        <v>187830</v>
      </c>
      <c r="B721">
        <v>131025726</v>
      </c>
      <c r="C721" t="s">
        <v>3335</v>
      </c>
      <c r="D721">
        <v>249764237</v>
      </c>
      <c r="E721" t="s">
        <v>3171</v>
      </c>
      <c r="F721" t="s">
        <v>431</v>
      </c>
      <c r="G721" t="s">
        <v>149</v>
      </c>
      <c r="H721" t="s">
        <v>150</v>
      </c>
      <c r="I721" t="s">
        <v>88</v>
      </c>
      <c r="J721" t="s">
        <v>151</v>
      </c>
      <c r="K721" t="s">
        <v>2</v>
      </c>
      <c r="L721" t="s">
        <v>3336</v>
      </c>
      <c r="M721" t="s">
        <v>3337</v>
      </c>
      <c r="N721" t="s">
        <v>433</v>
      </c>
      <c r="O721" t="s">
        <v>53</v>
      </c>
      <c r="P721" t="s">
        <v>3338</v>
      </c>
      <c r="Q721" s="14" t="s">
        <v>93</v>
      </c>
      <c r="R721" t="s">
        <v>3307</v>
      </c>
      <c r="S721">
        <v>1.44</v>
      </c>
      <c r="T721">
        <v>5052</v>
      </c>
      <c r="U721">
        <v>0</v>
      </c>
      <c r="V721">
        <v>5052</v>
      </c>
    </row>
    <row r="722" spans="1:22" x14ac:dyDescent="0.25">
      <c r="A722">
        <v>187830</v>
      </c>
      <c r="B722">
        <v>131025724</v>
      </c>
      <c r="C722" t="s">
        <v>3339</v>
      </c>
      <c r="D722">
        <v>249764277</v>
      </c>
      <c r="E722" t="s">
        <v>3171</v>
      </c>
      <c r="F722" t="s">
        <v>431</v>
      </c>
      <c r="G722" t="s">
        <v>149</v>
      </c>
      <c r="H722" t="s">
        <v>150</v>
      </c>
      <c r="I722" t="s">
        <v>88</v>
      </c>
      <c r="J722" t="s">
        <v>151</v>
      </c>
      <c r="K722" t="s">
        <v>2</v>
      </c>
      <c r="L722" t="s">
        <v>3340</v>
      </c>
      <c r="M722" t="s">
        <v>3341</v>
      </c>
      <c r="N722" t="s">
        <v>433</v>
      </c>
      <c r="O722" t="s">
        <v>53</v>
      </c>
      <c r="P722" t="s">
        <v>3342</v>
      </c>
      <c r="Q722" s="14" t="s">
        <v>217</v>
      </c>
      <c r="R722" t="s">
        <v>3307</v>
      </c>
      <c r="S722">
        <v>1</v>
      </c>
      <c r="T722">
        <v>4669</v>
      </c>
      <c r="U722">
        <v>0</v>
      </c>
      <c r="V722">
        <v>4669</v>
      </c>
    </row>
    <row r="723" spans="1:22" x14ac:dyDescent="0.25">
      <c r="A723">
        <v>187830</v>
      </c>
      <c r="B723">
        <v>130992714</v>
      </c>
      <c r="C723" t="s">
        <v>3343</v>
      </c>
      <c r="D723">
        <v>249687040</v>
      </c>
      <c r="E723" t="s">
        <v>3171</v>
      </c>
      <c r="F723" t="s">
        <v>431</v>
      </c>
      <c r="G723" t="s">
        <v>149</v>
      </c>
      <c r="H723" t="s">
        <v>150</v>
      </c>
      <c r="I723" t="s">
        <v>88</v>
      </c>
      <c r="J723" t="s">
        <v>151</v>
      </c>
      <c r="K723" t="s">
        <v>2</v>
      </c>
      <c r="L723" t="s">
        <v>3344</v>
      </c>
      <c r="M723" t="s">
        <v>3345</v>
      </c>
      <c r="N723" t="s">
        <v>433</v>
      </c>
      <c r="O723" t="s">
        <v>53</v>
      </c>
      <c r="P723" t="s">
        <v>3346</v>
      </c>
      <c r="Q723" s="14" t="s">
        <v>134</v>
      </c>
      <c r="R723" t="s">
        <v>114</v>
      </c>
      <c r="S723">
        <v>1</v>
      </c>
      <c r="T723">
        <v>4669</v>
      </c>
      <c r="U723">
        <v>0</v>
      </c>
      <c r="V723">
        <v>4669</v>
      </c>
    </row>
    <row r="724" spans="1:22" x14ac:dyDescent="0.25">
      <c r="A724">
        <v>187830</v>
      </c>
      <c r="B724">
        <v>130748627</v>
      </c>
      <c r="C724" t="s">
        <v>3347</v>
      </c>
      <c r="D724">
        <v>249155701</v>
      </c>
      <c r="E724" t="s">
        <v>3171</v>
      </c>
      <c r="F724" t="s">
        <v>431</v>
      </c>
      <c r="G724" t="s">
        <v>149</v>
      </c>
      <c r="H724" t="s">
        <v>150</v>
      </c>
      <c r="I724" t="s">
        <v>88</v>
      </c>
      <c r="J724" t="s">
        <v>151</v>
      </c>
      <c r="K724" t="s">
        <v>2</v>
      </c>
      <c r="L724" t="s">
        <v>3348</v>
      </c>
      <c r="M724" t="s">
        <v>3349</v>
      </c>
      <c r="N724" t="s">
        <v>433</v>
      </c>
      <c r="O724" t="s">
        <v>53</v>
      </c>
      <c r="P724" t="s">
        <v>3350</v>
      </c>
      <c r="Q724" s="14" t="s">
        <v>168</v>
      </c>
      <c r="R724" t="s">
        <v>412</v>
      </c>
      <c r="S724">
        <v>1</v>
      </c>
      <c r="T724">
        <v>6480</v>
      </c>
      <c r="U724">
        <v>0</v>
      </c>
      <c r="V724">
        <v>6480</v>
      </c>
    </row>
    <row r="725" spans="1:22" x14ac:dyDescent="0.25">
      <c r="A725">
        <v>187830</v>
      </c>
      <c r="B725">
        <v>130681543</v>
      </c>
      <c r="C725" t="s">
        <v>3351</v>
      </c>
      <c r="D725">
        <v>249003790</v>
      </c>
      <c r="E725" t="s">
        <v>3171</v>
      </c>
      <c r="F725" t="s">
        <v>431</v>
      </c>
      <c r="G725" t="s">
        <v>149</v>
      </c>
      <c r="H725" t="s">
        <v>150</v>
      </c>
      <c r="I725" t="s">
        <v>88</v>
      </c>
      <c r="J725" t="s">
        <v>151</v>
      </c>
      <c r="K725" t="s">
        <v>2</v>
      </c>
      <c r="L725" t="s">
        <v>3352</v>
      </c>
      <c r="M725" t="s">
        <v>3349</v>
      </c>
      <c r="N725" t="s">
        <v>433</v>
      </c>
      <c r="O725" t="s">
        <v>53</v>
      </c>
      <c r="P725" t="s">
        <v>3350</v>
      </c>
      <c r="Q725" s="14" t="s">
        <v>168</v>
      </c>
      <c r="R725" t="s">
        <v>237</v>
      </c>
      <c r="S725">
        <v>1</v>
      </c>
      <c r="T725">
        <v>6480</v>
      </c>
      <c r="U725">
        <v>0</v>
      </c>
      <c r="V725">
        <v>6480</v>
      </c>
    </row>
    <row r="726" spans="1:22" x14ac:dyDescent="0.25">
      <c r="A726">
        <v>187830</v>
      </c>
      <c r="B726">
        <v>130908192</v>
      </c>
      <c r="C726" t="s">
        <v>3353</v>
      </c>
      <c r="D726">
        <v>249507181</v>
      </c>
      <c r="E726" t="s">
        <v>3171</v>
      </c>
      <c r="F726" t="s">
        <v>431</v>
      </c>
      <c r="G726" t="s">
        <v>149</v>
      </c>
      <c r="H726" t="s">
        <v>150</v>
      </c>
      <c r="I726" t="s">
        <v>88</v>
      </c>
      <c r="J726" t="s">
        <v>151</v>
      </c>
      <c r="K726" t="s">
        <v>2</v>
      </c>
      <c r="L726" t="s">
        <v>3354</v>
      </c>
      <c r="M726" t="s">
        <v>3355</v>
      </c>
      <c r="N726" t="s">
        <v>433</v>
      </c>
      <c r="O726" t="s">
        <v>53</v>
      </c>
      <c r="P726" t="s">
        <v>3356</v>
      </c>
      <c r="Q726" s="14" t="s">
        <v>97</v>
      </c>
      <c r="R726" t="s">
        <v>419</v>
      </c>
      <c r="S726">
        <v>0.97</v>
      </c>
      <c r="T726">
        <v>8415</v>
      </c>
      <c r="U726">
        <v>0</v>
      </c>
      <c r="V726">
        <v>8415</v>
      </c>
    </row>
    <row r="727" spans="1:22" x14ac:dyDescent="0.25">
      <c r="A727">
        <v>187830</v>
      </c>
      <c r="B727">
        <v>130992902</v>
      </c>
      <c r="C727" t="s">
        <v>3357</v>
      </c>
      <c r="D727">
        <v>249687413</v>
      </c>
      <c r="E727" t="s">
        <v>3171</v>
      </c>
      <c r="F727" t="s">
        <v>431</v>
      </c>
      <c r="G727" t="s">
        <v>149</v>
      </c>
      <c r="H727" t="s">
        <v>150</v>
      </c>
      <c r="I727" t="s">
        <v>88</v>
      </c>
      <c r="J727" t="s">
        <v>151</v>
      </c>
      <c r="K727" t="s">
        <v>2</v>
      </c>
      <c r="L727" t="s">
        <v>3358</v>
      </c>
      <c r="M727" t="s">
        <v>3359</v>
      </c>
      <c r="N727" t="s">
        <v>433</v>
      </c>
      <c r="O727" t="s">
        <v>53</v>
      </c>
      <c r="P727" t="s">
        <v>3360</v>
      </c>
      <c r="Q727" s="14" t="s">
        <v>113</v>
      </c>
      <c r="R727" t="s">
        <v>3361</v>
      </c>
      <c r="S727">
        <v>1.17</v>
      </c>
      <c r="T727">
        <v>5310</v>
      </c>
      <c r="U727">
        <v>0</v>
      </c>
      <c r="V727">
        <v>5310</v>
      </c>
    </row>
    <row r="728" spans="1:22" x14ac:dyDescent="0.25">
      <c r="A728">
        <v>187830</v>
      </c>
      <c r="B728">
        <v>130951825</v>
      </c>
      <c r="C728" t="s">
        <v>3362</v>
      </c>
      <c r="D728">
        <v>249593749</v>
      </c>
      <c r="E728" t="s">
        <v>3171</v>
      </c>
      <c r="F728" t="s">
        <v>431</v>
      </c>
      <c r="G728" t="s">
        <v>149</v>
      </c>
      <c r="H728" t="s">
        <v>150</v>
      </c>
      <c r="I728" t="s">
        <v>88</v>
      </c>
      <c r="J728" t="s">
        <v>151</v>
      </c>
      <c r="K728" t="s">
        <v>2</v>
      </c>
      <c r="L728" t="s">
        <v>3363</v>
      </c>
      <c r="M728" t="s">
        <v>3364</v>
      </c>
      <c r="N728" t="s">
        <v>433</v>
      </c>
      <c r="O728" t="s">
        <v>53</v>
      </c>
      <c r="P728" t="s">
        <v>3365</v>
      </c>
      <c r="Q728" s="14" t="s">
        <v>134</v>
      </c>
      <c r="R728" t="s">
        <v>3366</v>
      </c>
      <c r="S728">
        <v>1.03</v>
      </c>
      <c r="T728">
        <v>5040</v>
      </c>
      <c r="U728">
        <v>0</v>
      </c>
      <c r="V728">
        <v>5040</v>
      </c>
    </row>
    <row r="729" spans="1:22" x14ac:dyDescent="0.25">
      <c r="A729">
        <v>187830</v>
      </c>
      <c r="B729">
        <v>130992712</v>
      </c>
      <c r="C729" t="s">
        <v>3367</v>
      </c>
      <c r="D729">
        <v>249687042</v>
      </c>
      <c r="E729" t="s">
        <v>3171</v>
      </c>
      <c r="F729" t="s">
        <v>431</v>
      </c>
      <c r="G729" t="s">
        <v>149</v>
      </c>
      <c r="H729" t="s">
        <v>150</v>
      </c>
      <c r="I729" t="s">
        <v>88</v>
      </c>
      <c r="J729" t="s">
        <v>151</v>
      </c>
      <c r="K729" t="s">
        <v>2</v>
      </c>
      <c r="L729" t="s">
        <v>3368</v>
      </c>
      <c r="M729" t="s">
        <v>3369</v>
      </c>
      <c r="N729" t="s">
        <v>433</v>
      </c>
      <c r="O729" t="s">
        <v>53</v>
      </c>
      <c r="P729" t="s">
        <v>3370</v>
      </c>
      <c r="Q729" s="14" t="s">
        <v>198</v>
      </c>
      <c r="R729" t="s">
        <v>424</v>
      </c>
      <c r="S729">
        <v>1</v>
      </c>
      <c r="T729">
        <v>4973</v>
      </c>
      <c r="U729">
        <v>0</v>
      </c>
      <c r="V729">
        <v>4973</v>
      </c>
    </row>
    <row r="730" spans="1:22" x14ac:dyDescent="0.25">
      <c r="A730">
        <v>187830</v>
      </c>
      <c r="B730">
        <v>130951821</v>
      </c>
      <c r="C730" t="s">
        <v>3371</v>
      </c>
      <c r="D730">
        <v>249593740</v>
      </c>
      <c r="E730" t="s">
        <v>3171</v>
      </c>
      <c r="F730" t="s">
        <v>431</v>
      </c>
      <c r="G730" t="s">
        <v>149</v>
      </c>
      <c r="H730" t="s">
        <v>150</v>
      </c>
      <c r="I730" t="s">
        <v>88</v>
      </c>
      <c r="J730" t="s">
        <v>151</v>
      </c>
      <c r="K730" t="s">
        <v>2</v>
      </c>
      <c r="L730" t="s">
        <v>3372</v>
      </c>
      <c r="M730" t="s">
        <v>3373</v>
      </c>
      <c r="N730" t="s">
        <v>433</v>
      </c>
      <c r="O730" t="s">
        <v>53</v>
      </c>
      <c r="P730" t="s">
        <v>3374</v>
      </c>
      <c r="Q730" s="14" t="s">
        <v>128</v>
      </c>
      <c r="R730" t="s">
        <v>3366</v>
      </c>
      <c r="S730">
        <v>1.2</v>
      </c>
      <c r="T730">
        <v>8404</v>
      </c>
      <c r="U730">
        <v>0</v>
      </c>
      <c r="V730">
        <v>8404</v>
      </c>
    </row>
    <row r="731" spans="1:22" x14ac:dyDescent="0.25">
      <c r="A731">
        <v>187830</v>
      </c>
      <c r="B731">
        <v>130951820</v>
      </c>
      <c r="C731" t="s">
        <v>3375</v>
      </c>
      <c r="D731">
        <v>249593767</v>
      </c>
      <c r="E731" t="s">
        <v>3171</v>
      </c>
      <c r="F731" t="s">
        <v>431</v>
      </c>
      <c r="G731" t="s">
        <v>149</v>
      </c>
      <c r="H731" t="s">
        <v>150</v>
      </c>
      <c r="I731" t="s">
        <v>88</v>
      </c>
      <c r="J731" t="s">
        <v>151</v>
      </c>
      <c r="K731" t="s">
        <v>2</v>
      </c>
      <c r="L731" t="s">
        <v>3376</v>
      </c>
      <c r="M731" t="s">
        <v>3377</v>
      </c>
      <c r="N731" t="s">
        <v>433</v>
      </c>
      <c r="O731" t="s">
        <v>53</v>
      </c>
      <c r="P731" t="s">
        <v>3378</v>
      </c>
      <c r="Q731" s="14" t="s">
        <v>129</v>
      </c>
      <c r="R731" t="s">
        <v>3366</v>
      </c>
      <c r="S731">
        <v>1.52</v>
      </c>
      <c r="T731">
        <v>7684</v>
      </c>
      <c r="U731">
        <v>0</v>
      </c>
      <c r="V731">
        <v>7684</v>
      </c>
    </row>
    <row r="732" spans="1:22" x14ac:dyDescent="0.25">
      <c r="A732">
        <v>187830</v>
      </c>
      <c r="B732">
        <v>130908194</v>
      </c>
      <c r="C732" t="s">
        <v>3379</v>
      </c>
      <c r="D732">
        <v>249507164</v>
      </c>
      <c r="E732" t="s">
        <v>3171</v>
      </c>
      <c r="F732" t="s">
        <v>431</v>
      </c>
      <c r="G732" t="s">
        <v>149</v>
      </c>
      <c r="H732" t="s">
        <v>150</v>
      </c>
      <c r="I732" t="s">
        <v>88</v>
      </c>
      <c r="J732" t="s">
        <v>151</v>
      </c>
      <c r="K732" t="s">
        <v>2</v>
      </c>
      <c r="L732" t="s">
        <v>3380</v>
      </c>
      <c r="M732" t="s">
        <v>238</v>
      </c>
      <c r="N732" t="s">
        <v>433</v>
      </c>
      <c r="O732" t="s">
        <v>53</v>
      </c>
      <c r="P732" t="s">
        <v>3381</v>
      </c>
      <c r="Q732" s="14" t="s">
        <v>167</v>
      </c>
      <c r="R732" t="s">
        <v>419</v>
      </c>
      <c r="S732">
        <v>0.22</v>
      </c>
      <c r="T732">
        <v>7212</v>
      </c>
      <c r="U732">
        <v>0</v>
      </c>
      <c r="V732">
        <v>7212</v>
      </c>
    </row>
    <row r="733" spans="1:22" x14ac:dyDescent="0.25">
      <c r="A733">
        <v>187830</v>
      </c>
      <c r="B733">
        <v>130951810</v>
      </c>
      <c r="C733" t="s">
        <v>3382</v>
      </c>
      <c r="D733">
        <v>249593935</v>
      </c>
      <c r="E733" t="s">
        <v>3171</v>
      </c>
      <c r="F733" t="s">
        <v>431</v>
      </c>
      <c r="G733" t="s">
        <v>149</v>
      </c>
      <c r="H733" t="s">
        <v>150</v>
      </c>
      <c r="I733" t="s">
        <v>88</v>
      </c>
      <c r="J733" t="s">
        <v>151</v>
      </c>
      <c r="K733" t="s">
        <v>2</v>
      </c>
      <c r="L733" t="s">
        <v>3383</v>
      </c>
      <c r="M733" t="s">
        <v>3384</v>
      </c>
      <c r="N733" t="s">
        <v>433</v>
      </c>
      <c r="O733" t="s">
        <v>53</v>
      </c>
      <c r="P733" t="s">
        <v>3385</v>
      </c>
      <c r="Q733" s="14" t="s">
        <v>119</v>
      </c>
      <c r="R733" t="s">
        <v>3366</v>
      </c>
      <c r="S733">
        <v>0.6</v>
      </c>
      <c r="T733">
        <v>5749</v>
      </c>
      <c r="U733">
        <v>0</v>
      </c>
      <c r="V733">
        <v>5749</v>
      </c>
    </row>
    <row r="734" spans="1:22" x14ac:dyDescent="0.25">
      <c r="A734">
        <v>187830</v>
      </c>
      <c r="B734">
        <v>130951811</v>
      </c>
      <c r="C734" t="s">
        <v>3386</v>
      </c>
      <c r="D734">
        <v>249593950</v>
      </c>
      <c r="E734" t="s">
        <v>3171</v>
      </c>
      <c r="F734" t="s">
        <v>431</v>
      </c>
      <c r="G734" t="s">
        <v>149</v>
      </c>
      <c r="H734" t="s">
        <v>150</v>
      </c>
      <c r="I734" t="s">
        <v>88</v>
      </c>
      <c r="J734" t="s">
        <v>151</v>
      </c>
      <c r="K734" t="s">
        <v>2</v>
      </c>
      <c r="L734" t="s">
        <v>3387</v>
      </c>
      <c r="M734" t="s">
        <v>3388</v>
      </c>
      <c r="N734" t="s">
        <v>433</v>
      </c>
      <c r="O734" t="s">
        <v>53</v>
      </c>
      <c r="P734" t="s">
        <v>3389</v>
      </c>
      <c r="Q734" s="14" t="s">
        <v>294</v>
      </c>
      <c r="R734" t="s">
        <v>3366</v>
      </c>
      <c r="S734">
        <v>1.1599999999999999</v>
      </c>
      <c r="T734">
        <v>5040</v>
      </c>
      <c r="U734">
        <v>0</v>
      </c>
      <c r="V734">
        <v>5040</v>
      </c>
    </row>
    <row r="735" spans="1:22" x14ac:dyDescent="0.25">
      <c r="A735">
        <v>187830</v>
      </c>
      <c r="B735">
        <v>130951817</v>
      </c>
      <c r="C735" t="s">
        <v>3390</v>
      </c>
      <c r="D735">
        <v>249593913</v>
      </c>
      <c r="E735" t="s">
        <v>3171</v>
      </c>
      <c r="F735" t="s">
        <v>431</v>
      </c>
      <c r="G735" t="s">
        <v>149</v>
      </c>
      <c r="H735" t="s">
        <v>150</v>
      </c>
      <c r="I735" t="s">
        <v>88</v>
      </c>
      <c r="J735" t="s">
        <v>151</v>
      </c>
      <c r="K735" t="s">
        <v>2</v>
      </c>
      <c r="L735" t="s">
        <v>3391</v>
      </c>
      <c r="M735" t="s">
        <v>3392</v>
      </c>
      <c r="N735" t="s">
        <v>433</v>
      </c>
      <c r="O735" t="s">
        <v>53</v>
      </c>
      <c r="P735" t="s">
        <v>3393</v>
      </c>
      <c r="Q735" s="14" t="s">
        <v>38</v>
      </c>
      <c r="R735" t="s">
        <v>3366</v>
      </c>
      <c r="S735">
        <v>1.53</v>
      </c>
      <c r="T735">
        <v>5040</v>
      </c>
      <c r="U735">
        <v>0</v>
      </c>
      <c r="V735">
        <v>5040</v>
      </c>
    </row>
    <row r="736" spans="1:22" x14ac:dyDescent="0.25">
      <c r="A736">
        <v>187830</v>
      </c>
      <c r="B736">
        <v>130951815</v>
      </c>
      <c r="C736" t="s">
        <v>3394</v>
      </c>
      <c r="D736">
        <v>249593919</v>
      </c>
      <c r="E736" t="s">
        <v>3171</v>
      </c>
      <c r="F736" t="s">
        <v>431</v>
      </c>
      <c r="G736" t="s">
        <v>149</v>
      </c>
      <c r="H736" t="s">
        <v>150</v>
      </c>
      <c r="I736" t="s">
        <v>88</v>
      </c>
      <c r="J736" t="s">
        <v>151</v>
      </c>
      <c r="K736" t="s">
        <v>2</v>
      </c>
      <c r="L736" t="s">
        <v>3395</v>
      </c>
      <c r="M736" t="s">
        <v>3396</v>
      </c>
      <c r="N736" t="s">
        <v>433</v>
      </c>
      <c r="O736" t="s">
        <v>53</v>
      </c>
      <c r="P736" t="s">
        <v>3397</v>
      </c>
      <c r="Q736" s="14" t="s">
        <v>169</v>
      </c>
      <c r="R736" t="s">
        <v>3366</v>
      </c>
      <c r="S736">
        <v>2.17</v>
      </c>
      <c r="T736">
        <v>5448</v>
      </c>
      <c r="U736">
        <v>0</v>
      </c>
      <c r="V736">
        <v>5448</v>
      </c>
    </row>
    <row r="737" spans="1:22" x14ac:dyDescent="0.25">
      <c r="A737">
        <v>187830</v>
      </c>
      <c r="B737">
        <v>130951814</v>
      </c>
      <c r="C737" t="s">
        <v>3398</v>
      </c>
      <c r="D737">
        <v>249593926</v>
      </c>
      <c r="E737" t="s">
        <v>3171</v>
      </c>
      <c r="F737" t="s">
        <v>431</v>
      </c>
      <c r="G737" t="s">
        <v>149</v>
      </c>
      <c r="H737" t="s">
        <v>150</v>
      </c>
      <c r="I737" t="s">
        <v>88</v>
      </c>
      <c r="J737" t="s">
        <v>151</v>
      </c>
      <c r="K737" t="s">
        <v>2</v>
      </c>
      <c r="L737" t="s">
        <v>3399</v>
      </c>
      <c r="M737" t="s">
        <v>3400</v>
      </c>
      <c r="N737" t="s">
        <v>433</v>
      </c>
      <c r="O737" t="s">
        <v>53</v>
      </c>
      <c r="P737" t="s">
        <v>3401</v>
      </c>
      <c r="Q737" s="14" t="s">
        <v>158</v>
      </c>
      <c r="R737" t="s">
        <v>3366</v>
      </c>
      <c r="S737">
        <v>1.02</v>
      </c>
      <c r="T737">
        <v>4467</v>
      </c>
      <c r="U737">
        <v>0</v>
      </c>
      <c r="V737">
        <v>4467</v>
      </c>
    </row>
    <row r="738" spans="1:22" x14ac:dyDescent="0.25">
      <c r="A738">
        <v>187830</v>
      </c>
      <c r="B738">
        <v>130615927</v>
      </c>
      <c r="C738" t="s">
        <v>3402</v>
      </c>
      <c r="D738">
        <v>248850382</v>
      </c>
      <c r="E738" t="s">
        <v>3171</v>
      </c>
      <c r="F738" t="s">
        <v>431</v>
      </c>
      <c r="G738" t="s">
        <v>149</v>
      </c>
      <c r="H738" t="s">
        <v>150</v>
      </c>
      <c r="I738" t="s">
        <v>88</v>
      </c>
      <c r="J738" t="s">
        <v>151</v>
      </c>
      <c r="K738" t="s">
        <v>2</v>
      </c>
      <c r="L738" t="s">
        <v>3403</v>
      </c>
      <c r="M738" t="s">
        <v>3404</v>
      </c>
      <c r="N738" t="s">
        <v>433</v>
      </c>
      <c r="O738" t="s">
        <v>53</v>
      </c>
      <c r="P738" t="s">
        <v>3405</v>
      </c>
      <c r="Q738" s="14" t="s">
        <v>168</v>
      </c>
      <c r="R738" t="s">
        <v>3406</v>
      </c>
      <c r="S738">
        <v>1</v>
      </c>
      <c r="T738">
        <v>6480</v>
      </c>
      <c r="U738">
        <v>0</v>
      </c>
      <c r="V738">
        <v>6480</v>
      </c>
    </row>
    <row r="739" spans="1:22" x14ac:dyDescent="0.25">
      <c r="A739">
        <v>187830</v>
      </c>
      <c r="B739">
        <v>130651400</v>
      </c>
      <c r="C739" t="s">
        <v>3407</v>
      </c>
      <c r="D739">
        <v>248933424</v>
      </c>
      <c r="E739" t="s">
        <v>3171</v>
      </c>
      <c r="F739" t="s">
        <v>431</v>
      </c>
      <c r="G739" t="s">
        <v>149</v>
      </c>
      <c r="H739" t="s">
        <v>150</v>
      </c>
      <c r="I739" t="s">
        <v>88</v>
      </c>
      <c r="J739" t="s">
        <v>151</v>
      </c>
      <c r="K739" t="s">
        <v>2</v>
      </c>
      <c r="L739" t="s">
        <v>3408</v>
      </c>
      <c r="M739" t="s">
        <v>3409</v>
      </c>
      <c r="N739" t="s">
        <v>433</v>
      </c>
      <c r="O739" t="s">
        <v>53</v>
      </c>
      <c r="P739" t="s">
        <v>3410</v>
      </c>
      <c r="Q739" s="14" t="s">
        <v>168</v>
      </c>
      <c r="R739" t="s">
        <v>3411</v>
      </c>
      <c r="S739">
        <v>1</v>
      </c>
      <c r="T739">
        <v>6480</v>
      </c>
      <c r="U739">
        <v>0</v>
      </c>
      <c r="V739">
        <v>6480</v>
      </c>
    </row>
    <row r="740" spans="1:22" x14ac:dyDescent="0.25">
      <c r="A740">
        <v>187830</v>
      </c>
      <c r="B740">
        <v>130885466</v>
      </c>
      <c r="C740" t="s">
        <v>3412</v>
      </c>
      <c r="D740">
        <v>249439643</v>
      </c>
      <c r="E740" t="s">
        <v>3171</v>
      </c>
      <c r="F740" t="s">
        <v>431</v>
      </c>
      <c r="G740" t="s">
        <v>149</v>
      </c>
      <c r="H740" t="s">
        <v>150</v>
      </c>
      <c r="I740" t="s">
        <v>88</v>
      </c>
      <c r="J740" t="s">
        <v>151</v>
      </c>
      <c r="K740" t="s">
        <v>2</v>
      </c>
      <c r="L740" t="s">
        <v>3413</v>
      </c>
      <c r="M740" t="s">
        <v>3414</v>
      </c>
      <c r="N740" t="s">
        <v>433</v>
      </c>
      <c r="O740" t="s">
        <v>53</v>
      </c>
      <c r="P740" t="s">
        <v>3415</v>
      </c>
      <c r="Q740" s="14" t="s">
        <v>152</v>
      </c>
      <c r="R740" t="s">
        <v>3416</v>
      </c>
      <c r="S740">
        <v>1</v>
      </c>
      <c r="T740">
        <v>4219</v>
      </c>
      <c r="U740">
        <v>0</v>
      </c>
      <c r="V740">
        <v>4219</v>
      </c>
    </row>
    <row r="741" spans="1:22" x14ac:dyDescent="0.25">
      <c r="A741">
        <v>187830</v>
      </c>
      <c r="B741">
        <v>130885455</v>
      </c>
      <c r="C741" t="s">
        <v>3417</v>
      </c>
      <c r="D741">
        <v>249439690</v>
      </c>
      <c r="E741" t="s">
        <v>3171</v>
      </c>
      <c r="F741" t="s">
        <v>431</v>
      </c>
      <c r="G741" t="s">
        <v>149</v>
      </c>
      <c r="H741" t="s">
        <v>150</v>
      </c>
      <c r="I741" t="s">
        <v>88</v>
      </c>
      <c r="J741" t="s">
        <v>151</v>
      </c>
      <c r="K741" t="s">
        <v>2</v>
      </c>
      <c r="L741" t="s">
        <v>3418</v>
      </c>
      <c r="M741" t="s">
        <v>3419</v>
      </c>
      <c r="N741" t="s">
        <v>433</v>
      </c>
      <c r="O741" t="s">
        <v>53</v>
      </c>
      <c r="P741" t="s">
        <v>3420</v>
      </c>
      <c r="Q741" s="14" t="s">
        <v>119</v>
      </c>
      <c r="R741" t="s">
        <v>3416</v>
      </c>
      <c r="S741">
        <v>1</v>
      </c>
      <c r="T741">
        <v>5749</v>
      </c>
      <c r="U741">
        <v>0</v>
      </c>
      <c r="V741">
        <v>5749</v>
      </c>
    </row>
    <row r="742" spans="1:22" x14ac:dyDescent="0.25">
      <c r="A742">
        <v>187830</v>
      </c>
      <c r="B742">
        <v>130851004</v>
      </c>
      <c r="C742" t="s">
        <v>3421</v>
      </c>
      <c r="D742">
        <v>249359794</v>
      </c>
      <c r="E742" t="s">
        <v>3171</v>
      </c>
      <c r="F742" t="s">
        <v>431</v>
      </c>
      <c r="G742" t="s">
        <v>149</v>
      </c>
      <c r="H742" t="s">
        <v>150</v>
      </c>
      <c r="I742" t="s">
        <v>88</v>
      </c>
      <c r="J742" t="s">
        <v>151</v>
      </c>
      <c r="K742" t="s">
        <v>2</v>
      </c>
      <c r="L742" t="s">
        <v>3422</v>
      </c>
      <c r="M742" t="s">
        <v>281</v>
      </c>
      <c r="N742" t="s">
        <v>433</v>
      </c>
      <c r="O742" t="s">
        <v>53</v>
      </c>
      <c r="P742" t="s">
        <v>3423</v>
      </c>
      <c r="Q742" s="14" t="s">
        <v>159</v>
      </c>
      <c r="R742" t="s">
        <v>3424</v>
      </c>
      <c r="S742">
        <v>1.57</v>
      </c>
      <c r="T742">
        <v>6660</v>
      </c>
      <c r="U742">
        <v>0</v>
      </c>
      <c r="V742">
        <v>6660</v>
      </c>
    </row>
    <row r="743" spans="1:22" x14ac:dyDescent="0.25">
      <c r="A743">
        <v>187830</v>
      </c>
      <c r="B743">
        <v>130885454</v>
      </c>
      <c r="C743" t="s">
        <v>3425</v>
      </c>
      <c r="D743">
        <v>249439670</v>
      </c>
      <c r="E743" t="s">
        <v>3171</v>
      </c>
      <c r="F743" t="s">
        <v>431</v>
      </c>
      <c r="G743" t="s">
        <v>149</v>
      </c>
      <c r="H743" t="s">
        <v>150</v>
      </c>
      <c r="I743" t="s">
        <v>88</v>
      </c>
      <c r="J743" t="s">
        <v>151</v>
      </c>
      <c r="K743" t="s">
        <v>2</v>
      </c>
      <c r="L743" t="s">
        <v>3426</v>
      </c>
      <c r="M743" t="s">
        <v>3427</v>
      </c>
      <c r="N743" t="s">
        <v>433</v>
      </c>
      <c r="O743" t="s">
        <v>53</v>
      </c>
      <c r="P743" t="s">
        <v>3428</v>
      </c>
      <c r="Q743" s="14" t="s">
        <v>158</v>
      </c>
      <c r="R743" t="s">
        <v>3416</v>
      </c>
      <c r="S743">
        <v>1</v>
      </c>
      <c r="T743">
        <v>4219</v>
      </c>
      <c r="U743">
        <v>0</v>
      </c>
      <c r="V743">
        <v>4219</v>
      </c>
    </row>
    <row r="744" spans="1:22" x14ac:dyDescent="0.25">
      <c r="A744">
        <v>187830</v>
      </c>
      <c r="B744">
        <v>130850994</v>
      </c>
      <c r="C744" t="s">
        <v>3429</v>
      </c>
      <c r="D744">
        <v>249359836</v>
      </c>
      <c r="E744" t="s">
        <v>3171</v>
      </c>
      <c r="F744" t="s">
        <v>431</v>
      </c>
      <c r="G744" t="s">
        <v>149</v>
      </c>
      <c r="H744" t="s">
        <v>150</v>
      </c>
      <c r="I744" t="s">
        <v>88</v>
      </c>
      <c r="J744" t="s">
        <v>151</v>
      </c>
      <c r="K744" t="s">
        <v>2</v>
      </c>
      <c r="L744" t="s">
        <v>3430</v>
      </c>
      <c r="M744" t="s">
        <v>3297</v>
      </c>
      <c r="N744" t="s">
        <v>433</v>
      </c>
      <c r="O744" t="s">
        <v>53</v>
      </c>
      <c r="P744" t="s">
        <v>3298</v>
      </c>
      <c r="Q744" s="14" t="s">
        <v>119</v>
      </c>
      <c r="R744" t="s">
        <v>3424</v>
      </c>
      <c r="S744">
        <v>1</v>
      </c>
      <c r="T744">
        <v>5749</v>
      </c>
      <c r="U744">
        <v>0</v>
      </c>
      <c r="V744">
        <v>5749</v>
      </c>
    </row>
    <row r="745" spans="1:22" x14ac:dyDescent="0.25">
      <c r="A745">
        <v>187830</v>
      </c>
      <c r="B745">
        <v>130703985</v>
      </c>
      <c r="C745" t="s">
        <v>3431</v>
      </c>
      <c r="D745">
        <v>249075038</v>
      </c>
      <c r="E745" t="s">
        <v>3171</v>
      </c>
      <c r="F745" t="s">
        <v>431</v>
      </c>
      <c r="G745" t="s">
        <v>149</v>
      </c>
      <c r="H745" t="s">
        <v>150</v>
      </c>
      <c r="I745" t="s">
        <v>88</v>
      </c>
      <c r="J745" t="s">
        <v>151</v>
      </c>
      <c r="K745" t="s">
        <v>2</v>
      </c>
      <c r="L745" t="s">
        <v>3432</v>
      </c>
      <c r="M745" t="s">
        <v>3433</v>
      </c>
      <c r="N745" t="s">
        <v>433</v>
      </c>
      <c r="O745" t="s">
        <v>53</v>
      </c>
      <c r="P745" t="s">
        <v>3434</v>
      </c>
      <c r="Q745" s="14" t="s">
        <v>128</v>
      </c>
      <c r="R745" t="s">
        <v>3435</v>
      </c>
      <c r="S745">
        <v>1</v>
      </c>
      <c r="T745">
        <v>7864</v>
      </c>
      <c r="U745">
        <v>0</v>
      </c>
      <c r="V745">
        <v>7864</v>
      </c>
    </row>
    <row r="746" spans="1:22" x14ac:dyDescent="0.25">
      <c r="A746">
        <v>187830</v>
      </c>
      <c r="B746">
        <v>130850995</v>
      </c>
      <c r="C746" t="s">
        <v>3436</v>
      </c>
      <c r="D746">
        <v>249359844</v>
      </c>
      <c r="E746" t="s">
        <v>3171</v>
      </c>
      <c r="F746" t="s">
        <v>431</v>
      </c>
      <c r="G746" t="s">
        <v>149</v>
      </c>
      <c r="H746" t="s">
        <v>150</v>
      </c>
      <c r="I746" t="s">
        <v>88</v>
      </c>
      <c r="J746" t="s">
        <v>151</v>
      </c>
      <c r="K746" t="s">
        <v>2</v>
      </c>
      <c r="L746" t="s">
        <v>3437</v>
      </c>
      <c r="M746" t="s">
        <v>3438</v>
      </c>
      <c r="N746" t="s">
        <v>433</v>
      </c>
      <c r="O746" t="s">
        <v>53</v>
      </c>
      <c r="P746" t="s">
        <v>3439</v>
      </c>
      <c r="Q746" s="14" t="s">
        <v>169</v>
      </c>
      <c r="R746" t="s">
        <v>3424</v>
      </c>
      <c r="S746">
        <v>0.44</v>
      </c>
      <c r="T746">
        <v>4853</v>
      </c>
      <c r="U746">
        <v>0</v>
      </c>
      <c r="V746">
        <v>4853</v>
      </c>
    </row>
    <row r="747" spans="1:22" x14ac:dyDescent="0.25">
      <c r="A747">
        <v>187830</v>
      </c>
      <c r="B747">
        <v>130788253</v>
      </c>
      <c r="C747" t="s">
        <v>3440</v>
      </c>
      <c r="D747">
        <v>249239384</v>
      </c>
      <c r="E747" t="s">
        <v>3171</v>
      </c>
      <c r="F747" t="s">
        <v>431</v>
      </c>
      <c r="G747" t="s">
        <v>149</v>
      </c>
      <c r="H747" t="s">
        <v>150</v>
      </c>
      <c r="I747" t="s">
        <v>88</v>
      </c>
      <c r="J747" t="s">
        <v>151</v>
      </c>
      <c r="K747" t="s">
        <v>2</v>
      </c>
      <c r="L747" t="s">
        <v>3441</v>
      </c>
      <c r="M747" t="s">
        <v>3269</v>
      </c>
      <c r="N747" t="s">
        <v>433</v>
      </c>
      <c r="O747" t="s">
        <v>53</v>
      </c>
      <c r="P747" t="s">
        <v>3334</v>
      </c>
      <c r="Q747" s="14" t="s">
        <v>170</v>
      </c>
      <c r="R747" t="s">
        <v>102</v>
      </c>
      <c r="S747">
        <v>1</v>
      </c>
      <c r="T747">
        <v>5749</v>
      </c>
      <c r="U747">
        <v>0</v>
      </c>
      <c r="V747">
        <v>5749</v>
      </c>
    </row>
    <row r="748" spans="1:22" x14ac:dyDescent="0.25">
      <c r="A748">
        <v>187830</v>
      </c>
      <c r="B748">
        <v>130850999</v>
      </c>
      <c r="C748" t="s">
        <v>3442</v>
      </c>
      <c r="D748">
        <v>249359830</v>
      </c>
      <c r="E748" t="s">
        <v>3171</v>
      </c>
      <c r="F748" t="s">
        <v>431</v>
      </c>
      <c r="G748" t="s">
        <v>149</v>
      </c>
      <c r="H748" t="s">
        <v>150</v>
      </c>
      <c r="I748" t="s">
        <v>88</v>
      </c>
      <c r="J748" t="s">
        <v>151</v>
      </c>
      <c r="K748" t="s">
        <v>2</v>
      </c>
      <c r="L748" t="s">
        <v>3443</v>
      </c>
      <c r="M748" t="s">
        <v>3444</v>
      </c>
      <c r="N748" t="s">
        <v>433</v>
      </c>
      <c r="O748" t="s">
        <v>53</v>
      </c>
      <c r="P748" t="s">
        <v>3445</v>
      </c>
      <c r="Q748" s="14" t="s">
        <v>38</v>
      </c>
      <c r="R748" t="s">
        <v>3424</v>
      </c>
      <c r="S748">
        <v>1</v>
      </c>
      <c r="T748">
        <v>4669</v>
      </c>
      <c r="U748">
        <v>0</v>
      </c>
      <c r="V748">
        <v>4669</v>
      </c>
    </row>
    <row r="749" spans="1:22" x14ac:dyDescent="0.25">
      <c r="A749">
        <v>187830</v>
      </c>
      <c r="B749">
        <v>130788250</v>
      </c>
      <c r="C749" t="s">
        <v>3446</v>
      </c>
      <c r="D749">
        <v>249239336</v>
      </c>
      <c r="E749" t="s">
        <v>3171</v>
      </c>
      <c r="F749" t="s">
        <v>431</v>
      </c>
      <c r="G749" t="s">
        <v>149</v>
      </c>
      <c r="H749" t="s">
        <v>150</v>
      </c>
      <c r="I749" t="s">
        <v>88</v>
      </c>
      <c r="J749" t="s">
        <v>151</v>
      </c>
      <c r="K749" t="s">
        <v>2</v>
      </c>
      <c r="L749" t="s">
        <v>3447</v>
      </c>
      <c r="M749" t="s">
        <v>3448</v>
      </c>
      <c r="N749" t="s">
        <v>433</v>
      </c>
      <c r="O749" t="s">
        <v>53</v>
      </c>
      <c r="P749" t="s">
        <v>3449</v>
      </c>
      <c r="Q749" s="14" t="s">
        <v>120</v>
      </c>
      <c r="R749" t="s">
        <v>102</v>
      </c>
      <c r="S749">
        <v>1</v>
      </c>
      <c r="T749">
        <v>5153</v>
      </c>
      <c r="U749">
        <v>0</v>
      </c>
      <c r="V749">
        <v>5153</v>
      </c>
    </row>
    <row r="750" spans="1:22" x14ac:dyDescent="0.25">
      <c r="A750">
        <v>187830</v>
      </c>
      <c r="B750">
        <v>130788251</v>
      </c>
      <c r="C750" t="s">
        <v>3450</v>
      </c>
      <c r="D750">
        <v>249239354</v>
      </c>
      <c r="E750" t="s">
        <v>3171</v>
      </c>
      <c r="F750" t="s">
        <v>431</v>
      </c>
      <c r="G750" t="s">
        <v>149</v>
      </c>
      <c r="H750" t="s">
        <v>150</v>
      </c>
      <c r="I750" t="s">
        <v>88</v>
      </c>
      <c r="J750" t="s">
        <v>151</v>
      </c>
      <c r="K750" t="s">
        <v>2</v>
      </c>
      <c r="L750" t="s">
        <v>3451</v>
      </c>
      <c r="M750" t="s">
        <v>3452</v>
      </c>
      <c r="N750" t="s">
        <v>433</v>
      </c>
      <c r="O750" t="s">
        <v>53</v>
      </c>
      <c r="P750" t="s">
        <v>3453</v>
      </c>
      <c r="Q750" s="14" t="s">
        <v>163</v>
      </c>
      <c r="R750" t="s">
        <v>102</v>
      </c>
      <c r="S750">
        <v>0.6</v>
      </c>
      <c r="T750">
        <v>4219</v>
      </c>
      <c r="U750">
        <v>0</v>
      </c>
      <c r="V750">
        <v>4219</v>
      </c>
    </row>
    <row r="751" spans="1:22" x14ac:dyDescent="0.25">
      <c r="A751">
        <v>187830</v>
      </c>
      <c r="B751">
        <v>130748633</v>
      </c>
      <c r="C751" t="s">
        <v>3454</v>
      </c>
      <c r="D751">
        <v>249155698</v>
      </c>
      <c r="E751" t="s">
        <v>3171</v>
      </c>
      <c r="F751" t="s">
        <v>431</v>
      </c>
      <c r="G751" t="s">
        <v>149</v>
      </c>
      <c r="H751" t="s">
        <v>150</v>
      </c>
      <c r="I751" t="s">
        <v>88</v>
      </c>
      <c r="J751" t="s">
        <v>151</v>
      </c>
      <c r="K751" t="s">
        <v>2</v>
      </c>
      <c r="L751" t="s">
        <v>3455</v>
      </c>
      <c r="M751" t="s">
        <v>3456</v>
      </c>
      <c r="N751" t="s">
        <v>433</v>
      </c>
      <c r="O751" t="s">
        <v>53</v>
      </c>
      <c r="P751" t="s">
        <v>3457</v>
      </c>
      <c r="Q751" s="14" t="s">
        <v>129</v>
      </c>
      <c r="R751" t="s">
        <v>412</v>
      </c>
      <c r="S751">
        <v>1</v>
      </c>
      <c r="T751">
        <v>7212</v>
      </c>
      <c r="U751">
        <v>0</v>
      </c>
      <c r="V751">
        <v>7212</v>
      </c>
    </row>
    <row r="752" spans="1:22" x14ac:dyDescent="0.25">
      <c r="A752">
        <v>187830</v>
      </c>
      <c r="B752">
        <v>130788254</v>
      </c>
      <c r="C752" t="s">
        <v>3458</v>
      </c>
      <c r="D752">
        <v>249239355</v>
      </c>
      <c r="E752" t="s">
        <v>3171</v>
      </c>
      <c r="F752" t="s">
        <v>431</v>
      </c>
      <c r="G752" t="s">
        <v>149</v>
      </c>
      <c r="H752" t="s">
        <v>150</v>
      </c>
      <c r="I752" t="s">
        <v>88</v>
      </c>
      <c r="J752" t="s">
        <v>151</v>
      </c>
      <c r="K752" t="s">
        <v>2</v>
      </c>
      <c r="L752" t="s">
        <v>3459</v>
      </c>
      <c r="M752" t="s">
        <v>339</v>
      </c>
      <c r="N752" t="s">
        <v>433</v>
      </c>
      <c r="O752" t="s">
        <v>53</v>
      </c>
      <c r="P752" t="s">
        <v>3460</v>
      </c>
      <c r="Q752" s="14" t="s">
        <v>177</v>
      </c>
      <c r="R752" t="s">
        <v>102</v>
      </c>
      <c r="S752">
        <v>1</v>
      </c>
      <c r="T752">
        <v>4973</v>
      </c>
      <c r="U752">
        <v>0</v>
      </c>
      <c r="V752">
        <v>4973</v>
      </c>
    </row>
    <row r="753" spans="1:22" x14ac:dyDescent="0.25">
      <c r="A753">
        <v>187830</v>
      </c>
      <c r="B753">
        <v>130748630</v>
      </c>
      <c r="C753" t="s">
        <v>3461</v>
      </c>
      <c r="D753">
        <v>249155663</v>
      </c>
      <c r="E753" t="s">
        <v>3171</v>
      </c>
      <c r="F753" t="s">
        <v>431</v>
      </c>
      <c r="G753" t="s">
        <v>149</v>
      </c>
      <c r="H753" t="s">
        <v>150</v>
      </c>
      <c r="I753" t="s">
        <v>88</v>
      </c>
      <c r="J753" t="s">
        <v>151</v>
      </c>
      <c r="K753" t="s">
        <v>2</v>
      </c>
      <c r="L753" t="s">
        <v>3462</v>
      </c>
      <c r="M753" t="s">
        <v>3463</v>
      </c>
      <c r="N753" t="s">
        <v>433</v>
      </c>
      <c r="O753" t="s">
        <v>53</v>
      </c>
      <c r="P753" t="s">
        <v>3464</v>
      </c>
      <c r="Q753" s="14" t="s">
        <v>38</v>
      </c>
      <c r="R753" t="s">
        <v>412</v>
      </c>
      <c r="S753">
        <v>1</v>
      </c>
      <c r="T753">
        <v>4669</v>
      </c>
      <c r="U753">
        <v>0</v>
      </c>
      <c r="V753">
        <v>4669</v>
      </c>
    </row>
    <row r="754" spans="1:22" x14ac:dyDescent="0.25">
      <c r="A754">
        <v>187830</v>
      </c>
      <c r="B754">
        <v>130748628</v>
      </c>
      <c r="C754" t="s">
        <v>3465</v>
      </c>
      <c r="D754">
        <v>249155595</v>
      </c>
      <c r="E754" t="s">
        <v>3171</v>
      </c>
      <c r="F754" t="s">
        <v>431</v>
      </c>
      <c r="G754" t="s">
        <v>149</v>
      </c>
      <c r="H754" t="s">
        <v>150</v>
      </c>
      <c r="I754" t="s">
        <v>88</v>
      </c>
      <c r="J754" t="s">
        <v>151</v>
      </c>
      <c r="K754" t="s">
        <v>2</v>
      </c>
      <c r="L754" t="s">
        <v>3466</v>
      </c>
      <c r="M754" t="s">
        <v>3467</v>
      </c>
      <c r="N754" t="s">
        <v>433</v>
      </c>
      <c r="O754" t="s">
        <v>53</v>
      </c>
      <c r="P754" t="s">
        <v>3468</v>
      </c>
      <c r="Q754" s="14" t="s">
        <v>107</v>
      </c>
      <c r="R754" t="s">
        <v>412</v>
      </c>
      <c r="S754">
        <v>0.74</v>
      </c>
      <c r="T754">
        <v>6132</v>
      </c>
      <c r="U754">
        <v>0</v>
      </c>
      <c r="V754">
        <v>6132</v>
      </c>
    </row>
    <row r="755" spans="1:22" x14ac:dyDescent="0.25">
      <c r="A755">
        <v>187830</v>
      </c>
      <c r="B755">
        <v>130748626</v>
      </c>
      <c r="C755" t="s">
        <v>3469</v>
      </c>
      <c r="D755">
        <v>249155710</v>
      </c>
      <c r="E755" t="s">
        <v>3171</v>
      </c>
      <c r="F755" t="s">
        <v>431</v>
      </c>
      <c r="G755" t="s">
        <v>149</v>
      </c>
      <c r="H755" t="s">
        <v>150</v>
      </c>
      <c r="I755" t="s">
        <v>88</v>
      </c>
      <c r="J755" t="s">
        <v>151</v>
      </c>
      <c r="K755" t="s">
        <v>2</v>
      </c>
      <c r="L755" t="s">
        <v>3470</v>
      </c>
      <c r="M755" t="s">
        <v>3471</v>
      </c>
      <c r="N755" t="s">
        <v>433</v>
      </c>
      <c r="O755" t="s">
        <v>53</v>
      </c>
      <c r="P755" t="s">
        <v>3472</v>
      </c>
      <c r="Q755" s="14" t="s">
        <v>113</v>
      </c>
      <c r="R755" t="s">
        <v>412</v>
      </c>
      <c r="S755">
        <v>1</v>
      </c>
      <c r="T755">
        <v>4973</v>
      </c>
      <c r="U755">
        <v>0</v>
      </c>
      <c r="V755">
        <v>4973</v>
      </c>
    </row>
    <row r="756" spans="1:22" x14ac:dyDescent="0.25">
      <c r="A756">
        <v>187830</v>
      </c>
      <c r="B756">
        <v>130703992</v>
      </c>
      <c r="C756" t="s">
        <v>3473</v>
      </c>
      <c r="D756">
        <v>249075014</v>
      </c>
      <c r="E756" t="s">
        <v>3171</v>
      </c>
      <c r="F756" t="s">
        <v>431</v>
      </c>
      <c r="G756" t="s">
        <v>149</v>
      </c>
      <c r="H756" t="s">
        <v>150</v>
      </c>
      <c r="I756" t="s">
        <v>88</v>
      </c>
      <c r="J756" t="s">
        <v>151</v>
      </c>
      <c r="K756" t="s">
        <v>2</v>
      </c>
      <c r="L756" t="s">
        <v>3474</v>
      </c>
      <c r="M756" t="s">
        <v>3475</v>
      </c>
      <c r="N756" t="s">
        <v>433</v>
      </c>
      <c r="O756" t="s">
        <v>53</v>
      </c>
      <c r="P756" t="s">
        <v>3476</v>
      </c>
      <c r="Q756" s="14" t="s">
        <v>119</v>
      </c>
      <c r="R756" t="s">
        <v>3435</v>
      </c>
      <c r="S756">
        <v>1</v>
      </c>
      <c r="T756">
        <v>5749</v>
      </c>
      <c r="U756">
        <v>0</v>
      </c>
      <c r="V756">
        <v>5749</v>
      </c>
    </row>
    <row r="757" spans="1:22" x14ac:dyDescent="0.25">
      <c r="A757">
        <v>187830</v>
      </c>
      <c r="B757">
        <v>130703988</v>
      </c>
      <c r="C757" t="s">
        <v>3477</v>
      </c>
      <c r="D757">
        <v>249075015</v>
      </c>
      <c r="E757" t="s">
        <v>3171</v>
      </c>
      <c r="F757" t="s">
        <v>431</v>
      </c>
      <c r="G757" t="s">
        <v>149</v>
      </c>
      <c r="H757" t="s">
        <v>150</v>
      </c>
      <c r="I757" t="s">
        <v>88</v>
      </c>
      <c r="J757" t="s">
        <v>151</v>
      </c>
      <c r="K757" t="s">
        <v>2</v>
      </c>
      <c r="L757" t="s">
        <v>3478</v>
      </c>
      <c r="M757" t="s">
        <v>3479</v>
      </c>
      <c r="N757" t="s">
        <v>433</v>
      </c>
      <c r="O757" t="s">
        <v>53</v>
      </c>
      <c r="P757" t="s">
        <v>3480</v>
      </c>
      <c r="Q757" s="14" t="s">
        <v>142</v>
      </c>
      <c r="R757" t="s">
        <v>3435</v>
      </c>
      <c r="S757">
        <v>1</v>
      </c>
      <c r="T757">
        <v>4219</v>
      </c>
      <c r="U757">
        <v>0</v>
      </c>
      <c r="V757">
        <v>4219</v>
      </c>
    </row>
    <row r="758" spans="1:22" x14ac:dyDescent="0.25">
      <c r="A758">
        <v>187830</v>
      </c>
      <c r="B758">
        <v>130703986</v>
      </c>
      <c r="C758" t="s">
        <v>3481</v>
      </c>
      <c r="D758">
        <v>249075042</v>
      </c>
      <c r="E758" t="s">
        <v>3171</v>
      </c>
      <c r="F758" t="s">
        <v>431</v>
      </c>
      <c r="G758" t="s">
        <v>149</v>
      </c>
      <c r="H758" t="s">
        <v>150</v>
      </c>
      <c r="I758" t="s">
        <v>88</v>
      </c>
      <c r="J758" t="s">
        <v>151</v>
      </c>
      <c r="K758" t="s">
        <v>2</v>
      </c>
      <c r="L758" t="s">
        <v>3482</v>
      </c>
      <c r="M758" t="s">
        <v>3483</v>
      </c>
      <c r="N758" t="s">
        <v>433</v>
      </c>
      <c r="O758" t="s">
        <v>53</v>
      </c>
      <c r="P758" t="s">
        <v>3484</v>
      </c>
      <c r="Q758" s="14" t="s">
        <v>122</v>
      </c>
      <c r="R758" t="s">
        <v>3435</v>
      </c>
      <c r="S758">
        <v>1</v>
      </c>
      <c r="T758">
        <v>4973</v>
      </c>
      <c r="U758">
        <v>0</v>
      </c>
      <c r="V758">
        <v>4973</v>
      </c>
    </row>
    <row r="759" spans="1:22" x14ac:dyDescent="0.25">
      <c r="A759">
        <v>187830</v>
      </c>
      <c r="B759">
        <v>130748631</v>
      </c>
      <c r="C759" t="s">
        <v>3485</v>
      </c>
      <c r="D759">
        <v>249155668</v>
      </c>
      <c r="E759" t="s">
        <v>3171</v>
      </c>
      <c r="F759" t="s">
        <v>431</v>
      </c>
      <c r="G759" t="s">
        <v>149</v>
      </c>
      <c r="H759" t="s">
        <v>150</v>
      </c>
      <c r="I759" t="s">
        <v>88</v>
      </c>
      <c r="J759" t="s">
        <v>151</v>
      </c>
      <c r="K759" t="s">
        <v>2</v>
      </c>
      <c r="L759" t="s">
        <v>3486</v>
      </c>
      <c r="M759" t="s">
        <v>3487</v>
      </c>
      <c r="N759" t="s">
        <v>433</v>
      </c>
      <c r="O759" t="s">
        <v>53</v>
      </c>
      <c r="P759" t="s">
        <v>3488</v>
      </c>
      <c r="Q759" s="14" t="s">
        <v>104</v>
      </c>
      <c r="R759" t="s">
        <v>412</v>
      </c>
      <c r="S759">
        <v>1</v>
      </c>
      <c r="T759">
        <v>4737</v>
      </c>
      <c r="U759">
        <v>0</v>
      </c>
      <c r="V759">
        <v>4737</v>
      </c>
    </row>
    <row r="760" spans="1:22" x14ac:dyDescent="0.25">
      <c r="A760">
        <v>187830</v>
      </c>
      <c r="B760">
        <v>130562448</v>
      </c>
      <c r="C760" t="s">
        <v>3489</v>
      </c>
      <c r="D760">
        <v>248733802</v>
      </c>
      <c r="E760" t="s">
        <v>3171</v>
      </c>
      <c r="F760" t="s">
        <v>431</v>
      </c>
      <c r="G760" t="s">
        <v>149</v>
      </c>
      <c r="H760" t="s">
        <v>150</v>
      </c>
      <c r="I760" t="s">
        <v>88</v>
      </c>
      <c r="J760" t="s">
        <v>151</v>
      </c>
      <c r="K760" t="s">
        <v>2</v>
      </c>
      <c r="L760" t="s">
        <v>3490</v>
      </c>
      <c r="M760" t="s">
        <v>3491</v>
      </c>
      <c r="N760" t="s">
        <v>433</v>
      </c>
      <c r="O760" t="s">
        <v>53</v>
      </c>
      <c r="P760" t="s">
        <v>3492</v>
      </c>
      <c r="Q760" s="14" t="s">
        <v>97</v>
      </c>
      <c r="R760" t="s">
        <v>421</v>
      </c>
      <c r="S760">
        <v>0.46</v>
      </c>
      <c r="T760">
        <v>8415</v>
      </c>
      <c r="U760">
        <v>0</v>
      </c>
      <c r="V760">
        <v>8415</v>
      </c>
    </row>
    <row r="761" spans="1:22" x14ac:dyDescent="0.25">
      <c r="A761">
        <v>187830</v>
      </c>
      <c r="B761">
        <v>130681540</v>
      </c>
      <c r="C761" t="s">
        <v>3493</v>
      </c>
      <c r="D761">
        <v>249003784</v>
      </c>
      <c r="E761" t="s">
        <v>3171</v>
      </c>
      <c r="F761" t="s">
        <v>431</v>
      </c>
      <c r="G761" t="s">
        <v>149</v>
      </c>
      <c r="H761" t="s">
        <v>150</v>
      </c>
      <c r="I761" t="s">
        <v>88</v>
      </c>
      <c r="J761" t="s">
        <v>151</v>
      </c>
      <c r="K761" t="s">
        <v>2</v>
      </c>
      <c r="L761" t="s">
        <v>3494</v>
      </c>
      <c r="M761" t="s">
        <v>3322</v>
      </c>
      <c r="N761" t="s">
        <v>433</v>
      </c>
      <c r="O761" t="s">
        <v>53</v>
      </c>
      <c r="P761" t="s">
        <v>3323</v>
      </c>
      <c r="Q761" s="14" t="s">
        <v>93</v>
      </c>
      <c r="R761" t="s">
        <v>237</v>
      </c>
      <c r="S761">
        <v>0.22</v>
      </c>
      <c r="T761">
        <v>4737</v>
      </c>
      <c r="U761">
        <v>0</v>
      </c>
      <c r="V761">
        <v>4737</v>
      </c>
    </row>
    <row r="762" spans="1:22" x14ac:dyDescent="0.25">
      <c r="A762">
        <v>187830</v>
      </c>
      <c r="B762">
        <v>130437608</v>
      </c>
      <c r="C762" t="s">
        <v>3495</v>
      </c>
      <c r="D762">
        <v>248425064</v>
      </c>
      <c r="E762" t="s">
        <v>3171</v>
      </c>
      <c r="F762" t="s">
        <v>431</v>
      </c>
      <c r="G762" t="s">
        <v>149</v>
      </c>
      <c r="H762" t="s">
        <v>150</v>
      </c>
      <c r="I762" t="s">
        <v>88</v>
      </c>
      <c r="J762" t="s">
        <v>151</v>
      </c>
      <c r="K762" t="s">
        <v>2</v>
      </c>
      <c r="L762" t="s">
        <v>3496</v>
      </c>
      <c r="M762" t="s">
        <v>3497</v>
      </c>
      <c r="N762" t="s">
        <v>433</v>
      </c>
      <c r="O762" t="s">
        <v>53</v>
      </c>
      <c r="P762" t="s">
        <v>3498</v>
      </c>
      <c r="Q762" s="14" t="s">
        <v>168</v>
      </c>
      <c r="R762" t="s">
        <v>3499</v>
      </c>
      <c r="S762">
        <v>1</v>
      </c>
      <c r="T762">
        <v>6480</v>
      </c>
      <c r="U762">
        <v>0</v>
      </c>
      <c r="V762">
        <v>6480</v>
      </c>
    </row>
    <row r="763" spans="1:22" x14ac:dyDescent="0.25">
      <c r="A763">
        <v>187830</v>
      </c>
      <c r="B763">
        <v>130562453</v>
      </c>
      <c r="C763" t="s">
        <v>3500</v>
      </c>
      <c r="D763">
        <v>248733774</v>
      </c>
      <c r="E763" t="s">
        <v>3171</v>
      </c>
      <c r="F763" t="s">
        <v>431</v>
      </c>
      <c r="G763" t="s">
        <v>149</v>
      </c>
      <c r="H763" t="s">
        <v>150</v>
      </c>
      <c r="I763" t="s">
        <v>88</v>
      </c>
      <c r="J763" t="s">
        <v>151</v>
      </c>
      <c r="K763" t="s">
        <v>2</v>
      </c>
      <c r="L763" t="s">
        <v>3501</v>
      </c>
      <c r="M763" t="s">
        <v>3355</v>
      </c>
      <c r="N763" t="s">
        <v>433</v>
      </c>
      <c r="O763" t="s">
        <v>53</v>
      </c>
      <c r="P763" t="s">
        <v>3356</v>
      </c>
      <c r="Q763" s="14" t="s">
        <v>97</v>
      </c>
      <c r="R763" t="s">
        <v>421</v>
      </c>
      <c r="S763">
        <v>1</v>
      </c>
      <c r="T763">
        <v>8415</v>
      </c>
      <c r="U763">
        <v>0</v>
      </c>
      <c r="V763">
        <v>8415</v>
      </c>
    </row>
    <row r="764" spans="1:22" x14ac:dyDescent="0.25">
      <c r="A764">
        <v>187830</v>
      </c>
      <c r="B764">
        <v>130562388</v>
      </c>
      <c r="C764" t="s">
        <v>3502</v>
      </c>
      <c r="D764">
        <v>248733839</v>
      </c>
      <c r="E764" t="s">
        <v>3171</v>
      </c>
      <c r="F764" t="s">
        <v>431</v>
      </c>
      <c r="G764" t="s">
        <v>149</v>
      </c>
      <c r="H764" t="s">
        <v>150</v>
      </c>
      <c r="I764" t="s">
        <v>88</v>
      </c>
      <c r="J764" t="s">
        <v>151</v>
      </c>
      <c r="K764" t="s">
        <v>2</v>
      </c>
      <c r="L764" t="s">
        <v>3503</v>
      </c>
      <c r="M764" t="s">
        <v>3504</v>
      </c>
      <c r="N764" t="s">
        <v>433</v>
      </c>
      <c r="O764" t="s">
        <v>53</v>
      </c>
      <c r="P764" t="s">
        <v>3505</v>
      </c>
      <c r="Q764" s="14" t="s">
        <v>298</v>
      </c>
      <c r="R764" t="s">
        <v>3506</v>
      </c>
      <c r="S764">
        <v>1.03</v>
      </c>
      <c r="T764">
        <v>5040</v>
      </c>
      <c r="U764">
        <v>0</v>
      </c>
      <c r="V764">
        <v>5040</v>
      </c>
    </row>
    <row r="765" spans="1:22" x14ac:dyDescent="0.25">
      <c r="A765">
        <v>187830</v>
      </c>
      <c r="B765">
        <v>130181020</v>
      </c>
      <c r="C765" t="s">
        <v>3507</v>
      </c>
      <c r="D765">
        <v>248899089</v>
      </c>
      <c r="E765" t="s">
        <v>3171</v>
      </c>
      <c r="F765" t="s">
        <v>431</v>
      </c>
      <c r="G765" t="s">
        <v>149</v>
      </c>
      <c r="H765" t="s">
        <v>150</v>
      </c>
      <c r="I765" t="s">
        <v>88</v>
      </c>
      <c r="J765" t="s">
        <v>151</v>
      </c>
      <c r="K765" t="s">
        <v>2</v>
      </c>
      <c r="L765" t="s">
        <v>3508</v>
      </c>
      <c r="M765" t="s">
        <v>3509</v>
      </c>
      <c r="N765" t="s">
        <v>433</v>
      </c>
      <c r="O765" t="s">
        <v>53</v>
      </c>
      <c r="P765" t="s">
        <v>3510</v>
      </c>
      <c r="Q765" s="14" t="s">
        <v>137</v>
      </c>
      <c r="R765" t="s">
        <v>3511</v>
      </c>
      <c r="S765">
        <v>1</v>
      </c>
      <c r="T765">
        <v>4219</v>
      </c>
      <c r="U765">
        <v>0</v>
      </c>
      <c r="V765">
        <v>4219</v>
      </c>
    </row>
    <row r="766" spans="1:22" x14ac:dyDescent="0.25">
      <c r="A766">
        <v>187830</v>
      </c>
      <c r="B766">
        <v>130651399</v>
      </c>
      <c r="C766" t="s">
        <v>3512</v>
      </c>
      <c r="D766">
        <v>248933429</v>
      </c>
      <c r="E766" t="s">
        <v>3171</v>
      </c>
      <c r="F766" t="s">
        <v>431</v>
      </c>
      <c r="G766" t="s">
        <v>149</v>
      </c>
      <c r="H766" t="s">
        <v>150</v>
      </c>
      <c r="I766" t="s">
        <v>88</v>
      </c>
      <c r="J766" t="s">
        <v>151</v>
      </c>
      <c r="K766" t="s">
        <v>2</v>
      </c>
      <c r="L766" t="s">
        <v>3513</v>
      </c>
      <c r="M766" t="s">
        <v>3514</v>
      </c>
      <c r="N766" t="s">
        <v>433</v>
      </c>
      <c r="O766" t="s">
        <v>53</v>
      </c>
      <c r="P766" t="s">
        <v>3515</v>
      </c>
      <c r="Q766" s="14" t="s">
        <v>142</v>
      </c>
      <c r="R766" t="s">
        <v>3411</v>
      </c>
      <c r="S766">
        <v>1</v>
      </c>
      <c r="T766">
        <v>4219</v>
      </c>
      <c r="U766">
        <v>0</v>
      </c>
      <c r="V766">
        <v>4219</v>
      </c>
    </row>
    <row r="767" spans="1:22" x14ac:dyDescent="0.25">
      <c r="A767">
        <v>187830</v>
      </c>
      <c r="B767">
        <v>130181021</v>
      </c>
      <c r="C767" t="s">
        <v>3516</v>
      </c>
      <c r="D767">
        <v>248899093</v>
      </c>
      <c r="E767" t="s">
        <v>3171</v>
      </c>
      <c r="F767" t="s">
        <v>431</v>
      </c>
      <c r="G767" t="s">
        <v>149</v>
      </c>
      <c r="H767" t="s">
        <v>150</v>
      </c>
      <c r="I767" t="s">
        <v>88</v>
      </c>
      <c r="J767" t="s">
        <v>151</v>
      </c>
      <c r="K767" t="s">
        <v>2</v>
      </c>
      <c r="L767" t="s">
        <v>3517</v>
      </c>
      <c r="M767" t="s">
        <v>3518</v>
      </c>
      <c r="N767" t="s">
        <v>433</v>
      </c>
      <c r="O767" t="s">
        <v>53</v>
      </c>
      <c r="P767" t="s">
        <v>3519</v>
      </c>
      <c r="Q767" s="14" t="s">
        <v>91</v>
      </c>
      <c r="R767" t="s">
        <v>3511</v>
      </c>
      <c r="S767">
        <v>1</v>
      </c>
      <c r="T767">
        <v>4669</v>
      </c>
      <c r="U767">
        <v>0</v>
      </c>
      <c r="V767">
        <v>4669</v>
      </c>
    </row>
    <row r="768" spans="1:22" x14ac:dyDescent="0.25">
      <c r="A768">
        <v>187830</v>
      </c>
      <c r="B768">
        <v>130562458</v>
      </c>
      <c r="C768" t="s">
        <v>3520</v>
      </c>
      <c r="D768">
        <v>248733757</v>
      </c>
      <c r="E768" t="s">
        <v>3171</v>
      </c>
      <c r="F768" t="s">
        <v>431</v>
      </c>
      <c r="G768" t="s">
        <v>149</v>
      </c>
      <c r="H768" t="s">
        <v>150</v>
      </c>
      <c r="I768" t="s">
        <v>88</v>
      </c>
      <c r="J768" t="s">
        <v>151</v>
      </c>
      <c r="K768" t="s">
        <v>2</v>
      </c>
      <c r="L768" t="s">
        <v>3521</v>
      </c>
      <c r="M768" t="s">
        <v>3522</v>
      </c>
      <c r="N768" t="s">
        <v>433</v>
      </c>
      <c r="O768" t="s">
        <v>53</v>
      </c>
      <c r="P768" t="s">
        <v>3523</v>
      </c>
      <c r="Q768" s="14" t="s">
        <v>97</v>
      </c>
      <c r="R768" t="s">
        <v>421</v>
      </c>
      <c r="S768">
        <v>1</v>
      </c>
      <c r="T768">
        <v>8415</v>
      </c>
      <c r="U768">
        <v>0</v>
      </c>
      <c r="V768">
        <v>8415</v>
      </c>
    </row>
    <row r="769" spans="1:22" x14ac:dyDescent="0.25">
      <c r="A769">
        <v>187830</v>
      </c>
      <c r="B769">
        <v>130562467</v>
      </c>
      <c r="C769" t="s">
        <v>3524</v>
      </c>
      <c r="D769">
        <v>248733761</v>
      </c>
      <c r="E769" t="s">
        <v>3171</v>
      </c>
      <c r="F769" t="s">
        <v>431</v>
      </c>
      <c r="G769" t="s">
        <v>149</v>
      </c>
      <c r="H769" t="s">
        <v>150</v>
      </c>
      <c r="I769" t="s">
        <v>88</v>
      </c>
      <c r="J769" t="s">
        <v>151</v>
      </c>
      <c r="K769" t="s">
        <v>2</v>
      </c>
      <c r="L769" t="s">
        <v>3525</v>
      </c>
      <c r="M769" t="s">
        <v>3526</v>
      </c>
      <c r="N769" t="s">
        <v>433</v>
      </c>
      <c r="O769" t="s">
        <v>53</v>
      </c>
      <c r="P769" t="s">
        <v>3527</v>
      </c>
      <c r="Q769" s="14" t="s">
        <v>167</v>
      </c>
      <c r="R769" t="s">
        <v>421</v>
      </c>
      <c r="S769">
        <v>1</v>
      </c>
      <c r="T769">
        <v>7212</v>
      </c>
      <c r="U769">
        <v>0</v>
      </c>
      <c r="V769">
        <v>7212</v>
      </c>
    </row>
    <row r="770" spans="1:22" x14ac:dyDescent="0.25">
      <c r="A770">
        <v>187830</v>
      </c>
      <c r="B770">
        <v>130001034</v>
      </c>
      <c r="C770" t="s">
        <v>3528</v>
      </c>
      <c r="D770">
        <v>247327703</v>
      </c>
      <c r="E770" t="s">
        <v>3171</v>
      </c>
      <c r="F770" t="s">
        <v>431</v>
      </c>
      <c r="G770" t="s">
        <v>149</v>
      </c>
      <c r="H770" t="s">
        <v>150</v>
      </c>
      <c r="I770" t="s">
        <v>88</v>
      </c>
      <c r="J770" t="s">
        <v>151</v>
      </c>
      <c r="K770" t="s">
        <v>2</v>
      </c>
      <c r="L770" t="s">
        <v>3525</v>
      </c>
      <c r="M770" t="s">
        <v>3529</v>
      </c>
      <c r="N770" t="s">
        <v>433</v>
      </c>
      <c r="O770" t="s">
        <v>53</v>
      </c>
      <c r="P770" t="s">
        <v>3530</v>
      </c>
      <c r="Q770" s="14" t="s">
        <v>167</v>
      </c>
      <c r="R770" t="s">
        <v>3531</v>
      </c>
      <c r="S770">
        <v>1</v>
      </c>
      <c r="T770">
        <v>7212</v>
      </c>
      <c r="U770">
        <v>0</v>
      </c>
      <c r="V770">
        <v>7212</v>
      </c>
    </row>
    <row r="771" spans="1:22" x14ac:dyDescent="0.25">
      <c r="A771">
        <v>187830</v>
      </c>
      <c r="B771">
        <v>130651403</v>
      </c>
      <c r="C771" t="s">
        <v>3532</v>
      </c>
      <c r="D771">
        <v>248933418</v>
      </c>
      <c r="E771" t="s">
        <v>3171</v>
      </c>
      <c r="F771" t="s">
        <v>431</v>
      </c>
      <c r="G771" t="s">
        <v>149</v>
      </c>
      <c r="H771" t="s">
        <v>150</v>
      </c>
      <c r="I771" t="s">
        <v>88</v>
      </c>
      <c r="J771" t="s">
        <v>151</v>
      </c>
      <c r="K771" t="s">
        <v>2</v>
      </c>
      <c r="L771" t="s">
        <v>3533</v>
      </c>
      <c r="M771" t="s">
        <v>190</v>
      </c>
      <c r="N771" t="s">
        <v>433</v>
      </c>
      <c r="O771" t="s">
        <v>53</v>
      </c>
      <c r="P771" t="s">
        <v>3534</v>
      </c>
      <c r="Q771" s="14" t="s">
        <v>122</v>
      </c>
      <c r="R771" t="s">
        <v>3411</v>
      </c>
      <c r="S771">
        <v>1</v>
      </c>
      <c r="T771">
        <v>4973</v>
      </c>
      <c r="U771">
        <v>0</v>
      </c>
      <c r="V771">
        <v>4973</v>
      </c>
    </row>
    <row r="772" spans="1:22" x14ac:dyDescent="0.25">
      <c r="A772">
        <v>187830</v>
      </c>
      <c r="B772">
        <v>130562460</v>
      </c>
      <c r="C772" t="s">
        <v>3535</v>
      </c>
      <c r="D772">
        <v>248733755</v>
      </c>
      <c r="E772" t="s">
        <v>3171</v>
      </c>
      <c r="F772" t="s">
        <v>431</v>
      </c>
      <c r="G772" t="s">
        <v>149</v>
      </c>
      <c r="H772" t="s">
        <v>150</v>
      </c>
      <c r="I772" t="s">
        <v>88</v>
      </c>
      <c r="J772" t="s">
        <v>151</v>
      </c>
      <c r="K772" t="s">
        <v>2</v>
      </c>
      <c r="L772" t="s">
        <v>3536</v>
      </c>
      <c r="M772" t="s">
        <v>342</v>
      </c>
      <c r="N772" t="s">
        <v>433</v>
      </c>
      <c r="O772" t="s">
        <v>53</v>
      </c>
      <c r="P772" t="s">
        <v>3537</v>
      </c>
      <c r="Q772" s="14" t="s">
        <v>137</v>
      </c>
      <c r="R772" t="s">
        <v>421</v>
      </c>
      <c r="S772">
        <v>1.0900000000000001</v>
      </c>
      <c r="T772">
        <v>4467</v>
      </c>
      <c r="U772">
        <v>0</v>
      </c>
      <c r="V772">
        <v>4467</v>
      </c>
    </row>
    <row r="773" spans="1:22" x14ac:dyDescent="0.25">
      <c r="A773">
        <v>187830</v>
      </c>
      <c r="B773">
        <v>130562396</v>
      </c>
      <c r="C773" t="s">
        <v>3538</v>
      </c>
      <c r="D773">
        <v>248733794</v>
      </c>
      <c r="E773" t="s">
        <v>3171</v>
      </c>
      <c r="F773" t="s">
        <v>431</v>
      </c>
      <c r="G773" t="s">
        <v>149</v>
      </c>
      <c r="H773" t="s">
        <v>150</v>
      </c>
      <c r="I773" t="s">
        <v>88</v>
      </c>
      <c r="J773" t="s">
        <v>151</v>
      </c>
      <c r="K773" t="s">
        <v>2</v>
      </c>
      <c r="L773" t="s">
        <v>3539</v>
      </c>
      <c r="M773" t="s">
        <v>3540</v>
      </c>
      <c r="N773" t="s">
        <v>433</v>
      </c>
      <c r="O773" t="s">
        <v>53</v>
      </c>
      <c r="P773" t="s">
        <v>3541</v>
      </c>
      <c r="Q773" s="14" t="s">
        <v>165</v>
      </c>
      <c r="R773" t="s">
        <v>3506</v>
      </c>
      <c r="S773">
        <v>1</v>
      </c>
      <c r="T773">
        <v>11498</v>
      </c>
      <c r="U773">
        <v>0</v>
      </c>
      <c r="V773">
        <v>11498</v>
      </c>
    </row>
    <row r="774" spans="1:22" x14ac:dyDescent="0.25">
      <c r="A774">
        <v>187830</v>
      </c>
      <c r="B774">
        <v>130472148</v>
      </c>
      <c r="C774" t="s">
        <v>3542</v>
      </c>
      <c r="D774">
        <v>248509578</v>
      </c>
      <c r="E774" t="s">
        <v>3171</v>
      </c>
      <c r="F774" t="s">
        <v>431</v>
      </c>
      <c r="G774" t="s">
        <v>149</v>
      </c>
      <c r="H774" t="s">
        <v>150</v>
      </c>
      <c r="I774" t="s">
        <v>88</v>
      </c>
      <c r="J774" t="s">
        <v>151</v>
      </c>
      <c r="K774" t="s">
        <v>2</v>
      </c>
      <c r="L774" t="s">
        <v>3539</v>
      </c>
      <c r="M774" t="s">
        <v>3540</v>
      </c>
      <c r="N774" t="s">
        <v>433</v>
      </c>
      <c r="O774" t="s">
        <v>53</v>
      </c>
      <c r="P774" t="s">
        <v>3541</v>
      </c>
      <c r="Q774" s="14" t="s">
        <v>165</v>
      </c>
      <c r="R774" t="s">
        <v>3543</v>
      </c>
      <c r="S774">
        <v>1</v>
      </c>
      <c r="T774">
        <v>11498</v>
      </c>
      <c r="U774">
        <v>0</v>
      </c>
      <c r="V774">
        <v>11498</v>
      </c>
    </row>
    <row r="775" spans="1:22" x14ac:dyDescent="0.25">
      <c r="A775">
        <v>187830</v>
      </c>
      <c r="B775">
        <v>130563304</v>
      </c>
      <c r="C775" t="s">
        <v>3544</v>
      </c>
      <c r="D775">
        <v>248812360</v>
      </c>
      <c r="E775" t="s">
        <v>3171</v>
      </c>
      <c r="F775" t="s">
        <v>431</v>
      </c>
      <c r="G775" t="s">
        <v>149</v>
      </c>
      <c r="H775" t="s">
        <v>150</v>
      </c>
      <c r="I775" t="s">
        <v>88</v>
      </c>
      <c r="J775" t="s">
        <v>151</v>
      </c>
      <c r="K775" t="s">
        <v>2</v>
      </c>
      <c r="L775" t="s">
        <v>3545</v>
      </c>
      <c r="M775" t="s">
        <v>3546</v>
      </c>
      <c r="N775" t="s">
        <v>433</v>
      </c>
      <c r="O775" t="s">
        <v>53</v>
      </c>
      <c r="P775" t="s">
        <v>3547</v>
      </c>
      <c r="Q775" s="14" t="s">
        <v>38</v>
      </c>
      <c r="R775" t="s">
        <v>3548</v>
      </c>
      <c r="S775">
        <v>1.25</v>
      </c>
      <c r="T775">
        <v>5040</v>
      </c>
      <c r="U775">
        <v>0</v>
      </c>
      <c r="V775">
        <v>5040</v>
      </c>
    </row>
    <row r="776" spans="1:22" x14ac:dyDescent="0.25">
      <c r="A776">
        <v>187830</v>
      </c>
      <c r="B776">
        <v>130562466</v>
      </c>
      <c r="C776" t="s">
        <v>3549</v>
      </c>
      <c r="D776">
        <v>248733751</v>
      </c>
      <c r="E776" t="s">
        <v>3171</v>
      </c>
      <c r="F776" t="s">
        <v>431</v>
      </c>
      <c r="G776" t="s">
        <v>149</v>
      </c>
      <c r="H776" t="s">
        <v>150</v>
      </c>
      <c r="I776" t="s">
        <v>88</v>
      </c>
      <c r="J776" t="s">
        <v>151</v>
      </c>
      <c r="K776" t="s">
        <v>2</v>
      </c>
      <c r="L776" t="s">
        <v>3550</v>
      </c>
      <c r="M776" t="s">
        <v>3551</v>
      </c>
      <c r="N776" t="s">
        <v>433</v>
      </c>
      <c r="O776" t="s">
        <v>53</v>
      </c>
      <c r="P776" t="s">
        <v>3552</v>
      </c>
      <c r="Q776" s="14" t="s">
        <v>131</v>
      </c>
      <c r="R776" t="s">
        <v>421</v>
      </c>
      <c r="S776">
        <v>1.0900000000000001</v>
      </c>
      <c r="T776">
        <v>5569</v>
      </c>
      <c r="U776">
        <v>0</v>
      </c>
      <c r="V776">
        <v>5569</v>
      </c>
    </row>
    <row r="777" spans="1:22" x14ac:dyDescent="0.25">
      <c r="A777">
        <v>187830</v>
      </c>
      <c r="B777">
        <v>130651402</v>
      </c>
      <c r="C777" t="s">
        <v>3553</v>
      </c>
      <c r="D777">
        <v>248933413</v>
      </c>
      <c r="E777" t="s">
        <v>3171</v>
      </c>
      <c r="F777" t="s">
        <v>431</v>
      </c>
      <c r="G777" t="s">
        <v>149</v>
      </c>
      <c r="H777" t="s">
        <v>150</v>
      </c>
      <c r="I777" t="s">
        <v>88</v>
      </c>
      <c r="J777" t="s">
        <v>151</v>
      </c>
      <c r="K777" t="s">
        <v>2</v>
      </c>
      <c r="L777" t="s">
        <v>3554</v>
      </c>
      <c r="M777" t="s">
        <v>3555</v>
      </c>
      <c r="N777" t="s">
        <v>433</v>
      </c>
      <c r="O777" t="s">
        <v>53</v>
      </c>
      <c r="P777" t="s">
        <v>3556</v>
      </c>
      <c r="Q777" s="14" t="s">
        <v>93</v>
      </c>
      <c r="R777" t="s">
        <v>3411</v>
      </c>
      <c r="S777">
        <v>1</v>
      </c>
      <c r="T777">
        <v>4737</v>
      </c>
      <c r="U777">
        <v>0</v>
      </c>
      <c r="V777">
        <v>4737</v>
      </c>
    </row>
    <row r="778" spans="1:22" x14ac:dyDescent="0.25">
      <c r="A778">
        <v>187830</v>
      </c>
      <c r="B778">
        <v>130562397</v>
      </c>
      <c r="C778" t="s">
        <v>3557</v>
      </c>
      <c r="D778">
        <v>248733793</v>
      </c>
      <c r="E778" t="s">
        <v>3171</v>
      </c>
      <c r="F778" t="s">
        <v>431</v>
      </c>
      <c r="G778" t="s">
        <v>149</v>
      </c>
      <c r="H778" t="s">
        <v>150</v>
      </c>
      <c r="I778" t="s">
        <v>88</v>
      </c>
      <c r="J778" t="s">
        <v>151</v>
      </c>
      <c r="K778" t="s">
        <v>2</v>
      </c>
      <c r="L778" t="s">
        <v>3558</v>
      </c>
      <c r="M778" t="s">
        <v>3559</v>
      </c>
      <c r="N778" t="s">
        <v>433</v>
      </c>
      <c r="O778" t="s">
        <v>53</v>
      </c>
      <c r="P778" t="s">
        <v>3560</v>
      </c>
      <c r="Q778" s="14" t="s">
        <v>109</v>
      </c>
      <c r="R778" t="s">
        <v>3506</v>
      </c>
      <c r="S778">
        <v>1.22</v>
      </c>
      <c r="T778">
        <v>5040</v>
      </c>
      <c r="U778">
        <v>0</v>
      </c>
      <c r="V778">
        <v>5040</v>
      </c>
    </row>
    <row r="779" spans="1:22" x14ac:dyDescent="0.25">
      <c r="A779">
        <v>187830</v>
      </c>
      <c r="B779">
        <v>130562463</v>
      </c>
      <c r="C779" t="s">
        <v>3561</v>
      </c>
      <c r="D779">
        <v>248733753</v>
      </c>
      <c r="E779" t="s">
        <v>3171</v>
      </c>
      <c r="F779" t="s">
        <v>431</v>
      </c>
      <c r="G779" t="s">
        <v>149</v>
      </c>
      <c r="H779" t="s">
        <v>150</v>
      </c>
      <c r="I779" t="s">
        <v>88</v>
      </c>
      <c r="J779" t="s">
        <v>151</v>
      </c>
      <c r="K779" t="s">
        <v>2</v>
      </c>
      <c r="L779" t="s">
        <v>3562</v>
      </c>
      <c r="M779" t="s">
        <v>3563</v>
      </c>
      <c r="N779" t="s">
        <v>433</v>
      </c>
      <c r="O779" t="s">
        <v>53</v>
      </c>
      <c r="P779" t="s">
        <v>3564</v>
      </c>
      <c r="Q779" s="14" t="s">
        <v>120</v>
      </c>
      <c r="R779" t="s">
        <v>421</v>
      </c>
      <c r="S779">
        <v>0.5</v>
      </c>
      <c r="T779">
        <v>5153</v>
      </c>
      <c r="U779">
        <v>0</v>
      </c>
      <c r="V779">
        <v>5153</v>
      </c>
    </row>
    <row r="780" spans="1:22" x14ac:dyDescent="0.25">
      <c r="A780">
        <v>187830</v>
      </c>
      <c r="B780">
        <v>130562462</v>
      </c>
      <c r="C780" t="s">
        <v>3565</v>
      </c>
      <c r="D780">
        <v>248733754</v>
      </c>
      <c r="E780" t="s">
        <v>3171</v>
      </c>
      <c r="F780" t="s">
        <v>431</v>
      </c>
      <c r="G780" t="s">
        <v>149</v>
      </c>
      <c r="H780" t="s">
        <v>150</v>
      </c>
      <c r="I780" t="s">
        <v>88</v>
      </c>
      <c r="J780" t="s">
        <v>151</v>
      </c>
      <c r="K780" t="s">
        <v>2</v>
      </c>
      <c r="L780" t="s">
        <v>3566</v>
      </c>
      <c r="M780" t="s">
        <v>3567</v>
      </c>
      <c r="N780" t="s">
        <v>433</v>
      </c>
      <c r="O780" t="s">
        <v>53</v>
      </c>
      <c r="P780" t="s">
        <v>3568</v>
      </c>
      <c r="Q780" s="14" t="s">
        <v>217</v>
      </c>
      <c r="R780" t="s">
        <v>421</v>
      </c>
      <c r="S780">
        <v>1</v>
      </c>
      <c r="T780">
        <v>4669</v>
      </c>
      <c r="U780">
        <v>0</v>
      </c>
      <c r="V780">
        <v>4669</v>
      </c>
    </row>
    <row r="781" spans="1:22" x14ac:dyDescent="0.25">
      <c r="A781">
        <v>187830</v>
      </c>
      <c r="B781">
        <v>130562389</v>
      </c>
      <c r="C781" t="s">
        <v>3569</v>
      </c>
      <c r="D781">
        <v>248733820</v>
      </c>
      <c r="E781" t="s">
        <v>3171</v>
      </c>
      <c r="F781" t="s">
        <v>431</v>
      </c>
      <c r="G781" t="s">
        <v>149</v>
      </c>
      <c r="H781" t="s">
        <v>150</v>
      </c>
      <c r="I781" t="s">
        <v>88</v>
      </c>
      <c r="J781" t="s">
        <v>151</v>
      </c>
      <c r="K781" t="s">
        <v>2</v>
      </c>
      <c r="L781" t="s">
        <v>3570</v>
      </c>
      <c r="M781" t="s">
        <v>190</v>
      </c>
      <c r="N781" t="s">
        <v>433</v>
      </c>
      <c r="O781" t="s">
        <v>53</v>
      </c>
      <c r="P781" t="s">
        <v>3534</v>
      </c>
      <c r="Q781" s="14" t="s">
        <v>122</v>
      </c>
      <c r="R781" t="s">
        <v>3506</v>
      </c>
      <c r="S781">
        <v>1</v>
      </c>
      <c r="T781">
        <v>4973</v>
      </c>
      <c r="U781">
        <v>0</v>
      </c>
      <c r="V781">
        <v>4973</v>
      </c>
    </row>
    <row r="782" spans="1:22" x14ac:dyDescent="0.25">
      <c r="A782">
        <v>187830</v>
      </c>
      <c r="B782">
        <v>130562457</v>
      </c>
      <c r="C782" t="s">
        <v>3571</v>
      </c>
      <c r="D782">
        <v>248733778</v>
      </c>
      <c r="E782" t="s">
        <v>3171</v>
      </c>
      <c r="F782" t="s">
        <v>431</v>
      </c>
      <c r="G782" t="s">
        <v>149</v>
      </c>
      <c r="H782" t="s">
        <v>150</v>
      </c>
      <c r="I782" t="s">
        <v>88</v>
      </c>
      <c r="J782" t="s">
        <v>151</v>
      </c>
      <c r="K782" t="s">
        <v>2</v>
      </c>
      <c r="L782" t="s">
        <v>3572</v>
      </c>
      <c r="M782" t="s">
        <v>3573</v>
      </c>
      <c r="N782" t="s">
        <v>433</v>
      </c>
      <c r="O782" t="s">
        <v>53</v>
      </c>
      <c r="P782" t="s">
        <v>3574</v>
      </c>
      <c r="Q782" s="14" t="s">
        <v>125</v>
      </c>
      <c r="R782" t="s">
        <v>421</v>
      </c>
      <c r="S782">
        <v>0.51</v>
      </c>
      <c r="T782">
        <v>4219</v>
      </c>
      <c r="U782">
        <v>0</v>
      </c>
      <c r="V782">
        <v>4219</v>
      </c>
    </row>
    <row r="783" spans="1:22" x14ac:dyDescent="0.25">
      <c r="A783">
        <v>187830</v>
      </c>
      <c r="B783">
        <v>130562390</v>
      </c>
      <c r="C783" t="s">
        <v>3575</v>
      </c>
      <c r="D783">
        <v>248733815</v>
      </c>
      <c r="E783" t="s">
        <v>3171</v>
      </c>
      <c r="F783" t="s">
        <v>431</v>
      </c>
      <c r="G783" t="s">
        <v>149</v>
      </c>
      <c r="H783" t="s">
        <v>150</v>
      </c>
      <c r="I783" t="s">
        <v>88</v>
      </c>
      <c r="J783" t="s">
        <v>151</v>
      </c>
      <c r="K783" t="s">
        <v>2</v>
      </c>
      <c r="L783" t="s">
        <v>3576</v>
      </c>
      <c r="M783" t="s">
        <v>3577</v>
      </c>
      <c r="N783" t="s">
        <v>433</v>
      </c>
      <c r="O783" t="s">
        <v>53</v>
      </c>
      <c r="P783" t="s">
        <v>3578</v>
      </c>
      <c r="Q783" s="14" t="s">
        <v>325</v>
      </c>
      <c r="R783" t="s">
        <v>3506</v>
      </c>
      <c r="S783">
        <v>1</v>
      </c>
      <c r="T783">
        <v>5153</v>
      </c>
      <c r="U783">
        <v>0</v>
      </c>
      <c r="V783">
        <v>5153</v>
      </c>
    </row>
    <row r="784" spans="1:22" x14ac:dyDescent="0.25">
      <c r="A784">
        <v>187830</v>
      </c>
      <c r="B784">
        <v>130562381</v>
      </c>
      <c r="C784" t="s">
        <v>3579</v>
      </c>
      <c r="D784">
        <v>248733835</v>
      </c>
      <c r="E784" t="s">
        <v>3171</v>
      </c>
      <c r="F784" t="s">
        <v>431</v>
      </c>
      <c r="G784" t="s">
        <v>149</v>
      </c>
      <c r="H784" t="s">
        <v>150</v>
      </c>
      <c r="I784" t="s">
        <v>88</v>
      </c>
      <c r="J784" t="s">
        <v>151</v>
      </c>
      <c r="K784" t="s">
        <v>2</v>
      </c>
      <c r="L784" t="s">
        <v>3580</v>
      </c>
      <c r="M784" t="s">
        <v>3581</v>
      </c>
      <c r="N784" t="s">
        <v>433</v>
      </c>
      <c r="O784" t="s">
        <v>53</v>
      </c>
      <c r="P784" t="s">
        <v>3582</v>
      </c>
      <c r="Q784" s="14" t="s">
        <v>100</v>
      </c>
      <c r="R784" t="s">
        <v>3506</v>
      </c>
      <c r="S784">
        <v>1</v>
      </c>
      <c r="T784">
        <v>5153</v>
      </c>
      <c r="U784">
        <v>0</v>
      </c>
      <c r="V784">
        <v>5153</v>
      </c>
    </row>
    <row r="785" spans="1:22" x14ac:dyDescent="0.25">
      <c r="A785">
        <v>187830</v>
      </c>
      <c r="B785">
        <v>130562456</v>
      </c>
      <c r="C785" t="s">
        <v>3583</v>
      </c>
      <c r="D785">
        <v>248733781</v>
      </c>
      <c r="E785" t="s">
        <v>3171</v>
      </c>
      <c r="F785" t="s">
        <v>431</v>
      </c>
      <c r="G785" t="s">
        <v>149</v>
      </c>
      <c r="H785" t="s">
        <v>150</v>
      </c>
      <c r="I785" t="s">
        <v>88</v>
      </c>
      <c r="J785" t="s">
        <v>151</v>
      </c>
      <c r="K785" t="s">
        <v>2</v>
      </c>
      <c r="L785" t="s">
        <v>3584</v>
      </c>
      <c r="M785" t="s">
        <v>3585</v>
      </c>
      <c r="N785" t="s">
        <v>433</v>
      </c>
      <c r="O785" t="s">
        <v>53</v>
      </c>
      <c r="P785" t="s">
        <v>3586</v>
      </c>
      <c r="Q785" s="14" t="s">
        <v>93</v>
      </c>
      <c r="R785" t="s">
        <v>421</v>
      </c>
      <c r="S785">
        <v>1</v>
      </c>
      <c r="T785">
        <v>4737</v>
      </c>
      <c r="U785">
        <v>0</v>
      </c>
      <c r="V785">
        <v>4737</v>
      </c>
    </row>
    <row r="786" spans="1:22" x14ac:dyDescent="0.25">
      <c r="A786">
        <v>187830</v>
      </c>
      <c r="B786">
        <v>130562450</v>
      </c>
      <c r="C786" t="s">
        <v>3587</v>
      </c>
      <c r="D786">
        <v>248733789</v>
      </c>
      <c r="E786" t="s">
        <v>3171</v>
      </c>
      <c r="F786" t="s">
        <v>431</v>
      </c>
      <c r="G786" t="s">
        <v>149</v>
      </c>
      <c r="H786" t="s">
        <v>150</v>
      </c>
      <c r="I786" t="s">
        <v>88</v>
      </c>
      <c r="J786" t="s">
        <v>151</v>
      </c>
      <c r="K786" t="s">
        <v>2</v>
      </c>
      <c r="L786" t="s">
        <v>3588</v>
      </c>
      <c r="M786" t="s">
        <v>335</v>
      </c>
      <c r="N786" t="s">
        <v>433</v>
      </c>
      <c r="O786" t="s">
        <v>53</v>
      </c>
      <c r="P786" t="s">
        <v>3589</v>
      </c>
      <c r="Q786" s="14" t="s">
        <v>93</v>
      </c>
      <c r="R786" t="s">
        <v>421</v>
      </c>
      <c r="S786">
        <v>1</v>
      </c>
      <c r="T786">
        <v>4737</v>
      </c>
      <c r="U786">
        <v>0</v>
      </c>
      <c r="V786">
        <v>4737</v>
      </c>
    </row>
    <row r="787" spans="1:22" x14ac:dyDescent="0.25">
      <c r="A787">
        <v>187830</v>
      </c>
      <c r="B787">
        <v>130615922</v>
      </c>
      <c r="C787" t="s">
        <v>3590</v>
      </c>
      <c r="D787">
        <v>248850326</v>
      </c>
      <c r="E787" t="s">
        <v>3171</v>
      </c>
      <c r="F787" t="s">
        <v>431</v>
      </c>
      <c r="G787" t="s">
        <v>149</v>
      </c>
      <c r="H787" t="s">
        <v>150</v>
      </c>
      <c r="I787" t="s">
        <v>88</v>
      </c>
      <c r="J787" t="s">
        <v>151</v>
      </c>
      <c r="K787" t="s">
        <v>2</v>
      </c>
      <c r="L787" t="s">
        <v>3591</v>
      </c>
      <c r="M787" t="s">
        <v>3592</v>
      </c>
      <c r="N787" t="s">
        <v>433</v>
      </c>
      <c r="O787" t="s">
        <v>53</v>
      </c>
      <c r="P787" t="s">
        <v>3593</v>
      </c>
      <c r="Q787" s="14" t="s">
        <v>92</v>
      </c>
      <c r="R787" t="s">
        <v>3406</v>
      </c>
      <c r="S787">
        <v>1</v>
      </c>
      <c r="T787">
        <v>4669</v>
      </c>
      <c r="U787">
        <v>0</v>
      </c>
      <c r="V787">
        <v>4669</v>
      </c>
    </row>
    <row r="788" spans="1:22" x14ac:dyDescent="0.25">
      <c r="A788">
        <v>187830</v>
      </c>
      <c r="B788">
        <v>130615921</v>
      </c>
      <c r="C788" t="s">
        <v>3594</v>
      </c>
      <c r="D788">
        <v>248850347</v>
      </c>
      <c r="E788" t="s">
        <v>3171</v>
      </c>
      <c r="F788" t="s">
        <v>431</v>
      </c>
      <c r="G788" t="s">
        <v>149</v>
      </c>
      <c r="H788" t="s">
        <v>150</v>
      </c>
      <c r="I788" t="s">
        <v>88</v>
      </c>
      <c r="J788" t="s">
        <v>151</v>
      </c>
      <c r="K788" t="s">
        <v>2</v>
      </c>
      <c r="L788" t="s">
        <v>3595</v>
      </c>
      <c r="M788" t="s">
        <v>3596</v>
      </c>
      <c r="N788" t="s">
        <v>433</v>
      </c>
      <c r="O788" t="s">
        <v>53</v>
      </c>
      <c r="P788" t="s">
        <v>3597</v>
      </c>
      <c r="Q788" s="14" t="s">
        <v>120</v>
      </c>
      <c r="R788" t="s">
        <v>3406</v>
      </c>
      <c r="S788">
        <v>1</v>
      </c>
      <c r="T788">
        <v>5153</v>
      </c>
      <c r="U788">
        <v>0</v>
      </c>
      <c r="V788">
        <v>5153</v>
      </c>
    </row>
    <row r="789" spans="1:22" x14ac:dyDescent="0.25">
      <c r="A789">
        <v>187830</v>
      </c>
      <c r="B789">
        <v>130562385</v>
      </c>
      <c r="C789" t="s">
        <v>3598</v>
      </c>
      <c r="D789">
        <v>248733830</v>
      </c>
      <c r="E789" t="s">
        <v>3171</v>
      </c>
      <c r="F789" t="s">
        <v>431</v>
      </c>
      <c r="G789" t="s">
        <v>149</v>
      </c>
      <c r="H789" t="s">
        <v>150</v>
      </c>
      <c r="I789" t="s">
        <v>88</v>
      </c>
      <c r="J789" t="s">
        <v>151</v>
      </c>
      <c r="K789" t="s">
        <v>2</v>
      </c>
      <c r="L789" t="s">
        <v>3599</v>
      </c>
      <c r="M789" t="s">
        <v>3600</v>
      </c>
      <c r="N789" t="s">
        <v>433</v>
      </c>
      <c r="O789" t="s">
        <v>53</v>
      </c>
      <c r="P789" t="s">
        <v>3601</v>
      </c>
      <c r="Q789" s="14" t="s">
        <v>38</v>
      </c>
      <c r="R789" t="s">
        <v>3506</v>
      </c>
      <c r="S789">
        <v>1</v>
      </c>
      <c r="T789">
        <v>4669</v>
      </c>
      <c r="U789">
        <v>0</v>
      </c>
      <c r="V789">
        <v>4669</v>
      </c>
    </row>
    <row r="790" spans="1:22" x14ac:dyDescent="0.25">
      <c r="A790">
        <v>187830</v>
      </c>
      <c r="B790">
        <v>130562468</v>
      </c>
      <c r="C790" t="s">
        <v>3602</v>
      </c>
      <c r="D790">
        <v>248734330</v>
      </c>
      <c r="E790" t="s">
        <v>3171</v>
      </c>
      <c r="F790" t="s">
        <v>431</v>
      </c>
      <c r="G790" t="s">
        <v>149</v>
      </c>
      <c r="H790" t="s">
        <v>150</v>
      </c>
      <c r="I790" t="s">
        <v>88</v>
      </c>
      <c r="J790" t="s">
        <v>151</v>
      </c>
      <c r="K790" t="s">
        <v>2</v>
      </c>
      <c r="L790" t="s">
        <v>3603</v>
      </c>
      <c r="M790" t="s">
        <v>3604</v>
      </c>
      <c r="N790" t="s">
        <v>433</v>
      </c>
      <c r="O790" t="s">
        <v>53</v>
      </c>
      <c r="P790" t="s">
        <v>3605</v>
      </c>
      <c r="Q790" s="14" t="s">
        <v>92</v>
      </c>
      <c r="R790" t="s">
        <v>421</v>
      </c>
      <c r="S790">
        <v>1</v>
      </c>
      <c r="T790">
        <v>4669</v>
      </c>
      <c r="U790">
        <v>0</v>
      </c>
      <c r="V790">
        <v>4669</v>
      </c>
    </row>
    <row r="791" spans="1:22" x14ac:dyDescent="0.25">
      <c r="A791">
        <v>187830</v>
      </c>
      <c r="B791">
        <v>130562452</v>
      </c>
      <c r="C791" t="s">
        <v>3606</v>
      </c>
      <c r="D791">
        <v>248733798</v>
      </c>
      <c r="E791" t="s">
        <v>3171</v>
      </c>
      <c r="F791" t="s">
        <v>431</v>
      </c>
      <c r="G791" t="s">
        <v>149</v>
      </c>
      <c r="H791" t="s">
        <v>150</v>
      </c>
      <c r="I791" t="s">
        <v>88</v>
      </c>
      <c r="J791" t="s">
        <v>151</v>
      </c>
      <c r="K791" t="s">
        <v>2</v>
      </c>
      <c r="L791" t="s">
        <v>3607</v>
      </c>
      <c r="M791" t="s">
        <v>3608</v>
      </c>
      <c r="N791" t="s">
        <v>433</v>
      </c>
      <c r="O791" t="s">
        <v>53</v>
      </c>
      <c r="P791" t="s">
        <v>3609</v>
      </c>
      <c r="Q791" s="14" t="s">
        <v>93</v>
      </c>
      <c r="R791" t="s">
        <v>421</v>
      </c>
      <c r="S791">
        <v>1</v>
      </c>
      <c r="T791">
        <v>4737</v>
      </c>
      <c r="U791">
        <v>0</v>
      </c>
      <c r="V791">
        <v>4737</v>
      </c>
    </row>
    <row r="792" spans="1:22" x14ac:dyDescent="0.25">
      <c r="A792">
        <v>187830</v>
      </c>
      <c r="B792">
        <v>130615925</v>
      </c>
      <c r="C792" t="s">
        <v>3610</v>
      </c>
      <c r="D792">
        <v>248850368</v>
      </c>
      <c r="E792" t="s">
        <v>3171</v>
      </c>
      <c r="F792" t="s">
        <v>431</v>
      </c>
      <c r="G792" t="s">
        <v>149</v>
      </c>
      <c r="H792" t="s">
        <v>150</v>
      </c>
      <c r="I792" t="s">
        <v>88</v>
      </c>
      <c r="J792" t="s">
        <v>151</v>
      </c>
      <c r="K792" t="s">
        <v>2</v>
      </c>
      <c r="L792" t="s">
        <v>3611</v>
      </c>
      <c r="M792" t="s">
        <v>3612</v>
      </c>
      <c r="N792" t="s">
        <v>433</v>
      </c>
      <c r="O792" t="s">
        <v>53</v>
      </c>
      <c r="P792" t="s">
        <v>3613</v>
      </c>
      <c r="Q792" s="14" t="s">
        <v>120</v>
      </c>
      <c r="R792" t="s">
        <v>3406</v>
      </c>
      <c r="S792">
        <v>1</v>
      </c>
      <c r="T792">
        <v>5153</v>
      </c>
      <c r="U792">
        <v>0</v>
      </c>
      <c r="V792">
        <v>5153</v>
      </c>
    </row>
    <row r="793" spans="1:22" x14ac:dyDescent="0.25">
      <c r="A793">
        <v>187830</v>
      </c>
      <c r="B793">
        <v>130562446</v>
      </c>
      <c r="C793" t="s">
        <v>3614</v>
      </c>
      <c r="D793">
        <v>248733792</v>
      </c>
      <c r="E793" t="s">
        <v>3171</v>
      </c>
      <c r="F793" t="s">
        <v>431</v>
      </c>
      <c r="G793" t="s">
        <v>149</v>
      </c>
      <c r="H793" t="s">
        <v>150</v>
      </c>
      <c r="I793" t="s">
        <v>88</v>
      </c>
      <c r="J793" t="s">
        <v>151</v>
      </c>
      <c r="K793" t="s">
        <v>2</v>
      </c>
      <c r="L793" t="s">
        <v>3615</v>
      </c>
      <c r="M793" t="s">
        <v>3616</v>
      </c>
      <c r="N793" t="s">
        <v>433</v>
      </c>
      <c r="O793" t="s">
        <v>53</v>
      </c>
      <c r="P793" t="s">
        <v>3617</v>
      </c>
      <c r="Q793" s="14" t="s">
        <v>311</v>
      </c>
      <c r="R793" t="s">
        <v>421</v>
      </c>
      <c r="S793">
        <v>1.19</v>
      </c>
      <c r="T793">
        <v>4467</v>
      </c>
      <c r="U793">
        <v>0</v>
      </c>
      <c r="V793">
        <v>4467</v>
      </c>
    </row>
    <row r="794" spans="1:22" x14ac:dyDescent="0.25">
      <c r="A794">
        <v>187830</v>
      </c>
      <c r="B794">
        <v>130615923</v>
      </c>
      <c r="C794" t="s">
        <v>3618</v>
      </c>
      <c r="D794">
        <v>248850329</v>
      </c>
      <c r="E794" t="s">
        <v>3171</v>
      </c>
      <c r="F794" t="s">
        <v>431</v>
      </c>
      <c r="G794" t="s">
        <v>149</v>
      </c>
      <c r="H794" t="s">
        <v>150</v>
      </c>
      <c r="I794" t="s">
        <v>88</v>
      </c>
      <c r="J794" t="s">
        <v>151</v>
      </c>
      <c r="K794" t="s">
        <v>2</v>
      </c>
      <c r="L794" t="s">
        <v>3619</v>
      </c>
      <c r="M794" t="s">
        <v>3620</v>
      </c>
      <c r="N794" t="s">
        <v>433</v>
      </c>
      <c r="O794" t="s">
        <v>53</v>
      </c>
      <c r="P794" t="s">
        <v>3621</v>
      </c>
      <c r="Q794" s="14" t="s">
        <v>92</v>
      </c>
      <c r="R794" t="s">
        <v>3406</v>
      </c>
      <c r="S794">
        <v>1</v>
      </c>
      <c r="T794">
        <v>4669</v>
      </c>
      <c r="U794">
        <v>0</v>
      </c>
      <c r="V794">
        <v>4669</v>
      </c>
    </row>
    <row r="795" spans="1:22" x14ac:dyDescent="0.25">
      <c r="A795">
        <v>187830</v>
      </c>
      <c r="B795">
        <v>130562394</v>
      </c>
      <c r="C795" t="s">
        <v>3622</v>
      </c>
      <c r="D795">
        <v>248733796</v>
      </c>
      <c r="E795" t="s">
        <v>3171</v>
      </c>
      <c r="F795" t="s">
        <v>431</v>
      </c>
      <c r="G795" t="s">
        <v>149</v>
      </c>
      <c r="H795" t="s">
        <v>150</v>
      </c>
      <c r="I795" t="s">
        <v>88</v>
      </c>
      <c r="J795" t="s">
        <v>151</v>
      </c>
      <c r="K795" t="s">
        <v>2</v>
      </c>
      <c r="L795" t="s">
        <v>3623</v>
      </c>
      <c r="M795" t="s">
        <v>3624</v>
      </c>
      <c r="N795" t="s">
        <v>433</v>
      </c>
      <c r="O795" t="s">
        <v>53</v>
      </c>
      <c r="P795" t="s">
        <v>3625</v>
      </c>
      <c r="Q795" s="14" t="s">
        <v>38</v>
      </c>
      <c r="R795" t="s">
        <v>3506</v>
      </c>
      <c r="S795">
        <v>1</v>
      </c>
      <c r="T795">
        <v>4669</v>
      </c>
      <c r="U795">
        <v>0</v>
      </c>
      <c r="V795">
        <v>4669</v>
      </c>
    </row>
    <row r="796" spans="1:22" x14ac:dyDescent="0.25">
      <c r="A796">
        <v>187830</v>
      </c>
      <c r="B796">
        <v>130562384</v>
      </c>
      <c r="C796" t="s">
        <v>3626</v>
      </c>
      <c r="D796">
        <v>248733831</v>
      </c>
      <c r="E796" t="s">
        <v>3171</v>
      </c>
      <c r="F796" t="s">
        <v>431</v>
      </c>
      <c r="G796" t="s">
        <v>149</v>
      </c>
      <c r="H796" t="s">
        <v>150</v>
      </c>
      <c r="I796" t="s">
        <v>88</v>
      </c>
      <c r="J796" t="s">
        <v>151</v>
      </c>
      <c r="K796" t="s">
        <v>2</v>
      </c>
      <c r="L796" t="s">
        <v>3627</v>
      </c>
      <c r="M796" t="s">
        <v>3628</v>
      </c>
      <c r="N796" t="s">
        <v>433</v>
      </c>
      <c r="O796" t="s">
        <v>53</v>
      </c>
      <c r="P796" t="s">
        <v>3629</v>
      </c>
      <c r="Q796" s="14" t="s">
        <v>106</v>
      </c>
      <c r="R796" t="s">
        <v>3506</v>
      </c>
      <c r="S796">
        <v>1</v>
      </c>
      <c r="T796">
        <v>4219</v>
      </c>
      <c r="U796">
        <v>0</v>
      </c>
      <c r="V796">
        <v>4219</v>
      </c>
    </row>
    <row r="797" spans="1:22" x14ac:dyDescent="0.25">
      <c r="A797">
        <v>187830</v>
      </c>
      <c r="B797">
        <v>130615943</v>
      </c>
      <c r="C797" t="s">
        <v>3630</v>
      </c>
      <c r="D797">
        <v>248850390</v>
      </c>
      <c r="E797" t="s">
        <v>3171</v>
      </c>
      <c r="F797" t="s">
        <v>431</v>
      </c>
      <c r="G797" t="s">
        <v>149</v>
      </c>
      <c r="H797" t="s">
        <v>150</v>
      </c>
      <c r="I797" t="s">
        <v>88</v>
      </c>
      <c r="J797" t="s">
        <v>151</v>
      </c>
      <c r="K797" t="s">
        <v>2</v>
      </c>
      <c r="L797" t="s">
        <v>3631</v>
      </c>
      <c r="M797" t="s">
        <v>3632</v>
      </c>
      <c r="N797" t="s">
        <v>433</v>
      </c>
      <c r="O797" t="s">
        <v>53</v>
      </c>
      <c r="P797" t="s">
        <v>3633</v>
      </c>
      <c r="Q797" s="14" t="s">
        <v>109</v>
      </c>
      <c r="R797" t="s">
        <v>374</v>
      </c>
      <c r="S797">
        <v>1</v>
      </c>
      <c r="T797">
        <v>4669</v>
      </c>
      <c r="U797">
        <v>0</v>
      </c>
      <c r="V797">
        <v>4669</v>
      </c>
    </row>
    <row r="798" spans="1:22" x14ac:dyDescent="0.25">
      <c r="A798">
        <v>187830</v>
      </c>
      <c r="B798">
        <v>130615936</v>
      </c>
      <c r="C798" t="s">
        <v>3634</v>
      </c>
      <c r="D798">
        <v>248850385</v>
      </c>
      <c r="E798" t="s">
        <v>3171</v>
      </c>
      <c r="F798" t="s">
        <v>431</v>
      </c>
      <c r="G798" t="s">
        <v>149</v>
      </c>
      <c r="H798" t="s">
        <v>150</v>
      </c>
      <c r="I798" t="s">
        <v>88</v>
      </c>
      <c r="J798" t="s">
        <v>151</v>
      </c>
      <c r="K798" t="s">
        <v>2</v>
      </c>
      <c r="L798" t="s">
        <v>3635</v>
      </c>
      <c r="M798" t="s">
        <v>3636</v>
      </c>
      <c r="N798" t="s">
        <v>433</v>
      </c>
      <c r="O798" t="s">
        <v>53</v>
      </c>
      <c r="P798" t="s">
        <v>3637</v>
      </c>
      <c r="Q798" s="14" t="s">
        <v>228</v>
      </c>
      <c r="R798" t="s">
        <v>374</v>
      </c>
      <c r="S798">
        <v>1</v>
      </c>
      <c r="T798">
        <v>4219</v>
      </c>
      <c r="U798">
        <v>0</v>
      </c>
      <c r="V798">
        <v>4219</v>
      </c>
    </row>
    <row r="799" spans="1:22" x14ac:dyDescent="0.25">
      <c r="A799">
        <v>187830</v>
      </c>
      <c r="B799">
        <v>130562393</v>
      </c>
      <c r="C799" t="s">
        <v>3638</v>
      </c>
      <c r="D799">
        <v>248733797</v>
      </c>
      <c r="E799" t="s">
        <v>3171</v>
      </c>
      <c r="F799" t="s">
        <v>431</v>
      </c>
      <c r="G799" t="s">
        <v>149</v>
      </c>
      <c r="H799" t="s">
        <v>150</v>
      </c>
      <c r="I799" t="s">
        <v>88</v>
      </c>
      <c r="J799" t="s">
        <v>151</v>
      </c>
      <c r="K799" t="s">
        <v>2</v>
      </c>
      <c r="L799" t="s">
        <v>3639</v>
      </c>
      <c r="M799" t="s">
        <v>3640</v>
      </c>
      <c r="N799" t="s">
        <v>433</v>
      </c>
      <c r="O799" t="s">
        <v>53</v>
      </c>
      <c r="P799" t="s">
        <v>3641</v>
      </c>
      <c r="Q799" s="14" t="s">
        <v>124</v>
      </c>
      <c r="R799" t="s">
        <v>3506</v>
      </c>
      <c r="S799">
        <v>1</v>
      </c>
      <c r="T799">
        <v>4219</v>
      </c>
      <c r="U799">
        <v>0</v>
      </c>
      <c r="V799">
        <v>4219</v>
      </c>
    </row>
    <row r="800" spans="1:22" x14ac:dyDescent="0.25">
      <c r="A800">
        <v>187830</v>
      </c>
      <c r="B800">
        <v>130615924</v>
      </c>
      <c r="C800" t="s">
        <v>3642</v>
      </c>
      <c r="D800">
        <v>248850360</v>
      </c>
      <c r="E800" t="s">
        <v>3171</v>
      </c>
      <c r="F800" t="s">
        <v>431</v>
      </c>
      <c r="G800" t="s">
        <v>149</v>
      </c>
      <c r="H800" t="s">
        <v>150</v>
      </c>
      <c r="I800" t="s">
        <v>88</v>
      </c>
      <c r="J800" t="s">
        <v>151</v>
      </c>
      <c r="K800" t="s">
        <v>2</v>
      </c>
      <c r="L800" t="s">
        <v>3643</v>
      </c>
      <c r="M800" t="s">
        <v>3644</v>
      </c>
      <c r="N800" t="s">
        <v>433</v>
      </c>
      <c r="O800" t="s">
        <v>53</v>
      </c>
      <c r="P800" t="s">
        <v>3645</v>
      </c>
      <c r="Q800" s="14" t="s">
        <v>40</v>
      </c>
      <c r="R800" t="s">
        <v>3406</v>
      </c>
      <c r="S800">
        <v>0.55000000000000004</v>
      </c>
      <c r="T800">
        <v>4534</v>
      </c>
      <c r="U800">
        <v>0</v>
      </c>
      <c r="V800">
        <v>4534</v>
      </c>
    </row>
    <row r="801" spans="1:22" x14ac:dyDescent="0.25">
      <c r="A801">
        <v>187830</v>
      </c>
      <c r="B801">
        <v>130562387</v>
      </c>
      <c r="C801" t="s">
        <v>3646</v>
      </c>
      <c r="D801">
        <v>248733824</v>
      </c>
      <c r="E801" t="s">
        <v>3171</v>
      </c>
      <c r="F801" t="s">
        <v>431</v>
      </c>
      <c r="G801" t="s">
        <v>149</v>
      </c>
      <c r="H801" t="s">
        <v>150</v>
      </c>
      <c r="I801" t="s">
        <v>88</v>
      </c>
      <c r="J801" t="s">
        <v>151</v>
      </c>
      <c r="K801" t="s">
        <v>2</v>
      </c>
      <c r="L801" t="s">
        <v>3647</v>
      </c>
      <c r="M801" t="s">
        <v>3648</v>
      </c>
      <c r="N801" t="s">
        <v>433</v>
      </c>
      <c r="O801" t="s">
        <v>53</v>
      </c>
      <c r="P801" t="s">
        <v>3649</v>
      </c>
      <c r="Q801" s="14" t="s">
        <v>144</v>
      </c>
      <c r="R801" t="s">
        <v>3506</v>
      </c>
      <c r="S801">
        <v>1</v>
      </c>
      <c r="T801">
        <v>4219</v>
      </c>
      <c r="U801">
        <v>0</v>
      </c>
      <c r="V801">
        <v>4219</v>
      </c>
    </row>
    <row r="802" spans="1:22" x14ac:dyDescent="0.25">
      <c r="A802">
        <v>187830</v>
      </c>
      <c r="B802">
        <v>130437609</v>
      </c>
      <c r="C802" t="s">
        <v>3650</v>
      </c>
      <c r="D802">
        <v>248425056</v>
      </c>
      <c r="E802" t="s">
        <v>3171</v>
      </c>
      <c r="F802" t="s">
        <v>431</v>
      </c>
      <c r="G802" t="s">
        <v>149</v>
      </c>
      <c r="H802" t="s">
        <v>150</v>
      </c>
      <c r="I802" t="s">
        <v>88</v>
      </c>
      <c r="J802" t="s">
        <v>151</v>
      </c>
      <c r="K802" t="s">
        <v>2</v>
      </c>
      <c r="L802" t="s">
        <v>3651</v>
      </c>
      <c r="M802" t="s">
        <v>3433</v>
      </c>
      <c r="N802" t="s">
        <v>433</v>
      </c>
      <c r="O802" t="s">
        <v>53</v>
      </c>
      <c r="P802" t="s">
        <v>3434</v>
      </c>
      <c r="Q802" s="14" t="s">
        <v>128</v>
      </c>
      <c r="R802" t="s">
        <v>3499</v>
      </c>
      <c r="S802">
        <v>1.08</v>
      </c>
      <c r="T802">
        <v>8404</v>
      </c>
      <c r="U802">
        <v>0</v>
      </c>
      <c r="V802">
        <v>8404</v>
      </c>
    </row>
    <row r="803" spans="1:22" x14ac:dyDescent="0.25">
      <c r="A803">
        <v>187830</v>
      </c>
      <c r="B803">
        <v>130472151</v>
      </c>
      <c r="C803" t="s">
        <v>3652</v>
      </c>
      <c r="D803">
        <v>248509565</v>
      </c>
      <c r="E803" t="s">
        <v>3171</v>
      </c>
      <c r="F803" t="s">
        <v>431</v>
      </c>
      <c r="G803" t="s">
        <v>149</v>
      </c>
      <c r="H803" t="s">
        <v>150</v>
      </c>
      <c r="I803" t="s">
        <v>88</v>
      </c>
      <c r="J803" t="s">
        <v>151</v>
      </c>
      <c r="K803" t="s">
        <v>2</v>
      </c>
      <c r="L803" t="s">
        <v>3653</v>
      </c>
      <c r="M803" t="s">
        <v>3654</v>
      </c>
      <c r="N803" t="s">
        <v>433</v>
      </c>
      <c r="O803" t="s">
        <v>53</v>
      </c>
      <c r="P803" t="s">
        <v>3655</v>
      </c>
      <c r="Q803" s="14" t="s">
        <v>131</v>
      </c>
      <c r="R803" t="s">
        <v>3543</v>
      </c>
      <c r="S803">
        <v>1.1599999999999999</v>
      </c>
      <c r="T803">
        <v>5569</v>
      </c>
      <c r="U803">
        <v>0</v>
      </c>
      <c r="V803">
        <v>5569</v>
      </c>
    </row>
    <row r="804" spans="1:22" x14ac:dyDescent="0.25">
      <c r="A804">
        <v>187830</v>
      </c>
      <c r="B804">
        <v>130472150</v>
      </c>
      <c r="C804" t="s">
        <v>3656</v>
      </c>
      <c r="D804">
        <v>248509570</v>
      </c>
      <c r="E804" t="s">
        <v>3171</v>
      </c>
      <c r="F804" t="s">
        <v>431</v>
      </c>
      <c r="G804" t="s">
        <v>149</v>
      </c>
      <c r="H804" t="s">
        <v>150</v>
      </c>
      <c r="I804" t="s">
        <v>88</v>
      </c>
      <c r="J804" t="s">
        <v>151</v>
      </c>
      <c r="K804" t="s">
        <v>2</v>
      </c>
      <c r="L804" t="s">
        <v>3657</v>
      </c>
      <c r="M804" t="s">
        <v>3658</v>
      </c>
      <c r="N804" t="s">
        <v>433</v>
      </c>
      <c r="O804" t="s">
        <v>53</v>
      </c>
      <c r="P804" t="s">
        <v>3659</v>
      </c>
      <c r="Q804" s="14" t="s">
        <v>120</v>
      </c>
      <c r="R804" t="s">
        <v>3543</v>
      </c>
      <c r="S804">
        <v>1.1000000000000001</v>
      </c>
      <c r="T804">
        <v>5569</v>
      </c>
      <c r="U804">
        <v>0</v>
      </c>
      <c r="V804">
        <v>5569</v>
      </c>
    </row>
    <row r="805" spans="1:22" x14ac:dyDescent="0.25">
      <c r="A805">
        <v>187830</v>
      </c>
      <c r="B805">
        <v>130324943</v>
      </c>
      <c r="C805" t="s">
        <v>3660</v>
      </c>
      <c r="D805">
        <v>248525671</v>
      </c>
      <c r="E805" t="s">
        <v>3171</v>
      </c>
      <c r="F805" t="s">
        <v>431</v>
      </c>
      <c r="G805" t="s">
        <v>149</v>
      </c>
      <c r="H805" t="s">
        <v>150</v>
      </c>
      <c r="I805" t="s">
        <v>88</v>
      </c>
      <c r="J805" t="s">
        <v>151</v>
      </c>
      <c r="K805" t="s">
        <v>2</v>
      </c>
      <c r="L805" t="s">
        <v>3661</v>
      </c>
      <c r="M805" t="s">
        <v>3662</v>
      </c>
      <c r="N805" t="s">
        <v>433</v>
      </c>
      <c r="O805" t="s">
        <v>53</v>
      </c>
      <c r="P805" t="s">
        <v>3663</v>
      </c>
      <c r="Q805" s="14" t="s">
        <v>192</v>
      </c>
      <c r="R805" t="s">
        <v>3664</v>
      </c>
      <c r="S805">
        <v>1.47</v>
      </c>
      <c r="T805">
        <v>7713.34</v>
      </c>
      <c r="U805">
        <v>0</v>
      </c>
      <c r="V805">
        <v>7713.34</v>
      </c>
    </row>
    <row r="806" spans="1:22" x14ac:dyDescent="0.25">
      <c r="A806">
        <v>187830</v>
      </c>
      <c r="B806">
        <v>130472152</v>
      </c>
      <c r="C806" t="s">
        <v>3665</v>
      </c>
      <c r="D806">
        <v>248509537</v>
      </c>
      <c r="E806" t="s">
        <v>3171</v>
      </c>
      <c r="F806" t="s">
        <v>431</v>
      </c>
      <c r="G806" t="s">
        <v>149</v>
      </c>
      <c r="H806" t="s">
        <v>150</v>
      </c>
      <c r="I806" t="s">
        <v>88</v>
      </c>
      <c r="J806" t="s">
        <v>151</v>
      </c>
      <c r="K806" t="s">
        <v>2</v>
      </c>
      <c r="L806" t="s">
        <v>3666</v>
      </c>
      <c r="M806" t="s">
        <v>3667</v>
      </c>
      <c r="N806" t="s">
        <v>433</v>
      </c>
      <c r="O806" t="s">
        <v>53</v>
      </c>
      <c r="P806" t="s">
        <v>3668</v>
      </c>
      <c r="Q806" s="14" t="s">
        <v>163</v>
      </c>
      <c r="R806" t="s">
        <v>3543</v>
      </c>
      <c r="S806">
        <v>1.0900000000000001</v>
      </c>
      <c r="T806">
        <v>4467</v>
      </c>
      <c r="U806">
        <v>0</v>
      </c>
      <c r="V806">
        <v>4467</v>
      </c>
    </row>
    <row r="807" spans="1:22" x14ac:dyDescent="0.25">
      <c r="A807">
        <v>187830</v>
      </c>
      <c r="B807">
        <v>130437606</v>
      </c>
      <c r="C807" t="s">
        <v>3669</v>
      </c>
      <c r="D807">
        <v>248425088</v>
      </c>
      <c r="E807" t="s">
        <v>3171</v>
      </c>
      <c r="F807" t="s">
        <v>431</v>
      </c>
      <c r="G807" t="s">
        <v>149</v>
      </c>
      <c r="H807" t="s">
        <v>150</v>
      </c>
      <c r="I807" t="s">
        <v>88</v>
      </c>
      <c r="J807" t="s">
        <v>151</v>
      </c>
      <c r="K807" t="s">
        <v>2</v>
      </c>
      <c r="L807" t="s">
        <v>3670</v>
      </c>
      <c r="M807" t="s">
        <v>3671</v>
      </c>
      <c r="N807" t="s">
        <v>433</v>
      </c>
      <c r="O807" t="s">
        <v>53</v>
      </c>
      <c r="P807" t="s">
        <v>3672</v>
      </c>
      <c r="Q807" s="14" t="s">
        <v>92</v>
      </c>
      <c r="R807" t="s">
        <v>3499</v>
      </c>
      <c r="S807">
        <v>1.2</v>
      </c>
      <c r="T807">
        <v>5040</v>
      </c>
      <c r="U807">
        <v>0</v>
      </c>
      <c r="V807">
        <v>5040</v>
      </c>
    </row>
    <row r="808" spans="1:22" x14ac:dyDescent="0.25">
      <c r="A808">
        <v>187830</v>
      </c>
      <c r="B808">
        <v>130437607</v>
      </c>
      <c r="C808" t="s">
        <v>3673</v>
      </c>
      <c r="D808">
        <v>248425084</v>
      </c>
      <c r="E808" t="s">
        <v>3171</v>
      </c>
      <c r="F808" t="s">
        <v>431</v>
      </c>
      <c r="G808" t="s">
        <v>149</v>
      </c>
      <c r="H808" t="s">
        <v>150</v>
      </c>
      <c r="I808" t="s">
        <v>88</v>
      </c>
      <c r="J808" t="s">
        <v>151</v>
      </c>
      <c r="K808" t="s">
        <v>2</v>
      </c>
      <c r="L808" t="s">
        <v>3674</v>
      </c>
      <c r="M808" t="s">
        <v>3675</v>
      </c>
      <c r="N808" t="s">
        <v>433</v>
      </c>
      <c r="O808" t="s">
        <v>53</v>
      </c>
      <c r="P808" t="s">
        <v>3676</v>
      </c>
      <c r="Q808" s="14" t="s">
        <v>100</v>
      </c>
      <c r="R808" t="s">
        <v>3499</v>
      </c>
      <c r="S808">
        <v>1.23</v>
      </c>
      <c r="T808">
        <v>5569</v>
      </c>
      <c r="U808">
        <v>0</v>
      </c>
      <c r="V808">
        <v>5569</v>
      </c>
    </row>
    <row r="809" spans="1:22" x14ac:dyDescent="0.25">
      <c r="A809">
        <v>187830</v>
      </c>
      <c r="B809">
        <v>130324947</v>
      </c>
      <c r="C809" t="s">
        <v>3677</v>
      </c>
      <c r="D809">
        <v>248163303</v>
      </c>
      <c r="E809" t="s">
        <v>3171</v>
      </c>
      <c r="F809" t="s">
        <v>431</v>
      </c>
      <c r="G809" t="s">
        <v>149</v>
      </c>
      <c r="H809" t="s">
        <v>150</v>
      </c>
      <c r="I809" t="s">
        <v>88</v>
      </c>
      <c r="J809" t="s">
        <v>151</v>
      </c>
      <c r="K809" t="s">
        <v>2</v>
      </c>
      <c r="L809" t="s">
        <v>3678</v>
      </c>
      <c r="M809" t="s">
        <v>3679</v>
      </c>
      <c r="N809" t="s">
        <v>433</v>
      </c>
      <c r="O809" t="s">
        <v>53</v>
      </c>
      <c r="P809" t="s">
        <v>3680</v>
      </c>
      <c r="Q809" s="14" t="s">
        <v>129</v>
      </c>
      <c r="R809" t="s">
        <v>3664</v>
      </c>
      <c r="S809">
        <v>0.93</v>
      </c>
      <c r="T809">
        <v>7212</v>
      </c>
      <c r="U809">
        <v>0</v>
      </c>
      <c r="V809">
        <v>7212</v>
      </c>
    </row>
    <row r="810" spans="1:22" x14ac:dyDescent="0.25">
      <c r="A810">
        <v>187830</v>
      </c>
      <c r="B810">
        <v>130365343</v>
      </c>
      <c r="C810" t="s">
        <v>3681</v>
      </c>
      <c r="D810">
        <v>248252244</v>
      </c>
      <c r="E810" t="s">
        <v>3171</v>
      </c>
      <c r="F810" t="s">
        <v>431</v>
      </c>
      <c r="G810" t="s">
        <v>149</v>
      </c>
      <c r="H810" t="s">
        <v>150</v>
      </c>
      <c r="I810" t="s">
        <v>88</v>
      </c>
      <c r="J810" t="s">
        <v>151</v>
      </c>
      <c r="K810" t="s">
        <v>2</v>
      </c>
      <c r="L810" t="s">
        <v>3682</v>
      </c>
      <c r="M810" t="s">
        <v>3683</v>
      </c>
      <c r="N810" t="s">
        <v>433</v>
      </c>
      <c r="O810" t="s">
        <v>53</v>
      </c>
      <c r="P810" t="s">
        <v>3684</v>
      </c>
      <c r="Q810" s="14" t="s">
        <v>38</v>
      </c>
      <c r="R810" t="s">
        <v>392</v>
      </c>
      <c r="S810">
        <v>1</v>
      </c>
      <c r="T810">
        <v>4669</v>
      </c>
      <c r="U810">
        <v>0</v>
      </c>
      <c r="V810">
        <v>4669</v>
      </c>
    </row>
    <row r="811" spans="1:22" x14ac:dyDescent="0.25">
      <c r="A811">
        <v>187830</v>
      </c>
      <c r="B811">
        <v>130403408</v>
      </c>
      <c r="C811" t="s">
        <v>3685</v>
      </c>
      <c r="D811">
        <v>248339379</v>
      </c>
      <c r="E811" t="s">
        <v>3171</v>
      </c>
      <c r="F811" t="s">
        <v>431</v>
      </c>
      <c r="G811" t="s">
        <v>149</v>
      </c>
      <c r="H811" t="s">
        <v>150</v>
      </c>
      <c r="I811" t="s">
        <v>88</v>
      </c>
      <c r="J811" t="s">
        <v>151</v>
      </c>
      <c r="K811" t="s">
        <v>2</v>
      </c>
      <c r="L811" t="s">
        <v>3686</v>
      </c>
      <c r="M811" t="s">
        <v>3687</v>
      </c>
      <c r="N811" t="s">
        <v>433</v>
      </c>
      <c r="O811" t="s">
        <v>53</v>
      </c>
      <c r="P811" t="s">
        <v>3688</v>
      </c>
      <c r="Q811" s="14" t="s">
        <v>124</v>
      </c>
      <c r="R811" t="s">
        <v>3689</v>
      </c>
      <c r="S811">
        <v>1.23</v>
      </c>
      <c r="T811">
        <v>4467</v>
      </c>
      <c r="U811">
        <v>0</v>
      </c>
      <c r="V811">
        <v>4467</v>
      </c>
    </row>
    <row r="812" spans="1:22" x14ac:dyDescent="0.25">
      <c r="A812">
        <v>187830</v>
      </c>
      <c r="B812">
        <v>130324932</v>
      </c>
      <c r="C812" t="s">
        <v>3690</v>
      </c>
      <c r="D812">
        <v>248163171</v>
      </c>
      <c r="E812" t="s">
        <v>3171</v>
      </c>
      <c r="F812" t="s">
        <v>431</v>
      </c>
      <c r="G812" t="s">
        <v>149</v>
      </c>
      <c r="H812" t="s">
        <v>150</v>
      </c>
      <c r="I812" t="s">
        <v>88</v>
      </c>
      <c r="J812" t="s">
        <v>151</v>
      </c>
      <c r="K812" t="s">
        <v>2</v>
      </c>
      <c r="L812" t="s">
        <v>3691</v>
      </c>
      <c r="M812" t="s">
        <v>3692</v>
      </c>
      <c r="N812" t="s">
        <v>433</v>
      </c>
      <c r="O812" t="s">
        <v>53</v>
      </c>
      <c r="P812" t="s">
        <v>3693</v>
      </c>
      <c r="Q812" s="14" t="s">
        <v>94</v>
      </c>
      <c r="R812" t="s">
        <v>3664</v>
      </c>
      <c r="S812">
        <v>1.46</v>
      </c>
      <c r="T812">
        <v>5040</v>
      </c>
      <c r="U812">
        <v>0</v>
      </c>
      <c r="V812">
        <v>5040</v>
      </c>
    </row>
    <row r="813" spans="1:22" x14ac:dyDescent="0.25">
      <c r="A813">
        <v>187830</v>
      </c>
      <c r="B813">
        <v>130365337</v>
      </c>
      <c r="C813" t="s">
        <v>3694</v>
      </c>
      <c r="D813">
        <v>248252248</v>
      </c>
      <c r="E813" t="s">
        <v>3171</v>
      </c>
      <c r="F813" t="s">
        <v>431</v>
      </c>
      <c r="G813" t="s">
        <v>149</v>
      </c>
      <c r="H813" t="s">
        <v>150</v>
      </c>
      <c r="I813" t="s">
        <v>88</v>
      </c>
      <c r="J813" t="s">
        <v>151</v>
      </c>
      <c r="K813" t="s">
        <v>2</v>
      </c>
      <c r="L813" t="s">
        <v>3695</v>
      </c>
      <c r="M813" t="s">
        <v>3696</v>
      </c>
      <c r="N813" t="s">
        <v>433</v>
      </c>
      <c r="O813" t="s">
        <v>53</v>
      </c>
      <c r="P813" t="s">
        <v>3697</v>
      </c>
      <c r="Q813" s="14" t="s">
        <v>92</v>
      </c>
      <c r="R813" t="s">
        <v>392</v>
      </c>
      <c r="S813">
        <v>1.18</v>
      </c>
      <c r="T813">
        <v>5040</v>
      </c>
      <c r="U813">
        <v>0</v>
      </c>
      <c r="V813">
        <v>5040</v>
      </c>
    </row>
    <row r="814" spans="1:22" x14ac:dyDescent="0.25">
      <c r="A814">
        <v>187830</v>
      </c>
      <c r="B814">
        <v>130365336</v>
      </c>
      <c r="C814" t="s">
        <v>3698</v>
      </c>
      <c r="D814">
        <v>248252253</v>
      </c>
      <c r="E814" t="s">
        <v>3171</v>
      </c>
      <c r="F814" t="s">
        <v>431</v>
      </c>
      <c r="G814" t="s">
        <v>149</v>
      </c>
      <c r="H814" t="s">
        <v>150</v>
      </c>
      <c r="I814" t="s">
        <v>88</v>
      </c>
      <c r="J814" t="s">
        <v>151</v>
      </c>
      <c r="K814" t="s">
        <v>2</v>
      </c>
      <c r="L814" t="s">
        <v>3699</v>
      </c>
      <c r="M814" t="s">
        <v>3700</v>
      </c>
      <c r="N814" t="s">
        <v>433</v>
      </c>
      <c r="O814" t="s">
        <v>53</v>
      </c>
      <c r="P814" t="s">
        <v>3701</v>
      </c>
      <c r="Q814" s="14" t="s">
        <v>120</v>
      </c>
      <c r="R814" t="s">
        <v>392</v>
      </c>
      <c r="S814">
        <v>1.19</v>
      </c>
      <c r="T814">
        <v>5569</v>
      </c>
      <c r="U814">
        <v>0</v>
      </c>
      <c r="V814">
        <v>5569</v>
      </c>
    </row>
    <row r="815" spans="1:22" x14ac:dyDescent="0.25">
      <c r="A815">
        <v>187830</v>
      </c>
      <c r="B815">
        <v>130365346</v>
      </c>
      <c r="C815" t="s">
        <v>3702</v>
      </c>
      <c r="D815">
        <v>248252236</v>
      </c>
      <c r="E815" t="s">
        <v>3171</v>
      </c>
      <c r="F815" t="s">
        <v>431</v>
      </c>
      <c r="G815" t="s">
        <v>149</v>
      </c>
      <c r="H815" t="s">
        <v>150</v>
      </c>
      <c r="I815" t="s">
        <v>88</v>
      </c>
      <c r="J815" t="s">
        <v>151</v>
      </c>
      <c r="K815" t="s">
        <v>2</v>
      </c>
      <c r="L815" t="s">
        <v>3703</v>
      </c>
      <c r="M815" t="s">
        <v>3704</v>
      </c>
      <c r="N815" t="s">
        <v>433</v>
      </c>
      <c r="O815" t="s">
        <v>53</v>
      </c>
      <c r="P815" t="s">
        <v>3705</v>
      </c>
      <c r="Q815" s="14" t="s">
        <v>124</v>
      </c>
      <c r="R815" t="s">
        <v>392</v>
      </c>
      <c r="S815">
        <v>1.22</v>
      </c>
      <c r="T815">
        <v>4467</v>
      </c>
      <c r="U815">
        <v>0</v>
      </c>
      <c r="V815">
        <v>4467</v>
      </c>
    </row>
    <row r="816" spans="1:22" x14ac:dyDescent="0.25">
      <c r="A816">
        <v>187830</v>
      </c>
      <c r="B816">
        <v>130365333</v>
      </c>
      <c r="C816" t="s">
        <v>3706</v>
      </c>
      <c r="D816">
        <v>248252224</v>
      </c>
      <c r="E816" t="s">
        <v>3171</v>
      </c>
      <c r="F816" t="s">
        <v>431</v>
      </c>
      <c r="G816" t="s">
        <v>149</v>
      </c>
      <c r="H816" t="s">
        <v>150</v>
      </c>
      <c r="I816" t="s">
        <v>88</v>
      </c>
      <c r="J816" t="s">
        <v>151</v>
      </c>
      <c r="K816" t="s">
        <v>2</v>
      </c>
      <c r="L816" t="s">
        <v>3707</v>
      </c>
      <c r="M816" t="s">
        <v>3708</v>
      </c>
      <c r="N816" t="s">
        <v>433</v>
      </c>
      <c r="O816" t="s">
        <v>53</v>
      </c>
      <c r="P816" t="s">
        <v>3709</v>
      </c>
      <c r="Q816" s="14" t="s">
        <v>163</v>
      </c>
      <c r="R816" t="s">
        <v>392</v>
      </c>
      <c r="S816">
        <v>1</v>
      </c>
      <c r="T816">
        <v>4219</v>
      </c>
      <c r="U816">
        <v>0</v>
      </c>
      <c r="V816">
        <v>4219</v>
      </c>
    </row>
    <row r="817" spans="1:22" x14ac:dyDescent="0.25">
      <c r="A817">
        <v>187830</v>
      </c>
      <c r="B817">
        <v>130324931</v>
      </c>
      <c r="C817" t="s">
        <v>3710</v>
      </c>
      <c r="D817">
        <v>248163153</v>
      </c>
      <c r="E817" t="s">
        <v>3171</v>
      </c>
      <c r="F817" t="s">
        <v>431</v>
      </c>
      <c r="G817" t="s">
        <v>149</v>
      </c>
      <c r="H817" t="s">
        <v>150</v>
      </c>
      <c r="I817" t="s">
        <v>88</v>
      </c>
      <c r="J817" t="s">
        <v>151</v>
      </c>
      <c r="K817" t="s">
        <v>2</v>
      </c>
      <c r="L817" t="s">
        <v>3711</v>
      </c>
      <c r="M817" t="s">
        <v>3712</v>
      </c>
      <c r="N817" t="s">
        <v>433</v>
      </c>
      <c r="O817" t="s">
        <v>53</v>
      </c>
      <c r="P817" t="s">
        <v>3713</v>
      </c>
      <c r="Q817" s="14" t="s">
        <v>107</v>
      </c>
      <c r="R817" t="s">
        <v>3664</v>
      </c>
      <c r="S817">
        <v>0.32</v>
      </c>
      <c r="T817">
        <v>6132</v>
      </c>
      <c r="U817">
        <v>0</v>
      </c>
      <c r="V817">
        <v>6132</v>
      </c>
    </row>
    <row r="818" spans="1:22" x14ac:dyDescent="0.25">
      <c r="A818">
        <v>187830</v>
      </c>
      <c r="B818">
        <v>130324938</v>
      </c>
      <c r="C818" t="s">
        <v>3714</v>
      </c>
      <c r="D818">
        <v>248163224</v>
      </c>
      <c r="E818" t="s">
        <v>3171</v>
      </c>
      <c r="F818" t="s">
        <v>431</v>
      </c>
      <c r="G818" t="s">
        <v>149</v>
      </c>
      <c r="H818" t="s">
        <v>150</v>
      </c>
      <c r="I818" t="s">
        <v>88</v>
      </c>
      <c r="J818" t="s">
        <v>151</v>
      </c>
      <c r="K818" t="s">
        <v>2</v>
      </c>
      <c r="L818" t="s">
        <v>3715</v>
      </c>
      <c r="M818" t="s">
        <v>3716</v>
      </c>
      <c r="N818" t="s">
        <v>433</v>
      </c>
      <c r="O818" t="s">
        <v>53</v>
      </c>
      <c r="P818" t="s">
        <v>3717</v>
      </c>
      <c r="Q818" s="14" t="s">
        <v>38</v>
      </c>
      <c r="R818" t="s">
        <v>3664</v>
      </c>
      <c r="S818">
        <v>1</v>
      </c>
      <c r="T818">
        <v>4669</v>
      </c>
      <c r="U818">
        <v>0</v>
      </c>
      <c r="V818">
        <v>4669</v>
      </c>
    </row>
    <row r="819" spans="1:22" x14ac:dyDescent="0.25">
      <c r="A819">
        <v>187830</v>
      </c>
      <c r="B819">
        <v>130324928</v>
      </c>
      <c r="C819" t="s">
        <v>3718</v>
      </c>
      <c r="D819">
        <v>248163132</v>
      </c>
      <c r="E819" t="s">
        <v>3171</v>
      </c>
      <c r="F819" t="s">
        <v>431</v>
      </c>
      <c r="G819" t="s">
        <v>149</v>
      </c>
      <c r="H819" t="s">
        <v>150</v>
      </c>
      <c r="I819" t="s">
        <v>88</v>
      </c>
      <c r="J819" t="s">
        <v>151</v>
      </c>
      <c r="K819" t="s">
        <v>2</v>
      </c>
      <c r="L819" t="s">
        <v>3719</v>
      </c>
      <c r="M819" t="s">
        <v>3720</v>
      </c>
      <c r="N819" t="s">
        <v>433</v>
      </c>
      <c r="O819" t="s">
        <v>53</v>
      </c>
      <c r="P819" t="s">
        <v>3721</v>
      </c>
      <c r="Q819" s="14" t="s">
        <v>91</v>
      </c>
      <c r="R819" t="s">
        <v>3664</v>
      </c>
      <c r="S819">
        <v>1.68</v>
      </c>
      <c r="T819">
        <v>5040</v>
      </c>
      <c r="U819">
        <v>0</v>
      </c>
      <c r="V819">
        <v>5040</v>
      </c>
    </row>
    <row r="820" spans="1:22" x14ac:dyDescent="0.25">
      <c r="A820">
        <v>187830</v>
      </c>
      <c r="B820">
        <v>130324945</v>
      </c>
      <c r="C820" t="s">
        <v>3722</v>
      </c>
      <c r="D820">
        <v>248163286</v>
      </c>
      <c r="E820" t="s">
        <v>3171</v>
      </c>
      <c r="F820" t="s">
        <v>431</v>
      </c>
      <c r="G820" t="s">
        <v>149</v>
      </c>
      <c r="H820" t="s">
        <v>150</v>
      </c>
      <c r="I820" t="s">
        <v>88</v>
      </c>
      <c r="J820" t="s">
        <v>151</v>
      </c>
      <c r="K820" t="s">
        <v>2</v>
      </c>
      <c r="L820" t="s">
        <v>3723</v>
      </c>
      <c r="M820" t="s">
        <v>3724</v>
      </c>
      <c r="N820" t="s">
        <v>433</v>
      </c>
      <c r="O820" t="s">
        <v>53</v>
      </c>
      <c r="P820" t="s">
        <v>3725</v>
      </c>
      <c r="Q820" s="14" t="s">
        <v>38</v>
      </c>
      <c r="R820" t="s">
        <v>3664</v>
      </c>
      <c r="S820">
        <v>1.48</v>
      </c>
      <c r="T820">
        <v>5040</v>
      </c>
      <c r="U820">
        <v>0</v>
      </c>
      <c r="V820">
        <v>5040</v>
      </c>
    </row>
    <row r="821" spans="1:22" x14ac:dyDescent="0.25">
      <c r="A821">
        <v>187830</v>
      </c>
      <c r="B821">
        <v>130324944</v>
      </c>
      <c r="C821" t="s">
        <v>3726</v>
      </c>
      <c r="D821">
        <v>248163257</v>
      </c>
      <c r="E821" t="s">
        <v>3171</v>
      </c>
      <c r="F821" t="s">
        <v>431</v>
      </c>
      <c r="G821" t="s">
        <v>149</v>
      </c>
      <c r="H821" t="s">
        <v>150</v>
      </c>
      <c r="I821" t="s">
        <v>88</v>
      </c>
      <c r="J821" t="s">
        <v>151</v>
      </c>
      <c r="K821" t="s">
        <v>2</v>
      </c>
      <c r="L821" t="s">
        <v>3727</v>
      </c>
      <c r="M821" t="s">
        <v>3728</v>
      </c>
      <c r="N821" t="s">
        <v>433</v>
      </c>
      <c r="O821" t="s">
        <v>53</v>
      </c>
      <c r="P821" t="s">
        <v>3729</v>
      </c>
      <c r="Q821" s="14" t="s">
        <v>99</v>
      </c>
      <c r="R821" t="s">
        <v>3664</v>
      </c>
      <c r="S821">
        <v>1.34</v>
      </c>
      <c r="T821">
        <v>4467</v>
      </c>
      <c r="U821">
        <v>0</v>
      </c>
      <c r="V821">
        <v>4467</v>
      </c>
    </row>
    <row r="822" spans="1:22" x14ac:dyDescent="0.25">
      <c r="A822">
        <v>187830</v>
      </c>
      <c r="B822">
        <v>130324939</v>
      </c>
      <c r="C822" t="s">
        <v>3730</v>
      </c>
      <c r="D822">
        <v>248163234</v>
      </c>
      <c r="E822" t="s">
        <v>3171</v>
      </c>
      <c r="F822" t="s">
        <v>431</v>
      </c>
      <c r="G822" t="s">
        <v>149</v>
      </c>
      <c r="H822" t="s">
        <v>150</v>
      </c>
      <c r="I822" t="s">
        <v>88</v>
      </c>
      <c r="J822" t="s">
        <v>151</v>
      </c>
      <c r="K822" t="s">
        <v>46</v>
      </c>
      <c r="L822" t="s">
        <v>194</v>
      </c>
      <c r="M822" t="s">
        <v>3731</v>
      </c>
      <c r="N822" t="s">
        <v>433</v>
      </c>
      <c r="O822" t="s">
        <v>53</v>
      </c>
      <c r="P822" t="s">
        <v>3732</v>
      </c>
      <c r="Q822" s="14" t="s">
        <v>122</v>
      </c>
      <c r="R822" t="s">
        <v>3664</v>
      </c>
      <c r="S822">
        <v>1.46</v>
      </c>
      <c r="T822">
        <v>5310</v>
      </c>
      <c r="U822">
        <v>0</v>
      </c>
      <c r="V822">
        <v>5310</v>
      </c>
    </row>
    <row r="823" spans="1:22" x14ac:dyDescent="0.25">
      <c r="A823">
        <v>187830</v>
      </c>
      <c r="B823">
        <v>130324924</v>
      </c>
      <c r="C823" t="s">
        <v>3733</v>
      </c>
      <c r="D823">
        <v>248163122</v>
      </c>
      <c r="E823" t="s">
        <v>3171</v>
      </c>
      <c r="F823" t="s">
        <v>431</v>
      </c>
      <c r="G823" t="s">
        <v>149</v>
      </c>
      <c r="H823" t="s">
        <v>150</v>
      </c>
      <c r="I823" t="s">
        <v>88</v>
      </c>
      <c r="J823" t="s">
        <v>151</v>
      </c>
      <c r="K823" t="s">
        <v>2</v>
      </c>
      <c r="L823" t="s">
        <v>3734</v>
      </c>
      <c r="M823" t="s">
        <v>3735</v>
      </c>
      <c r="N823" t="s">
        <v>433</v>
      </c>
      <c r="O823" t="s">
        <v>53</v>
      </c>
      <c r="P823" t="s">
        <v>3736</v>
      </c>
      <c r="Q823" s="14" t="s">
        <v>113</v>
      </c>
      <c r="R823" t="s">
        <v>3664</v>
      </c>
      <c r="S823">
        <v>1.41</v>
      </c>
      <c r="T823">
        <v>5310</v>
      </c>
      <c r="U823">
        <v>0</v>
      </c>
      <c r="V823">
        <v>5310</v>
      </c>
    </row>
    <row r="824" spans="1:22" x14ac:dyDescent="0.25">
      <c r="A824">
        <v>187830</v>
      </c>
      <c r="B824">
        <v>130851000</v>
      </c>
      <c r="C824" t="s">
        <v>3737</v>
      </c>
      <c r="D824" t="s">
        <v>3738</v>
      </c>
      <c r="E824" t="s">
        <v>3171</v>
      </c>
      <c r="F824" t="s">
        <v>431</v>
      </c>
      <c r="G824" t="s">
        <v>86</v>
      </c>
      <c r="H824" t="s">
        <v>87</v>
      </c>
      <c r="I824" t="s">
        <v>88</v>
      </c>
      <c r="J824" t="s">
        <v>89</v>
      </c>
      <c r="K824" t="s">
        <v>2</v>
      </c>
      <c r="L824" t="s">
        <v>90</v>
      </c>
      <c r="M824" t="s">
        <v>3739</v>
      </c>
      <c r="N824" t="s">
        <v>433</v>
      </c>
      <c r="O824" t="s">
        <v>53</v>
      </c>
      <c r="P824" t="s">
        <v>3740</v>
      </c>
      <c r="Q824" s="14" t="s">
        <v>47</v>
      </c>
      <c r="R824" t="s">
        <v>3424</v>
      </c>
      <c r="S824">
        <v>0.55000000000000004</v>
      </c>
      <c r="T824">
        <v>4481</v>
      </c>
      <c r="U824">
        <v>204.5</v>
      </c>
      <c r="V824">
        <v>4685.5</v>
      </c>
    </row>
    <row r="825" spans="1:22" x14ac:dyDescent="0.25">
      <c r="A825">
        <v>187830</v>
      </c>
      <c r="B825">
        <v>130885461</v>
      </c>
      <c r="C825" t="s">
        <v>3741</v>
      </c>
      <c r="D825" t="s">
        <v>3742</v>
      </c>
      <c r="E825" t="s">
        <v>3171</v>
      </c>
      <c r="F825" t="s">
        <v>431</v>
      </c>
      <c r="G825" t="s">
        <v>86</v>
      </c>
      <c r="H825" t="s">
        <v>87</v>
      </c>
      <c r="I825" t="s">
        <v>88</v>
      </c>
      <c r="J825" t="s">
        <v>89</v>
      </c>
      <c r="K825" t="s">
        <v>2</v>
      </c>
      <c r="L825" t="s">
        <v>90</v>
      </c>
      <c r="M825" t="s">
        <v>3743</v>
      </c>
      <c r="N825" t="s">
        <v>433</v>
      </c>
      <c r="O825" t="s">
        <v>53</v>
      </c>
      <c r="P825" t="s">
        <v>3744</v>
      </c>
      <c r="Q825" s="14" t="s">
        <v>47</v>
      </c>
      <c r="R825" t="s">
        <v>3416</v>
      </c>
      <c r="S825">
        <v>1.92</v>
      </c>
      <c r="T825">
        <v>4738</v>
      </c>
      <c r="U825">
        <v>439</v>
      </c>
      <c r="V825">
        <v>5177</v>
      </c>
    </row>
    <row r="826" spans="1:22" x14ac:dyDescent="0.25">
      <c r="A826">
        <v>187830</v>
      </c>
      <c r="B826">
        <v>130851002</v>
      </c>
      <c r="C826" t="s">
        <v>3745</v>
      </c>
      <c r="D826" t="s">
        <v>3746</v>
      </c>
      <c r="E826" t="s">
        <v>3171</v>
      </c>
      <c r="F826" t="s">
        <v>431</v>
      </c>
      <c r="G826" t="s">
        <v>86</v>
      </c>
      <c r="H826" t="s">
        <v>87</v>
      </c>
      <c r="I826" t="s">
        <v>88</v>
      </c>
      <c r="J826" t="s">
        <v>89</v>
      </c>
      <c r="K826" t="s">
        <v>2</v>
      </c>
      <c r="L826" t="s">
        <v>90</v>
      </c>
      <c r="M826" t="s">
        <v>3747</v>
      </c>
      <c r="N826" t="s">
        <v>433</v>
      </c>
      <c r="O826" t="s">
        <v>53</v>
      </c>
      <c r="P826" t="s">
        <v>3748</v>
      </c>
      <c r="Q826" s="14" t="s">
        <v>139</v>
      </c>
      <c r="R826" t="s">
        <v>3424</v>
      </c>
      <c r="S826">
        <v>1.54</v>
      </c>
      <c r="T826">
        <v>6115</v>
      </c>
      <c r="U826">
        <v>409</v>
      </c>
      <c r="V826">
        <v>6524</v>
      </c>
    </row>
    <row r="827" spans="1:22" x14ac:dyDescent="0.25">
      <c r="A827">
        <v>187830</v>
      </c>
      <c r="B827">
        <v>130885459</v>
      </c>
      <c r="C827" t="s">
        <v>3749</v>
      </c>
      <c r="D827" t="s">
        <v>3750</v>
      </c>
      <c r="E827" t="s">
        <v>3171</v>
      </c>
      <c r="F827" t="s">
        <v>431</v>
      </c>
      <c r="G827" t="s">
        <v>86</v>
      </c>
      <c r="H827" t="s">
        <v>87</v>
      </c>
      <c r="I827" t="s">
        <v>88</v>
      </c>
      <c r="J827" t="s">
        <v>89</v>
      </c>
      <c r="K827" t="s">
        <v>2</v>
      </c>
      <c r="L827" t="s">
        <v>90</v>
      </c>
      <c r="M827" t="s">
        <v>3751</v>
      </c>
      <c r="N827" t="s">
        <v>433</v>
      </c>
      <c r="O827" t="s">
        <v>53</v>
      </c>
      <c r="P827" t="s">
        <v>3752</v>
      </c>
      <c r="Q827" s="14" t="s">
        <v>117</v>
      </c>
      <c r="R827" t="s">
        <v>3416</v>
      </c>
      <c r="S827">
        <v>1.61</v>
      </c>
      <c r="T827">
        <v>4738</v>
      </c>
      <c r="U827">
        <v>234.5</v>
      </c>
      <c r="V827">
        <v>4972.5</v>
      </c>
    </row>
    <row r="828" spans="1:22" x14ac:dyDescent="0.25">
      <c r="A828">
        <v>187830</v>
      </c>
      <c r="B828">
        <v>130562464</v>
      </c>
      <c r="C828" t="s">
        <v>3753</v>
      </c>
      <c r="D828" t="s">
        <v>3754</v>
      </c>
      <c r="E828" t="s">
        <v>3171</v>
      </c>
      <c r="F828" t="s">
        <v>431</v>
      </c>
      <c r="G828" t="s">
        <v>86</v>
      </c>
      <c r="H828" t="s">
        <v>87</v>
      </c>
      <c r="I828" t="s">
        <v>88</v>
      </c>
      <c r="J828" t="s">
        <v>89</v>
      </c>
      <c r="K828" t="s">
        <v>2</v>
      </c>
      <c r="L828" t="s">
        <v>90</v>
      </c>
      <c r="M828" t="s">
        <v>3755</v>
      </c>
      <c r="N828" t="s">
        <v>433</v>
      </c>
      <c r="O828" t="s">
        <v>53</v>
      </c>
      <c r="P828" t="s">
        <v>3756</v>
      </c>
      <c r="Q828" s="14" t="s">
        <v>47</v>
      </c>
      <c r="R828" t="s">
        <v>421</v>
      </c>
      <c r="S828">
        <v>0.9</v>
      </c>
      <c r="T828">
        <v>4481</v>
      </c>
      <c r="U828">
        <v>244.9</v>
      </c>
      <c r="V828">
        <v>4725.8999999999996</v>
      </c>
    </row>
    <row r="829" spans="1:22" x14ac:dyDescent="0.25">
      <c r="A829">
        <v>187830</v>
      </c>
      <c r="B829">
        <v>130562455</v>
      </c>
      <c r="C829" t="s">
        <v>3757</v>
      </c>
      <c r="D829" t="s">
        <v>3758</v>
      </c>
      <c r="E829" t="s">
        <v>3171</v>
      </c>
      <c r="F829" t="s">
        <v>431</v>
      </c>
      <c r="G829" t="s">
        <v>86</v>
      </c>
      <c r="H829" t="s">
        <v>87</v>
      </c>
      <c r="I829" t="s">
        <v>88</v>
      </c>
      <c r="J829" t="s">
        <v>89</v>
      </c>
      <c r="K829" t="s">
        <v>2</v>
      </c>
      <c r="L829" t="s">
        <v>90</v>
      </c>
      <c r="M829" t="s">
        <v>3759</v>
      </c>
      <c r="N829" t="s">
        <v>433</v>
      </c>
      <c r="O829" t="s">
        <v>53</v>
      </c>
      <c r="P829" t="s">
        <v>3760</v>
      </c>
      <c r="Q829" s="14" t="s">
        <v>139</v>
      </c>
      <c r="R829" t="s">
        <v>421</v>
      </c>
      <c r="S829">
        <v>0.73</v>
      </c>
      <c r="T829">
        <v>5317</v>
      </c>
      <c r="U829">
        <v>326.95</v>
      </c>
      <c r="V829">
        <v>5643.95</v>
      </c>
    </row>
    <row r="830" spans="1:22" x14ac:dyDescent="0.25">
      <c r="A830">
        <v>187830</v>
      </c>
      <c r="B830">
        <v>130562454</v>
      </c>
      <c r="C830" t="s">
        <v>3761</v>
      </c>
      <c r="D830" t="s">
        <v>3762</v>
      </c>
      <c r="E830" t="s">
        <v>3171</v>
      </c>
      <c r="F830" t="s">
        <v>431</v>
      </c>
      <c r="G830" t="s">
        <v>86</v>
      </c>
      <c r="H830" t="s">
        <v>87</v>
      </c>
      <c r="I830" t="s">
        <v>88</v>
      </c>
      <c r="J830" t="s">
        <v>89</v>
      </c>
      <c r="K830" t="s">
        <v>2</v>
      </c>
      <c r="L830" t="s">
        <v>90</v>
      </c>
      <c r="M830" t="s">
        <v>274</v>
      </c>
      <c r="N830" t="s">
        <v>433</v>
      </c>
      <c r="O830" t="s">
        <v>53</v>
      </c>
      <c r="P830" t="s">
        <v>3763</v>
      </c>
      <c r="Q830" s="14" t="s">
        <v>130</v>
      </c>
      <c r="R830" t="s">
        <v>421</v>
      </c>
      <c r="S830">
        <v>0.6</v>
      </c>
      <c r="T830">
        <v>5317</v>
      </c>
      <c r="U830">
        <v>204.5</v>
      </c>
      <c r="V830">
        <v>5521.5</v>
      </c>
    </row>
    <row r="831" spans="1:22" x14ac:dyDescent="0.25">
      <c r="A831">
        <v>187830</v>
      </c>
      <c r="B831">
        <v>130562459</v>
      </c>
      <c r="C831" t="s">
        <v>3764</v>
      </c>
      <c r="D831" t="s">
        <v>3765</v>
      </c>
      <c r="E831" t="s">
        <v>3171</v>
      </c>
      <c r="F831" t="s">
        <v>431</v>
      </c>
      <c r="G831" t="s">
        <v>86</v>
      </c>
      <c r="H831" t="s">
        <v>87</v>
      </c>
      <c r="I831" t="s">
        <v>88</v>
      </c>
      <c r="J831" t="s">
        <v>89</v>
      </c>
      <c r="K831" t="s">
        <v>2</v>
      </c>
      <c r="L831" t="s">
        <v>90</v>
      </c>
      <c r="M831" t="s">
        <v>3766</v>
      </c>
      <c r="N831" t="s">
        <v>433</v>
      </c>
      <c r="O831" t="s">
        <v>53</v>
      </c>
      <c r="P831" t="s">
        <v>3767</v>
      </c>
      <c r="Q831" s="14" t="s">
        <v>130</v>
      </c>
      <c r="R831" t="s">
        <v>421</v>
      </c>
      <c r="S831">
        <v>1.48</v>
      </c>
      <c r="T831">
        <v>6023</v>
      </c>
      <c r="U831">
        <v>561.45000000000005</v>
      </c>
      <c r="V831">
        <v>6584.45</v>
      </c>
    </row>
    <row r="832" spans="1:22" x14ac:dyDescent="0.25">
      <c r="A832">
        <v>187830</v>
      </c>
      <c r="B832">
        <v>130562391</v>
      </c>
      <c r="C832" t="s">
        <v>3768</v>
      </c>
      <c r="D832" t="s">
        <v>3769</v>
      </c>
      <c r="E832" t="s">
        <v>3171</v>
      </c>
      <c r="F832" t="s">
        <v>431</v>
      </c>
      <c r="G832" t="s">
        <v>86</v>
      </c>
      <c r="H832" t="s">
        <v>87</v>
      </c>
      <c r="I832" t="s">
        <v>88</v>
      </c>
      <c r="J832" t="s">
        <v>89</v>
      </c>
      <c r="K832" t="s">
        <v>2</v>
      </c>
      <c r="L832" t="s">
        <v>90</v>
      </c>
      <c r="M832" t="s">
        <v>285</v>
      </c>
      <c r="N832" t="s">
        <v>433</v>
      </c>
      <c r="O832" t="s">
        <v>53</v>
      </c>
      <c r="P832" t="s">
        <v>3770</v>
      </c>
      <c r="Q832" s="14" t="s">
        <v>320</v>
      </c>
      <c r="R832" t="s">
        <v>3506</v>
      </c>
      <c r="S832">
        <v>1.98</v>
      </c>
      <c r="T832">
        <v>17424</v>
      </c>
      <c r="U832">
        <v>673.5</v>
      </c>
      <c r="V832">
        <v>18097.5</v>
      </c>
    </row>
    <row r="833" spans="1:22" x14ac:dyDescent="0.25">
      <c r="A833">
        <v>187830</v>
      </c>
      <c r="B833">
        <v>130378237</v>
      </c>
      <c r="C833" t="s">
        <v>3771</v>
      </c>
      <c r="D833" t="s">
        <v>3772</v>
      </c>
      <c r="E833" t="s">
        <v>3171</v>
      </c>
      <c r="F833" t="s">
        <v>431</v>
      </c>
      <c r="G833" t="s">
        <v>86</v>
      </c>
      <c r="H833" t="s">
        <v>87</v>
      </c>
      <c r="I833" t="s">
        <v>88</v>
      </c>
      <c r="J833" t="s">
        <v>89</v>
      </c>
      <c r="K833" t="s">
        <v>2</v>
      </c>
      <c r="L833" t="s">
        <v>90</v>
      </c>
      <c r="M833" t="s">
        <v>3773</v>
      </c>
      <c r="N833" t="s">
        <v>433</v>
      </c>
      <c r="O833" t="s">
        <v>53</v>
      </c>
      <c r="P833" t="s">
        <v>257</v>
      </c>
      <c r="Q833" s="14" t="s">
        <v>47</v>
      </c>
      <c r="R833" t="s">
        <v>3774</v>
      </c>
      <c r="S833">
        <v>0.57999999999999996</v>
      </c>
      <c r="T833">
        <v>4481</v>
      </c>
      <c r="U833">
        <v>191.5</v>
      </c>
      <c r="V833">
        <v>4672.5</v>
      </c>
    </row>
    <row r="834" spans="1:22" x14ac:dyDescent="0.25">
      <c r="A834">
        <v>187830</v>
      </c>
      <c r="B834">
        <v>130324936</v>
      </c>
      <c r="C834" t="s">
        <v>3775</v>
      </c>
      <c r="D834" t="s">
        <v>3776</v>
      </c>
      <c r="E834" t="s">
        <v>3171</v>
      </c>
      <c r="F834" t="s">
        <v>431</v>
      </c>
      <c r="G834" t="s">
        <v>86</v>
      </c>
      <c r="H834" t="s">
        <v>87</v>
      </c>
      <c r="I834" t="s">
        <v>88</v>
      </c>
      <c r="J834" t="s">
        <v>89</v>
      </c>
      <c r="K834" t="s">
        <v>2</v>
      </c>
      <c r="L834" t="s">
        <v>90</v>
      </c>
      <c r="M834" t="s">
        <v>3777</v>
      </c>
      <c r="N834" t="s">
        <v>433</v>
      </c>
      <c r="O834" t="s">
        <v>53</v>
      </c>
      <c r="P834" t="s">
        <v>3778</v>
      </c>
      <c r="Q834" s="14" t="s">
        <v>319</v>
      </c>
      <c r="R834" t="s">
        <v>3664</v>
      </c>
      <c r="S834">
        <v>0.56000000000000005</v>
      </c>
      <c r="T834">
        <v>6595</v>
      </c>
      <c r="U834">
        <v>204.5</v>
      </c>
      <c r="V834">
        <v>6799.5</v>
      </c>
    </row>
    <row r="835" spans="1:22" x14ac:dyDescent="0.25">
      <c r="A835">
        <v>187830</v>
      </c>
      <c r="B835">
        <v>130324937</v>
      </c>
      <c r="C835" t="s">
        <v>3779</v>
      </c>
      <c r="D835" t="s">
        <v>3780</v>
      </c>
      <c r="E835" t="s">
        <v>3171</v>
      </c>
      <c r="F835" t="s">
        <v>431</v>
      </c>
      <c r="G835" t="s">
        <v>86</v>
      </c>
      <c r="H835" t="s">
        <v>87</v>
      </c>
      <c r="I835" t="s">
        <v>88</v>
      </c>
      <c r="J835" t="s">
        <v>89</v>
      </c>
      <c r="K835" t="s">
        <v>2</v>
      </c>
      <c r="L835" t="s">
        <v>90</v>
      </c>
      <c r="M835" t="s">
        <v>3781</v>
      </c>
      <c r="N835" t="s">
        <v>433</v>
      </c>
      <c r="O835" t="s">
        <v>53</v>
      </c>
      <c r="P835" t="s">
        <v>3782</v>
      </c>
      <c r="Q835" s="14" t="s">
        <v>139</v>
      </c>
      <c r="R835" t="s">
        <v>3664</v>
      </c>
      <c r="S835">
        <v>0.54</v>
      </c>
      <c r="T835">
        <v>5317</v>
      </c>
      <c r="U835">
        <v>204.5</v>
      </c>
      <c r="V835">
        <v>5521.5</v>
      </c>
    </row>
    <row r="836" spans="1:22" x14ac:dyDescent="0.25">
      <c r="A836">
        <v>187830</v>
      </c>
      <c r="B836">
        <v>131055231</v>
      </c>
      <c r="C836" t="s">
        <v>3783</v>
      </c>
      <c r="D836" t="s">
        <v>3784</v>
      </c>
      <c r="E836" t="s">
        <v>3171</v>
      </c>
      <c r="F836" t="s">
        <v>431</v>
      </c>
      <c r="G836" t="s">
        <v>39</v>
      </c>
      <c r="H836" t="s">
        <v>153</v>
      </c>
      <c r="I836" t="s">
        <v>88</v>
      </c>
      <c r="J836" t="s">
        <v>154</v>
      </c>
      <c r="K836" t="s">
        <v>2</v>
      </c>
      <c r="L836" t="s">
        <v>155</v>
      </c>
      <c r="M836" t="s">
        <v>3785</v>
      </c>
      <c r="N836" t="s">
        <v>433</v>
      </c>
      <c r="O836" t="s">
        <v>53</v>
      </c>
      <c r="P836" t="s">
        <v>3786</v>
      </c>
      <c r="Q836" s="14" t="s">
        <v>199</v>
      </c>
      <c r="R836" t="s">
        <v>3192</v>
      </c>
      <c r="S836">
        <v>2.65</v>
      </c>
      <c r="T836">
        <v>6708</v>
      </c>
      <c r="U836">
        <v>0</v>
      </c>
      <c r="V836">
        <v>6708</v>
      </c>
    </row>
    <row r="837" spans="1:22" x14ac:dyDescent="0.25">
      <c r="A837">
        <v>187830</v>
      </c>
      <c r="B837">
        <v>130727792</v>
      </c>
      <c r="C837" t="s">
        <v>3787</v>
      </c>
      <c r="D837" t="s">
        <v>3788</v>
      </c>
      <c r="E837" t="s">
        <v>3171</v>
      </c>
      <c r="F837" t="s">
        <v>431</v>
      </c>
      <c r="G837" t="s">
        <v>39</v>
      </c>
      <c r="H837" t="s">
        <v>153</v>
      </c>
      <c r="I837" t="s">
        <v>88</v>
      </c>
      <c r="J837" t="s">
        <v>154</v>
      </c>
      <c r="K837" t="s">
        <v>2</v>
      </c>
      <c r="L837" t="s">
        <v>155</v>
      </c>
      <c r="M837" t="s">
        <v>3789</v>
      </c>
      <c r="N837" t="s">
        <v>433</v>
      </c>
      <c r="O837" t="s">
        <v>53</v>
      </c>
      <c r="P837" t="s">
        <v>3790</v>
      </c>
      <c r="Q837" s="14" t="s">
        <v>70</v>
      </c>
      <c r="R837" t="s">
        <v>3791</v>
      </c>
      <c r="S837">
        <v>2.12</v>
      </c>
      <c r="T837">
        <v>4168</v>
      </c>
      <c r="U837">
        <v>0</v>
      </c>
      <c r="V837">
        <v>4168</v>
      </c>
    </row>
    <row r="838" spans="1:22" x14ac:dyDescent="0.25">
      <c r="A838">
        <v>187830</v>
      </c>
      <c r="B838">
        <v>130563268</v>
      </c>
      <c r="C838" t="s">
        <v>3792</v>
      </c>
      <c r="D838" t="s">
        <v>3793</v>
      </c>
      <c r="E838" t="s">
        <v>3171</v>
      </c>
      <c r="F838" t="s">
        <v>431</v>
      </c>
      <c r="G838" t="s">
        <v>39</v>
      </c>
      <c r="H838" t="s">
        <v>153</v>
      </c>
      <c r="I838" t="s">
        <v>88</v>
      </c>
      <c r="J838" t="s">
        <v>154</v>
      </c>
      <c r="K838" t="s">
        <v>2</v>
      </c>
      <c r="L838" t="s">
        <v>155</v>
      </c>
      <c r="M838" t="s">
        <v>3794</v>
      </c>
      <c r="N838" t="s">
        <v>433</v>
      </c>
      <c r="O838" t="s">
        <v>53</v>
      </c>
      <c r="P838" t="s">
        <v>3795</v>
      </c>
      <c r="Q838" s="14" t="s">
        <v>69</v>
      </c>
      <c r="R838" t="s">
        <v>3796</v>
      </c>
      <c r="S838">
        <v>1.54</v>
      </c>
      <c r="T838">
        <v>4168</v>
      </c>
      <c r="U838">
        <v>0</v>
      </c>
      <c r="V838">
        <v>4168</v>
      </c>
    </row>
    <row r="839" spans="1:22" x14ac:dyDescent="0.25">
      <c r="A839">
        <v>187830</v>
      </c>
      <c r="B839">
        <v>130562380</v>
      </c>
      <c r="C839" t="s">
        <v>3797</v>
      </c>
      <c r="D839" t="s">
        <v>3798</v>
      </c>
      <c r="E839" t="s">
        <v>3171</v>
      </c>
      <c r="F839" t="s">
        <v>431</v>
      </c>
      <c r="G839" t="s">
        <v>39</v>
      </c>
      <c r="H839" t="s">
        <v>153</v>
      </c>
      <c r="I839" t="s">
        <v>88</v>
      </c>
      <c r="J839" t="s">
        <v>154</v>
      </c>
      <c r="K839" t="s">
        <v>2</v>
      </c>
      <c r="L839" t="s">
        <v>155</v>
      </c>
      <c r="M839" t="s">
        <v>275</v>
      </c>
      <c r="N839" t="s">
        <v>433</v>
      </c>
      <c r="O839" t="s">
        <v>53</v>
      </c>
      <c r="P839" t="s">
        <v>3799</v>
      </c>
      <c r="Q839" s="14" t="s">
        <v>69</v>
      </c>
      <c r="R839" t="s">
        <v>3506</v>
      </c>
      <c r="S839">
        <v>1.37</v>
      </c>
      <c r="T839">
        <v>3915</v>
      </c>
      <c r="U839">
        <v>0</v>
      </c>
      <c r="V839">
        <v>3915</v>
      </c>
    </row>
    <row r="840" spans="1:22" x14ac:dyDescent="0.25">
      <c r="A840">
        <v>187830</v>
      </c>
      <c r="B840">
        <v>130562498</v>
      </c>
      <c r="C840" t="s">
        <v>3800</v>
      </c>
      <c r="D840" t="s">
        <v>3801</v>
      </c>
      <c r="E840" t="s">
        <v>3171</v>
      </c>
      <c r="F840" t="s">
        <v>431</v>
      </c>
      <c r="G840" t="s">
        <v>39</v>
      </c>
      <c r="H840" t="s">
        <v>153</v>
      </c>
      <c r="I840" t="s">
        <v>88</v>
      </c>
      <c r="J840" t="s">
        <v>154</v>
      </c>
      <c r="K840" t="s">
        <v>2</v>
      </c>
      <c r="L840" t="s">
        <v>155</v>
      </c>
      <c r="M840" t="s">
        <v>275</v>
      </c>
      <c r="N840" t="s">
        <v>433</v>
      </c>
      <c r="O840" t="s">
        <v>53</v>
      </c>
      <c r="P840" t="s">
        <v>3799</v>
      </c>
      <c r="Q840" s="14" t="s">
        <v>69</v>
      </c>
      <c r="R840" t="s">
        <v>3802</v>
      </c>
      <c r="S840">
        <v>1.33</v>
      </c>
      <c r="T840">
        <v>3915</v>
      </c>
      <c r="U840">
        <v>0</v>
      </c>
      <c r="V840">
        <v>3915</v>
      </c>
    </row>
    <row r="841" spans="1:22" x14ac:dyDescent="0.25">
      <c r="A841">
        <v>187830</v>
      </c>
      <c r="B841">
        <v>130562399</v>
      </c>
      <c r="C841" t="s">
        <v>3803</v>
      </c>
      <c r="D841" t="s">
        <v>3804</v>
      </c>
      <c r="E841" t="s">
        <v>3171</v>
      </c>
      <c r="F841" t="s">
        <v>431</v>
      </c>
      <c r="G841" t="s">
        <v>39</v>
      </c>
      <c r="H841" t="s">
        <v>153</v>
      </c>
      <c r="I841" t="s">
        <v>88</v>
      </c>
      <c r="J841" t="s">
        <v>154</v>
      </c>
      <c r="K841" t="s">
        <v>2</v>
      </c>
      <c r="L841" t="s">
        <v>155</v>
      </c>
      <c r="M841" t="s">
        <v>3805</v>
      </c>
      <c r="N841" t="s">
        <v>433</v>
      </c>
      <c r="O841" t="s">
        <v>53</v>
      </c>
      <c r="P841" t="s">
        <v>3806</v>
      </c>
      <c r="Q841" s="14" t="s">
        <v>147</v>
      </c>
      <c r="R841" t="s">
        <v>3506</v>
      </c>
      <c r="S841">
        <v>1.63</v>
      </c>
      <c r="T841">
        <v>7326</v>
      </c>
      <c r="U841">
        <v>0</v>
      </c>
      <c r="V841">
        <v>7326</v>
      </c>
    </row>
    <row r="842" spans="1:22" x14ac:dyDescent="0.25">
      <c r="A842">
        <v>187830</v>
      </c>
      <c r="B842">
        <v>130562461</v>
      </c>
      <c r="C842" t="s">
        <v>3807</v>
      </c>
      <c r="D842" t="s">
        <v>3808</v>
      </c>
      <c r="E842" t="s">
        <v>3171</v>
      </c>
      <c r="F842" t="s">
        <v>431</v>
      </c>
      <c r="G842" t="s">
        <v>39</v>
      </c>
      <c r="H842" t="s">
        <v>153</v>
      </c>
      <c r="I842" t="s">
        <v>88</v>
      </c>
      <c r="J842" t="s">
        <v>154</v>
      </c>
      <c r="K842" t="s">
        <v>2</v>
      </c>
      <c r="L842" t="s">
        <v>155</v>
      </c>
      <c r="M842" t="s">
        <v>3809</v>
      </c>
      <c r="N842" t="s">
        <v>433</v>
      </c>
      <c r="O842" t="s">
        <v>53</v>
      </c>
      <c r="P842" t="s">
        <v>3810</v>
      </c>
      <c r="Q842" s="14" t="s">
        <v>187</v>
      </c>
      <c r="R842" t="s">
        <v>421</v>
      </c>
      <c r="S842">
        <v>1.28</v>
      </c>
      <c r="T842">
        <v>6381</v>
      </c>
      <c r="U842">
        <v>0</v>
      </c>
      <c r="V842">
        <v>6381</v>
      </c>
    </row>
    <row r="843" spans="1:22" x14ac:dyDescent="0.25">
      <c r="A843">
        <v>187830</v>
      </c>
      <c r="B843">
        <v>130562400</v>
      </c>
      <c r="C843" t="s">
        <v>3811</v>
      </c>
      <c r="D843" t="s">
        <v>3812</v>
      </c>
      <c r="E843" t="s">
        <v>3171</v>
      </c>
      <c r="F843" t="s">
        <v>431</v>
      </c>
      <c r="G843" t="s">
        <v>39</v>
      </c>
      <c r="H843" t="s">
        <v>153</v>
      </c>
      <c r="I843" t="s">
        <v>88</v>
      </c>
      <c r="J843" t="s">
        <v>154</v>
      </c>
      <c r="K843" t="s">
        <v>2</v>
      </c>
      <c r="L843" t="s">
        <v>155</v>
      </c>
      <c r="M843" t="s">
        <v>3813</v>
      </c>
      <c r="N843" t="s">
        <v>433</v>
      </c>
      <c r="O843" t="s">
        <v>53</v>
      </c>
      <c r="P843" t="s">
        <v>3814</v>
      </c>
      <c r="Q843" s="14" t="s">
        <v>61</v>
      </c>
      <c r="R843" t="s">
        <v>3506</v>
      </c>
      <c r="S843">
        <v>2.4500000000000002</v>
      </c>
      <c r="T843">
        <v>4168</v>
      </c>
      <c r="U843">
        <v>0</v>
      </c>
      <c r="V843">
        <v>4168</v>
      </c>
    </row>
    <row r="844" spans="1:22" x14ac:dyDescent="0.25">
      <c r="A844">
        <v>187830</v>
      </c>
      <c r="B844">
        <v>130365335</v>
      </c>
      <c r="C844" t="s">
        <v>3815</v>
      </c>
      <c r="D844" t="s">
        <v>3816</v>
      </c>
      <c r="E844" t="s">
        <v>3171</v>
      </c>
      <c r="F844" t="s">
        <v>431</v>
      </c>
      <c r="G844" t="s">
        <v>39</v>
      </c>
      <c r="H844" t="s">
        <v>153</v>
      </c>
      <c r="I844" t="s">
        <v>88</v>
      </c>
      <c r="J844" t="s">
        <v>154</v>
      </c>
      <c r="K844" t="s">
        <v>2</v>
      </c>
      <c r="L844" t="s">
        <v>155</v>
      </c>
      <c r="M844" t="s">
        <v>3817</v>
      </c>
      <c r="N844" t="s">
        <v>433</v>
      </c>
      <c r="O844" t="s">
        <v>53</v>
      </c>
      <c r="P844" t="s">
        <v>3818</v>
      </c>
      <c r="Q844" s="14" t="s">
        <v>61</v>
      </c>
      <c r="R844" t="s">
        <v>392</v>
      </c>
      <c r="S844">
        <v>1.18</v>
      </c>
      <c r="T844">
        <v>3915</v>
      </c>
      <c r="U844">
        <v>0</v>
      </c>
      <c r="V844">
        <v>3915</v>
      </c>
    </row>
    <row r="845" spans="1:22" x14ac:dyDescent="0.25">
      <c r="A845">
        <v>148303</v>
      </c>
      <c r="B845">
        <v>131248827</v>
      </c>
      <c r="C845" t="s">
        <v>3819</v>
      </c>
      <c r="D845" t="s">
        <v>3820</v>
      </c>
      <c r="E845" t="s">
        <v>3821</v>
      </c>
      <c r="F845" t="s">
        <v>431</v>
      </c>
      <c r="G845" t="s">
        <v>83</v>
      </c>
      <c r="H845" t="s">
        <v>205</v>
      </c>
      <c r="I845" t="s">
        <v>88</v>
      </c>
      <c r="J845" t="s">
        <v>209</v>
      </c>
      <c r="K845" t="s">
        <v>2</v>
      </c>
      <c r="L845" t="s">
        <v>166</v>
      </c>
      <c r="M845" t="s">
        <v>3822</v>
      </c>
      <c r="N845" t="s">
        <v>433</v>
      </c>
      <c r="O845" t="s">
        <v>53</v>
      </c>
      <c r="P845" t="s">
        <v>3823</v>
      </c>
      <c r="Q845" s="14" t="s">
        <v>49</v>
      </c>
      <c r="R845" t="s">
        <v>3824</v>
      </c>
      <c r="S845">
        <v>1</v>
      </c>
      <c r="T845">
        <v>2706</v>
      </c>
      <c r="U845">
        <v>0</v>
      </c>
      <c r="V845">
        <v>2706</v>
      </c>
    </row>
    <row r="846" spans="1:22" x14ac:dyDescent="0.25">
      <c r="A846">
        <v>148303</v>
      </c>
      <c r="B846">
        <v>131240144</v>
      </c>
      <c r="C846" t="s">
        <v>3825</v>
      </c>
      <c r="D846" t="s">
        <v>3826</v>
      </c>
      <c r="E846" t="s">
        <v>3821</v>
      </c>
      <c r="F846" t="s">
        <v>431</v>
      </c>
      <c r="G846" t="s">
        <v>83</v>
      </c>
      <c r="H846" t="s">
        <v>205</v>
      </c>
      <c r="I846" t="s">
        <v>88</v>
      </c>
      <c r="J846" t="s">
        <v>209</v>
      </c>
      <c r="K846" t="s">
        <v>2</v>
      </c>
      <c r="L846" t="s">
        <v>166</v>
      </c>
      <c r="M846" t="s">
        <v>3827</v>
      </c>
      <c r="N846" t="s">
        <v>433</v>
      </c>
      <c r="O846" t="s">
        <v>53</v>
      </c>
      <c r="P846" t="s">
        <v>3828</v>
      </c>
      <c r="Q846" s="14" t="s">
        <v>72</v>
      </c>
      <c r="R846" t="s">
        <v>3829</v>
      </c>
      <c r="S846">
        <v>1</v>
      </c>
      <c r="T846">
        <v>2706</v>
      </c>
      <c r="U846">
        <v>0</v>
      </c>
      <c r="V846">
        <v>2706</v>
      </c>
    </row>
    <row r="847" spans="1:22" x14ac:dyDescent="0.25">
      <c r="A847">
        <v>148303</v>
      </c>
      <c r="B847">
        <v>130955406</v>
      </c>
      <c r="C847" t="s">
        <v>3830</v>
      </c>
      <c r="D847">
        <v>249604263</v>
      </c>
      <c r="E847" t="s">
        <v>3821</v>
      </c>
      <c r="F847" t="s">
        <v>431</v>
      </c>
      <c r="G847" t="s">
        <v>149</v>
      </c>
      <c r="H847" t="s">
        <v>150</v>
      </c>
      <c r="I847" t="s">
        <v>88</v>
      </c>
      <c r="J847" t="s">
        <v>151</v>
      </c>
      <c r="K847" t="s">
        <v>254</v>
      </c>
      <c r="L847" t="s">
        <v>248</v>
      </c>
      <c r="M847" t="s">
        <v>3831</v>
      </c>
      <c r="N847" t="s">
        <v>433</v>
      </c>
      <c r="O847" t="s">
        <v>53</v>
      </c>
      <c r="P847" t="s">
        <v>3832</v>
      </c>
      <c r="Q847" s="14" t="s">
        <v>99</v>
      </c>
      <c r="R847" t="s">
        <v>3833</v>
      </c>
      <c r="S847">
        <v>0.15</v>
      </c>
      <c r="T847">
        <v>4219</v>
      </c>
      <c r="U847">
        <v>0</v>
      </c>
      <c r="V847">
        <v>4219</v>
      </c>
    </row>
    <row r="848" spans="1:22" x14ac:dyDescent="0.25">
      <c r="A848">
        <v>148303</v>
      </c>
      <c r="B848">
        <v>130998952</v>
      </c>
      <c r="C848" t="s">
        <v>3834</v>
      </c>
      <c r="D848" t="s">
        <v>3835</v>
      </c>
      <c r="E848" t="s">
        <v>3821</v>
      </c>
      <c r="F848" t="s">
        <v>431</v>
      </c>
      <c r="G848" t="s">
        <v>39</v>
      </c>
      <c r="H848" t="s">
        <v>153</v>
      </c>
      <c r="I848" t="s">
        <v>88</v>
      </c>
      <c r="J848" t="s">
        <v>154</v>
      </c>
      <c r="K848" t="s">
        <v>2</v>
      </c>
      <c r="L848" t="s">
        <v>155</v>
      </c>
      <c r="M848" t="s">
        <v>3836</v>
      </c>
      <c r="N848" t="s">
        <v>433</v>
      </c>
      <c r="O848" t="s">
        <v>53</v>
      </c>
      <c r="P848" t="s">
        <v>3837</v>
      </c>
      <c r="Q848" s="14" t="s">
        <v>3838</v>
      </c>
      <c r="R848" t="s">
        <v>3839</v>
      </c>
      <c r="S848">
        <v>1.58</v>
      </c>
      <c r="T848">
        <v>7326</v>
      </c>
      <c r="U848">
        <v>0</v>
      </c>
      <c r="V848">
        <v>7326</v>
      </c>
    </row>
    <row r="849" spans="1:22" x14ac:dyDescent="0.25">
      <c r="A849">
        <v>148303</v>
      </c>
      <c r="B849">
        <v>131021023</v>
      </c>
      <c r="C849" t="s">
        <v>3840</v>
      </c>
      <c r="D849" t="s">
        <v>3841</v>
      </c>
      <c r="E849" t="s">
        <v>3821</v>
      </c>
      <c r="F849" t="s">
        <v>431</v>
      </c>
      <c r="G849" t="s">
        <v>39</v>
      </c>
      <c r="H849" t="s">
        <v>153</v>
      </c>
      <c r="I849" t="s">
        <v>88</v>
      </c>
      <c r="J849" t="s">
        <v>154</v>
      </c>
      <c r="K849" t="s">
        <v>2</v>
      </c>
      <c r="L849" t="s">
        <v>155</v>
      </c>
      <c r="M849" t="s">
        <v>3842</v>
      </c>
      <c r="N849" t="s">
        <v>433</v>
      </c>
      <c r="O849" t="s">
        <v>53</v>
      </c>
      <c r="P849" t="s">
        <v>3843</v>
      </c>
      <c r="Q849" s="14" t="s">
        <v>196</v>
      </c>
      <c r="R849" t="s">
        <v>3844</v>
      </c>
      <c r="S849">
        <v>1.75</v>
      </c>
      <c r="T849">
        <v>7015</v>
      </c>
      <c r="U849">
        <v>0</v>
      </c>
      <c r="V849">
        <v>7015</v>
      </c>
    </row>
    <row r="850" spans="1:22" x14ac:dyDescent="0.25">
      <c r="A850">
        <v>148303</v>
      </c>
      <c r="B850">
        <v>130920798</v>
      </c>
      <c r="C850" t="s">
        <v>3845</v>
      </c>
      <c r="D850" t="s">
        <v>3846</v>
      </c>
      <c r="E850" t="s">
        <v>3821</v>
      </c>
      <c r="F850" t="s">
        <v>431</v>
      </c>
      <c r="G850" t="s">
        <v>39</v>
      </c>
      <c r="H850" t="s">
        <v>153</v>
      </c>
      <c r="I850" t="s">
        <v>88</v>
      </c>
      <c r="J850" t="s">
        <v>154</v>
      </c>
      <c r="K850" t="s">
        <v>2</v>
      </c>
      <c r="L850" t="s">
        <v>155</v>
      </c>
      <c r="M850" t="s">
        <v>3847</v>
      </c>
      <c r="N850" t="s">
        <v>433</v>
      </c>
      <c r="O850" t="s">
        <v>53</v>
      </c>
      <c r="P850" t="s">
        <v>3848</v>
      </c>
      <c r="Q850" s="14" t="s">
        <v>111</v>
      </c>
      <c r="R850" t="s">
        <v>3849</v>
      </c>
      <c r="S850">
        <v>4.07</v>
      </c>
      <c r="T850">
        <v>8646</v>
      </c>
      <c r="U850">
        <v>0</v>
      </c>
      <c r="V850">
        <v>8646</v>
      </c>
    </row>
    <row r="851" spans="1:22" x14ac:dyDescent="0.25">
      <c r="A851">
        <v>148303</v>
      </c>
      <c r="B851">
        <v>131040295</v>
      </c>
      <c r="C851" t="s">
        <v>3850</v>
      </c>
      <c r="D851" t="s">
        <v>3851</v>
      </c>
      <c r="E851" t="s">
        <v>3821</v>
      </c>
      <c r="F851" t="s">
        <v>431</v>
      </c>
      <c r="G851" t="s">
        <v>39</v>
      </c>
      <c r="H851" t="s">
        <v>153</v>
      </c>
      <c r="I851" t="s">
        <v>88</v>
      </c>
      <c r="J851" t="s">
        <v>154</v>
      </c>
      <c r="K851" t="s">
        <v>2</v>
      </c>
      <c r="L851" t="s">
        <v>155</v>
      </c>
      <c r="M851" t="s">
        <v>3852</v>
      </c>
      <c r="N851" t="s">
        <v>433</v>
      </c>
      <c r="O851" t="s">
        <v>53</v>
      </c>
      <c r="P851" t="s">
        <v>3853</v>
      </c>
      <c r="Q851" s="14" t="s">
        <v>119</v>
      </c>
      <c r="R851" t="s">
        <v>3854</v>
      </c>
      <c r="S851">
        <v>3.82</v>
      </c>
      <c r="T851">
        <v>8964</v>
      </c>
      <c r="U851">
        <v>0</v>
      </c>
      <c r="V851">
        <v>8964</v>
      </c>
    </row>
    <row r="852" spans="1:22" x14ac:dyDescent="0.25">
      <c r="A852">
        <v>148303</v>
      </c>
      <c r="B852">
        <v>130958811</v>
      </c>
      <c r="C852" t="s">
        <v>3855</v>
      </c>
      <c r="D852" t="s">
        <v>3856</v>
      </c>
      <c r="E852" t="s">
        <v>3821</v>
      </c>
      <c r="F852" t="s">
        <v>431</v>
      </c>
      <c r="G852" t="s">
        <v>39</v>
      </c>
      <c r="H852" t="s">
        <v>153</v>
      </c>
      <c r="I852" t="s">
        <v>88</v>
      </c>
      <c r="J852" t="s">
        <v>154</v>
      </c>
      <c r="K852" t="s">
        <v>2</v>
      </c>
      <c r="L852" t="s">
        <v>155</v>
      </c>
      <c r="M852" t="s">
        <v>3857</v>
      </c>
      <c r="N852" t="s">
        <v>433</v>
      </c>
      <c r="O852" t="s">
        <v>53</v>
      </c>
      <c r="P852" t="s">
        <v>3858</v>
      </c>
      <c r="Q852" s="14" t="s">
        <v>61</v>
      </c>
      <c r="R852" t="s">
        <v>3859</v>
      </c>
      <c r="S852">
        <v>2.74</v>
      </c>
      <c r="T852">
        <v>4168</v>
      </c>
      <c r="U852">
        <v>0</v>
      </c>
      <c r="V852">
        <v>4168</v>
      </c>
    </row>
    <row r="853" spans="1:22" x14ac:dyDescent="0.25">
      <c r="A853">
        <v>148303</v>
      </c>
      <c r="B853">
        <v>130979765</v>
      </c>
      <c r="C853" t="s">
        <v>3860</v>
      </c>
      <c r="D853" t="s">
        <v>3861</v>
      </c>
      <c r="E853" t="s">
        <v>3821</v>
      </c>
      <c r="F853" t="s">
        <v>431</v>
      </c>
      <c r="G853" t="s">
        <v>39</v>
      </c>
      <c r="H853" t="s">
        <v>153</v>
      </c>
      <c r="I853" t="s">
        <v>88</v>
      </c>
      <c r="J853" t="s">
        <v>154</v>
      </c>
      <c r="K853" t="s">
        <v>2</v>
      </c>
      <c r="L853" t="s">
        <v>155</v>
      </c>
      <c r="M853" t="s">
        <v>3862</v>
      </c>
      <c r="N853" t="s">
        <v>433</v>
      </c>
      <c r="O853" t="s">
        <v>53</v>
      </c>
      <c r="P853" t="s">
        <v>3863</v>
      </c>
      <c r="Q853" s="14" t="s">
        <v>128</v>
      </c>
      <c r="R853" t="s">
        <v>141</v>
      </c>
      <c r="S853">
        <v>5.2</v>
      </c>
      <c r="T853">
        <v>10722</v>
      </c>
      <c r="U853">
        <v>0</v>
      </c>
      <c r="V853">
        <v>10722</v>
      </c>
    </row>
    <row r="854" spans="1:22" x14ac:dyDescent="0.25">
      <c r="A854">
        <v>148303</v>
      </c>
      <c r="B854">
        <v>130865707</v>
      </c>
      <c r="C854" t="s">
        <v>3864</v>
      </c>
      <c r="D854" t="s">
        <v>3865</v>
      </c>
      <c r="E854" t="s">
        <v>3821</v>
      </c>
      <c r="F854" t="s">
        <v>431</v>
      </c>
      <c r="G854" t="s">
        <v>39</v>
      </c>
      <c r="H854" t="s">
        <v>153</v>
      </c>
      <c r="I854" t="s">
        <v>88</v>
      </c>
      <c r="J854" t="s">
        <v>154</v>
      </c>
      <c r="K854" t="s">
        <v>2</v>
      </c>
      <c r="L854" t="s">
        <v>155</v>
      </c>
      <c r="M854" t="s">
        <v>3866</v>
      </c>
      <c r="N854" t="s">
        <v>433</v>
      </c>
      <c r="O854" t="s">
        <v>53</v>
      </c>
      <c r="P854" t="s">
        <v>3867</v>
      </c>
      <c r="Q854" s="14" t="s">
        <v>52</v>
      </c>
      <c r="R854" t="s">
        <v>252</v>
      </c>
      <c r="S854">
        <v>3.9</v>
      </c>
      <c r="T854">
        <v>4537</v>
      </c>
      <c r="U854">
        <v>0</v>
      </c>
      <c r="V854">
        <v>4537</v>
      </c>
    </row>
    <row r="855" spans="1:22" x14ac:dyDescent="0.25">
      <c r="A855">
        <v>148303</v>
      </c>
      <c r="B855">
        <v>130861974</v>
      </c>
      <c r="C855" t="s">
        <v>3868</v>
      </c>
      <c r="D855" t="s">
        <v>3869</v>
      </c>
      <c r="E855" t="s">
        <v>3821</v>
      </c>
      <c r="F855" t="s">
        <v>431</v>
      </c>
      <c r="G855" t="s">
        <v>39</v>
      </c>
      <c r="H855" t="s">
        <v>153</v>
      </c>
      <c r="I855" t="s">
        <v>88</v>
      </c>
      <c r="J855" t="s">
        <v>154</v>
      </c>
      <c r="K855" t="s">
        <v>2</v>
      </c>
      <c r="L855" t="s">
        <v>155</v>
      </c>
      <c r="M855" t="s">
        <v>3870</v>
      </c>
      <c r="N855" t="s">
        <v>433</v>
      </c>
      <c r="O855" t="s">
        <v>53</v>
      </c>
      <c r="P855" t="s">
        <v>3871</v>
      </c>
      <c r="Q855" s="14" t="s">
        <v>106</v>
      </c>
      <c r="R855" t="s">
        <v>3872</v>
      </c>
      <c r="S855">
        <v>3.9</v>
      </c>
      <c r="T855">
        <v>7224</v>
      </c>
      <c r="U855">
        <v>0</v>
      </c>
      <c r="V855">
        <v>7224</v>
      </c>
    </row>
    <row r="856" spans="1:22" x14ac:dyDescent="0.25">
      <c r="A856">
        <v>148303</v>
      </c>
      <c r="B856">
        <v>130923749</v>
      </c>
      <c r="C856" t="s">
        <v>3873</v>
      </c>
      <c r="D856" t="s">
        <v>3874</v>
      </c>
      <c r="E856" t="s">
        <v>3821</v>
      </c>
      <c r="F856" t="s">
        <v>431</v>
      </c>
      <c r="G856" t="s">
        <v>39</v>
      </c>
      <c r="H856" t="s">
        <v>153</v>
      </c>
      <c r="I856" t="s">
        <v>88</v>
      </c>
      <c r="J856" t="s">
        <v>154</v>
      </c>
      <c r="K856" t="s">
        <v>2</v>
      </c>
      <c r="L856" t="s">
        <v>155</v>
      </c>
      <c r="M856" t="s">
        <v>3875</v>
      </c>
      <c r="N856" t="s">
        <v>433</v>
      </c>
      <c r="O856" t="s">
        <v>53</v>
      </c>
      <c r="P856" t="s">
        <v>3876</v>
      </c>
      <c r="Q856" s="14" t="s">
        <v>111</v>
      </c>
      <c r="R856" t="s">
        <v>249</v>
      </c>
      <c r="S856">
        <v>1.76</v>
      </c>
      <c r="T856">
        <v>8639</v>
      </c>
      <c r="U856">
        <v>0</v>
      </c>
      <c r="V856">
        <v>8639</v>
      </c>
    </row>
    <row r="857" spans="1:22" x14ac:dyDescent="0.25">
      <c r="A857">
        <v>148303</v>
      </c>
      <c r="B857">
        <v>130923344</v>
      </c>
      <c r="C857" t="s">
        <v>3877</v>
      </c>
      <c r="D857" t="s">
        <v>3878</v>
      </c>
      <c r="E857" t="s">
        <v>3821</v>
      </c>
      <c r="F857" t="s">
        <v>431</v>
      </c>
      <c r="G857" t="s">
        <v>39</v>
      </c>
      <c r="H857" t="s">
        <v>153</v>
      </c>
      <c r="I857" t="s">
        <v>88</v>
      </c>
      <c r="J857" t="s">
        <v>154</v>
      </c>
      <c r="K857" t="s">
        <v>2</v>
      </c>
      <c r="L857" t="s">
        <v>155</v>
      </c>
      <c r="M857" t="s">
        <v>3879</v>
      </c>
      <c r="N857" t="s">
        <v>433</v>
      </c>
      <c r="O857" t="s">
        <v>53</v>
      </c>
      <c r="P857" t="s">
        <v>3880</v>
      </c>
      <c r="Q857" s="14" t="s">
        <v>326</v>
      </c>
      <c r="R857" t="s">
        <v>3881</v>
      </c>
      <c r="S857">
        <v>4.16</v>
      </c>
      <c r="T857">
        <v>8439</v>
      </c>
      <c r="U857">
        <v>0</v>
      </c>
      <c r="V857">
        <v>8439</v>
      </c>
    </row>
    <row r="858" spans="1:22" x14ac:dyDescent="0.25">
      <c r="A858">
        <v>148303</v>
      </c>
      <c r="B858">
        <v>130952421</v>
      </c>
      <c r="C858" t="s">
        <v>3882</v>
      </c>
      <c r="D858" t="s">
        <v>3883</v>
      </c>
      <c r="E858" t="s">
        <v>3821</v>
      </c>
      <c r="F858" t="s">
        <v>431</v>
      </c>
      <c r="G858" t="s">
        <v>39</v>
      </c>
      <c r="H858" t="s">
        <v>153</v>
      </c>
      <c r="I858" t="s">
        <v>88</v>
      </c>
      <c r="J858" t="s">
        <v>154</v>
      </c>
      <c r="K858" t="s">
        <v>2</v>
      </c>
      <c r="L858" t="s">
        <v>155</v>
      </c>
      <c r="M858" t="s">
        <v>3884</v>
      </c>
      <c r="N858" t="s">
        <v>433</v>
      </c>
      <c r="O858" t="s">
        <v>53</v>
      </c>
      <c r="P858" t="s">
        <v>3885</v>
      </c>
      <c r="Q858" s="14" t="s">
        <v>107</v>
      </c>
      <c r="R858" t="s">
        <v>3886</v>
      </c>
      <c r="S858">
        <v>1.79</v>
      </c>
      <c r="T858">
        <v>8940</v>
      </c>
      <c r="U858">
        <v>0</v>
      </c>
      <c r="V858">
        <v>8940</v>
      </c>
    </row>
    <row r="859" spans="1:22" x14ac:dyDescent="0.25">
      <c r="A859">
        <v>148303</v>
      </c>
      <c r="B859">
        <v>130972312</v>
      </c>
      <c r="C859" t="s">
        <v>3887</v>
      </c>
      <c r="D859" t="s">
        <v>3888</v>
      </c>
      <c r="E859" t="s">
        <v>3821</v>
      </c>
      <c r="F859" t="s">
        <v>431</v>
      </c>
      <c r="G859" t="s">
        <v>39</v>
      </c>
      <c r="H859" t="s">
        <v>153</v>
      </c>
      <c r="I859" t="s">
        <v>88</v>
      </c>
      <c r="J859" t="s">
        <v>154</v>
      </c>
      <c r="K859" t="s">
        <v>2</v>
      </c>
      <c r="L859" t="s">
        <v>155</v>
      </c>
      <c r="M859" t="s">
        <v>3889</v>
      </c>
      <c r="N859" t="s">
        <v>433</v>
      </c>
      <c r="O859" t="s">
        <v>53</v>
      </c>
      <c r="P859" t="s">
        <v>3890</v>
      </c>
      <c r="Q859" s="14" t="s">
        <v>104</v>
      </c>
      <c r="R859" t="s">
        <v>3891</v>
      </c>
      <c r="S859">
        <v>4.75</v>
      </c>
      <c r="T859">
        <v>7449</v>
      </c>
      <c r="U859">
        <v>0</v>
      </c>
      <c r="V859">
        <v>7449</v>
      </c>
    </row>
    <row r="860" spans="1:22" x14ac:dyDescent="0.25">
      <c r="A860">
        <v>148303</v>
      </c>
      <c r="B860">
        <v>130768704</v>
      </c>
      <c r="C860" t="s">
        <v>3892</v>
      </c>
      <c r="D860" t="s">
        <v>3893</v>
      </c>
      <c r="E860" t="s">
        <v>3821</v>
      </c>
      <c r="F860" t="s">
        <v>431</v>
      </c>
      <c r="G860" t="s">
        <v>39</v>
      </c>
      <c r="H860" t="s">
        <v>153</v>
      </c>
      <c r="I860" t="s">
        <v>88</v>
      </c>
      <c r="J860" t="s">
        <v>154</v>
      </c>
      <c r="K860" t="s">
        <v>2</v>
      </c>
      <c r="L860" t="s">
        <v>155</v>
      </c>
      <c r="M860" t="s">
        <v>3894</v>
      </c>
      <c r="N860" t="s">
        <v>433</v>
      </c>
      <c r="O860" t="s">
        <v>53</v>
      </c>
      <c r="P860" t="s">
        <v>3895</v>
      </c>
      <c r="Q860" s="14" t="s">
        <v>99</v>
      </c>
      <c r="R860" t="s">
        <v>3896</v>
      </c>
      <c r="S860">
        <v>1.85</v>
      </c>
      <c r="T860">
        <v>6800</v>
      </c>
      <c r="U860">
        <v>0</v>
      </c>
      <c r="V860">
        <v>6800</v>
      </c>
    </row>
    <row r="861" spans="1:22" x14ac:dyDescent="0.25">
      <c r="A861">
        <v>148303</v>
      </c>
      <c r="B861">
        <v>130711762</v>
      </c>
      <c r="C861" t="s">
        <v>3897</v>
      </c>
      <c r="D861" t="s">
        <v>3898</v>
      </c>
      <c r="E861" t="s">
        <v>3821</v>
      </c>
      <c r="F861" t="s">
        <v>431</v>
      </c>
      <c r="G861" t="s">
        <v>39</v>
      </c>
      <c r="H861" t="s">
        <v>153</v>
      </c>
      <c r="I861" t="s">
        <v>88</v>
      </c>
      <c r="J861" t="s">
        <v>154</v>
      </c>
      <c r="K861" t="s">
        <v>2</v>
      </c>
      <c r="L861" t="s">
        <v>155</v>
      </c>
      <c r="M861" t="s">
        <v>3899</v>
      </c>
      <c r="N861" t="s">
        <v>433</v>
      </c>
      <c r="O861" t="s">
        <v>53</v>
      </c>
      <c r="P861" t="s">
        <v>3900</v>
      </c>
      <c r="Q861" s="14" t="s">
        <v>170</v>
      </c>
      <c r="R861" t="s">
        <v>3901</v>
      </c>
      <c r="S861">
        <v>1.71</v>
      </c>
      <c r="T861">
        <v>8410</v>
      </c>
      <c r="U861">
        <v>0</v>
      </c>
      <c r="V861">
        <v>8410</v>
      </c>
    </row>
    <row r="862" spans="1:22" x14ac:dyDescent="0.25">
      <c r="A862">
        <v>148303</v>
      </c>
      <c r="B862">
        <v>130725298</v>
      </c>
      <c r="C862" t="s">
        <v>3902</v>
      </c>
      <c r="D862" t="s">
        <v>3903</v>
      </c>
      <c r="E862" t="s">
        <v>3821</v>
      </c>
      <c r="F862" t="s">
        <v>431</v>
      </c>
      <c r="G862" t="s">
        <v>39</v>
      </c>
      <c r="H862" t="s">
        <v>153</v>
      </c>
      <c r="I862" t="s">
        <v>88</v>
      </c>
      <c r="J862" t="s">
        <v>154</v>
      </c>
      <c r="K862" t="s">
        <v>2</v>
      </c>
      <c r="L862" t="s">
        <v>155</v>
      </c>
      <c r="M862" t="s">
        <v>3904</v>
      </c>
      <c r="N862" t="s">
        <v>433</v>
      </c>
      <c r="O862" t="s">
        <v>53</v>
      </c>
      <c r="P862" t="s">
        <v>3905</v>
      </c>
      <c r="Q862" s="14" t="s">
        <v>308</v>
      </c>
      <c r="R862" t="s">
        <v>3906</v>
      </c>
      <c r="S862">
        <v>12.03</v>
      </c>
      <c r="T862">
        <v>10732</v>
      </c>
      <c r="U862">
        <v>0</v>
      </c>
      <c r="V862">
        <v>10732</v>
      </c>
    </row>
    <row r="863" spans="1:22" x14ac:dyDescent="0.25">
      <c r="A863">
        <v>148303</v>
      </c>
      <c r="B863">
        <v>130831028</v>
      </c>
      <c r="C863" t="s">
        <v>3907</v>
      </c>
      <c r="D863" t="s">
        <v>3908</v>
      </c>
      <c r="E863" t="s">
        <v>3821</v>
      </c>
      <c r="F863" t="s">
        <v>431</v>
      </c>
      <c r="G863" t="s">
        <v>39</v>
      </c>
      <c r="H863" t="s">
        <v>153</v>
      </c>
      <c r="I863" t="s">
        <v>88</v>
      </c>
      <c r="J863" t="s">
        <v>154</v>
      </c>
      <c r="K863" t="s">
        <v>2</v>
      </c>
      <c r="L863" t="s">
        <v>155</v>
      </c>
      <c r="M863" t="s">
        <v>3909</v>
      </c>
      <c r="N863" t="s">
        <v>433</v>
      </c>
      <c r="O863" t="s">
        <v>53</v>
      </c>
      <c r="P863" t="s">
        <v>3910</v>
      </c>
      <c r="Q863" s="14" t="s">
        <v>105</v>
      </c>
      <c r="R863" t="s">
        <v>3911</v>
      </c>
      <c r="S863">
        <v>8.2200000000000006</v>
      </c>
      <c r="T863">
        <v>10447</v>
      </c>
      <c r="U863">
        <v>0</v>
      </c>
      <c r="V863">
        <v>10447</v>
      </c>
    </row>
    <row r="864" spans="1:22" x14ac:dyDescent="0.25">
      <c r="A864">
        <v>148303</v>
      </c>
      <c r="B864">
        <v>130780406</v>
      </c>
      <c r="C864" t="s">
        <v>3912</v>
      </c>
      <c r="D864" t="s">
        <v>3913</v>
      </c>
      <c r="E864" t="s">
        <v>3821</v>
      </c>
      <c r="F864" t="s">
        <v>431</v>
      </c>
      <c r="G864" t="s">
        <v>39</v>
      </c>
      <c r="H864" t="s">
        <v>153</v>
      </c>
      <c r="I864" t="s">
        <v>88</v>
      </c>
      <c r="J864" t="s">
        <v>154</v>
      </c>
      <c r="K864" t="s">
        <v>2</v>
      </c>
      <c r="L864" t="s">
        <v>155</v>
      </c>
      <c r="M864" t="s">
        <v>3914</v>
      </c>
      <c r="N864" t="s">
        <v>433</v>
      </c>
      <c r="O864" t="s">
        <v>53</v>
      </c>
      <c r="P864" t="s">
        <v>3915</v>
      </c>
      <c r="Q864" s="14" t="s">
        <v>124</v>
      </c>
      <c r="R864" t="s">
        <v>387</v>
      </c>
      <c r="S864">
        <v>5.82</v>
      </c>
      <c r="T864">
        <v>7129</v>
      </c>
      <c r="U864">
        <v>0</v>
      </c>
      <c r="V864">
        <v>7129</v>
      </c>
    </row>
    <row r="865" spans="1:22" x14ac:dyDescent="0.25">
      <c r="A865">
        <v>148303</v>
      </c>
      <c r="B865">
        <v>130718688</v>
      </c>
      <c r="C865" t="s">
        <v>3916</v>
      </c>
      <c r="D865" t="s">
        <v>3917</v>
      </c>
      <c r="E865" t="s">
        <v>3821</v>
      </c>
      <c r="F865" t="s">
        <v>431</v>
      </c>
      <c r="G865" t="s">
        <v>39</v>
      </c>
      <c r="H865" t="s">
        <v>153</v>
      </c>
      <c r="I865" t="s">
        <v>88</v>
      </c>
      <c r="J865" t="s">
        <v>154</v>
      </c>
      <c r="K865" t="s">
        <v>2</v>
      </c>
      <c r="L865" t="s">
        <v>155</v>
      </c>
      <c r="M865" t="s">
        <v>3918</v>
      </c>
      <c r="N865" t="s">
        <v>433</v>
      </c>
      <c r="O865" t="s">
        <v>53</v>
      </c>
      <c r="P865" t="s">
        <v>3919</v>
      </c>
      <c r="Q865" s="14" t="s">
        <v>169</v>
      </c>
      <c r="R865" t="s">
        <v>3920</v>
      </c>
      <c r="S865">
        <v>1.89</v>
      </c>
      <c r="T865">
        <v>7015</v>
      </c>
      <c r="U865">
        <v>0</v>
      </c>
      <c r="V865">
        <v>7015</v>
      </c>
    </row>
    <row r="866" spans="1:22" x14ac:dyDescent="0.25">
      <c r="A866">
        <v>148303</v>
      </c>
      <c r="B866">
        <v>130787329</v>
      </c>
      <c r="C866" t="s">
        <v>3921</v>
      </c>
      <c r="D866" t="s">
        <v>3922</v>
      </c>
      <c r="E866" t="s">
        <v>3821</v>
      </c>
      <c r="F866" t="s">
        <v>431</v>
      </c>
      <c r="G866" t="s">
        <v>39</v>
      </c>
      <c r="H866" t="s">
        <v>153</v>
      </c>
      <c r="I866" t="s">
        <v>88</v>
      </c>
      <c r="J866" t="s">
        <v>154</v>
      </c>
      <c r="K866" t="s">
        <v>2</v>
      </c>
      <c r="L866" t="s">
        <v>155</v>
      </c>
      <c r="M866" t="s">
        <v>3923</v>
      </c>
      <c r="N866" t="s">
        <v>433</v>
      </c>
      <c r="O866" t="s">
        <v>53</v>
      </c>
      <c r="P866" t="s">
        <v>3924</v>
      </c>
      <c r="Q866" s="14" t="s">
        <v>223</v>
      </c>
      <c r="R866" t="s">
        <v>3925</v>
      </c>
      <c r="S866">
        <v>1.89</v>
      </c>
      <c r="T866">
        <v>4168</v>
      </c>
      <c r="U866">
        <v>0</v>
      </c>
      <c r="V866">
        <v>4168</v>
      </c>
    </row>
    <row r="867" spans="1:22" x14ac:dyDescent="0.25">
      <c r="A867">
        <v>148303</v>
      </c>
      <c r="B867">
        <v>130811848</v>
      </c>
      <c r="C867" t="s">
        <v>3926</v>
      </c>
      <c r="D867" t="s">
        <v>3927</v>
      </c>
      <c r="E867" t="s">
        <v>3821</v>
      </c>
      <c r="F867" t="s">
        <v>431</v>
      </c>
      <c r="G867" t="s">
        <v>39</v>
      </c>
      <c r="H867" t="s">
        <v>153</v>
      </c>
      <c r="I867" t="s">
        <v>88</v>
      </c>
      <c r="J867" t="s">
        <v>154</v>
      </c>
      <c r="K867" t="s">
        <v>2</v>
      </c>
      <c r="L867" t="s">
        <v>155</v>
      </c>
      <c r="M867" t="s">
        <v>3928</v>
      </c>
      <c r="N867" t="s">
        <v>433</v>
      </c>
      <c r="O867" t="s">
        <v>53</v>
      </c>
      <c r="P867" t="s">
        <v>3929</v>
      </c>
      <c r="Q867" s="14" t="s">
        <v>140</v>
      </c>
      <c r="R867" t="s">
        <v>3930</v>
      </c>
      <c r="S867">
        <v>0.11</v>
      </c>
      <c r="T867">
        <v>6692</v>
      </c>
      <c r="U867">
        <v>0</v>
      </c>
      <c r="V867">
        <v>6692</v>
      </c>
    </row>
    <row r="868" spans="1:22" x14ac:dyDescent="0.25">
      <c r="A868">
        <v>148303</v>
      </c>
      <c r="B868">
        <v>130588141</v>
      </c>
      <c r="C868" t="s">
        <v>3931</v>
      </c>
      <c r="D868" t="s">
        <v>3932</v>
      </c>
      <c r="E868" t="s">
        <v>3821</v>
      </c>
      <c r="F868" t="s">
        <v>431</v>
      </c>
      <c r="G868" t="s">
        <v>39</v>
      </c>
      <c r="H868" t="s">
        <v>153</v>
      </c>
      <c r="I868" t="s">
        <v>88</v>
      </c>
      <c r="J868" t="s">
        <v>154</v>
      </c>
      <c r="K868" t="s">
        <v>2</v>
      </c>
      <c r="L868" t="s">
        <v>155</v>
      </c>
      <c r="M868" t="s">
        <v>3933</v>
      </c>
      <c r="N868" t="s">
        <v>433</v>
      </c>
      <c r="O868" t="s">
        <v>53</v>
      </c>
      <c r="P868" t="s">
        <v>3934</v>
      </c>
      <c r="Q868" s="14" t="s">
        <v>137</v>
      </c>
      <c r="R868" t="s">
        <v>3935</v>
      </c>
      <c r="S868">
        <v>4.58</v>
      </c>
      <c r="T868">
        <v>7224</v>
      </c>
      <c r="U868">
        <v>0</v>
      </c>
      <c r="V868">
        <v>7224</v>
      </c>
    </row>
    <row r="869" spans="1:22" x14ac:dyDescent="0.25">
      <c r="A869">
        <v>148303</v>
      </c>
      <c r="B869">
        <v>130631170</v>
      </c>
      <c r="C869" t="s">
        <v>3936</v>
      </c>
      <c r="D869" t="s">
        <v>3937</v>
      </c>
      <c r="E869" t="s">
        <v>3821</v>
      </c>
      <c r="F869" t="s">
        <v>431</v>
      </c>
      <c r="G869" t="s">
        <v>39</v>
      </c>
      <c r="H869" t="s">
        <v>153</v>
      </c>
      <c r="I869" t="s">
        <v>88</v>
      </c>
      <c r="J869" t="s">
        <v>154</v>
      </c>
      <c r="K869" t="s">
        <v>2</v>
      </c>
      <c r="L869" t="s">
        <v>155</v>
      </c>
      <c r="M869" t="s">
        <v>3938</v>
      </c>
      <c r="N869" t="s">
        <v>433</v>
      </c>
      <c r="O869" t="s">
        <v>53</v>
      </c>
      <c r="P869" t="s">
        <v>3939</v>
      </c>
      <c r="Q869" s="14" t="s">
        <v>291</v>
      </c>
      <c r="R869" t="s">
        <v>362</v>
      </c>
      <c r="S869">
        <v>5.93</v>
      </c>
      <c r="T869">
        <v>8964</v>
      </c>
      <c r="U869">
        <v>0</v>
      </c>
      <c r="V869">
        <v>8964</v>
      </c>
    </row>
    <row r="870" spans="1:22" x14ac:dyDescent="0.25">
      <c r="A870">
        <v>148303</v>
      </c>
      <c r="B870">
        <v>130536696</v>
      </c>
      <c r="C870" t="s">
        <v>3940</v>
      </c>
      <c r="D870" t="s">
        <v>3941</v>
      </c>
      <c r="E870" t="s">
        <v>3821</v>
      </c>
      <c r="F870" t="s">
        <v>431</v>
      </c>
      <c r="G870" t="s">
        <v>39</v>
      </c>
      <c r="H870" t="s">
        <v>153</v>
      </c>
      <c r="I870" t="s">
        <v>88</v>
      </c>
      <c r="J870" t="s">
        <v>154</v>
      </c>
      <c r="K870" t="s">
        <v>2</v>
      </c>
      <c r="L870" t="s">
        <v>155</v>
      </c>
      <c r="M870" t="s">
        <v>3942</v>
      </c>
      <c r="N870" t="s">
        <v>433</v>
      </c>
      <c r="O870" t="s">
        <v>53</v>
      </c>
      <c r="P870" t="s">
        <v>3943</v>
      </c>
      <c r="Q870" s="14" t="s">
        <v>119</v>
      </c>
      <c r="R870" t="s">
        <v>3944</v>
      </c>
      <c r="S870">
        <v>2.7</v>
      </c>
      <c r="T870">
        <v>9148</v>
      </c>
      <c r="U870">
        <v>0</v>
      </c>
      <c r="V870">
        <v>9148</v>
      </c>
    </row>
    <row r="871" spans="1:22" x14ac:dyDescent="0.25">
      <c r="A871">
        <v>148303</v>
      </c>
      <c r="B871">
        <v>130515805</v>
      </c>
      <c r="C871" t="s">
        <v>3945</v>
      </c>
      <c r="D871" t="s">
        <v>3946</v>
      </c>
      <c r="E871" t="s">
        <v>3821</v>
      </c>
      <c r="F871" t="s">
        <v>431</v>
      </c>
      <c r="G871" t="s">
        <v>39</v>
      </c>
      <c r="H871" t="s">
        <v>153</v>
      </c>
      <c r="I871" t="s">
        <v>88</v>
      </c>
      <c r="J871" t="s">
        <v>154</v>
      </c>
      <c r="K871" t="s">
        <v>2</v>
      </c>
      <c r="L871" t="s">
        <v>155</v>
      </c>
      <c r="M871" t="s">
        <v>3909</v>
      </c>
      <c r="N871" t="s">
        <v>433</v>
      </c>
      <c r="O871" t="s">
        <v>53</v>
      </c>
      <c r="P871" t="s">
        <v>3910</v>
      </c>
      <c r="Q871" s="14" t="s">
        <v>105</v>
      </c>
      <c r="R871" t="s">
        <v>3947</v>
      </c>
      <c r="S871">
        <v>5.75</v>
      </c>
      <c r="T871">
        <v>8439</v>
      </c>
      <c r="U871">
        <v>0</v>
      </c>
      <c r="V871">
        <v>8439</v>
      </c>
    </row>
    <row r="872" spans="1:22" x14ac:dyDescent="0.25">
      <c r="A872">
        <v>148303</v>
      </c>
      <c r="B872">
        <v>130562406</v>
      </c>
      <c r="C872" t="s">
        <v>3948</v>
      </c>
      <c r="D872" t="s">
        <v>3949</v>
      </c>
      <c r="E872" t="s">
        <v>3821</v>
      </c>
      <c r="F872" t="s">
        <v>431</v>
      </c>
      <c r="G872" t="s">
        <v>39</v>
      </c>
      <c r="H872" t="s">
        <v>153</v>
      </c>
      <c r="I872" t="s">
        <v>88</v>
      </c>
      <c r="J872" t="s">
        <v>154</v>
      </c>
      <c r="K872" t="s">
        <v>2</v>
      </c>
      <c r="L872" t="s">
        <v>155</v>
      </c>
      <c r="M872" t="s">
        <v>3950</v>
      </c>
      <c r="N872" t="s">
        <v>433</v>
      </c>
      <c r="O872" t="s">
        <v>53</v>
      </c>
      <c r="P872" t="s">
        <v>3951</v>
      </c>
      <c r="Q872" s="14" t="s">
        <v>66</v>
      </c>
      <c r="R872" t="s">
        <v>3952</v>
      </c>
      <c r="S872">
        <v>1.79</v>
      </c>
      <c r="T872">
        <v>4168</v>
      </c>
      <c r="U872">
        <v>0</v>
      </c>
      <c r="V872">
        <v>4168</v>
      </c>
    </row>
    <row r="873" spans="1:22" x14ac:dyDescent="0.25">
      <c r="A873">
        <v>148303</v>
      </c>
      <c r="B873">
        <v>130510792</v>
      </c>
      <c r="C873" t="s">
        <v>3953</v>
      </c>
      <c r="D873" t="s">
        <v>3954</v>
      </c>
      <c r="E873" t="s">
        <v>3821</v>
      </c>
      <c r="F873" t="s">
        <v>431</v>
      </c>
      <c r="G873" t="s">
        <v>39</v>
      </c>
      <c r="H873" t="s">
        <v>153</v>
      </c>
      <c r="I873" t="s">
        <v>88</v>
      </c>
      <c r="J873" t="s">
        <v>154</v>
      </c>
      <c r="K873" t="s">
        <v>2</v>
      </c>
      <c r="L873" t="s">
        <v>155</v>
      </c>
      <c r="M873" t="s">
        <v>3955</v>
      </c>
      <c r="N873" t="s">
        <v>433</v>
      </c>
      <c r="O873" t="s">
        <v>53</v>
      </c>
      <c r="P873" t="s">
        <v>3956</v>
      </c>
      <c r="Q873" s="14" t="s">
        <v>95</v>
      </c>
      <c r="R873" t="s">
        <v>3957</v>
      </c>
      <c r="S873">
        <v>4.47</v>
      </c>
      <c r="T873">
        <v>8964</v>
      </c>
      <c r="U873">
        <v>0</v>
      </c>
      <c r="V873">
        <v>8964</v>
      </c>
    </row>
    <row r="874" spans="1:22" x14ac:dyDescent="0.25">
      <c r="A874">
        <v>148303</v>
      </c>
      <c r="B874">
        <v>130249791</v>
      </c>
      <c r="C874" t="s">
        <v>3958</v>
      </c>
      <c r="D874" t="s">
        <v>3959</v>
      </c>
      <c r="E874" t="s">
        <v>3821</v>
      </c>
      <c r="F874" t="s">
        <v>431</v>
      </c>
      <c r="G874" t="s">
        <v>39</v>
      </c>
      <c r="H874" t="s">
        <v>153</v>
      </c>
      <c r="I874" t="s">
        <v>88</v>
      </c>
      <c r="J874" t="s">
        <v>154</v>
      </c>
      <c r="K874" t="s">
        <v>2</v>
      </c>
      <c r="L874" t="s">
        <v>155</v>
      </c>
      <c r="M874" t="s">
        <v>3960</v>
      </c>
      <c r="N874" t="s">
        <v>433</v>
      </c>
      <c r="O874" t="s">
        <v>53</v>
      </c>
      <c r="P874" t="s">
        <v>3961</v>
      </c>
      <c r="Q874" s="14" t="s">
        <v>221</v>
      </c>
      <c r="R874" t="s">
        <v>3962</v>
      </c>
      <c r="S874">
        <v>5.5</v>
      </c>
      <c r="T874">
        <v>11099</v>
      </c>
      <c r="U874">
        <v>0</v>
      </c>
      <c r="V874">
        <v>11099</v>
      </c>
    </row>
    <row r="875" spans="1:22" x14ac:dyDescent="0.25">
      <c r="A875">
        <v>148303</v>
      </c>
      <c r="B875">
        <v>130253028</v>
      </c>
      <c r="C875" t="s">
        <v>3963</v>
      </c>
      <c r="D875" t="s">
        <v>3964</v>
      </c>
      <c r="E875" t="s">
        <v>3821</v>
      </c>
      <c r="F875" t="s">
        <v>431</v>
      </c>
      <c r="G875" t="s">
        <v>39</v>
      </c>
      <c r="H875" t="s">
        <v>153</v>
      </c>
      <c r="I875" t="s">
        <v>88</v>
      </c>
      <c r="J875" t="s">
        <v>154</v>
      </c>
      <c r="K875" t="s">
        <v>2</v>
      </c>
      <c r="L875" t="s">
        <v>155</v>
      </c>
      <c r="M875" t="s">
        <v>3965</v>
      </c>
      <c r="N875" t="s">
        <v>433</v>
      </c>
      <c r="O875" t="s">
        <v>53</v>
      </c>
      <c r="P875" t="s">
        <v>3966</v>
      </c>
      <c r="Q875" s="14" t="s">
        <v>40</v>
      </c>
      <c r="R875" t="s">
        <v>3967</v>
      </c>
      <c r="S875">
        <v>1.48</v>
      </c>
      <c r="T875">
        <v>7005</v>
      </c>
      <c r="U875">
        <v>0</v>
      </c>
      <c r="V875">
        <v>7005</v>
      </c>
    </row>
    <row r="876" spans="1:22" x14ac:dyDescent="0.25">
      <c r="A876">
        <v>148303</v>
      </c>
      <c r="B876">
        <v>130408834</v>
      </c>
      <c r="C876" t="s">
        <v>3968</v>
      </c>
      <c r="D876" t="s">
        <v>3969</v>
      </c>
      <c r="E876" t="s">
        <v>3821</v>
      </c>
      <c r="F876" t="s">
        <v>431</v>
      </c>
      <c r="G876" t="s">
        <v>39</v>
      </c>
      <c r="H876" t="s">
        <v>153</v>
      </c>
      <c r="I876" t="s">
        <v>88</v>
      </c>
      <c r="J876" t="s">
        <v>154</v>
      </c>
      <c r="K876" t="s">
        <v>2</v>
      </c>
      <c r="L876" t="s">
        <v>155</v>
      </c>
      <c r="M876" t="s">
        <v>3970</v>
      </c>
      <c r="N876" t="s">
        <v>433</v>
      </c>
      <c r="O876" t="s">
        <v>53</v>
      </c>
      <c r="P876" t="s">
        <v>3971</v>
      </c>
      <c r="Q876" s="14" t="s">
        <v>122</v>
      </c>
      <c r="R876" t="s">
        <v>115</v>
      </c>
      <c r="S876">
        <v>3.85</v>
      </c>
      <c r="T876">
        <v>8106</v>
      </c>
      <c r="U876">
        <v>0</v>
      </c>
      <c r="V876">
        <v>8106</v>
      </c>
    </row>
    <row r="877" spans="1:22" x14ac:dyDescent="0.25">
      <c r="A877">
        <v>148303</v>
      </c>
      <c r="B877">
        <v>130448103</v>
      </c>
      <c r="C877" t="s">
        <v>3972</v>
      </c>
      <c r="D877" t="s">
        <v>3973</v>
      </c>
      <c r="E877" t="s">
        <v>3821</v>
      </c>
      <c r="F877" t="s">
        <v>431</v>
      </c>
      <c r="G877" t="s">
        <v>39</v>
      </c>
      <c r="H877" t="s">
        <v>153</v>
      </c>
      <c r="I877" t="s">
        <v>88</v>
      </c>
      <c r="J877" t="s">
        <v>154</v>
      </c>
      <c r="K877" t="s">
        <v>2</v>
      </c>
      <c r="L877" t="s">
        <v>155</v>
      </c>
      <c r="M877" t="s">
        <v>3974</v>
      </c>
      <c r="N877" t="s">
        <v>433</v>
      </c>
      <c r="O877" t="s">
        <v>53</v>
      </c>
      <c r="P877" t="s">
        <v>3975</v>
      </c>
      <c r="Q877" s="14" t="s">
        <v>122</v>
      </c>
      <c r="R877" t="s">
        <v>3976</v>
      </c>
      <c r="S877">
        <v>7.62</v>
      </c>
      <c r="T877">
        <v>9948</v>
      </c>
      <c r="U877">
        <v>0</v>
      </c>
      <c r="V877">
        <v>9948</v>
      </c>
    </row>
    <row r="878" spans="1:22" x14ac:dyDescent="0.25">
      <c r="A878">
        <v>148303</v>
      </c>
      <c r="B878">
        <v>130139227</v>
      </c>
      <c r="C878" t="s">
        <v>3977</v>
      </c>
      <c r="D878" t="s">
        <v>3978</v>
      </c>
      <c r="E878" t="s">
        <v>3821</v>
      </c>
      <c r="F878" t="s">
        <v>431</v>
      </c>
      <c r="G878" t="s">
        <v>39</v>
      </c>
      <c r="H878" t="s">
        <v>153</v>
      </c>
      <c r="I878" t="s">
        <v>88</v>
      </c>
      <c r="J878" t="s">
        <v>154</v>
      </c>
      <c r="K878" t="s">
        <v>2</v>
      </c>
      <c r="L878" t="s">
        <v>155</v>
      </c>
      <c r="M878" t="s">
        <v>3979</v>
      </c>
      <c r="N878" t="s">
        <v>433</v>
      </c>
      <c r="O878" t="s">
        <v>53</v>
      </c>
      <c r="P878" t="s">
        <v>3980</v>
      </c>
      <c r="Q878" s="14" t="s">
        <v>111</v>
      </c>
      <c r="R878" t="s">
        <v>3981</v>
      </c>
      <c r="S878">
        <v>3.62</v>
      </c>
      <c r="T878">
        <v>8476</v>
      </c>
      <c r="U878">
        <v>0</v>
      </c>
      <c r="V878">
        <v>8476</v>
      </c>
    </row>
    <row r="879" spans="1:22" x14ac:dyDescent="0.25">
      <c r="A879">
        <v>148303</v>
      </c>
      <c r="B879">
        <v>130019574</v>
      </c>
      <c r="C879" t="s">
        <v>3982</v>
      </c>
      <c r="D879" t="s">
        <v>3983</v>
      </c>
      <c r="E879" t="s">
        <v>3821</v>
      </c>
      <c r="F879" t="s">
        <v>431</v>
      </c>
      <c r="G879" t="s">
        <v>39</v>
      </c>
      <c r="H879" t="s">
        <v>153</v>
      </c>
      <c r="I879" t="s">
        <v>88</v>
      </c>
      <c r="J879" t="s">
        <v>154</v>
      </c>
      <c r="K879" t="s">
        <v>2</v>
      </c>
      <c r="L879" t="s">
        <v>155</v>
      </c>
      <c r="M879" t="s">
        <v>3984</v>
      </c>
      <c r="N879" t="s">
        <v>433</v>
      </c>
      <c r="O879" t="s">
        <v>53</v>
      </c>
      <c r="P879" t="s">
        <v>3985</v>
      </c>
      <c r="Q879" s="14" t="s">
        <v>124</v>
      </c>
      <c r="R879" t="s">
        <v>3986</v>
      </c>
      <c r="S879">
        <v>3.81</v>
      </c>
      <c r="T879">
        <v>6989</v>
      </c>
      <c r="U879">
        <v>0</v>
      </c>
      <c r="V879">
        <v>6989</v>
      </c>
    </row>
    <row r="880" spans="1:22" x14ac:dyDescent="0.25">
      <c r="A880">
        <v>148303</v>
      </c>
      <c r="B880">
        <v>130225964</v>
      </c>
      <c r="C880" t="s">
        <v>3987</v>
      </c>
      <c r="D880" t="s">
        <v>3988</v>
      </c>
      <c r="E880" t="s">
        <v>3821</v>
      </c>
      <c r="F880" t="s">
        <v>431</v>
      </c>
      <c r="G880" t="s">
        <v>39</v>
      </c>
      <c r="H880" t="s">
        <v>153</v>
      </c>
      <c r="I880" t="s">
        <v>88</v>
      </c>
      <c r="J880" t="s">
        <v>154</v>
      </c>
      <c r="K880" t="s">
        <v>2</v>
      </c>
      <c r="L880" t="s">
        <v>155</v>
      </c>
      <c r="M880" t="s">
        <v>3989</v>
      </c>
      <c r="N880" t="s">
        <v>433</v>
      </c>
      <c r="O880" t="s">
        <v>53</v>
      </c>
      <c r="P880" t="s">
        <v>3990</v>
      </c>
      <c r="Q880" s="14" t="s">
        <v>169</v>
      </c>
      <c r="R880" t="s">
        <v>3991</v>
      </c>
      <c r="S880">
        <v>2.0699999999999998</v>
      </c>
      <c r="T880">
        <v>6877</v>
      </c>
      <c r="U880">
        <v>0</v>
      </c>
      <c r="V880">
        <v>6877</v>
      </c>
    </row>
    <row r="881" spans="1:22" x14ac:dyDescent="0.25">
      <c r="A881">
        <v>186607</v>
      </c>
      <c r="B881">
        <v>131057303</v>
      </c>
      <c r="C881" t="s">
        <v>3992</v>
      </c>
      <c r="D881" t="s">
        <v>3993</v>
      </c>
      <c r="E881" t="s">
        <v>3994</v>
      </c>
      <c r="F881" t="s">
        <v>431</v>
      </c>
      <c r="G881" t="s">
        <v>83</v>
      </c>
      <c r="H881" t="s">
        <v>205</v>
      </c>
      <c r="I881" t="s">
        <v>88</v>
      </c>
      <c r="J881" t="s">
        <v>209</v>
      </c>
      <c r="K881" t="s">
        <v>2</v>
      </c>
      <c r="L881" t="s">
        <v>166</v>
      </c>
      <c r="M881" t="s">
        <v>3995</v>
      </c>
      <c r="N881" t="s">
        <v>3996</v>
      </c>
      <c r="O881" t="s">
        <v>59</v>
      </c>
      <c r="P881" t="s">
        <v>3997</v>
      </c>
      <c r="Q881" s="14" t="s">
        <v>62</v>
      </c>
      <c r="R881" t="s">
        <v>417</v>
      </c>
      <c r="S881">
        <v>1</v>
      </c>
      <c r="T881">
        <v>2706</v>
      </c>
      <c r="U881">
        <v>0</v>
      </c>
      <c r="V881">
        <v>2706</v>
      </c>
    </row>
    <row r="882" spans="1:22" x14ac:dyDescent="0.25">
      <c r="A882">
        <v>186607</v>
      </c>
      <c r="B882">
        <v>131057300</v>
      </c>
      <c r="C882" t="s">
        <v>3998</v>
      </c>
      <c r="D882" t="s">
        <v>3999</v>
      </c>
      <c r="E882" t="s">
        <v>3994</v>
      </c>
      <c r="F882" t="s">
        <v>431</v>
      </c>
      <c r="G882" t="s">
        <v>83</v>
      </c>
      <c r="H882" t="s">
        <v>205</v>
      </c>
      <c r="I882" t="s">
        <v>88</v>
      </c>
      <c r="J882" t="s">
        <v>209</v>
      </c>
      <c r="K882" t="s">
        <v>2</v>
      </c>
      <c r="L882" t="s">
        <v>166</v>
      </c>
      <c r="M882" t="s">
        <v>4000</v>
      </c>
      <c r="N882" t="s">
        <v>3996</v>
      </c>
      <c r="O882" t="s">
        <v>59</v>
      </c>
      <c r="P882" t="s">
        <v>4001</v>
      </c>
      <c r="Q882" s="14" t="s">
        <v>50</v>
      </c>
      <c r="R882" t="s">
        <v>417</v>
      </c>
      <c r="S882">
        <v>1</v>
      </c>
      <c r="T882">
        <v>2706</v>
      </c>
      <c r="U882">
        <v>0</v>
      </c>
      <c r="V882">
        <v>2706</v>
      </c>
    </row>
    <row r="883" spans="1:22" x14ac:dyDescent="0.25">
      <c r="A883">
        <v>186607</v>
      </c>
      <c r="B883">
        <v>131234561</v>
      </c>
      <c r="C883" t="s">
        <v>4002</v>
      </c>
      <c r="D883">
        <v>250203473</v>
      </c>
      <c r="E883" t="s">
        <v>3994</v>
      </c>
      <c r="F883" t="s">
        <v>431</v>
      </c>
      <c r="G883" t="s">
        <v>149</v>
      </c>
      <c r="H883" t="s">
        <v>150</v>
      </c>
      <c r="I883" t="s">
        <v>88</v>
      </c>
      <c r="J883" t="s">
        <v>151</v>
      </c>
      <c r="K883" t="s">
        <v>2</v>
      </c>
      <c r="L883" t="s">
        <v>4003</v>
      </c>
      <c r="M883" t="s">
        <v>4004</v>
      </c>
      <c r="N883" t="s">
        <v>3996</v>
      </c>
      <c r="O883" t="s">
        <v>59</v>
      </c>
      <c r="P883" t="s">
        <v>4005</v>
      </c>
      <c r="Q883" s="14" t="s">
        <v>107</v>
      </c>
      <c r="R883" t="s">
        <v>4006</v>
      </c>
      <c r="S883">
        <v>0.5</v>
      </c>
      <c r="T883">
        <v>6132</v>
      </c>
      <c r="U883">
        <v>0</v>
      </c>
      <c r="V883">
        <v>6132</v>
      </c>
    </row>
    <row r="884" spans="1:22" x14ac:dyDescent="0.25">
      <c r="A884">
        <v>186607</v>
      </c>
      <c r="B884">
        <v>131234544</v>
      </c>
      <c r="C884" t="s">
        <v>4007</v>
      </c>
      <c r="D884">
        <v>250203500</v>
      </c>
      <c r="E884" t="s">
        <v>3994</v>
      </c>
      <c r="F884" t="s">
        <v>431</v>
      </c>
      <c r="G884" t="s">
        <v>149</v>
      </c>
      <c r="H884" t="s">
        <v>150</v>
      </c>
      <c r="I884" t="s">
        <v>88</v>
      </c>
      <c r="J884" t="s">
        <v>151</v>
      </c>
      <c r="K884" t="s">
        <v>2</v>
      </c>
      <c r="L884" t="s">
        <v>4008</v>
      </c>
      <c r="M884" t="s">
        <v>4009</v>
      </c>
      <c r="N884" t="s">
        <v>3996</v>
      </c>
      <c r="O884" t="s">
        <v>59</v>
      </c>
      <c r="P884" t="s">
        <v>4010</v>
      </c>
      <c r="Q884" s="14" t="s">
        <v>196</v>
      </c>
      <c r="R884" t="s">
        <v>4006</v>
      </c>
      <c r="S884">
        <v>1</v>
      </c>
      <c r="T884">
        <v>4219</v>
      </c>
      <c r="U884">
        <v>0</v>
      </c>
      <c r="V884">
        <v>4219</v>
      </c>
    </row>
    <row r="885" spans="1:22" x14ac:dyDescent="0.25">
      <c r="A885">
        <v>186607</v>
      </c>
      <c r="B885">
        <v>131235067</v>
      </c>
      <c r="C885" t="s">
        <v>4011</v>
      </c>
      <c r="D885">
        <v>250203647</v>
      </c>
      <c r="E885" t="s">
        <v>3994</v>
      </c>
      <c r="F885" t="s">
        <v>431</v>
      </c>
      <c r="G885" t="s">
        <v>149</v>
      </c>
      <c r="H885" t="s">
        <v>150</v>
      </c>
      <c r="I885" t="s">
        <v>88</v>
      </c>
      <c r="J885" t="s">
        <v>151</v>
      </c>
      <c r="K885" t="s">
        <v>2</v>
      </c>
      <c r="L885" t="s">
        <v>4012</v>
      </c>
      <c r="M885" t="s">
        <v>4013</v>
      </c>
      <c r="N885" t="s">
        <v>3996</v>
      </c>
      <c r="O885" t="s">
        <v>59</v>
      </c>
      <c r="P885" t="s">
        <v>4014</v>
      </c>
      <c r="Q885" s="14" t="s">
        <v>120</v>
      </c>
      <c r="R885" t="s">
        <v>4015</v>
      </c>
      <c r="S885">
        <v>1</v>
      </c>
      <c r="T885">
        <v>5153</v>
      </c>
      <c r="U885">
        <v>0</v>
      </c>
      <c r="V885">
        <v>5153</v>
      </c>
    </row>
    <row r="886" spans="1:22" x14ac:dyDescent="0.25">
      <c r="A886">
        <v>186607</v>
      </c>
      <c r="B886">
        <v>131234539</v>
      </c>
      <c r="C886" t="s">
        <v>4016</v>
      </c>
      <c r="D886">
        <v>250203515</v>
      </c>
      <c r="E886" t="s">
        <v>3994</v>
      </c>
      <c r="F886" t="s">
        <v>431</v>
      </c>
      <c r="G886" t="s">
        <v>149</v>
      </c>
      <c r="H886" t="s">
        <v>150</v>
      </c>
      <c r="I886" t="s">
        <v>88</v>
      </c>
      <c r="J886" t="s">
        <v>151</v>
      </c>
      <c r="K886" t="s">
        <v>2</v>
      </c>
      <c r="L886" t="s">
        <v>4017</v>
      </c>
      <c r="M886" t="s">
        <v>4018</v>
      </c>
      <c r="N886" t="s">
        <v>3996</v>
      </c>
      <c r="O886" t="s">
        <v>59</v>
      </c>
      <c r="P886" t="s">
        <v>4019</v>
      </c>
      <c r="Q886" s="14" t="s">
        <v>120</v>
      </c>
      <c r="R886" t="s">
        <v>4006</v>
      </c>
      <c r="S886">
        <v>1</v>
      </c>
      <c r="T886">
        <v>5153</v>
      </c>
      <c r="U886">
        <v>0</v>
      </c>
      <c r="V886">
        <v>5153</v>
      </c>
    </row>
    <row r="887" spans="1:22" x14ac:dyDescent="0.25">
      <c r="A887">
        <v>186607</v>
      </c>
      <c r="B887">
        <v>131234547</v>
      </c>
      <c r="C887" t="s">
        <v>4020</v>
      </c>
      <c r="D887">
        <v>250203452</v>
      </c>
      <c r="E887" t="s">
        <v>3994</v>
      </c>
      <c r="F887" t="s">
        <v>431</v>
      </c>
      <c r="G887" t="s">
        <v>149</v>
      </c>
      <c r="H887" t="s">
        <v>150</v>
      </c>
      <c r="I887" t="s">
        <v>88</v>
      </c>
      <c r="J887" t="s">
        <v>151</v>
      </c>
      <c r="K887" t="s">
        <v>2</v>
      </c>
      <c r="L887" t="s">
        <v>4021</v>
      </c>
      <c r="M887" t="s">
        <v>4022</v>
      </c>
      <c r="N887" t="s">
        <v>3996</v>
      </c>
      <c r="O887" t="s">
        <v>59</v>
      </c>
      <c r="P887" t="s">
        <v>4023</v>
      </c>
      <c r="Q887" s="14" t="s">
        <v>95</v>
      </c>
      <c r="R887" t="s">
        <v>4006</v>
      </c>
      <c r="S887">
        <v>0.5</v>
      </c>
      <c r="T887">
        <v>5749</v>
      </c>
      <c r="U887">
        <v>0</v>
      </c>
      <c r="V887">
        <v>5749</v>
      </c>
    </row>
    <row r="888" spans="1:22" x14ac:dyDescent="0.25">
      <c r="A888">
        <v>186607</v>
      </c>
      <c r="B888">
        <v>131234548</v>
      </c>
      <c r="C888" t="s">
        <v>4024</v>
      </c>
      <c r="D888">
        <v>250203482</v>
      </c>
      <c r="E888" t="s">
        <v>3994</v>
      </c>
      <c r="F888" t="s">
        <v>431</v>
      </c>
      <c r="G888" t="s">
        <v>149</v>
      </c>
      <c r="H888" t="s">
        <v>150</v>
      </c>
      <c r="I888" t="s">
        <v>88</v>
      </c>
      <c r="J888" t="s">
        <v>151</v>
      </c>
      <c r="K888" t="s">
        <v>2</v>
      </c>
      <c r="L888" t="s">
        <v>4025</v>
      </c>
      <c r="M888" t="s">
        <v>4026</v>
      </c>
      <c r="N888" t="s">
        <v>3996</v>
      </c>
      <c r="O888" t="s">
        <v>59</v>
      </c>
      <c r="P888" t="s">
        <v>4027</v>
      </c>
      <c r="Q888" s="14" t="s">
        <v>92</v>
      </c>
      <c r="R888" t="s">
        <v>4006</v>
      </c>
      <c r="S888">
        <v>0.5</v>
      </c>
      <c r="T888">
        <v>4669</v>
      </c>
      <c r="U888">
        <v>0</v>
      </c>
      <c r="V888">
        <v>4669</v>
      </c>
    </row>
    <row r="889" spans="1:22" x14ac:dyDescent="0.25">
      <c r="A889">
        <v>186607</v>
      </c>
      <c r="B889">
        <v>131234542</v>
      </c>
      <c r="C889" t="s">
        <v>4028</v>
      </c>
      <c r="D889">
        <v>250203509</v>
      </c>
      <c r="E889" t="s">
        <v>3994</v>
      </c>
      <c r="F889" t="s">
        <v>431</v>
      </c>
      <c r="G889" t="s">
        <v>149</v>
      </c>
      <c r="H889" t="s">
        <v>150</v>
      </c>
      <c r="I889" t="s">
        <v>88</v>
      </c>
      <c r="J889" t="s">
        <v>151</v>
      </c>
      <c r="K889" t="s">
        <v>2</v>
      </c>
      <c r="L889" t="s">
        <v>4029</v>
      </c>
      <c r="M889" t="s">
        <v>4030</v>
      </c>
      <c r="N889" t="s">
        <v>3996</v>
      </c>
      <c r="O889" t="s">
        <v>59</v>
      </c>
      <c r="P889" t="s">
        <v>4031</v>
      </c>
      <c r="Q889" s="14" t="s">
        <v>99</v>
      </c>
      <c r="R889" t="s">
        <v>4006</v>
      </c>
      <c r="S889">
        <v>0.5</v>
      </c>
      <c r="T889">
        <v>4219</v>
      </c>
      <c r="U889">
        <v>0</v>
      </c>
      <c r="V889">
        <v>4219</v>
      </c>
    </row>
    <row r="890" spans="1:22" x14ac:dyDescent="0.25">
      <c r="A890">
        <v>186607</v>
      </c>
      <c r="B890">
        <v>131234551</v>
      </c>
      <c r="C890" t="s">
        <v>4032</v>
      </c>
      <c r="D890">
        <v>250203478</v>
      </c>
      <c r="E890" t="s">
        <v>3994</v>
      </c>
      <c r="F890" t="s">
        <v>431</v>
      </c>
      <c r="G890" t="s">
        <v>149</v>
      </c>
      <c r="H890" t="s">
        <v>150</v>
      </c>
      <c r="I890" t="s">
        <v>88</v>
      </c>
      <c r="J890" t="s">
        <v>151</v>
      </c>
      <c r="K890" t="s">
        <v>2</v>
      </c>
      <c r="L890" t="s">
        <v>4033</v>
      </c>
      <c r="M890" t="s">
        <v>4034</v>
      </c>
      <c r="N890" t="s">
        <v>3996</v>
      </c>
      <c r="O890" t="s">
        <v>59</v>
      </c>
      <c r="P890" t="s">
        <v>4035</v>
      </c>
      <c r="Q890" s="14" t="s">
        <v>122</v>
      </c>
      <c r="R890" t="s">
        <v>4006</v>
      </c>
      <c r="S890">
        <v>0.5</v>
      </c>
      <c r="T890">
        <v>4973</v>
      </c>
      <c r="U890">
        <v>0</v>
      </c>
      <c r="V890">
        <v>4973</v>
      </c>
    </row>
    <row r="891" spans="1:22" x14ac:dyDescent="0.25">
      <c r="A891">
        <v>186607</v>
      </c>
      <c r="B891">
        <v>131234545</v>
      </c>
      <c r="C891" t="s">
        <v>4036</v>
      </c>
      <c r="D891">
        <v>250203491</v>
      </c>
      <c r="E891" t="s">
        <v>3994</v>
      </c>
      <c r="F891" t="s">
        <v>431</v>
      </c>
      <c r="G891" t="s">
        <v>149</v>
      </c>
      <c r="H891" t="s">
        <v>150</v>
      </c>
      <c r="I891" t="s">
        <v>88</v>
      </c>
      <c r="J891" t="s">
        <v>151</v>
      </c>
      <c r="K891" t="s">
        <v>2</v>
      </c>
      <c r="L891" t="s">
        <v>4037</v>
      </c>
      <c r="M891" t="s">
        <v>4038</v>
      </c>
      <c r="N891" t="s">
        <v>3996</v>
      </c>
      <c r="O891" t="s">
        <v>59</v>
      </c>
      <c r="P891" t="s">
        <v>4039</v>
      </c>
      <c r="Q891" s="14" t="s">
        <v>120</v>
      </c>
      <c r="R891" t="s">
        <v>4006</v>
      </c>
      <c r="S891">
        <v>0.5</v>
      </c>
      <c r="T891">
        <v>5153</v>
      </c>
      <c r="U891">
        <v>0</v>
      </c>
      <c r="V891">
        <v>5153</v>
      </c>
    </row>
    <row r="892" spans="1:22" x14ac:dyDescent="0.25">
      <c r="A892">
        <v>186607</v>
      </c>
      <c r="B892">
        <v>131153141</v>
      </c>
      <c r="C892" t="s">
        <v>4040</v>
      </c>
      <c r="D892">
        <v>250124400</v>
      </c>
      <c r="E892" t="s">
        <v>3994</v>
      </c>
      <c r="F892" t="s">
        <v>431</v>
      </c>
      <c r="G892" t="s">
        <v>149</v>
      </c>
      <c r="H892" t="s">
        <v>150</v>
      </c>
      <c r="I892" t="s">
        <v>88</v>
      </c>
      <c r="J892" t="s">
        <v>151</v>
      </c>
      <c r="K892" t="s">
        <v>2</v>
      </c>
      <c r="L892" t="s">
        <v>4041</v>
      </c>
      <c r="M892" t="s">
        <v>4042</v>
      </c>
      <c r="N892" t="s">
        <v>3996</v>
      </c>
      <c r="O892" t="s">
        <v>59</v>
      </c>
      <c r="P892" t="s">
        <v>4043</v>
      </c>
      <c r="Q892" s="14" t="s">
        <v>107</v>
      </c>
      <c r="R892" t="s">
        <v>344</v>
      </c>
      <c r="S892">
        <v>0.5</v>
      </c>
      <c r="T892">
        <v>6132</v>
      </c>
      <c r="U892">
        <v>0</v>
      </c>
      <c r="V892">
        <v>6132</v>
      </c>
    </row>
    <row r="893" spans="1:22" x14ac:dyDescent="0.25">
      <c r="A893">
        <v>186607</v>
      </c>
      <c r="B893">
        <v>131153137</v>
      </c>
      <c r="C893" t="s">
        <v>4044</v>
      </c>
      <c r="D893">
        <v>250124392</v>
      </c>
      <c r="E893" t="s">
        <v>3994</v>
      </c>
      <c r="F893" t="s">
        <v>431</v>
      </c>
      <c r="G893" t="s">
        <v>149</v>
      </c>
      <c r="H893" t="s">
        <v>150</v>
      </c>
      <c r="I893" t="s">
        <v>88</v>
      </c>
      <c r="J893" t="s">
        <v>151</v>
      </c>
      <c r="K893" t="s">
        <v>2</v>
      </c>
      <c r="L893" t="s">
        <v>4045</v>
      </c>
      <c r="M893" t="s">
        <v>4046</v>
      </c>
      <c r="N893" t="s">
        <v>3996</v>
      </c>
      <c r="O893" t="s">
        <v>59</v>
      </c>
      <c r="P893" t="s">
        <v>4047</v>
      </c>
      <c r="Q893" s="14" t="s">
        <v>120</v>
      </c>
      <c r="R893" t="s">
        <v>344</v>
      </c>
      <c r="S893">
        <v>2.63</v>
      </c>
      <c r="T893">
        <v>5997</v>
      </c>
      <c r="U893">
        <v>0</v>
      </c>
      <c r="V893">
        <v>5997</v>
      </c>
    </row>
    <row r="894" spans="1:22" x14ac:dyDescent="0.25">
      <c r="A894">
        <v>186607</v>
      </c>
      <c r="B894">
        <v>131193347</v>
      </c>
      <c r="C894" t="s">
        <v>4048</v>
      </c>
      <c r="D894">
        <v>250124331</v>
      </c>
      <c r="E894" t="s">
        <v>3994</v>
      </c>
      <c r="F894" t="s">
        <v>431</v>
      </c>
      <c r="G894" t="s">
        <v>149</v>
      </c>
      <c r="H894" t="s">
        <v>150</v>
      </c>
      <c r="I894" t="s">
        <v>88</v>
      </c>
      <c r="J894" t="s">
        <v>151</v>
      </c>
      <c r="K894" t="s">
        <v>2</v>
      </c>
      <c r="L894" t="s">
        <v>4049</v>
      </c>
      <c r="M894" t="s">
        <v>4050</v>
      </c>
      <c r="N894" t="s">
        <v>3996</v>
      </c>
      <c r="O894" t="s">
        <v>59</v>
      </c>
      <c r="P894" t="s">
        <v>4051</v>
      </c>
      <c r="Q894" s="14" t="s">
        <v>120</v>
      </c>
      <c r="R894" t="s">
        <v>4052</v>
      </c>
      <c r="S894">
        <v>1.32</v>
      </c>
      <c r="T894">
        <v>5569</v>
      </c>
      <c r="U894">
        <v>0</v>
      </c>
      <c r="V894">
        <v>5569</v>
      </c>
    </row>
    <row r="895" spans="1:22" x14ac:dyDescent="0.25">
      <c r="A895">
        <v>186607</v>
      </c>
      <c r="B895">
        <v>131182388</v>
      </c>
      <c r="C895" t="s">
        <v>4053</v>
      </c>
      <c r="D895">
        <v>250124373</v>
      </c>
      <c r="E895" t="s">
        <v>3994</v>
      </c>
      <c r="F895" t="s">
        <v>431</v>
      </c>
      <c r="G895" t="s">
        <v>149</v>
      </c>
      <c r="H895" t="s">
        <v>150</v>
      </c>
      <c r="I895" t="s">
        <v>88</v>
      </c>
      <c r="J895" t="s">
        <v>151</v>
      </c>
      <c r="K895" t="s">
        <v>2</v>
      </c>
      <c r="L895" t="s">
        <v>4054</v>
      </c>
      <c r="M895" t="s">
        <v>4055</v>
      </c>
      <c r="N895" t="s">
        <v>3996</v>
      </c>
      <c r="O895" t="s">
        <v>59</v>
      </c>
      <c r="P895" t="s">
        <v>4056</v>
      </c>
      <c r="Q895" s="14" t="s">
        <v>92</v>
      </c>
      <c r="R895" t="s">
        <v>4057</v>
      </c>
      <c r="S895">
        <v>2.09</v>
      </c>
      <c r="T895">
        <v>5423</v>
      </c>
      <c r="U895">
        <v>0</v>
      </c>
      <c r="V895">
        <v>5423</v>
      </c>
    </row>
    <row r="896" spans="1:22" x14ac:dyDescent="0.25">
      <c r="A896">
        <v>186607</v>
      </c>
      <c r="B896">
        <v>131193365</v>
      </c>
      <c r="C896" t="s">
        <v>4058</v>
      </c>
      <c r="D896">
        <v>250124354</v>
      </c>
      <c r="E896" t="s">
        <v>3994</v>
      </c>
      <c r="F896" t="s">
        <v>431</v>
      </c>
      <c r="G896" t="s">
        <v>149</v>
      </c>
      <c r="H896" t="s">
        <v>150</v>
      </c>
      <c r="I896" t="s">
        <v>88</v>
      </c>
      <c r="J896" t="s">
        <v>151</v>
      </c>
      <c r="K896" t="s">
        <v>2</v>
      </c>
      <c r="L896" t="s">
        <v>4059</v>
      </c>
      <c r="M896" t="s">
        <v>4060</v>
      </c>
      <c r="N896" t="s">
        <v>3996</v>
      </c>
      <c r="O896" t="s">
        <v>59</v>
      </c>
      <c r="P896" t="s">
        <v>4061</v>
      </c>
      <c r="Q896" s="14" t="s">
        <v>124</v>
      </c>
      <c r="R896" t="s">
        <v>4052</v>
      </c>
      <c r="S896">
        <v>0.5</v>
      </c>
      <c r="T896">
        <v>4219</v>
      </c>
      <c r="U896">
        <v>0</v>
      </c>
      <c r="V896">
        <v>4219</v>
      </c>
    </row>
    <row r="897" spans="1:22" x14ac:dyDescent="0.25">
      <c r="A897">
        <v>186607</v>
      </c>
      <c r="B897">
        <v>131088184</v>
      </c>
      <c r="C897" t="s">
        <v>4062</v>
      </c>
      <c r="D897">
        <v>250039657</v>
      </c>
      <c r="E897" t="s">
        <v>3994</v>
      </c>
      <c r="F897" t="s">
        <v>431</v>
      </c>
      <c r="G897" t="s">
        <v>149</v>
      </c>
      <c r="H897" t="s">
        <v>150</v>
      </c>
      <c r="I897" t="s">
        <v>88</v>
      </c>
      <c r="J897" t="s">
        <v>151</v>
      </c>
      <c r="K897" t="s">
        <v>2</v>
      </c>
      <c r="L897" t="s">
        <v>4063</v>
      </c>
      <c r="M897" t="s">
        <v>4064</v>
      </c>
      <c r="N897" t="s">
        <v>3996</v>
      </c>
      <c r="O897" t="s">
        <v>59</v>
      </c>
      <c r="P897" t="s">
        <v>4065</v>
      </c>
      <c r="Q897" s="14" t="s">
        <v>170</v>
      </c>
      <c r="R897" t="s">
        <v>4066</v>
      </c>
      <c r="S897">
        <v>0.5</v>
      </c>
      <c r="T897">
        <v>5749</v>
      </c>
      <c r="U897">
        <v>0</v>
      </c>
      <c r="V897">
        <v>5749</v>
      </c>
    </row>
    <row r="898" spans="1:22" x14ac:dyDescent="0.25">
      <c r="A898">
        <v>186607</v>
      </c>
      <c r="B898">
        <v>131152342</v>
      </c>
      <c r="C898" t="s">
        <v>4067</v>
      </c>
      <c r="D898">
        <v>250039496</v>
      </c>
      <c r="E898" t="s">
        <v>3994</v>
      </c>
      <c r="F898" t="s">
        <v>431</v>
      </c>
      <c r="G898" t="s">
        <v>149</v>
      </c>
      <c r="H898" t="s">
        <v>150</v>
      </c>
      <c r="I898" t="s">
        <v>88</v>
      </c>
      <c r="J898" t="s">
        <v>151</v>
      </c>
      <c r="K898" t="s">
        <v>2</v>
      </c>
      <c r="L898" t="s">
        <v>4068</v>
      </c>
      <c r="M898" t="s">
        <v>333</v>
      </c>
      <c r="N898" t="s">
        <v>3996</v>
      </c>
      <c r="O898" t="s">
        <v>59</v>
      </c>
      <c r="P898" t="s">
        <v>4069</v>
      </c>
      <c r="Q898" s="14" t="s">
        <v>170</v>
      </c>
      <c r="R898" t="s">
        <v>369</v>
      </c>
      <c r="S898">
        <v>2.2000000000000002</v>
      </c>
      <c r="T898">
        <v>6728</v>
      </c>
      <c r="U898">
        <v>0</v>
      </c>
      <c r="V898">
        <v>6728</v>
      </c>
    </row>
    <row r="899" spans="1:22" x14ac:dyDescent="0.25">
      <c r="A899">
        <v>186607</v>
      </c>
      <c r="B899">
        <v>131107940</v>
      </c>
      <c r="C899" t="s">
        <v>4070</v>
      </c>
      <c r="D899">
        <v>250039658</v>
      </c>
      <c r="E899" t="s">
        <v>3994</v>
      </c>
      <c r="F899" t="s">
        <v>431</v>
      </c>
      <c r="G899" t="s">
        <v>149</v>
      </c>
      <c r="H899" t="s">
        <v>150</v>
      </c>
      <c r="I899" t="s">
        <v>88</v>
      </c>
      <c r="J899" t="s">
        <v>151</v>
      </c>
      <c r="K899" t="s">
        <v>2</v>
      </c>
      <c r="L899" t="s">
        <v>4071</v>
      </c>
      <c r="M899" t="s">
        <v>4072</v>
      </c>
      <c r="N899" t="s">
        <v>3996</v>
      </c>
      <c r="O899" t="s">
        <v>59</v>
      </c>
      <c r="P899" t="s">
        <v>4073</v>
      </c>
      <c r="Q899" s="14" t="s">
        <v>215</v>
      </c>
      <c r="R899" t="s">
        <v>4074</v>
      </c>
      <c r="S899">
        <v>2.25</v>
      </c>
      <c r="T899">
        <v>6694</v>
      </c>
      <c r="U899">
        <v>0</v>
      </c>
      <c r="V899">
        <v>6694</v>
      </c>
    </row>
    <row r="900" spans="1:22" x14ac:dyDescent="0.25">
      <c r="A900">
        <v>186607</v>
      </c>
      <c r="B900">
        <v>131152337</v>
      </c>
      <c r="C900" t="s">
        <v>4075</v>
      </c>
      <c r="D900">
        <v>250039513</v>
      </c>
      <c r="E900" t="s">
        <v>3994</v>
      </c>
      <c r="F900" t="s">
        <v>431</v>
      </c>
      <c r="G900" t="s">
        <v>149</v>
      </c>
      <c r="H900" t="s">
        <v>150</v>
      </c>
      <c r="I900" t="s">
        <v>88</v>
      </c>
      <c r="J900" t="s">
        <v>151</v>
      </c>
      <c r="K900" t="s">
        <v>2</v>
      </c>
      <c r="L900" t="s">
        <v>4076</v>
      </c>
      <c r="M900" t="s">
        <v>4077</v>
      </c>
      <c r="N900" t="s">
        <v>3996</v>
      </c>
      <c r="O900" t="s">
        <v>59</v>
      </c>
      <c r="P900" t="s">
        <v>4078</v>
      </c>
      <c r="Q900" s="14" t="s">
        <v>128</v>
      </c>
      <c r="R900" t="s">
        <v>369</v>
      </c>
      <c r="S900">
        <v>0.5</v>
      </c>
      <c r="T900">
        <v>7864</v>
      </c>
      <c r="U900">
        <v>0</v>
      </c>
      <c r="V900">
        <v>7864</v>
      </c>
    </row>
    <row r="901" spans="1:22" x14ac:dyDescent="0.25">
      <c r="A901">
        <v>186607</v>
      </c>
      <c r="B901">
        <v>131045495</v>
      </c>
      <c r="C901" t="s">
        <v>4079</v>
      </c>
      <c r="D901">
        <v>249825258</v>
      </c>
      <c r="E901" t="s">
        <v>3994</v>
      </c>
      <c r="F901" t="s">
        <v>431</v>
      </c>
      <c r="G901" t="s">
        <v>149</v>
      </c>
      <c r="H901" t="s">
        <v>150</v>
      </c>
      <c r="I901" t="s">
        <v>88</v>
      </c>
      <c r="J901" t="s">
        <v>151</v>
      </c>
      <c r="K901" t="s">
        <v>2</v>
      </c>
      <c r="L901" t="s">
        <v>4080</v>
      </c>
      <c r="M901" t="s">
        <v>4081</v>
      </c>
      <c r="N901" t="s">
        <v>3996</v>
      </c>
      <c r="O901" t="s">
        <v>59</v>
      </c>
      <c r="P901" t="s">
        <v>4082</v>
      </c>
      <c r="Q901" s="14" t="s">
        <v>168</v>
      </c>
      <c r="R901" t="s">
        <v>416</v>
      </c>
      <c r="S901">
        <v>2.29</v>
      </c>
      <c r="T901">
        <v>8382</v>
      </c>
      <c r="U901">
        <v>0</v>
      </c>
      <c r="V901">
        <v>8382</v>
      </c>
    </row>
    <row r="902" spans="1:22" x14ac:dyDescent="0.25">
      <c r="A902">
        <v>186607</v>
      </c>
      <c r="B902">
        <v>131152369</v>
      </c>
      <c r="C902" t="s">
        <v>4083</v>
      </c>
      <c r="D902">
        <v>250039442</v>
      </c>
      <c r="E902" t="s">
        <v>3994</v>
      </c>
      <c r="F902" t="s">
        <v>431</v>
      </c>
      <c r="G902" t="s">
        <v>149</v>
      </c>
      <c r="H902" t="s">
        <v>150</v>
      </c>
      <c r="I902" t="s">
        <v>88</v>
      </c>
      <c r="J902" t="s">
        <v>151</v>
      </c>
      <c r="K902" t="s">
        <v>2</v>
      </c>
      <c r="L902" t="s">
        <v>4084</v>
      </c>
      <c r="M902" t="s">
        <v>4085</v>
      </c>
      <c r="N902" t="s">
        <v>3996</v>
      </c>
      <c r="O902" t="s">
        <v>59</v>
      </c>
      <c r="P902" t="s">
        <v>4086</v>
      </c>
      <c r="Q902" s="14" t="s">
        <v>326</v>
      </c>
      <c r="R902" t="s">
        <v>369</v>
      </c>
      <c r="S902">
        <v>0.5</v>
      </c>
      <c r="T902">
        <v>5153</v>
      </c>
      <c r="U902">
        <v>0</v>
      </c>
      <c r="V902">
        <v>5153</v>
      </c>
    </row>
    <row r="903" spans="1:22" x14ac:dyDescent="0.25">
      <c r="A903">
        <v>186607</v>
      </c>
      <c r="B903">
        <v>131152362</v>
      </c>
      <c r="C903" t="s">
        <v>4087</v>
      </c>
      <c r="D903">
        <v>250039484</v>
      </c>
      <c r="E903" t="s">
        <v>3994</v>
      </c>
      <c r="F903" t="s">
        <v>431</v>
      </c>
      <c r="G903" t="s">
        <v>149</v>
      </c>
      <c r="H903" t="s">
        <v>150</v>
      </c>
      <c r="I903" t="s">
        <v>88</v>
      </c>
      <c r="J903" t="s">
        <v>151</v>
      </c>
      <c r="K903" t="s">
        <v>2</v>
      </c>
      <c r="L903" t="s">
        <v>4088</v>
      </c>
      <c r="M903" t="s">
        <v>4089</v>
      </c>
      <c r="N903" t="s">
        <v>3996</v>
      </c>
      <c r="O903" t="s">
        <v>59</v>
      </c>
      <c r="P903" t="s">
        <v>4090</v>
      </c>
      <c r="Q903" s="14" t="s">
        <v>163</v>
      </c>
      <c r="R903" t="s">
        <v>369</v>
      </c>
      <c r="S903">
        <v>1.62</v>
      </c>
      <c r="T903">
        <v>4467</v>
      </c>
      <c r="U903">
        <v>0</v>
      </c>
      <c r="V903">
        <v>4467</v>
      </c>
    </row>
    <row r="904" spans="1:22" x14ac:dyDescent="0.25">
      <c r="A904">
        <v>186607</v>
      </c>
      <c r="B904">
        <v>131152366</v>
      </c>
      <c r="C904" t="s">
        <v>4091</v>
      </c>
      <c r="D904">
        <v>250039452</v>
      </c>
      <c r="E904" t="s">
        <v>3994</v>
      </c>
      <c r="F904" t="s">
        <v>431</v>
      </c>
      <c r="G904" t="s">
        <v>149</v>
      </c>
      <c r="H904" t="s">
        <v>150</v>
      </c>
      <c r="I904" t="s">
        <v>88</v>
      </c>
      <c r="J904" t="s">
        <v>151</v>
      </c>
      <c r="K904" t="s">
        <v>2</v>
      </c>
      <c r="L904" t="s">
        <v>4092</v>
      </c>
      <c r="M904" t="s">
        <v>4093</v>
      </c>
      <c r="N904" t="s">
        <v>3996</v>
      </c>
      <c r="O904" t="s">
        <v>59</v>
      </c>
      <c r="P904" t="s">
        <v>4094</v>
      </c>
      <c r="Q904" s="14" t="s">
        <v>107</v>
      </c>
      <c r="R904" t="s">
        <v>369</v>
      </c>
      <c r="S904">
        <v>0.5</v>
      </c>
      <c r="T904">
        <v>6132</v>
      </c>
      <c r="U904">
        <v>0</v>
      </c>
      <c r="V904">
        <v>6132</v>
      </c>
    </row>
    <row r="905" spans="1:22" x14ac:dyDescent="0.25">
      <c r="A905">
        <v>186607</v>
      </c>
      <c r="B905">
        <v>131152304</v>
      </c>
      <c r="C905" t="s">
        <v>4095</v>
      </c>
      <c r="D905">
        <v>250039625</v>
      </c>
      <c r="E905" t="s">
        <v>3994</v>
      </c>
      <c r="F905" t="s">
        <v>431</v>
      </c>
      <c r="G905" t="s">
        <v>149</v>
      </c>
      <c r="H905" t="s">
        <v>150</v>
      </c>
      <c r="I905" t="s">
        <v>88</v>
      </c>
      <c r="J905" t="s">
        <v>151</v>
      </c>
      <c r="K905" t="s">
        <v>2</v>
      </c>
      <c r="L905" t="s">
        <v>4096</v>
      </c>
      <c r="M905" t="s">
        <v>4097</v>
      </c>
      <c r="N905" t="s">
        <v>3996</v>
      </c>
      <c r="O905" t="s">
        <v>59</v>
      </c>
      <c r="P905" t="s">
        <v>4098</v>
      </c>
      <c r="Q905" s="14" t="s">
        <v>120</v>
      </c>
      <c r="R905" t="s">
        <v>127</v>
      </c>
      <c r="S905">
        <v>2</v>
      </c>
      <c r="T905">
        <v>5569</v>
      </c>
      <c r="U905">
        <v>0</v>
      </c>
      <c r="V905">
        <v>5569</v>
      </c>
    </row>
    <row r="906" spans="1:22" x14ac:dyDescent="0.25">
      <c r="A906">
        <v>186607</v>
      </c>
      <c r="B906">
        <v>131152326</v>
      </c>
      <c r="C906" t="s">
        <v>4099</v>
      </c>
      <c r="D906">
        <v>250039553</v>
      </c>
      <c r="E906" t="s">
        <v>3994</v>
      </c>
      <c r="F906" t="s">
        <v>431</v>
      </c>
      <c r="G906" t="s">
        <v>149</v>
      </c>
      <c r="H906" t="s">
        <v>150</v>
      </c>
      <c r="I906" t="s">
        <v>88</v>
      </c>
      <c r="J906" t="s">
        <v>151</v>
      </c>
      <c r="K906" t="s">
        <v>2</v>
      </c>
      <c r="L906" t="s">
        <v>4100</v>
      </c>
      <c r="M906" t="s">
        <v>4101</v>
      </c>
      <c r="N906" t="s">
        <v>3996</v>
      </c>
      <c r="O906" t="s">
        <v>59</v>
      </c>
      <c r="P906" t="s">
        <v>4102</v>
      </c>
      <c r="Q906" s="14" t="s">
        <v>198</v>
      </c>
      <c r="R906" t="s">
        <v>127</v>
      </c>
      <c r="S906">
        <v>0.5</v>
      </c>
      <c r="T906">
        <v>4973</v>
      </c>
      <c r="U906">
        <v>0</v>
      </c>
      <c r="V906">
        <v>4973</v>
      </c>
    </row>
    <row r="907" spans="1:22" x14ac:dyDescent="0.25">
      <c r="A907">
        <v>186607</v>
      </c>
      <c r="B907">
        <v>131152334</v>
      </c>
      <c r="C907" t="s">
        <v>4103</v>
      </c>
      <c r="D907">
        <v>250039530</v>
      </c>
      <c r="E907" t="s">
        <v>3994</v>
      </c>
      <c r="F907" t="s">
        <v>431</v>
      </c>
      <c r="G907" t="s">
        <v>149</v>
      </c>
      <c r="H907" t="s">
        <v>150</v>
      </c>
      <c r="I907" t="s">
        <v>88</v>
      </c>
      <c r="J907" t="s">
        <v>151</v>
      </c>
      <c r="K907" t="s">
        <v>2</v>
      </c>
      <c r="L907" t="s">
        <v>4104</v>
      </c>
      <c r="M907" t="s">
        <v>4105</v>
      </c>
      <c r="N907" t="s">
        <v>3996</v>
      </c>
      <c r="O907" t="s">
        <v>59</v>
      </c>
      <c r="P907" t="s">
        <v>4106</v>
      </c>
      <c r="Q907" s="14" t="s">
        <v>322</v>
      </c>
      <c r="R907" t="s">
        <v>369</v>
      </c>
      <c r="S907">
        <v>2.48</v>
      </c>
      <c r="T907">
        <v>5997</v>
      </c>
      <c r="U907">
        <v>0</v>
      </c>
      <c r="V907">
        <v>5997</v>
      </c>
    </row>
    <row r="908" spans="1:22" x14ac:dyDescent="0.25">
      <c r="A908">
        <v>186607</v>
      </c>
      <c r="B908">
        <v>131152318</v>
      </c>
      <c r="C908" t="s">
        <v>4107</v>
      </c>
      <c r="D908">
        <v>250039600</v>
      </c>
      <c r="E908" t="s">
        <v>3994</v>
      </c>
      <c r="F908" t="s">
        <v>431</v>
      </c>
      <c r="G908" t="s">
        <v>149</v>
      </c>
      <c r="H908" t="s">
        <v>150</v>
      </c>
      <c r="I908" t="s">
        <v>88</v>
      </c>
      <c r="J908" t="s">
        <v>151</v>
      </c>
      <c r="K908" t="s">
        <v>2</v>
      </c>
      <c r="L908" t="s">
        <v>4108</v>
      </c>
      <c r="M908" t="s">
        <v>4109</v>
      </c>
      <c r="N908" t="s">
        <v>3996</v>
      </c>
      <c r="O908" t="s">
        <v>59</v>
      </c>
      <c r="P908" t="s">
        <v>4110</v>
      </c>
      <c r="Q908" s="14" t="s">
        <v>93</v>
      </c>
      <c r="R908" t="s">
        <v>127</v>
      </c>
      <c r="S908">
        <v>1.54</v>
      </c>
      <c r="T908">
        <v>5052</v>
      </c>
      <c r="U908">
        <v>0</v>
      </c>
      <c r="V908">
        <v>5052</v>
      </c>
    </row>
    <row r="909" spans="1:22" x14ac:dyDescent="0.25">
      <c r="A909">
        <v>186607</v>
      </c>
      <c r="B909">
        <v>131107947</v>
      </c>
      <c r="C909" t="s">
        <v>4111</v>
      </c>
      <c r="D909">
        <v>250039634</v>
      </c>
      <c r="E909" t="s">
        <v>3994</v>
      </c>
      <c r="F909" t="s">
        <v>431</v>
      </c>
      <c r="G909" t="s">
        <v>149</v>
      </c>
      <c r="H909" t="s">
        <v>150</v>
      </c>
      <c r="I909" t="s">
        <v>88</v>
      </c>
      <c r="J909" t="s">
        <v>151</v>
      </c>
      <c r="K909" t="s">
        <v>2</v>
      </c>
      <c r="L909" t="s">
        <v>4112</v>
      </c>
      <c r="M909" t="s">
        <v>4113</v>
      </c>
      <c r="N909" t="s">
        <v>3996</v>
      </c>
      <c r="O909" t="s">
        <v>59</v>
      </c>
      <c r="P909" t="s">
        <v>4114</v>
      </c>
      <c r="Q909" s="14" t="s">
        <v>158</v>
      </c>
      <c r="R909" t="s">
        <v>4074</v>
      </c>
      <c r="S909">
        <v>1</v>
      </c>
      <c r="T909">
        <v>4219</v>
      </c>
      <c r="U909">
        <v>0</v>
      </c>
      <c r="V909">
        <v>4219</v>
      </c>
    </row>
    <row r="910" spans="1:22" x14ac:dyDescent="0.25">
      <c r="A910">
        <v>186607</v>
      </c>
      <c r="B910">
        <v>131152341</v>
      </c>
      <c r="C910" t="s">
        <v>4115</v>
      </c>
      <c r="D910">
        <v>250039521</v>
      </c>
      <c r="E910" t="s">
        <v>3994</v>
      </c>
      <c r="F910" t="s">
        <v>431</v>
      </c>
      <c r="G910" t="s">
        <v>149</v>
      </c>
      <c r="H910" t="s">
        <v>150</v>
      </c>
      <c r="I910" t="s">
        <v>88</v>
      </c>
      <c r="J910" t="s">
        <v>151</v>
      </c>
      <c r="K910" t="s">
        <v>46</v>
      </c>
      <c r="L910" t="s">
        <v>194</v>
      </c>
      <c r="M910" t="s">
        <v>4116</v>
      </c>
      <c r="N910" t="s">
        <v>3996</v>
      </c>
      <c r="O910" t="s">
        <v>59</v>
      </c>
      <c r="P910" t="s">
        <v>4117</v>
      </c>
      <c r="Q910" s="14" t="s">
        <v>40</v>
      </c>
      <c r="R910" t="s">
        <v>369</v>
      </c>
      <c r="S910">
        <v>0.5</v>
      </c>
      <c r="T910">
        <v>4534</v>
      </c>
      <c r="U910">
        <v>0</v>
      </c>
      <c r="V910">
        <v>4534</v>
      </c>
    </row>
    <row r="911" spans="1:22" x14ac:dyDescent="0.25">
      <c r="A911">
        <v>186607</v>
      </c>
      <c r="B911">
        <v>131152367</v>
      </c>
      <c r="C911" t="s">
        <v>4118</v>
      </c>
      <c r="D911">
        <v>250039449</v>
      </c>
      <c r="E911" t="s">
        <v>3994</v>
      </c>
      <c r="F911" t="s">
        <v>431</v>
      </c>
      <c r="G911" t="s">
        <v>149</v>
      </c>
      <c r="H911" t="s">
        <v>150</v>
      </c>
      <c r="I911" t="s">
        <v>88</v>
      </c>
      <c r="J911" t="s">
        <v>151</v>
      </c>
      <c r="K911" t="s">
        <v>2</v>
      </c>
      <c r="L911" t="s">
        <v>4119</v>
      </c>
      <c r="M911" t="s">
        <v>4120</v>
      </c>
      <c r="N911" t="s">
        <v>3996</v>
      </c>
      <c r="O911" t="s">
        <v>59</v>
      </c>
      <c r="P911" t="s">
        <v>4121</v>
      </c>
      <c r="Q911" s="14" t="s">
        <v>109</v>
      </c>
      <c r="R911" t="s">
        <v>369</v>
      </c>
      <c r="S911">
        <v>0.5</v>
      </c>
      <c r="T911">
        <v>4669</v>
      </c>
      <c r="U911">
        <v>0</v>
      </c>
      <c r="V911">
        <v>4669</v>
      </c>
    </row>
    <row r="912" spans="1:22" x14ac:dyDescent="0.25">
      <c r="A912">
        <v>186607</v>
      </c>
      <c r="B912">
        <v>131152323</v>
      </c>
      <c r="C912" t="s">
        <v>4122</v>
      </c>
      <c r="D912">
        <v>250039556</v>
      </c>
      <c r="E912" t="s">
        <v>3994</v>
      </c>
      <c r="F912" t="s">
        <v>431</v>
      </c>
      <c r="G912" t="s">
        <v>149</v>
      </c>
      <c r="H912" t="s">
        <v>150</v>
      </c>
      <c r="I912" t="s">
        <v>88</v>
      </c>
      <c r="J912" t="s">
        <v>151</v>
      </c>
      <c r="K912" t="s">
        <v>2</v>
      </c>
      <c r="L912" t="s">
        <v>4123</v>
      </c>
      <c r="M912" t="s">
        <v>4124</v>
      </c>
      <c r="N912" t="s">
        <v>3996</v>
      </c>
      <c r="O912" t="s">
        <v>59</v>
      </c>
      <c r="P912" t="s">
        <v>4125</v>
      </c>
      <c r="Q912" s="14" t="s">
        <v>137</v>
      </c>
      <c r="R912" t="s">
        <v>127</v>
      </c>
      <c r="S912">
        <v>0.5</v>
      </c>
      <c r="T912">
        <v>4219</v>
      </c>
      <c r="U912">
        <v>0</v>
      </c>
      <c r="V912">
        <v>4219</v>
      </c>
    </row>
    <row r="913" spans="1:22" x14ac:dyDescent="0.25">
      <c r="A913">
        <v>186607</v>
      </c>
      <c r="B913">
        <v>131152305</v>
      </c>
      <c r="C913" t="s">
        <v>4126</v>
      </c>
      <c r="D913">
        <v>250039622</v>
      </c>
      <c r="E913" t="s">
        <v>3994</v>
      </c>
      <c r="F913" t="s">
        <v>431</v>
      </c>
      <c r="G913" t="s">
        <v>149</v>
      </c>
      <c r="H913" t="s">
        <v>150</v>
      </c>
      <c r="I913" t="s">
        <v>88</v>
      </c>
      <c r="J913" t="s">
        <v>151</v>
      </c>
      <c r="K913" t="s">
        <v>2</v>
      </c>
      <c r="L913" t="s">
        <v>4127</v>
      </c>
      <c r="M913" t="s">
        <v>287</v>
      </c>
      <c r="N913" t="s">
        <v>3996</v>
      </c>
      <c r="O913" t="s">
        <v>59</v>
      </c>
      <c r="P913" t="s">
        <v>4128</v>
      </c>
      <c r="Q913" s="14" t="s">
        <v>122</v>
      </c>
      <c r="R913" t="s">
        <v>127</v>
      </c>
      <c r="S913">
        <v>3.54</v>
      </c>
      <c r="T913">
        <v>6008</v>
      </c>
      <c r="U913">
        <v>0</v>
      </c>
      <c r="V913">
        <v>6008</v>
      </c>
    </row>
    <row r="914" spans="1:22" x14ac:dyDescent="0.25">
      <c r="A914">
        <v>186607</v>
      </c>
      <c r="B914">
        <v>131152314</v>
      </c>
      <c r="C914" t="s">
        <v>4129</v>
      </c>
      <c r="D914">
        <v>250039606</v>
      </c>
      <c r="E914" t="s">
        <v>3994</v>
      </c>
      <c r="F914" t="s">
        <v>431</v>
      </c>
      <c r="G914" t="s">
        <v>149</v>
      </c>
      <c r="H914" t="s">
        <v>150</v>
      </c>
      <c r="I914" t="s">
        <v>88</v>
      </c>
      <c r="J914" t="s">
        <v>151</v>
      </c>
      <c r="K914" t="s">
        <v>2</v>
      </c>
      <c r="L914" t="s">
        <v>4130</v>
      </c>
      <c r="M914" t="s">
        <v>4131</v>
      </c>
      <c r="N914" t="s">
        <v>3996</v>
      </c>
      <c r="O914" t="s">
        <v>59</v>
      </c>
      <c r="P914" t="s">
        <v>4132</v>
      </c>
      <c r="Q914" s="14" t="s">
        <v>109</v>
      </c>
      <c r="R914" t="s">
        <v>127</v>
      </c>
      <c r="S914">
        <v>0.5</v>
      </c>
      <c r="T914">
        <v>4669</v>
      </c>
      <c r="U914">
        <v>0</v>
      </c>
      <c r="V914">
        <v>4669</v>
      </c>
    </row>
    <row r="915" spans="1:22" x14ac:dyDescent="0.25">
      <c r="A915">
        <v>186607</v>
      </c>
      <c r="B915">
        <v>131152349</v>
      </c>
      <c r="C915" t="s">
        <v>4133</v>
      </c>
      <c r="D915">
        <v>250039490</v>
      </c>
      <c r="E915" t="s">
        <v>3994</v>
      </c>
      <c r="F915" t="s">
        <v>431</v>
      </c>
      <c r="G915" t="s">
        <v>149</v>
      </c>
      <c r="H915" t="s">
        <v>150</v>
      </c>
      <c r="I915" t="s">
        <v>88</v>
      </c>
      <c r="J915" t="s">
        <v>151</v>
      </c>
      <c r="K915" t="s">
        <v>2</v>
      </c>
      <c r="L915" t="s">
        <v>4134</v>
      </c>
      <c r="M915" t="s">
        <v>4135</v>
      </c>
      <c r="N915" t="s">
        <v>3996</v>
      </c>
      <c r="O915" t="s">
        <v>59</v>
      </c>
      <c r="P915" t="s">
        <v>4136</v>
      </c>
      <c r="Q915" s="14" t="s">
        <v>125</v>
      </c>
      <c r="R915" t="s">
        <v>369</v>
      </c>
      <c r="S915">
        <v>0.5</v>
      </c>
      <c r="T915">
        <v>4219</v>
      </c>
      <c r="U915">
        <v>0</v>
      </c>
      <c r="V915">
        <v>4219</v>
      </c>
    </row>
    <row r="916" spans="1:22" x14ac:dyDescent="0.25">
      <c r="A916">
        <v>186607</v>
      </c>
      <c r="B916">
        <v>131152329</v>
      </c>
      <c r="C916" t="s">
        <v>4137</v>
      </c>
      <c r="D916">
        <v>250039564</v>
      </c>
      <c r="E916" t="s">
        <v>3994</v>
      </c>
      <c r="F916" t="s">
        <v>431</v>
      </c>
      <c r="G916" t="s">
        <v>149</v>
      </c>
      <c r="H916" t="s">
        <v>150</v>
      </c>
      <c r="I916" t="s">
        <v>88</v>
      </c>
      <c r="J916" t="s">
        <v>151</v>
      </c>
      <c r="K916" t="s">
        <v>2</v>
      </c>
      <c r="L916" t="s">
        <v>4138</v>
      </c>
      <c r="M916" t="s">
        <v>1009</v>
      </c>
      <c r="N916" t="s">
        <v>3996</v>
      </c>
      <c r="O916" t="s">
        <v>59</v>
      </c>
      <c r="P916" t="s">
        <v>4139</v>
      </c>
      <c r="Q916" s="14" t="s">
        <v>313</v>
      </c>
      <c r="R916" t="s">
        <v>127</v>
      </c>
      <c r="S916">
        <v>0.5</v>
      </c>
      <c r="T916">
        <v>4534</v>
      </c>
      <c r="U916">
        <v>0</v>
      </c>
      <c r="V916">
        <v>4534</v>
      </c>
    </row>
    <row r="917" spans="1:22" x14ac:dyDescent="0.25">
      <c r="A917">
        <v>186607</v>
      </c>
      <c r="B917">
        <v>131041118</v>
      </c>
      <c r="C917" t="s">
        <v>4140</v>
      </c>
      <c r="D917">
        <v>249825302</v>
      </c>
      <c r="E917" t="s">
        <v>3994</v>
      </c>
      <c r="F917" t="s">
        <v>431</v>
      </c>
      <c r="G917" t="s">
        <v>149</v>
      </c>
      <c r="H917" t="s">
        <v>150</v>
      </c>
      <c r="I917" t="s">
        <v>88</v>
      </c>
      <c r="J917" t="s">
        <v>151</v>
      </c>
      <c r="K917" t="s">
        <v>2</v>
      </c>
      <c r="L917" t="s">
        <v>4141</v>
      </c>
      <c r="M917" t="s">
        <v>4142</v>
      </c>
      <c r="N917" t="s">
        <v>3996</v>
      </c>
      <c r="O917" t="s">
        <v>59</v>
      </c>
      <c r="P917" t="s">
        <v>4143</v>
      </c>
      <c r="Q917" s="14" t="s">
        <v>38</v>
      </c>
      <c r="R917" t="s">
        <v>4144</v>
      </c>
      <c r="S917">
        <v>26.87</v>
      </c>
      <c r="T917">
        <v>14344</v>
      </c>
      <c r="U917">
        <v>0</v>
      </c>
      <c r="V917">
        <v>14344</v>
      </c>
    </row>
    <row r="918" spans="1:22" x14ac:dyDescent="0.25">
      <c r="A918">
        <v>186607</v>
      </c>
      <c r="B918">
        <v>131078772</v>
      </c>
      <c r="C918" t="s">
        <v>4145</v>
      </c>
      <c r="D918">
        <v>249895290</v>
      </c>
      <c r="E918" t="s">
        <v>3994</v>
      </c>
      <c r="F918" t="s">
        <v>431</v>
      </c>
      <c r="G918" t="s">
        <v>149</v>
      </c>
      <c r="H918" t="s">
        <v>150</v>
      </c>
      <c r="I918" t="s">
        <v>88</v>
      </c>
      <c r="J918" t="s">
        <v>151</v>
      </c>
      <c r="K918" t="s">
        <v>2</v>
      </c>
      <c r="L918" t="s">
        <v>4146</v>
      </c>
      <c r="M918" t="s">
        <v>4147</v>
      </c>
      <c r="N918" t="s">
        <v>3996</v>
      </c>
      <c r="O918" t="s">
        <v>59</v>
      </c>
      <c r="P918" t="s">
        <v>4148</v>
      </c>
      <c r="Q918" s="14" t="s">
        <v>128</v>
      </c>
      <c r="R918" t="s">
        <v>4149</v>
      </c>
      <c r="S918">
        <v>1</v>
      </c>
      <c r="T918">
        <v>7864</v>
      </c>
      <c r="U918">
        <v>0</v>
      </c>
      <c r="V918">
        <v>7864</v>
      </c>
    </row>
    <row r="919" spans="1:22" x14ac:dyDescent="0.25">
      <c r="A919">
        <v>186607</v>
      </c>
      <c r="B919">
        <v>131041112</v>
      </c>
      <c r="C919" t="s">
        <v>4150</v>
      </c>
      <c r="D919">
        <v>249825290</v>
      </c>
      <c r="E919" t="s">
        <v>3994</v>
      </c>
      <c r="F919" t="s">
        <v>431</v>
      </c>
      <c r="G919" t="s">
        <v>149</v>
      </c>
      <c r="H919" t="s">
        <v>150</v>
      </c>
      <c r="I919" t="s">
        <v>88</v>
      </c>
      <c r="J919" t="s">
        <v>151</v>
      </c>
      <c r="K919" t="s">
        <v>2</v>
      </c>
      <c r="L919" t="s">
        <v>4151</v>
      </c>
      <c r="M919" t="s">
        <v>4152</v>
      </c>
      <c r="N919" t="s">
        <v>3996</v>
      </c>
      <c r="O919" t="s">
        <v>59</v>
      </c>
      <c r="P919" t="s">
        <v>4153</v>
      </c>
      <c r="Q919" s="14" t="s">
        <v>129</v>
      </c>
      <c r="R919" t="s">
        <v>4144</v>
      </c>
      <c r="S919">
        <v>1.83</v>
      </c>
      <c r="T919">
        <v>7684</v>
      </c>
      <c r="U919">
        <v>0</v>
      </c>
      <c r="V919">
        <v>7684</v>
      </c>
    </row>
    <row r="920" spans="1:22" x14ac:dyDescent="0.25">
      <c r="A920">
        <v>186607</v>
      </c>
      <c r="B920">
        <v>131041125</v>
      </c>
      <c r="C920" t="s">
        <v>4154</v>
      </c>
      <c r="D920">
        <v>249825280</v>
      </c>
      <c r="E920" t="s">
        <v>3994</v>
      </c>
      <c r="F920" t="s">
        <v>431</v>
      </c>
      <c r="G920" t="s">
        <v>149</v>
      </c>
      <c r="H920" t="s">
        <v>150</v>
      </c>
      <c r="I920" t="s">
        <v>88</v>
      </c>
      <c r="J920" t="s">
        <v>151</v>
      </c>
      <c r="K920" t="s">
        <v>2</v>
      </c>
      <c r="L920" t="s">
        <v>4155</v>
      </c>
      <c r="M920" t="s">
        <v>4156</v>
      </c>
      <c r="N920" t="s">
        <v>3996</v>
      </c>
      <c r="O920" t="s">
        <v>59</v>
      </c>
      <c r="P920" t="s">
        <v>4157</v>
      </c>
      <c r="Q920" s="14" t="s">
        <v>38</v>
      </c>
      <c r="R920" t="s">
        <v>4144</v>
      </c>
      <c r="S920">
        <v>66.78</v>
      </c>
      <c r="T920">
        <v>25493</v>
      </c>
      <c r="U920">
        <v>0</v>
      </c>
      <c r="V920">
        <v>25493</v>
      </c>
    </row>
    <row r="921" spans="1:22" x14ac:dyDescent="0.25">
      <c r="A921">
        <v>186607</v>
      </c>
      <c r="B921">
        <v>131054008</v>
      </c>
      <c r="C921" t="s">
        <v>4158</v>
      </c>
      <c r="D921">
        <v>249895309</v>
      </c>
      <c r="E921" t="s">
        <v>3994</v>
      </c>
      <c r="F921" t="s">
        <v>431</v>
      </c>
      <c r="G921" t="s">
        <v>149</v>
      </c>
      <c r="H921" t="s">
        <v>150</v>
      </c>
      <c r="I921" t="s">
        <v>88</v>
      </c>
      <c r="J921" t="s">
        <v>151</v>
      </c>
      <c r="K921" t="s">
        <v>82</v>
      </c>
      <c r="L921" t="s">
        <v>248</v>
      </c>
      <c r="M921" t="s">
        <v>4159</v>
      </c>
      <c r="N921" t="s">
        <v>3996</v>
      </c>
      <c r="O921" t="s">
        <v>59</v>
      </c>
      <c r="P921" t="s">
        <v>4160</v>
      </c>
      <c r="Q921" s="14" t="s">
        <v>124</v>
      </c>
      <c r="R921" t="s">
        <v>4161</v>
      </c>
      <c r="S921">
        <v>1.24</v>
      </c>
      <c r="T921">
        <v>4467</v>
      </c>
      <c r="U921">
        <v>0</v>
      </c>
      <c r="V921">
        <v>4467</v>
      </c>
    </row>
    <row r="922" spans="1:22" x14ac:dyDescent="0.25">
      <c r="A922">
        <v>186607</v>
      </c>
      <c r="B922">
        <v>131078766</v>
      </c>
      <c r="C922" t="s">
        <v>4162</v>
      </c>
      <c r="D922">
        <v>249895300</v>
      </c>
      <c r="E922" t="s">
        <v>3994</v>
      </c>
      <c r="F922" t="s">
        <v>431</v>
      </c>
      <c r="G922" t="s">
        <v>149</v>
      </c>
      <c r="H922" t="s">
        <v>150</v>
      </c>
      <c r="I922" t="s">
        <v>88</v>
      </c>
      <c r="J922" t="s">
        <v>151</v>
      </c>
      <c r="K922" t="s">
        <v>2</v>
      </c>
      <c r="L922" t="s">
        <v>4163</v>
      </c>
      <c r="M922" t="s">
        <v>4164</v>
      </c>
      <c r="N922" t="s">
        <v>3996</v>
      </c>
      <c r="O922" t="s">
        <v>59</v>
      </c>
      <c r="P922" t="s">
        <v>4165</v>
      </c>
      <c r="Q922" s="14" t="s">
        <v>99</v>
      </c>
      <c r="R922" t="s">
        <v>4149</v>
      </c>
      <c r="S922">
        <v>0.5</v>
      </c>
      <c r="T922">
        <v>4219</v>
      </c>
      <c r="U922">
        <v>0</v>
      </c>
      <c r="V922">
        <v>4219</v>
      </c>
    </row>
    <row r="923" spans="1:22" x14ac:dyDescent="0.25">
      <c r="A923">
        <v>186607</v>
      </c>
      <c r="B923">
        <v>131041121</v>
      </c>
      <c r="C923" t="s">
        <v>4166</v>
      </c>
      <c r="D923">
        <v>249825271</v>
      </c>
      <c r="E923" t="s">
        <v>3994</v>
      </c>
      <c r="F923" t="s">
        <v>431</v>
      </c>
      <c r="G923" t="s">
        <v>149</v>
      </c>
      <c r="H923" t="s">
        <v>150</v>
      </c>
      <c r="I923" t="s">
        <v>88</v>
      </c>
      <c r="J923" t="s">
        <v>151</v>
      </c>
      <c r="K923" t="s">
        <v>2</v>
      </c>
      <c r="L923" t="s">
        <v>4167</v>
      </c>
      <c r="M923" t="s">
        <v>4168</v>
      </c>
      <c r="N923" t="s">
        <v>3996</v>
      </c>
      <c r="O923" t="s">
        <v>59</v>
      </c>
      <c r="P923" t="s">
        <v>4169</v>
      </c>
      <c r="Q923" s="14" t="s">
        <v>105</v>
      </c>
      <c r="R923" t="s">
        <v>4144</v>
      </c>
      <c r="S923">
        <v>3.5</v>
      </c>
      <c r="T923">
        <v>7234</v>
      </c>
      <c r="U923">
        <v>0</v>
      </c>
      <c r="V923">
        <v>7234</v>
      </c>
    </row>
    <row r="924" spans="1:22" x14ac:dyDescent="0.25">
      <c r="A924">
        <v>186607</v>
      </c>
      <c r="B924">
        <v>131078773</v>
      </c>
      <c r="C924" t="s">
        <v>4170</v>
      </c>
      <c r="D924">
        <v>249895274</v>
      </c>
      <c r="E924" t="s">
        <v>3994</v>
      </c>
      <c r="F924" t="s">
        <v>431</v>
      </c>
      <c r="G924" t="s">
        <v>149</v>
      </c>
      <c r="H924" t="s">
        <v>150</v>
      </c>
      <c r="I924" t="s">
        <v>88</v>
      </c>
      <c r="J924" t="s">
        <v>151</v>
      </c>
      <c r="K924" t="s">
        <v>2</v>
      </c>
      <c r="L924" t="s">
        <v>4171</v>
      </c>
      <c r="M924" t="s">
        <v>4172</v>
      </c>
      <c r="N924" t="s">
        <v>3996</v>
      </c>
      <c r="O924" t="s">
        <v>59</v>
      </c>
      <c r="P924" t="s">
        <v>4173</v>
      </c>
      <c r="Q924" s="14" t="s">
        <v>169</v>
      </c>
      <c r="R924" t="s">
        <v>4149</v>
      </c>
      <c r="S924">
        <v>0.5</v>
      </c>
      <c r="T924">
        <v>4853</v>
      </c>
      <c r="U924">
        <v>0</v>
      </c>
      <c r="V924">
        <v>4853</v>
      </c>
    </row>
    <row r="925" spans="1:22" x14ac:dyDescent="0.25">
      <c r="A925">
        <v>186607</v>
      </c>
      <c r="B925">
        <v>131078763</v>
      </c>
      <c r="C925" t="s">
        <v>4174</v>
      </c>
      <c r="D925">
        <v>249895320</v>
      </c>
      <c r="E925" t="s">
        <v>3994</v>
      </c>
      <c r="F925" t="s">
        <v>431</v>
      </c>
      <c r="G925" t="s">
        <v>149</v>
      </c>
      <c r="H925" t="s">
        <v>150</v>
      </c>
      <c r="I925" t="s">
        <v>88</v>
      </c>
      <c r="J925" t="s">
        <v>151</v>
      </c>
      <c r="K925" t="s">
        <v>2</v>
      </c>
      <c r="L925" t="s">
        <v>966</v>
      </c>
      <c r="M925" t="s">
        <v>4175</v>
      </c>
      <c r="N925" t="s">
        <v>3996</v>
      </c>
      <c r="O925" t="s">
        <v>59</v>
      </c>
      <c r="P925" t="s">
        <v>4176</v>
      </c>
      <c r="Q925" s="14" t="s">
        <v>120</v>
      </c>
      <c r="R925" t="s">
        <v>4149</v>
      </c>
      <c r="S925">
        <v>0.5</v>
      </c>
      <c r="T925">
        <v>5153</v>
      </c>
      <c r="U925">
        <v>0</v>
      </c>
      <c r="V925">
        <v>5153</v>
      </c>
    </row>
    <row r="926" spans="1:22" x14ac:dyDescent="0.25">
      <c r="A926">
        <v>186607</v>
      </c>
      <c r="B926">
        <v>131053999</v>
      </c>
      <c r="C926" t="s">
        <v>4177</v>
      </c>
      <c r="D926">
        <v>249895315</v>
      </c>
      <c r="E926" t="s">
        <v>3994</v>
      </c>
      <c r="F926" t="s">
        <v>431</v>
      </c>
      <c r="G926" t="s">
        <v>149</v>
      </c>
      <c r="H926" t="s">
        <v>150</v>
      </c>
      <c r="I926" t="s">
        <v>88</v>
      </c>
      <c r="J926" t="s">
        <v>151</v>
      </c>
      <c r="K926" t="s">
        <v>2</v>
      </c>
      <c r="L926" t="s">
        <v>4178</v>
      </c>
      <c r="M926" t="s">
        <v>4179</v>
      </c>
      <c r="N926" t="s">
        <v>3996</v>
      </c>
      <c r="O926" t="s">
        <v>59</v>
      </c>
      <c r="P926" t="s">
        <v>4180</v>
      </c>
      <c r="Q926" s="14" t="s">
        <v>124</v>
      </c>
      <c r="R926" t="s">
        <v>4161</v>
      </c>
      <c r="S926">
        <v>5.27</v>
      </c>
      <c r="T926">
        <v>5513</v>
      </c>
      <c r="U926">
        <v>0</v>
      </c>
      <c r="V926">
        <v>5513</v>
      </c>
    </row>
    <row r="927" spans="1:22" x14ac:dyDescent="0.25">
      <c r="A927">
        <v>186607</v>
      </c>
      <c r="B927">
        <v>131041124</v>
      </c>
      <c r="C927" t="s">
        <v>4181</v>
      </c>
      <c r="D927">
        <v>249825283</v>
      </c>
      <c r="E927" t="s">
        <v>3994</v>
      </c>
      <c r="F927" t="s">
        <v>431</v>
      </c>
      <c r="G927" t="s">
        <v>149</v>
      </c>
      <c r="H927" t="s">
        <v>150</v>
      </c>
      <c r="I927" t="s">
        <v>88</v>
      </c>
      <c r="J927" t="s">
        <v>151</v>
      </c>
      <c r="K927" t="s">
        <v>2</v>
      </c>
      <c r="L927" t="s">
        <v>4182</v>
      </c>
      <c r="M927" t="s">
        <v>4183</v>
      </c>
      <c r="N927" t="s">
        <v>3996</v>
      </c>
      <c r="O927" t="s">
        <v>59</v>
      </c>
      <c r="P927" t="s">
        <v>4184</v>
      </c>
      <c r="Q927" s="14" t="s">
        <v>40</v>
      </c>
      <c r="R927" t="s">
        <v>4144</v>
      </c>
      <c r="S927">
        <v>0.2</v>
      </c>
      <c r="T927">
        <v>4534</v>
      </c>
      <c r="U927">
        <v>0</v>
      </c>
      <c r="V927">
        <v>4534</v>
      </c>
    </row>
    <row r="928" spans="1:22" x14ac:dyDescent="0.25">
      <c r="A928">
        <v>186607</v>
      </c>
      <c r="B928">
        <v>130700770</v>
      </c>
      <c r="C928" t="s">
        <v>4185</v>
      </c>
      <c r="D928">
        <v>249146762</v>
      </c>
      <c r="E928" t="s">
        <v>3994</v>
      </c>
      <c r="F928" t="s">
        <v>431</v>
      </c>
      <c r="G928" t="s">
        <v>149</v>
      </c>
      <c r="H928" t="s">
        <v>150</v>
      </c>
      <c r="I928" t="s">
        <v>88</v>
      </c>
      <c r="J928" t="s">
        <v>151</v>
      </c>
      <c r="K928" t="s">
        <v>2</v>
      </c>
      <c r="L928" t="s">
        <v>4186</v>
      </c>
      <c r="M928" t="s">
        <v>4187</v>
      </c>
      <c r="N928" t="s">
        <v>3996</v>
      </c>
      <c r="O928" t="s">
        <v>59</v>
      </c>
      <c r="P928" t="s">
        <v>4188</v>
      </c>
      <c r="Q928" s="14" t="s">
        <v>110</v>
      </c>
      <c r="R928" t="s">
        <v>2406</v>
      </c>
      <c r="S928">
        <v>0.5</v>
      </c>
      <c r="T928">
        <v>6267</v>
      </c>
      <c r="U928">
        <v>0</v>
      </c>
      <c r="V928">
        <v>6267</v>
      </c>
    </row>
    <row r="929" spans="1:22" x14ac:dyDescent="0.25">
      <c r="A929">
        <v>186607</v>
      </c>
      <c r="B929">
        <v>131018128</v>
      </c>
      <c r="C929" t="s">
        <v>4189</v>
      </c>
      <c r="D929">
        <v>249751840</v>
      </c>
      <c r="E929" t="s">
        <v>3994</v>
      </c>
      <c r="F929" t="s">
        <v>431</v>
      </c>
      <c r="G929" t="s">
        <v>149</v>
      </c>
      <c r="H929" t="s">
        <v>150</v>
      </c>
      <c r="I929" t="s">
        <v>88</v>
      </c>
      <c r="J929" t="s">
        <v>151</v>
      </c>
      <c r="K929" t="s">
        <v>2</v>
      </c>
      <c r="L929" t="s">
        <v>4190</v>
      </c>
      <c r="M929" t="s">
        <v>4191</v>
      </c>
      <c r="N929" t="s">
        <v>3996</v>
      </c>
      <c r="O929" t="s">
        <v>59</v>
      </c>
      <c r="P929" t="s">
        <v>4192</v>
      </c>
      <c r="Q929" s="14" t="s">
        <v>40</v>
      </c>
      <c r="R929" t="s">
        <v>370</v>
      </c>
      <c r="S929">
        <v>1</v>
      </c>
      <c r="T929">
        <v>4534</v>
      </c>
      <c r="U929">
        <v>0</v>
      </c>
      <c r="V929">
        <v>4534</v>
      </c>
    </row>
    <row r="930" spans="1:22" x14ac:dyDescent="0.25">
      <c r="A930">
        <v>186607</v>
      </c>
      <c r="B930">
        <v>130990206</v>
      </c>
      <c r="C930" t="s">
        <v>4193</v>
      </c>
      <c r="D930">
        <v>249751856</v>
      </c>
      <c r="E930" t="s">
        <v>3994</v>
      </c>
      <c r="F930" t="s">
        <v>431</v>
      </c>
      <c r="G930" t="s">
        <v>149</v>
      </c>
      <c r="H930" t="s">
        <v>150</v>
      </c>
      <c r="I930" t="s">
        <v>88</v>
      </c>
      <c r="J930" t="s">
        <v>151</v>
      </c>
      <c r="K930" t="s">
        <v>2</v>
      </c>
      <c r="L930" t="s">
        <v>4194</v>
      </c>
      <c r="M930" t="s">
        <v>4195</v>
      </c>
      <c r="N930" t="s">
        <v>3996</v>
      </c>
      <c r="O930" t="s">
        <v>59</v>
      </c>
      <c r="P930" t="s">
        <v>4196</v>
      </c>
      <c r="Q930" s="14" t="s">
        <v>91</v>
      </c>
      <c r="R930" t="s">
        <v>4197</v>
      </c>
      <c r="S930">
        <v>0.5</v>
      </c>
      <c r="T930">
        <v>4669</v>
      </c>
      <c r="U930">
        <v>0</v>
      </c>
      <c r="V930">
        <v>4669</v>
      </c>
    </row>
    <row r="931" spans="1:22" x14ac:dyDescent="0.25">
      <c r="A931">
        <v>186607</v>
      </c>
      <c r="B931">
        <v>130771198</v>
      </c>
      <c r="C931" t="s">
        <v>4198</v>
      </c>
      <c r="D931">
        <v>249664692</v>
      </c>
      <c r="E931" t="s">
        <v>3994</v>
      </c>
      <c r="F931" t="s">
        <v>431</v>
      </c>
      <c r="G931" t="s">
        <v>149</v>
      </c>
      <c r="H931" t="s">
        <v>150</v>
      </c>
      <c r="I931" t="s">
        <v>88</v>
      </c>
      <c r="J931" t="s">
        <v>151</v>
      </c>
      <c r="K931" t="s">
        <v>254</v>
      </c>
      <c r="L931" t="s">
        <v>248</v>
      </c>
      <c r="M931" t="s">
        <v>4199</v>
      </c>
      <c r="N931" t="s">
        <v>3996</v>
      </c>
      <c r="O931" t="s">
        <v>59</v>
      </c>
      <c r="P931" t="s">
        <v>4200</v>
      </c>
      <c r="Q931" s="14" t="s">
        <v>120</v>
      </c>
      <c r="R931" t="s">
        <v>2334</v>
      </c>
      <c r="S931">
        <v>1.05</v>
      </c>
      <c r="T931">
        <v>5569</v>
      </c>
      <c r="U931">
        <v>0</v>
      </c>
      <c r="V931">
        <v>5569</v>
      </c>
    </row>
    <row r="932" spans="1:22" x14ac:dyDescent="0.25">
      <c r="A932">
        <v>186607</v>
      </c>
      <c r="B932">
        <v>131018130</v>
      </c>
      <c r="C932" t="s">
        <v>4201</v>
      </c>
      <c r="D932">
        <v>249751829</v>
      </c>
      <c r="E932" t="s">
        <v>3994</v>
      </c>
      <c r="F932" t="s">
        <v>431</v>
      </c>
      <c r="G932" t="s">
        <v>149</v>
      </c>
      <c r="H932" t="s">
        <v>150</v>
      </c>
      <c r="I932" t="s">
        <v>88</v>
      </c>
      <c r="J932" t="s">
        <v>151</v>
      </c>
      <c r="K932" t="s">
        <v>2</v>
      </c>
      <c r="L932" t="s">
        <v>4202</v>
      </c>
      <c r="M932" t="s">
        <v>4203</v>
      </c>
      <c r="N932" t="s">
        <v>3996</v>
      </c>
      <c r="O932" t="s">
        <v>59</v>
      </c>
      <c r="P932" t="s">
        <v>4204</v>
      </c>
      <c r="Q932" s="14" t="s">
        <v>40</v>
      </c>
      <c r="R932" t="s">
        <v>370</v>
      </c>
      <c r="S932">
        <v>0.5</v>
      </c>
      <c r="T932">
        <v>4534</v>
      </c>
      <c r="U932">
        <v>0</v>
      </c>
      <c r="V932">
        <v>4534</v>
      </c>
    </row>
    <row r="933" spans="1:22" x14ac:dyDescent="0.25">
      <c r="A933">
        <v>186607</v>
      </c>
      <c r="B933">
        <v>130975932</v>
      </c>
      <c r="C933" t="s">
        <v>4205</v>
      </c>
      <c r="D933">
        <v>249655318</v>
      </c>
      <c r="E933" t="s">
        <v>3994</v>
      </c>
      <c r="F933" t="s">
        <v>431</v>
      </c>
      <c r="G933" t="s">
        <v>149</v>
      </c>
      <c r="H933" t="s">
        <v>150</v>
      </c>
      <c r="I933" t="s">
        <v>88</v>
      </c>
      <c r="J933" t="s">
        <v>151</v>
      </c>
      <c r="K933" t="s">
        <v>2</v>
      </c>
      <c r="L933" t="s">
        <v>4206</v>
      </c>
      <c r="M933" t="s">
        <v>4207</v>
      </c>
      <c r="N933" t="s">
        <v>3996</v>
      </c>
      <c r="O933" t="s">
        <v>59</v>
      </c>
      <c r="P933" t="s">
        <v>4208</v>
      </c>
      <c r="Q933" s="14" t="s">
        <v>129</v>
      </c>
      <c r="R933" t="s">
        <v>4209</v>
      </c>
      <c r="S933">
        <v>1</v>
      </c>
      <c r="T933">
        <v>7212</v>
      </c>
      <c r="U933">
        <v>0</v>
      </c>
      <c r="V933">
        <v>7212</v>
      </c>
    </row>
    <row r="934" spans="1:22" x14ac:dyDescent="0.25">
      <c r="A934">
        <v>186607</v>
      </c>
      <c r="B934">
        <v>130975935</v>
      </c>
      <c r="C934" t="s">
        <v>4210</v>
      </c>
      <c r="D934">
        <v>249655296</v>
      </c>
      <c r="E934" t="s">
        <v>3994</v>
      </c>
      <c r="F934" t="s">
        <v>431</v>
      </c>
      <c r="G934" t="s">
        <v>149</v>
      </c>
      <c r="H934" t="s">
        <v>150</v>
      </c>
      <c r="I934" t="s">
        <v>88</v>
      </c>
      <c r="J934" t="s">
        <v>151</v>
      </c>
      <c r="K934" t="s">
        <v>2</v>
      </c>
      <c r="L934" t="s">
        <v>4211</v>
      </c>
      <c r="M934" t="s">
        <v>4212</v>
      </c>
      <c r="N934" t="s">
        <v>3996</v>
      </c>
      <c r="O934" t="s">
        <v>59</v>
      </c>
      <c r="P934" t="s">
        <v>4213</v>
      </c>
      <c r="Q934" s="14" t="s">
        <v>159</v>
      </c>
      <c r="R934" t="s">
        <v>4209</v>
      </c>
      <c r="S934">
        <v>0.5</v>
      </c>
      <c r="T934">
        <v>6132</v>
      </c>
      <c r="U934">
        <v>0</v>
      </c>
      <c r="V934">
        <v>6132</v>
      </c>
    </row>
    <row r="935" spans="1:22" x14ac:dyDescent="0.25">
      <c r="A935">
        <v>186607</v>
      </c>
      <c r="B935">
        <v>131018122</v>
      </c>
      <c r="C935" t="s">
        <v>4214</v>
      </c>
      <c r="D935">
        <v>249751862</v>
      </c>
      <c r="E935" t="s">
        <v>3994</v>
      </c>
      <c r="F935" t="s">
        <v>431</v>
      </c>
      <c r="G935" t="s">
        <v>149</v>
      </c>
      <c r="H935" t="s">
        <v>150</v>
      </c>
      <c r="I935" t="s">
        <v>88</v>
      </c>
      <c r="J935" t="s">
        <v>151</v>
      </c>
      <c r="K935" t="s">
        <v>2</v>
      </c>
      <c r="L935" t="s">
        <v>4215</v>
      </c>
      <c r="M935" t="s">
        <v>4216</v>
      </c>
      <c r="N935" t="s">
        <v>3996</v>
      </c>
      <c r="O935" t="s">
        <v>59</v>
      </c>
      <c r="P935" t="s">
        <v>4217</v>
      </c>
      <c r="Q935" s="14" t="s">
        <v>122</v>
      </c>
      <c r="R935" t="s">
        <v>370</v>
      </c>
      <c r="S935">
        <v>0.5</v>
      </c>
      <c r="T935">
        <v>4973</v>
      </c>
      <c r="U935">
        <v>0</v>
      </c>
      <c r="V935">
        <v>4973</v>
      </c>
    </row>
    <row r="936" spans="1:22" x14ac:dyDescent="0.25">
      <c r="A936">
        <v>186607</v>
      </c>
      <c r="B936">
        <v>130884465</v>
      </c>
      <c r="C936" t="s">
        <v>4218</v>
      </c>
      <c r="D936">
        <v>249587479</v>
      </c>
      <c r="E936" t="s">
        <v>3994</v>
      </c>
      <c r="F936" t="s">
        <v>431</v>
      </c>
      <c r="G936" t="s">
        <v>149</v>
      </c>
      <c r="H936" t="s">
        <v>150</v>
      </c>
      <c r="I936" t="s">
        <v>88</v>
      </c>
      <c r="J936" t="s">
        <v>151</v>
      </c>
      <c r="K936" t="s">
        <v>2</v>
      </c>
      <c r="L936" t="s">
        <v>4219</v>
      </c>
      <c r="M936" t="s">
        <v>4220</v>
      </c>
      <c r="N936" t="s">
        <v>3996</v>
      </c>
      <c r="O936" t="s">
        <v>59</v>
      </c>
      <c r="P936" t="s">
        <v>4221</v>
      </c>
      <c r="Q936" s="14" t="s">
        <v>111</v>
      </c>
      <c r="R936" t="s">
        <v>4222</v>
      </c>
      <c r="S936">
        <v>0.5</v>
      </c>
      <c r="T936">
        <v>5817</v>
      </c>
      <c r="U936">
        <v>0</v>
      </c>
      <c r="V936">
        <v>5817</v>
      </c>
    </row>
    <row r="937" spans="1:22" x14ac:dyDescent="0.25">
      <c r="A937">
        <v>186607</v>
      </c>
      <c r="B937">
        <v>130932533</v>
      </c>
      <c r="C937" t="s">
        <v>4223</v>
      </c>
      <c r="D937">
        <v>249587343</v>
      </c>
      <c r="E937" t="s">
        <v>3994</v>
      </c>
      <c r="F937" t="s">
        <v>431</v>
      </c>
      <c r="G937" t="s">
        <v>149</v>
      </c>
      <c r="H937" t="s">
        <v>150</v>
      </c>
      <c r="I937" t="s">
        <v>88</v>
      </c>
      <c r="J937" t="s">
        <v>151</v>
      </c>
      <c r="K937" t="s">
        <v>2</v>
      </c>
      <c r="L937" t="s">
        <v>4224</v>
      </c>
      <c r="M937" t="s">
        <v>4225</v>
      </c>
      <c r="N937" t="s">
        <v>3996</v>
      </c>
      <c r="O937" t="s">
        <v>59</v>
      </c>
      <c r="P937" t="s">
        <v>4226</v>
      </c>
      <c r="Q937" s="14" t="s">
        <v>292</v>
      </c>
      <c r="R937" t="s">
        <v>4227</v>
      </c>
      <c r="S937">
        <v>0.5</v>
      </c>
      <c r="T937">
        <v>5749</v>
      </c>
      <c r="U937">
        <v>0</v>
      </c>
      <c r="V937">
        <v>5749</v>
      </c>
    </row>
    <row r="938" spans="1:22" x14ac:dyDescent="0.25">
      <c r="A938">
        <v>186607</v>
      </c>
      <c r="B938">
        <v>130950160</v>
      </c>
      <c r="C938" t="s">
        <v>4228</v>
      </c>
      <c r="D938">
        <v>249655303</v>
      </c>
      <c r="E938" t="s">
        <v>3994</v>
      </c>
      <c r="F938" t="s">
        <v>431</v>
      </c>
      <c r="G938" t="s">
        <v>149</v>
      </c>
      <c r="H938" t="s">
        <v>150</v>
      </c>
      <c r="I938" t="s">
        <v>88</v>
      </c>
      <c r="J938" t="s">
        <v>151</v>
      </c>
      <c r="K938" t="s">
        <v>2</v>
      </c>
      <c r="L938" t="s">
        <v>4229</v>
      </c>
      <c r="M938" t="s">
        <v>4230</v>
      </c>
      <c r="N938" t="s">
        <v>3996</v>
      </c>
      <c r="O938" t="s">
        <v>59</v>
      </c>
      <c r="P938" t="s">
        <v>4231</v>
      </c>
      <c r="Q938" s="14" t="s">
        <v>142</v>
      </c>
      <c r="R938" t="s">
        <v>236</v>
      </c>
      <c r="S938">
        <v>1</v>
      </c>
      <c r="T938">
        <v>4219</v>
      </c>
      <c r="U938">
        <v>0</v>
      </c>
      <c r="V938">
        <v>4219</v>
      </c>
    </row>
    <row r="939" spans="1:22" x14ac:dyDescent="0.25">
      <c r="A939">
        <v>186607</v>
      </c>
      <c r="B939">
        <v>130932517</v>
      </c>
      <c r="C939" t="s">
        <v>4232</v>
      </c>
      <c r="D939">
        <v>249587381</v>
      </c>
      <c r="E939" t="s">
        <v>3994</v>
      </c>
      <c r="F939" t="s">
        <v>431</v>
      </c>
      <c r="G939" t="s">
        <v>149</v>
      </c>
      <c r="H939" t="s">
        <v>150</v>
      </c>
      <c r="I939" t="s">
        <v>88</v>
      </c>
      <c r="J939" t="s">
        <v>151</v>
      </c>
      <c r="K939" t="s">
        <v>2</v>
      </c>
      <c r="L939" t="s">
        <v>4233</v>
      </c>
      <c r="M939" t="s">
        <v>4234</v>
      </c>
      <c r="N939" t="s">
        <v>3996</v>
      </c>
      <c r="O939" t="s">
        <v>59</v>
      </c>
      <c r="P939" t="s">
        <v>4235</v>
      </c>
      <c r="Q939" s="14" t="s">
        <v>104</v>
      </c>
      <c r="R939" t="s">
        <v>4227</v>
      </c>
      <c r="S939">
        <v>1</v>
      </c>
      <c r="T939">
        <v>4737</v>
      </c>
      <c r="U939">
        <v>0</v>
      </c>
      <c r="V939">
        <v>4737</v>
      </c>
    </row>
    <row r="940" spans="1:22" x14ac:dyDescent="0.25">
      <c r="A940">
        <v>186607</v>
      </c>
      <c r="B940">
        <v>130932539</v>
      </c>
      <c r="C940" t="s">
        <v>4236</v>
      </c>
      <c r="D940">
        <v>249587341</v>
      </c>
      <c r="E940" t="s">
        <v>3994</v>
      </c>
      <c r="F940" t="s">
        <v>431</v>
      </c>
      <c r="G940" t="s">
        <v>149</v>
      </c>
      <c r="H940" t="s">
        <v>150</v>
      </c>
      <c r="I940" t="s">
        <v>88</v>
      </c>
      <c r="J940" t="s">
        <v>151</v>
      </c>
      <c r="K940" t="s">
        <v>2</v>
      </c>
      <c r="L940" t="s">
        <v>4237</v>
      </c>
      <c r="M940" t="s">
        <v>4238</v>
      </c>
      <c r="N940" t="s">
        <v>3996</v>
      </c>
      <c r="O940" t="s">
        <v>59</v>
      </c>
      <c r="P940" t="s">
        <v>4239</v>
      </c>
      <c r="Q940" s="14" t="s">
        <v>92</v>
      </c>
      <c r="R940" t="s">
        <v>4227</v>
      </c>
      <c r="S940">
        <v>0.5</v>
      </c>
      <c r="T940">
        <v>4669</v>
      </c>
      <c r="U940">
        <v>0</v>
      </c>
      <c r="V940">
        <v>4669</v>
      </c>
    </row>
    <row r="941" spans="1:22" x14ac:dyDescent="0.25">
      <c r="A941">
        <v>186607</v>
      </c>
      <c r="B941">
        <v>130884460</v>
      </c>
      <c r="C941" t="s">
        <v>4240</v>
      </c>
      <c r="D941">
        <v>249587471</v>
      </c>
      <c r="E941" t="s">
        <v>3994</v>
      </c>
      <c r="F941" t="s">
        <v>431</v>
      </c>
      <c r="G941" t="s">
        <v>149</v>
      </c>
      <c r="H941" t="s">
        <v>150</v>
      </c>
      <c r="I941" t="s">
        <v>88</v>
      </c>
      <c r="J941" t="s">
        <v>151</v>
      </c>
      <c r="K941" t="s">
        <v>2</v>
      </c>
      <c r="L941" t="s">
        <v>4241</v>
      </c>
      <c r="M941" t="s">
        <v>4242</v>
      </c>
      <c r="N941" t="s">
        <v>3996</v>
      </c>
      <c r="O941" t="s">
        <v>59</v>
      </c>
      <c r="P941" t="s">
        <v>4243</v>
      </c>
      <c r="Q941" s="14" t="s">
        <v>38</v>
      </c>
      <c r="R941" t="s">
        <v>4222</v>
      </c>
      <c r="S941">
        <v>0.5</v>
      </c>
      <c r="T941">
        <v>4669</v>
      </c>
      <c r="U941">
        <v>0</v>
      </c>
      <c r="V941">
        <v>4669</v>
      </c>
    </row>
    <row r="942" spans="1:22" x14ac:dyDescent="0.25">
      <c r="A942">
        <v>186607</v>
      </c>
      <c r="B942">
        <v>130932526</v>
      </c>
      <c r="C942" t="s">
        <v>4244</v>
      </c>
      <c r="D942">
        <v>249587361</v>
      </c>
      <c r="E942" t="s">
        <v>3994</v>
      </c>
      <c r="F942" t="s">
        <v>431</v>
      </c>
      <c r="G942" t="s">
        <v>149</v>
      </c>
      <c r="H942" t="s">
        <v>150</v>
      </c>
      <c r="I942" t="s">
        <v>88</v>
      </c>
      <c r="J942" t="s">
        <v>151</v>
      </c>
      <c r="K942" t="s">
        <v>2</v>
      </c>
      <c r="L942" t="s">
        <v>4245</v>
      </c>
      <c r="M942" t="s">
        <v>4246</v>
      </c>
      <c r="N942" t="s">
        <v>3996</v>
      </c>
      <c r="O942" t="s">
        <v>59</v>
      </c>
      <c r="P942" t="s">
        <v>4247</v>
      </c>
      <c r="Q942" s="14" t="s">
        <v>93</v>
      </c>
      <c r="R942" t="s">
        <v>4227</v>
      </c>
      <c r="S942">
        <v>0.5</v>
      </c>
      <c r="T942">
        <v>4737</v>
      </c>
      <c r="U942">
        <v>0</v>
      </c>
      <c r="V942">
        <v>4737</v>
      </c>
    </row>
    <row r="943" spans="1:22" x14ac:dyDescent="0.25">
      <c r="A943">
        <v>186607</v>
      </c>
      <c r="B943">
        <v>130975930</v>
      </c>
      <c r="C943" t="s">
        <v>4248</v>
      </c>
      <c r="D943">
        <v>249655301</v>
      </c>
      <c r="E943" t="s">
        <v>3994</v>
      </c>
      <c r="F943" t="s">
        <v>431</v>
      </c>
      <c r="G943" t="s">
        <v>149</v>
      </c>
      <c r="H943" t="s">
        <v>150</v>
      </c>
      <c r="I943" t="s">
        <v>88</v>
      </c>
      <c r="J943" t="s">
        <v>151</v>
      </c>
      <c r="K943" t="s">
        <v>2</v>
      </c>
      <c r="L943" t="s">
        <v>4249</v>
      </c>
      <c r="M943" t="s">
        <v>229</v>
      </c>
      <c r="N943" t="s">
        <v>3996</v>
      </c>
      <c r="O943" t="s">
        <v>59</v>
      </c>
      <c r="P943" t="s">
        <v>4250</v>
      </c>
      <c r="Q943" s="14" t="s">
        <v>107</v>
      </c>
      <c r="R943" t="s">
        <v>4209</v>
      </c>
      <c r="S943">
        <v>0.5</v>
      </c>
      <c r="T943">
        <v>6132</v>
      </c>
      <c r="U943">
        <v>0</v>
      </c>
      <c r="V943">
        <v>6132</v>
      </c>
    </row>
    <row r="944" spans="1:22" x14ac:dyDescent="0.25">
      <c r="A944">
        <v>186607</v>
      </c>
      <c r="B944">
        <v>130906782</v>
      </c>
      <c r="C944" t="s">
        <v>4251</v>
      </c>
      <c r="D944">
        <v>249587443</v>
      </c>
      <c r="E944" t="s">
        <v>3994</v>
      </c>
      <c r="F944" t="s">
        <v>431</v>
      </c>
      <c r="G944" t="s">
        <v>149</v>
      </c>
      <c r="H944" t="s">
        <v>150</v>
      </c>
      <c r="I944" t="s">
        <v>88</v>
      </c>
      <c r="J944" t="s">
        <v>151</v>
      </c>
      <c r="K944" t="s">
        <v>2</v>
      </c>
      <c r="L944" t="s">
        <v>4252</v>
      </c>
      <c r="M944" t="s">
        <v>4253</v>
      </c>
      <c r="N944" t="s">
        <v>3996</v>
      </c>
      <c r="O944" t="s">
        <v>59</v>
      </c>
      <c r="P944" t="s">
        <v>4254</v>
      </c>
      <c r="Q944" s="14" t="s">
        <v>113</v>
      </c>
      <c r="R944" t="s">
        <v>4255</v>
      </c>
      <c r="S944">
        <v>0.5</v>
      </c>
      <c r="T944">
        <v>4973</v>
      </c>
      <c r="U944">
        <v>0</v>
      </c>
      <c r="V944">
        <v>4973</v>
      </c>
    </row>
    <row r="945" spans="1:22" x14ac:dyDescent="0.25">
      <c r="A945">
        <v>186607</v>
      </c>
      <c r="B945">
        <v>130906786</v>
      </c>
      <c r="C945" t="s">
        <v>4256</v>
      </c>
      <c r="D945">
        <v>249587419</v>
      </c>
      <c r="E945" t="s">
        <v>3994</v>
      </c>
      <c r="F945" t="s">
        <v>431</v>
      </c>
      <c r="G945" t="s">
        <v>149</v>
      </c>
      <c r="H945" t="s">
        <v>150</v>
      </c>
      <c r="I945" t="s">
        <v>88</v>
      </c>
      <c r="J945" t="s">
        <v>151</v>
      </c>
      <c r="K945" t="s">
        <v>2</v>
      </c>
      <c r="L945" t="s">
        <v>4257</v>
      </c>
      <c r="M945" t="s">
        <v>4258</v>
      </c>
      <c r="N945" t="s">
        <v>3996</v>
      </c>
      <c r="O945" t="s">
        <v>59</v>
      </c>
      <c r="P945" t="s">
        <v>4259</v>
      </c>
      <c r="Q945" s="14" t="s">
        <v>125</v>
      </c>
      <c r="R945" t="s">
        <v>4255</v>
      </c>
      <c r="S945">
        <v>0.5</v>
      </c>
      <c r="T945">
        <v>4219</v>
      </c>
      <c r="U945">
        <v>0</v>
      </c>
      <c r="V945">
        <v>4219</v>
      </c>
    </row>
    <row r="946" spans="1:22" x14ac:dyDescent="0.25">
      <c r="A946">
        <v>186607</v>
      </c>
      <c r="B946">
        <v>130975933</v>
      </c>
      <c r="C946" t="s">
        <v>4260</v>
      </c>
      <c r="D946">
        <v>249655297</v>
      </c>
      <c r="E946" t="s">
        <v>3994</v>
      </c>
      <c r="F946" t="s">
        <v>431</v>
      </c>
      <c r="G946" t="s">
        <v>149</v>
      </c>
      <c r="H946" t="s">
        <v>150</v>
      </c>
      <c r="I946" t="s">
        <v>88</v>
      </c>
      <c r="J946" t="s">
        <v>151</v>
      </c>
      <c r="K946" t="s">
        <v>2</v>
      </c>
      <c r="L946" t="s">
        <v>4261</v>
      </c>
      <c r="M946" t="s">
        <v>4262</v>
      </c>
      <c r="N946" t="s">
        <v>3996</v>
      </c>
      <c r="O946" t="s">
        <v>59</v>
      </c>
      <c r="P946" t="s">
        <v>4263</v>
      </c>
      <c r="Q946" s="14" t="s">
        <v>113</v>
      </c>
      <c r="R946" t="s">
        <v>4209</v>
      </c>
      <c r="S946">
        <v>1</v>
      </c>
      <c r="T946">
        <v>4973</v>
      </c>
      <c r="U946">
        <v>0</v>
      </c>
      <c r="V946">
        <v>4973</v>
      </c>
    </row>
    <row r="947" spans="1:22" x14ac:dyDescent="0.25">
      <c r="A947">
        <v>186607</v>
      </c>
      <c r="B947">
        <v>130932551</v>
      </c>
      <c r="C947" t="s">
        <v>4264</v>
      </c>
      <c r="D947">
        <v>249587276</v>
      </c>
      <c r="E947" t="s">
        <v>3994</v>
      </c>
      <c r="F947" t="s">
        <v>431</v>
      </c>
      <c r="G947" t="s">
        <v>149</v>
      </c>
      <c r="H947" t="s">
        <v>150</v>
      </c>
      <c r="I947" t="s">
        <v>88</v>
      </c>
      <c r="J947" t="s">
        <v>151</v>
      </c>
      <c r="K947" t="s">
        <v>2</v>
      </c>
      <c r="L947" t="s">
        <v>4265</v>
      </c>
      <c r="M947" t="s">
        <v>4266</v>
      </c>
      <c r="N947" t="s">
        <v>3996</v>
      </c>
      <c r="O947" t="s">
        <v>59</v>
      </c>
      <c r="P947" t="s">
        <v>4267</v>
      </c>
      <c r="Q947" s="14" t="s">
        <v>113</v>
      </c>
      <c r="R947" t="s">
        <v>4227</v>
      </c>
      <c r="S947">
        <v>0.5</v>
      </c>
      <c r="T947">
        <v>4973</v>
      </c>
      <c r="U947">
        <v>0</v>
      </c>
      <c r="V947">
        <v>4973</v>
      </c>
    </row>
    <row r="948" spans="1:22" x14ac:dyDescent="0.25">
      <c r="A948">
        <v>186607</v>
      </c>
      <c r="B948">
        <v>130601613</v>
      </c>
      <c r="C948" t="s">
        <v>4268</v>
      </c>
      <c r="D948">
        <v>248847360</v>
      </c>
      <c r="E948" t="s">
        <v>3994</v>
      </c>
      <c r="F948" t="s">
        <v>431</v>
      </c>
      <c r="G948" t="s">
        <v>149</v>
      </c>
      <c r="H948" t="s">
        <v>150</v>
      </c>
      <c r="I948" t="s">
        <v>88</v>
      </c>
      <c r="J948" t="s">
        <v>151</v>
      </c>
      <c r="K948" t="s">
        <v>2</v>
      </c>
      <c r="L948" t="s">
        <v>4269</v>
      </c>
      <c r="M948" t="s">
        <v>4270</v>
      </c>
      <c r="N948" t="s">
        <v>3996</v>
      </c>
      <c r="O948" t="s">
        <v>59</v>
      </c>
      <c r="P948" t="s">
        <v>4271</v>
      </c>
      <c r="Q948" s="14" t="s">
        <v>167</v>
      </c>
      <c r="R948" t="s">
        <v>234</v>
      </c>
      <c r="S948">
        <v>0.5</v>
      </c>
      <c r="T948">
        <v>7212</v>
      </c>
      <c r="U948">
        <v>0</v>
      </c>
      <c r="V948">
        <v>7212</v>
      </c>
    </row>
    <row r="949" spans="1:22" x14ac:dyDescent="0.25">
      <c r="A949">
        <v>186607</v>
      </c>
      <c r="B949">
        <v>130975937</v>
      </c>
      <c r="C949" t="s">
        <v>4272</v>
      </c>
      <c r="D949">
        <v>249655295</v>
      </c>
      <c r="E949" t="s">
        <v>3994</v>
      </c>
      <c r="F949" t="s">
        <v>431</v>
      </c>
      <c r="G949" t="s">
        <v>149</v>
      </c>
      <c r="H949" t="s">
        <v>150</v>
      </c>
      <c r="I949" t="s">
        <v>88</v>
      </c>
      <c r="J949" t="s">
        <v>151</v>
      </c>
      <c r="K949" t="s">
        <v>2</v>
      </c>
      <c r="L949" t="s">
        <v>4273</v>
      </c>
      <c r="M949" t="s">
        <v>4274</v>
      </c>
      <c r="N949" t="s">
        <v>3996</v>
      </c>
      <c r="O949" t="s">
        <v>59</v>
      </c>
      <c r="P949" t="s">
        <v>4275</v>
      </c>
      <c r="Q949" s="14" t="s">
        <v>91</v>
      </c>
      <c r="R949" t="s">
        <v>4209</v>
      </c>
      <c r="S949">
        <v>0.5</v>
      </c>
      <c r="T949">
        <v>4669</v>
      </c>
      <c r="U949">
        <v>0</v>
      </c>
      <c r="V949">
        <v>4669</v>
      </c>
    </row>
    <row r="950" spans="1:22" x14ac:dyDescent="0.25">
      <c r="A950">
        <v>186607</v>
      </c>
      <c r="B950">
        <v>130932514</v>
      </c>
      <c r="C950" t="s">
        <v>4276</v>
      </c>
      <c r="D950">
        <v>249587405</v>
      </c>
      <c r="E950" t="s">
        <v>3994</v>
      </c>
      <c r="F950" t="s">
        <v>431</v>
      </c>
      <c r="G950" t="s">
        <v>149</v>
      </c>
      <c r="H950" t="s">
        <v>150</v>
      </c>
      <c r="I950" t="s">
        <v>88</v>
      </c>
      <c r="J950" t="s">
        <v>151</v>
      </c>
      <c r="K950" t="s">
        <v>2</v>
      </c>
      <c r="L950" t="s">
        <v>4277</v>
      </c>
      <c r="M950" t="s">
        <v>4278</v>
      </c>
      <c r="N950" t="s">
        <v>3996</v>
      </c>
      <c r="O950" t="s">
        <v>59</v>
      </c>
      <c r="P950" t="s">
        <v>4279</v>
      </c>
      <c r="Q950" s="14" t="s">
        <v>140</v>
      </c>
      <c r="R950" t="s">
        <v>4227</v>
      </c>
      <c r="S950">
        <v>0.5</v>
      </c>
      <c r="T950">
        <v>4669</v>
      </c>
      <c r="U950">
        <v>0</v>
      </c>
      <c r="V950">
        <v>4669</v>
      </c>
    </row>
    <row r="951" spans="1:22" x14ac:dyDescent="0.25">
      <c r="A951">
        <v>186607</v>
      </c>
      <c r="B951">
        <v>130906785</v>
      </c>
      <c r="C951" t="s">
        <v>4280</v>
      </c>
      <c r="D951">
        <v>249587414</v>
      </c>
      <c r="E951" t="s">
        <v>3994</v>
      </c>
      <c r="F951" t="s">
        <v>431</v>
      </c>
      <c r="G951" t="s">
        <v>149</v>
      </c>
      <c r="H951" t="s">
        <v>150</v>
      </c>
      <c r="I951" t="s">
        <v>88</v>
      </c>
      <c r="J951" t="s">
        <v>151</v>
      </c>
      <c r="K951" t="s">
        <v>2</v>
      </c>
      <c r="L951" t="s">
        <v>4281</v>
      </c>
      <c r="M951" t="s">
        <v>4282</v>
      </c>
      <c r="N951" t="s">
        <v>3996</v>
      </c>
      <c r="O951" t="s">
        <v>59</v>
      </c>
      <c r="P951" t="s">
        <v>4283</v>
      </c>
      <c r="Q951" s="14" t="s">
        <v>107</v>
      </c>
      <c r="R951" t="s">
        <v>4255</v>
      </c>
      <c r="S951">
        <v>0.5</v>
      </c>
      <c r="T951">
        <v>6132</v>
      </c>
      <c r="U951">
        <v>0</v>
      </c>
      <c r="V951">
        <v>6132</v>
      </c>
    </row>
    <row r="952" spans="1:22" x14ac:dyDescent="0.25">
      <c r="A952">
        <v>186607</v>
      </c>
      <c r="B952">
        <v>130932523</v>
      </c>
      <c r="C952" t="s">
        <v>4284</v>
      </c>
      <c r="D952">
        <v>249587369</v>
      </c>
      <c r="E952" t="s">
        <v>3994</v>
      </c>
      <c r="F952" t="s">
        <v>431</v>
      </c>
      <c r="G952" t="s">
        <v>149</v>
      </c>
      <c r="H952" t="s">
        <v>150</v>
      </c>
      <c r="I952" t="s">
        <v>88</v>
      </c>
      <c r="J952" t="s">
        <v>151</v>
      </c>
      <c r="K952" t="s">
        <v>2</v>
      </c>
      <c r="L952" t="s">
        <v>388</v>
      </c>
      <c r="M952" t="s">
        <v>4285</v>
      </c>
      <c r="N952" t="s">
        <v>3996</v>
      </c>
      <c r="O952" t="s">
        <v>59</v>
      </c>
      <c r="P952" t="s">
        <v>4286</v>
      </c>
      <c r="Q952" s="14" t="s">
        <v>120</v>
      </c>
      <c r="R952" t="s">
        <v>4227</v>
      </c>
      <c r="S952">
        <v>1</v>
      </c>
      <c r="T952">
        <v>5153</v>
      </c>
      <c r="U952">
        <v>0</v>
      </c>
      <c r="V952">
        <v>5153</v>
      </c>
    </row>
    <row r="953" spans="1:22" x14ac:dyDescent="0.25">
      <c r="A953">
        <v>186607</v>
      </c>
      <c r="B953">
        <v>130950156</v>
      </c>
      <c r="C953" t="s">
        <v>4287</v>
      </c>
      <c r="D953">
        <v>249655321</v>
      </c>
      <c r="E953" t="s">
        <v>3994</v>
      </c>
      <c r="F953" t="s">
        <v>431</v>
      </c>
      <c r="G953" t="s">
        <v>149</v>
      </c>
      <c r="H953" t="s">
        <v>150</v>
      </c>
      <c r="I953" t="s">
        <v>88</v>
      </c>
      <c r="J953" t="s">
        <v>151</v>
      </c>
      <c r="K953" t="s">
        <v>2</v>
      </c>
      <c r="L953" t="s">
        <v>4288</v>
      </c>
      <c r="M953" t="s">
        <v>4289</v>
      </c>
      <c r="N953" t="s">
        <v>3996</v>
      </c>
      <c r="O953" t="s">
        <v>59</v>
      </c>
      <c r="P953" t="s">
        <v>4290</v>
      </c>
      <c r="Q953" s="14" t="s">
        <v>140</v>
      </c>
      <c r="R953" t="s">
        <v>236</v>
      </c>
      <c r="S953">
        <v>0.5</v>
      </c>
      <c r="T953">
        <v>4669</v>
      </c>
      <c r="U953">
        <v>0</v>
      </c>
      <c r="V953">
        <v>4669</v>
      </c>
    </row>
    <row r="954" spans="1:22" x14ac:dyDescent="0.25">
      <c r="A954">
        <v>186607</v>
      </c>
      <c r="B954">
        <v>130932519</v>
      </c>
      <c r="C954" t="s">
        <v>4291</v>
      </c>
      <c r="D954">
        <v>249587377</v>
      </c>
      <c r="E954" t="s">
        <v>3994</v>
      </c>
      <c r="F954" t="s">
        <v>431</v>
      </c>
      <c r="G954" t="s">
        <v>149</v>
      </c>
      <c r="H954" t="s">
        <v>150</v>
      </c>
      <c r="I954" t="s">
        <v>88</v>
      </c>
      <c r="J954" t="s">
        <v>151</v>
      </c>
      <c r="K954" t="s">
        <v>2</v>
      </c>
      <c r="L954" t="s">
        <v>4292</v>
      </c>
      <c r="M954" t="s">
        <v>4293</v>
      </c>
      <c r="N954" t="s">
        <v>3996</v>
      </c>
      <c r="O954" t="s">
        <v>59</v>
      </c>
      <c r="P954" t="s">
        <v>4294</v>
      </c>
      <c r="Q954" s="14" t="s">
        <v>230</v>
      </c>
      <c r="R954" t="s">
        <v>4227</v>
      </c>
      <c r="S954">
        <v>0.5</v>
      </c>
      <c r="T954">
        <v>4534</v>
      </c>
      <c r="U954">
        <v>0</v>
      </c>
      <c r="V954">
        <v>4534</v>
      </c>
    </row>
    <row r="955" spans="1:22" x14ac:dyDescent="0.25">
      <c r="A955">
        <v>186607</v>
      </c>
      <c r="B955">
        <v>130868237</v>
      </c>
      <c r="C955" t="s">
        <v>4295</v>
      </c>
      <c r="D955">
        <v>249428030</v>
      </c>
      <c r="E955" t="s">
        <v>3994</v>
      </c>
      <c r="F955" t="s">
        <v>431</v>
      </c>
      <c r="G955" t="s">
        <v>149</v>
      </c>
      <c r="H955" t="s">
        <v>150</v>
      </c>
      <c r="I955" t="s">
        <v>88</v>
      </c>
      <c r="J955" t="s">
        <v>151</v>
      </c>
      <c r="K955" t="s">
        <v>2</v>
      </c>
      <c r="L955" t="s">
        <v>4296</v>
      </c>
      <c r="M955" t="s">
        <v>4297</v>
      </c>
      <c r="N955" t="s">
        <v>3996</v>
      </c>
      <c r="O955" t="s">
        <v>59</v>
      </c>
      <c r="P955" t="s">
        <v>4298</v>
      </c>
      <c r="Q955" s="14" t="s">
        <v>97</v>
      </c>
      <c r="R955" t="s">
        <v>4299</v>
      </c>
      <c r="S955">
        <v>0.2</v>
      </c>
      <c r="T955">
        <v>8415</v>
      </c>
      <c r="U955">
        <v>0</v>
      </c>
      <c r="V955">
        <v>8415</v>
      </c>
    </row>
    <row r="956" spans="1:22" x14ac:dyDescent="0.25">
      <c r="A956">
        <v>186607</v>
      </c>
      <c r="B956">
        <v>130868227</v>
      </c>
      <c r="C956" t="s">
        <v>4300</v>
      </c>
      <c r="D956">
        <v>249428073</v>
      </c>
      <c r="E956" t="s">
        <v>3994</v>
      </c>
      <c r="F956" t="s">
        <v>431</v>
      </c>
      <c r="G956" t="s">
        <v>149</v>
      </c>
      <c r="H956" t="s">
        <v>150</v>
      </c>
      <c r="I956" t="s">
        <v>88</v>
      </c>
      <c r="J956" t="s">
        <v>151</v>
      </c>
      <c r="K956" t="s">
        <v>2</v>
      </c>
      <c r="L956" t="s">
        <v>4301</v>
      </c>
      <c r="M956" t="s">
        <v>4302</v>
      </c>
      <c r="N956" t="s">
        <v>3996</v>
      </c>
      <c r="O956" t="s">
        <v>59</v>
      </c>
      <c r="P956" t="s">
        <v>4303</v>
      </c>
      <c r="Q956" s="14" t="s">
        <v>104</v>
      </c>
      <c r="R956" t="s">
        <v>396</v>
      </c>
      <c r="S956">
        <v>1.63</v>
      </c>
      <c r="T956">
        <v>5052</v>
      </c>
      <c r="U956">
        <v>0</v>
      </c>
      <c r="V956">
        <v>5052</v>
      </c>
    </row>
    <row r="957" spans="1:22" x14ac:dyDescent="0.25">
      <c r="A957">
        <v>186607</v>
      </c>
      <c r="B957">
        <v>130830641</v>
      </c>
      <c r="C957" t="s">
        <v>4304</v>
      </c>
      <c r="D957">
        <v>249343217</v>
      </c>
      <c r="E957" t="s">
        <v>3994</v>
      </c>
      <c r="F957" t="s">
        <v>431</v>
      </c>
      <c r="G957" t="s">
        <v>149</v>
      </c>
      <c r="H957" t="s">
        <v>150</v>
      </c>
      <c r="I957" t="s">
        <v>88</v>
      </c>
      <c r="J957" t="s">
        <v>151</v>
      </c>
      <c r="K957" t="s">
        <v>2</v>
      </c>
      <c r="L957" t="s">
        <v>4305</v>
      </c>
      <c r="M957" t="s">
        <v>4306</v>
      </c>
      <c r="N957" t="s">
        <v>3996</v>
      </c>
      <c r="O957" t="s">
        <v>59</v>
      </c>
      <c r="P957" t="s">
        <v>4307</v>
      </c>
      <c r="Q957" s="14" t="s">
        <v>306</v>
      </c>
      <c r="R957" t="s">
        <v>407</v>
      </c>
      <c r="S957">
        <v>0.5</v>
      </c>
      <c r="T957">
        <v>5790</v>
      </c>
      <c r="U957">
        <v>0</v>
      </c>
      <c r="V957">
        <v>5790</v>
      </c>
    </row>
    <row r="958" spans="1:22" x14ac:dyDescent="0.25">
      <c r="A958">
        <v>186607</v>
      </c>
      <c r="B958">
        <v>130868235</v>
      </c>
      <c r="C958" t="s">
        <v>4308</v>
      </c>
      <c r="D958">
        <v>249428051</v>
      </c>
      <c r="E958" t="s">
        <v>3994</v>
      </c>
      <c r="F958" t="s">
        <v>431</v>
      </c>
      <c r="G958" t="s">
        <v>149</v>
      </c>
      <c r="H958" t="s">
        <v>150</v>
      </c>
      <c r="I958" t="s">
        <v>88</v>
      </c>
      <c r="J958" t="s">
        <v>151</v>
      </c>
      <c r="K958" t="s">
        <v>2</v>
      </c>
      <c r="L958" t="s">
        <v>4309</v>
      </c>
      <c r="M958" t="s">
        <v>4310</v>
      </c>
      <c r="N958" t="s">
        <v>3996</v>
      </c>
      <c r="O958" t="s">
        <v>59</v>
      </c>
      <c r="P958" t="s">
        <v>4311</v>
      </c>
      <c r="Q958" s="14" t="s">
        <v>129</v>
      </c>
      <c r="R958" t="s">
        <v>396</v>
      </c>
      <c r="S958">
        <v>0.5</v>
      </c>
      <c r="T958">
        <v>7212</v>
      </c>
      <c r="U958">
        <v>0</v>
      </c>
      <c r="V958">
        <v>7212</v>
      </c>
    </row>
    <row r="959" spans="1:22" x14ac:dyDescent="0.25">
      <c r="A959">
        <v>186607</v>
      </c>
      <c r="B959">
        <v>130771215</v>
      </c>
      <c r="C959" t="s">
        <v>4312</v>
      </c>
      <c r="D959">
        <v>249228999</v>
      </c>
      <c r="E959" t="s">
        <v>3994</v>
      </c>
      <c r="F959" t="s">
        <v>431</v>
      </c>
      <c r="G959" t="s">
        <v>149</v>
      </c>
      <c r="H959" t="s">
        <v>150</v>
      </c>
      <c r="I959" t="s">
        <v>88</v>
      </c>
      <c r="J959" t="s">
        <v>151</v>
      </c>
      <c r="K959" t="s">
        <v>2</v>
      </c>
      <c r="L959" t="s">
        <v>4313</v>
      </c>
      <c r="M959" t="s">
        <v>4314</v>
      </c>
      <c r="N959" t="s">
        <v>3996</v>
      </c>
      <c r="O959" t="s">
        <v>59</v>
      </c>
      <c r="P959" t="s">
        <v>4315</v>
      </c>
      <c r="Q959" s="14" t="s">
        <v>182</v>
      </c>
      <c r="R959" t="s">
        <v>2334</v>
      </c>
      <c r="S959">
        <v>1</v>
      </c>
      <c r="T959">
        <v>7212</v>
      </c>
      <c r="U959">
        <v>0</v>
      </c>
      <c r="V959">
        <v>7212</v>
      </c>
    </row>
    <row r="960" spans="1:22" x14ac:dyDescent="0.25">
      <c r="A960">
        <v>186607</v>
      </c>
      <c r="B960">
        <v>130830631</v>
      </c>
      <c r="C960" t="s">
        <v>4316</v>
      </c>
      <c r="D960">
        <v>249343362</v>
      </c>
      <c r="E960" t="s">
        <v>3994</v>
      </c>
      <c r="F960" t="s">
        <v>431</v>
      </c>
      <c r="G960" t="s">
        <v>149</v>
      </c>
      <c r="H960" t="s">
        <v>150</v>
      </c>
      <c r="I960" t="s">
        <v>88</v>
      </c>
      <c r="J960" t="s">
        <v>151</v>
      </c>
      <c r="K960" t="s">
        <v>2</v>
      </c>
      <c r="L960" t="s">
        <v>4317</v>
      </c>
      <c r="M960" t="s">
        <v>4318</v>
      </c>
      <c r="N960" t="s">
        <v>3996</v>
      </c>
      <c r="O960" t="s">
        <v>59</v>
      </c>
      <c r="P960" t="s">
        <v>4319</v>
      </c>
      <c r="Q960" s="14" t="s">
        <v>128</v>
      </c>
      <c r="R960" t="s">
        <v>407</v>
      </c>
      <c r="S960">
        <v>0.5</v>
      </c>
      <c r="T960">
        <v>7864</v>
      </c>
      <c r="U960">
        <v>0</v>
      </c>
      <c r="V960">
        <v>7864</v>
      </c>
    </row>
    <row r="961" spans="1:22" x14ac:dyDescent="0.25">
      <c r="A961">
        <v>186607</v>
      </c>
      <c r="B961">
        <v>130868239</v>
      </c>
      <c r="C961" t="s">
        <v>4320</v>
      </c>
      <c r="D961">
        <v>249427996</v>
      </c>
      <c r="E961" t="s">
        <v>3994</v>
      </c>
      <c r="F961" t="s">
        <v>431</v>
      </c>
      <c r="G961" t="s">
        <v>149</v>
      </c>
      <c r="H961" t="s">
        <v>150</v>
      </c>
      <c r="I961" t="s">
        <v>88</v>
      </c>
      <c r="J961" t="s">
        <v>151</v>
      </c>
      <c r="K961" t="s">
        <v>2</v>
      </c>
      <c r="L961" t="s">
        <v>4321</v>
      </c>
      <c r="M961" t="s">
        <v>4322</v>
      </c>
      <c r="N961" t="s">
        <v>3996</v>
      </c>
      <c r="O961" t="s">
        <v>59</v>
      </c>
      <c r="P961" t="s">
        <v>4323</v>
      </c>
      <c r="Q961" s="14" t="s">
        <v>95</v>
      </c>
      <c r="R961" t="s">
        <v>4299</v>
      </c>
      <c r="S961">
        <v>0.5</v>
      </c>
      <c r="T961">
        <v>5749</v>
      </c>
      <c r="U961">
        <v>0</v>
      </c>
      <c r="V961">
        <v>5749</v>
      </c>
    </row>
    <row r="962" spans="1:22" x14ac:dyDescent="0.25">
      <c r="A962">
        <v>186607</v>
      </c>
      <c r="B962">
        <v>130868242</v>
      </c>
      <c r="C962" t="s">
        <v>4324</v>
      </c>
      <c r="D962">
        <v>249427992</v>
      </c>
      <c r="E962" t="s">
        <v>3994</v>
      </c>
      <c r="F962" t="s">
        <v>431</v>
      </c>
      <c r="G962" t="s">
        <v>149</v>
      </c>
      <c r="H962" t="s">
        <v>150</v>
      </c>
      <c r="I962" t="s">
        <v>88</v>
      </c>
      <c r="J962" t="s">
        <v>151</v>
      </c>
      <c r="K962" t="s">
        <v>2</v>
      </c>
      <c r="L962" t="s">
        <v>4325</v>
      </c>
      <c r="M962" t="s">
        <v>4326</v>
      </c>
      <c r="N962" t="s">
        <v>3996</v>
      </c>
      <c r="O962" t="s">
        <v>59</v>
      </c>
      <c r="P962" t="s">
        <v>4327</v>
      </c>
      <c r="Q962" s="14" t="s">
        <v>98</v>
      </c>
      <c r="R962" t="s">
        <v>4299</v>
      </c>
      <c r="S962">
        <v>2.92</v>
      </c>
      <c r="T962">
        <v>7214</v>
      </c>
      <c r="U962">
        <v>0</v>
      </c>
      <c r="V962">
        <v>7214</v>
      </c>
    </row>
    <row r="963" spans="1:22" x14ac:dyDescent="0.25">
      <c r="A963">
        <v>186607</v>
      </c>
      <c r="B963">
        <v>130875260</v>
      </c>
      <c r="C963" t="s">
        <v>4328</v>
      </c>
      <c r="D963">
        <v>249427957</v>
      </c>
      <c r="E963" t="s">
        <v>3994</v>
      </c>
      <c r="F963" t="s">
        <v>431</v>
      </c>
      <c r="G963" t="s">
        <v>149</v>
      </c>
      <c r="H963" t="s">
        <v>150</v>
      </c>
      <c r="I963" t="s">
        <v>88</v>
      </c>
      <c r="J963" t="s">
        <v>151</v>
      </c>
      <c r="K963" t="s">
        <v>2</v>
      </c>
      <c r="L963" t="s">
        <v>4329</v>
      </c>
      <c r="M963" t="s">
        <v>4330</v>
      </c>
      <c r="N963" t="s">
        <v>3996</v>
      </c>
      <c r="O963" t="s">
        <v>59</v>
      </c>
      <c r="P963" t="s">
        <v>4331</v>
      </c>
      <c r="Q963" s="14" t="s">
        <v>111</v>
      </c>
      <c r="R963" t="s">
        <v>356</v>
      </c>
      <c r="S963">
        <v>0.28000000000000003</v>
      </c>
      <c r="T963">
        <v>5817</v>
      </c>
      <c r="U963">
        <v>0</v>
      </c>
      <c r="V963">
        <v>5817</v>
      </c>
    </row>
    <row r="964" spans="1:22" x14ac:dyDescent="0.25">
      <c r="A964">
        <v>186607</v>
      </c>
      <c r="B964">
        <v>130830622</v>
      </c>
      <c r="C964" t="s">
        <v>4332</v>
      </c>
      <c r="D964">
        <v>249343408</v>
      </c>
      <c r="E964" t="s">
        <v>3994</v>
      </c>
      <c r="F964" t="s">
        <v>431</v>
      </c>
      <c r="G964" t="s">
        <v>149</v>
      </c>
      <c r="H964" t="s">
        <v>150</v>
      </c>
      <c r="I964" t="s">
        <v>88</v>
      </c>
      <c r="J964" t="s">
        <v>151</v>
      </c>
      <c r="K964" t="s">
        <v>2</v>
      </c>
      <c r="L964" t="s">
        <v>4333</v>
      </c>
      <c r="M964" t="s">
        <v>4334</v>
      </c>
      <c r="N964" t="s">
        <v>3996</v>
      </c>
      <c r="O964" t="s">
        <v>59</v>
      </c>
      <c r="P964" t="s">
        <v>4335</v>
      </c>
      <c r="Q964" s="14" t="s">
        <v>134</v>
      </c>
      <c r="R964" t="s">
        <v>407</v>
      </c>
      <c r="S964">
        <v>0.5</v>
      </c>
      <c r="T964">
        <v>4669</v>
      </c>
      <c r="U964">
        <v>0</v>
      </c>
      <c r="V964">
        <v>4669</v>
      </c>
    </row>
    <row r="965" spans="1:22" x14ac:dyDescent="0.25">
      <c r="A965">
        <v>186607</v>
      </c>
      <c r="B965">
        <v>130830640</v>
      </c>
      <c r="C965" t="s">
        <v>4336</v>
      </c>
      <c r="D965">
        <v>249343281</v>
      </c>
      <c r="E965" t="s">
        <v>3994</v>
      </c>
      <c r="F965" t="s">
        <v>431</v>
      </c>
      <c r="G965" t="s">
        <v>149</v>
      </c>
      <c r="H965" t="s">
        <v>150</v>
      </c>
      <c r="I965" t="s">
        <v>88</v>
      </c>
      <c r="J965" t="s">
        <v>151</v>
      </c>
      <c r="K965" t="s">
        <v>2</v>
      </c>
      <c r="L965" t="s">
        <v>4337</v>
      </c>
      <c r="M965" t="s">
        <v>4338</v>
      </c>
      <c r="N965" t="s">
        <v>3996</v>
      </c>
      <c r="O965" t="s">
        <v>59</v>
      </c>
      <c r="P965" t="s">
        <v>4339</v>
      </c>
      <c r="Q965" s="14" t="s">
        <v>129</v>
      </c>
      <c r="R965" t="s">
        <v>407</v>
      </c>
      <c r="S965">
        <v>0.5</v>
      </c>
      <c r="T965">
        <v>7212</v>
      </c>
      <c r="U965">
        <v>0</v>
      </c>
      <c r="V965">
        <v>7212</v>
      </c>
    </row>
    <row r="966" spans="1:22" x14ac:dyDescent="0.25">
      <c r="A966">
        <v>186607</v>
      </c>
      <c r="B966">
        <v>130868236</v>
      </c>
      <c r="C966" t="s">
        <v>4340</v>
      </c>
      <c r="D966">
        <v>249428011</v>
      </c>
      <c r="E966" t="s">
        <v>3994</v>
      </c>
      <c r="F966" t="s">
        <v>431</v>
      </c>
      <c r="G966" t="s">
        <v>149</v>
      </c>
      <c r="H966" t="s">
        <v>150</v>
      </c>
      <c r="I966" t="s">
        <v>88</v>
      </c>
      <c r="J966" t="s">
        <v>151</v>
      </c>
      <c r="K966" t="s">
        <v>2</v>
      </c>
      <c r="L966" t="s">
        <v>4341</v>
      </c>
      <c r="M966" t="s">
        <v>4342</v>
      </c>
      <c r="N966" t="s">
        <v>3996</v>
      </c>
      <c r="O966" t="s">
        <v>59</v>
      </c>
      <c r="P966" t="s">
        <v>4343</v>
      </c>
      <c r="Q966" s="14" t="s">
        <v>192</v>
      </c>
      <c r="R966" t="s">
        <v>396</v>
      </c>
      <c r="S966">
        <v>2.83</v>
      </c>
      <c r="T966">
        <v>5448</v>
      </c>
      <c r="U966">
        <v>0</v>
      </c>
      <c r="V966">
        <v>5448</v>
      </c>
    </row>
    <row r="967" spans="1:22" x14ac:dyDescent="0.25">
      <c r="A967">
        <v>186607</v>
      </c>
      <c r="B967">
        <v>130868231</v>
      </c>
      <c r="C967" t="s">
        <v>4344</v>
      </c>
      <c r="D967">
        <v>249428066</v>
      </c>
      <c r="E967" t="s">
        <v>3994</v>
      </c>
      <c r="F967" t="s">
        <v>431</v>
      </c>
      <c r="G967" t="s">
        <v>149</v>
      </c>
      <c r="H967" t="s">
        <v>150</v>
      </c>
      <c r="I967" t="s">
        <v>88</v>
      </c>
      <c r="J967" t="s">
        <v>151</v>
      </c>
      <c r="K967" t="s">
        <v>2</v>
      </c>
      <c r="L967" t="s">
        <v>4345</v>
      </c>
      <c r="M967" t="s">
        <v>4346</v>
      </c>
      <c r="N967" t="s">
        <v>3996</v>
      </c>
      <c r="O967" t="s">
        <v>59</v>
      </c>
      <c r="P967" t="s">
        <v>4347</v>
      </c>
      <c r="Q967" s="14" t="s">
        <v>38</v>
      </c>
      <c r="R967" t="s">
        <v>396</v>
      </c>
      <c r="S967">
        <v>3.6</v>
      </c>
      <c r="T967">
        <v>5783</v>
      </c>
      <c r="U967">
        <v>0</v>
      </c>
      <c r="V967">
        <v>5783</v>
      </c>
    </row>
    <row r="968" spans="1:22" x14ac:dyDescent="0.25">
      <c r="A968">
        <v>186607</v>
      </c>
      <c r="B968">
        <v>130830626</v>
      </c>
      <c r="C968" t="s">
        <v>4348</v>
      </c>
      <c r="D968">
        <v>249343353</v>
      </c>
      <c r="E968" t="s">
        <v>3994</v>
      </c>
      <c r="F968" t="s">
        <v>431</v>
      </c>
      <c r="G968" t="s">
        <v>149</v>
      </c>
      <c r="H968" t="s">
        <v>150</v>
      </c>
      <c r="I968" t="s">
        <v>88</v>
      </c>
      <c r="J968" t="s">
        <v>151</v>
      </c>
      <c r="K968" t="s">
        <v>2</v>
      </c>
      <c r="L968" t="s">
        <v>4349</v>
      </c>
      <c r="M968" t="s">
        <v>4350</v>
      </c>
      <c r="N968" t="s">
        <v>3996</v>
      </c>
      <c r="O968" t="s">
        <v>59</v>
      </c>
      <c r="P968" t="s">
        <v>4351</v>
      </c>
      <c r="Q968" s="14" t="s">
        <v>167</v>
      </c>
      <c r="R968" t="s">
        <v>407</v>
      </c>
      <c r="S968">
        <v>3.33</v>
      </c>
      <c r="T968">
        <v>8618</v>
      </c>
      <c r="U968">
        <v>0</v>
      </c>
      <c r="V968">
        <v>8618</v>
      </c>
    </row>
    <row r="969" spans="1:22" x14ac:dyDescent="0.25">
      <c r="A969">
        <v>186607</v>
      </c>
      <c r="B969">
        <v>130830636</v>
      </c>
      <c r="C969" t="s">
        <v>4352</v>
      </c>
      <c r="D969">
        <v>249343291</v>
      </c>
      <c r="E969" t="s">
        <v>3994</v>
      </c>
      <c r="F969" t="s">
        <v>431</v>
      </c>
      <c r="G969" t="s">
        <v>149</v>
      </c>
      <c r="H969" t="s">
        <v>150</v>
      </c>
      <c r="I969" t="s">
        <v>88</v>
      </c>
      <c r="J969" t="s">
        <v>151</v>
      </c>
      <c r="K969" t="s">
        <v>2</v>
      </c>
      <c r="L969" t="s">
        <v>4353</v>
      </c>
      <c r="M969" t="s">
        <v>4354</v>
      </c>
      <c r="N969" t="s">
        <v>3996</v>
      </c>
      <c r="O969" t="s">
        <v>59</v>
      </c>
      <c r="P969" t="s">
        <v>4355</v>
      </c>
      <c r="Q969" s="14" t="s">
        <v>111</v>
      </c>
      <c r="R969" t="s">
        <v>407</v>
      </c>
      <c r="S969">
        <v>0.5</v>
      </c>
      <c r="T969">
        <v>5817</v>
      </c>
      <c r="U969">
        <v>0</v>
      </c>
      <c r="V969">
        <v>5817</v>
      </c>
    </row>
    <row r="970" spans="1:22" x14ac:dyDescent="0.25">
      <c r="A970">
        <v>186607</v>
      </c>
      <c r="B970">
        <v>130830644</v>
      </c>
      <c r="C970" t="s">
        <v>4356</v>
      </c>
      <c r="D970">
        <v>249343243</v>
      </c>
      <c r="E970" t="s">
        <v>3994</v>
      </c>
      <c r="F970" t="s">
        <v>431</v>
      </c>
      <c r="G970" t="s">
        <v>149</v>
      </c>
      <c r="H970" t="s">
        <v>150</v>
      </c>
      <c r="I970" t="s">
        <v>88</v>
      </c>
      <c r="J970" t="s">
        <v>151</v>
      </c>
      <c r="K970" t="s">
        <v>2</v>
      </c>
      <c r="L970" t="s">
        <v>4357</v>
      </c>
      <c r="M970" t="s">
        <v>4358</v>
      </c>
      <c r="N970" t="s">
        <v>3996</v>
      </c>
      <c r="O970" t="s">
        <v>59</v>
      </c>
      <c r="P970" t="s">
        <v>4359</v>
      </c>
      <c r="Q970" s="14" t="s">
        <v>124</v>
      </c>
      <c r="R970" t="s">
        <v>407</v>
      </c>
      <c r="S970">
        <v>2.74</v>
      </c>
      <c r="T970">
        <v>4737</v>
      </c>
      <c r="U970">
        <v>0</v>
      </c>
      <c r="V970">
        <v>4737</v>
      </c>
    </row>
    <row r="971" spans="1:22" x14ac:dyDescent="0.25">
      <c r="A971">
        <v>186607</v>
      </c>
      <c r="B971">
        <v>130830635</v>
      </c>
      <c r="C971" t="s">
        <v>4360</v>
      </c>
      <c r="D971">
        <v>249343297</v>
      </c>
      <c r="E971" t="s">
        <v>3994</v>
      </c>
      <c r="F971" t="s">
        <v>431</v>
      </c>
      <c r="G971" t="s">
        <v>149</v>
      </c>
      <c r="H971" t="s">
        <v>150</v>
      </c>
      <c r="I971" t="s">
        <v>88</v>
      </c>
      <c r="J971" t="s">
        <v>151</v>
      </c>
      <c r="K971" t="s">
        <v>2</v>
      </c>
      <c r="L971" t="s">
        <v>4361</v>
      </c>
      <c r="M971" t="s">
        <v>4362</v>
      </c>
      <c r="N971" t="s">
        <v>3996</v>
      </c>
      <c r="O971" t="s">
        <v>59</v>
      </c>
      <c r="P971" t="s">
        <v>4363</v>
      </c>
      <c r="Q971" s="14" t="s">
        <v>95</v>
      </c>
      <c r="R971" t="s">
        <v>407</v>
      </c>
      <c r="S971">
        <v>2.99</v>
      </c>
      <c r="T971">
        <v>6728</v>
      </c>
      <c r="U971">
        <v>0</v>
      </c>
      <c r="V971">
        <v>6728</v>
      </c>
    </row>
    <row r="972" spans="1:22" x14ac:dyDescent="0.25">
      <c r="A972">
        <v>186607</v>
      </c>
      <c r="B972">
        <v>130727761</v>
      </c>
      <c r="C972" t="s">
        <v>4364</v>
      </c>
      <c r="D972">
        <v>249146723</v>
      </c>
      <c r="E972" t="s">
        <v>3994</v>
      </c>
      <c r="F972" t="s">
        <v>431</v>
      </c>
      <c r="G972" t="s">
        <v>149</v>
      </c>
      <c r="H972" t="s">
        <v>150</v>
      </c>
      <c r="I972" t="s">
        <v>88</v>
      </c>
      <c r="J972" t="s">
        <v>151</v>
      </c>
      <c r="K972" t="s">
        <v>2</v>
      </c>
      <c r="L972" t="s">
        <v>4365</v>
      </c>
      <c r="M972" t="s">
        <v>288</v>
      </c>
      <c r="N972" t="s">
        <v>3996</v>
      </c>
      <c r="O972" t="s">
        <v>59</v>
      </c>
      <c r="P972" t="s">
        <v>4366</v>
      </c>
      <c r="Q972" s="14" t="s">
        <v>80</v>
      </c>
      <c r="R972" t="s">
        <v>4367</v>
      </c>
      <c r="S972">
        <v>0.5</v>
      </c>
      <c r="T972">
        <v>7864</v>
      </c>
      <c r="U972">
        <v>0</v>
      </c>
      <c r="V972">
        <v>7864</v>
      </c>
    </row>
    <row r="973" spans="1:22" x14ac:dyDescent="0.25">
      <c r="A973">
        <v>186607</v>
      </c>
      <c r="B973">
        <v>130830639</v>
      </c>
      <c r="C973" t="s">
        <v>4368</v>
      </c>
      <c r="D973">
        <v>249343268</v>
      </c>
      <c r="E973" t="s">
        <v>3994</v>
      </c>
      <c r="F973" t="s">
        <v>431</v>
      </c>
      <c r="G973" t="s">
        <v>149</v>
      </c>
      <c r="H973" t="s">
        <v>150</v>
      </c>
      <c r="I973" t="s">
        <v>88</v>
      </c>
      <c r="J973" t="s">
        <v>151</v>
      </c>
      <c r="K973" t="s">
        <v>2</v>
      </c>
      <c r="L973" t="s">
        <v>4369</v>
      </c>
      <c r="M973" t="s">
        <v>4370</v>
      </c>
      <c r="N973" t="s">
        <v>3996</v>
      </c>
      <c r="O973" t="s">
        <v>59</v>
      </c>
      <c r="P973" t="s">
        <v>4371</v>
      </c>
      <c r="Q973" s="14" t="s">
        <v>113</v>
      </c>
      <c r="R973" t="s">
        <v>407</v>
      </c>
      <c r="S973">
        <v>2.1</v>
      </c>
      <c r="T973">
        <v>5659</v>
      </c>
      <c r="U973">
        <v>0</v>
      </c>
      <c r="V973">
        <v>5659</v>
      </c>
    </row>
    <row r="974" spans="1:22" x14ac:dyDescent="0.25">
      <c r="A974">
        <v>186607</v>
      </c>
      <c r="B974">
        <v>130830633</v>
      </c>
      <c r="C974" t="s">
        <v>4372</v>
      </c>
      <c r="D974">
        <v>249343326</v>
      </c>
      <c r="E974" t="s">
        <v>3994</v>
      </c>
      <c r="F974" t="s">
        <v>431</v>
      </c>
      <c r="G974" t="s">
        <v>149</v>
      </c>
      <c r="H974" t="s">
        <v>150</v>
      </c>
      <c r="I974" t="s">
        <v>88</v>
      </c>
      <c r="J974" t="s">
        <v>151</v>
      </c>
      <c r="K974" t="s">
        <v>2</v>
      </c>
      <c r="L974" t="s">
        <v>4373</v>
      </c>
      <c r="M974" t="s">
        <v>4374</v>
      </c>
      <c r="N974" t="s">
        <v>3996</v>
      </c>
      <c r="O974" t="s">
        <v>59</v>
      </c>
      <c r="P974" t="s">
        <v>4375</v>
      </c>
      <c r="Q974" s="14" t="s">
        <v>196</v>
      </c>
      <c r="R974" t="s">
        <v>407</v>
      </c>
      <c r="S974">
        <v>0.5</v>
      </c>
      <c r="T974">
        <v>4219</v>
      </c>
      <c r="U974">
        <v>0</v>
      </c>
      <c r="V974">
        <v>4219</v>
      </c>
    </row>
    <row r="975" spans="1:22" x14ac:dyDescent="0.25">
      <c r="A975">
        <v>186607</v>
      </c>
      <c r="B975">
        <v>130830632</v>
      </c>
      <c r="C975" t="s">
        <v>4376</v>
      </c>
      <c r="D975">
        <v>249343339</v>
      </c>
      <c r="E975" t="s">
        <v>3994</v>
      </c>
      <c r="F975" t="s">
        <v>431</v>
      </c>
      <c r="G975" t="s">
        <v>149</v>
      </c>
      <c r="H975" t="s">
        <v>150</v>
      </c>
      <c r="I975" t="s">
        <v>88</v>
      </c>
      <c r="J975" t="s">
        <v>151</v>
      </c>
      <c r="K975" t="s">
        <v>2</v>
      </c>
      <c r="L975" t="s">
        <v>4377</v>
      </c>
      <c r="M975" t="s">
        <v>4378</v>
      </c>
      <c r="N975" t="s">
        <v>3996</v>
      </c>
      <c r="O975" t="s">
        <v>59</v>
      </c>
      <c r="P975" t="s">
        <v>4379</v>
      </c>
      <c r="Q975" s="14" t="s">
        <v>93</v>
      </c>
      <c r="R975" t="s">
        <v>407</v>
      </c>
      <c r="S975">
        <v>2.5099999999999998</v>
      </c>
      <c r="T975">
        <v>5355</v>
      </c>
      <c r="U975">
        <v>0</v>
      </c>
      <c r="V975">
        <v>5355</v>
      </c>
    </row>
    <row r="976" spans="1:22" x14ac:dyDescent="0.25">
      <c r="A976">
        <v>186607</v>
      </c>
      <c r="B976">
        <v>130830624</v>
      </c>
      <c r="C976" t="s">
        <v>4380</v>
      </c>
      <c r="D976">
        <v>249343401</v>
      </c>
      <c r="E976" t="s">
        <v>3994</v>
      </c>
      <c r="F976" t="s">
        <v>431</v>
      </c>
      <c r="G976" t="s">
        <v>149</v>
      </c>
      <c r="H976" t="s">
        <v>150</v>
      </c>
      <c r="I976" t="s">
        <v>88</v>
      </c>
      <c r="J976" t="s">
        <v>151</v>
      </c>
      <c r="K976" t="s">
        <v>2</v>
      </c>
      <c r="L976" t="s">
        <v>4381</v>
      </c>
      <c r="M976" t="s">
        <v>4382</v>
      </c>
      <c r="N976" t="s">
        <v>3996</v>
      </c>
      <c r="O976" t="s">
        <v>59</v>
      </c>
      <c r="P976" t="s">
        <v>4383</v>
      </c>
      <c r="Q976" s="14" t="s">
        <v>93</v>
      </c>
      <c r="R976" t="s">
        <v>407</v>
      </c>
      <c r="S976">
        <v>0.5</v>
      </c>
      <c r="T976">
        <v>4737</v>
      </c>
      <c r="U976">
        <v>0</v>
      </c>
      <c r="V976">
        <v>4737</v>
      </c>
    </row>
    <row r="977" spans="1:22" x14ac:dyDescent="0.25">
      <c r="A977">
        <v>186607</v>
      </c>
      <c r="B977">
        <v>130771213</v>
      </c>
      <c r="C977" t="s">
        <v>4384</v>
      </c>
      <c r="D977">
        <v>249229002</v>
      </c>
      <c r="E977" t="s">
        <v>3994</v>
      </c>
      <c r="F977" t="s">
        <v>431</v>
      </c>
      <c r="G977" t="s">
        <v>149</v>
      </c>
      <c r="H977" t="s">
        <v>150</v>
      </c>
      <c r="I977" t="s">
        <v>88</v>
      </c>
      <c r="J977" t="s">
        <v>151</v>
      </c>
      <c r="K977" t="s">
        <v>2</v>
      </c>
      <c r="L977" t="s">
        <v>4385</v>
      </c>
      <c r="M977" t="s">
        <v>4386</v>
      </c>
      <c r="N977" t="s">
        <v>3996</v>
      </c>
      <c r="O977" t="s">
        <v>59</v>
      </c>
      <c r="P977" t="s">
        <v>4387</v>
      </c>
      <c r="Q977" s="14" t="s">
        <v>303</v>
      </c>
      <c r="R977" t="s">
        <v>2334</v>
      </c>
      <c r="S977">
        <v>0.5</v>
      </c>
      <c r="T977">
        <v>4669</v>
      </c>
      <c r="U977">
        <v>0</v>
      </c>
      <c r="V977">
        <v>4669</v>
      </c>
    </row>
    <row r="978" spans="1:22" x14ac:dyDescent="0.25">
      <c r="A978">
        <v>186607</v>
      </c>
      <c r="B978">
        <v>130771216</v>
      </c>
      <c r="C978" t="s">
        <v>4388</v>
      </c>
      <c r="D978">
        <v>249228994</v>
      </c>
      <c r="E978" t="s">
        <v>3994</v>
      </c>
      <c r="F978" t="s">
        <v>431</v>
      </c>
      <c r="G978" t="s">
        <v>149</v>
      </c>
      <c r="H978" t="s">
        <v>150</v>
      </c>
      <c r="I978" t="s">
        <v>88</v>
      </c>
      <c r="J978" t="s">
        <v>151</v>
      </c>
      <c r="K978" t="s">
        <v>2</v>
      </c>
      <c r="L978" t="s">
        <v>4389</v>
      </c>
      <c r="M978" t="s">
        <v>4390</v>
      </c>
      <c r="N978" t="s">
        <v>3996</v>
      </c>
      <c r="O978" t="s">
        <v>59</v>
      </c>
      <c r="P978" t="s">
        <v>4391</v>
      </c>
      <c r="Q978" s="14" t="s">
        <v>124</v>
      </c>
      <c r="R978" t="s">
        <v>2334</v>
      </c>
      <c r="S978">
        <v>0.5</v>
      </c>
      <c r="T978">
        <v>4219</v>
      </c>
      <c r="U978">
        <v>0</v>
      </c>
      <c r="V978">
        <v>4219</v>
      </c>
    </row>
    <row r="979" spans="1:22" x14ac:dyDescent="0.25">
      <c r="A979">
        <v>186607</v>
      </c>
      <c r="B979">
        <v>130696727</v>
      </c>
      <c r="C979" t="s">
        <v>4392</v>
      </c>
      <c r="D979">
        <v>249146774</v>
      </c>
      <c r="E979" t="s">
        <v>3994</v>
      </c>
      <c r="F979" t="s">
        <v>431</v>
      </c>
      <c r="G979" t="s">
        <v>149</v>
      </c>
      <c r="H979" t="s">
        <v>150</v>
      </c>
      <c r="I979" t="s">
        <v>88</v>
      </c>
      <c r="J979" t="s">
        <v>151</v>
      </c>
      <c r="K979" t="s">
        <v>2</v>
      </c>
      <c r="L979" t="s">
        <v>4393</v>
      </c>
      <c r="M979" t="s">
        <v>4394</v>
      </c>
      <c r="N979" t="s">
        <v>3996</v>
      </c>
      <c r="O979" t="s">
        <v>59</v>
      </c>
      <c r="P979" t="s">
        <v>4395</v>
      </c>
      <c r="Q979" s="14" t="s">
        <v>142</v>
      </c>
      <c r="R979" t="s">
        <v>2339</v>
      </c>
      <c r="S979">
        <v>0.5</v>
      </c>
      <c r="T979">
        <v>4219</v>
      </c>
      <c r="U979">
        <v>0</v>
      </c>
      <c r="V979">
        <v>4219</v>
      </c>
    </row>
    <row r="980" spans="1:22" x14ac:dyDescent="0.25">
      <c r="A980">
        <v>186607</v>
      </c>
      <c r="B980">
        <v>130780371</v>
      </c>
      <c r="C980" t="s">
        <v>4396</v>
      </c>
      <c r="D980">
        <v>249228962</v>
      </c>
      <c r="E980" t="s">
        <v>3994</v>
      </c>
      <c r="F980" t="s">
        <v>431</v>
      </c>
      <c r="G980" t="s">
        <v>149</v>
      </c>
      <c r="H980" t="s">
        <v>150</v>
      </c>
      <c r="I980" t="s">
        <v>88</v>
      </c>
      <c r="J980" t="s">
        <v>151</v>
      </c>
      <c r="K980" t="s">
        <v>2</v>
      </c>
      <c r="L980" t="s">
        <v>4397</v>
      </c>
      <c r="M980" t="s">
        <v>4398</v>
      </c>
      <c r="N980" t="s">
        <v>3996</v>
      </c>
      <c r="O980" t="s">
        <v>59</v>
      </c>
      <c r="P980" t="s">
        <v>4399</v>
      </c>
      <c r="Q980" s="14" t="s">
        <v>196</v>
      </c>
      <c r="R980" t="s">
        <v>387</v>
      </c>
      <c r="S980">
        <v>0.5</v>
      </c>
      <c r="T980">
        <v>4219</v>
      </c>
      <c r="U980">
        <v>0</v>
      </c>
      <c r="V980">
        <v>4219</v>
      </c>
    </row>
    <row r="981" spans="1:22" x14ac:dyDescent="0.25">
      <c r="A981">
        <v>186607</v>
      </c>
      <c r="B981">
        <v>130727765</v>
      </c>
      <c r="C981" t="s">
        <v>4400</v>
      </c>
      <c r="D981">
        <v>249146693</v>
      </c>
      <c r="E981" t="s">
        <v>3994</v>
      </c>
      <c r="F981" t="s">
        <v>431</v>
      </c>
      <c r="G981" t="s">
        <v>149</v>
      </c>
      <c r="H981" t="s">
        <v>150</v>
      </c>
      <c r="I981" t="s">
        <v>88</v>
      </c>
      <c r="J981" t="s">
        <v>151</v>
      </c>
      <c r="K981" t="s">
        <v>2</v>
      </c>
      <c r="L981" t="s">
        <v>4401</v>
      </c>
      <c r="M981" t="s">
        <v>4402</v>
      </c>
      <c r="N981" t="s">
        <v>3996</v>
      </c>
      <c r="O981" t="s">
        <v>59</v>
      </c>
      <c r="P981" t="s">
        <v>4403</v>
      </c>
      <c r="Q981" s="14" t="s">
        <v>318</v>
      </c>
      <c r="R981" t="s">
        <v>4367</v>
      </c>
      <c r="S981">
        <v>0.5</v>
      </c>
      <c r="T981">
        <v>5153</v>
      </c>
      <c r="U981">
        <v>0</v>
      </c>
      <c r="V981">
        <v>5153</v>
      </c>
    </row>
    <row r="982" spans="1:22" x14ac:dyDescent="0.25">
      <c r="A982">
        <v>186607</v>
      </c>
      <c r="B982">
        <v>130771200</v>
      </c>
      <c r="C982" t="s">
        <v>4404</v>
      </c>
      <c r="D982">
        <v>249229014</v>
      </c>
      <c r="E982" t="s">
        <v>3994</v>
      </c>
      <c r="F982" t="s">
        <v>431</v>
      </c>
      <c r="G982" t="s">
        <v>149</v>
      </c>
      <c r="H982" t="s">
        <v>150</v>
      </c>
      <c r="I982" t="s">
        <v>88</v>
      </c>
      <c r="J982" t="s">
        <v>151</v>
      </c>
      <c r="K982" t="s">
        <v>2</v>
      </c>
      <c r="L982" t="s">
        <v>4405</v>
      </c>
      <c r="M982" t="s">
        <v>4406</v>
      </c>
      <c r="N982" t="s">
        <v>3996</v>
      </c>
      <c r="O982" t="s">
        <v>59</v>
      </c>
      <c r="P982" t="s">
        <v>4407</v>
      </c>
      <c r="Q982" s="14" t="s">
        <v>38</v>
      </c>
      <c r="R982" t="s">
        <v>2334</v>
      </c>
      <c r="S982">
        <v>0.5</v>
      </c>
      <c r="T982">
        <v>4669</v>
      </c>
      <c r="U982">
        <v>0</v>
      </c>
      <c r="V982">
        <v>4669</v>
      </c>
    </row>
    <row r="983" spans="1:22" x14ac:dyDescent="0.25">
      <c r="A983">
        <v>186607</v>
      </c>
      <c r="B983">
        <v>130771207</v>
      </c>
      <c r="C983" t="s">
        <v>4408</v>
      </c>
      <c r="D983">
        <v>249229008</v>
      </c>
      <c r="E983" t="s">
        <v>3994</v>
      </c>
      <c r="F983" t="s">
        <v>431</v>
      </c>
      <c r="G983" t="s">
        <v>149</v>
      </c>
      <c r="H983" t="s">
        <v>150</v>
      </c>
      <c r="I983" t="s">
        <v>88</v>
      </c>
      <c r="J983" t="s">
        <v>151</v>
      </c>
      <c r="K983" t="s">
        <v>2</v>
      </c>
      <c r="L983" t="s">
        <v>4409</v>
      </c>
      <c r="M983" t="s">
        <v>4410</v>
      </c>
      <c r="N983" t="s">
        <v>3996</v>
      </c>
      <c r="O983" t="s">
        <v>59</v>
      </c>
      <c r="P983" t="s">
        <v>4411</v>
      </c>
      <c r="Q983" s="14" t="s">
        <v>104</v>
      </c>
      <c r="R983" t="s">
        <v>2334</v>
      </c>
      <c r="S983">
        <v>0.5</v>
      </c>
      <c r="T983">
        <v>4737</v>
      </c>
      <c r="U983">
        <v>0</v>
      </c>
      <c r="V983">
        <v>4737</v>
      </c>
    </row>
    <row r="984" spans="1:22" x14ac:dyDescent="0.25">
      <c r="A984">
        <v>186607</v>
      </c>
      <c r="B984">
        <v>130727775</v>
      </c>
      <c r="C984" t="s">
        <v>4412</v>
      </c>
      <c r="D984">
        <v>249146678</v>
      </c>
      <c r="E984" t="s">
        <v>3994</v>
      </c>
      <c r="F984" t="s">
        <v>431</v>
      </c>
      <c r="G984" t="s">
        <v>149</v>
      </c>
      <c r="H984" t="s">
        <v>150</v>
      </c>
      <c r="I984" t="s">
        <v>88</v>
      </c>
      <c r="J984" t="s">
        <v>151</v>
      </c>
      <c r="K984" t="s">
        <v>2</v>
      </c>
      <c r="L984" t="s">
        <v>4413</v>
      </c>
      <c r="M984" t="s">
        <v>4414</v>
      </c>
      <c r="N984" t="s">
        <v>3996</v>
      </c>
      <c r="O984" t="s">
        <v>59</v>
      </c>
      <c r="P984" t="s">
        <v>4415</v>
      </c>
      <c r="Q984" s="14" t="s">
        <v>124</v>
      </c>
      <c r="R984" t="s">
        <v>4367</v>
      </c>
      <c r="S984">
        <v>0.5</v>
      </c>
      <c r="T984">
        <v>4219</v>
      </c>
      <c r="U984">
        <v>0</v>
      </c>
      <c r="V984">
        <v>4219</v>
      </c>
    </row>
    <row r="985" spans="1:22" x14ac:dyDescent="0.25">
      <c r="A985">
        <v>186607</v>
      </c>
      <c r="B985">
        <v>130696725</v>
      </c>
      <c r="C985" t="s">
        <v>4416</v>
      </c>
      <c r="D985">
        <v>249146826</v>
      </c>
      <c r="E985" t="s">
        <v>3994</v>
      </c>
      <c r="F985" t="s">
        <v>431</v>
      </c>
      <c r="G985" t="s">
        <v>149</v>
      </c>
      <c r="H985" t="s">
        <v>150</v>
      </c>
      <c r="I985" t="s">
        <v>88</v>
      </c>
      <c r="J985" t="s">
        <v>151</v>
      </c>
      <c r="K985" t="s">
        <v>2</v>
      </c>
      <c r="L985" t="s">
        <v>4417</v>
      </c>
      <c r="M985" t="s">
        <v>4418</v>
      </c>
      <c r="N985" t="s">
        <v>3996</v>
      </c>
      <c r="O985" t="s">
        <v>59</v>
      </c>
      <c r="P985" t="s">
        <v>4419</v>
      </c>
      <c r="Q985" s="14" t="s">
        <v>93</v>
      </c>
      <c r="R985" t="s">
        <v>2339</v>
      </c>
      <c r="S985">
        <v>0.5</v>
      </c>
      <c r="T985">
        <v>4737</v>
      </c>
      <c r="U985">
        <v>0</v>
      </c>
      <c r="V985">
        <v>4737</v>
      </c>
    </row>
    <row r="986" spans="1:22" x14ac:dyDescent="0.25">
      <c r="A986">
        <v>186607</v>
      </c>
      <c r="B986">
        <v>130727764</v>
      </c>
      <c r="C986" t="s">
        <v>4420</v>
      </c>
      <c r="D986">
        <v>249146712</v>
      </c>
      <c r="E986" t="s">
        <v>3994</v>
      </c>
      <c r="F986" t="s">
        <v>431</v>
      </c>
      <c r="G986" t="s">
        <v>149</v>
      </c>
      <c r="H986" t="s">
        <v>150</v>
      </c>
      <c r="I986" t="s">
        <v>88</v>
      </c>
      <c r="J986" t="s">
        <v>151</v>
      </c>
      <c r="K986" t="s">
        <v>2</v>
      </c>
      <c r="L986" t="s">
        <v>4421</v>
      </c>
      <c r="M986" t="s">
        <v>4422</v>
      </c>
      <c r="N986" t="s">
        <v>3996</v>
      </c>
      <c r="O986" t="s">
        <v>59</v>
      </c>
      <c r="P986" t="s">
        <v>4423</v>
      </c>
      <c r="Q986" s="14" t="s">
        <v>107</v>
      </c>
      <c r="R986" t="s">
        <v>4367</v>
      </c>
      <c r="S986">
        <v>2.44</v>
      </c>
      <c r="T986">
        <v>7189</v>
      </c>
      <c r="U986">
        <v>0</v>
      </c>
      <c r="V986">
        <v>7189</v>
      </c>
    </row>
    <row r="987" spans="1:22" x14ac:dyDescent="0.25">
      <c r="A987">
        <v>186607</v>
      </c>
      <c r="B987">
        <v>130727771</v>
      </c>
      <c r="C987" t="s">
        <v>4424</v>
      </c>
      <c r="D987">
        <v>249146672</v>
      </c>
      <c r="E987" t="s">
        <v>3994</v>
      </c>
      <c r="F987" t="s">
        <v>431</v>
      </c>
      <c r="G987" t="s">
        <v>149</v>
      </c>
      <c r="H987" t="s">
        <v>150</v>
      </c>
      <c r="I987" t="s">
        <v>88</v>
      </c>
      <c r="J987" t="s">
        <v>151</v>
      </c>
      <c r="K987" t="s">
        <v>2</v>
      </c>
      <c r="L987" t="s">
        <v>4425</v>
      </c>
      <c r="M987" t="s">
        <v>4426</v>
      </c>
      <c r="N987" t="s">
        <v>3996</v>
      </c>
      <c r="O987" t="s">
        <v>59</v>
      </c>
      <c r="P987" t="s">
        <v>4427</v>
      </c>
      <c r="Q987" s="14" t="s">
        <v>109</v>
      </c>
      <c r="R987" t="s">
        <v>4367</v>
      </c>
      <c r="S987">
        <v>0.5</v>
      </c>
      <c r="T987">
        <v>4669</v>
      </c>
      <c r="U987">
        <v>0</v>
      </c>
      <c r="V987">
        <v>4669</v>
      </c>
    </row>
    <row r="988" spans="1:22" x14ac:dyDescent="0.25">
      <c r="A988">
        <v>186607</v>
      </c>
      <c r="B988">
        <v>130673349</v>
      </c>
      <c r="C988" t="s">
        <v>4428</v>
      </c>
      <c r="D988">
        <v>248994554</v>
      </c>
      <c r="E988" t="s">
        <v>3994</v>
      </c>
      <c r="F988" t="s">
        <v>431</v>
      </c>
      <c r="G988" t="s">
        <v>149</v>
      </c>
      <c r="H988" t="s">
        <v>150</v>
      </c>
      <c r="I988" t="s">
        <v>88</v>
      </c>
      <c r="J988" t="s">
        <v>151</v>
      </c>
      <c r="K988" t="s">
        <v>2</v>
      </c>
      <c r="L988" t="s">
        <v>4429</v>
      </c>
      <c r="M988" t="s">
        <v>4430</v>
      </c>
      <c r="N988" t="s">
        <v>3996</v>
      </c>
      <c r="O988" t="s">
        <v>59</v>
      </c>
      <c r="P988" t="s">
        <v>4431</v>
      </c>
      <c r="Q988" s="14" t="s">
        <v>305</v>
      </c>
      <c r="R988" t="s">
        <v>4432</v>
      </c>
      <c r="S988">
        <v>0.5</v>
      </c>
      <c r="T988">
        <v>4219</v>
      </c>
      <c r="U988">
        <v>0</v>
      </c>
      <c r="V988">
        <v>4219</v>
      </c>
    </row>
    <row r="989" spans="1:22" x14ac:dyDescent="0.25">
      <c r="A989">
        <v>186607</v>
      </c>
      <c r="B989">
        <v>130727751</v>
      </c>
      <c r="C989" t="s">
        <v>4433</v>
      </c>
      <c r="D989">
        <v>249146751</v>
      </c>
      <c r="E989" t="s">
        <v>3994</v>
      </c>
      <c r="F989" t="s">
        <v>431</v>
      </c>
      <c r="G989" t="s">
        <v>149</v>
      </c>
      <c r="H989" t="s">
        <v>150</v>
      </c>
      <c r="I989" t="s">
        <v>88</v>
      </c>
      <c r="J989" t="s">
        <v>151</v>
      </c>
      <c r="K989" t="s">
        <v>2</v>
      </c>
      <c r="L989" t="s">
        <v>4434</v>
      </c>
      <c r="M989" t="s">
        <v>266</v>
      </c>
      <c r="N989" t="s">
        <v>3996</v>
      </c>
      <c r="O989" t="s">
        <v>59</v>
      </c>
      <c r="P989" t="s">
        <v>4435</v>
      </c>
      <c r="Q989" s="14" t="s">
        <v>93</v>
      </c>
      <c r="R989" t="s">
        <v>4367</v>
      </c>
      <c r="S989">
        <v>0.5</v>
      </c>
      <c r="T989">
        <v>4737</v>
      </c>
      <c r="U989">
        <v>0</v>
      </c>
      <c r="V989">
        <v>4737</v>
      </c>
    </row>
    <row r="990" spans="1:22" x14ac:dyDescent="0.25">
      <c r="A990">
        <v>186607</v>
      </c>
      <c r="B990">
        <v>130727770</v>
      </c>
      <c r="C990" t="s">
        <v>4436</v>
      </c>
      <c r="D990">
        <v>249146698</v>
      </c>
      <c r="E990" t="s">
        <v>3994</v>
      </c>
      <c r="F990" t="s">
        <v>431</v>
      </c>
      <c r="G990" t="s">
        <v>149</v>
      </c>
      <c r="H990" t="s">
        <v>150</v>
      </c>
      <c r="I990" t="s">
        <v>88</v>
      </c>
      <c r="J990" t="s">
        <v>151</v>
      </c>
      <c r="K990" t="s">
        <v>2</v>
      </c>
      <c r="L990" t="s">
        <v>4437</v>
      </c>
      <c r="M990" t="s">
        <v>4438</v>
      </c>
      <c r="N990" t="s">
        <v>3996</v>
      </c>
      <c r="O990" t="s">
        <v>59</v>
      </c>
      <c r="P990" t="s">
        <v>4439</v>
      </c>
      <c r="Q990" s="14" t="s">
        <v>124</v>
      </c>
      <c r="R990" t="s">
        <v>4367</v>
      </c>
      <c r="S990">
        <v>0.5</v>
      </c>
      <c r="T990">
        <v>4219</v>
      </c>
      <c r="U990">
        <v>0</v>
      </c>
      <c r="V990">
        <v>4219</v>
      </c>
    </row>
    <row r="991" spans="1:22" x14ac:dyDescent="0.25">
      <c r="A991">
        <v>186607</v>
      </c>
      <c r="B991">
        <v>130673354</v>
      </c>
      <c r="C991" t="s">
        <v>4440</v>
      </c>
      <c r="D991">
        <v>248994549</v>
      </c>
      <c r="E991" t="s">
        <v>3994</v>
      </c>
      <c r="F991" t="s">
        <v>431</v>
      </c>
      <c r="G991" t="s">
        <v>149</v>
      </c>
      <c r="H991" t="s">
        <v>150</v>
      </c>
      <c r="I991" t="s">
        <v>88</v>
      </c>
      <c r="J991" t="s">
        <v>151</v>
      </c>
      <c r="K991" t="s">
        <v>2</v>
      </c>
      <c r="L991" t="s">
        <v>4441</v>
      </c>
      <c r="M991" t="s">
        <v>4442</v>
      </c>
      <c r="N991" t="s">
        <v>3996</v>
      </c>
      <c r="O991" t="s">
        <v>59</v>
      </c>
      <c r="P991" t="s">
        <v>4443</v>
      </c>
      <c r="Q991" s="14" t="s">
        <v>137</v>
      </c>
      <c r="R991" t="s">
        <v>4432</v>
      </c>
      <c r="S991">
        <v>0.5</v>
      </c>
      <c r="T991">
        <v>4219</v>
      </c>
      <c r="U991">
        <v>0</v>
      </c>
      <c r="V991">
        <v>4219</v>
      </c>
    </row>
    <row r="992" spans="1:22" x14ac:dyDescent="0.25">
      <c r="A992">
        <v>186607</v>
      </c>
      <c r="B992">
        <v>130700772</v>
      </c>
      <c r="C992" t="s">
        <v>4444</v>
      </c>
      <c r="D992">
        <v>249146780</v>
      </c>
      <c r="E992" t="s">
        <v>3994</v>
      </c>
      <c r="F992" t="s">
        <v>431</v>
      </c>
      <c r="G992" t="s">
        <v>149</v>
      </c>
      <c r="H992" t="s">
        <v>150</v>
      </c>
      <c r="I992" t="s">
        <v>88</v>
      </c>
      <c r="J992" t="s">
        <v>151</v>
      </c>
      <c r="K992" t="s">
        <v>2</v>
      </c>
      <c r="L992" t="s">
        <v>4445</v>
      </c>
      <c r="M992" t="s">
        <v>4446</v>
      </c>
      <c r="N992" t="s">
        <v>3996</v>
      </c>
      <c r="O992" t="s">
        <v>59</v>
      </c>
      <c r="P992" t="s">
        <v>4447</v>
      </c>
      <c r="Q992" s="14" t="s">
        <v>96</v>
      </c>
      <c r="R992" t="s">
        <v>2406</v>
      </c>
      <c r="S992">
        <v>0.5</v>
      </c>
      <c r="T992">
        <v>4219</v>
      </c>
      <c r="U992">
        <v>0</v>
      </c>
      <c r="V992">
        <v>4219</v>
      </c>
    </row>
    <row r="993" spans="1:22" x14ac:dyDescent="0.25">
      <c r="A993">
        <v>186607</v>
      </c>
      <c r="B993">
        <v>130696719</v>
      </c>
      <c r="C993" t="s">
        <v>4448</v>
      </c>
      <c r="D993">
        <v>249146833</v>
      </c>
      <c r="E993" t="s">
        <v>3994</v>
      </c>
      <c r="F993" t="s">
        <v>431</v>
      </c>
      <c r="G993" t="s">
        <v>149</v>
      </c>
      <c r="H993" t="s">
        <v>150</v>
      </c>
      <c r="I993" t="s">
        <v>88</v>
      </c>
      <c r="J993" t="s">
        <v>151</v>
      </c>
      <c r="K993" t="s">
        <v>2</v>
      </c>
      <c r="L993" t="s">
        <v>4449</v>
      </c>
      <c r="M993" t="s">
        <v>4450</v>
      </c>
      <c r="N993" t="s">
        <v>3996</v>
      </c>
      <c r="O993" t="s">
        <v>59</v>
      </c>
      <c r="P993" t="s">
        <v>4451</v>
      </c>
      <c r="Q993" s="14" t="s">
        <v>93</v>
      </c>
      <c r="R993" t="s">
        <v>2339</v>
      </c>
      <c r="S993">
        <v>1.76</v>
      </c>
      <c r="T993">
        <v>5052</v>
      </c>
      <c r="U993">
        <v>0</v>
      </c>
      <c r="V993">
        <v>5052</v>
      </c>
    </row>
    <row r="994" spans="1:22" x14ac:dyDescent="0.25">
      <c r="A994">
        <v>186607</v>
      </c>
      <c r="B994">
        <v>130696726</v>
      </c>
      <c r="C994" t="s">
        <v>4452</v>
      </c>
      <c r="D994">
        <v>249146818</v>
      </c>
      <c r="E994" t="s">
        <v>3994</v>
      </c>
      <c r="F994" t="s">
        <v>431</v>
      </c>
      <c r="G994" t="s">
        <v>149</v>
      </c>
      <c r="H994" t="s">
        <v>150</v>
      </c>
      <c r="I994" t="s">
        <v>88</v>
      </c>
      <c r="J994" t="s">
        <v>151</v>
      </c>
      <c r="K994" t="s">
        <v>2</v>
      </c>
      <c r="L994" t="s">
        <v>4453</v>
      </c>
      <c r="M994" t="s">
        <v>4454</v>
      </c>
      <c r="N994" t="s">
        <v>3996</v>
      </c>
      <c r="O994" t="s">
        <v>59</v>
      </c>
      <c r="P994" t="s">
        <v>4455</v>
      </c>
      <c r="Q994" s="14" t="s">
        <v>139</v>
      </c>
      <c r="R994" t="s">
        <v>2339</v>
      </c>
      <c r="S994">
        <v>2.99</v>
      </c>
      <c r="T994">
        <v>10710</v>
      </c>
      <c r="U994">
        <v>0</v>
      </c>
      <c r="V994">
        <v>10710</v>
      </c>
    </row>
    <row r="995" spans="1:22" x14ac:dyDescent="0.25">
      <c r="A995">
        <v>186607</v>
      </c>
      <c r="B995">
        <v>130727760</v>
      </c>
      <c r="C995" t="s">
        <v>4456</v>
      </c>
      <c r="D995">
        <v>249146726</v>
      </c>
      <c r="E995" t="s">
        <v>3994</v>
      </c>
      <c r="F995" t="s">
        <v>431</v>
      </c>
      <c r="G995" t="s">
        <v>149</v>
      </c>
      <c r="H995" t="s">
        <v>150</v>
      </c>
      <c r="I995" t="s">
        <v>88</v>
      </c>
      <c r="J995" t="s">
        <v>151</v>
      </c>
      <c r="K995" t="s">
        <v>2</v>
      </c>
      <c r="L995" t="s">
        <v>4457</v>
      </c>
      <c r="M995" t="s">
        <v>4458</v>
      </c>
      <c r="N995" t="s">
        <v>3996</v>
      </c>
      <c r="O995" t="s">
        <v>59</v>
      </c>
      <c r="P995" t="s">
        <v>4459</v>
      </c>
      <c r="Q995" s="14" t="s">
        <v>104</v>
      </c>
      <c r="R995" t="s">
        <v>4367</v>
      </c>
      <c r="S995">
        <v>0.5</v>
      </c>
      <c r="T995">
        <v>4737</v>
      </c>
      <c r="U995">
        <v>0</v>
      </c>
      <c r="V995">
        <v>4737</v>
      </c>
    </row>
    <row r="996" spans="1:22" x14ac:dyDescent="0.25">
      <c r="A996">
        <v>186607</v>
      </c>
      <c r="B996">
        <v>130727752</v>
      </c>
      <c r="C996" t="s">
        <v>4460</v>
      </c>
      <c r="D996">
        <v>249146745</v>
      </c>
      <c r="E996" t="s">
        <v>3994</v>
      </c>
      <c r="F996" t="s">
        <v>431</v>
      </c>
      <c r="G996" t="s">
        <v>149</v>
      </c>
      <c r="H996" t="s">
        <v>150</v>
      </c>
      <c r="I996" t="s">
        <v>88</v>
      </c>
      <c r="J996" t="s">
        <v>151</v>
      </c>
      <c r="K996" t="s">
        <v>2</v>
      </c>
      <c r="L996" t="s">
        <v>4461</v>
      </c>
      <c r="M996" t="s">
        <v>4462</v>
      </c>
      <c r="N996" t="s">
        <v>3996</v>
      </c>
      <c r="O996" t="s">
        <v>59</v>
      </c>
      <c r="P996" t="s">
        <v>4463</v>
      </c>
      <c r="Q996" s="14" t="s">
        <v>240</v>
      </c>
      <c r="R996" t="s">
        <v>4367</v>
      </c>
      <c r="S996">
        <v>12.56</v>
      </c>
      <c r="T996">
        <v>9068</v>
      </c>
      <c r="U996">
        <v>0</v>
      </c>
      <c r="V996">
        <v>9068</v>
      </c>
    </row>
    <row r="997" spans="1:22" x14ac:dyDescent="0.25">
      <c r="A997">
        <v>186607</v>
      </c>
      <c r="B997">
        <v>130696728</v>
      </c>
      <c r="C997" t="s">
        <v>4464</v>
      </c>
      <c r="D997">
        <v>249146793</v>
      </c>
      <c r="E997" t="s">
        <v>3994</v>
      </c>
      <c r="F997" t="s">
        <v>431</v>
      </c>
      <c r="G997" t="s">
        <v>149</v>
      </c>
      <c r="H997" t="s">
        <v>150</v>
      </c>
      <c r="I997" t="s">
        <v>88</v>
      </c>
      <c r="J997" t="s">
        <v>151</v>
      </c>
      <c r="K997" t="s">
        <v>2</v>
      </c>
      <c r="L997" t="s">
        <v>4465</v>
      </c>
      <c r="M997" t="s">
        <v>4466</v>
      </c>
      <c r="N997" t="s">
        <v>3996</v>
      </c>
      <c r="O997" t="s">
        <v>59</v>
      </c>
      <c r="P997" t="s">
        <v>4467</v>
      </c>
      <c r="Q997" s="14" t="s">
        <v>113</v>
      </c>
      <c r="R997" t="s">
        <v>2339</v>
      </c>
      <c r="S997">
        <v>0.5</v>
      </c>
      <c r="T997">
        <v>4973</v>
      </c>
      <c r="U997">
        <v>0</v>
      </c>
      <c r="V997">
        <v>4973</v>
      </c>
    </row>
    <row r="998" spans="1:22" x14ac:dyDescent="0.25">
      <c r="A998">
        <v>186607</v>
      </c>
      <c r="B998">
        <v>130635099</v>
      </c>
      <c r="C998" t="s">
        <v>4468</v>
      </c>
      <c r="D998">
        <v>248922827</v>
      </c>
      <c r="E998" t="s">
        <v>3994</v>
      </c>
      <c r="F998" t="s">
        <v>431</v>
      </c>
      <c r="G998" t="s">
        <v>149</v>
      </c>
      <c r="H998" t="s">
        <v>150</v>
      </c>
      <c r="I998" t="s">
        <v>88</v>
      </c>
      <c r="J998" t="s">
        <v>151</v>
      </c>
      <c r="K998" t="s">
        <v>2</v>
      </c>
      <c r="L998" t="s">
        <v>4469</v>
      </c>
      <c r="M998" t="s">
        <v>4470</v>
      </c>
      <c r="N998" t="s">
        <v>3996</v>
      </c>
      <c r="O998" t="s">
        <v>59</v>
      </c>
      <c r="P998" t="s">
        <v>4471</v>
      </c>
      <c r="Q998" s="14" t="s">
        <v>129</v>
      </c>
      <c r="R998" t="s">
        <v>4472</v>
      </c>
      <c r="S998">
        <v>0.5</v>
      </c>
      <c r="T998">
        <v>7212</v>
      </c>
      <c r="U998">
        <v>0</v>
      </c>
      <c r="V998">
        <v>7212</v>
      </c>
    </row>
    <row r="999" spans="1:22" x14ac:dyDescent="0.25">
      <c r="A999">
        <v>186607</v>
      </c>
      <c r="B999">
        <v>130635095</v>
      </c>
      <c r="C999" t="s">
        <v>4473</v>
      </c>
      <c r="D999">
        <v>248922846</v>
      </c>
      <c r="E999" t="s">
        <v>3994</v>
      </c>
      <c r="F999" t="s">
        <v>431</v>
      </c>
      <c r="G999" t="s">
        <v>149</v>
      </c>
      <c r="H999" t="s">
        <v>150</v>
      </c>
      <c r="I999" t="s">
        <v>88</v>
      </c>
      <c r="J999" t="s">
        <v>151</v>
      </c>
      <c r="K999" t="s">
        <v>2</v>
      </c>
      <c r="L999" t="s">
        <v>4474</v>
      </c>
      <c r="M999" t="s">
        <v>197</v>
      </c>
      <c r="N999" t="s">
        <v>3996</v>
      </c>
      <c r="O999" t="s">
        <v>59</v>
      </c>
      <c r="P999" t="s">
        <v>4475</v>
      </c>
      <c r="Q999" s="14" t="s">
        <v>129</v>
      </c>
      <c r="R999" t="s">
        <v>4472</v>
      </c>
      <c r="S999">
        <v>0.5</v>
      </c>
      <c r="T999">
        <v>7212</v>
      </c>
      <c r="U999">
        <v>0</v>
      </c>
      <c r="V999">
        <v>7212</v>
      </c>
    </row>
    <row r="1000" spans="1:22" x14ac:dyDescent="0.25">
      <c r="A1000">
        <v>186607</v>
      </c>
      <c r="B1000">
        <v>130635096</v>
      </c>
      <c r="C1000" t="s">
        <v>4476</v>
      </c>
      <c r="D1000">
        <v>248922812</v>
      </c>
      <c r="E1000" t="s">
        <v>3994</v>
      </c>
      <c r="F1000" t="s">
        <v>431</v>
      </c>
      <c r="G1000" t="s">
        <v>149</v>
      </c>
      <c r="H1000" t="s">
        <v>150</v>
      </c>
      <c r="I1000" t="s">
        <v>88</v>
      </c>
      <c r="J1000" t="s">
        <v>151</v>
      </c>
      <c r="K1000" t="s">
        <v>2</v>
      </c>
      <c r="L1000" t="s">
        <v>4477</v>
      </c>
      <c r="M1000" t="s">
        <v>4478</v>
      </c>
      <c r="N1000" t="s">
        <v>3996</v>
      </c>
      <c r="O1000" t="s">
        <v>59</v>
      </c>
      <c r="P1000" t="s">
        <v>4479</v>
      </c>
      <c r="Q1000" s="14" t="s">
        <v>104</v>
      </c>
      <c r="R1000" t="s">
        <v>4472</v>
      </c>
      <c r="S1000">
        <v>0.5</v>
      </c>
      <c r="T1000">
        <v>4737</v>
      </c>
      <c r="U1000">
        <v>0</v>
      </c>
      <c r="V1000">
        <v>4737</v>
      </c>
    </row>
    <row r="1001" spans="1:22" x14ac:dyDescent="0.25">
      <c r="A1001">
        <v>186607</v>
      </c>
      <c r="B1001">
        <v>130635098</v>
      </c>
      <c r="C1001" t="s">
        <v>4480</v>
      </c>
      <c r="D1001">
        <v>248922808</v>
      </c>
      <c r="E1001" t="s">
        <v>3994</v>
      </c>
      <c r="F1001" t="s">
        <v>431</v>
      </c>
      <c r="G1001" t="s">
        <v>149</v>
      </c>
      <c r="H1001" t="s">
        <v>150</v>
      </c>
      <c r="I1001" t="s">
        <v>88</v>
      </c>
      <c r="J1001" t="s">
        <v>151</v>
      </c>
      <c r="K1001" t="s">
        <v>2</v>
      </c>
      <c r="L1001" t="s">
        <v>4481</v>
      </c>
      <c r="M1001" t="s">
        <v>4482</v>
      </c>
      <c r="N1001" t="s">
        <v>3996</v>
      </c>
      <c r="O1001" t="s">
        <v>59</v>
      </c>
      <c r="P1001" t="s">
        <v>4483</v>
      </c>
      <c r="Q1001" s="14" t="s">
        <v>120</v>
      </c>
      <c r="R1001" t="s">
        <v>4472</v>
      </c>
      <c r="S1001">
        <v>0.5</v>
      </c>
      <c r="T1001">
        <v>5153</v>
      </c>
      <c r="U1001">
        <v>0</v>
      </c>
      <c r="V1001">
        <v>5153</v>
      </c>
    </row>
    <row r="1002" spans="1:22" x14ac:dyDescent="0.25">
      <c r="A1002">
        <v>186607</v>
      </c>
      <c r="B1002">
        <v>130635097</v>
      </c>
      <c r="C1002" t="s">
        <v>4484</v>
      </c>
      <c r="D1002">
        <v>248922810</v>
      </c>
      <c r="E1002" t="s">
        <v>3994</v>
      </c>
      <c r="F1002" t="s">
        <v>431</v>
      </c>
      <c r="G1002" t="s">
        <v>149</v>
      </c>
      <c r="H1002" t="s">
        <v>150</v>
      </c>
      <c r="I1002" t="s">
        <v>88</v>
      </c>
      <c r="J1002" t="s">
        <v>151</v>
      </c>
      <c r="K1002" t="s">
        <v>2</v>
      </c>
      <c r="L1002" t="s">
        <v>4485</v>
      </c>
      <c r="M1002" t="s">
        <v>4486</v>
      </c>
      <c r="N1002" t="s">
        <v>3996</v>
      </c>
      <c r="O1002" t="s">
        <v>59</v>
      </c>
      <c r="P1002" t="s">
        <v>4487</v>
      </c>
      <c r="Q1002" s="14" t="s">
        <v>137</v>
      </c>
      <c r="R1002" t="s">
        <v>4472</v>
      </c>
      <c r="S1002">
        <v>0.5</v>
      </c>
      <c r="T1002">
        <v>4219</v>
      </c>
      <c r="U1002">
        <v>0</v>
      </c>
      <c r="V1002">
        <v>4219</v>
      </c>
    </row>
    <row r="1003" spans="1:22" x14ac:dyDescent="0.25">
      <c r="A1003">
        <v>186607</v>
      </c>
      <c r="B1003">
        <v>130635100</v>
      </c>
      <c r="C1003" t="s">
        <v>4488</v>
      </c>
      <c r="D1003">
        <v>248922824</v>
      </c>
      <c r="E1003" t="s">
        <v>3994</v>
      </c>
      <c r="F1003" t="s">
        <v>431</v>
      </c>
      <c r="G1003" t="s">
        <v>149</v>
      </c>
      <c r="H1003" t="s">
        <v>150</v>
      </c>
      <c r="I1003" t="s">
        <v>88</v>
      </c>
      <c r="J1003" t="s">
        <v>151</v>
      </c>
      <c r="K1003" t="s">
        <v>2</v>
      </c>
      <c r="L1003" t="s">
        <v>4489</v>
      </c>
      <c r="M1003" t="s">
        <v>4490</v>
      </c>
      <c r="N1003" t="s">
        <v>3996</v>
      </c>
      <c r="O1003" t="s">
        <v>59</v>
      </c>
      <c r="P1003" t="s">
        <v>4491</v>
      </c>
      <c r="Q1003" s="14" t="s">
        <v>137</v>
      </c>
      <c r="R1003" t="s">
        <v>4472</v>
      </c>
      <c r="S1003">
        <v>0.5</v>
      </c>
      <c r="T1003">
        <v>4219</v>
      </c>
      <c r="U1003">
        <v>0</v>
      </c>
      <c r="V1003">
        <v>4219</v>
      </c>
    </row>
    <row r="1004" spans="1:22" x14ac:dyDescent="0.25">
      <c r="A1004">
        <v>186607</v>
      </c>
      <c r="B1004">
        <v>130644956</v>
      </c>
      <c r="C1004" t="s">
        <v>4492</v>
      </c>
      <c r="D1004">
        <v>248922818</v>
      </c>
      <c r="E1004" t="s">
        <v>3994</v>
      </c>
      <c r="F1004" t="s">
        <v>431</v>
      </c>
      <c r="G1004" t="s">
        <v>149</v>
      </c>
      <c r="H1004" t="s">
        <v>150</v>
      </c>
      <c r="I1004" t="s">
        <v>88</v>
      </c>
      <c r="J1004" t="s">
        <v>151</v>
      </c>
      <c r="K1004" t="s">
        <v>2</v>
      </c>
      <c r="L1004" t="s">
        <v>4493</v>
      </c>
      <c r="M1004" t="s">
        <v>4494</v>
      </c>
      <c r="N1004" t="s">
        <v>3996</v>
      </c>
      <c r="O1004" t="s">
        <v>59</v>
      </c>
      <c r="P1004" t="s">
        <v>4495</v>
      </c>
      <c r="Q1004" s="14" t="s">
        <v>137</v>
      </c>
      <c r="R1004" t="s">
        <v>4496</v>
      </c>
      <c r="S1004">
        <v>0.5</v>
      </c>
      <c r="T1004">
        <v>4219</v>
      </c>
      <c r="U1004">
        <v>0</v>
      </c>
      <c r="V1004">
        <v>4219</v>
      </c>
    </row>
    <row r="1005" spans="1:22" x14ac:dyDescent="0.25">
      <c r="A1005">
        <v>186607</v>
      </c>
      <c r="B1005">
        <v>130635101</v>
      </c>
      <c r="C1005" t="s">
        <v>4497</v>
      </c>
      <c r="D1005">
        <v>248922819</v>
      </c>
      <c r="E1005" t="s">
        <v>3994</v>
      </c>
      <c r="F1005" t="s">
        <v>431</v>
      </c>
      <c r="G1005" t="s">
        <v>149</v>
      </c>
      <c r="H1005" t="s">
        <v>150</v>
      </c>
      <c r="I1005" t="s">
        <v>88</v>
      </c>
      <c r="J1005" t="s">
        <v>151</v>
      </c>
      <c r="K1005" t="s">
        <v>2</v>
      </c>
      <c r="L1005" t="s">
        <v>4498</v>
      </c>
      <c r="M1005" t="s">
        <v>4499</v>
      </c>
      <c r="N1005" t="s">
        <v>3996</v>
      </c>
      <c r="O1005" t="s">
        <v>59</v>
      </c>
      <c r="P1005" t="s">
        <v>4500</v>
      </c>
      <c r="Q1005" s="14" t="s">
        <v>120</v>
      </c>
      <c r="R1005" t="s">
        <v>4472</v>
      </c>
      <c r="S1005">
        <v>0.5</v>
      </c>
      <c r="T1005">
        <v>5153</v>
      </c>
      <c r="U1005">
        <v>0</v>
      </c>
      <c r="V1005">
        <v>5153</v>
      </c>
    </row>
    <row r="1006" spans="1:22" x14ac:dyDescent="0.25">
      <c r="A1006">
        <v>186607</v>
      </c>
      <c r="B1006">
        <v>130312180</v>
      </c>
      <c r="C1006" t="s">
        <v>4501</v>
      </c>
      <c r="D1006" t="s">
        <v>4502</v>
      </c>
      <c r="E1006" t="s">
        <v>3994</v>
      </c>
      <c r="F1006" t="s">
        <v>431</v>
      </c>
      <c r="G1006" t="s">
        <v>39</v>
      </c>
      <c r="H1006" t="s">
        <v>153</v>
      </c>
      <c r="I1006" t="s">
        <v>88</v>
      </c>
      <c r="J1006" t="s">
        <v>154</v>
      </c>
      <c r="K1006" t="s">
        <v>2</v>
      </c>
      <c r="L1006" t="s">
        <v>155</v>
      </c>
      <c r="M1006" t="s">
        <v>4503</v>
      </c>
      <c r="N1006" t="s">
        <v>3996</v>
      </c>
      <c r="O1006" t="s">
        <v>59</v>
      </c>
      <c r="P1006" t="s">
        <v>4504</v>
      </c>
      <c r="Q1006" s="14" t="s">
        <v>328</v>
      </c>
      <c r="R1006" t="s">
        <v>4505</v>
      </c>
      <c r="S1006">
        <v>3.6</v>
      </c>
      <c r="T1006">
        <v>10496</v>
      </c>
      <c r="U1006">
        <v>0</v>
      </c>
      <c r="V1006">
        <v>10496</v>
      </c>
    </row>
    <row r="1007" spans="1:22" x14ac:dyDescent="0.25">
      <c r="A1007">
        <v>186607</v>
      </c>
      <c r="B1007">
        <v>130644958</v>
      </c>
      <c r="C1007" t="s">
        <v>4506</v>
      </c>
      <c r="D1007">
        <v>248922757</v>
      </c>
      <c r="E1007" t="s">
        <v>3994</v>
      </c>
      <c r="F1007" t="s">
        <v>431</v>
      </c>
      <c r="G1007" t="s">
        <v>149</v>
      </c>
      <c r="H1007" t="s">
        <v>150</v>
      </c>
      <c r="I1007" t="s">
        <v>88</v>
      </c>
      <c r="J1007" t="s">
        <v>151</v>
      </c>
      <c r="K1007" t="s">
        <v>2</v>
      </c>
      <c r="L1007" t="s">
        <v>4507</v>
      </c>
      <c r="M1007" t="s">
        <v>4508</v>
      </c>
      <c r="N1007" t="s">
        <v>3996</v>
      </c>
      <c r="O1007" t="s">
        <v>59</v>
      </c>
      <c r="P1007" t="s">
        <v>4509</v>
      </c>
      <c r="Q1007" s="14" t="s">
        <v>142</v>
      </c>
      <c r="R1007" t="s">
        <v>4496</v>
      </c>
      <c r="S1007">
        <v>0.5</v>
      </c>
      <c r="T1007">
        <v>4219</v>
      </c>
      <c r="U1007">
        <v>0</v>
      </c>
      <c r="V1007">
        <v>4219</v>
      </c>
    </row>
    <row r="1008" spans="1:22" x14ac:dyDescent="0.25">
      <c r="A1008">
        <v>186607</v>
      </c>
      <c r="B1008">
        <v>130528308</v>
      </c>
      <c r="C1008" t="s">
        <v>4510</v>
      </c>
      <c r="D1008">
        <v>248667811</v>
      </c>
      <c r="E1008" t="s">
        <v>3994</v>
      </c>
      <c r="F1008" t="s">
        <v>431</v>
      </c>
      <c r="G1008" t="s">
        <v>149</v>
      </c>
      <c r="H1008" t="s">
        <v>150</v>
      </c>
      <c r="I1008" t="s">
        <v>88</v>
      </c>
      <c r="J1008" t="s">
        <v>151</v>
      </c>
      <c r="K1008" t="s">
        <v>2</v>
      </c>
      <c r="L1008" t="s">
        <v>4511</v>
      </c>
      <c r="M1008" t="s">
        <v>4512</v>
      </c>
      <c r="N1008" t="s">
        <v>3996</v>
      </c>
      <c r="O1008" t="s">
        <v>59</v>
      </c>
      <c r="P1008" t="s">
        <v>4513</v>
      </c>
      <c r="Q1008" s="14" t="s">
        <v>159</v>
      </c>
      <c r="R1008" t="s">
        <v>2511</v>
      </c>
      <c r="S1008">
        <v>1</v>
      </c>
      <c r="T1008">
        <v>6132</v>
      </c>
      <c r="U1008">
        <v>0</v>
      </c>
      <c r="V1008">
        <v>6132</v>
      </c>
    </row>
    <row r="1009" spans="1:22" x14ac:dyDescent="0.25">
      <c r="A1009">
        <v>186607</v>
      </c>
      <c r="B1009">
        <v>130613814</v>
      </c>
      <c r="C1009" t="s">
        <v>4514</v>
      </c>
      <c r="D1009">
        <v>248847332</v>
      </c>
      <c r="E1009" t="s">
        <v>3994</v>
      </c>
      <c r="F1009" t="s">
        <v>431</v>
      </c>
      <c r="G1009" t="s">
        <v>149</v>
      </c>
      <c r="H1009" t="s">
        <v>150</v>
      </c>
      <c r="I1009" t="s">
        <v>88</v>
      </c>
      <c r="J1009" t="s">
        <v>151</v>
      </c>
      <c r="K1009" t="s">
        <v>2</v>
      </c>
      <c r="L1009" t="s">
        <v>4515</v>
      </c>
      <c r="M1009" t="s">
        <v>4516</v>
      </c>
      <c r="N1009" t="s">
        <v>3996</v>
      </c>
      <c r="O1009" t="s">
        <v>59</v>
      </c>
      <c r="P1009" t="s">
        <v>4517</v>
      </c>
      <c r="Q1009" s="14" t="s">
        <v>140</v>
      </c>
      <c r="R1009" t="s">
        <v>4518</v>
      </c>
      <c r="S1009">
        <v>0.5</v>
      </c>
      <c r="T1009">
        <v>4669</v>
      </c>
      <c r="U1009">
        <v>0</v>
      </c>
      <c r="V1009">
        <v>4669</v>
      </c>
    </row>
    <row r="1010" spans="1:22" x14ac:dyDescent="0.25">
      <c r="A1010">
        <v>186607</v>
      </c>
      <c r="B1010">
        <v>130601607</v>
      </c>
      <c r="C1010" t="s">
        <v>4519</v>
      </c>
      <c r="D1010">
        <v>248847365</v>
      </c>
      <c r="E1010" t="s">
        <v>3994</v>
      </c>
      <c r="F1010" t="s">
        <v>431</v>
      </c>
      <c r="G1010" t="s">
        <v>149</v>
      </c>
      <c r="H1010" t="s">
        <v>150</v>
      </c>
      <c r="I1010" t="s">
        <v>88</v>
      </c>
      <c r="J1010" t="s">
        <v>151</v>
      </c>
      <c r="K1010" t="s">
        <v>2</v>
      </c>
      <c r="L1010" t="s">
        <v>4520</v>
      </c>
      <c r="M1010" t="s">
        <v>4521</v>
      </c>
      <c r="N1010" t="s">
        <v>3996</v>
      </c>
      <c r="O1010" t="s">
        <v>59</v>
      </c>
      <c r="P1010" t="s">
        <v>4522</v>
      </c>
      <c r="Q1010" s="14" t="s">
        <v>40</v>
      </c>
      <c r="R1010" t="s">
        <v>234</v>
      </c>
      <c r="S1010">
        <v>3.02</v>
      </c>
      <c r="T1010">
        <v>5468</v>
      </c>
      <c r="U1010">
        <v>0</v>
      </c>
      <c r="V1010">
        <v>5468</v>
      </c>
    </row>
    <row r="1011" spans="1:22" x14ac:dyDescent="0.25">
      <c r="A1011">
        <v>186607</v>
      </c>
      <c r="B1011">
        <v>130613817</v>
      </c>
      <c r="C1011" t="s">
        <v>4523</v>
      </c>
      <c r="D1011">
        <v>248847328</v>
      </c>
      <c r="E1011" t="s">
        <v>3994</v>
      </c>
      <c r="F1011" t="s">
        <v>431</v>
      </c>
      <c r="G1011" t="s">
        <v>149</v>
      </c>
      <c r="H1011" t="s">
        <v>150</v>
      </c>
      <c r="I1011" t="s">
        <v>88</v>
      </c>
      <c r="J1011" t="s">
        <v>151</v>
      </c>
      <c r="K1011" t="s">
        <v>2</v>
      </c>
      <c r="L1011" t="s">
        <v>4524</v>
      </c>
      <c r="M1011" t="s">
        <v>289</v>
      </c>
      <c r="N1011" t="s">
        <v>3996</v>
      </c>
      <c r="O1011" t="s">
        <v>59</v>
      </c>
      <c r="P1011" t="s">
        <v>4525</v>
      </c>
      <c r="Q1011" s="14" t="s">
        <v>38</v>
      </c>
      <c r="R1011" t="s">
        <v>4518</v>
      </c>
      <c r="S1011">
        <v>0.5</v>
      </c>
      <c r="T1011">
        <v>4669</v>
      </c>
      <c r="U1011">
        <v>0</v>
      </c>
      <c r="V1011">
        <v>4669</v>
      </c>
    </row>
    <row r="1012" spans="1:22" x14ac:dyDescent="0.25">
      <c r="A1012">
        <v>186607</v>
      </c>
      <c r="B1012">
        <v>130613819</v>
      </c>
      <c r="C1012" t="s">
        <v>4526</v>
      </c>
      <c r="D1012">
        <v>248847321</v>
      </c>
      <c r="E1012" t="s">
        <v>3994</v>
      </c>
      <c r="F1012" t="s">
        <v>431</v>
      </c>
      <c r="G1012" t="s">
        <v>149</v>
      </c>
      <c r="H1012" t="s">
        <v>150</v>
      </c>
      <c r="I1012" t="s">
        <v>88</v>
      </c>
      <c r="J1012" t="s">
        <v>151</v>
      </c>
      <c r="K1012" t="s">
        <v>2</v>
      </c>
      <c r="L1012" t="s">
        <v>4527</v>
      </c>
      <c r="M1012" t="s">
        <v>4528</v>
      </c>
      <c r="N1012" t="s">
        <v>3996</v>
      </c>
      <c r="O1012" t="s">
        <v>59</v>
      </c>
      <c r="P1012" t="s">
        <v>4529</v>
      </c>
      <c r="Q1012" s="14" t="s">
        <v>124</v>
      </c>
      <c r="R1012" t="s">
        <v>4518</v>
      </c>
      <c r="S1012">
        <v>1.7</v>
      </c>
      <c r="T1012">
        <v>4467</v>
      </c>
      <c r="U1012">
        <v>0</v>
      </c>
      <c r="V1012">
        <v>4467</v>
      </c>
    </row>
    <row r="1013" spans="1:22" x14ac:dyDescent="0.25">
      <c r="A1013">
        <v>186607</v>
      </c>
      <c r="B1013">
        <v>130528276</v>
      </c>
      <c r="C1013" t="s">
        <v>4530</v>
      </c>
      <c r="D1013">
        <v>248667859</v>
      </c>
      <c r="E1013" t="s">
        <v>3994</v>
      </c>
      <c r="F1013" t="s">
        <v>431</v>
      </c>
      <c r="G1013" t="s">
        <v>149</v>
      </c>
      <c r="H1013" t="s">
        <v>150</v>
      </c>
      <c r="I1013" t="s">
        <v>88</v>
      </c>
      <c r="J1013" t="s">
        <v>151</v>
      </c>
      <c r="K1013" t="s">
        <v>2</v>
      </c>
      <c r="L1013" t="s">
        <v>4531</v>
      </c>
      <c r="M1013" t="s">
        <v>4532</v>
      </c>
      <c r="N1013" t="s">
        <v>3996</v>
      </c>
      <c r="O1013" t="s">
        <v>59</v>
      </c>
      <c r="P1013" t="s">
        <v>4533</v>
      </c>
      <c r="Q1013" s="14" t="s">
        <v>148</v>
      </c>
      <c r="R1013" t="s">
        <v>2511</v>
      </c>
      <c r="S1013">
        <v>0.5</v>
      </c>
      <c r="T1013">
        <v>6899</v>
      </c>
      <c r="U1013">
        <v>0</v>
      </c>
      <c r="V1013">
        <v>6899</v>
      </c>
    </row>
    <row r="1014" spans="1:22" x14ac:dyDescent="0.25">
      <c r="A1014">
        <v>186607</v>
      </c>
      <c r="B1014">
        <v>130528346</v>
      </c>
      <c r="C1014" t="s">
        <v>4534</v>
      </c>
      <c r="D1014">
        <v>248667782</v>
      </c>
      <c r="E1014" t="s">
        <v>3994</v>
      </c>
      <c r="F1014" t="s">
        <v>431</v>
      </c>
      <c r="G1014" t="s">
        <v>149</v>
      </c>
      <c r="H1014" t="s">
        <v>150</v>
      </c>
      <c r="I1014" t="s">
        <v>88</v>
      </c>
      <c r="J1014" t="s">
        <v>151</v>
      </c>
      <c r="K1014" t="s">
        <v>2</v>
      </c>
      <c r="L1014" t="s">
        <v>4535</v>
      </c>
      <c r="M1014" t="s">
        <v>4536</v>
      </c>
      <c r="N1014" t="s">
        <v>3996</v>
      </c>
      <c r="O1014" t="s">
        <v>59</v>
      </c>
      <c r="P1014" t="s">
        <v>4537</v>
      </c>
      <c r="Q1014" s="14" t="s">
        <v>128</v>
      </c>
      <c r="R1014" t="s">
        <v>2511</v>
      </c>
      <c r="S1014">
        <v>1</v>
      </c>
      <c r="T1014">
        <v>7864</v>
      </c>
      <c r="U1014">
        <v>0</v>
      </c>
      <c r="V1014">
        <v>7864</v>
      </c>
    </row>
    <row r="1015" spans="1:22" x14ac:dyDescent="0.25">
      <c r="A1015">
        <v>186607</v>
      </c>
      <c r="B1015">
        <v>130528358</v>
      </c>
      <c r="C1015" t="s">
        <v>4538</v>
      </c>
      <c r="D1015">
        <v>248667779</v>
      </c>
      <c r="E1015" t="s">
        <v>3994</v>
      </c>
      <c r="F1015" t="s">
        <v>431</v>
      </c>
      <c r="G1015" t="s">
        <v>149</v>
      </c>
      <c r="H1015" t="s">
        <v>150</v>
      </c>
      <c r="I1015" t="s">
        <v>88</v>
      </c>
      <c r="J1015" t="s">
        <v>151</v>
      </c>
      <c r="K1015" t="s">
        <v>2</v>
      </c>
      <c r="L1015" t="s">
        <v>4539</v>
      </c>
      <c r="M1015" t="s">
        <v>4540</v>
      </c>
      <c r="N1015" t="s">
        <v>3996</v>
      </c>
      <c r="O1015" t="s">
        <v>59</v>
      </c>
      <c r="P1015" t="s">
        <v>4541</v>
      </c>
      <c r="Q1015" s="14" t="s">
        <v>120</v>
      </c>
      <c r="R1015" t="s">
        <v>2511</v>
      </c>
      <c r="S1015">
        <v>1</v>
      </c>
      <c r="T1015">
        <v>5153</v>
      </c>
      <c r="U1015">
        <v>0</v>
      </c>
      <c r="V1015">
        <v>5153</v>
      </c>
    </row>
    <row r="1016" spans="1:22" x14ac:dyDescent="0.25">
      <c r="A1016">
        <v>186607</v>
      </c>
      <c r="B1016">
        <v>130576172</v>
      </c>
      <c r="C1016" t="s">
        <v>4542</v>
      </c>
      <c r="D1016">
        <v>248761801</v>
      </c>
      <c r="E1016" t="s">
        <v>3994</v>
      </c>
      <c r="F1016" t="s">
        <v>431</v>
      </c>
      <c r="G1016" t="s">
        <v>149</v>
      </c>
      <c r="H1016" t="s">
        <v>150</v>
      </c>
      <c r="I1016" t="s">
        <v>88</v>
      </c>
      <c r="J1016" t="s">
        <v>151</v>
      </c>
      <c r="K1016" t="s">
        <v>2</v>
      </c>
      <c r="L1016" t="s">
        <v>4543</v>
      </c>
      <c r="M1016" t="s">
        <v>85</v>
      </c>
      <c r="N1016" t="s">
        <v>3996</v>
      </c>
      <c r="O1016" t="s">
        <v>59</v>
      </c>
      <c r="P1016" t="s">
        <v>4544</v>
      </c>
      <c r="Q1016" s="14" t="s">
        <v>107</v>
      </c>
      <c r="R1016" t="s">
        <v>4545</v>
      </c>
      <c r="S1016">
        <v>0.5</v>
      </c>
      <c r="T1016">
        <v>6132</v>
      </c>
      <c r="U1016">
        <v>0</v>
      </c>
      <c r="V1016">
        <v>6132</v>
      </c>
    </row>
    <row r="1017" spans="1:22" x14ac:dyDescent="0.25">
      <c r="A1017">
        <v>186607</v>
      </c>
      <c r="B1017">
        <v>130576183</v>
      </c>
      <c r="C1017" t="s">
        <v>4546</v>
      </c>
      <c r="D1017">
        <v>248761757</v>
      </c>
      <c r="E1017" t="s">
        <v>3994</v>
      </c>
      <c r="F1017" t="s">
        <v>431</v>
      </c>
      <c r="G1017" t="s">
        <v>149</v>
      </c>
      <c r="H1017" t="s">
        <v>150</v>
      </c>
      <c r="I1017" t="s">
        <v>88</v>
      </c>
      <c r="J1017" t="s">
        <v>151</v>
      </c>
      <c r="K1017" t="s">
        <v>2</v>
      </c>
      <c r="L1017" t="s">
        <v>4547</v>
      </c>
      <c r="M1017" t="s">
        <v>4548</v>
      </c>
      <c r="N1017" t="s">
        <v>3996</v>
      </c>
      <c r="O1017" t="s">
        <v>59</v>
      </c>
      <c r="P1017" t="s">
        <v>4549</v>
      </c>
      <c r="Q1017" s="14" t="s">
        <v>111</v>
      </c>
      <c r="R1017" t="s">
        <v>4545</v>
      </c>
      <c r="S1017">
        <v>0.5</v>
      </c>
      <c r="T1017">
        <v>5817</v>
      </c>
      <c r="U1017">
        <v>0</v>
      </c>
      <c r="V1017">
        <v>5817</v>
      </c>
    </row>
    <row r="1018" spans="1:22" x14ac:dyDescent="0.25">
      <c r="A1018">
        <v>186607</v>
      </c>
      <c r="B1018">
        <v>130576180</v>
      </c>
      <c r="C1018" t="s">
        <v>4550</v>
      </c>
      <c r="D1018">
        <v>248761783</v>
      </c>
      <c r="E1018" t="s">
        <v>3994</v>
      </c>
      <c r="F1018" t="s">
        <v>431</v>
      </c>
      <c r="G1018" t="s">
        <v>149</v>
      </c>
      <c r="H1018" t="s">
        <v>150</v>
      </c>
      <c r="I1018" t="s">
        <v>88</v>
      </c>
      <c r="J1018" t="s">
        <v>151</v>
      </c>
      <c r="K1018" t="s">
        <v>2</v>
      </c>
      <c r="L1018" t="s">
        <v>4551</v>
      </c>
      <c r="M1018" t="s">
        <v>4552</v>
      </c>
      <c r="N1018" t="s">
        <v>3996</v>
      </c>
      <c r="O1018" t="s">
        <v>59</v>
      </c>
      <c r="P1018" t="s">
        <v>4553</v>
      </c>
      <c r="Q1018" s="14" t="s">
        <v>122</v>
      </c>
      <c r="R1018" t="s">
        <v>4545</v>
      </c>
      <c r="S1018">
        <v>0.5</v>
      </c>
      <c r="T1018">
        <v>4973</v>
      </c>
      <c r="U1018">
        <v>0</v>
      </c>
      <c r="V1018">
        <v>4973</v>
      </c>
    </row>
    <row r="1019" spans="1:22" x14ac:dyDescent="0.25">
      <c r="A1019">
        <v>186607</v>
      </c>
      <c r="B1019">
        <v>130576178</v>
      </c>
      <c r="C1019" t="s">
        <v>4554</v>
      </c>
      <c r="D1019">
        <v>248761789</v>
      </c>
      <c r="E1019" t="s">
        <v>3994</v>
      </c>
      <c r="F1019" t="s">
        <v>431</v>
      </c>
      <c r="G1019" t="s">
        <v>149</v>
      </c>
      <c r="H1019" t="s">
        <v>150</v>
      </c>
      <c r="I1019" t="s">
        <v>88</v>
      </c>
      <c r="J1019" t="s">
        <v>151</v>
      </c>
      <c r="K1019" t="s">
        <v>2</v>
      </c>
      <c r="L1019" t="s">
        <v>4555</v>
      </c>
      <c r="M1019" t="s">
        <v>4556</v>
      </c>
      <c r="N1019" t="s">
        <v>3996</v>
      </c>
      <c r="O1019" t="s">
        <v>59</v>
      </c>
      <c r="P1019" t="s">
        <v>4557</v>
      </c>
      <c r="Q1019" s="14" t="s">
        <v>142</v>
      </c>
      <c r="R1019" t="s">
        <v>4545</v>
      </c>
      <c r="S1019">
        <v>0.5</v>
      </c>
      <c r="T1019">
        <v>4219</v>
      </c>
      <c r="U1019">
        <v>0</v>
      </c>
      <c r="V1019">
        <v>4219</v>
      </c>
    </row>
    <row r="1020" spans="1:22" x14ac:dyDescent="0.25">
      <c r="A1020">
        <v>186607</v>
      </c>
      <c r="B1020">
        <v>130528294</v>
      </c>
      <c r="C1020" t="s">
        <v>4558</v>
      </c>
      <c r="D1020">
        <v>248667818</v>
      </c>
      <c r="E1020" t="s">
        <v>3994</v>
      </c>
      <c r="F1020" t="s">
        <v>431</v>
      </c>
      <c r="G1020" t="s">
        <v>149</v>
      </c>
      <c r="H1020" t="s">
        <v>150</v>
      </c>
      <c r="I1020" t="s">
        <v>88</v>
      </c>
      <c r="J1020" t="s">
        <v>151</v>
      </c>
      <c r="K1020" t="s">
        <v>2</v>
      </c>
      <c r="L1020" t="s">
        <v>4559</v>
      </c>
      <c r="M1020" t="s">
        <v>4560</v>
      </c>
      <c r="N1020" t="s">
        <v>3996</v>
      </c>
      <c r="O1020" t="s">
        <v>59</v>
      </c>
      <c r="P1020" t="s">
        <v>4561</v>
      </c>
      <c r="Q1020" s="14" t="s">
        <v>146</v>
      </c>
      <c r="R1020" t="s">
        <v>2511</v>
      </c>
      <c r="S1020">
        <v>0.5</v>
      </c>
      <c r="T1020">
        <v>5442</v>
      </c>
      <c r="U1020">
        <v>0</v>
      </c>
      <c r="V1020">
        <v>5442</v>
      </c>
    </row>
    <row r="1021" spans="1:22" x14ac:dyDescent="0.25">
      <c r="A1021">
        <v>186607</v>
      </c>
      <c r="B1021">
        <v>130528334</v>
      </c>
      <c r="C1021" t="s">
        <v>4562</v>
      </c>
      <c r="D1021">
        <v>248667788</v>
      </c>
      <c r="E1021" t="s">
        <v>3994</v>
      </c>
      <c r="F1021" t="s">
        <v>431</v>
      </c>
      <c r="G1021" t="s">
        <v>149</v>
      </c>
      <c r="H1021" t="s">
        <v>150</v>
      </c>
      <c r="I1021" t="s">
        <v>88</v>
      </c>
      <c r="J1021" t="s">
        <v>151</v>
      </c>
      <c r="K1021" t="s">
        <v>2</v>
      </c>
      <c r="L1021" t="s">
        <v>4563</v>
      </c>
      <c r="M1021" t="s">
        <v>4564</v>
      </c>
      <c r="N1021" t="s">
        <v>3996</v>
      </c>
      <c r="O1021" t="s">
        <v>59</v>
      </c>
      <c r="P1021" t="s">
        <v>4565</v>
      </c>
      <c r="Q1021" s="14" t="s">
        <v>109</v>
      </c>
      <c r="R1021" t="s">
        <v>2511</v>
      </c>
      <c r="S1021">
        <v>0.5</v>
      </c>
      <c r="T1021">
        <v>4669</v>
      </c>
      <c r="U1021">
        <v>0</v>
      </c>
      <c r="V1021">
        <v>4669</v>
      </c>
    </row>
    <row r="1022" spans="1:22" x14ac:dyDescent="0.25">
      <c r="A1022">
        <v>186607</v>
      </c>
      <c r="B1022">
        <v>130528286</v>
      </c>
      <c r="C1022" t="s">
        <v>4566</v>
      </c>
      <c r="D1022">
        <v>248667826</v>
      </c>
      <c r="E1022" t="s">
        <v>3994</v>
      </c>
      <c r="F1022" t="s">
        <v>431</v>
      </c>
      <c r="G1022" t="s">
        <v>149</v>
      </c>
      <c r="H1022" t="s">
        <v>150</v>
      </c>
      <c r="I1022" t="s">
        <v>88</v>
      </c>
      <c r="J1022" t="s">
        <v>151</v>
      </c>
      <c r="K1022" t="s">
        <v>2</v>
      </c>
      <c r="L1022" t="s">
        <v>4567</v>
      </c>
      <c r="M1022" t="s">
        <v>4568</v>
      </c>
      <c r="N1022" t="s">
        <v>3996</v>
      </c>
      <c r="O1022" t="s">
        <v>59</v>
      </c>
      <c r="P1022" t="s">
        <v>4569</v>
      </c>
      <c r="Q1022" s="14" t="s">
        <v>119</v>
      </c>
      <c r="R1022" t="s">
        <v>2511</v>
      </c>
      <c r="S1022">
        <v>1</v>
      </c>
      <c r="T1022">
        <v>5749</v>
      </c>
      <c r="U1022">
        <v>0</v>
      </c>
      <c r="V1022">
        <v>5749</v>
      </c>
    </row>
    <row r="1023" spans="1:22" x14ac:dyDescent="0.25">
      <c r="A1023">
        <v>186607</v>
      </c>
      <c r="B1023">
        <v>130528291</v>
      </c>
      <c r="C1023" t="s">
        <v>4570</v>
      </c>
      <c r="D1023">
        <v>248667822</v>
      </c>
      <c r="E1023" t="s">
        <v>3994</v>
      </c>
      <c r="F1023" t="s">
        <v>431</v>
      </c>
      <c r="G1023" t="s">
        <v>149</v>
      </c>
      <c r="H1023" t="s">
        <v>150</v>
      </c>
      <c r="I1023" t="s">
        <v>88</v>
      </c>
      <c r="J1023" t="s">
        <v>151</v>
      </c>
      <c r="K1023" t="s">
        <v>2</v>
      </c>
      <c r="L1023" t="s">
        <v>4571</v>
      </c>
      <c r="M1023" t="s">
        <v>4572</v>
      </c>
      <c r="N1023" t="s">
        <v>3996</v>
      </c>
      <c r="O1023" t="s">
        <v>59</v>
      </c>
      <c r="P1023" t="s">
        <v>4573</v>
      </c>
      <c r="Q1023" s="14" t="s">
        <v>322</v>
      </c>
      <c r="R1023" t="s">
        <v>2511</v>
      </c>
      <c r="S1023">
        <v>0.5</v>
      </c>
      <c r="T1023">
        <v>5153</v>
      </c>
      <c r="U1023">
        <v>0</v>
      </c>
      <c r="V1023">
        <v>5153</v>
      </c>
    </row>
    <row r="1024" spans="1:22" x14ac:dyDescent="0.25">
      <c r="A1024">
        <v>186607</v>
      </c>
      <c r="B1024">
        <v>130576170</v>
      </c>
      <c r="C1024" t="s">
        <v>4574</v>
      </c>
      <c r="D1024">
        <v>248761809</v>
      </c>
      <c r="E1024" t="s">
        <v>3994</v>
      </c>
      <c r="F1024" t="s">
        <v>431</v>
      </c>
      <c r="G1024" t="s">
        <v>149</v>
      </c>
      <c r="H1024" t="s">
        <v>150</v>
      </c>
      <c r="I1024" t="s">
        <v>88</v>
      </c>
      <c r="J1024" t="s">
        <v>151</v>
      </c>
      <c r="K1024" t="s">
        <v>2</v>
      </c>
      <c r="L1024" t="s">
        <v>4575</v>
      </c>
      <c r="M1024" t="s">
        <v>4576</v>
      </c>
      <c r="N1024" t="s">
        <v>3996</v>
      </c>
      <c r="O1024" t="s">
        <v>59</v>
      </c>
      <c r="P1024" t="s">
        <v>4577</v>
      </c>
      <c r="Q1024" s="14" t="s">
        <v>38</v>
      </c>
      <c r="R1024" t="s">
        <v>4545</v>
      </c>
      <c r="S1024">
        <v>0.5</v>
      </c>
      <c r="T1024">
        <v>4669</v>
      </c>
      <c r="U1024">
        <v>0</v>
      </c>
      <c r="V1024">
        <v>4669</v>
      </c>
    </row>
    <row r="1025" spans="1:22" x14ac:dyDescent="0.25">
      <c r="A1025">
        <v>186607</v>
      </c>
      <c r="B1025">
        <v>130576184</v>
      </c>
      <c r="C1025" t="s">
        <v>4578</v>
      </c>
      <c r="D1025">
        <v>248761737</v>
      </c>
      <c r="E1025" t="s">
        <v>3994</v>
      </c>
      <c r="F1025" t="s">
        <v>431</v>
      </c>
      <c r="G1025" t="s">
        <v>149</v>
      </c>
      <c r="H1025" t="s">
        <v>150</v>
      </c>
      <c r="I1025" t="s">
        <v>88</v>
      </c>
      <c r="J1025" t="s">
        <v>151</v>
      </c>
      <c r="K1025" t="s">
        <v>2</v>
      </c>
      <c r="L1025" t="s">
        <v>4579</v>
      </c>
      <c r="M1025" t="s">
        <v>286</v>
      </c>
      <c r="N1025" t="s">
        <v>3996</v>
      </c>
      <c r="O1025" t="s">
        <v>59</v>
      </c>
      <c r="P1025" t="s">
        <v>4580</v>
      </c>
      <c r="Q1025" s="14" t="s">
        <v>122</v>
      </c>
      <c r="R1025" t="s">
        <v>4545</v>
      </c>
      <c r="S1025">
        <v>0.5</v>
      </c>
      <c r="T1025">
        <v>4973</v>
      </c>
      <c r="U1025">
        <v>0</v>
      </c>
      <c r="V1025">
        <v>4973</v>
      </c>
    </row>
    <row r="1026" spans="1:22" x14ac:dyDescent="0.25">
      <c r="A1026">
        <v>186607</v>
      </c>
      <c r="B1026">
        <v>130528360</v>
      </c>
      <c r="C1026" t="s">
        <v>4581</v>
      </c>
      <c r="D1026">
        <v>248667756</v>
      </c>
      <c r="E1026" t="s">
        <v>3994</v>
      </c>
      <c r="F1026" t="s">
        <v>431</v>
      </c>
      <c r="G1026" t="s">
        <v>149</v>
      </c>
      <c r="H1026" t="s">
        <v>150</v>
      </c>
      <c r="I1026" t="s">
        <v>88</v>
      </c>
      <c r="J1026" t="s">
        <v>151</v>
      </c>
      <c r="K1026" t="s">
        <v>2</v>
      </c>
      <c r="L1026" t="s">
        <v>4582</v>
      </c>
      <c r="M1026" t="s">
        <v>4583</v>
      </c>
      <c r="N1026" t="s">
        <v>3996</v>
      </c>
      <c r="O1026" t="s">
        <v>59</v>
      </c>
      <c r="P1026" t="s">
        <v>4584</v>
      </c>
      <c r="Q1026" s="14" t="s">
        <v>158</v>
      </c>
      <c r="R1026" t="s">
        <v>2511</v>
      </c>
      <c r="S1026">
        <v>1</v>
      </c>
      <c r="T1026">
        <v>4219</v>
      </c>
      <c r="U1026">
        <v>0</v>
      </c>
      <c r="V1026">
        <v>4219</v>
      </c>
    </row>
    <row r="1027" spans="1:22" x14ac:dyDescent="0.25">
      <c r="A1027">
        <v>186607</v>
      </c>
      <c r="B1027">
        <v>130528298</v>
      </c>
      <c r="C1027" t="s">
        <v>4585</v>
      </c>
      <c r="D1027">
        <v>248667815</v>
      </c>
      <c r="E1027" t="s">
        <v>3994</v>
      </c>
      <c r="F1027" t="s">
        <v>431</v>
      </c>
      <c r="G1027" t="s">
        <v>149</v>
      </c>
      <c r="H1027" t="s">
        <v>150</v>
      </c>
      <c r="I1027" t="s">
        <v>88</v>
      </c>
      <c r="J1027" t="s">
        <v>151</v>
      </c>
      <c r="K1027" t="s">
        <v>2</v>
      </c>
      <c r="L1027" t="s">
        <v>4586</v>
      </c>
      <c r="M1027" t="s">
        <v>4587</v>
      </c>
      <c r="N1027" t="s">
        <v>3996</v>
      </c>
      <c r="O1027" t="s">
        <v>59</v>
      </c>
      <c r="P1027" t="s">
        <v>4588</v>
      </c>
      <c r="Q1027" s="14" t="s">
        <v>137</v>
      </c>
      <c r="R1027" t="s">
        <v>2511</v>
      </c>
      <c r="S1027">
        <v>0.5</v>
      </c>
      <c r="T1027">
        <v>4219</v>
      </c>
      <c r="U1027">
        <v>0</v>
      </c>
      <c r="V1027">
        <v>4219</v>
      </c>
    </row>
    <row r="1028" spans="1:22" x14ac:dyDescent="0.25">
      <c r="A1028">
        <v>186607</v>
      </c>
      <c r="B1028">
        <v>130528283</v>
      </c>
      <c r="C1028" t="s">
        <v>4589</v>
      </c>
      <c r="D1028">
        <v>248667834</v>
      </c>
      <c r="E1028" t="s">
        <v>3994</v>
      </c>
      <c r="F1028" t="s">
        <v>431</v>
      </c>
      <c r="G1028" t="s">
        <v>149</v>
      </c>
      <c r="H1028" t="s">
        <v>150</v>
      </c>
      <c r="I1028" t="s">
        <v>88</v>
      </c>
      <c r="J1028" t="s">
        <v>151</v>
      </c>
      <c r="K1028" t="s">
        <v>2</v>
      </c>
      <c r="L1028" t="s">
        <v>4590</v>
      </c>
      <c r="M1028" t="s">
        <v>4591</v>
      </c>
      <c r="N1028" t="s">
        <v>3996</v>
      </c>
      <c r="O1028" t="s">
        <v>59</v>
      </c>
      <c r="P1028" t="s">
        <v>4592</v>
      </c>
      <c r="Q1028" s="14" t="s">
        <v>40</v>
      </c>
      <c r="R1028" t="s">
        <v>2511</v>
      </c>
      <c r="S1028">
        <v>1</v>
      </c>
      <c r="T1028">
        <v>4534</v>
      </c>
      <c r="U1028">
        <v>0</v>
      </c>
      <c r="V1028">
        <v>4534</v>
      </c>
    </row>
    <row r="1029" spans="1:22" x14ac:dyDescent="0.25">
      <c r="A1029">
        <v>186607</v>
      </c>
      <c r="B1029">
        <v>130484219</v>
      </c>
      <c r="C1029" t="s">
        <v>4593</v>
      </c>
      <c r="D1029">
        <v>248667853</v>
      </c>
      <c r="E1029" t="s">
        <v>3994</v>
      </c>
      <c r="F1029" t="s">
        <v>431</v>
      </c>
      <c r="G1029" t="s">
        <v>149</v>
      </c>
      <c r="H1029" t="s">
        <v>150</v>
      </c>
      <c r="I1029" t="s">
        <v>88</v>
      </c>
      <c r="J1029" t="s">
        <v>151</v>
      </c>
      <c r="K1029" t="s">
        <v>2</v>
      </c>
      <c r="L1029" t="s">
        <v>4594</v>
      </c>
      <c r="M1029" t="s">
        <v>4595</v>
      </c>
      <c r="N1029" t="s">
        <v>3996</v>
      </c>
      <c r="O1029" t="s">
        <v>59</v>
      </c>
      <c r="P1029" t="s">
        <v>4596</v>
      </c>
      <c r="Q1029" s="14" t="s">
        <v>111</v>
      </c>
      <c r="R1029" t="s">
        <v>1139</v>
      </c>
      <c r="S1029">
        <v>0.5</v>
      </c>
      <c r="T1029">
        <v>5817</v>
      </c>
      <c r="U1029">
        <v>0</v>
      </c>
      <c r="V1029">
        <v>5817</v>
      </c>
    </row>
    <row r="1030" spans="1:22" x14ac:dyDescent="0.25">
      <c r="A1030">
        <v>186607</v>
      </c>
      <c r="B1030">
        <v>130528367</v>
      </c>
      <c r="C1030" t="s">
        <v>4597</v>
      </c>
      <c r="D1030">
        <v>248667753</v>
      </c>
      <c r="E1030" t="s">
        <v>3994</v>
      </c>
      <c r="F1030" t="s">
        <v>431</v>
      </c>
      <c r="G1030" t="s">
        <v>149</v>
      </c>
      <c r="H1030" t="s">
        <v>150</v>
      </c>
      <c r="I1030" t="s">
        <v>88</v>
      </c>
      <c r="J1030" t="s">
        <v>151</v>
      </c>
      <c r="K1030" t="s">
        <v>2</v>
      </c>
      <c r="L1030" t="s">
        <v>4598</v>
      </c>
      <c r="M1030" t="s">
        <v>4599</v>
      </c>
      <c r="N1030" t="s">
        <v>3996</v>
      </c>
      <c r="O1030" t="s">
        <v>59</v>
      </c>
      <c r="P1030" t="s">
        <v>4600</v>
      </c>
      <c r="Q1030" s="14" t="s">
        <v>137</v>
      </c>
      <c r="R1030" t="s">
        <v>2511</v>
      </c>
      <c r="S1030">
        <v>1</v>
      </c>
      <c r="T1030">
        <v>4219</v>
      </c>
      <c r="U1030">
        <v>0</v>
      </c>
      <c r="V1030">
        <v>4219</v>
      </c>
    </row>
    <row r="1031" spans="1:22" x14ac:dyDescent="0.25">
      <c r="A1031">
        <v>186607</v>
      </c>
      <c r="B1031">
        <v>130528374</v>
      </c>
      <c r="C1031" t="s">
        <v>4601</v>
      </c>
      <c r="D1031">
        <v>248667759</v>
      </c>
      <c r="E1031" t="s">
        <v>3994</v>
      </c>
      <c r="F1031" t="s">
        <v>431</v>
      </c>
      <c r="G1031" t="s">
        <v>149</v>
      </c>
      <c r="H1031" t="s">
        <v>150</v>
      </c>
      <c r="I1031" t="s">
        <v>88</v>
      </c>
      <c r="J1031" t="s">
        <v>151</v>
      </c>
      <c r="K1031" t="s">
        <v>2</v>
      </c>
      <c r="L1031" t="s">
        <v>4602</v>
      </c>
      <c r="M1031" t="s">
        <v>4603</v>
      </c>
      <c r="N1031" t="s">
        <v>3996</v>
      </c>
      <c r="O1031" t="s">
        <v>59</v>
      </c>
      <c r="P1031" t="s">
        <v>4604</v>
      </c>
      <c r="Q1031" s="14" t="s">
        <v>111</v>
      </c>
      <c r="R1031" t="s">
        <v>2511</v>
      </c>
      <c r="S1031">
        <v>0.5</v>
      </c>
      <c r="T1031">
        <v>5817</v>
      </c>
      <c r="U1031">
        <v>0</v>
      </c>
      <c r="V1031">
        <v>5817</v>
      </c>
    </row>
    <row r="1032" spans="1:22" x14ac:dyDescent="0.25">
      <c r="A1032">
        <v>186607</v>
      </c>
      <c r="B1032">
        <v>130484225</v>
      </c>
      <c r="C1032" t="s">
        <v>4605</v>
      </c>
      <c r="D1032">
        <v>248667875</v>
      </c>
      <c r="E1032" t="s">
        <v>3994</v>
      </c>
      <c r="F1032" t="s">
        <v>431</v>
      </c>
      <c r="G1032" t="s">
        <v>149</v>
      </c>
      <c r="H1032" t="s">
        <v>150</v>
      </c>
      <c r="I1032" t="s">
        <v>88</v>
      </c>
      <c r="J1032" t="s">
        <v>151</v>
      </c>
      <c r="K1032" t="s">
        <v>2</v>
      </c>
      <c r="L1032" t="s">
        <v>4606</v>
      </c>
      <c r="M1032" t="s">
        <v>4607</v>
      </c>
      <c r="N1032" t="s">
        <v>3996</v>
      </c>
      <c r="O1032" t="s">
        <v>59</v>
      </c>
      <c r="P1032" t="s">
        <v>4608</v>
      </c>
      <c r="Q1032" s="14" t="s">
        <v>321</v>
      </c>
      <c r="R1032" t="s">
        <v>4609</v>
      </c>
      <c r="S1032">
        <v>0.5</v>
      </c>
      <c r="T1032">
        <v>5063</v>
      </c>
      <c r="U1032">
        <v>0</v>
      </c>
      <c r="V1032">
        <v>5063</v>
      </c>
    </row>
    <row r="1033" spans="1:22" x14ac:dyDescent="0.25">
      <c r="A1033">
        <v>186607</v>
      </c>
      <c r="B1033">
        <v>130528387</v>
      </c>
      <c r="C1033" t="s">
        <v>4610</v>
      </c>
      <c r="D1033">
        <v>248667747</v>
      </c>
      <c r="E1033" t="s">
        <v>3994</v>
      </c>
      <c r="F1033" t="s">
        <v>431</v>
      </c>
      <c r="G1033" t="s">
        <v>149</v>
      </c>
      <c r="H1033" t="s">
        <v>150</v>
      </c>
      <c r="I1033" t="s">
        <v>88</v>
      </c>
      <c r="J1033" t="s">
        <v>151</v>
      </c>
      <c r="K1033" t="s">
        <v>2</v>
      </c>
      <c r="L1033" t="s">
        <v>4611</v>
      </c>
      <c r="M1033" t="s">
        <v>4612</v>
      </c>
      <c r="N1033" t="s">
        <v>3996</v>
      </c>
      <c r="O1033" t="s">
        <v>59</v>
      </c>
      <c r="P1033" t="s">
        <v>4613</v>
      </c>
      <c r="Q1033" s="14" t="s">
        <v>38</v>
      </c>
      <c r="R1033" t="s">
        <v>2511</v>
      </c>
      <c r="S1033">
        <v>0.5</v>
      </c>
      <c r="T1033">
        <v>4669</v>
      </c>
      <c r="U1033">
        <v>0</v>
      </c>
      <c r="V1033">
        <v>4669</v>
      </c>
    </row>
    <row r="1034" spans="1:22" x14ac:dyDescent="0.25">
      <c r="A1034">
        <v>186607</v>
      </c>
      <c r="B1034">
        <v>130455914</v>
      </c>
      <c r="C1034" t="s">
        <v>4614</v>
      </c>
      <c r="D1034">
        <v>248495350</v>
      </c>
      <c r="E1034" t="s">
        <v>3994</v>
      </c>
      <c r="F1034" t="s">
        <v>431</v>
      </c>
      <c r="G1034" t="s">
        <v>149</v>
      </c>
      <c r="H1034" t="s">
        <v>150</v>
      </c>
      <c r="I1034" t="s">
        <v>88</v>
      </c>
      <c r="J1034" t="s">
        <v>151</v>
      </c>
      <c r="K1034" t="s">
        <v>2</v>
      </c>
      <c r="L1034" t="s">
        <v>4615</v>
      </c>
      <c r="M1034" t="s">
        <v>4616</v>
      </c>
      <c r="N1034" t="s">
        <v>3996</v>
      </c>
      <c r="O1034" t="s">
        <v>59</v>
      </c>
      <c r="P1034" t="s">
        <v>4617</v>
      </c>
      <c r="Q1034" s="14" t="s">
        <v>129</v>
      </c>
      <c r="R1034" t="s">
        <v>411</v>
      </c>
      <c r="S1034">
        <v>0.5</v>
      </c>
      <c r="T1034">
        <v>7212</v>
      </c>
      <c r="U1034">
        <v>0</v>
      </c>
      <c r="V1034">
        <v>7212</v>
      </c>
    </row>
    <row r="1035" spans="1:22" x14ac:dyDescent="0.25">
      <c r="A1035">
        <v>186607</v>
      </c>
      <c r="B1035">
        <v>130464673</v>
      </c>
      <c r="C1035" t="s">
        <v>4618</v>
      </c>
      <c r="D1035">
        <v>248495344</v>
      </c>
      <c r="E1035" t="s">
        <v>3994</v>
      </c>
      <c r="F1035" t="s">
        <v>431</v>
      </c>
      <c r="G1035" t="s">
        <v>149</v>
      </c>
      <c r="H1035" t="s">
        <v>150</v>
      </c>
      <c r="I1035" t="s">
        <v>88</v>
      </c>
      <c r="J1035" t="s">
        <v>151</v>
      </c>
      <c r="K1035" t="s">
        <v>2</v>
      </c>
      <c r="L1035" t="s">
        <v>4619</v>
      </c>
      <c r="M1035" t="s">
        <v>4620</v>
      </c>
      <c r="N1035" t="s">
        <v>3996</v>
      </c>
      <c r="O1035" t="s">
        <v>59</v>
      </c>
      <c r="P1035" t="s">
        <v>4621</v>
      </c>
      <c r="Q1035" s="14" t="s">
        <v>129</v>
      </c>
      <c r="R1035" t="s">
        <v>4622</v>
      </c>
      <c r="S1035">
        <v>2.6</v>
      </c>
      <c r="T1035">
        <v>8157</v>
      </c>
      <c r="U1035">
        <v>0</v>
      </c>
      <c r="V1035">
        <v>8157</v>
      </c>
    </row>
    <row r="1036" spans="1:22" x14ac:dyDescent="0.25">
      <c r="A1036">
        <v>186607</v>
      </c>
      <c r="B1036">
        <v>130455912</v>
      </c>
      <c r="C1036" t="s">
        <v>4623</v>
      </c>
      <c r="D1036">
        <v>248495398</v>
      </c>
      <c r="E1036" t="s">
        <v>3994</v>
      </c>
      <c r="F1036" t="s">
        <v>431</v>
      </c>
      <c r="G1036" t="s">
        <v>149</v>
      </c>
      <c r="H1036" t="s">
        <v>150</v>
      </c>
      <c r="I1036" t="s">
        <v>88</v>
      </c>
      <c r="J1036" t="s">
        <v>151</v>
      </c>
      <c r="K1036" t="s">
        <v>2</v>
      </c>
      <c r="L1036" t="s">
        <v>4624</v>
      </c>
      <c r="M1036" t="s">
        <v>4625</v>
      </c>
      <c r="N1036" t="s">
        <v>3996</v>
      </c>
      <c r="O1036" t="s">
        <v>59</v>
      </c>
      <c r="P1036" t="s">
        <v>4626</v>
      </c>
      <c r="Q1036" s="14" t="s">
        <v>301</v>
      </c>
      <c r="R1036" t="s">
        <v>411</v>
      </c>
      <c r="S1036">
        <v>0.5</v>
      </c>
      <c r="T1036">
        <v>5895</v>
      </c>
      <c r="U1036">
        <v>0</v>
      </c>
      <c r="V1036">
        <v>5895</v>
      </c>
    </row>
    <row r="1037" spans="1:22" x14ac:dyDescent="0.25">
      <c r="A1037">
        <v>186607</v>
      </c>
      <c r="B1037">
        <v>130455908</v>
      </c>
      <c r="C1037" t="s">
        <v>4627</v>
      </c>
      <c r="D1037">
        <v>248495386</v>
      </c>
      <c r="E1037" t="s">
        <v>3994</v>
      </c>
      <c r="F1037" t="s">
        <v>431</v>
      </c>
      <c r="G1037" t="s">
        <v>149</v>
      </c>
      <c r="H1037" t="s">
        <v>150</v>
      </c>
      <c r="I1037" t="s">
        <v>88</v>
      </c>
      <c r="J1037" t="s">
        <v>151</v>
      </c>
      <c r="K1037" t="s">
        <v>2</v>
      </c>
      <c r="L1037" t="s">
        <v>4628</v>
      </c>
      <c r="M1037" t="s">
        <v>4629</v>
      </c>
      <c r="N1037" t="s">
        <v>3996</v>
      </c>
      <c r="O1037" t="s">
        <v>59</v>
      </c>
      <c r="P1037" t="s">
        <v>4630</v>
      </c>
      <c r="Q1037" s="14" t="s">
        <v>120</v>
      </c>
      <c r="R1037" t="s">
        <v>411</v>
      </c>
      <c r="S1037">
        <v>1</v>
      </c>
      <c r="T1037">
        <v>5153</v>
      </c>
      <c r="U1037">
        <v>0</v>
      </c>
      <c r="V1037">
        <v>5153</v>
      </c>
    </row>
    <row r="1038" spans="1:22" x14ac:dyDescent="0.25">
      <c r="A1038">
        <v>186607</v>
      </c>
      <c r="B1038">
        <v>130464675</v>
      </c>
      <c r="C1038" t="s">
        <v>4631</v>
      </c>
      <c r="D1038">
        <v>248495275</v>
      </c>
      <c r="E1038" t="s">
        <v>3994</v>
      </c>
      <c r="F1038" t="s">
        <v>431</v>
      </c>
      <c r="G1038" t="s">
        <v>149</v>
      </c>
      <c r="H1038" t="s">
        <v>150</v>
      </c>
      <c r="I1038" t="s">
        <v>88</v>
      </c>
      <c r="J1038" t="s">
        <v>151</v>
      </c>
      <c r="K1038" t="s">
        <v>2</v>
      </c>
      <c r="L1038" t="s">
        <v>4632</v>
      </c>
      <c r="M1038" t="s">
        <v>4633</v>
      </c>
      <c r="N1038" t="s">
        <v>3996</v>
      </c>
      <c r="O1038" t="s">
        <v>59</v>
      </c>
      <c r="P1038" t="s">
        <v>4634</v>
      </c>
      <c r="Q1038" s="14" t="s">
        <v>113</v>
      </c>
      <c r="R1038" t="s">
        <v>4622</v>
      </c>
      <c r="S1038">
        <v>2.33</v>
      </c>
      <c r="T1038">
        <v>5659</v>
      </c>
      <c r="U1038">
        <v>0</v>
      </c>
      <c r="V1038">
        <v>5659</v>
      </c>
    </row>
    <row r="1039" spans="1:22" x14ac:dyDescent="0.25">
      <c r="A1039">
        <v>186607</v>
      </c>
      <c r="B1039">
        <v>130455913</v>
      </c>
      <c r="C1039" t="s">
        <v>4635</v>
      </c>
      <c r="D1039">
        <v>248495355</v>
      </c>
      <c r="E1039" t="s">
        <v>3994</v>
      </c>
      <c r="F1039" t="s">
        <v>431</v>
      </c>
      <c r="G1039" t="s">
        <v>149</v>
      </c>
      <c r="H1039" t="s">
        <v>150</v>
      </c>
      <c r="I1039" t="s">
        <v>88</v>
      </c>
      <c r="J1039" t="s">
        <v>151</v>
      </c>
      <c r="K1039" t="s">
        <v>2</v>
      </c>
      <c r="L1039" t="s">
        <v>4636</v>
      </c>
      <c r="M1039" t="s">
        <v>4637</v>
      </c>
      <c r="N1039" t="s">
        <v>3996</v>
      </c>
      <c r="O1039" t="s">
        <v>59</v>
      </c>
      <c r="P1039" t="s">
        <v>4638</v>
      </c>
      <c r="Q1039" s="14" t="s">
        <v>144</v>
      </c>
      <c r="R1039" t="s">
        <v>411</v>
      </c>
      <c r="S1039">
        <v>0.5</v>
      </c>
      <c r="T1039">
        <v>4219</v>
      </c>
      <c r="U1039">
        <v>0</v>
      </c>
      <c r="V1039">
        <v>4219</v>
      </c>
    </row>
    <row r="1040" spans="1:22" x14ac:dyDescent="0.25">
      <c r="A1040">
        <v>186607</v>
      </c>
      <c r="B1040">
        <v>130357790</v>
      </c>
      <c r="C1040" t="s">
        <v>4639</v>
      </c>
      <c r="D1040">
        <v>248243975</v>
      </c>
      <c r="E1040" t="s">
        <v>3994</v>
      </c>
      <c r="F1040" t="s">
        <v>431</v>
      </c>
      <c r="G1040" t="s">
        <v>149</v>
      </c>
      <c r="H1040" t="s">
        <v>150</v>
      </c>
      <c r="I1040" t="s">
        <v>88</v>
      </c>
      <c r="J1040" t="s">
        <v>151</v>
      </c>
      <c r="K1040" t="s">
        <v>2</v>
      </c>
      <c r="L1040" t="s">
        <v>4640</v>
      </c>
      <c r="M1040" t="s">
        <v>4641</v>
      </c>
      <c r="N1040" t="s">
        <v>3996</v>
      </c>
      <c r="O1040" t="s">
        <v>59</v>
      </c>
      <c r="P1040" t="s">
        <v>4642</v>
      </c>
      <c r="Q1040" s="14" t="s">
        <v>131</v>
      </c>
      <c r="R1040" t="s">
        <v>4643</v>
      </c>
      <c r="S1040">
        <v>1</v>
      </c>
      <c r="T1040">
        <v>5153</v>
      </c>
      <c r="U1040">
        <v>0</v>
      </c>
      <c r="V1040">
        <v>5153</v>
      </c>
    </row>
    <row r="1041" spans="1:22" x14ac:dyDescent="0.25">
      <c r="A1041">
        <v>186607</v>
      </c>
      <c r="B1041">
        <v>130402137</v>
      </c>
      <c r="C1041" t="s">
        <v>4644</v>
      </c>
      <c r="D1041">
        <v>248416933</v>
      </c>
      <c r="E1041" t="s">
        <v>3994</v>
      </c>
      <c r="F1041" t="s">
        <v>431</v>
      </c>
      <c r="G1041" t="s">
        <v>149</v>
      </c>
      <c r="H1041" t="s">
        <v>150</v>
      </c>
      <c r="I1041" t="s">
        <v>88</v>
      </c>
      <c r="J1041" t="s">
        <v>151</v>
      </c>
      <c r="K1041" t="s">
        <v>2</v>
      </c>
      <c r="L1041" t="s">
        <v>4645</v>
      </c>
      <c r="M1041" t="s">
        <v>4646</v>
      </c>
      <c r="N1041" t="s">
        <v>3996</v>
      </c>
      <c r="O1041" t="s">
        <v>59</v>
      </c>
      <c r="P1041" t="s">
        <v>4647</v>
      </c>
      <c r="Q1041" s="14" t="s">
        <v>124</v>
      </c>
      <c r="R1041" t="s">
        <v>391</v>
      </c>
      <c r="S1041">
        <v>1.62</v>
      </c>
      <c r="T1041">
        <v>4467</v>
      </c>
      <c r="U1041">
        <v>0</v>
      </c>
      <c r="V1041">
        <v>4467</v>
      </c>
    </row>
    <row r="1042" spans="1:22" x14ac:dyDescent="0.25">
      <c r="A1042">
        <v>186607</v>
      </c>
      <c r="B1042">
        <v>130432760</v>
      </c>
      <c r="C1042" t="s">
        <v>4648</v>
      </c>
      <c r="D1042">
        <v>248416918</v>
      </c>
      <c r="E1042" t="s">
        <v>3994</v>
      </c>
      <c r="F1042" t="s">
        <v>431</v>
      </c>
      <c r="G1042" t="s">
        <v>149</v>
      </c>
      <c r="H1042" t="s">
        <v>150</v>
      </c>
      <c r="I1042" t="s">
        <v>88</v>
      </c>
      <c r="J1042" t="s">
        <v>151</v>
      </c>
      <c r="K1042" t="s">
        <v>2</v>
      </c>
      <c r="L1042" t="s">
        <v>4649</v>
      </c>
      <c r="M1042" t="s">
        <v>4650</v>
      </c>
      <c r="N1042" t="s">
        <v>3996</v>
      </c>
      <c r="O1042" t="s">
        <v>59</v>
      </c>
      <c r="P1042" t="s">
        <v>4651</v>
      </c>
      <c r="Q1042" s="14" t="s">
        <v>129</v>
      </c>
      <c r="R1042" t="s">
        <v>213</v>
      </c>
      <c r="S1042">
        <v>1</v>
      </c>
      <c r="T1042">
        <v>7212</v>
      </c>
      <c r="U1042">
        <v>0</v>
      </c>
      <c r="V1042">
        <v>7212</v>
      </c>
    </row>
    <row r="1043" spans="1:22" x14ac:dyDescent="0.25">
      <c r="A1043">
        <v>186607</v>
      </c>
      <c r="B1043">
        <v>130464676</v>
      </c>
      <c r="C1043" t="s">
        <v>4652</v>
      </c>
      <c r="D1043">
        <v>248495309</v>
      </c>
      <c r="E1043" t="s">
        <v>3994</v>
      </c>
      <c r="F1043" t="s">
        <v>431</v>
      </c>
      <c r="G1043" t="s">
        <v>149</v>
      </c>
      <c r="H1043" t="s">
        <v>150</v>
      </c>
      <c r="I1043" t="s">
        <v>88</v>
      </c>
      <c r="J1043" t="s">
        <v>151</v>
      </c>
      <c r="K1043" t="s">
        <v>2</v>
      </c>
      <c r="L1043" t="s">
        <v>4653</v>
      </c>
      <c r="M1043" t="s">
        <v>4654</v>
      </c>
      <c r="N1043" t="s">
        <v>3996</v>
      </c>
      <c r="O1043" t="s">
        <v>59</v>
      </c>
      <c r="P1043" t="s">
        <v>4655</v>
      </c>
      <c r="Q1043" s="14" t="s">
        <v>137</v>
      </c>
      <c r="R1043" t="s">
        <v>4622</v>
      </c>
      <c r="S1043">
        <v>1.51</v>
      </c>
      <c r="T1043">
        <v>4467</v>
      </c>
      <c r="U1043">
        <v>0</v>
      </c>
      <c r="V1043">
        <v>4467</v>
      </c>
    </row>
    <row r="1044" spans="1:22" x14ac:dyDescent="0.25">
      <c r="A1044">
        <v>186607</v>
      </c>
      <c r="B1044">
        <v>130432747</v>
      </c>
      <c r="C1044" t="s">
        <v>4656</v>
      </c>
      <c r="D1044">
        <v>248416930</v>
      </c>
      <c r="E1044" t="s">
        <v>3994</v>
      </c>
      <c r="F1044" t="s">
        <v>431</v>
      </c>
      <c r="G1044" t="s">
        <v>149</v>
      </c>
      <c r="H1044" t="s">
        <v>150</v>
      </c>
      <c r="I1044" t="s">
        <v>88</v>
      </c>
      <c r="J1044" t="s">
        <v>151</v>
      </c>
      <c r="K1044" t="s">
        <v>2</v>
      </c>
      <c r="L1044" t="s">
        <v>4657</v>
      </c>
      <c r="M1044" t="s">
        <v>4658</v>
      </c>
      <c r="N1044" t="s">
        <v>3996</v>
      </c>
      <c r="O1044" t="s">
        <v>59</v>
      </c>
      <c r="P1044" t="s">
        <v>4659</v>
      </c>
      <c r="Q1044" s="14" t="s">
        <v>119</v>
      </c>
      <c r="R1044" t="s">
        <v>213</v>
      </c>
      <c r="S1044">
        <v>0.5</v>
      </c>
      <c r="T1044">
        <v>5749</v>
      </c>
      <c r="U1044">
        <v>0</v>
      </c>
      <c r="V1044">
        <v>5749</v>
      </c>
    </row>
    <row r="1045" spans="1:22" x14ac:dyDescent="0.25">
      <c r="A1045">
        <v>186607</v>
      </c>
      <c r="B1045">
        <v>130432761</v>
      </c>
      <c r="C1045" t="s">
        <v>4660</v>
      </c>
      <c r="D1045">
        <v>248416891</v>
      </c>
      <c r="E1045" t="s">
        <v>3994</v>
      </c>
      <c r="F1045" t="s">
        <v>431</v>
      </c>
      <c r="G1045" t="s">
        <v>149</v>
      </c>
      <c r="H1045" t="s">
        <v>150</v>
      </c>
      <c r="I1045" t="s">
        <v>88</v>
      </c>
      <c r="J1045" t="s">
        <v>151</v>
      </c>
      <c r="K1045" t="s">
        <v>2</v>
      </c>
      <c r="L1045" t="s">
        <v>4661</v>
      </c>
      <c r="M1045" t="s">
        <v>4662</v>
      </c>
      <c r="N1045" t="s">
        <v>3996</v>
      </c>
      <c r="O1045" t="s">
        <v>59</v>
      </c>
      <c r="P1045" t="s">
        <v>4663</v>
      </c>
      <c r="Q1045" s="14" t="s">
        <v>93</v>
      </c>
      <c r="R1045" t="s">
        <v>213</v>
      </c>
      <c r="S1045">
        <v>1</v>
      </c>
      <c r="T1045">
        <v>4737</v>
      </c>
      <c r="U1045">
        <v>0</v>
      </c>
      <c r="V1045">
        <v>4737</v>
      </c>
    </row>
    <row r="1046" spans="1:22" x14ac:dyDescent="0.25">
      <c r="A1046">
        <v>186607</v>
      </c>
      <c r="B1046">
        <v>130432763</v>
      </c>
      <c r="C1046" t="s">
        <v>4664</v>
      </c>
      <c r="D1046">
        <v>248416870</v>
      </c>
      <c r="E1046" t="s">
        <v>3994</v>
      </c>
      <c r="F1046" t="s">
        <v>431</v>
      </c>
      <c r="G1046" t="s">
        <v>149</v>
      </c>
      <c r="H1046" t="s">
        <v>150</v>
      </c>
      <c r="I1046" t="s">
        <v>88</v>
      </c>
      <c r="J1046" t="s">
        <v>151</v>
      </c>
      <c r="K1046" t="s">
        <v>2</v>
      </c>
      <c r="L1046" t="s">
        <v>4665</v>
      </c>
      <c r="M1046" t="s">
        <v>4666</v>
      </c>
      <c r="N1046" t="s">
        <v>3996</v>
      </c>
      <c r="O1046" t="s">
        <v>59</v>
      </c>
      <c r="P1046" t="s">
        <v>4667</v>
      </c>
      <c r="Q1046" s="14" t="s">
        <v>158</v>
      </c>
      <c r="R1046" t="s">
        <v>213</v>
      </c>
      <c r="S1046">
        <v>1</v>
      </c>
      <c r="T1046">
        <v>4219</v>
      </c>
      <c r="U1046">
        <v>0</v>
      </c>
      <c r="V1046">
        <v>4219</v>
      </c>
    </row>
    <row r="1047" spans="1:22" x14ac:dyDescent="0.25">
      <c r="A1047">
        <v>186607</v>
      </c>
      <c r="B1047">
        <v>130432762</v>
      </c>
      <c r="C1047" t="s">
        <v>4668</v>
      </c>
      <c r="D1047">
        <v>248416887</v>
      </c>
      <c r="E1047" t="s">
        <v>3994</v>
      </c>
      <c r="F1047" t="s">
        <v>431</v>
      </c>
      <c r="G1047" t="s">
        <v>149</v>
      </c>
      <c r="H1047" t="s">
        <v>150</v>
      </c>
      <c r="I1047" t="s">
        <v>88</v>
      </c>
      <c r="J1047" t="s">
        <v>151</v>
      </c>
      <c r="K1047" t="s">
        <v>2</v>
      </c>
      <c r="L1047" t="s">
        <v>4669</v>
      </c>
      <c r="M1047" t="s">
        <v>4670</v>
      </c>
      <c r="N1047" t="s">
        <v>3996</v>
      </c>
      <c r="O1047" t="s">
        <v>59</v>
      </c>
      <c r="P1047" t="s">
        <v>4671</v>
      </c>
      <c r="Q1047" s="14" t="s">
        <v>109</v>
      </c>
      <c r="R1047" t="s">
        <v>213</v>
      </c>
      <c r="S1047">
        <v>0.5</v>
      </c>
      <c r="T1047">
        <v>4669</v>
      </c>
      <c r="U1047">
        <v>0</v>
      </c>
      <c r="V1047">
        <v>4669</v>
      </c>
    </row>
    <row r="1048" spans="1:22" x14ac:dyDescent="0.25">
      <c r="A1048">
        <v>186607</v>
      </c>
      <c r="B1048">
        <v>130432750</v>
      </c>
      <c r="C1048" t="s">
        <v>4672</v>
      </c>
      <c r="D1048">
        <v>248416904</v>
      </c>
      <c r="E1048" t="s">
        <v>3994</v>
      </c>
      <c r="F1048" t="s">
        <v>431</v>
      </c>
      <c r="G1048" t="s">
        <v>149</v>
      </c>
      <c r="H1048" t="s">
        <v>150</v>
      </c>
      <c r="I1048" t="s">
        <v>88</v>
      </c>
      <c r="J1048" t="s">
        <v>151</v>
      </c>
      <c r="K1048" t="s">
        <v>2</v>
      </c>
      <c r="L1048" t="s">
        <v>4673</v>
      </c>
      <c r="M1048" t="s">
        <v>4674</v>
      </c>
      <c r="N1048" t="s">
        <v>3996</v>
      </c>
      <c r="O1048" t="s">
        <v>59</v>
      </c>
      <c r="P1048" t="s">
        <v>4675</v>
      </c>
      <c r="Q1048" s="14" t="s">
        <v>92</v>
      </c>
      <c r="R1048" t="s">
        <v>213</v>
      </c>
      <c r="S1048">
        <v>0.5</v>
      </c>
      <c r="T1048">
        <v>4669</v>
      </c>
      <c r="U1048">
        <v>0</v>
      </c>
      <c r="V1048">
        <v>4669</v>
      </c>
    </row>
    <row r="1049" spans="1:22" x14ac:dyDescent="0.25">
      <c r="A1049">
        <v>186607</v>
      </c>
      <c r="B1049">
        <v>130395774</v>
      </c>
      <c r="C1049" t="s">
        <v>4676</v>
      </c>
      <c r="D1049">
        <v>248331094</v>
      </c>
      <c r="E1049" t="s">
        <v>3994</v>
      </c>
      <c r="F1049" t="s">
        <v>431</v>
      </c>
      <c r="G1049" t="s">
        <v>149</v>
      </c>
      <c r="H1049" t="s">
        <v>150</v>
      </c>
      <c r="I1049" t="s">
        <v>88</v>
      </c>
      <c r="J1049" t="s">
        <v>151</v>
      </c>
      <c r="K1049" t="s">
        <v>2</v>
      </c>
      <c r="L1049" t="s">
        <v>4677</v>
      </c>
      <c r="M1049" t="s">
        <v>4678</v>
      </c>
      <c r="N1049" t="s">
        <v>3996</v>
      </c>
      <c r="O1049" t="s">
        <v>59</v>
      </c>
      <c r="P1049" t="s">
        <v>4679</v>
      </c>
      <c r="Q1049" s="14" t="s">
        <v>97</v>
      </c>
      <c r="R1049" t="s">
        <v>4680</v>
      </c>
      <c r="S1049">
        <v>0.5</v>
      </c>
      <c r="T1049">
        <v>8415</v>
      </c>
      <c r="U1049">
        <v>0</v>
      </c>
      <c r="V1049">
        <v>8415</v>
      </c>
    </row>
    <row r="1050" spans="1:22" x14ac:dyDescent="0.25">
      <c r="A1050">
        <v>186607</v>
      </c>
      <c r="B1050">
        <v>130269231</v>
      </c>
      <c r="C1050" t="s">
        <v>4681</v>
      </c>
      <c r="D1050">
        <v>248153620</v>
      </c>
      <c r="E1050" t="s">
        <v>3994</v>
      </c>
      <c r="F1050" t="s">
        <v>431</v>
      </c>
      <c r="G1050" t="s">
        <v>149</v>
      </c>
      <c r="H1050" t="s">
        <v>150</v>
      </c>
      <c r="I1050" t="s">
        <v>88</v>
      </c>
      <c r="J1050" t="s">
        <v>151</v>
      </c>
      <c r="K1050" t="s">
        <v>2</v>
      </c>
      <c r="L1050" t="s">
        <v>4682</v>
      </c>
      <c r="M1050" t="s">
        <v>4683</v>
      </c>
      <c r="N1050" t="s">
        <v>3996</v>
      </c>
      <c r="O1050" t="s">
        <v>59</v>
      </c>
      <c r="P1050" t="s">
        <v>4684</v>
      </c>
      <c r="Q1050" s="14" t="s">
        <v>97</v>
      </c>
      <c r="R1050" t="s">
        <v>4685</v>
      </c>
      <c r="S1050">
        <v>0.5</v>
      </c>
      <c r="T1050">
        <v>8415</v>
      </c>
      <c r="U1050">
        <v>0</v>
      </c>
      <c r="V1050">
        <v>8415</v>
      </c>
    </row>
    <row r="1051" spans="1:22" x14ac:dyDescent="0.25">
      <c r="A1051">
        <v>186607</v>
      </c>
      <c r="B1051">
        <v>130357782</v>
      </c>
      <c r="C1051" t="s">
        <v>4686</v>
      </c>
      <c r="D1051">
        <v>248243999</v>
      </c>
      <c r="E1051" t="s">
        <v>3994</v>
      </c>
      <c r="F1051" t="s">
        <v>431</v>
      </c>
      <c r="G1051" t="s">
        <v>149</v>
      </c>
      <c r="H1051" t="s">
        <v>150</v>
      </c>
      <c r="I1051" t="s">
        <v>88</v>
      </c>
      <c r="J1051" t="s">
        <v>151</v>
      </c>
      <c r="K1051" t="s">
        <v>2</v>
      </c>
      <c r="L1051" t="s">
        <v>4687</v>
      </c>
      <c r="M1051" t="s">
        <v>4688</v>
      </c>
      <c r="N1051" t="s">
        <v>3996</v>
      </c>
      <c r="O1051" t="s">
        <v>59</v>
      </c>
      <c r="P1051" t="s">
        <v>4689</v>
      </c>
      <c r="Q1051" s="14" t="s">
        <v>92</v>
      </c>
      <c r="R1051" t="s">
        <v>4643</v>
      </c>
      <c r="S1051">
        <v>0.5</v>
      </c>
      <c r="T1051">
        <v>4669</v>
      </c>
      <c r="U1051">
        <v>0</v>
      </c>
      <c r="V1051">
        <v>4669</v>
      </c>
    </row>
    <row r="1052" spans="1:22" x14ac:dyDescent="0.25">
      <c r="A1052">
        <v>186607</v>
      </c>
      <c r="B1052">
        <v>130395785</v>
      </c>
      <c r="C1052" t="s">
        <v>4690</v>
      </c>
      <c r="D1052">
        <v>248331070</v>
      </c>
      <c r="E1052" t="s">
        <v>3994</v>
      </c>
      <c r="F1052" t="s">
        <v>431</v>
      </c>
      <c r="G1052" t="s">
        <v>149</v>
      </c>
      <c r="H1052" t="s">
        <v>150</v>
      </c>
      <c r="I1052" t="s">
        <v>88</v>
      </c>
      <c r="J1052" t="s">
        <v>151</v>
      </c>
      <c r="K1052" t="s">
        <v>2</v>
      </c>
      <c r="L1052" t="s">
        <v>4691</v>
      </c>
      <c r="M1052" t="s">
        <v>4692</v>
      </c>
      <c r="N1052" t="s">
        <v>3996</v>
      </c>
      <c r="O1052" t="s">
        <v>59</v>
      </c>
      <c r="P1052" t="s">
        <v>4693</v>
      </c>
      <c r="Q1052" s="14" t="s">
        <v>167</v>
      </c>
      <c r="R1052" t="s">
        <v>4680</v>
      </c>
      <c r="S1052">
        <v>0.22</v>
      </c>
      <c r="T1052">
        <v>7212</v>
      </c>
      <c r="U1052">
        <v>0</v>
      </c>
      <c r="V1052">
        <v>7212</v>
      </c>
    </row>
    <row r="1053" spans="1:22" x14ac:dyDescent="0.25">
      <c r="A1053">
        <v>186607</v>
      </c>
      <c r="B1053">
        <v>130395761</v>
      </c>
      <c r="C1053" t="s">
        <v>4694</v>
      </c>
      <c r="D1053">
        <v>248331129</v>
      </c>
      <c r="E1053" t="s">
        <v>3994</v>
      </c>
      <c r="F1053" t="s">
        <v>431</v>
      </c>
      <c r="G1053" t="s">
        <v>149</v>
      </c>
      <c r="H1053" t="s">
        <v>150</v>
      </c>
      <c r="I1053" t="s">
        <v>88</v>
      </c>
      <c r="J1053" t="s">
        <v>151</v>
      </c>
      <c r="K1053" t="s">
        <v>46</v>
      </c>
      <c r="L1053" t="s">
        <v>194</v>
      </c>
      <c r="M1053" t="s">
        <v>4695</v>
      </c>
      <c r="N1053" t="s">
        <v>3996</v>
      </c>
      <c r="O1053" t="s">
        <v>59</v>
      </c>
      <c r="P1053" t="s">
        <v>4696</v>
      </c>
      <c r="Q1053" s="14" t="s">
        <v>217</v>
      </c>
      <c r="R1053" t="s">
        <v>4680</v>
      </c>
      <c r="S1053">
        <v>0.5</v>
      </c>
      <c r="T1053">
        <v>4669</v>
      </c>
      <c r="U1053">
        <v>0</v>
      </c>
      <c r="V1053">
        <v>4669</v>
      </c>
    </row>
    <row r="1054" spans="1:22" x14ac:dyDescent="0.25">
      <c r="A1054">
        <v>186607</v>
      </c>
      <c r="B1054">
        <v>130395760</v>
      </c>
      <c r="C1054" t="s">
        <v>4697</v>
      </c>
      <c r="D1054">
        <v>248331145</v>
      </c>
      <c r="E1054" t="s">
        <v>3994</v>
      </c>
      <c r="F1054" t="s">
        <v>431</v>
      </c>
      <c r="G1054" t="s">
        <v>149</v>
      </c>
      <c r="H1054" t="s">
        <v>150</v>
      </c>
      <c r="I1054" t="s">
        <v>88</v>
      </c>
      <c r="J1054" t="s">
        <v>151</v>
      </c>
      <c r="K1054" t="s">
        <v>2</v>
      </c>
      <c r="L1054" t="s">
        <v>4698</v>
      </c>
      <c r="M1054" t="s">
        <v>4699</v>
      </c>
      <c r="N1054" t="s">
        <v>3996</v>
      </c>
      <c r="O1054" t="s">
        <v>59</v>
      </c>
      <c r="P1054" t="s">
        <v>4700</v>
      </c>
      <c r="Q1054" s="14" t="s">
        <v>198</v>
      </c>
      <c r="R1054" t="s">
        <v>4680</v>
      </c>
      <c r="S1054">
        <v>2.48</v>
      </c>
      <c r="T1054">
        <v>5659</v>
      </c>
      <c r="U1054">
        <v>0</v>
      </c>
      <c r="V1054">
        <v>5659</v>
      </c>
    </row>
    <row r="1055" spans="1:22" x14ac:dyDescent="0.25">
      <c r="A1055">
        <v>186607</v>
      </c>
      <c r="B1055">
        <v>130395771</v>
      </c>
      <c r="C1055" t="s">
        <v>4701</v>
      </c>
      <c r="D1055">
        <v>248331118</v>
      </c>
      <c r="E1055" t="s">
        <v>3994</v>
      </c>
      <c r="F1055" t="s">
        <v>431</v>
      </c>
      <c r="G1055" t="s">
        <v>149</v>
      </c>
      <c r="H1055" t="s">
        <v>150</v>
      </c>
      <c r="I1055" t="s">
        <v>88</v>
      </c>
      <c r="J1055" t="s">
        <v>151</v>
      </c>
      <c r="K1055" t="s">
        <v>2</v>
      </c>
      <c r="L1055" t="s">
        <v>4702</v>
      </c>
      <c r="M1055" t="s">
        <v>4703</v>
      </c>
      <c r="N1055" t="s">
        <v>3996</v>
      </c>
      <c r="O1055" t="s">
        <v>59</v>
      </c>
      <c r="P1055" t="s">
        <v>4704</v>
      </c>
      <c r="Q1055" s="14" t="s">
        <v>40</v>
      </c>
      <c r="R1055" t="s">
        <v>4680</v>
      </c>
      <c r="S1055">
        <v>0.5</v>
      </c>
      <c r="T1055">
        <v>4534</v>
      </c>
      <c r="U1055">
        <v>0</v>
      </c>
      <c r="V1055">
        <v>4534</v>
      </c>
    </row>
    <row r="1056" spans="1:22" x14ac:dyDescent="0.25">
      <c r="A1056">
        <v>186607</v>
      </c>
      <c r="B1056">
        <v>130312176</v>
      </c>
      <c r="C1056" t="s">
        <v>4705</v>
      </c>
      <c r="D1056">
        <v>248153424</v>
      </c>
      <c r="E1056" t="s">
        <v>3994</v>
      </c>
      <c r="F1056" t="s">
        <v>431</v>
      </c>
      <c r="G1056" t="s">
        <v>149</v>
      </c>
      <c r="H1056" t="s">
        <v>150</v>
      </c>
      <c r="I1056" t="s">
        <v>88</v>
      </c>
      <c r="J1056" t="s">
        <v>151</v>
      </c>
      <c r="K1056" t="s">
        <v>2</v>
      </c>
      <c r="L1056" t="s">
        <v>4706</v>
      </c>
      <c r="M1056" t="s">
        <v>4707</v>
      </c>
      <c r="N1056" t="s">
        <v>3996</v>
      </c>
      <c r="O1056" t="s">
        <v>59</v>
      </c>
      <c r="P1056" t="s">
        <v>4708</v>
      </c>
      <c r="Q1056" s="14" t="s">
        <v>128</v>
      </c>
      <c r="R1056" t="s">
        <v>4505</v>
      </c>
      <c r="S1056">
        <v>2.0699999999999998</v>
      </c>
      <c r="T1056">
        <v>8955</v>
      </c>
      <c r="U1056">
        <v>0</v>
      </c>
      <c r="V1056">
        <v>8955</v>
      </c>
    </row>
    <row r="1057" spans="1:22" x14ac:dyDescent="0.25">
      <c r="A1057">
        <v>186607</v>
      </c>
      <c r="B1057">
        <v>130363275</v>
      </c>
      <c r="C1057" t="s">
        <v>4709</v>
      </c>
      <c r="D1057">
        <v>248331163</v>
      </c>
      <c r="E1057" t="s">
        <v>3994</v>
      </c>
      <c r="F1057" t="s">
        <v>431</v>
      </c>
      <c r="G1057" t="s">
        <v>149</v>
      </c>
      <c r="H1057" t="s">
        <v>150</v>
      </c>
      <c r="I1057" t="s">
        <v>88</v>
      </c>
      <c r="J1057" t="s">
        <v>151</v>
      </c>
      <c r="K1057" t="s">
        <v>2</v>
      </c>
      <c r="L1057" t="s">
        <v>4710</v>
      </c>
      <c r="M1057" t="s">
        <v>4711</v>
      </c>
      <c r="N1057" t="s">
        <v>3996</v>
      </c>
      <c r="O1057" t="s">
        <v>59</v>
      </c>
      <c r="P1057" t="s">
        <v>4712</v>
      </c>
      <c r="Q1057" s="14" t="s">
        <v>120</v>
      </c>
      <c r="R1057" t="s">
        <v>4713</v>
      </c>
      <c r="S1057">
        <v>3.28</v>
      </c>
      <c r="T1057">
        <v>6413</v>
      </c>
      <c r="U1057">
        <v>0</v>
      </c>
      <c r="V1057">
        <v>6413</v>
      </c>
    </row>
    <row r="1058" spans="1:22" x14ac:dyDescent="0.25">
      <c r="A1058">
        <v>186607</v>
      </c>
      <c r="B1058">
        <v>130312165</v>
      </c>
      <c r="C1058" t="s">
        <v>4714</v>
      </c>
      <c r="D1058">
        <v>248153459</v>
      </c>
      <c r="E1058" t="s">
        <v>3994</v>
      </c>
      <c r="F1058" t="s">
        <v>431</v>
      </c>
      <c r="G1058" t="s">
        <v>149</v>
      </c>
      <c r="H1058" t="s">
        <v>150</v>
      </c>
      <c r="I1058" t="s">
        <v>88</v>
      </c>
      <c r="J1058" t="s">
        <v>151</v>
      </c>
      <c r="K1058" t="s">
        <v>2</v>
      </c>
      <c r="L1058" t="s">
        <v>4715</v>
      </c>
      <c r="M1058" t="s">
        <v>4716</v>
      </c>
      <c r="N1058" t="s">
        <v>3996</v>
      </c>
      <c r="O1058" t="s">
        <v>59</v>
      </c>
      <c r="P1058" t="s">
        <v>4717</v>
      </c>
      <c r="Q1058" s="14" t="s">
        <v>38</v>
      </c>
      <c r="R1058" t="s">
        <v>4505</v>
      </c>
      <c r="S1058">
        <v>0.5</v>
      </c>
      <c r="T1058">
        <v>4669</v>
      </c>
      <c r="U1058">
        <v>0</v>
      </c>
      <c r="V1058">
        <v>4669</v>
      </c>
    </row>
    <row r="1059" spans="1:22" x14ac:dyDescent="0.25">
      <c r="A1059">
        <v>186607</v>
      </c>
      <c r="B1059">
        <v>130395768</v>
      </c>
      <c r="C1059" t="s">
        <v>4718</v>
      </c>
      <c r="D1059">
        <v>248331125</v>
      </c>
      <c r="E1059" t="s">
        <v>3994</v>
      </c>
      <c r="F1059" t="s">
        <v>431</v>
      </c>
      <c r="G1059" t="s">
        <v>149</v>
      </c>
      <c r="H1059" t="s">
        <v>150</v>
      </c>
      <c r="I1059" t="s">
        <v>88</v>
      </c>
      <c r="J1059" t="s">
        <v>151</v>
      </c>
      <c r="K1059" t="s">
        <v>2</v>
      </c>
      <c r="L1059" t="s">
        <v>4719</v>
      </c>
      <c r="M1059" t="s">
        <v>4720</v>
      </c>
      <c r="N1059" t="s">
        <v>3996</v>
      </c>
      <c r="O1059" t="s">
        <v>59</v>
      </c>
      <c r="P1059" t="s">
        <v>4721</v>
      </c>
      <c r="Q1059" s="14" t="s">
        <v>92</v>
      </c>
      <c r="R1059" t="s">
        <v>4680</v>
      </c>
      <c r="S1059">
        <v>0.5</v>
      </c>
      <c r="T1059">
        <v>4669</v>
      </c>
      <c r="U1059">
        <v>0</v>
      </c>
      <c r="V1059">
        <v>4669</v>
      </c>
    </row>
    <row r="1060" spans="1:22" x14ac:dyDescent="0.25">
      <c r="A1060">
        <v>186607</v>
      </c>
      <c r="B1060">
        <v>130395784</v>
      </c>
      <c r="C1060" t="s">
        <v>4722</v>
      </c>
      <c r="D1060">
        <v>248331072</v>
      </c>
      <c r="E1060" t="s">
        <v>3994</v>
      </c>
      <c r="F1060" t="s">
        <v>431</v>
      </c>
      <c r="G1060" t="s">
        <v>149</v>
      </c>
      <c r="H1060" t="s">
        <v>150</v>
      </c>
      <c r="I1060" t="s">
        <v>88</v>
      </c>
      <c r="J1060" t="s">
        <v>151</v>
      </c>
      <c r="K1060" t="s">
        <v>2</v>
      </c>
      <c r="L1060" t="s">
        <v>4723</v>
      </c>
      <c r="M1060" t="s">
        <v>4724</v>
      </c>
      <c r="N1060" t="s">
        <v>3996</v>
      </c>
      <c r="O1060" t="s">
        <v>59</v>
      </c>
      <c r="P1060" t="s">
        <v>4725</v>
      </c>
      <c r="Q1060" s="14" t="s">
        <v>326</v>
      </c>
      <c r="R1060" t="s">
        <v>4680</v>
      </c>
      <c r="S1060">
        <v>0.5</v>
      </c>
      <c r="T1060">
        <v>5153</v>
      </c>
      <c r="U1060">
        <v>0</v>
      </c>
      <c r="V1060">
        <v>5153</v>
      </c>
    </row>
    <row r="1061" spans="1:22" x14ac:dyDescent="0.25">
      <c r="A1061">
        <v>186607</v>
      </c>
      <c r="B1061">
        <v>130395779</v>
      </c>
      <c r="C1061" t="s">
        <v>4726</v>
      </c>
      <c r="D1061">
        <v>248331073</v>
      </c>
      <c r="E1061" t="s">
        <v>3994</v>
      </c>
      <c r="F1061" t="s">
        <v>431</v>
      </c>
      <c r="G1061" t="s">
        <v>149</v>
      </c>
      <c r="H1061" t="s">
        <v>150</v>
      </c>
      <c r="I1061" t="s">
        <v>88</v>
      </c>
      <c r="J1061" t="s">
        <v>151</v>
      </c>
      <c r="K1061" t="s">
        <v>2</v>
      </c>
      <c r="L1061" t="s">
        <v>4727</v>
      </c>
      <c r="M1061" t="s">
        <v>4728</v>
      </c>
      <c r="N1061" t="s">
        <v>3996</v>
      </c>
      <c r="O1061" t="s">
        <v>59</v>
      </c>
      <c r="P1061" t="s">
        <v>4729</v>
      </c>
      <c r="Q1061" s="14" t="s">
        <v>104</v>
      </c>
      <c r="R1061" t="s">
        <v>4680</v>
      </c>
      <c r="S1061">
        <v>2.48</v>
      </c>
      <c r="T1061">
        <v>5355</v>
      </c>
      <c r="U1061">
        <v>0</v>
      </c>
      <c r="V1061">
        <v>5355</v>
      </c>
    </row>
    <row r="1062" spans="1:22" x14ac:dyDescent="0.25">
      <c r="A1062">
        <v>186607</v>
      </c>
      <c r="B1062">
        <v>130312119</v>
      </c>
      <c r="C1062" t="s">
        <v>4730</v>
      </c>
      <c r="D1062">
        <v>248153558</v>
      </c>
      <c r="E1062" t="s">
        <v>3994</v>
      </c>
      <c r="F1062" t="s">
        <v>431</v>
      </c>
      <c r="G1062" t="s">
        <v>149</v>
      </c>
      <c r="H1062" t="s">
        <v>150</v>
      </c>
      <c r="I1062" t="s">
        <v>88</v>
      </c>
      <c r="J1062" t="s">
        <v>151</v>
      </c>
      <c r="K1062" t="s">
        <v>2</v>
      </c>
      <c r="L1062" t="s">
        <v>4731</v>
      </c>
      <c r="M1062" t="s">
        <v>4732</v>
      </c>
      <c r="N1062" t="s">
        <v>3996</v>
      </c>
      <c r="O1062" t="s">
        <v>59</v>
      </c>
      <c r="P1062" t="s">
        <v>4733</v>
      </c>
      <c r="Q1062" s="14" t="s">
        <v>95</v>
      </c>
      <c r="R1062" t="s">
        <v>4505</v>
      </c>
      <c r="S1062">
        <v>1.4</v>
      </c>
      <c r="T1062">
        <v>6244</v>
      </c>
      <c r="U1062">
        <v>0</v>
      </c>
      <c r="V1062">
        <v>6244</v>
      </c>
    </row>
    <row r="1063" spans="1:22" x14ac:dyDescent="0.25">
      <c r="A1063">
        <v>186607</v>
      </c>
      <c r="B1063">
        <v>130312131</v>
      </c>
      <c r="C1063" t="s">
        <v>4734</v>
      </c>
      <c r="D1063">
        <v>248153499</v>
      </c>
      <c r="E1063" t="s">
        <v>3994</v>
      </c>
      <c r="F1063" t="s">
        <v>431</v>
      </c>
      <c r="G1063" t="s">
        <v>149</v>
      </c>
      <c r="H1063" t="s">
        <v>150</v>
      </c>
      <c r="I1063" t="s">
        <v>88</v>
      </c>
      <c r="J1063" t="s">
        <v>151</v>
      </c>
      <c r="K1063" t="s">
        <v>2</v>
      </c>
      <c r="L1063" t="s">
        <v>4735</v>
      </c>
      <c r="M1063" t="s">
        <v>4736</v>
      </c>
      <c r="N1063" t="s">
        <v>3996</v>
      </c>
      <c r="O1063" t="s">
        <v>59</v>
      </c>
      <c r="P1063" t="s">
        <v>4737</v>
      </c>
      <c r="Q1063" s="14" t="s">
        <v>95</v>
      </c>
      <c r="R1063" t="s">
        <v>4505</v>
      </c>
      <c r="S1063">
        <v>0.5</v>
      </c>
      <c r="T1063">
        <v>5749</v>
      </c>
      <c r="U1063">
        <v>0</v>
      </c>
      <c r="V1063">
        <v>5749</v>
      </c>
    </row>
    <row r="1064" spans="1:22" x14ac:dyDescent="0.25">
      <c r="A1064">
        <v>186607</v>
      </c>
      <c r="B1064">
        <v>130051010</v>
      </c>
      <c r="C1064" t="s">
        <v>4738</v>
      </c>
      <c r="D1064">
        <v>247470630</v>
      </c>
      <c r="E1064" t="s">
        <v>3994</v>
      </c>
      <c r="F1064" t="s">
        <v>431</v>
      </c>
      <c r="G1064" t="s">
        <v>149</v>
      </c>
      <c r="H1064" t="s">
        <v>150</v>
      </c>
      <c r="I1064" t="s">
        <v>88</v>
      </c>
      <c r="J1064" t="s">
        <v>151</v>
      </c>
      <c r="K1064" t="s">
        <v>2</v>
      </c>
      <c r="L1064" t="s">
        <v>4739</v>
      </c>
      <c r="M1064" t="s">
        <v>4740</v>
      </c>
      <c r="N1064" t="s">
        <v>3996</v>
      </c>
      <c r="O1064" t="s">
        <v>59</v>
      </c>
      <c r="P1064" t="s">
        <v>4741</v>
      </c>
      <c r="Q1064" s="14" t="s">
        <v>168</v>
      </c>
      <c r="R1064" t="s">
        <v>4742</v>
      </c>
      <c r="S1064">
        <v>0.5</v>
      </c>
      <c r="T1064">
        <v>6480</v>
      </c>
      <c r="U1064">
        <v>0</v>
      </c>
      <c r="V1064">
        <v>6480</v>
      </c>
    </row>
    <row r="1065" spans="1:22" x14ac:dyDescent="0.25">
      <c r="A1065">
        <v>186607</v>
      </c>
      <c r="B1065">
        <v>130312124</v>
      </c>
      <c r="C1065" t="s">
        <v>4743</v>
      </c>
      <c r="D1065">
        <v>248153544</v>
      </c>
      <c r="E1065" t="s">
        <v>3994</v>
      </c>
      <c r="F1065" t="s">
        <v>431</v>
      </c>
      <c r="G1065" t="s">
        <v>149</v>
      </c>
      <c r="H1065" t="s">
        <v>150</v>
      </c>
      <c r="I1065" t="s">
        <v>88</v>
      </c>
      <c r="J1065" t="s">
        <v>151</v>
      </c>
      <c r="K1065" t="s">
        <v>2</v>
      </c>
      <c r="L1065" t="s">
        <v>4744</v>
      </c>
      <c r="M1065" t="s">
        <v>4745</v>
      </c>
      <c r="N1065" t="s">
        <v>3996</v>
      </c>
      <c r="O1065" t="s">
        <v>59</v>
      </c>
      <c r="P1065" t="s">
        <v>4746</v>
      </c>
      <c r="Q1065" s="14" t="s">
        <v>158</v>
      </c>
      <c r="R1065" t="s">
        <v>4505</v>
      </c>
      <c r="S1065">
        <v>1.86</v>
      </c>
      <c r="T1065">
        <v>4467</v>
      </c>
      <c r="U1065">
        <v>0</v>
      </c>
      <c r="V1065">
        <v>4467</v>
      </c>
    </row>
    <row r="1066" spans="1:22" x14ac:dyDescent="0.25">
      <c r="A1066">
        <v>186607</v>
      </c>
      <c r="B1066">
        <v>130312150</v>
      </c>
      <c r="C1066" t="s">
        <v>4747</v>
      </c>
      <c r="D1066">
        <v>248153469</v>
      </c>
      <c r="E1066" t="s">
        <v>3994</v>
      </c>
      <c r="F1066" t="s">
        <v>431</v>
      </c>
      <c r="G1066" t="s">
        <v>149</v>
      </c>
      <c r="H1066" t="s">
        <v>150</v>
      </c>
      <c r="I1066" t="s">
        <v>88</v>
      </c>
      <c r="J1066" t="s">
        <v>151</v>
      </c>
      <c r="K1066" t="s">
        <v>2</v>
      </c>
      <c r="L1066" t="s">
        <v>4748</v>
      </c>
      <c r="M1066" t="s">
        <v>4749</v>
      </c>
      <c r="N1066" t="s">
        <v>3996</v>
      </c>
      <c r="O1066" t="s">
        <v>59</v>
      </c>
      <c r="P1066" t="s">
        <v>4750</v>
      </c>
      <c r="Q1066" s="14" t="s">
        <v>124</v>
      </c>
      <c r="R1066" t="s">
        <v>4505</v>
      </c>
      <c r="S1066">
        <v>0.5</v>
      </c>
      <c r="T1066">
        <v>4219</v>
      </c>
      <c r="U1066">
        <v>0</v>
      </c>
      <c r="V1066">
        <v>4219</v>
      </c>
    </row>
    <row r="1067" spans="1:22" x14ac:dyDescent="0.25">
      <c r="A1067">
        <v>186607</v>
      </c>
      <c r="B1067">
        <v>130312178</v>
      </c>
      <c r="C1067" t="s">
        <v>4751</v>
      </c>
      <c r="D1067">
        <v>248153416</v>
      </c>
      <c r="E1067" t="s">
        <v>3994</v>
      </c>
      <c r="F1067" t="s">
        <v>431</v>
      </c>
      <c r="G1067" t="s">
        <v>149</v>
      </c>
      <c r="H1067" t="s">
        <v>150</v>
      </c>
      <c r="I1067" t="s">
        <v>88</v>
      </c>
      <c r="J1067" t="s">
        <v>151</v>
      </c>
      <c r="K1067" t="s">
        <v>2</v>
      </c>
      <c r="L1067" t="s">
        <v>4752</v>
      </c>
      <c r="M1067" t="s">
        <v>4753</v>
      </c>
      <c r="N1067" t="s">
        <v>3996</v>
      </c>
      <c r="O1067" t="s">
        <v>59</v>
      </c>
      <c r="P1067" t="s">
        <v>4754</v>
      </c>
      <c r="Q1067" s="14" t="s">
        <v>125</v>
      </c>
      <c r="R1067" t="s">
        <v>4505</v>
      </c>
      <c r="S1067">
        <v>0.5</v>
      </c>
      <c r="T1067">
        <v>4219</v>
      </c>
      <c r="U1067">
        <v>0</v>
      </c>
      <c r="V1067">
        <v>4219</v>
      </c>
    </row>
    <row r="1068" spans="1:22" x14ac:dyDescent="0.25">
      <c r="A1068">
        <v>186607</v>
      </c>
      <c r="B1068">
        <v>130312169</v>
      </c>
      <c r="C1068" t="s">
        <v>4755</v>
      </c>
      <c r="D1068">
        <v>248153447</v>
      </c>
      <c r="E1068" t="s">
        <v>3994</v>
      </c>
      <c r="F1068" t="s">
        <v>431</v>
      </c>
      <c r="G1068" t="s">
        <v>149</v>
      </c>
      <c r="H1068" t="s">
        <v>150</v>
      </c>
      <c r="I1068" t="s">
        <v>88</v>
      </c>
      <c r="J1068" t="s">
        <v>151</v>
      </c>
      <c r="K1068" t="s">
        <v>2</v>
      </c>
      <c r="L1068" t="s">
        <v>4756</v>
      </c>
      <c r="M1068" t="s">
        <v>4757</v>
      </c>
      <c r="N1068" t="s">
        <v>3996</v>
      </c>
      <c r="O1068" t="s">
        <v>59</v>
      </c>
      <c r="P1068" t="s">
        <v>4758</v>
      </c>
      <c r="Q1068" s="14" t="s">
        <v>113</v>
      </c>
      <c r="R1068" t="s">
        <v>4505</v>
      </c>
      <c r="S1068">
        <v>0.5</v>
      </c>
      <c r="T1068">
        <v>4973</v>
      </c>
      <c r="U1068">
        <v>0</v>
      </c>
      <c r="V1068">
        <v>4973</v>
      </c>
    </row>
    <row r="1069" spans="1:22" x14ac:dyDescent="0.25">
      <c r="A1069">
        <v>186607</v>
      </c>
      <c r="B1069">
        <v>130269228</v>
      </c>
      <c r="C1069" t="s">
        <v>4759</v>
      </c>
      <c r="D1069">
        <v>248153625</v>
      </c>
      <c r="E1069" t="s">
        <v>3994</v>
      </c>
      <c r="F1069" t="s">
        <v>431</v>
      </c>
      <c r="G1069" t="s">
        <v>149</v>
      </c>
      <c r="H1069" t="s">
        <v>150</v>
      </c>
      <c r="I1069" t="s">
        <v>88</v>
      </c>
      <c r="J1069" t="s">
        <v>151</v>
      </c>
      <c r="K1069" t="s">
        <v>2</v>
      </c>
      <c r="L1069" t="s">
        <v>4760</v>
      </c>
      <c r="M1069" t="s">
        <v>4761</v>
      </c>
      <c r="N1069" t="s">
        <v>3996</v>
      </c>
      <c r="O1069" t="s">
        <v>59</v>
      </c>
      <c r="P1069" t="s">
        <v>4762</v>
      </c>
      <c r="Q1069" s="14" t="s">
        <v>169</v>
      </c>
      <c r="R1069" t="s">
        <v>4685</v>
      </c>
      <c r="S1069">
        <v>0.5</v>
      </c>
      <c r="T1069">
        <v>4853</v>
      </c>
      <c r="U1069">
        <v>0</v>
      </c>
      <c r="V1069">
        <v>4853</v>
      </c>
    </row>
    <row r="1070" spans="1:22" x14ac:dyDescent="0.25">
      <c r="A1070">
        <v>186607</v>
      </c>
      <c r="B1070">
        <v>130357800</v>
      </c>
      <c r="C1070" t="s">
        <v>4763</v>
      </c>
      <c r="D1070">
        <v>248243958</v>
      </c>
      <c r="E1070" t="s">
        <v>3994</v>
      </c>
      <c r="F1070" t="s">
        <v>431</v>
      </c>
      <c r="G1070" t="s">
        <v>149</v>
      </c>
      <c r="H1070" t="s">
        <v>150</v>
      </c>
      <c r="I1070" t="s">
        <v>88</v>
      </c>
      <c r="J1070" t="s">
        <v>151</v>
      </c>
      <c r="K1070" t="s">
        <v>2</v>
      </c>
      <c r="L1070" t="s">
        <v>4764</v>
      </c>
      <c r="M1070" t="s">
        <v>4765</v>
      </c>
      <c r="N1070" t="s">
        <v>3996</v>
      </c>
      <c r="O1070" t="s">
        <v>59</v>
      </c>
      <c r="P1070" t="s">
        <v>4766</v>
      </c>
      <c r="Q1070" s="14" t="s">
        <v>38</v>
      </c>
      <c r="R1070" t="s">
        <v>4643</v>
      </c>
      <c r="S1070">
        <v>1.75</v>
      </c>
      <c r="T1070">
        <v>5040</v>
      </c>
      <c r="U1070">
        <v>0</v>
      </c>
      <c r="V1070">
        <v>5040</v>
      </c>
    </row>
    <row r="1071" spans="1:22" x14ac:dyDescent="0.25">
      <c r="A1071">
        <v>186607</v>
      </c>
      <c r="B1071">
        <v>130312171</v>
      </c>
      <c r="C1071" t="s">
        <v>4767</v>
      </c>
      <c r="D1071">
        <v>248153445</v>
      </c>
      <c r="E1071" t="s">
        <v>3994</v>
      </c>
      <c r="F1071" t="s">
        <v>431</v>
      </c>
      <c r="G1071" t="s">
        <v>149</v>
      </c>
      <c r="H1071" t="s">
        <v>150</v>
      </c>
      <c r="I1071" t="s">
        <v>88</v>
      </c>
      <c r="J1071" t="s">
        <v>151</v>
      </c>
      <c r="K1071" t="s">
        <v>2</v>
      </c>
      <c r="L1071" t="s">
        <v>4768</v>
      </c>
      <c r="M1071" t="s">
        <v>4769</v>
      </c>
      <c r="N1071" t="s">
        <v>3996</v>
      </c>
      <c r="O1071" t="s">
        <v>59</v>
      </c>
      <c r="P1071" t="s">
        <v>4770</v>
      </c>
      <c r="Q1071" s="14" t="s">
        <v>98</v>
      </c>
      <c r="R1071" t="s">
        <v>4505</v>
      </c>
      <c r="S1071">
        <v>4.45</v>
      </c>
      <c r="T1071">
        <v>8080</v>
      </c>
      <c r="U1071">
        <v>0</v>
      </c>
      <c r="V1071">
        <v>8080</v>
      </c>
    </row>
    <row r="1072" spans="1:22" x14ac:dyDescent="0.25">
      <c r="A1072">
        <v>186607</v>
      </c>
      <c r="B1072">
        <v>130312118</v>
      </c>
      <c r="C1072" t="s">
        <v>4771</v>
      </c>
      <c r="D1072" t="s">
        <v>4772</v>
      </c>
      <c r="E1072" t="s">
        <v>3994</v>
      </c>
      <c r="F1072" t="s">
        <v>431</v>
      </c>
      <c r="G1072" t="s">
        <v>39</v>
      </c>
      <c r="H1072" t="s">
        <v>153</v>
      </c>
      <c r="I1072" t="s">
        <v>88</v>
      </c>
      <c r="J1072" t="s">
        <v>154</v>
      </c>
      <c r="K1072" t="s">
        <v>2</v>
      </c>
      <c r="L1072" t="s">
        <v>155</v>
      </c>
      <c r="M1072" t="s">
        <v>4773</v>
      </c>
      <c r="N1072" t="s">
        <v>3996</v>
      </c>
      <c r="O1072" t="s">
        <v>59</v>
      </c>
      <c r="P1072" t="s">
        <v>4774</v>
      </c>
      <c r="Q1072" s="14" t="s">
        <v>61</v>
      </c>
      <c r="R1072" t="s">
        <v>4505</v>
      </c>
      <c r="S1072">
        <v>4.95</v>
      </c>
      <c r="T1072">
        <v>4537</v>
      </c>
      <c r="U1072">
        <v>0</v>
      </c>
      <c r="V1072">
        <v>4537</v>
      </c>
    </row>
    <row r="1073" spans="1:22" x14ac:dyDescent="0.25">
      <c r="A1073">
        <v>186607</v>
      </c>
      <c r="B1073">
        <v>130312128</v>
      </c>
      <c r="C1073" t="s">
        <v>4775</v>
      </c>
      <c r="D1073">
        <v>248153505</v>
      </c>
      <c r="E1073" t="s">
        <v>3994</v>
      </c>
      <c r="F1073" t="s">
        <v>431</v>
      </c>
      <c r="G1073" t="s">
        <v>149</v>
      </c>
      <c r="H1073" t="s">
        <v>150</v>
      </c>
      <c r="I1073" t="s">
        <v>88</v>
      </c>
      <c r="J1073" t="s">
        <v>151</v>
      </c>
      <c r="K1073" t="s">
        <v>2</v>
      </c>
      <c r="L1073" t="s">
        <v>4776</v>
      </c>
      <c r="M1073" t="s">
        <v>4777</v>
      </c>
      <c r="N1073" t="s">
        <v>3996</v>
      </c>
      <c r="O1073" t="s">
        <v>59</v>
      </c>
      <c r="P1073" t="s">
        <v>4778</v>
      </c>
      <c r="Q1073" s="14" t="s">
        <v>124</v>
      </c>
      <c r="R1073" t="s">
        <v>4505</v>
      </c>
      <c r="S1073">
        <v>0.5</v>
      </c>
      <c r="T1073">
        <v>4219</v>
      </c>
      <c r="U1073">
        <v>0</v>
      </c>
      <c r="V1073">
        <v>4219</v>
      </c>
    </row>
    <row r="1074" spans="1:22" x14ac:dyDescent="0.25">
      <c r="A1074">
        <v>186607</v>
      </c>
      <c r="B1074">
        <v>130269235</v>
      </c>
      <c r="C1074" t="s">
        <v>4779</v>
      </c>
      <c r="D1074">
        <v>248153590</v>
      </c>
      <c r="E1074" t="s">
        <v>3994</v>
      </c>
      <c r="F1074" t="s">
        <v>431</v>
      </c>
      <c r="G1074" t="s">
        <v>149</v>
      </c>
      <c r="H1074" t="s">
        <v>150</v>
      </c>
      <c r="I1074" t="s">
        <v>88</v>
      </c>
      <c r="J1074" t="s">
        <v>151</v>
      </c>
      <c r="K1074" t="s">
        <v>2</v>
      </c>
      <c r="L1074" t="s">
        <v>4780</v>
      </c>
      <c r="M1074" t="s">
        <v>4781</v>
      </c>
      <c r="N1074" t="s">
        <v>3996</v>
      </c>
      <c r="O1074" t="s">
        <v>59</v>
      </c>
      <c r="P1074" t="s">
        <v>4782</v>
      </c>
      <c r="Q1074" s="14" t="s">
        <v>40</v>
      </c>
      <c r="R1074" t="s">
        <v>4685</v>
      </c>
      <c r="S1074">
        <v>0.5</v>
      </c>
      <c r="T1074">
        <v>4534</v>
      </c>
      <c r="U1074">
        <v>0</v>
      </c>
      <c r="V1074">
        <v>4534</v>
      </c>
    </row>
    <row r="1075" spans="1:22" x14ac:dyDescent="0.25">
      <c r="A1075">
        <v>186607</v>
      </c>
      <c r="B1075">
        <v>130357796</v>
      </c>
      <c r="C1075" t="s">
        <v>4783</v>
      </c>
      <c r="D1075">
        <v>248243962</v>
      </c>
      <c r="E1075" t="s">
        <v>3994</v>
      </c>
      <c r="F1075" t="s">
        <v>431</v>
      </c>
      <c r="G1075" t="s">
        <v>149</v>
      </c>
      <c r="H1075" t="s">
        <v>150</v>
      </c>
      <c r="I1075" t="s">
        <v>88</v>
      </c>
      <c r="J1075" t="s">
        <v>151</v>
      </c>
      <c r="K1075" t="s">
        <v>2</v>
      </c>
      <c r="L1075" t="s">
        <v>388</v>
      </c>
      <c r="M1075" t="s">
        <v>4285</v>
      </c>
      <c r="N1075" t="s">
        <v>3996</v>
      </c>
      <c r="O1075" t="s">
        <v>59</v>
      </c>
      <c r="P1075" t="s">
        <v>4784</v>
      </c>
      <c r="Q1075" s="14" t="s">
        <v>120</v>
      </c>
      <c r="R1075" t="s">
        <v>4643</v>
      </c>
      <c r="S1075">
        <v>0.5</v>
      </c>
      <c r="T1075">
        <v>5153</v>
      </c>
      <c r="U1075">
        <v>0</v>
      </c>
      <c r="V1075">
        <v>5153</v>
      </c>
    </row>
    <row r="1076" spans="1:22" x14ac:dyDescent="0.25">
      <c r="A1076">
        <v>186607</v>
      </c>
      <c r="B1076">
        <v>130312147</v>
      </c>
      <c r="C1076" t="s">
        <v>4785</v>
      </c>
      <c r="D1076">
        <v>248153477</v>
      </c>
      <c r="E1076" t="s">
        <v>3994</v>
      </c>
      <c r="F1076" t="s">
        <v>431</v>
      </c>
      <c r="G1076" t="s">
        <v>149</v>
      </c>
      <c r="H1076" t="s">
        <v>150</v>
      </c>
      <c r="I1076" t="s">
        <v>88</v>
      </c>
      <c r="J1076" t="s">
        <v>151</v>
      </c>
      <c r="K1076" t="s">
        <v>2</v>
      </c>
      <c r="L1076" t="s">
        <v>4786</v>
      </c>
      <c r="M1076" t="s">
        <v>4787</v>
      </c>
      <c r="N1076" t="s">
        <v>3996</v>
      </c>
      <c r="O1076" t="s">
        <v>59</v>
      </c>
      <c r="P1076" t="s">
        <v>4788</v>
      </c>
      <c r="Q1076" s="14" t="s">
        <v>140</v>
      </c>
      <c r="R1076" t="s">
        <v>4505</v>
      </c>
      <c r="S1076">
        <v>1.85</v>
      </c>
      <c r="T1076">
        <v>5040</v>
      </c>
      <c r="U1076">
        <v>0</v>
      </c>
      <c r="V1076">
        <v>5040</v>
      </c>
    </row>
    <row r="1077" spans="1:22" x14ac:dyDescent="0.25">
      <c r="A1077">
        <v>186607</v>
      </c>
      <c r="B1077">
        <v>130357794</v>
      </c>
      <c r="C1077" t="s">
        <v>4789</v>
      </c>
      <c r="D1077">
        <v>248243982</v>
      </c>
      <c r="E1077" t="s">
        <v>3994</v>
      </c>
      <c r="F1077" t="s">
        <v>431</v>
      </c>
      <c r="G1077" t="s">
        <v>149</v>
      </c>
      <c r="H1077" t="s">
        <v>150</v>
      </c>
      <c r="I1077" t="s">
        <v>88</v>
      </c>
      <c r="J1077" t="s">
        <v>151</v>
      </c>
      <c r="K1077" t="s">
        <v>2</v>
      </c>
      <c r="L1077" t="s">
        <v>4790</v>
      </c>
      <c r="M1077" t="s">
        <v>385</v>
      </c>
      <c r="N1077" t="s">
        <v>3996</v>
      </c>
      <c r="O1077" t="s">
        <v>59</v>
      </c>
      <c r="P1077" t="s">
        <v>4791</v>
      </c>
      <c r="Q1077" s="14" t="s">
        <v>95</v>
      </c>
      <c r="R1077" t="s">
        <v>4643</v>
      </c>
      <c r="S1077">
        <v>1</v>
      </c>
      <c r="T1077">
        <v>5749</v>
      </c>
      <c r="U1077">
        <v>0</v>
      </c>
      <c r="V1077">
        <v>5749</v>
      </c>
    </row>
    <row r="1078" spans="1:22" x14ac:dyDescent="0.25">
      <c r="A1078">
        <v>186607</v>
      </c>
      <c r="B1078">
        <v>130312113</v>
      </c>
      <c r="C1078" t="s">
        <v>4792</v>
      </c>
      <c r="D1078">
        <v>248153579</v>
      </c>
      <c r="E1078" t="s">
        <v>3994</v>
      </c>
      <c r="F1078" t="s">
        <v>431</v>
      </c>
      <c r="G1078" t="s">
        <v>149</v>
      </c>
      <c r="H1078" t="s">
        <v>150</v>
      </c>
      <c r="I1078" t="s">
        <v>88</v>
      </c>
      <c r="J1078" t="s">
        <v>151</v>
      </c>
      <c r="K1078" t="s">
        <v>2</v>
      </c>
      <c r="L1078" t="s">
        <v>4793</v>
      </c>
      <c r="M1078" t="s">
        <v>4794</v>
      </c>
      <c r="N1078" t="s">
        <v>3996</v>
      </c>
      <c r="O1078" t="s">
        <v>59</v>
      </c>
      <c r="P1078" t="s">
        <v>4795</v>
      </c>
      <c r="Q1078" s="14" t="s">
        <v>96</v>
      </c>
      <c r="R1078" t="s">
        <v>4505</v>
      </c>
      <c r="S1078">
        <v>0.5</v>
      </c>
      <c r="T1078">
        <v>4219</v>
      </c>
      <c r="U1078">
        <v>0</v>
      </c>
      <c r="V1078">
        <v>4219</v>
      </c>
    </row>
    <row r="1079" spans="1:22" x14ac:dyDescent="0.25">
      <c r="A1079">
        <v>186607</v>
      </c>
      <c r="B1079">
        <v>130269233</v>
      </c>
      <c r="C1079" t="s">
        <v>4796</v>
      </c>
      <c r="D1079">
        <v>248153599</v>
      </c>
      <c r="E1079" t="s">
        <v>3994</v>
      </c>
      <c r="F1079" t="s">
        <v>431</v>
      </c>
      <c r="G1079" t="s">
        <v>149</v>
      </c>
      <c r="H1079" t="s">
        <v>150</v>
      </c>
      <c r="I1079" t="s">
        <v>88</v>
      </c>
      <c r="J1079" t="s">
        <v>151</v>
      </c>
      <c r="K1079" t="s">
        <v>2</v>
      </c>
      <c r="L1079" t="s">
        <v>4797</v>
      </c>
      <c r="M1079" t="s">
        <v>340</v>
      </c>
      <c r="N1079" t="s">
        <v>3996</v>
      </c>
      <c r="O1079" t="s">
        <v>59</v>
      </c>
      <c r="P1079" t="s">
        <v>4798</v>
      </c>
      <c r="Q1079" s="14" t="s">
        <v>106</v>
      </c>
      <c r="R1079" t="s">
        <v>4685</v>
      </c>
      <c r="S1079">
        <v>6.25</v>
      </c>
      <c r="T1079">
        <v>5772</v>
      </c>
      <c r="U1079">
        <v>0</v>
      </c>
      <c r="V1079">
        <v>5772</v>
      </c>
    </row>
    <row r="1080" spans="1:22" x14ac:dyDescent="0.25">
      <c r="A1080">
        <v>186607</v>
      </c>
      <c r="B1080">
        <v>130312129</v>
      </c>
      <c r="C1080" t="s">
        <v>4799</v>
      </c>
      <c r="D1080">
        <v>248153502</v>
      </c>
      <c r="E1080" t="s">
        <v>3994</v>
      </c>
      <c r="F1080" t="s">
        <v>431</v>
      </c>
      <c r="G1080" t="s">
        <v>149</v>
      </c>
      <c r="H1080" t="s">
        <v>150</v>
      </c>
      <c r="I1080" t="s">
        <v>88</v>
      </c>
      <c r="J1080" t="s">
        <v>151</v>
      </c>
      <c r="K1080" t="s">
        <v>2</v>
      </c>
      <c r="L1080" t="s">
        <v>4800</v>
      </c>
      <c r="M1080" t="s">
        <v>4801</v>
      </c>
      <c r="N1080" t="s">
        <v>3996</v>
      </c>
      <c r="O1080" t="s">
        <v>59</v>
      </c>
      <c r="P1080" t="s">
        <v>4802</v>
      </c>
      <c r="Q1080" s="14" t="s">
        <v>124</v>
      </c>
      <c r="R1080" t="s">
        <v>4505</v>
      </c>
      <c r="S1080">
        <v>0.5</v>
      </c>
      <c r="T1080">
        <v>4219</v>
      </c>
      <c r="U1080">
        <v>0</v>
      </c>
      <c r="V1080">
        <v>4219</v>
      </c>
    </row>
    <row r="1081" spans="1:22" x14ac:dyDescent="0.25">
      <c r="A1081">
        <v>186607</v>
      </c>
      <c r="B1081">
        <v>130312163</v>
      </c>
      <c r="C1081" t="s">
        <v>4803</v>
      </c>
      <c r="D1081">
        <v>248153478</v>
      </c>
      <c r="E1081" t="s">
        <v>3994</v>
      </c>
      <c r="F1081" t="s">
        <v>431</v>
      </c>
      <c r="G1081" t="s">
        <v>149</v>
      </c>
      <c r="H1081" t="s">
        <v>150</v>
      </c>
      <c r="I1081" t="s">
        <v>88</v>
      </c>
      <c r="J1081" t="s">
        <v>151</v>
      </c>
      <c r="K1081" t="s">
        <v>2</v>
      </c>
      <c r="L1081" t="s">
        <v>4804</v>
      </c>
      <c r="M1081" t="s">
        <v>4805</v>
      </c>
      <c r="N1081" t="s">
        <v>3996</v>
      </c>
      <c r="O1081" t="s">
        <v>59</v>
      </c>
      <c r="P1081" t="s">
        <v>4806</v>
      </c>
      <c r="Q1081" s="14" t="s">
        <v>183</v>
      </c>
      <c r="R1081" t="s">
        <v>4505</v>
      </c>
      <c r="S1081">
        <v>2.02</v>
      </c>
      <c r="T1081">
        <v>5153</v>
      </c>
      <c r="U1081">
        <v>0</v>
      </c>
      <c r="V1081">
        <v>5153</v>
      </c>
    </row>
    <row r="1082" spans="1:22" x14ac:dyDescent="0.25">
      <c r="A1082">
        <v>186607</v>
      </c>
      <c r="B1082">
        <v>130090585</v>
      </c>
      <c r="C1082" t="s">
        <v>4807</v>
      </c>
      <c r="D1082">
        <v>247669276</v>
      </c>
      <c r="E1082" t="s">
        <v>3994</v>
      </c>
      <c r="F1082" t="s">
        <v>431</v>
      </c>
      <c r="G1082" t="s">
        <v>149</v>
      </c>
      <c r="H1082" t="s">
        <v>150</v>
      </c>
      <c r="I1082" t="s">
        <v>88</v>
      </c>
      <c r="J1082" t="s">
        <v>151</v>
      </c>
      <c r="K1082" t="s">
        <v>2</v>
      </c>
      <c r="L1082" t="s">
        <v>4808</v>
      </c>
      <c r="M1082" t="s">
        <v>4809</v>
      </c>
      <c r="N1082" t="s">
        <v>3996</v>
      </c>
      <c r="O1082" t="s">
        <v>59</v>
      </c>
      <c r="P1082" t="s">
        <v>4810</v>
      </c>
      <c r="Q1082" s="14" t="s">
        <v>168</v>
      </c>
      <c r="R1082" t="s">
        <v>4811</v>
      </c>
      <c r="S1082">
        <v>0.5</v>
      </c>
      <c r="T1082">
        <v>6480</v>
      </c>
      <c r="U1082">
        <v>0</v>
      </c>
      <c r="V1082">
        <v>6480</v>
      </c>
    </row>
    <row r="1083" spans="1:22" x14ac:dyDescent="0.25">
      <c r="A1083">
        <v>186607</v>
      </c>
      <c r="B1083">
        <v>131268186</v>
      </c>
      <c r="C1083" t="s">
        <v>4812</v>
      </c>
      <c r="D1083" t="s">
        <v>4813</v>
      </c>
      <c r="E1083" t="s">
        <v>3994</v>
      </c>
      <c r="F1083" t="s">
        <v>431</v>
      </c>
      <c r="G1083" t="s">
        <v>86</v>
      </c>
      <c r="H1083" t="s">
        <v>87</v>
      </c>
      <c r="I1083" t="s">
        <v>88</v>
      </c>
      <c r="J1083" t="s">
        <v>89</v>
      </c>
      <c r="K1083" t="s">
        <v>2</v>
      </c>
      <c r="L1083" t="s">
        <v>4814</v>
      </c>
      <c r="M1083" t="s">
        <v>4815</v>
      </c>
      <c r="N1083" t="s">
        <v>3996</v>
      </c>
      <c r="O1083" t="s">
        <v>59</v>
      </c>
      <c r="P1083" t="s">
        <v>4816</v>
      </c>
      <c r="Q1083" s="14" t="s">
        <v>164</v>
      </c>
      <c r="R1083" t="s">
        <v>4817</v>
      </c>
      <c r="S1083">
        <v>0.78</v>
      </c>
      <c r="T1083">
        <v>6595</v>
      </c>
      <c r="U1083">
        <v>124.95</v>
      </c>
      <c r="V1083">
        <v>6719.95</v>
      </c>
    </row>
    <row r="1084" spans="1:22" x14ac:dyDescent="0.25">
      <c r="A1084">
        <v>186607</v>
      </c>
      <c r="B1084">
        <v>131234554</v>
      </c>
      <c r="C1084" t="s">
        <v>4818</v>
      </c>
      <c r="D1084" t="s">
        <v>4819</v>
      </c>
      <c r="E1084" t="s">
        <v>3994</v>
      </c>
      <c r="F1084" t="s">
        <v>431</v>
      </c>
      <c r="G1084" t="s">
        <v>86</v>
      </c>
      <c r="H1084" t="s">
        <v>87</v>
      </c>
      <c r="I1084" t="s">
        <v>88</v>
      </c>
      <c r="J1084" t="s">
        <v>89</v>
      </c>
      <c r="K1084" t="s">
        <v>2</v>
      </c>
      <c r="L1084" t="s">
        <v>4820</v>
      </c>
      <c r="M1084" t="s">
        <v>4821</v>
      </c>
      <c r="N1084" t="s">
        <v>3996</v>
      </c>
      <c r="O1084" t="s">
        <v>59</v>
      </c>
      <c r="P1084" t="s">
        <v>4822</v>
      </c>
      <c r="Q1084" s="14" t="s">
        <v>41</v>
      </c>
      <c r="R1084" t="s">
        <v>4006</v>
      </c>
      <c r="S1084">
        <v>0.5</v>
      </c>
      <c r="T1084">
        <v>3735</v>
      </c>
      <c r="U1084">
        <v>124.95</v>
      </c>
      <c r="V1084">
        <v>3859.95</v>
      </c>
    </row>
    <row r="1085" spans="1:22" x14ac:dyDescent="0.25">
      <c r="A1085">
        <v>186607</v>
      </c>
      <c r="B1085">
        <v>130673348</v>
      </c>
      <c r="C1085" t="s">
        <v>4823</v>
      </c>
      <c r="D1085" t="s">
        <v>4824</v>
      </c>
      <c r="E1085" t="s">
        <v>3994</v>
      </c>
      <c r="F1085" t="s">
        <v>431</v>
      </c>
      <c r="G1085" t="s">
        <v>86</v>
      </c>
      <c r="H1085" t="s">
        <v>87</v>
      </c>
      <c r="I1085" t="s">
        <v>88</v>
      </c>
      <c r="J1085" t="s">
        <v>89</v>
      </c>
      <c r="K1085" t="s">
        <v>2</v>
      </c>
      <c r="L1085" t="s">
        <v>4825</v>
      </c>
      <c r="M1085" t="s">
        <v>4826</v>
      </c>
      <c r="N1085" t="s">
        <v>3996</v>
      </c>
      <c r="O1085" t="s">
        <v>59</v>
      </c>
      <c r="P1085" t="s">
        <v>4827</v>
      </c>
      <c r="Q1085" s="14" t="s">
        <v>178</v>
      </c>
      <c r="R1085" t="s">
        <v>4432</v>
      </c>
      <c r="S1085">
        <v>0.5</v>
      </c>
      <c r="T1085">
        <v>6077</v>
      </c>
      <c r="U1085">
        <v>124.95</v>
      </c>
      <c r="V1085">
        <v>6201.95</v>
      </c>
    </row>
    <row r="1086" spans="1:22" x14ac:dyDescent="0.25">
      <c r="A1086">
        <v>186607</v>
      </c>
      <c r="B1086">
        <v>131182390</v>
      </c>
      <c r="C1086" t="s">
        <v>4828</v>
      </c>
      <c r="D1086" t="s">
        <v>4829</v>
      </c>
      <c r="E1086" t="s">
        <v>3994</v>
      </c>
      <c r="F1086" t="s">
        <v>431</v>
      </c>
      <c r="G1086" t="s">
        <v>86</v>
      </c>
      <c r="H1086" t="s">
        <v>87</v>
      </c>
      <c r="I1086" t="s">
        <v>88</v>
      </c>
      <c r="J1086" t="s">
        <v>89</v>
      </c>
      <c r="K1086" t="s">
        <v>2</v>
      </c>
      <c r="L1086" t="s">
        <v>90</v>
      </c>
      <c r="M1086" t="s">
        <v>4830</v>
      </c>
      <c r="N1086" t="s">
        <v>3996</v>
      </c>
      <c r="O1086" t="s">
        <v>59</v>
      </c>
      <c r="P1086" t="s">
        <v>4831</v>
      </c>
      <c r="Q1086" s="14" t="s">
        <v>139</v>
      </c>
      <c r="R1086" t="s">
        <v>4057</v>
      </c>
      <c r="S1086">
        <v>0.78</v>
      </c>
      <c r="T1086">
        <v>5317</v>
      </c>
      <c r="U1086">
        <v>124.95</v>
      </c>
      <c r="V1086">
        <v>5441.95</v>
      </c>
    </row>
    <row r="1087" spans="1:22" x14ac:dyDescent="0.25">
      <c r="A1087">
        <v>186607</v>
      </c>
      <c r="B1087">
        <v>131182395</v>
      </c>
      <c r="C1087" t="s">
        <v>4832</v>
      </c>
      <c r="D1087" t="s">
        <v>4833</v>
      </c>
      <c r="E1087" t="s">
        <v>3994</v>
      </c>
      <c r="F1087" t="s">
        <v>431</v>
      </c>
      <c r="G1087" t="s">
        <v>86</v>
      </c>
      <c r="H1087" t="s">
        <v>87</v>
      </c>
      <c r="I1087" t="s">
        <v>88</v>
      </c>
      <c r="J1087" t="s">
        <v>89</v>
      </c>
      <c r="K1087" t="s">
        <v>46</v>
      </c>
      <c r="L1087" t="s">
        <v>166</v>
      </c>
      <c r="M1087" t="s">
        <v>4834</v>
      </c>
      <c r="N1087" t="s">
        <v>3996</v>
      </c>
      <c r="O1087" t="s">
        <v>59</v>
      </c>
      <c r="P1087" t="s">
        <v>4835</v>
      </c>
      <c r="Q1087" s="14" t="s">
        <v>164</v>
      </c>
      <c r="R1087" t="s">
        <v>4057</v>
      </c>
      <c r="S1087">
        <v>1.5</v>
      </c>
      <c r="T1087">
        <v>8624</v>
      </c>
      <c r="U1087">
        <v>249.9</v>
      </c>
      <c r="V1087">
        <v>8873.9</v>
      </c>
    </row>
    <row r="1088" spans="1:22" x14ac:dyDescent="0.25">
      <c r="A1088">
        <v>186607</v>
      </c>
      <c r="B1088">
        <v>131153138</v>
      </c>
      <c r="C1088" t="s">
        <v>4836</v>
      </c>
      <c r="D1088" t="s">
        <v>4837</v>
      </c>
      <c r="E1088" t="s">
        <v>3994</v>
      </c>
      <c r="F1088" t="s">
        <v>431</v>
      </c>
      <c r="G1088" t="s">
        <v>86</v>
      </c>
      <c r="H1088" t="s">
        <v>87</v>
      </c>
      <c r="I1088" t="s">
        <v>88</v>
      </c>
      <c r="J1088" t="s">
        <v>89</v>
      </c>
      <c r="K1088" t="s">
        <v>2</v>
      </c>
      <c r="L1088" t="s">
        <v>90</v>
      </c>
      <c r="M1088" t="s">
        <v>4838</v>
      </c>
      <c r="N1088" t="s">
        <v>3996</v>
      </c>
      <c r="O1088" t="s">
        <v>59</v>
      </c>
      <c r="P1088" t="s">
        <v>4839</v>
      </c>
      <c r="Q1088" s="14" t="s">
        <v>331</v>
      </c>
      <c r="R1088" t="s">
        <v>344</v>
      </c>
      <c r="S1088">
        <v>0.5</v>
      </c>
      <c r="T1088">
        <v>5887</v>
      </c>
      <c r="U1088">
        <v>124.95</v>
      </c>
      <c r="V1088">
        <v>6011.95</v>
      </c>
    </row>
    <row r="1089" spans="1:22" x14ac:dyDescent="0.25">
      <c r="A1089">
        <v>186607</v>
      </c>
      <c r="B1089">
        <v>131088182</v>
      </c>
      <c r="C1089" t="s">
        <v>4840</v>
      </c>
      <c r="D1089" t="s">
        <v>4841</v>
      </c>
      <c r="E1089" t="s">
        <v>3994</v>
      </c>
      <c r="F1089" t="s">
        <v>431</v>
      </c>
      <c r="G1089" t="s">
        <v>86</v>
      </c>
      <c r="H1089" t="s">
        <v>87</v>
      </c>
      <c r="I1089" t="s">
        <v>88</v>
      </c>
      <c r="J1089" t="s">
        <v>89</v>
      </c>
      <c r="K1089" t="s">
        <v>2</v>
      </c>
      <c r="L1089" t="s">
        <v>90</v>
      </c>
      <c r="M1089" t="s">
        <v>4842</v>
      </c>
      <c r="N1089" t="s">
        <v>3996</v>
      </c>
      <c r="O1089" t="s">
        <v>59</v>
      </c>
      <c r="P1089" t="s">
        <v>4843</v>
      </c>
      <c r="Q1089" s="14" t="s">
        <v>299</v>
      </c>
      <c r="R1089" t="s">
        <v>4066</v>
      </c>
      <c r="S1089">
        <v>1.49</v>
      </c>
      <c r="T1089">
        <v>7238</v>
      </c>
      <c r="U1089">
        <v>249.9</v>
      </c>
      <c r="V1089">
        <v>7487.9</v>
      </c>
    </row>
    <row r="1090" spans="1:22" x14ac:dyDescent="0.25">
      <c r="A1090">
        <v>186607</v>
      </c>
      <c r="B1090">
        <v>131107943</v>
      </c>
      <c r="C1090" t="s">
        <v>4844</v>
      </c>
      <c r="D1090" t="s">
        <v>4845</v>
      </c>
      <c r="E1090" t="s">
        <v>3994</v>
      </c>
      <c r="F1090" t="s">
        <v>431</v>
      </c>
      <c r="G1090" t="s">
        <v>86</v>
      </c>
      <c r="H1090" t="s">
        <v>87</v>
      </c>
      <c r="I1090" t="s">
        <v>88</v>
      </c>
      <c r="J1090" t="s">
        <v>89</v>
      </c>
      <c r="K1090" t="s">
        <v>2</v>
      </c>
      <c r="L1090" t="s">
        <v>90</v>
      </c>
      <c r="M1090" t="s">
        <v>4846</v>
      </c>
      <c r="N1090" t="s">
        <v>3996</v>
      </c>
      <c r="O1090" t="s">
        <v>59</v>
      </c>
      <c r="P1090" t="s">
        <v>4847</v>
      </c>
      <c r="Q1090" s="14" t="s">
        <v>186</v>
      </c>
      <c r="R1090" t="s">
        <v>4074</v>
      </c>
      <c r="S1090">
        <v>2.5499999999999998</v>
      </c>
      <c r="T1090">
        <v>17405</v>
      </c>
      <c r="U1090">
        <v>124.95</v>
      </c>
      <c r="V1090">
        <v>17529.95</v>
      </c>
    </row>
    <row r="1091" spans="1:22" x14ac:dyDescent="0.25">
      <c r="A1091">
        <v>186607</v>
      </c>
      <c r="B1091">
        <v>131152357</v>
      </c>
      <c r="C1091" t="s">
        <v>4848</v>
      </c>
      <c r="D1091" t="s">
        <v>4849</v>
      </c>
      <c r="E1091" t="s">
        <v>3994</v>
      </c>
      <c r="F1091" t="s">
        <v>431</v>
      </c>
      <c r="G1091" t="s">
        <v>86</v>
      </c>
      <c r="H1091" t="s">
        <v>87</v>
      </c>
      <c r="I1091" t="s">
        <v>88</v>
      </c>
      <c r="J1091" t="s">
        <v>89</v>
      </c>
      <c r="K1091" t="s">
        <v>2</v>
      </c>
      <c r="L1091" t="s">
        <v>90</v>
      </c>
      <c r="M1091" t="s">
        <v>4850</v>
      </c>
      <c r="N1091" t="s">
        <v>3996</v>
      </c>
      <c r="O1091" t="s">
        <v>59</v>
      </c>
      <c r="P1091" t="s">
        <v>4851</v>
      </c>
      <c r="Q1091" s="14" t="s">
        <v>329</v>
      </c>
      <c r="R1091" t="s">
        <v>369</v>
      </c>
      <c r="S1091">
        <v>1.82</v>
      </c>
      <c r="T1091">
        <v>8624</v>
      </c>
      <c r="U1091">
        <v>249.9</v>
      </c>
      <c r="V1091">
        <v>8873.9</v>
      </c>
    </row>
    <row r="1092" spans="1:22" x14ac:dyDescent="0.25">
      <c r="A1092">
        <v>186607</v>
      </c>
      <c r="B1092">
        <v>131078764</v>
      </c>
      <c r="C1092" t="s">
        <v>4852</v>
      </c>
      <c r="D1092" t="s">
        <v>4853</v>
      </c>
      <c r="E1092" t="s">
        <v>3994</v>
      </c>
      <c r="F1092" t="s">
        <v>431</v>
      </c>
      <c r="G1092" t="s">
        <v>86</v>
      </c>
      <c r="H1092" t="s">
        <v>87</v>
      </c>
      <c r="I1092" t="s">
        <v>88</v>
      </c>
      <c r="J1092" t="s">
        <v>89</v>
      </c>
      <c r="K1092" t="s">
        <v>2</v>
      </c>
      <c r="L1092" t="s">
        <v>90</v>
      </c>
      <c r="M1092" t="s">
        <v>4854</v>
      </c>
      <c r="N1092" t="s">
        <v>3996</v>
      </c>
      <c r="O1092" t="s">
        <v>59</v>
      </c>
      <c r="P1092" t="s">
        <v>4855</v>
      </c>
      <c r="Q1092" s="14" t="s">
        <v>164</v>
      </c>
      <c r="R1092" t="s">
        <v>4149</v>
      </c>
      <c r="S1092">
        <v>0.3</v>
      </c>
      <c r="T1092">
        <v>6595</v>
      </c>
      <c r="U1092">
        <v>124.95</v>
      </c>
      <c r="V1092">
        <v>6719.95</v>
      </c>
    </row>
    <row r="1093" spans="1:22" x14ac:dyDescent="0.25">
      <c r="A1093">
        <v>186607</v>
      </c>
      <c r="B1093">
        <v>131041126</v>
      </c>
      <c r="C1093" t="s">
        <v>4856</v>
      </c>
      <c r="D1093" t="s">
        <v>4857</v>
      </c>
      <c r="E1093" t="s">
        <v>3994</v>
      </c>
      <c r="F1093" t="s">
        <v>431</v>
      </c>
      <c r="G1093" t="s">
        <v>86</v>
      </c>
      <c r="H1093" t="s">
        <v>87</v>
      </c>
      <c r="I1093" t="s">
        <v>88</v>
      </c>
      <c r="J1093" t="s">
        <v>89</v>
      </c>
      <c r="K1093" t="s">
        <v>2</v>
      </c>
      <c r="L1093" t="s">
        <v>90</v>
      </c>
      <c r="M1093" t="s">
        <v>4858</v>
      </c>
      <c r="N1093" t="s">
        <v>3996</v>
      </c>
      <c r="O1093" t="s">
        <v>59</v>
      </c>
      <c r="P1093" t="s">
        <v>4859</v>
      </c>
      <c r="Q1093" s="14" t="s">
        <v>136</v>
      </c>
      <c r="R1093" t="s">
        <v>4860</v>
      </c>
      <c r="S1093">
        <v>0.75</v>
      </c>
      <c r="T1093">
        <v>6084</v>
      </c>
      <c r="U1093">
        <v>124.95</v>
      </c>
      <c r="V1093">
        <v>6208.95</v>
      </c>
    </row>
    <row r="1094" spans="1:22" x14ac:dyDescent="0.25">
      <c r="A1094">
        <v>186607</v>
      </c>
      <c r="B1094">
        <v>131018109</v>
      </c>
      <c r="C1094" t="s">
        <v>4861</v>
      </c>
      <c r="D1094" t="s">
        <v>4862</v>
      </c>
      <c r="E1094" t="s">
        <v>3994</v>
      </c>
      <c r="F1094" t="s">
        <v>431</v>
      </c>
      <c r="G1094" t="s">
        <v>86</v>
      </c>
      <c r="H1094" t="s">
        <v>87</v>
      </c>
      <c r="I1094" t="s">
        <v>88</v>
      </c>
      <c r="J1094" t="s">
        <v>89</v>
      </c>
      <c r="K1094" t="s">
        <v>2</v>
      </c>
      <c r="L1094" t="s">
        <v>90</v>
      </c>
      <c r="M1094" t="s">
        <v>4863</v>
      </c>
      <c r="N1094" t="s">
        <v>3996</v>
      </c>
      <c r="O1094" t="s">
        <v>59</v>
      </c>
      <c r="P1094" t="s">
        <v>4864</v>
      </c>
      <c r="Q1094" s="14" t="s">
        <v>185</v>
      </c>
      <c r="R1094" t="s">
        <v>370</v>
      </c>
      <c r="S1094">
        <v>1.48</v>
      </c>
      <c r="T1094">
        <v>16360</v>
      </c>
      <c r="U1094">
        <v>249.9</v>
      </c>
      <c r="V1094">
        <v>16609.900000000001</v>
      </c>
    </row>
    <row r="1095" spans="1:22" x14ac:dyDescent="0.25">
      <c r="A1095">
        <v>186607</v>
      </c>
      <c r="B1095">
        <v>130932546</v>
      </c>
      <c r="C1095" t="s">
        <v>4865</v>
      </c>
      <c r="D1095" t="s">
        <v>4866</v>
      </c>
      <c r="E1095" t="s">
        <v>3994</v>
      </c>
      <c r="F1095" t="s">
        <v>431</v>
      </c>
      <c r="G1095" t="s">
        <v>86</v>
      </c>
      <c r="H1095" t="s">
        <v>87</v>
      </c>
      <c r="I1095" t="s">
        <v>88</v>
      </c>
      <c r="J1095" t="s">
        <v>89</v>
      </c>
      <c r="K1095" t="s">
        <v>2</v>
      </c>
      <c r="L1095" t="s">
        <v>90</v>
      </c>
      <c r="M1095" t="s">
        <v>4867</v>
      </c>
      <c r="N1095" t="s">
        <v>3996</v>
      </c>
      <c r="O1095" t="s">
        <v>59</v>
      </c>
      <c r="P1095" t="s">
        <v>4868</v>
      </c>
      <c r="Q1095" s="14" t="s">
        <v>136</v>
      </c>
      <c r="R1095" t="s">
        <v>4227</v>
      </c>
      <c r="S1095">
        <v>2.31</v>
      </c>
      <c r="T1095">
        <v>8079</v>
      </c>
      <c r="U1095">
        <v>374.85</v>
      </c>
      <c r="V1095">
        <v>8453.85</v>
      </c>
    </row>
    <row r="1096" spans="1:22" x14ac:dyDescent="0.25">
      <c r="A1096">
        <v>186607</v>
      </c>
      <c r="B1096">
        <v>130906783</v>
      </c>
      <c r="C1096" t="s">
        <v>4869</v>
      </c>
      <c r="D1096" t="s">
        <v>4870</v>
      </c>
      <c r="E1096" t="s">
        <v>3994</v>
      </c>
      <c r="F1096" t="s">
        <v>431</v>
      </c>
      <c r="G1096" t="s">
        <v>86</v>
      </c>
      <c r="H1096" t="s">
        <v>87</v>
      </c>
      <c r="I1096" t="s">
        <v>88</v>
      </c>
      <c r="J1096" t="s">
        <v>89</v>
      </c>
      <c r="K1096" t="s">
        <v>46</v>
      </c>
      <c r="L1096" t="s">
        <v>231</v>
      </c>
      <c r="M1096" t="s">
        <v>4871</v>
      </c>
      <c r="N1096" t="s">
        <v>3996</v>
      </c>
      <c r="O1096" t="s">
        <v>59</v>
      </c>
      <c r="P1096" t="s">
        <v>4872</v>
      </c>
      <c r="Q1096" s="14" t="s">
        <v>314</v>
      </c>
      <c r="R1096" t="s">
        <v>4255</v>
      </c>
      <c r="S1096">
        <v>0.79</v>
      </c>
      <c r="T1096">
        <v>5605</v>
      </c>
      <c r="U1096">
        <v>124.95</v>
      </c>
      <c r="V1096">
        <v>5729.95</v>
      </c>
    </row>
    <row r="1097" spans="1:22" x14ac:dyDescent="0.25">
      <c r="A1097">
        <v>186607</v>
      </c>
      <c r="B1097">
        <v>130950152</v>
      </c>
      <c r="C1097" t="s">
        <v>4873</v>
      </c>
      <c r="D1097" t="s">
        <v>4874</v>
      </c>
      <c r="E1097" t="s">
        <v>3994</v>
      </c>
      <c r="F1097" t="s">
        <v>431</v>
      </c>
      <c r="G1097" t="s">
        <v>86</v>
      </c>
      <c r="H1097" t="s">
        <v>87</v>
      </c>
      <c r="I1097" t="s">
        <v>88</v>
      </c>
      <c r="J1097" t="s">
        <v>89</v>
      </c>
      <c r="K1097" t="s">
        <v>2</v>
      </c>
      <c r="L1097" t="s">
        <v>90</v>
      </c>
      <c r="M1097" t="s">
        <v>4875</v>
      </c>
      <c r="N1097" t="s">
        <v>3996</v>
      </c>
      <c r="O1097" t="s">
        <v>59</v>
      </c>
      <c r="P1097" t="s">
        <v>4876</v>
      </c>
      <c r="Q1097" s="14" t="s">
        <v>139</v>
      </c>
      <c r="R1097" t="s">
        <v>236</v>
      </c>
      <c r="S1097">
        <v>0.76</v>
      </c>
      <c r="T1097">
        <v>5317</v>
      </c>
      <c r="U1097">
        <v>124.95</v>
      </c>
      <c r="V1097">
        <v>5441.95</v>
      </c>
    </row>
    <row r="1098" spans="1:22" x14ac:dyDescent="0.25">
      <c r="A1098">
        <v>186607</v>
      </c>
      <c r="B1098">
        <v>130932527</v>
      </c>
      <c r="C1098" t="s">
        <v>4877</v>
      </c>
      <c r="D1098" t="s">
        <v>4878</v>
      </c>
      <c r="E1098" t="s">
        <v>3994</v>
      </c>
      <c r="F1098" t="s">
        <v>431</v>
      </c>
      <c r="G1098" t="s">
        <v>86</v>
      </c>
      <c r="H1098" t="s">
        <v>87</v>
      </c>
      <c r="I1098" t="s">
        <v>88</v>
      </c>
      <c r="J1098" t="s">
        <v>89</v>
      </c>
      <c r="K1098" t="s">
        <v>2</v>
      </c>
      <c r="L1098" t="s">
        <v>90</v>
      </c>
      <c r="M1098" t="s">
        <v>4879</v>
      </c>
      <c r="N1098" t="s">
        <v>3996</v>
      </c>
      <c r="O1098" t="s">
        <v>59</v>
      </c>
      <c r="P1098" t="s">
        <v>4880</v>
      </c>
      <c r="Q1098" s="14" t="s">
        <v>164</v>
      </c>
      <c r="R1098" t="s">
        <v>4227</v>
      </c>
      <c r="S1098">
        <v>0.79</v>
      </c>
      <c r="T1098">
        <v>6595</v>
      </c>
      <c r="U1098">
        <v>124.95</v>
      </c>
      <c r="V1098">
        <v>6719.95</v>
      </c>
    </row>
    <row r="1099" spans="1:22" x14ac:dyDescent="0.25">
      <c r="A1099">
        <v>186607</v>
      </c>
      <c r="B1099">
        <v>130868234</v>
      </c>
      <c r="C1099" t="s">
        <v>4881</v>
      </c>
      <c r="D1099" t="s">
        <v>4882</v>
      </c>
      <c r="E1099" t="s">
        <v>3994</v>
      </c>
      <c r="F1099" t="s">
        <v>431</v>
      </c>
      <c r="G1099" t="s">
        <v>86</v>
      </c>
      <c r="H1099" t="s">
        <v>87</v>
      </c>
      <c r="I1099" t="s">
        <v>88</v>
      </c>
      <c r="J1099" t="s">
        <v>89</v>
      </c>
      <c r="K1099" t="s">
        <v>2</v>
      </c>
      <c r="L1099" t="s">
        <v>90</v>
      </c>
      <c r="M1099" t="s">
        <v>4883</v>
      </c>
      <c r="N1099" t="s">
        <v>3996</v>
      </c>
      <c r="O1099" t="s">
        <v>59</v>
      </c>
      <c r="P1099" t="s">
        <v>4884</v>
      </c>
      <c r="Q1099" s="14" t="s">
        <v>319</v>
      </c>
      <c r="R1099" t="s">
        <v>396</v>
      </c>
      <c r="S1099">
        <v>2.27</v>
      </c>
      <c r="T1099">
        <v>8624</v>
      </c>
      <c r="U1099">
        <v>124.95</v>
      </c>
      <c r="V1099">
        <v>8748.9500000000007</v>
      </c>
    </row>
    <row r="1100" spans="1:22" x14ac:dyDescent="0.25">
      <c r="A1100">
        <v>186607</v>
      </c>
      <c r="B1100">
        <v>130771229</v>
      </c>
      <c r="C1100" t="s">
        <v>4885</v>
      </c>
      <c r="D1100" t="s">
        <v>4886</v>
      </c>
      <c r="E1100" t="s">
        <v>3994</v>
      </c>
      <c r="F1100" t="s">
        <v>431</v>
      </c>
      <c r="G1100" t="s">
        <v>86</v>
      </c>
      <c r="H1100" t="s">
        <v>87</v>
      </c>
      <c r="I1100" t="s">
        <v>88</v>
      </c>
      <c r="J1100" t="s">
        <v>89</v>
      </c>
      <c r="K1100" t="s">
        <v>2</v>
      </c>
      <c r="L1100" t="s">
        <v>90</v>
      </c>
      <c r="M1100" t="s">
        <v>4887</v>
      </c>
      <c r="N1100" t="s">
        <v>3996</v>
      </c>
      <c r="O1100" t="s">
        <v>59</v>
      </c>
      <c r="P1100" t="s">
        <v>4888</v>
      </c>
      <c r="Q1100" s="14" t="s">
        <v>186</v>
      </c>
      <c r="R1100" t="s">
        <v>2334</v>
      </c>
      <c r="S1100">
        <v>0.77</v>
      </c>
      <c r="T1100">
        <v>10717</v>
      </c>
      <c r="U1100">
        <v>124.95</v>
      </c>
      <c r="V1100">
        <v>10841.95</v>
      </c>
    </row>
    <row r="1101" spans="1:22" x14ac:dyDescent="0.25">
      <c r="A1101">
        <v>186607</v>
      </c>
      <c r="B1101">
        <v>130830620</v>
      </c>
      <c r="C1101" t="s">
        <v>4889</v>
      </c>
      <c r="D1101" t="s">
        <v>4890</v>
      </c>
      <c r="E1101" t="s">
        <v>3994</v>
      </c>
      <c r="F1101" t="s">
        <v>431</v>
      </c>
      <c r="G1101" t="s">
        <v>86</v>
      </c>
      <c r="H1101" t="s">
        <v>87</v>
      </c>
      <c r="I1101" t="s">
        <v>88</v>
      </c>
      <c r="J1101" t="s">
        <v>89</v>
      </c>
      <c r="K1101" t="s">
        <v>2</v>
      </c>
      <c r="L1101" t="s">
        <v>90</v>
      </c>
      <c r="M1101" t="s">
        <v>260</v>
      </c>
      <c r="N1101" t="s">
        <v>3996</v>
      </c>
      <c r="O1101" t="s">
        <v>59</v>
      </c>
      <c r="P1101" t="s">
        <v>4891</v>
      </c>
      <c r="Q1101" s="14" t="s">
        <v>186</v>
      </c>
      <c r="R1101" t="s">
        <v>407</v>
      </c>
      <c r="S1101">
        <v>0.77</v>
      </c>
      <c r="T1101">
        <v>10717</v>
      </c>
      <c r="U1101">
        <v>124.95</v>
      </c>
      <c r="V1101">
        <v>10841.95</v>
      </c>
    </row>
    <row r="1102" spans="1:22" x14ac:dyDescent="0.25">
      <c r="A1102">
        <v>186607</v>
      </c>
      <c r="B1102">
        <v>130875262</v>
      </c>
      <c r="C1102" t="s">
        <v>4892</v>
      </c>
      <c r="D1102" t="s">
        <v>4893</v>
      </c>
      <c r="E1102" t="s">
        <v>3994</v>
      </c>
      <c r="F1102" t="s">
        <v>431</v>
      </c>
      <c r="G1102" t="s">
        <v>86</v>
      </c>
      <c r="H1102" t="s">
        <v>87</v>
      </c>
      <c r="I1102" t="s">
        <v>88</v>
      </c>
      <c r="J1102" t="s">
        <v>89</v>
      </c>
      <c r="K1102" t="s">
        <v>2</v>
      </c>
      <c r="L1102" t="s">
        <v>90</v>
      </c>
      <c r="M1102" t="s">
        <v>4894</v>
      </c>
      <c r="N1102" t="s">
        <v>3996</v>
      </c>
      <c r="O1102" t="s">
        <v>59</v>
      </c>
      <c r="P1102" t="s">
        <v>4895</v>
      </c>
      <c r="Q1102" s="14" t="s">
        <v>164</v>
      </c>
      <c r="R1102" t="s">
        <v>356</v>
      </c>
      <c r="S1102">
        <v>1.54</v>
      </c>
      <c r="T1102">
        <v>8624</v>
      </c>
      <c r="U1102">
        <v>249.9</v>
      </c>
      <c r="V1102">
        <v>8873.9</v>
      </c>
    </row>
    <row r="1103" spans="1:22" x14ac:dyDescent="0.25">
      <c r="A1103">
        <v>186607</v>
      </c>
      <c r="B1103">
        <v>130395754</v>
      </c>
      <c r="C1103" t="s">
        <v>4896</v>
      </c>
      <c r="D1103" t="s">
        <v>4897</v>
      </c>
      <c r="E1103" t="s">
        <v>3994</v>
      </c>
      <c r="F1103" t="s">
        <v>431</v>
      </c>
      <c r="G1103" t="s">
        <v>86</v>
      </c>
      <c r="H1103" t="s">
        <v>87</v>
      </c>
      <c r="I1103" t="s">
        <v>88</v>
      </c>
      <c r="J1103" t="s">
        <v>89</v>
      </c>
      <c r="K1103" t="s">
        <v>46</v>
      </c>
      <c r="L1103" t="s">
        <v>231</v>
      </c>
      <c r="M1103" t="s">
        <v>4898</v>
      </c>
      <c r="N1103" t="s">
        <v>3996</v>
      </c>
      <c r="O1103" t="s">
        <v>59</v>
      </c>
      <c r="P1103" t="s">
        <v>4899</v>
      </c>
      <c r="Q1103" s="14" t="s">
        <v>314</v>
      </c>
      <c r="R1103" t="s">
        <v>4680</v>
      </c>
      <c r="S1103">
        <v>0.77</v>
      </c>
      <c r="T1103">
        <v>5605</v>
      </c>
      <c r="U1103">
        <v>124.95</v>
      </c>
      <c r="V1103">
        <v>5729.95</v>
      </c>
    </row>
    <row r="1104" spans="1:22" x14ac:dyDescent="0.25">
      <c r="A1104">
        <v>186607</v>
      </c>
      <c r="B1104">
        <v>130395773</v>
      </c>
      <c r="C1104" t="s">
        <v>4900</v>
      </c>
      <c r="D1104" t="s">
        <v>4901</v>
      </c>
      <c r="E1104" t="s">
        <v>3994</v>
      </c>
      <c r="F1104" t="s">
        <v>431</v>
      </c>
      <c r="G1104" t="s">
        <v>86</v>
      </c>
      <c r="H1104" t="s">
        <v>87</v>
      </c>
      <c r="I1104" t="s">
        <v>88</v>
      </c>
      <c r="J1104" t="s">
        <v>89</v>
      </c>
      <c r="K1104" t="s">
        <v>2</v>
      </c>
      <c r="L1104" t="s">
        <v>90</v>
      </c>
      <c r="M1104" t="s">
        <v>4902</v>
      </c>
      <c r="N1104" t="s">
        <v>3996</v>
      </c>
      <c r="O1104" t="s">
        <v>59</v>
      </c>
      <c r="P1104" t="s">
        <v>4903</v>
      </c>
      <c r="Q1104" s="14" t="s">
        <v>117</v>
      </c>
      <c r="R1104" t="s">
        <v>4680</v>
      </c>
      <c r="S1104">
        <v>0.72</v>
      </c>
      <c r="T1104">
        <v>4481</v>
      </c>
      <c r="U1104">
        <v>124.95</v>
      </c>
      <c r="V1104">
        <v>4605.95</v>
      </c>
    </row>
    <row r="1105" spans="1:22" x14ac:dyDescent="0.25">
      <c r="A1105">
        <v>186607</v>
      </c>
      <c r="B1105">
        <v>130312168</v>
      </c>
      <c r="C1105" t="s">
        <v>4904</v>
      </c>
      <c r="D1105" t="s">
        <v>4905</v>
      </c>
      <c r="E1105" t="s">
        <v>3994</v>
      </c>
      <c r="F1105" t="s">
        <v>431</v>
      </c>
      <c r="G1105" t="s">
        <v>86</v>
      </c>
      <c r="H1105" t="s">
        <v>87</v>
      </c>
      <c r="I1105" t="s">
        <v>88</v>
      </c>
      <c r="J1105" t="s">
        <v>89</v>
      </c>
      <c r="K1105" t="s">
        <v>2</v>
      </c>
      <c r="L1105" t="s">
        <v>90</v>
      </c>
      <c r="M1105" t="s">
        <v>4906</v>
      </c>
      <c r="N1105" t="s">
        <v>3996</v>
      </c>
      <c r="O1105" t="s">
        <v>59</v>
      </c>
      <c r="P1105" t="s">
        <v>4907</v>
      </c>
      <c r="Q1105" s="14" t="s">
        <v>316</v>
      </c>
      <c r="R1105" t="s">
        <v>4505</v>
      </c>
      <c r="S1105">
        <v>1.56</v>
      </c>
      <c r="T1105">
        <v>7337</v>
      </c>
      <c r="U1105">
        <v>249.9</v>
      </c>
      <c r="V1105">
        <v>7586.9</v>
      </c>
    </row>
    <row r="1106" spans="1:22" x14ac:dyDescent="0.25">
      <c r="A1106">
        <v>186607</v>
      </c>
      <c r="B1106">
        <v>130312127</v>
      </c>
      <c r="C1106" t="s">
        <v>4908</v>
      </c>
      <c r="D1106" t="s">
        <v>4909</v>
      </c>
      <c r="E1106" t="s">
        <v>3994</v>
      </c>
      <c r="F1106" t="s">
        <v>431</v>
      </c>
      <c r="G1106" t="s">
        <v>86</v>
      </c>
      <c r="H1106" t="s">
        <v>87</v>
      </c>
      <c r="I1106" t="s">
        <v>88</v>
      </c>
      <c r="J1106" t="s">
        <v>89</v>
      </c>
      <c r="K1106" t="s">
        <v>2</v>
      </c>
      <c r="L1106" t="s">
        <v>90</v>
      </c>
      <c r="M1106" t="s">
        <v>4910</v>
      </c>
      <c r="N1106" t="s">
        <v>3996</v>
      </c>
      <c r="O1106" t="s">
        <v>59</v>
      </c>
      <c r="P1106" t="s">
        <v>4911</v>
      </c>
      <c r="Q1106" s="14" t="s">
        <v>164</v>
      </c>
      <c r="R1106" t="s">
        <v>4505</v>
      </c>
      <c r="S1106">
        <v>1.52</v>
      </c>
      <c r="T1106">
        <v>8624</v>
      </c>
      <c r="U1106">
        <v>249.9</v>
      </c>
      <c r="V1106">
        <v>8873.9</v>
      </c>
    </row>
    <row r="1107" spans="1:22" x14ac:dyDescent="0.25">
      <c r="A1107">
        <v>186607</v>
      </c>
      <c r="B1107">
        <v>130220575</v>
      </c>
      <c r="C1107" t="s">
        <v>4912</v>
      </c>
      <c r="D1107" t="s">
        <v>4913</v>
      </c>
      <c r="E1107" t="s">
        <v>3994</v>
      </c>
      <c r="F1107" t="s">
        <v>431</v>
      </c>
      <c r="G1107" t="s">
        <v>86</v>
      </c>
      <c r="H1107" t="s">
        <v>87</v>
      </c>
      <c r="I1107" t="s">
        <v>88</v>
      </c>
      <c r="J1107" t="s">
        <v>89</v>
      </c>
      <c r="K1107" t="s">
        <v>46</v>
      </c>
      <c r="L1107" t="s">
        <v>231</v>
      </c>
      <c r="M1107" t="s">
        <v>4914</v>
      </c>
      <c r="N1107" t="s">
        <v>3996</v>
      </c>
      <c r="O1107" t="s">
        <v>59</v>
      </c>
      <c r="P1107" t="s">
        <v>4915</v>
      </c>
      <c r="Q1107" s="14" t="s">
        <v>139</v>
      </c>
      <c r="R1107" t="s">
        <v>4916</v>
      </c>
      <c r="S1107">
        <v>0.76</v>
      </c>
      <c r="T1107">
        <v>5317</v>
      </c>
      <c r="U1107">
        <v>124.95</v>
      </c>
      <c r="V1107">
        <v>5441.95</v>
      </c>
    </row>
    <row r="1108" spans="1:22" x14ac:dyDescent="0.25">
      <c r="A1108">
        <v>186607</v>
      </c>
      <c r="B1108">
        <v>130220556</v>
      </c>
      <c r="C1108" t="s">
        <v>4917</v>
      </c>
      <c r="D1108" t="s">
        <v>4918</v>
      </c>
      <c r="E1108" t="s">
        <v>3994</v>
      </c>
      <c r="F1108" t="s">
        <v>431</v>
      </c>
      <c r="G1108" t="s">
        <v>86</v>
      </c>
      <c r="H1108" t="s">
        <v>87</v>
      </c>
      <c r="I1108" t="s">
        <v>88</v>
      </c>
      <c r="J1108" t="s">
        <v>89</v>
      </c>
      <c r="K1108" t="s">
        <v>2</v>
      </c>
      <c r="L1108" t="s">
        <v>90</v>
      </c>
      <c r="M1108" t="s">
        <v>4919</v>
      </c>
      <c r="N1108" t="s">
        <v>3996</v>
      </c>
      <c r="O1108" t="s">
        <v>59</v>
      </c>
      <c r="P1108" t="s">
        <v>4920</v>
      </c>
      <c r="Q1108" s="14" t="s">
        <v>139</v>
      </c>
      <c r="R1108" t="s">
        <v>4916</v>
      </c>
      <c r="S1108">
        <v>0.76</v>
      </c>
      <c r="T1108">
        <v>5317</v>
      </c>
      <c r="U1108">
        <v>124.95</v>
      </c>
      <c r="V1108">
        <v>5441.95</v>
      </c>
    </row>
    <row r="1109" spans="1:22" x14ac:dyDescent="0.25">
      <c r="A1109">
        <v>186607</v>
      </c>
      <c r="B1109">
        <v>130220581</v>
      </c>
      <c r="C1109" t="s">
        <v>4921</v>
      </c>
      <c r="D1109" t="s">
        <v>4922</v>
      </c>
      <c r="E1109" t="s">
        <v>3994</v>
      </c>
      <c r="F1109" t="s">
        <v>431</v>
      </c>
      <c r="G1109" t="s">
        <v>86</v>
      </c>
      <c r="H1109" t="s">
        <v>87</v>
      </c>
      <c r="I1109" t="s">
        <v>88</v>
      </c>
      <c r="J1109" t="s">
        <v>89</v>
      </c>
      <c r="K1109" t="s">
        <v>2</v>
      </c>
      <c r="L1109" t="s">
        <v>90</v>
      </c>
      <c r="M1109" t="s">
        <v>4923</v>
      </c>
      <c r="N1109" t="s">
        <v>3996</v>
      </c>
      <c r="O1109" t="s">
        <v>59</v>
      </c>
      <c r="P1109" t="s">
        <v>4924</v>
      </c>
      <c r="Q1109" s="14" t="s">
        <v>164</v>
      </c>
      <c r="R1109" t="s">
        <v>4916</v>
      </c>
      <c r="S1109">
        <v>0.78</v>
      </c>
      <c r="T1109">
        <v>6595</v>
      </c>
      <c r="U1109">
        <v>124.95</v>
      </c>
      <c r="V1109">
        <v>6719.95</v>
      </c>
    </row>
    <row r="1110" spans="1:22" x14ac:dyDescent="0.25">
      <c r="A1110">
        <v>186607</v>
      </c>
      <c r="B1110">
        <v>131018123</v>
      </c>
      <c r="C1110" t="s">
        <v>4925</v>
      </c>
      <c r="D1110" t="s">
        <v>4926</v>
      </c>
      <c r="E1110" t="s">
        <v>3994</v>
      </c>
      <c r="F1110" t="s">
        <v>431</v>
      </c>
      <c r="G1110" t="s">
        <v>39</v>
      </c>
      <c r="H1110" t="s">
        <v>153</v>
      </c>
      <c r="I1110" t="s">
        <v>88</v>
      </c>
      <c r="J1110" t="s">
        <v>154</v>
      </c>
      <c r="K1110" t="s">
        <v>2</v>
      </c>
      <c r="L1110" t="s">
        <v>155</v>
      </c>
      <c r="M1110" t="s">
        <v>4927</v>
      </c>
      <c r="N1110" t="s">
        <v>3996</v>
      </c>
      <c r="O1110" t="s">
        <v>59</v>
      </c>
      <c r="P1110" t="s">
        <v>4928</v>
      </c>
      <c r="Q1110" s="14" t="s">
        <v>293</v>
      </c>
      <c r="R1110" t="s">
        <v>370</v>
      </c>
      <c r="S1110">
        <v>3.92</v>
      </c>
      <c r="T1110">
        <v>6998</v>
      </c>
      <c r="U1110">
        <v>0</v>
      </c>
      <c r="V1110">
        <v>6998</v>
      </c>
    </row>
    <row r="1111" spans="1:22" x14ac:dyDescent="0.25">
      <c r="A1111">
        <v>186607</v>
      </c>
      <c r="B1111">
        <v>131018114</v>
      </c>
      <c r="C1111" t="s">
        <v>4929</v>
      </c>
      <c r="D1111" t="s">
        <v>4930</v>
      </c>
      <c r="E1111" t="s">
        <v>3994</v>
      </c>
      <c r="F1111" t="s">
        <v>431</v>
      </c>
      <c r="G1111" t="s">
        <v>39</v>
      </c>
      <c r="H1111" t="s">
        <v>153</v>
      </c>
      <c r="I1111" t="s">
        <v>88</v>
      </c>
      <c r="J1111" t="s">
        <v>154</v>
      </c>
      <c r="K1111" t="s">
        <v>2</v>
      </c>
      <c r="L1111" t="s">
        <v>155</v>
      </c>
      <c r="M1111" t="s">
        <v>4931</v>
      </c>
      <c r="N1111" t="s">
        <v>3996</v>
      </c>
      <c r="O1111" t="s">
        <v>59</v>
      </c>
      <c r="P1111" t="s">
        <v>4932</v>
      </c>
      <c r="Q1111" s="14" t="s">
        <v>52</v>
      </c>
      <c r="R1111" t="s">
        <v>370</v>
      </c>
      <c r="S1111">
        <v>4.18</v>
      </c>
      <c r="T1111">
        <v>4537</v>
      </c>
      <c r="U1111">
        <v>0</v>
      </c>
      <c r="V1111">
        <v>4537</v>
      </c>
    </row>
    <row r="1112" spans="1:22" x14ac:dyDescent="0.25">
      <c r="A1112">
        <v>186607</v>
      </c>
      <c r="B1112">
        <v>130932520</v>
      </c>
      <c r="C1112" t="s">
        <v>4933</v>
      </c>
      <c r="D1112" t="s">
        <v>4934</v>
      </c>
      <c r="E1112" t="s">
        <v>3994</v>
      </c>
      <c r="F1112" t="s">
        <v>431</v>
      </c>
      <c r="G1112" t="s">
        <v>39</v>
      </c>
      <c r="H1112" t="s">
        <v>153</v>
      </c>
      <c r="I1112" t="s">
        <v>88</v>
      </c>
      <c r="J1112" t="s">
        <v>154</v>
      </c>
      <c r="K1112" t="s">
        <v>2</v>
      </c>
      <c r="L1112" t="s">
        <v>155</v>
      </c>
      <c r="M1112" t="s">
        <v>269</v>
      </c>
      <c r="N1112" t="s">
        <v>3996</v>
      </c>
      <c r="O1112" t="s">
        <v>59</v>
      </c>
      <c r="P1112" t="s">
        <v>4935</v>
      </c>
      <c r="Q1112" s="14" t="s">
        <v>174</v>
      </c>
      <c r="R1112" t="s">
        <v>4227</v>
      </c>
      <c r="S1112">
        <v>3.24</v>
      </c>
      <c r="T1112">
        <v>7449</v>
      </c>
      <c r="U1112">
        <v>0</v>
      </c>
      <c r="V1112">
        <v>7449</v>
      </c>
    </row>
    <row r="1113" spans="1:22" x14ac:dyDescent="0.25">
      <c r="A1113">
        <v>186607</v>
      </c>
      <c r="B1113">
        <v>130932524</v>
      </c>
      <c r="C1113" t="s">
        <v>4936</v>
      </c>
      <c r="D1113" t="s">
        <v>4937</v>
      </c>
      <c r="E1113" t="s">
        <v>3994</v>
      </c>
      <c r="F1113" t="s">
        <v>431</v>
      </c>
      <c r="G1113" t="s">
        <v>39</v>
      </c>
      <c r="H1113" t="s">
        <v>153</v>
      </c>
      <c r="I1113" t="s">
        <v>88</v>
      </c>
      <c r="J1113" t="s">
        <v>154</v>
      </c>
      <c r="K1113" t="s">
        <v>2</v>
      </c>
      <c r="L1113" t="s">
        <v>155</v>
      </c>
      <c r="M1113" t="s">
        <v>4938</v>
      </c>
      <c r="N1113" t="s">
        <v>3996</v>
      </c>
      <c r="O1113" t="s">
        <v>59</v>
      </c>
      <c r="P1113" t="s">
        <v>4939</v>
      </c>
      <c r="Q1113" s="14" t="s">
        <v>67</v>
      </c>
      <c r="R1113" t="s">
        <v>4227</v>
      </c>
      <c r="S1113">
        <v>4.21</v>
      </c>
      <c r="T1113">
        <v>7224</v>
      </c>
      <c r="U1113">
        <v>0</v>
      </c>
      <c r="V1113">
        <v>7224</v>
      </c>
    </row>
    <row r="1114" spans="1:22" x14ac:dyDescent="0.25">
      <c r="A1114">
        <v>186607</v>
      </c>
      <c r="B1114">
        <v>130932537</v>
      </c>
      <c r="C1114" t="s">
        <v>4940</v>
      </c>
      <c r="D1114" t="s">
        <v>4941</v>
      </c>
      <c r="E1114" t="s">
        <v>3994</v>
      </c>
      <c r="F1114" t="s">
        <v>431</v>
      </c>
      <c r="G1114" t="s">
        <v>39</v>
      </c>
      <c r="H1114" t="s">
        <v>153</v>
      </c>
      <c r="I1114" t="s">
        <v>88</v>
      </c>
      <c r="J1114" t="s">
        <v>154</v>
      </c>
      <c r="K1114" t="s">
        <v>2</v>
      </c>
      <c r="L1114" t="s">
        <v>155</v>
      </c>
      <c r="M1114" t="s">
        <v>4942</v>
      </c>
      <c r="N1114" t="s">
        <v>3996</v>
      </c>
      <c r="O1114" t="s">
        <v>59</v>
      </c>
      <c r="P1114" t="s">
        <v>4943</v>
      </c>
      <c r="Q1114" s="14" t="s">
        <v>52</v>
      </c>
      <c r="R1114" t="s">
        <v>4227</v>
      </c>
      <c r="S1114">
        <v>4.4800000000000004</v>
      </c>
      <c r="T1114">
        <v>4537</v>
      </c>
      <c r="U1114">
        <v>0</v>
      </c>
      <c r="V1114">
        <v>4537</v>
      </c>
    </row>
    <row r="1115" spans="1:22" x14ac:dyDescent="0.25">
      <c r="A1115">
        <v>186607</v>
      </c>
      <c r="B1115">
        <v>130975936</v>
      </c>
      <c r="C1115" t="s">
        <v>4944</v>
      </c>
      <c r="D1115" t="s">
        <v>4945</v>
      </c>
      <c r="E1115" t="s">
        <v>3994</v>
      </c>
      <c r="F1115" t="s">
        <v>431</v>
      </c>
      <c r="G1115" t="s">
        <v>39</v>
      </c>
      <c r="H1115" t="s">
        <v>153</v>
      </c>
      <c r="I1115" t="s">
        <v>88</v>
      </c>
      <c r="J1115" t="s">
        <v>154</v>
      </c>
      <c r="K1115" t="s">
        <v>2</v>
      </c>
      <c r="L1115" t="s">
        <v>155</v>
      </c>
      <c r="M1115" t="s">
        <v>4946</v>
      </c>
      <c r="N1115" t="s">
        <v>3996</v>
      </c>
      <c r="O1115" t="s">
        <v>59</v>
      </c>
      <c r="P1115" t="s">
        <v>4947</v>
      </c>
      <c r="Q1115" s="14" t="s">
        <v>226</v>
      </c>
      <c r="R1115" t="s">
        <v>4209</v>
      </c>
      <c r="S1115">
        <v>4.6100000000000003</v>
      </c>
      <c r="T1115">
        <v>7224</v>
      </c>
      <c r="U1115">
        <v>0</v>
      </c>
      <c r="V1115">
        <v>7224</v>
      </c>
    </row>
    <row r="1116" spans="1:22" x14ac:dyDescent="0.25">
      <c r="A1116">
        <v>186607</v>
      </c>
      <c r="B1116">
        <v>130906781</v>
      </c>
      <c r="C1116" t="s">
        <v>4948</v>
      </c>
      <c r="D1116" t="s">
        <v>4949</v>
      </c>
      <c r="E1116" t="s">
        <v>3994</v>
      </c>
      <c r="F1116" t="s">
        <v>431</v>
      </c>
      <c r="G1116" t="s">
        <v>39</v>
      </c>
      <c r="H1116" t="s">
        <v>153</v>
      </c>
      <c r="I1116" t="s">
        <v>88</v>
      </c>
      <c r="J1116" t="s">
        <v>154</v>
      </c>
      <c r="K1116" t="s">
        <v>2</v>
      </c>
      <c r="L1116" t="s">
        <v>155</v>
      </c>
      <c r="M1116" t="s">
        <v>4950</v>
      </c>
      <c r="N1116" t="s">
        <v>3996</v>
      </c>
      <c r="O1116" t="s">
        <v>59</v>
      </c>
      <c r="P1116" t="s">
        <v>4951</v>
      </c>
      <c r="Q1116" s="14" t="s">
        <v>116</v>
      </c>
      <c r="R1116" t="s">
        <v>4255</v>
      </c>
      <c r="S1116">
        <v>4.5</v>
      </c>
      <c r="T1116">
        <v>7224</v>
      </c>
      <c r="U1116">
        <v>0</v>
      </c>
      <c r="V1116">
        <v>7224</v>
      </c>
    </row>
    <row r="1117" spans="1:22" x14ac:dyDescent="0.25">
      <c r="A1117">
        <v>186607</v>
      </c>
      <c r="B1117">
        <v>130932532</v>
      </c>
      <c r="C1117" t="s">
        <v>4952</v>
      </c>
      <c r="D1117" t="s">
        <v>4953</v>
      </c>
      <c r="E1117" t="s">
        <v>3994</v>
      </c>
      <c r="F1117" t="s">
        <v>431</v>
      </c>
      <c r="G1117" t="s">
        <v>39</v>
      </c>
      <c r="H1117" t="s">
        <v>153</v>
      </c>
      <c r="I1117" t="s">
        <v>88</v>
      </c>
      <c r="J1117" t="s">
        <v>154</v>
      </c>
      <c r="K1117" t="s">
        <v>2</v>
      </c>
      <c r="L1117" t="s">
        <v>155</v>
      </c>
      <c r="M1117" t="s">
        <v>4954</v>
      </c>
      <c r="N1117" t="s">
        <v>3996</v>
      </c>
      <c r="O1117" t="s">
        <v>59</v>
      </c>
      <c r="P1117" t="s">
        <v>4955</v>
      </c>
      <c r="Q1117" s="14" t="s">
        <v>52</v>
      </c>
      <c r="R1117" t="s">
        <v>4227</v>
      </c>
      <c r="S1117">
        <v>4.95</v>
      </c>
      <c r="T1117">
        <v>4537</v>
      </c>
      <c r="U1117">
        <v>0</v>
      </c>
      <c r="V1117">
        <v>4537</v>
      </c>
    </row>
    <row r="1118" spans="1:22" x14ac:dyDescent="0.25">
      <c r="A1118">
        <v>186607</v>
      </c>
      <c r="B1118">
        <v>131041116</v>
      </c>
      <c r="C1118" t="s">
        <v>4956</v>
      </c>
      <c r="D1118" t="s">
        <v>4957</v>
      </c>
      <c r="E1118" t="s">
        <v>3994</v>
      </c>
      <c r="F1118" t="s">
        <v>431</v>
      </c>
      <c r="G1118" t="s">
        <v>39</v>
      </c>
      <c r="H1118" t="s">
        <v>153</v>
      </c>
      <c r="I1118" t="s">
        <v>88</v>
      </c>
      <c r="J1118" t="s">
        <v>154</v>
      </c>
      <c r="K1118" t="s">
        <v>2</v>
      </c>
      <c r="L1118" t="s">
        <v>155</v>
      </c>
      <c r="M1118" t="s">
        <v>4958</v>
      </c>
      <c r="N1118" t="s">
        <v>3996</v>
      </c>
      <c r="O1118" t="s">
        <v>59</v>
      </c>
      <c r="P1118" t="s">
        <v>4959</v>
      </c>
      <c r="Q1118" s="14" t="s">
        <v>135</v>
      </c>
      <c r="R1118" t="s">
        <v>4144</v>
      </c>
      <c r="S1118">
        <v>2.97</v>
      </c>
      <c r="T1118">
        <v>6800</v>
      </c>
      <c r="U1118">
        <v>0</v>
      </c>
      <c r="V1118">
        <v>6800</v>
      </c>
    </row>
    <row r="1119" spans="1:22" x14ac:dyDescent="0.25">
      <c r="A1119">
        <v>186607</v>
      </c>
      <c r="B1119">
        <v>130975929</v>
      </c>
      <c r="C1119" t="s">
        <v>4960</v>
      </c>
      <c r="D1119" t="s">
        <v>4961</v>
      </c>
      <c r="E1119" t="s">
        <v>3994</v>
      </c>
      <c r="F1119" t="s">
        <v>431</v>
      </c>
      <c r="G1119" t="s">
        <v>39</v>
      </c>
      <c r="H1119" t="s">
        <v>153</v>
      </c>
      <c r="I1119" t="s">
        <v>88</v>
      </c>
      <c r="J1119" t="s">
        <v>154</v>
      </c>
      <c r="K1119" t="s">
        <v>2</v>
      </c>
      <c r="L1119" t="s">
        <v>155</v>
      </c>
      <c r="M1119" t="s">
        <v>4962</v>
      </c>
      <c r="N1119" t="s">
        <v>3996</v>
      </c>
      <c r="O1119" t="s">
        <v>59</v>
      </c>
      <c r="P1119" t="s">
        <v>4963</v>
      </c>
      <c r="Q1119" s="14" t="s">
        <v>61</v>
      </c>
      <c r="R1119" t="s">
        <v>4209</v>
      </c>
      <c r="S1119">
        <v>4.91</v>
      </c>
      <c r="T1119">
        <v>4537</v>
      </c>
      <c r="U1119">
        <v>0</v>
      </c>
      <c r="V1119">
        <v>4537</v>
      </c>
    </row>
    <row r="1120" spans="1:22" x14ac:dyDescent="0.25">
      <c r="A1120">
        <v>186607</v>
      </c>
      <c r="B1120">
        <v>130771204</v>
      </c>
      <c r="C1120" t="s">
        <v>4964</v>
      </c>
      <c r="D1120" t="s">
        <v>4965</v>
      </c>
      <c r="E1120" t="s">
        <v>3994</v>
      </c>
      <c r="F1120" t="s">
        <v>431</v>
      </c>
      <c r="G1120" t="s">
        <v>39</v>
      </c>
      <c r="H1120" t="s">
        <v>153</v>
      </c>
      <c r="I1120" t="s">
        <v>88</v>
      </c>
      <c r="J1120" t="s">
        <v>154</v>
      </c>
      <c r="K1120" t="s">
        <v>2</v>
      </c>
      <c r="L1120" t="s">
        <v>155</v>
      </c>
      <c r="M1120" t="s">
        <v>4966</v>
      </c>
      <c r="N1120" t="s">
        <v>3996</v>
      </c>
      <c r="O1120" t="s">
        <v>59</v>
      </c>
      <c r="P1120" t="s">
        <v>4967</v>
      </c>
      <c r="Q1120" s="14" t="s">
        <v>61</v>
      </c>
      <c r="R1120" t="s">
        <v>2334</v>
      </c>
      <c r="S1120">
        <v>3.08</v>
      </c>
      <c r="T1120">
        <v>4537</v>
      </c>
      <c r="U1120">
        <v>0</v>
      </c>
      <c r="V1120">
        <v>4537</v>
      </c>
    </row>
    <row r="1121" spans="1:22" x14ac:dyDescent="0.25">
      <c r="A1121">
        <v>186607</v>
      </c>
      <c r="B1121">
        <v>130780370</v>
      </c>
      <c r="C1121" t="s">
        <v>4968</v>
      </c>
      <c r="D1121" t="s">
        <v>4969</v>
      </c>
      <c r="E1121" t="s">
        <v>3994</v>
      </c>
      <c r="F1121" t="s">
        <v>431</v>
      </c>
      <c r="G1121" t="s">
        <v>39</v>
      </c>
      <c r="H1121" t="s">
        <v>153</v>
      </c>
      <c r="I1121" t="s">
        <v>88</v>
      </c>
      <c r="J1121" t="s">
        <v>154</v>
      </c>
      <c r="K1121" t="s">
        <v>2</v>
      </c>
      <c r="L1121" t="s">
        <v>155</v>
      </c>
      <c r="M1121" t="s">
        <v>4970</v>
      </c>
      <c r="N1121" t="s">
        <v>3996</v>
      </c>
      <c r="O1121" t="s">
        <v>59</v>
      </c>
      <c r="P1121" t="s">
        <v>4971</v>
      </c>
      <c r="Q1121" s="14" t="s">
        <v>52</v>
      </c>
      <c r="R1121" t="s">
        <v>387</v>
      </c>
      <c r="S1121">
        <v>3.74</v>
      </c>
      <c r="T1121">
        <v>4537</v>
      </c>
      <c r="U1121">
        <v>0</v>
      </c>
      <c r="V1121">
        <v>4537</v>
      </c>
    </row>
    <row r="1122" spans="1:22" x14ac:dyDescent="0.25">
      <c r="A1122">
        <v>186607</v>
      </c>
      <c r="B1122">
        <v>130771199</v>
      </c>
      <c r="C1122" t="s">
        <v>4972</v>
      </c>
      <c r="D1122" t="s">
        <v>4973</v>
      </c>
      <c r="E1122" t="s">
        <v>3994</v>
      </c>
      <c r="F1122" t="s">
        <v>431</v>
      </c>
      <c r="G1122" t="s">
        <v>39</v>
      </c>
      <c r="H1122" t="s">
        <v>153</v>
      </c>
      <c r="I1122" t="s">
        <v>88</v>
      </c>
      <c r="J1122" t="s">
        <v>154</v>
      </c>
      <c r="K1122" t="s">
        <v>2</v>
      </c>
      <c r="L1122" t="s">
        <v>155</v>
      </c>
      <c r="M1122" t="s">
        <v>4974</v>
      </c>
      <c r="N1122" t="s">
        <v>3996</v>
      </c>
      <c r="O1122" t="s">
        <v>59</v>
      </c>
      <c r="P1122" t="s">
        <v>4975</v>
      </c>
      <c r="Q1122" s="14" t="s">
        <v>69</v>
      </c>
      <c r="R1122" t="s">
        <v>2334</v>
      </c>
      <c r="S1122">
        <v>3.66</v>
      </c>
      <c r="T1122">
        <v>4537</v>
      </c>
      <c r="U1122">
        <v>0</v>
      </c>
      <c r="V1122">
        <v>4537</v>
      </c>
    </row>
    <row r="1123" spans="1:22" x14ac:dyDescent="0.25">
      <c r="A1123">
        <v>186607</v>
      </c>
      <c r="B1123">
        <v>130727754</v>
      </c>
      <c r="C1123" t="s">
        <v>4976</v>
      </c>
      <c r="D1123" t="s">
        <v>4977</v>
      </c>
      <c r="E1123" t="s">
        <v>3994</v>
      </c>
      <c r="F1123" t="s">
        <v>431</v>
      </c>
      <c r="G1123" t="s">
        <v>39</v>
      </c>
      <c r="H1123" t="s">
        <v>153</v>
      </c>
      <c r="I1123" t="s">
        <v>88</v>
      </c>
      <c r="J1123" t="s">
        <v>154</v>
      </c>
      <c r="K1123" t="s">
        <v>2</v>
      </c>
      <c r="L1123" t="s">
        <v>155</v>
      </c>
      <c r="M1123" t="s">
        <v>4978</v>
      </c>
      <c r="N1123" t="s">
        <v>3996</v>
      </c>
      <c r="O1123" t="s">
        <v>59</v>
      </c>
      <c r="P1123" t="s">
        <v>4979</v>
      </c>
      <c r="Q1123" s="14" t="s">
        <v>293</v>
      </c>
      <c r="R1123" t="s">
        <v>4367</v>
      </c>
      <c r="S1123">
        <v>3.68</v>
      </c>
      <c r="T1123">
        <v>6998</v>
      </c>
      <c r="U1123">
        <v>0</v>
      </c>
      <c r="V1123">
        <v>6998</v>
      </c>
    </row>
    <row r="1124" spans="1:22" x14ac:dyDescent="0.25">
      <c r="A1124">
        <v>186607</v>
      </c>
      <c r="B1124">
        <v>130846512</v>
      </c>
      <c r="C1124" t="s">
        <v>4980</v>
      </c>
      <c r="D1124" t="s">
        <v>4981</v>
      </c>
      <c r="E1124" t="s">
        <v>3994</v>
      </c>
      <c r="F1124" t="s">
        <v>431</v>
      </c>
      <c r="G1124" t="s">
        <v>39</v>
      </c>
      <c r="H1124" t="s">
        <v>153</v>
      </c>
      <c r="I1124" t="s">
        <v>88</v>
      </c>
      <c r="J1124" t="s">
        <v>154</v>
      </c>
      <c r="K1124" t="s">
        <v>2</v>
      </c>
      <c r="L1124" t="s">
        <v>155</v>
      </c>
      <c r="M1124" t="s">
        <v>4982</v>
      </c>
      <c r="N1124" t="s">
        <v>3996</v>
      </c>
      <c r="O1124" t="s">
        <v>59</v>
      </c>
      <c r="P1124" t="s">
        <v>4983</v>
      </c>
      <c r="Q1124" s="14" t="s">
        <v>135</v>
      </c>
      <c r="R1124" t="s">
        <v>4984</v>
      </c>
      <c r="S1124">
        <v>2.15</v>
      </c>
      <c r="T1124">
        <v>6800</v>
      </c>
      <c r="U1124">
        <v>0</v>
      </c>
      <c r="V1124">
        <v>6800</v>
      </c>
    </row>
    <row r="1125" spans="1:22" x14ac:dyDescent="0.25">
      <c r="A1125">
        <v>186607</v>
      </c>
      <c r="B1125">
        <v>130830627</v>
      </c>
      <c r="C1125" t="s">
        <v>4985</v>
      </c>
      <c r="D1125" t="s">
        <v>4986</v>
      </c>
      <c r="E1125" t="s">
        <v>3994</v>
      </c>
      <c r="F1125" t="s">
        <v>431</v>
      </c>
      <c r="G1125" t="s">
        <v>39</v>
      </c>
      <c r="H1125" t="s">
        <v>153</v>
      </c>
      <c r="I1125" t="s">
        <v>88</v>
      </c>
      <c r="J1125" t="s">
        <v>154</v>
      </c>
      <c r="K1125" t="s">
        <v>2</v>
      </c>
      <c r="L1125" t="s">
        <v>155</v>
      </c>
      <c r="M1125" t="s">
        <v>4987</v>
      </c>
      <c r="N1125" t="s">
        <v>3996</v>
      </c>
      <c r="O1125" t="s">
        <v>59</v>
      </c>
      <c r="P1125" t="s">
        <v>4988</v>
      </c>
      <c r="Q1125" s="14" t="s">
        <v>135</v>
      </c>
      <c r="R1125" t="s">
        <v>407</v>
      </c>
      <c r="S1125">
        <v>12.06</v>
      </c>
      <c r="T1125">
        <v>10008</v>
      </c>
      <c r="U1125">
        <v>0</v>
      </c>
      <c r="V1125">
        <v>10008</v>
      </c>
    </row>
    <row r="1126" spans="1:22" x14ac:dyDescent="0.25">
      <c r="A1126">
        <v>186607</v>
      </c>
      <c r="B1126">
        <v>130576176</v>
      </c>
      <c r="C1126" t="s">
        <v>4989</v>
      </c>
      <c r="D1126" t="s">
        <v>4990</v>
      </c>
      <c r="E1126" t="s">
        <v>3994</v>
      </c>
      <c r="F1126" t="s">
        <v>431</v>
      </c>
      <c r="G1126" t="s">
        <v>39</v>
      </c>
      <c r="H1126" t="s">
        <v>153</v>
      </c>
      <c r="I1126" t="s">
        <v>88</v>
      </c>
      <c r="J1126" t="s">
        <v>154</v>
      </c>
      <c r="K1126" t="s">
        <v>2</v>
      </c>
      <c r="L1126" t="s">
        <v>155</v>
      </c>
      <c r="M1126" t="s">
        <v>4991</v>
      </c>
      <c r="N1126" t="s">
        <v>3996</v>
      </c>
      <c r="O1126" t="s">
        <v>59</v>
      </c>
      <c r="P1126" t="s">
        <v>4992</v>
      </c>
      <c r="Q1126" s="14" t="s">
        <v>66</v>
      </c>
      <c r="R1126" t="s">
        <v>4545</v>
      </c>
      <c r="S1126">
        <v>3.08</v>
      </c>
      <c r="T1126">
        <v>4537</v>
      </c>
      <c r="U1126">
        <v>0</v>
      </c>
      <c r="V1126">
        <v>4537</v>
      </c>
    </row>
    <row r="1127" spans="1:22" x14ac:dyDescent="0.25">
      <c r="A1127">
        <v>186607</v>
      </c>
      <c r="B1127">
        <v>130576188</v>
      </c>
      <c r="C1127" t="s">
        <v>4993</v>
      </c>
      <c r="D1127" t="s">
        <v>4994</v>
      </c>
      <c r="E1127" t="s">
        <v>3994</v>
      </c>
      <c r="F1127" t="s">
        <v>431</v>
      </c>
      <c r="G1127" t="s">
        <v>39</v>
      </c>
      <c r="H1127" t="s">
        <v>153</v>
      </c>
      <c r="I1127" t="s">
        <v>88</v>
      </c>
      <c r="J1127" t="s">
        <v>154</v>
      </c>
      <c r="K1127" t="s">
        <v>2</v>
      </c>
      <c r="L1127" t="s">
        <v>155</v>
      </c>
      <c r="M1127" t="s">
        <v>366</v>
      </c>
      <c r="N1127" t="s">
        <v>3996</v>
      </c>
      <c r="O1127" t="s">
        <v>59</v>
      </c>
      <c r="P1127" t="s">
        <v>4995</v>
      </c>
      <c r="Q1127" s="14" t="s">
        <v>171</v>
      </c>
      <c r="R1127" t="s">
        <v>4545</v>
      </c>
      <c r="S1127">
        <v>3.68</v>
      </c>
      <c r="T1127">
        <v>6998</v>
      </c>
      <c r="U1127">
        <v>0</v>
      </c>
      <c r="V1127">
        <v>6998</v>
      </c>
    </row>
    <row r="1128" spans="1:22" x14ac:dyDescent="0.25">
      <c r="A1128">
        <v>186607</v>
      </c>
      <c r="B1128">
        <v>130673352</v>
      </c>
      <c r="C1128" t="s">
        <v>4996</v>
      </c>
      <c r="D1128" t="s">
        <v>4997</v>
      </c>
      <c r="E1128" t="s">
        <v>3994</v>
      </c>
      <c r="F1128" t="s">
        <v>431</v>
      </c>
      <c r="G1128" t="s">
        <v>39</v>
      </c>
      <c r="H1128" t="s">
        <v>153</v>
      </c>
      <c r="I1128" t="s">
        <v>88</v>
      </c>
      <c r="J1128" t="s">
        <v>154</v>
      </c>
      <c r="K1128" t="s">
        <v>2</v>
      </c>
      <c r="L1128" t="s">
        <v>155</v>
      </c>
      <c r="M1128" t="s">
        <v>4998</v>
      </c>
      <c r="N1128" t="s">
        <v>3996</v>
      </c>
      <c r="O1128" t="s">
        <v>59</v>
      </c>
      <c r="P1128" t="s">
        <v>4999</v>
      </c>
      <c r="Q1128" s="14" t="s">
        <v>52</v>
      </c>
      <c r="R1128" t="s">
        <v>4432</v>
      </c>
      <c r="S1128">
        <v>3.06</v>
      </c>
      <c r="T1128">
        <v>4537</v>
      </c>
      <c r="U1128">
        <v>0</v>
      </c>
      <c r="V1128">
        <v>4537</v>
      </c>
    </row>
    <row r="1129" spans="1:22" x14ac:dyDescent="0.25">
      <c r="A1129">
        <v>186607</v>
      </c>
      <c r="B1129">
        <v>130484227</v>
      </c>
      <c r="C1129" t="s">
        <v>5000</v>
      </c>
      <c r="D1129" t="s">
        <v>5001</v>
      </c>
      <c r="E1129" t="s">
        <v>3994</v>
      </c>
      <c r="F1129" t="s">
        <v>431</v>
      </c>
      <c r="G1129" t="s">
        <v>39</v>
      </c>
      <c r="H1129" t="s">
        <v>153</v>
      </c>
      <c r="I1129" t="s">
        <v>88</v>
      </c>
      <c r="J1129" t="s">
        <v>154</v>
      </c>
      <c r="K1129" t="s">
        <v>2</v>
      </c>
      <c r="L1129" t="s">
        <v>155</v>
      </c>
      <c r="M1129" t="s">
        <v>5002</v>
      </c>
      <c r="N1129" t="s">
        <v>3996</v>
      </c>
      <c r="O1129" t="s">
        <v>59</v>
      </c>
      <c r="P1129" t="s">
        <v>5003</v>
      </c>
      <c r="Q1129" s="14" t="s">
        <v>239</v>
      </c>
      <c r="R1129" t="s">
        <v>4609</v>
      </c>
      <c r="S1129">
        <v>3.08</v>
      </c>
      <c r="T1129">
        <v>6998</v>
      </c>
      <c r="U1129">
        <v>0</v>
      </c>
      <c r="V1129">
        <v>6998</v>
      </c>
    </row>
    <row r="1130" spans="1:22" x14ac:dyDescent="0.25">
      <c r="A1130">
        <v>186607</v>
      </c>
      <c r="B1130">
        <v>130528282</v>
      </c>
      <c r="C1130" t="s">
        <v>5004</v>
      </c>
      <c r="D1130" t="s">
        <v>5005</v>
      </c>
      <c r="E1130" t="s">
        <v>3994</v>
      </c>
      <c r="F1130" t="s">
        <v>431</v>
      </c>
      <c r="G1130" t="s">
        <v>39</v>
      </c>
      <c r="H1130" t="s">
        <v>153</v>
      </c>
      <c r="I1130" t="s">
        <v>88</v>
      </c>
      <c r="J1130" t="s">
        <v>154</v>
      </c>
      <c r="K1130" t="s">
        <v>2</v>
      </c>
      <c r="L1130" t="s">
        <v>155</v>
      </c>
      <c r="M1130" t="s">
        <v>5006</v>
      </c>
      <c r="N1130" t="s">
        <v>3996</v>
      </c>
      <c r="O1130" t="s">
        <v>59</v>
      </c>
      <c r="P1130" t="s">
        <v>5007</v>
      </c>
      <c r="Q1130" s="14" t="s">
        <v>66</v>
      </c>
      <c r="R1130" t="s">
        <v>2511</v>
      </c>
      <c r="S1130">
        <v>4.88</v>
      </c>
      <c r="T1130">
        <v>4537</v>
      </c>
      <c r="U1130">
        <v>0</v>
      </c>
      <c r="V1130">
        <v>4537</v>
      </c>
    </row>
    <row r="1131" spans="1:22" x14ac:dyDescent="0.25">
      <c r="A1131">
        <v>186607</v>
      </c>
      <c r="B1131">
        <v>130528324</v>
      </c>
      <c r="C1131" t="s">
        <v>5008</v>
      </c>
      <c r="D1131" t="s">
        <v>5009</v>
      </c>
      <c r="E1131" t="s">
        <v>3994</v>
      </c>
      <c r="F1131" t="s">
        <v>431</v>
      </c>
      <c r="G1131" t="s">
        <v>39</v>
      </c>
      <c r="H1131" t="s">
        <v>153</v>
      </c>
      <c r="I1131" t="s">
        <v>88</v>
      </c>
      <c r="J1131" t="s">
        <v>154</v>
      </c>
      <c r="K1131" t="s">
        <v>2</v>
      </c>
      <c r="L1131" t="s">
        <v>155</v>
      </c>
      <c r="M1131" t="s">
        <v>5010</v>
      </c>
      <c r="N1131" t="s">
        <v>3996</v>
      </c>
      <c r="O1131" t="s">
        <v>59</v>
      </c>
      <c r="P1131" t="s">
        <v>5011</v>
      </c>
      <c r="Q1131" s="14" t="s">
        <v>323</v>
      </c>
      <c r="R1131" t="s">
        <v>2511</v>
      </c>
      <c r="S1131">
        <v>1.21</v>
      </c>
      <c r="T1131">
        <v>6064</v>
      </c>
      <c r="U1131">
        <v>0</v>
      </c>
      <c r="V1131">
        <v>6064</v>
      </c>
    </row>
    <row r="1132" spans="1:22" x14ac:dyDescent="0.25">
      <c r="A1132">
        <v>186607</v>
      </c>
      <c r="B1132">
        <v>130432769</v>
      </c>
      <c r="C1132" t="s">
        <v>5012</v>
      </c>
      <c r="D1132" t="s">
        <v>5013</v>
      </c>
      <c r="E1132" t="s">
        <v>3994</v>
      </c>
      <c r="F1132" t="s">
        <v>431</v>
      </c>
      <c r="G1132" t="s">
        <v>39</v>
      </c>
      <c r="H1132" t="s">
        <v>153</v>
      </c>
      <c r="I1132" t="s">
        <v>88</v>
      </c>
      <c r="J1132" t="s">
        <v>154</v>
      </c>
      <c r="K1132" t="s">
        <v>2</v>
      </c>
      <c r="L1132" t="s">
        <v>155</v>
      </c>
      <c r="M1132" t="s">
        <v>276</v>
      </c>
      <c r="N1132" t="s">
        <v>3996</v>
      </c>
      <c r="O1132" t="s">
        <v>59</v>
      </c>
      <c r="P1132" t="s">
        <v>5014</v>
      </c>
      <c r="Q1132" s="14" t="s">
        <v>135</v>
      </c>
      <c r="R1132" t="s">
        <v>213</v>
      </c>
      <c r="S1132">
        <v>4.08</v>
      </c>
      <c r="T1132">
        <v>7129</v>
      </c>
      <c r="U1132">
        <v>0</v>
      </c>
      <c r="V1132">
        <v>7129</v>
      </c>
    </row>
    <row r="1133" spans="1:22" x14ac:dyDescent="0.25">
      <c r="A1133">
        <v>186607</v>
      </c>
      <c r="B1133">
        <v>130455916</v>
      </c>
      <c r="C1133" t="s">
        <v>5015</v>
      </c>
      <c r="D1133" t="s">
        <v>5016</v>
      </c>
      <c r="E1133" t="s">
        <v>3994</v>
      </c>
      <c r="F1133" t="s">
        <v>431</v>
      </c>
      <c r="G1133" t="s">
        <v>39</v>
      </c>
      <c r="H1133" t="s">
        <v>153</v>
      </c>
      <c r="I1133" t="s">
        <v>88</v>
      </c>
      <c r="J1133" t="s">
        <v>154</v>
      </c>
      <c r="K1133" t="s">
        <v>2</v>
      </c>
      <c r="L1133" t="s">
        <v>155</v>
      </c>
      <c r="M1133" t="s">
        <v>5017</v>
      </c>
      <c r="N1133" t="s">
        <v>3996</v>
      </c>
      <c r="O1133" t="s">
        <v>59</v>
      </c>
      <c r="P1133" t="s">
        <v>5018</v>
      </c>
      <c r="Q1133" s="14" t="s">
        <v>239</v>
      </c>
      <c r="R1133" t="s">
        <v>411</v>
      </c>
      <c r="S1133">
        <v>1.95</v>
      </c>
      <c r="T1133">
        <v>6800</v>
      </c>
      <c r="U1133">
        <v>0</v>
      </c>
      <c r="V1133">
        <v>6800</v>
      </c>
    </row>
    <row r="1134" spans="1:22" x14ac:dyDescent="0.25">
      <c r="A1134">
        <v>186607</v>
      </c>
      <c r="B1134">
        <v>130464674</v>
      </c>
      <c r="C1134" t="s">
        <v>5019</v>
      </c>
      <c r="D1134" t="s">
        <v>5020</v>
      </c>
      <c r="E1134" t="s">
        <v>3994</v>
      </c>
      <c r="F1134" t="s">
        <v>431</v>
      </c>
      <c r="G1134" t="s">
        <v>39</v>
      </c>
      <c r="H1134" t="s">
        <v>153</v>
      </c>
      <c r="I1134" t="s">
        <v>88</v>
      </c>
      <c r="J1134" t="s">
        <v>154</v>
      </c>
      <c r="K1134" t="s">
        <v>2</v>
      </c>
      <c r="L1134" t="s">
        <v>155</v>
      </c>
      <c r="M1134" t="s">
        <v>5021</v>
      </c>
      <c r="N1134" t="s">
        <v>3996</v>
      </c>
      <c r="O1134" t="s">
        <v>59</v>
      </c>
      <c r="P1134" t="s">
        <v>5022</v>
      </c>
      <c r="Q1134" s="14" t="s">
        <v>123</v>
      </c>
      <c r="R1134" t="s">
        <v>4622</v>
      </c>
      <c r="S1134">
        <v>2.1</v>
      </c>
      <c r="T1134">
        <v>4168</v>
      </c>
      <c r="U1134">
        <v>0</v>
      </c>
      <c r="V1134">
        <v>4168</v>
      </c>
    </row>
    <row r="1135" spans="1:22" x14ac:dyDescent="0.25">
      <c r="A1135">
        <v>186607</v>
      </c>
      <c r="B1135">
        <v>130090595</v>
      </c>
      <c r="C1135" t="s">
        <v>5023</v>
      </c>
      <c r="D1135" t="s">
        <v>5024</v>
      </c>
      <c r="E1135" t="s">
        <v>3994</v>
      </c>
      <c r="F1135" t="s">
        <v>431</v>
      </c>
      <c r="G1135" t="s">
        <v>39</v>
      </c>
      <c r="H1135" t="s">
        <v>153</v>
      </c>
      <c r="I1135" t="s">
        <v>88</v>
      </c>
      <c r="J1135" t="s">
        <v>154</v>
      </c>
      <c r="K1135" t="s">
        <v>2</v>
      </c>
      <c r="L1135" t="s">
        <v>155</v>
      </c>
      <c r="M1135" t="s">
        <v>5025</v>
      </c>
      <c r="N1135" t="s">
        <v>3996</v>
      </c>
      <c r="O1135" t="s">
        <v>59</v>
      </c>
      <c r="P1135" t="s">
        <v>5026</v>
      </c>
      <c r="Q1135" s="14" t="s">
        <v>126</v>
      </c>
      <c r="R1135" t="s">
        <v>4811</v>
      </c>
      <c r="S1135">
        <v>4.43</v>
      </c>
      <c r="T1135">
        <v>7302</v>
      </c>
      <c r="U1135">
        <v>0</v>
      </c>
      <c r="V1135">
        <v>7302</v>
      </c>
    </row>
    <row r="1136" spans="1:22" x14ac:dyDescent="0.25">
      <c r="A1136">
        <v>186607</v>
      </c>
      <c r="B1136">
        <v>130090590</v>
      </c>
      <c r="C1136" t="s">
        <v>5027</v>
      </c>
      <c r="D1136" t="s">
        <v>5028</v>
      </c>
      <c r="E1136" t="s">
        <v>3994</v>
      </c>
      <c r="F1136" t="s">
        <v>431</v>
      </c>
      <c r="G1136" t="s">
        <v>39</v>
      </c>
      <c r="H1136" t="s">
        <v>153</v>
      </c>
      <c r="I1136" t="s">
        <v>88</v>
      </c>
      <c r="J1136" t="s">
        <v>154</v>
      </c>
      <c r="K1136" t="s">
        <v>2</v>
      </c>
      <c r="L1136" t="s">
        <v>155</v>
      </c>
      <c r="M1136" t="s">
        <v>5029</v>
      </c>
      <c r="N1136" t="s">
        <v>3996</v>
      </c>
      <c r="O1136" t="s">
        <v>59</v>
      </c>
      <c r="P1136" t="s">
        <v>5030</v>
      </c>
      <c r="Q1136" s="14" t="s">
        <v>293</v>
      </c>
      <c r="R1136" t="s">
        <v>4811</v>
      </c>
      <c r="S1136">
        <v>3.08</v>
      </c>
      <c r="T1136">
        <v>6860</v>
      </c>
      <c r="U1136">
        <v>0</v>
      </c>
      <c r="V1136">
        <v>6860</v>
      </c>
    </row>
    <row r="1137" spans="1:22" x14ac:dyDescent="0.25">
      <c r="A1137">
        <v>186607</v>
      </c>
      <c r="B1137">
        <v>130154400</v>
      </c>
      <c r="C1137" t="s">
        <v>5031</v>
      </c>
      <c r="D1137" t="s">
        <v>5032</v>
      </c>
      <c r="E1137" t="s">
        <v>3994</v>
      </c>
      <c r="F1137" t="s">
        <v>431</v>
      </c>
      <c r="G1137" t="s">
        <v>39</v>
      </c>
      <c r="H1137" t="s">
        <v>153</v>
      </c>
      <c r="I1137" t="s">
        <v>88</v>
      </c>
      <c r="J1137" t="s">
        <v>154</v>
      </c>
      <c r="K1137" t="s">
        <v>2</v>
      </c>
      <c r="L1137" t="s">
        <v>155</v>
      </c>
      <c r="M1137" t="s">
        <v>5033</v>
      </c>
      <c r="N1137" t="s">
        <v>3996</v>
      </c>
      <c r="O1137" t="s">
        <v>59</v>
      </c>
      <c r="P1137" t="s">
        <v>5034</v>
      </c>
      <c r="Q1137" s="14" t="s">
        <v>52</v>
      </c>
      <c r="R1137" t="s">
        <v>5035</v>
      </c>
      <c r="S1137">
        <v>2.2400000000000002</v>
      </c>
      <c r="T1137">
        <v>4086</v>
      </c>
      <c r="U1137">
        <v>0</v>
      </c>
      <c r="V1137">
        <v>4086</v>
      </c>
    </row>
    <row r="1138" spans="1:22" x14ac:dyDescent="0.25">
      <c r="A1138">
        <v>186607</v>
      </c>
      <c r="B1138">
        <v>130242320</v>
      </c>
      <c r="C1138" t="s">
        <v>5036</v>
      </c>
      <c r="D1138" t="s">
        <v>5037</v>
      </c>
      <c r="E1138" t="s">
        <v>3994</v>
      </c>
      <c r="F1138" t="s">
        <v>431</v>
      </c>
      <c r="G1138" t="s">
        <v>39</v>
      </c>
      <c r="H1138" t="s">
        <v>153</v>
      </c>
      <c r="I1138" t="s">
        <v>88</v>
      </c>
      <c r="J1138" t="s">
        <v>154</v>
      </c>
      <c r="K1138" t="s">
        <v>2</v>
      </c>
      <c r="L1138" t="s">
        <v>155</v>
      </c>
      <c r="M1138" t="s">
        <v>5038</v>
      </c>
      <c r="N1138" t="s">
        <v>3996</v>
      </c>
      <c r="O1138" t="s">
        <v>59</v>
      </c>
      <c r="P1138" t="s">
        <v>5039</v>
      </c>
      <c r="Q1138" s="14" t="s">
        <v>302</v>
      </c>
      <c r="R1138" t="s">
        <v>5040</v>
      </c>
      <c r="S1138">
        <v>4.01</v>
      </c>
      <c r="T1138">
        <v>7947</v>
      </c>
      <c r="U1138">
        <v>0</v>
      </c>
      <c r="V1138">
        <v>7947</v>
      </c>
    </row>
    <row r="1139" spans="1:22" x14ac:dyDescent="0.25">
      <c r="A1139">
        <v>186607</v>
      </c>
      <c r="B1139">
        <v>130242314</v>
      </c>
      <c r="C1139" t="s">
        <v>5041</v>
      </c>
      <c r="D1139" t="s">
        <v>5042</v>
      </c>
      <c r="E1139" t="s">
        <v>3994</v>
      </c>
      <c r="F1139" t="s">
        <v>431</v>
      </c>
      <c r="G1139" t="s">
        <v>39</v>
      </c>
      <c r="H1139" t="s">
        <v>153</v>
      </c>
      <c r="I1139" t="s">
        <v>88</v>
      </c>
      <c r="J1139" t="s">
        <v>154</v>
      </c>
      <c r="K1139" t="s">
        <v>2</v>
      </c>
      <c r="L1139" t="s">
        <v>155</v>
      </c>
      <c r="M1139" t="s">
        <v>5043</v>
      </c>
      <c r="N1139" t="s">
        <v>3996</v>
      </c>
      <c r="O1139" t="s">
        <v>59</v>
      </c>
      <c r="P1139" t="s">
        <v>5044</v>
      </c>
      <c r="Q1139" s="14" t="s">
        <v>66</v>
      </c>
      <c r="R1139" t="s">
        <v>5040</v>
      </c>
      <c r="S1139">
        <v>3.28</v>
      </c>
      <c r="T1139">
        <v>4448</v>
      </c>
      <c r="U1139">
        <v>0</v>
      </c>
      <c r="V1139">
        <v>4448</v>
      </c>
    </row>
    <row r="1140" spans="1:22" x14ac:dyDescent="0.25">
      <c r="A1140">
        <v>186607</v>
      </c>
      <c r="B1140">
        <v>130220572</v>
      </c>
      <c r="C1140" t="s">
        <v>5045</v>
      </c>
      <c r="D1140" t="s">
        <v>5046</v>
      </c>
      <c r="E1140" t="s">
        <v>3994</v>
      </c>
      <c r="F1140" t="s">
        <v>431</v>
      </c>
      <c r="G1140" t="s">
        <v>39</v>
      </c>
      <c r="H1140" t="s">
        <v>153</v>
      </c>
      <c r="I1140" t="s">
        <v>88</v>
      </c>
      <c r="J1140" t="s">
        <v>154</v>
      </c>
      <c r="K1140" t="s">
        <v>2</v>
      </c>
      <c r="L1140" t="s">
        <v>155</v>
      </c>
      <c r="M1140" t="s">
        <v>5047</v>
      </c>
      <c r="N1140" t="s">
        <v>3996</v>
      </c>
      <c r="O1140" t="s">
        <v>59</v>
      </c>
      <c r="P1140" t="s">
        <v>5048</v>
      </c>
      <c r="Q1140" s="14" t="s">
        <v>160</v>
      </c>
      <c r="R1140" t="s">
        <v>4916</v>
      </c>
      <c r="S1140">
        <v>4.8</v>
      </c>
      <c r="T1140">
        <v>7302</v>
      </c>
      <c r="U1140">
        <v>0</v>
      </c>
      <c r="V1140">
        <v>7302</v>
      </c>
    </row>
    <row r="1141" spans="1:22" x14ac:dyDescent="0.25">
      <c r="A1141">
        <v>186607</v>
      </c>
      <c r="B1141">
        <v>130090575</v>
      </c>
      <c r="C1141" t="s">
        <v>5049</v>
      </c>
      <c r="D1141" t="s">
        <v>5050</v>
      </c>
      <c r="E1141" t="s">
        <v>3994</v>
      </c>
      <c r="F1141" t="s">
        <v>431</v>
      </c>
      <c r="G1141" t="s">
        <v>39</v>
      </c>
      <c r="H1141" t="s">
        <v>153</v>
      </c>
      <c r="I1141" t="s">
        <v>88</v>
      </c>
      <c r="J1141" t="s">
        <v>154</v>
      </c>
      <c r="K1141" t="s">
        <v>2</v>
      </c>
      <c r="L1141" t="s">
        <v>155</v>
      </c>
      <c r="M1141" t="s">
        <v>5051</v>
      </c>
      <c r="N1141" t="s">
        <v>3996</v>
      </c>
      <c r="O1141" t="s">
        <v>59</v>
      </c>
      <c r="P1141" t="s">
        <v>5052</v>
      </c>
      <c r="Q1141" s="14" t="s">
        <v>297</v>
      </c>
      <c r="R1141" t="s">
        <v>4811</v>
      </c>
      <c r="S1141">
        <v>0.75</v>
      </c>
      <c r="T1141">
        <v>5945</v>
      </c>
      <c r="U1141">
        <v>0</v>
      </c>
      <c r="V1141">
        <v>5945</v>
      </c>
    </row>
    <row r="1142" spans="1:22" x14ac:dyDescent="0.25">
      <c r="A1142">
        <v>186607</v>
      </c>
      <c r="B1142">
        <v>130090573</v>
      </c>
      <c r="C1142" t="s">
        <v>5053</v>
      </c>
      <c r="D1142" t="s">
        <v>5054</v>
      </c>
      <c r="E1142" t="s">
        <v>3994</v>
      </c>
      <c r="F1142" t="s">
        <v>431</v>
      </c>
      <c r="G1142" t="s">
        <v>39</v>
      </c>
      <c r="H1142" t="s">
        <v>153</v>
      </c>
      <c r="I1142" t="s">
        <v>88</v>
      </c>
      <c r="J1142" t="s">
        <v>154</v>
      </c>
      <c r="K1142" t="s">
        <v>2</v>
      </c>
      <c r="L1142" t="s">
        <v>155</v>
      </c>
      <c r="M1142" t="s">
        <v>5055</v>
      </c>
      <c r="N1142" t="s">
        <v>3996</v>
      </c>
      <c r="O1142" t="s">
        <v>59</v>
      </c>
      <c r="P1142" t="s">
        <v>5056</v>
      </c>
      <c r="Q1142" s="14" t="s">
        <v>135</v>
      </c>
      <c r="R1142" t="s">
        <v>4811</v>
      </c>
      <c r="S1142">
        <v>2.08</v>
      </c>
      <c r="T1142">
        <v>6666</v>
      </c>
      <c r="U1142">
        <v>0</v>
      </c>
      <c r="V1142">
        <v>6666</v>
      </c>
    </row>
    <row r="1143" spans="1:22" x14ac:dyDescent="0.25">
      <c r="A1143">
        <v>186607</v>
      </c>
      <c r="B1143">
        <v>130154408</v>
      </c>
      <c r="C1143" t="s">
        <v>5057</v>
      </c>
      <c r="D1143" t="s">
        <v>5058</v>
      </c>
      <c r="E1143" t="s">
        <v>3994</v>
      </c>
      <c r="F1143" t="s">
        <v>431</v>
      </c>
      <c r="G1143" t="s">
        <v>39</v>
      </c>
      <c r="H1143" t="s">
        <v>153</v>
      </c>
      <c r="I1143" t="s">
        <v>88</v>
      </c>
      <c r="J1143" t="s">
        <v>154</v>
      </c>
      <c r="K1143" t="s">
        <v>2</v>
      </c>
      <c r="L1143" t="s">
        <v>155</v>
      </c>
      <c r="M1143" t="s">
        <v>5059</v>
      </c>
      <c r="N1143" t="s">
        <v>3996</v>
      </c>
      <c r="O1143" t="s">
        <v>59</v>
      </c>
      <c r="P1143" t="s">
        <v>5060</v>
      </c>
      <c r="Q1143" s="14" t="s">
        <v>245</v>
      </c>
      <c r="R1143" t="s">
        <v>5035</v>
      </c>
      <c r="S1143">
        <v>4.3600000000000003</v>
      </c>
      <c r="T1143">
        <v>7082</v>
      </c>
      <c r="U1143">
        <v>0</v>
      </c>
      <c r="V1143">
        <v>7082</v>
      </c>
    </row>
    <row r="1144" spans="1:22" x14ac:dyDescent="0.25">
      <c r="A1144">
        <v>186607</v>
      </c>
      <c r="B1144">
        <v>130090586</v>
      </c>
      <c r="C1144" t="s">
        <v>5061</v>
      </c>
      <c r="D1144" t="s">
        <v>5062</v>
      </c>
      <c r="E1144" t="s">
        <v>3994</v>
      </c>
      <c r="F1144" t="s">
        <v>431</v>
      </c>
      <c r="G1144" t="s">
        <v>39</v>
      </c>
      <c r="H1144" t="s">
        <v>153</v>
      </c>
      <c r="I1144" t="s">
        <v>88</v>
      </c>
      <c r="J1144" t="s">
        <v>154</v>
      </c>
      <c r="K1144" t="s">
        <v>2</v>
      </c>
      <c r="L1144" t="s">
        <v>155</v>
      </c>
      <c r="M1144" t="s">
        <v>5063</v>
      </c>
      <c r="N1144" t="s">
        <v>3996</v>
      </c>
      <c r="O1144" t="s">
        <v>59</v>
      </c>
      <c r="P1144" t="s">
        <v>5064</v>
      </c>
      <c r="Q1144" s="14" t="s">
        <v>52</v>
      </c>
      <c r="R1144" t="s">
        <v>4811</v>
      </c>
      <c r="S1144">
        <v>2.13</v>
      </c>
      <c r="T1144">
        <v>4086</v>
      </c>
      <c r="U1144">
        <v>0</v>
      </c>
      <c r="V1144">
        <v>4086</v>
      </c>
    </row>
    <row r="1145" spans="1:22" x14ac:dyDescent="0.25">
      <c r="A1145">
        <v>152577</v>
      </c>
      <c r="B1145">
        <v>131279563</v>
      </c>
      <c r="C1145" t="s">
        <v>5065</v>
      </c>
      <c r="D1145" t="s">
        <v>5066</v>
      </c>
      <c r="E1145" t="s">
        <v>5067</v>
      </c>
      <c r="F1145" t="s">
        <v>431</v>
      </c>
      <c r="G1145" t="s">
        <v>83</v>
      </c>
      <c r="H1145" t="s">
        <v>205</v>
      </c>
      <c r="I1145" t="s">
        <v>88</v>
      </c>
      <c r="J1145" t="s">
        <v>209</v>
      </c>
      <c r="K1145" t="s">
        <v>2</v>
      </c>
      <c r="L1145" t="s">
        <v>166</v>
      </c>
      <c r="M1145" t="s">
        <v>5068</v>
      </c>
      <c r="N1145" t="s">
        <v>433</v>
      </c>
      <c r="O1145" t="s">
        <v>53</v>
      </c>
      <c r="P1145" t="s">
        <v>5069</v>
      </c>
      <c r="Q1145" s="14" t="s">
        <v>63</v>
      </c>
      <c r="R1145" t="s">
        <v>5070</v>
      </c>
      <c r="S1145">
        <v>1</v>
      </c>
      <c r="T1145">
        <v>2706</v>
      </c>
      <c r="U1145">
        <v>0</v>
      </c>
      <c r="V1145">
        <v>2706</v>
      </c>
    </row>
    <row r="1146" spans="1:22" x14ac:dyDescent="0.25">
      <c r="A1146">
        <v>152577</v>
      </c>
      <c r="B1146">
        <v>131170191</v>
      </c>
      <c r="C1146" t="s">
        <v>5071</v>
      </c>
      <c r="D1146" t="s">
        <v>5072</v>
      </c>
      <c r="E1146" t="s">
        <v>5067</v>
      </c>
      <c r="F1146" t="s">
        <v>431</v>
      </c>
      <c r="G1146" t="s">
        <v>83</v>
      </c>
      <c r="H1146" t="s">
        <v>205</v>
      </c>
      <c r="I1146" t="s">
        <v>88</v>
      </c>
      <c r="J1146" t="s">
        <v>209</v>
      </c>
      <c r="K1146" t="s">
        <v>2</v>
      </c>
      <c r="L1146" t="s">
        <v>166</v>
      </c>
      <c r="M1146" t="s">
        <v>5073</v>
      </c>
      <c r="N1146" t="s">
        <v>433</v>
      </c>
      <c r="O1146" t="s">
        <v>53</v>
      </c>
      <c r="P1146" t="s">
        <v>193</v>
      </c>
      <c r="Q1146" s="14" t="s">
        <v>60</v>
      </c>
      <c r="R1146" t="s">
        <v>5074</v>
      </c>
      <c r="S1146">
        <v>1</v>
      </c>
      <c r="T1146">
        <v>2706</v>
      </c>
      <c r="U1146">
        <v>0</v>
      </c>
      <c r="V1146">
        <v>2706</v>
      </c>
    </row>
    <row r="1147" spans="1:22" x14ac:dyDescent="0.25">
      <c r="A1147">
        <v>152577</v>
      </c>
      <c r="B1147">
        <v>131159511</v>
      </c>
      <c r="C1147" t="s">
        <v>5075</v>
      </c>
      <c r="D1147" t="s">
        <v>5076</v>
      </c>
      <c r="E1147" t="s">
        <v>5067</v>
      </c>
      <c r="F1147" t="s">
        <v>431</v>
      </c>
      <c r="G1147" t="s">
        <v>83</v>
      </c>
      <c r="H1147" t="s">
        <v>205</v>
      </c>
      <c r="I1147" t="s">
        <v>88</v>
      </c>
      <c r="J1147" t="s">
        <v>209</v>
      </c>
      <c r="K1147" t="s">
        <v>2</v>
      </c>
      <c r="L1147" t="s">
        <v>166</v>
      </c>
      <c r="M1147" t="s">
        <v>5077</v>
      </c>
      <c r="N1147" t="s">
        <v>433</v>
      </c>
      <c r="O1147" t="s">
        <v>53</v>
      </c>
      <c r="P1147" t="s">
        <v>5078</v>
      </c>
      <c r="Q1147" s="14" t="s">
        <v>63</v>
      </c>
      <c r="R1147" t="s">
        <v>5079</v>
      </c>
      <c r="S1147">
        <v>1</v>
      </c>
      <c r="T1147">
        <v>2706</v>
      </c>
      <c r="U1147">
        <v>0</v>
      </c>
      <c r="V1147">
        <v>2706</v>
      </c>
    </row>
    <row r="1148" spans="1:22" x14ac:dyDescent="0.25">
      <c r="A1148">
        <v>152577</v>
      </c>
      <c r="B1148">
        <v>131159375</v>
      </c>
      <c r="C1148" t="s">
        <v>5080</v>
      </c>
      <c r="D1148" t="s">
        <v>5081</v>
      </c>
      <c r="E1148" t="s">
        <v>5067</v>
      </c>
      <c r="F1148" t="s">
        <v>431</v>
      </c>
      <c r="G1148" t="s">
        <v>83</v>
      </c>
      <c r="H1148" t="s">
        <v>205</v>
      </c>
      <c r="I1148" t="s">
        <v>88</v>
      </c>
      <c r="J1148" t="s">
        <v>209</v>
      </c>
      <c r="K1148" t="s">
        <v>2</v>
      </c>
      <c r="L1148" t="s">
        <v>166</v>
      </c>
      <c r="M1148" t="s">
        <v>5082</v>
      </c>
      <c r="N1148" t="s">
        <v>433</v>
      </c>
      <c r="O1148" t="s">
        <v>53</v>
      </c>
      <c r="P1148" t="s">
        <v>5083</v>
      </c>
      <c r="Q1148" s="14" t="s">
        <v>62</v>
      </c>
      <c r="R1148" t="s">
        <v>2967</v>
      </c>
      <c r="S1148">
        <v>1</v>
      </c>
      <c r="T1148">
        <v>2706</v>
      </c>
      <c r="U1148">
        <v>0</v>
      </c>
      <c r="V1148">
        <v>2706</v>
      </c>
    </row>
    <row r="1149" spans="1:22" x14ac:dyDescent="0.25">
      <c r="A1149">
        <v>152577</v>
      </c>
      <c r="B1149">
        <v>131089697</v>
      </c>
      <c r="C1149" t="s">
        <v>5084</v>
      </c>
      <c r="D1149" t="s">
        <v>5085</v>
      </c>
      <c r="E1149" t="s">
        <v>5067</v>
      </c>
      <c r="F1149" t="s">
        <v>431</v>
      </c>
      <c r="G1149" t="s">
        <v>83</v>
      </c>
      <c r="H1149" t="s">
        <v>205</v>
      </c>
      <c r="I1149" t="s">
        <v>88</v>
      </c>
      <c r="J1149" t="s">
        <v>209</v>
      </c>
      <c r="K1149" t="s">
        <v>2</v>
      </c>
      <c r="L1149" t="s">
        <v>166</v>
      </c>
      <c r="M1149" t="s">
        <v>5086</v>
      </c>
      <c r="N1149" t="s">
        <v>433</v>
      </c>
      <c r="O1149" t="s">
        <v>53</v>
      </c>
      <c r="P1149" t="s">
        <v>5087</v>
      </c>
      <c r="Q1149" s="14" t="s">
        <v>56</v>
      </c>
      <c r="R1149" t="s">
        <v>5088</v>
      </c>
      <c r="S1149">
        <v>1</v>
      </c>
      <c r="T1149">
        <v>2706</v>
      </c>
      <c r="U1149">
        <v>0</v>
      </c>
      <c r="V1149">
        <v>2706</v>
      </c>
    </row>
    <row r="1150" spans="1:22" x14ac:dyDescent="0.25">
      <c r="A1150">
        <v>152577</v>
      </c>
      <c r="B1150">
        <v>131086489</v>
      </c>
      <c r="C1150" t="s">
        <v>5089</v>
      </c>
      <c r="D1150" t="s">
        <v>5090</v>
      </c>
      <c r="E1150" t="s">
        <v>5067</v>
      </c>
      <c r="F1150" t="s">
        <v>431</v>
      </c>
      <c r="G1150" t="s">
        <v>83</v>
      </c>
      <c r="H1150" t="s">
        <v>205</v>
      </c>
      <c r="I1150" t="s">
        <v>88</v>
      </c>
      <c r="J1150" t="s">
        <v>209</v>
      </c>
      <c r="K1150" t="s">
        <v>2</v>
      </c>
      <c r="L1150" t="s">
        <v>166</v>
      </c>
      <c r="M1150" t="s">
        <v>5091</v>
      </c>
      <c r="N1150" t="s">
        <v>433</v>
      </c>
      <c r="O1150" t="s">
        <v>53</v>
      </c>
      <c r="P1150" t="s">
        <v>5092</v>
      </c>
      <c r="Q1150" s="14" t="s">
        <v>63</v>
      </c>
      <c r="R1150" t="s">
        <v>5093</v>
      </c>
      <c r="S1150">
        <v>1</v>
      </c>
      <c r="T1150">
        <v>2706</v>
      </c>
      <c r="U1150">
        <v>0</v>
      </c>
      <c r="V1150">
        <v>2706</v>
      </c>
    </row>
    <row r="1151" spans="1:22" x14ac:dyDescent="0.25">
      <c r="A1151">
        <v>152577</v>
      </c>
      <c r="B1151">
        <v>131086420</v>
      </c>
      <c r="C1151" t="s">
        <v>5094</v>
      </c>
      <c r="D1151" t="s">
        <v>5095</v>
      </c>
      <c r="E1151" t="s">
        <v>5067</v>
      </c>
      <c r="F1151" t="s">
        <v>431</v>
      </c>
      <c r="G1151" t="s">
        <v>83</v>
      </c>
      <c r="H1151" t="s">
        <v>205</v>
      </c>
      <c r="I1151" t="s">
        <v>88</v>
      </c>
      <c r="J1151" t="s">
        <v>209</v>
      </c>
      <c r="K1151" t="s">
        <v>2</v>
      </c>
      <c r="L1151" t="s">
        <v>166</v>
      </c>
      <c r="M1151" t="s">
        <v>5096</v>
      </c>
      <c r="N1151" t="s">
        <v>433</v>
      </c>
      <c r="O1151" t="s">
        <v>53</v>
      </c>
      <c r="P1151" t="s">
        <v>5097</v>
      </c>
      <c r="Q1151" s="14" t="s">
        <v>62</v>
      </c>
      <c r="R1151" t="s">
        <v>353</v>
      </c>
      <c r="S1151">
        <v>1</v>
      </c>
      <c r="T1151">
        <v>2706</v>
      </c>
      <c r="U1151">
        <v>0</v>
      </c>
      <c r="V1151">
        <v>2706</v>
      </c>
    </row>
    <row r="1152" spans="1:22" x14ac:dyDescent="0.25">
      <c r="A1152">
        <v>152577</v>
      </c>
      <c r="B1152">
        <v>131056974</v>
      </c>
      <c r="C1152" t="s">
        <v>5098</v>
      </c>
      <c r="D1152" t="s">
        <v>5099</v>
      </c>
      <c r="E1152" t="s">
        <v>5067</v>
      </c>
      <c r="F1152" t="s">
        <v>431</v>
      </c>
      <c r="G1152" t="s">
        <v>83</v>
      </c>
      <c r="H1152" t="s">
        <v>205</v>
      </c>
      <c r="I1152" t="s">
        <v>88</v>
      </c>
      <c r="J1152" t="s">
        <v>209</v>
      </c>
      <c r="K1152" t="s">
        <v>2</v>
      </c>
      <c r="L1152" t="s">
        <v>166</v>
      </c>
      <c r="M1152" t="s">
        <v>5100</v>
      </c>
      <c r="N1152" t="s">
        <v>433</v>
      </c>
      <c r="O1152" t="s">
        <v>53</v>
      </c>
      <c r="P1152" t="s">
        <v>5101</v>
      </c>
      <c r="Q1152" s="14" t="s">
        <v>51</v>
      </c>
      <c r="R1152" t="s">
        <v>5102</v>
      </c>
      <c r="S1152">
        <v>1</v>
      </c>
      <c r="T1152">
        <v>2706</v>
      </c>
      <c r="U1152">
        <v>0</v>
      </c>
      <c r="V1152">
        <v>2706</v>
      </c>
    </row>
    <row r="1153" spans="1:22" x14ac:dyDescent="0.25">
      <c r="A1153">
        <v>152577</v>
      </c>
      <c r="B1153">
        <v>131053101</v>
      </c>
      <c r="C1153" t="s">
        <v>5103</v>
      </c>
      <c r="D1153" t="s">
        <v>5104</v>
      </c>
      <c r="E1153" t="s">
        <v>5067</v>
      </c>
      <c r="F1153" t="s">
        <v>431</v>
      </c>
      <c r="G1153" t="s">
        <v>83</v>
      </c>
      <c r="H1153" t="s">
        <v>205</v>
      </c>
      <c r="I1153" t="s">
        <v>88</v>
      </c>
      <c r="J1153" t="s">
        <v>209</v>
      </c>
      <c r="K1153" t="s">
        <v>2</v>
      </c>
      <c r="L1153" t="s">
        <v>166</v>
      </c>
      <c r="M1153" t="s">
        <v>5105</v>
      </c>
      <c r="N1153" t="s">
        <v>433</v>
      </c>
      <c r="O1153" t="s">
        <v>53</v>
      </c>
      <c r="P1153" t="s">
        <v>5106</v>
      </c>
      <c r="Q1153" s="14" t="s">
        <v>56</v>
      </c>
      <c r="R1153" t="s">
        <v>363</v>
      </c>
      <c r="S1153">
        <v>1</v>
      </c>
      <c r="T1153">
        <v>2706</v>
      </c>
      <c r="U1153">
        <v>0</v>
      </c>
      <c r="V1153">
        <v>2706</v>
      </c>
    </row>
    <row r="1154" spans="1:22" x14ac:dyDescent="0.25">
      <c r="A1154">
        <v>152577</v>
      </c>
      <c r="B1154">
        <v>130971579</v>
      </c>
      <c r="C1154" t="s">
        <v>5107</v>
      </c>
      <c r="D1154" t="s">
        <v>5108</v>
      </c>
      <c r="E1154" t="s">
        <v>5067</v>
      </c>
      <c r="F1154" t="s">
        <v>431</v>
      </c>
      <c r="G1154" t="s">
        <v>83</v>
      </c>
      <c r="H1154" t="s">
        <v>205</v>
      </c>
      <c r="I1154" t="s">
        <v>88</v>
      </c>
      <c r="J1154" t="s">
        <v>209</v>
      </c>
      <c r="K1154" t="s">
        <v>74</v>
      </c>
      <c r="L1154" t="s">
        <v>166</v>
      </c>
      <c r="M1154" t="s">
        <v>5109</v>
      </c>
      <c r="N1154" t="s">
        <v>433</v>
      </c>
      <c r="O1154" t="s">
        <v>53</v>
      </c>
      <c r="P1154" t="s">
        <v>5110</v>
      </c>
      <c r="Q1154" s="14" t="s">
        <v>55</v>
      </c>
      <c r="R1154" t="s">
        <v>5111</v>
      </c>
      <c r="S1154">
        <v>1</v>
      </c>
      <c r="T1154">
        <v>2706</v>
      </c>
      <c r="U1154">
        <v>0</v>
      </c>
      <c r="V1154">
        <v>2706</v>
      </c>
    </row>
    <row r="1155" spans="1:22" x14ac:dyDescent="0.25">
      <c r="A1155">
        <v>152577</v>
      </c>
      <c r="B1155">
        <v>130988484</v>
      </c>
      <c r="C1155" t="s">
        <v>5112</v>
      </c>
      <c r="D1155" t="s">
        <v>5113</v>
      </c>
      <c r="E1155" t="s">
        <v>5067</v>
      </c>
      <c r="F1155" t="s">
        <v>431</v>
      </c>
      <c r="G1155" t="s">
        <v>83</v>
      </c>
      <c r="H1155" t="s">
        <v>205</v>
      </c>
      <c r="I1155" t="s">
        <v>88</v>
      </c>
      <c r="J1155" t="s">
        <v>209</v>
      </c>
      <c r="K1155" t="s">
        <v>2</v>
      </c>
      <c r="L1155" t="s">
        <v>166</v>
      </c>
      <c r="M1155" t="s">
        <v>5114</v>
      </c>
      <c r="N1155" t="s">
        <v>433</v>
      </c>
      <c r="O1155" t="s">
        <v>53</v>
      </c>
      <c r="P1155" t="s">
        <v>5115</v>
      </c>
      <c r="Q1155" s="14" t="s">
        <v>78</v>
      </c>
      <c r="R1155" t="s">
        <v>5116</v>
      </c>
      <c r="S1155">
        <v>1</v>
      </c>
      <c r="T1155">
        <v>2706</v>
      </c>
      <c r="U1155">
        <v>0</v>
      </c>
      <c r="V1155">
        <v>2706</v>
      </c>
    </row>
    <row r="1156" spans="1:22" x14ac:dyDescent="0.25">
      <c r="A1156">
        <v>152577</v>
      </c>
      <c r="B1156">
        <v>130971077</v>
      </c>
      <c r="C1156" t="s">
        <v>5117</v>
      </c>
      <c r="D1156" t="s">
        <v>5118</v>
      </c>
      <c r="E1156" t="s">
        <v>5067</v>
      </c>
      <c r="F1156" t="s">
        <v>431</v>
      </c>
      <c r="G1156" t="s">
        <v>83</v>
      </c>
      <c r="H1156" t="s">
        <v>205</v>
      </c>
      <c r="I1156" t="s">
        <v>88</v>
      </c>
      <c r="J1156" t="s">
        <v>209</v>
      </c>
      <c r="K1156" t="s">
        <v>2</v>
      </c>
      <c r="L1156" t="s">
        <v>166</v>
      </c>
      <c r="M1156" t="s">
        <v>5119</v>
      </c>
      <c r="N1156" t="s">
        <v>433</v>
      </c>
      <c r="O1156" t="s">
        <v>53</v>
      </c>
      <c r="P1156" t="s">
        <v>5120</v>
      </c>
      <c r="Q1156" s="14" t="s">
        <v>51</v>
      </c>
      <c r="R1156" t="s">
        <v>5121</v>
      </c>
      <c r="S1156">
        <v>1</v>
      </c>
      <c r="T1156">
        <v>2706</v>
      </c>
      <c r="U1156">
        <v>0</v>
      </c>
      <c r="V1156">
        <v>2706</v>
      </c>
    </row>
    <row r="1157" spans="1:22" x14ac:dyDescent="0.25">
      <c r="A1157">
        <v>152577</v>
      </c>
      <c r="B1157">
        <v>131237754</v>
      </c>
      <c r="C1157" t="s">
        <v>5122</v>
      </c>
      <c r="D1157">
        <v>250207474</v>
      </c>
      <c r="E1157" t="s">
        <v>5067</v>
      </c>
      <c r="F1157" t="s">
        <v>431</v>
      </c>
      <c r="G1157" t="s">
        <v>149</v>
      </c>
      <c r="H1157" t="s">
        <v>150</v>
      </c>
      <c r="I1157" t="s">
        <v>88</v>
      </c>
      <c r="J1157" t="s">
        <v>151</v>
      </c>
      <c r="K1157" t="s">
        <v>2</v>
      </c>
      <c r="L1157" t="s">
        <v>5123</v>
      </c>
      <c r="M1157" t="s">
        <v>5124</v>
      </c>
      <c r="N1157" t="s">
        <v>433</v>
      </c>
      <c r="O1157" t="s">
        <v>53</v>
      </c>
      <c r="P1157" t="s">
        <v>5125</v>
      </c>
      <c r="Q1157" s="14" t="s">
        <v>124</v>
      </c>
      <c r="R1157" t="s">
        <v>381</v>
      </c>
      <c r="S1157">
        <v>0.4</v>
      </c>
      <c r="T1157">
        <v>4219</v>
      </c>
      <c r="U1157">
        <v>0</v>
      </c>
      <c r="V1157">
        <v>4219</v>
      </c>
    </row>
    <row r="1158" spans="1:22" x14ac:dyDescent="0.25">
      <c r="A1158">
        <v>152577</v>
      </c>
      <c r="B1158">
        <v>131236992</v>
      </c>
      <c r="C1158" t="s">
        <v>5126</v>
      </c>
      <c r="D1158">
        <v>250206397</v>
      </c>
      <c r="E1158" t="s">
        <v>5067</v>
      </c>
      <c r="F1158" t="s">
        <v>431</v>
      </c>
      <c r="G1158" t="s">
        <v>149</v>
      </c>
      <c r="H1158" t="s">
        <v>150</v>
      </c>
      <c r="I1158" t="s">
        <v>88</v>
      </c>
      <c r="J1158" t="s">
        <v>151</v>
      </c>
      <c r="K1158" t="s">
        <v>2</v>
      </c>
      <c r="L1158" t="s">
        <v>5127</v>
      </c>
      <c r="M1158" t="s">
        <v>5128</v>
      </c>
      <c r="N1158" t="s">
        <v>433</v>
      </c>
      <c r="O1158" t="s">
        <v>53</v>
      </c>
      <c r="P1158" t="s">
        <v>5129</v>
      </c>
      <c r="Q1158" s="14" t="s">
        <v>125</v>
      </c>
      <c r="R1158" t="s">
        <v>352</v>
      </c>
      <c r="S1158">
        <v>0.85</v>
      </c>
      <c r="T1158">
        <v>4219</v>
      </c>
      <c r="U1158">
        <v>0</v>
      </c>
      <c r="V1158">
        <v>4219</v>
      </c>
    </row>
    <row r="1159" spans="1:22" x14ac:dyDescent="0.25">
      <c r="A1159">
        <v>152577</v>
      </c>
      <c r="B1159">
        <v>131161524</v>
      </c>
      <c r="C1159" t="s">
        <v>5130</v>
      </c>
      <c r="D1159">
        <v>250052632</v>
      </c>
      <c r="E1159" t="s">
        <v>5067</v>
      </c>
      <c r="F1159" t="s">
        <v>431</v>
      </c>
      <c r="G1159" t="s">
        <v>149</v>
      </c>
      <c r="H1159" t="s">
        <v>150</v>
      </c>
      <c r="I1159" t="s">
        <v>88</v>
      </c>
      <c r="J1159" t="s">
        <v>151</v>
      </c>
      <c r="K1159" t="s">
        <v>2</v>
      </c>
      <c r="L1159" t="s">
        <v>5131</v>
      </c>
      <c r="M1159" t="s">
        <v>5132</v>
      </c>
      <c r="N1159" t="s">
        <v>433</v>
      </c>
      <c r="O1159" t="s">
        <v>53</v>
      </c>
      <c r="P1159" t="s">
        <v>5133</v>
      </c>
      <c r="Q1159" s="14" t="s">
        <v>173</v>
      </c>
      <c r="R1159" t="s">
        <v>367</v>
      </c>
      <c r="S1159">
        <v>1.1499999999999999</v>
      </c>
      <c r="T1159">
        <v>6244</v>
      </c>
      <c r="U1159">
        <v>0</v>
      </c>
      <c r="V1159">
        <v>6244</v>
      </c>
    </row>
    <row r="1160" spans="1:22" x14ac:dyDescent="0.25">
      <c r="A1160">
        <v>152577</v>
      </c>
      <c r="B1160">
        <v>131180161</v>
      </c>
      <c r="C1160" t="s">
        <v>5134</v>
      </c>
      <c r="D1160">
        <v>250101038</v>
      </c>
      <c r="E1160" t="s">
        <v>5067</v>
      </c>
      <c r="F1160" t="s">
        <v>431</v>
      </c>
      <c r="G1160" t="s">
        <v>149</v>
      </c>
      <c r="H1160" t="s">
        <v>150</v>
      </c>
      <c r="I1160" t="s">
        <v>88</v>
      </c>
      <c r="J1160" t="s">
        <v>151</v>
      </c>
      <c r="K1160" t="s">
        <v>2</v>
      </c>
      <c r="L1160" t="s">
        <v>5135</v>
      </c>
      <c r="M1160" t="s">
        <v>5136</v>
      </c>
      <c r="N1160" t="s">
        <v>433</v>
      </c>
      <c r="O1160" t="s">
        <v>53</v>
      </c>
      <c r="P1160" t="s">
        <v>5137</v>
      </c>
      <c r="Q1160" s="14" t="s">
        <v>158</v>
      </c>
      <c r="R1160" t="s">
        <v>5138</v>
      </c>
      <c r="S1160">
        <v>0.84</v>
      </c>
      <c r="T1160">
        <v>4219</v>
      </c>
      <c r="U1160">
        <v>0</v>
      </c>
      <c r="V1160">
        <v>4219</v>
      </c>
    </row>
    <row r="1161" spans="1:22" x14ac:dyDescent="0.25">
      <c r="A1161">
        <v>152577</v>
      </c>
      <c r="B1161">
        <v>131153959</v>
      </c>
      <c r="C1161" t="s">
        <v>5139</v>
      </c>
      <c r="D1161">
        <v>250041417</v>
      </c>
      <c r="E1161" t="s">
        <v>5067</v>
      </c>
      <c r="F1161" t="s">
        <v>431</v>
      </c>
      <c r="G1161" t="s">
        <v>149</v>
      </c>
      <c r="H1161" t="s">
        <v>150</v>
      </c>
      <c r="I1161" t="s">
        <v>88</v>
      </c>
      <c r="J1161" t="s">
        <v>151</v>
      </c>
      <c r="K1161" t="s">
        <v>2</v>
      </c>
      <c r="L1161" t="s">
        <v>5140</v>
      </c>
      <c r="M1161" t="s">
        <v>5141</v>
      </c>
      <c r="N1161" t="s">
        <v>433</v>
      </c>
      <c r="O1161" t="s">
        <v>53</v>
      </c>
      <c r="P1161" t="s">
        <v>5142</v>
      </c>
      <c r="Q1161" s="14" t="s">
        <v>38</v>
      </c>
      <c r="R1161" t="s">
        <v>368</v>
      </c>
      <c r="S1161">
        <v>0.57999999999999996</v>
      </c>
      <c r="T1161">
        <v>4669</v>
      </c>
      <c r="U1161">
        <v>0</v>
      </c>
      <c r="V1161">
        <v>4669</v>
      </c>
    </row>
    <row r="1162" spans="1:22" x14ac:dyDescent="0.25">
      <c r="A1162">
        <v>152577</v>
      </c>
      <c r="B1162">
        <v>131178664</v>
      </c>
      <c r="C1162" t="s">
        <v>5143</v>
      </c>
      <c r="D1162">
        <v>250098124</v>
      </c>
      <c r="E1162" t="s">
        <v>5067</v>
      </c>
      <c r="F1162" t="s">
        <v>431</v>
      </c>
      <c r="G1162" t="s">
        <v>149</v>
      </c>
      <c r="H1162" t="s">
        <v>150</v>
      </c>
      <c r="I1162" t="s">
        <v>88</v>
      </c>
      <c r="J1162" t="s">
        <v>151</v>
      </c>
      <c r="K1162" t="s">
        <v>2</v>
      </c>
      <c r="L1162" t="s">
        <v>5144</v>
      </c>
      <c r="M1162" t="s">
        <v>5145</v>
      </c>
      <c r="N1162" t="s">
        <v>433</v>
      </c>
      <c r="O1162" t="s">
        <v>53</v>
      </c>
      <c r="P1162" t="s">
        <v>5146</v>
      </c>
      <c r="Q1162" s="14" t="s">
        <v>135</v>
      </c>
      <c r="R1162" t="s">
        <v>5147</v>
      </c>
      <c r="S1162">
        <v>0.8</v>
      </c>
      <c r="T1162">
        <v>4219</v>
      </c>
      <c r="U1162">
        <v>0</v>
      </c>
      <c r="V1162">
        <v>4219</v>
      </c>
    </row>
    <row r="1163" spans="1:22" x14ac:dyDescent="0.25">
      <c r="A1163">
        <v>152577</v>
      </c>
      <c r="B1163">
        <v>131157414</v>
      </c>
      <c r="C1163" t="s">
        <v>5148</v>
      </c>
      <c r="D1163">
        <v>250045721</v>
      </c>
      <c r="E1163" t="s">
        <v>5067</v>
      </c>
      <c r="F1163" t="s">
        <v>431</v>
      </c>
      <c r="G1163" t="s">
        <v>149</v>
      </c>
      <c r="H1163" t="s">
        <v>150</v>
      </c>
      <c r="I1163" t="s">
        <v>88</v>
      </c>
      <c r="J1163" t="s">
        <v>151</v>
      </c>
      <c r="K1163" t="s">
        <v>2</v>
      </c>
      <c r="L1163" t="s">
        <v>5149</v>
      </c>
      <c r="M1163" t="s">
        <v>5150</v>
      </c>
      <c r="N1163" t="s">
        <v>433</v>
      </c>
      <c r="O1163" t="s">
        <v>53</v>
      </c>
      <c r="P1163" t="s">
        <v>5151</v>
      </c>
      <c r="Q1163" s="14" t="s">
        <v>107</v>
      </c>
      <c r="R1163" t="s">
        <v>5152</v>
      </c>
      <c r="S1163">
        <v>0.44</v>
      </c>
      <c r="T1163">
        <v>6132</v>
      </c>
      <c r="U1163">
        <v>0</v>
      </c>
      <c r="V1163">
        <v>6132</v>
      </c>
    </row>
    <row r="1164" spans="1:22" x14ac:dyDescent="0.25">
      <c r="A1164">
        <v>152577</v>
      </c>
      <c r="B1164">
        <v>131053770</v>
      </c>
      <c r="C1164" t="s">
        <v>5153</v>
      </c>
      <c r="D1164">
        <v>249831874</v>
      </c>
      <c r="E1164" t="s">
        <v>5067</v>
      </c>
      <c r="F1164" t="s">
        <v>431</v>
      </c>
      <c r="G1164" t="s">
        <v>149</v>
      </c>
      <c r="H1164" t="s">
        <v>150</v>
      </c>
      <c r="I1164" t="s">
        <v>88</v>
      </c>
      <c r="J1164" t="s">
        <v>151</v>
      </c>
      <c r="K1164" t="s">
        <v>254</v>
      </c>
      <c r="L1164" t="s">
        <v>248</v>
      </c>
      <c r="M1164" t="s">
        <v>5154</v>
      </c>
      <c r="N1164" t="s">
        <v>433</v>
      </c>
      <c r="O1164" t="s">
        <v>53</v>
      </c>
      <c r="P1164" t="s">
        <v>5155</v>
      </c>
      <c r="Q1164" s="14" t="s">
        <v>107</v>
      </c>
      <c r="R1164" t="s">
        <v>195</v>
      </c>
      <c r="S1164">
        <v>1</v>
      </c>
      <c r="T1164">
        <v>6132</v>
      </c>
      <c r="U1164">
        <v>0</v>
      </c>
      <c r="V1164">
        <v>6132</v>
      </c>
    </row>
    <row r="1165" spans="1:22" x14ac:dyDescent="0.25">
      <c r="A1165">
        <v>152577</v>
      </c>
      <c r="B1165">
        <v>131159117</v>
      </c>
      <c r="C1165" t="s">
        <v>5156</v>
      </c>
      <c r="D1165">
        <v>250048260</v>
      </c>
      <c r="E1165" t="s">
        <v>5067</v>
      </c>
      <c r="F1165" t="s">
        <v>431</v>
      </c>
      <c r="G1165" t="s">
        <v>149</v>
      </c>
      <c r="H1165" t="s">
        <v>150</v>
      </c>
      <c r="I1165" t="s">
        <v>88</v>
      </c>
      <c r="J1165" t="s">
        <v>151</v>
      </c>
      <c r="K1165" t="s">
        <v>2</v>
      </c>
      <c r="L1165" t="s">
        <v>5157</v>
      </c>
      <c r="M1165" t="s">
        <v>5158</v>
      </c>
      <c r="N1165" t="s">
        <v>433</v>
      </c>
      <c r="O1165" t="s">
        <v>53</v>
      </c>
      <c r="P1165" t="s">
        <v>5159</v>
      </c>
      <c r="Q1165" s="14" t="s">
        <v>217</v>
      </c>
      <c r="R1165" t="s">
        <v>138</v>
      </c>
      <c r="S1165">
        <v>0.96</v>
      </c>
      <c r="T1165">
        <v>4669</v>
      </c>
      <c r="U1165">
        <v>0</v>
      </c>
      <c r="V1165">
        <v>4669</v>
      </c>
    </row>
    <row r="1166" spans="1:22" x14ac:dyDescent="0.25">
      <c r="A1166">
        <v>152577</v>
      </c>
      <c r="B1166">
        <v>131108247</v>
      </c>
      <c r="C1166" t="s">
        <v>5160</v>
      </c>
      <c r="D1166">
        <v>249964471</v>
      </c>
      <c r="E1166" t="s">
        <v>5067</v>
      </c>
      <c r="F1166" t="s">
        <v>431</v>
      </c>
      <c r="G1166" t="s">
        <v>149</v>
      </c>
      <c r="H1166" t="s">
        <v>150</v>
      </c>
      <c r="I1166" t="s">
        <v>88</v>
      </c>
      <c r="J1166" t="s">
        <v>151</v>
      </c>
      <c r="K1166" t="s">
        <v>2</v>
      </c>
      <c r="L1166" t="s">
        <v>5161</v>
      </c>
      <c r="M1166" t="s">
        <v>5162</v>
      </c>
      <c r="N1166" t="s">
        <v>433</v>
      </c>
      <c r="O1166" t="s">
        <v>53</v>
      </c>
      <c r="P1166" t="s">
        <v>5163</v>
      </c>
      <c r="Q1166" s="14" t="s">
        <v>95</v>
      </c>
      <c r="R1166" t="s">
        <v>5164</v>
      </c>
      <c r="S1166">
        <v>0.99</v>
      </c>
      <c r="T1166">
        <v>5749</v>
      </c>
      <c r="U1166">
        <v>0</v>
      </c>
      <c r="V1166">
        <v>5749</v>
      </c>
    </row>
    <row r="1167" spans="1:22" x14ac:dyDescent="0.25">
      <c r="A1167">
        <v>152577</v>
      </c>
      <c r="B1167">
        <v>131158649</v>
      </c>
      <c r="C1167" t="s">
        <v>5165</v>
      </c>
      <c r="D1167">
        <v>250047438</v>
      </c>
      <c r="E1167" t="s">
        <v>5067</v>
      </c>
      <c r="F1167" t="s">
        <v>431</v>
      </c>
      <c r="G1167" t="s">
        <v>149</v>
      </c>
      <c r="H1167" t="s">
        <v>150</v>
      </c>
      <c r="I1167" t="s">
        <v>88</v>
      </c>
      <c r="J1167" t="s">
        <v>151</v>
      </c>
      <c r="K1167" t="s">
        <v>2</v>
      </c>
      <c r="L1167" t="s">
        <v>5166</v>
      </c>
      <c r="M1167" t="s">
        <v>5167</v>
      </c>
      <c r="N1167" t="s">
        <v>433</v>
      </c>
      <c r="O1167" t="s">
        <v>53</v>
      </c>
      <c r="P1167" t="s">
        <v>5168</v>
      </c>
      <c r="Q1167" s="14" t="s">
        <v>40</v>
      </c>
      <c r="R1167" t="s">
        <v>5169</v>
      </c>
      <c r="S1167">
        <v>0.59</v>
      </c>
      <c r="T1167">
        <v>4534</v>
      </c>
      <c r="U1167">
        <v>0</v>
      </c>
      <c r="V1167">
        <v>4534</v>
      </c>
    </row>
    <row r="1168" spans="1:22" x14ac:dyDescent="0.25">
      <c r="A1168">
        <v>152577</v>
      </c>
      <c r="B1168">
        <v>131108088</v>
      </c>
      <c r="C1168" t="s">
        <v>5170</v>
      </c>
      <c r="D1168">
        <v>249964023</v>
      </c>
      <c r="E1168" t="s">
        <v>5067</v>
      </c>
      <c r="F1168" t="s">
        <v>431</v>
      </c>
      <c r="G1168" t="s">
        <v>149</v>
      </c>
      <c r="H1168" t="s">
        <v>150</v>
      </c>
      <c r="I1168" t="s">
        <v>88</v>
      </c>
      <c r="J1168" t="s">
        <v>151</v>
      </c>
      <c r="K1168" t="s">
        <v>2</v>
      </c>
      <c r="L1168" t="s">
        <v>5171</v>
      </c>
      <c r="M1168" t="s">
        <v>5172</v>
      </c>
      <c r="N1168" t="s">
        <v>433</v>
      </c>
      <c r="O1168" t="s">
        <v>53</v>
      </c>
      <c r="P1168" t="s">
        <v>5173</v>
      </c>
      <c r="Q1168" s="14" t="s">
        <v>113</v>
      </c>
      <c r="R1168" t="s">
        <v>414</v>
      </c>
      <c r="S1168">
        <v>0.53</v>
      </c>
      <c r="T1168">
        <v>4973</v>
      </c>
      <c r="U1168">
        <v>0</v>
      </c>
      <c r="V1168">
        <v>4973</v>
      </c>
    </row>
    <row r="1169" spans="1:22" x14ac:dyDescent="0.25">
      <c r="A1169">
        <v>152577</v>
      </c>
      <c r="B1169">
        <v>131158334</v>
      </c>
      <c r="C1169" t="s">
        <v>5174</v>
      </c>
      <c r="D1169">
        <v>250046939</v>
      </c>
      <c r="E1169" t="s">
        <v>5067</v>
      </c>
      <c r="F1169" t="s">
        <v>431</v>
      </c>
      <c r="G1169" t="s">
        <v>149</v>
      </c>
      <c r="H1169" t="s">
        <v>150</v>
      </c>
      <c r="I1169" t="s">
        <v>88</v>
      </c>
      <c r="J1169" t="s">
        <v>151</v>
      </c>
      <c r="K1169" t="s">
        <v>2</v>
      </c>
      <c r="L1169" t="s">
        <v>5175</v>
      </c>
      <c r="M1169" t="s">
        <v>5176</v>
      </c>
      <c r="N1169" t="s">
        <v>433</v>
      </c>
      <c r="O1169" t="s">
        <v>53</v>
      </c>
      <c r="P1169" t="s">
        <v>5177</v>
      </c>
      <c r="Q1169" s="14" t="s">
        <v>96</v>
      </c>
      <c r="R1169" t="s">
        <v>5178</v>
      </c>
      <c r="S1169">
        <v>0.44</v>
      </c>
      <c r="T1169">
        <v>4219</v>
      </c>
      <c r="U1169">
        <v>0</v>
      </c>
      <c r="V1169">
        <v>4219</v>
      </c>
    </row>
    <row r="1170" spans="1:22" x14ac:dyDescent="0.25">
      <c r="A1170">
        <v>152577</v>
      </c>
      <c r="B1170">
        <v>131086549</v>
      </c>
      <c r="C1170" t="s">
        <v>5179</v>
      </c>
      <c r="D1170">
        <v>249901555</v>
      </c>
      <c r="E1170" t="s">
        <v>5067</v>
      </c>
      <c r="F1170" t="s">
        <v>431</v>
      </c>
      <c r="G1170" t="s">
        <v>149</v>
      </c>
      <c r="H1170" t="s">
        <v>150</v>
      </c>
      <c r="I1170" t="s">
        <v>88</v>
      </c>
      <c r="J1170" t="s">
        <v>151</v>
      </c>
      <c r="K1170" t="s">
        <v>2</v>
      </c>
      <c r="L1170" t="s">
        <v>5180</v>
      </c>
      <c r="M1170" t="s">
        <v>5181</v>
      </c>
      <c r="N1170" t="s">
        <v>433</v>
      </c>
      <c r="O1170" t="s">
        <v>53</v>
      </c>
      <c r="P1170" t="s">
        <v>5182</v>
      </c>
      <c r="Q1170" s="14" t="s">
        <v>188</v>
      </c>
      <c r="R1170" t="s">
        <v>383</v>
      </c>
      <c r="S1170">
        <v>0.4</v>
      </c>
      <c r="T1170">
        <v>5817</v>
      </c>
      <c r="U1170">
        <v>0</v>
      </c>
      <c r="V1170">
        <v>5817</v>
      </c>
    </row>
    <row r="1171" spans="1:22" x14ac:dyDescent="0.25">
      <c r="A1171">
        <v>152577</v>
      </c>
      <c r="B1171">
        <v>131053165</v>
      </c>
      <c r="C1171" t="s">
        <v>5183</v>
      </c>
      <c r="D1171">
        <v>249831138</v>
      </c>
      <c r="E1171" t="s">
        <v>5067</v>
      </c>
      <c r="F1171" t="s">
        <v>431</v>
      </c>
      <c r="G1171" t="s">
        <v>149</v>
      </c>
      <c r="H1171" t="s">
        <v>150</v>
      </c>
      <c r="I1171" t="s">
        <v>88</v>
      </c>
      <c r="J1171" t="s">
        <v>151</v>
      </c>
      <c r="K1171" t="s">
        <v>2</v>
      </c>
      <c r="L1171" t="s">
        <v>5184</v>
      </c>
      <c r="M1171" t="s">
        <v>5185</v>
      </c>
      <c r="N1171" t="s">
        <v>433</v>
      </c>
      <c r="O1171" t="s">
        <v>53</v>
      </c>
      <c r="P1171" t="s">
        <v>5186</v>
      </c>
      <c r="Q1171" s="14" t="s">
        <v>224</v>
      </c>
      <c r="R1171" t="s">
        <v>5187</v>
      </c>
      <c r="S1171">
        <v>1.39</v>
      </c>
      <c r="T1171">
        <v>4467</v>
      </c>
      <c r="U1171">
        <v>0</v>
      </c>
      <c r="V1171">
        <v>4467</v>
      </c>
    </row>
    <row r="1172" spans="1:22" x14ac:dyDescent="0.25">
      <c r="A1172">
        <v>152577</v>
      </c>
      <c r="B1172">
        <v>131038877</v>
      </c>
      <c r="C1172" t="s">
        <v>5188</v>
      </c>
      <c r="D1172">
        <v>249800165</v>
      </c>
      <c r="E1172" t="s">
        <v>5067</v>
      </c>
      <c r="F1172" t="s">
        <v>431</v>
      </c>
      <c r="G1172" t="s">
        <v>149</v>
      </c>
      <c r="H1172" t="s">
        <v>150</v>
      </c>
      <c r="I1172" t="s">
        <v>88</v>
      </c>
      <c r="J1172" t="s">
        <v>151</v>
      </c>
      <c r="K1172" t="s">
        <v>2</v>
      </c>
      <c r="L1172" t="s">
        <v>5189</v>
      </c>
      <c r="M1172" t="s">
        <v>5190</v>
      </c>
      <c r="N1172" t="s">
        <v>433</v>
      </c>
      <c r="O1172" t="s">
        <v>53</v>
      </c>
      <c r="P1172" t="s">
        <v>5191</v>
      </c>
      <c r="Q1172" s="14" t="s">
        <v>103</v>
      </c>
      <c r="R1172" t="s">
        <v>201</v>
      </c>
      <c r="S1172">
        <v>0.36</v>
      </c>
      <c r="T1172">
        <v>6070</v>
      </c>
      <c r="U1172">
        <v>0</v>
      </c>
      <c r="V1172">
        <v>6070</v>
      </c>
    </row>
    <row r="1173" spans="1:22" x14ac:dyDescent="0.25">
      <c r="A1173">
        <v>152577</v>
      </c>
      <c r="B1173">
        <v>131090086</v>
      </c>
      <c r="C1173" t="s">
        <v>5192</v>
      </c>
      <c r="D1173">
        <v>249908019</v>
      </c>
      <c r="E1173" t="s">
        <v>5067</v>
      </c>
      <c r="F1173" t="s">
        <v>431</v>
      </c>
      <c r="G1173" t="s">
        <v>149</v>
      </c>
      <c r="H1173" t="s">
        <v>150</v>
      </c>
      <c r="I1173" t="s">
        <v>88</v>
      </c>
      <c r="J1173" t="s">
        <v>151</v>
      </c>
      <c r="K1173" t="s">
        <v>2</v>
      </c>
      <c r="L1173" t="s">
        <v>5193</v>
      </c>
      <c r="M1173" t="s">
        <v>5194</v>
      </c>
      <c r="N1173" t="s">
        <v>433</v>
      </c>
      <c r="O1173" t="s">
        <v>53</v>
      </c>
      <c r="P1173" t="s">
        <v>5195</v>
      </c>
      <c r="Q1173" s="14" t="s">
        <v>124</v>
      </c>
      <c r="R1173" t="s">
        <v>418</v>
      </c>
      <c r="S1173">
        <v>0.48</v>
      </c>
      <c r="T1173">
        <v>4219</v>
      </c>
      <c r="U1173">
        <v>0</v>
      </c>
      <c r="V1173">
        <v>4219</v>
      </c>
    </row>
    <row r="1174" spans="1:22" x14ac:dyDescent="0.25">
      <c r="A1174">
        <v>152577</v>
      </c>
      <c r="B1174">
        <v>131047530</v>
      </c>
      <c r="C1174" t="s">
        <v>5196</v>
      </c>
      <c r="D1174">
        <v>249824747</v>
      </c>
      <c r="E1174" t="s">
        <v>5067</v>
      </c>
      <c r="F1174" t="s">
        <v>431</v>
      </c>
      <c r="G1174" t="s">
        <v>149</v>
      </c>
      <c r="H1174" t="s">
        <v>150</v>
      </c>
      <c r="I1174" t="s">
        <v>88</v>
      </c>
      <c r="J1174" t="s">
        <v>151</v>
      </c>
      <c r="K1174" t="s">
        <v>2</v>
      </c>
      <c r="L1174" t="s">
        <v>5197</v>
      </c>
      <c r="M1174" t="s">
        <v>5198</v>
      </c>
      <c r="N1174" t="s">
        <v>433</v>
      </c>
      <c r="O1174" t="s">
        <v>53</v>
      </c>
      <c r="P1174" t="s">
        <v>5199</v>
      </c>
      <c r="Q1174" s="14" t="s">
        <v>95</v>
      </c>
      <c r="R1174" t="s">
        <v>5200</v>
      </c>
      <c r="S1174">
        <v>0.45</v>
      </c>
      <c r="T1174">
        <v>5749</v>
      </c>
      <c r="U1174">
        <v>0</v>
      </c>
      <c r="V1174">
        <v>5749</v>
      </c>
    </row>
    <row r="1175" spans="1:22" x14ac:dyDescent="0.25">
      <c r="A1175">
        <v>152577</v>
      </c>
      <c r="B1175">
        <v>131038854</v>
      </c>
      <c r="C1175" t="s">
        <v>5201</v>
      </c>
      <c r="D1175">
        <v>249800142</v>
      </c>
      <c r="E1175" t="s">
        <v>5067</v>
      </c>
      <c r="F1175" t="s">
        <v>431</v>
      </c>
      <c r="G1175" t="s">
        <v>149</v>
      </c>
      <c r="H1175" t="s">
        <v>150</v>
      </c>
      <c r="I1175" t="s">
        <v>88</v>
      </c>
      <c r="J1175" t="s">
        <v>151</v>
      </c>
      <c r="K1175" t="s">
        <v>2</v>
      </c>
      <c r="L1175" t="s">
        <v>5202</v>
      </c>
      <c r="M1175" t="s">
        <v>5203</v>
      </c>
      <c r="N1175" t="s">
        <v>433</v>
      </c>
      <c r="O1175" t="s">
        <v>53</v>
      </c>
      <c r="P1175" t="s">
        <v>5204</v>
      </c>
      <c r="Q1175" s="14" t="s">
        <v>38</v>
      </c>
      <c r="R1175" t="s">
        <v>5205</v>
      </c>
      <c r="S1175">
        <v>0.49</v>
      </c>
      <c r="T1175">
        <v>4669</v>
      </c>
      <c r="U1175">
        <v>0</v>
      </c>
      <c r="V1175">
        <v>4669</v>
      </c>
    </row>
    <row r="1176" spans="1:22" x14ac:dyDescent="0.25">
      <c r="A1176">
        <v>152577</v>
      </c>
      <c r="B1176">
        <v>130971236</v>
      </c>
      <c r="C1176" t="s">
        <v>5206</v>
      </c>
      <c r="D1176">
        <v>249640772</v>
      </c>
      <c r="E1176" t="s">
        <v>5067</v>
      </c>
      <c r="F1176" t="s">
        <v>431</v>
      </c>
      <c r="G1176" t="s">
        <v>149</v>
      </c>
      <c r="H1176" t="s">
        <v>150</v>
      </c>
      <c r="I1176" t="s">
        <v>88</v>
      </c>
      <c r="J1176" t="s">
        <v>151</v>
      </c>
      <c r="K1176" t="s">
        <v>2</v>
      </c>
      <c r="L1176" t="s">
        <v>5207</v>
      </c>
      <c r="M1176" t="s">
        <v>5208</v>
      </c>
      <c r="N1176" t="s">
        <v>433</v>
      </c>
      <c r="O1176" t="s">
        <v>53</v>
      </c>
      <c r="P1176" t="s">
        <v>5209</v>
      </c>
      <c r="Q1176" s="14" t="s">
        <v>310</v>
      </c>
      <c r="R1176" t="s">
        <v>406</v>
      </c>
      <c r="S1176">
        <v>0.52</v>
      </c>
      <c r="T1176">
        <v>6899</v>
      </c>
      <c r="U1176">
        <v>0</v>
      </c>
      <c r="V1176">
        <v>6899</v>
      </c>
    </row>
    <row r="1177" spans="1:22" x14ac:dyDescent="0.25">
      <c r="A1177">
        <v>152577</v>
      </c>
      <c r="B1177">
        <v>130989309</v>
      </c>
      <c r="C1177" t="s">
        <v>5210</v>
      </c>
      <c r="D1177">
        <v>249679614</v>
      </c>
      <c r="E1177" t="s">
        <v>5067</v>
      </c>
      <c r="F1177" t="s">
        <v>431</v>
      </c>
      <c r="G1177" t="s">
        <v>149</v>
      </c>
      <c r="H1177" t="s">
        <v>150</v>
      </c>
      <c r="I1177" t="s">
        <v>88</v>
      </c>
      <c r="J1177" t="s">
        <v>151</v>
      </c>
      <c r="K1177" t="s">
        <v>2</v>
      </c>
      <c r="L1177" t="s">
        <v>5211</v>
      </c>
      <c r="M1177" t="s">
        <v>5212</v>
      </c>
      <c r="N1177" t="s">
        <v>433</v>
      </c>
      <c r="O1177" t="s">
        <v>53</v>
      </c>
      <c r="P1177" t="s">
        <v>5213</v>
      </c>
      <c r="Q1177" s="14" t="s">
        <v>129</v>
      </c>
      <c r="R1177" t="s">
        <v>232</v>
      </c>
      <c r="S1177">
        <v>0.85</v>
      </c>
      <c r="T1177">
        <v>7212</v>
      </c>
      <c r="U1177">
        <v>0</v>
      </c>
      <c r="V1177">
        <v>7212</v>
      </c>
    </row>
    <row r="1178" spans="1:22" x14ac:dyDescent="0.25">
      <c r="A1178">
        <v>152577</v>
      </c>
      <c r="B1178">
        <v>130886301</v>
      </c>
      <c r="C1178" t="s">
        <v>5214</v>
      </c>
      <c r="D1178">
        <v>249440980</v>
      </c>
      <c r="E1178" t="s">
        <v>5067</v>
      </c>
      <c r="F1178" t="s">
        <v>431</v>
      </c>
      <c r="G1178" t="s">
        <v>149</v>
      </c>
      <c r="H1178" t="s">
        <v>150</v>
      </c>
      <c r="I1178" t="s">
        <v>88</v>
      </c>
      <c r="J1178" t="s">
        <v>151</v>
      </c>
      <c r="K1178" t="s">
        <v>2</v>
      </c>
      <c r="L1178" t="s">
        <v>5215</v>
      </c>
      <c r="M1178" t="s">
        <v>5216</v>
      </c>
      <c r="N1178" t="s">
        <v>433</v>
      </c>
      <c r="O1178" t="s">
        <v>53</v>
      </c>
      <c r="P1178" t="s">
        <v>5217</v>
      </c>
      <c r="Q1178" s="14" t="s">
        <v>128</v>
      </c>
      <c r="R1178" t="s">
        <v>5218</v>
      </c>
      <c r="S1178">
        <v>0.47</v>
      </c>
      <c r="T1178">
        <v>7864</v>
      </c>
      <c r="U1178">
        <v>0</v>
      </c>
      <c r="V1178">
        <v>7864</v>
      </c>
    </row>
    <row r="1179" spans="1:22" x14ac:dyDescent="0.25">
      <c r="A1179">
        <v>152577</v>
      </c>
      <c r="B1179">
        <v>130970991</v>
      </c>
      <c r="C1179" t="s">
        <v>5219</v>
      </c>
      <c r="D1179">
        <v>249640266</v>
      </c>
      <c r="E1179" t="s">
        <v>5067</v>
      </c>
      <c r="F1179" t="s">
        <v>431</v>
      </c>
      <c r="G1179" t="s">
        <v>149</v>
      </c>
      <c r="H1179" t="s">
        <v>150</v>
      </c>
      <c r="I1179" t="s">
        <v>88</v>
      </c>
      <c r="J1179" t="s">
        <v>151</v>
      </c>
      <c r="K1179" t="s">
        <v>2</v>
      </c>
      <c r="L1179" t="s">
        <v>5220</v>
      </c>
      <c r="M1179" t="s">
        <v>5221</v>
      </c>
      <c r="N1179" t="s">
        <v>433</v>
      </c>
      <c r="O1179" t="s">
        <v>53</v>
      </c>
      <c r="P1179" t="s">
        <v>5222</v>
      </c>
      <c r="Q1179" s="14" t="s">
        <v>198</v>
      </c>
      <c r="R1179" t="s">
        <v>5223</v>
      </c>
      <c r="S1179">
        <v>0.8</v>
      </c>
      <c r="T1179">
        <v>4973</v>
      </c>
      <c r="U1179">
        <v>0</v>
      </c>
      <c r="V1179">
        <v>4973</v>
      </c>
    </row>
    <row r="1180" spans="1:22" x14ac:dyDescent="0.25">
      <c r="A1180">
        <v>152577</v>
      </c>
      <c r="B1180">
        <v>130928481</v>
      </c>
      <c r="C1180" t="s">
        <v>5224</v>
      </c>
      <c r="D1180">
        <v>249551367</v>
      </c>
      <c r="E1180" t="s">
        <v>5067</v>
      </c>
      <c r="F1180" t="s">
        <v>431</v>
      </c>
      <c r="G1180" t="s">
        <v>149</v>
      </c>
      <c r="H1180" t="s">
        <v>150</v>
      </c>
      <c r="I1180" t="s">
        <v>88</v>
      </c>
      <c r="J1180" t="s">
        <v>151</v>
      </c>
      <c r="K1180" t="s">
        <v>2</v>
      </c>
      <c r="L1180" t="s">
        <v>5225</v>
      </c>
      <c r="M1180" t="s">
        <v>5226</v>
      </c>
      <c r="N1180" t="s">
        <v>433</v>
      </c>
      <c r="O1180" t="s">
        <v>53</v>
      </c>
      <c r="P1180" t="s">
        <v>5227</v>
      </c>
      <c r="Q1180" s="14" t="s">
        <v>142</v>
      </c>
      <c r="R1180" t="s">
        <v>5228</v>
      </c>
      <c r="S1180">
        <v>0.4</v>
      </c>
      <c r="T1180">
        <v>4219</v>
      </c>
      <c r="U1180">
        <v>0</v>
      </c>
      <c r="V1180">
        <v>4219</v>
      </c>
    </row>
    <row r="1181" spans="1:22" x14ac:dyDescent="0.25">
      <c r="A1181">
        <v>152577</v>
      </c>
      <c r="B1181">
        <v>130847682</v>
      </c>
      <c r="C1181" t="s">
        <v>5229</v>
      </c>
      <c r="D1181">
        <v>249353014</v>
      </c>
      <c r="E1181" t="s">
        <v>5067</v>
      </c>
      <c r="F1181" t="s">
        <v>431</v>
      </c>
      <c r="G1181" t="s">
        <v>149</v>
      </c>
      <c r="H1181" t="s">
        <v>150</v>
      </c>
      <c r="I1181" t="s">
        <v>88</v>
      </c>
      <c r="J1181" t="s">
        <v>151</v>
      </c>
      <c r="K1181" t="s">
        <v>2</v>
      </c>
      <c r="L1181" t="s">
        <v>5230</v>
      </c>
      <c r="M1181" t="s">
        <v>5231</v>
      </c>
      <c r="N1181" t="s">
        <v>433</v>
      </c>
      <c r="O1181" t="s">
        <v>53</v>
      </c>
      <c r="P1181" t="s">
        <v>5232</v>
      </c>
      <c r="Q1181" s="14" t="s">
        <v>182</v>
      </c>
      <c r="R1181" t="s">
        <v>172</v>
      </c>
      <c r="S1181">
        <v>0.1</v>
      </c>
      <c r="T1181">
        <v>7212</v>
      </c>
      <c r="U1181">
        <v>0</v>
      </c>
      <c r="V1181">
        <v>7212</v>
      </c>
    </row>
    <row r="1182" spans="1:22" x14ac:dyDescent="0.25">
      <c r="A1182">
        <v>152577</v>
      </c>
      <c r="B1182">
        <v>130926592</v>
      </c>
      <c r="C1182" t="s">
        <v>5233</v>
      </c>
      <c r="D1182">
        <v>249547969</v>
      </c>
      <c r="E1182" t="s">
        <v>5067</v>
      </c>
      <c r="F1182" t="s">
        <v>431</v>
      </c>
      <c r="G1182" t="s">
        <v>149</v>
      </c>
      <c r="H1182" t="s">
        <v>150</v>
      </c>
      <c r="I1182" t="s">
        <v>88</v>
      </c>
      <c r="J1182" t="s">
        <v>151</v>
      </c>
      <c r="K1182" t="s">
        <v>2</v>
      </c>
      <c r="L1182" t="s">
        <v>5234</v>
      </c>
      <c r="M1182" t="s">
        <v>5235</v>
      </c>
      <c r="N1182" t="s">
        <v>433</v>
      </c>
      <c r="O1182" t="s">
        <v>53</v>
      </c>
      <c r="P1182" t="s">
        <v>5236</v>
      </c>
      <c r="Q1182" s="14" t="s">
        <v>163</v>
      </c>
      <c r="R1182" t="s">
        <v>5237</v>
      </c>
      <c r="S1182">
        <v>0.51</v>
      </c>
      <c r="T1182">
        <v>4219</v>
      </c>
      <c r="U1182">
        <v>0</v>
      </c>
      <c r="V1182">
        <v>4219</v>
      </c>
    </row>
    <row r="1183" spans="1:22" x14ac:dyDescent="0.25">
      <c r="A1183">
        <v>152577</v>
      </c>
      <c r="B1183">
        <v>130956825</v>
      </c>
      <c r="C1183" t="s">
        <v>5238</v>
      </c>
      <c r="D1183">
        <v>249600045</v>
      </c>
      <c r="E1183" t="s">
        <v>5067</v>
      </c>
      <c r="F1183" t="s">
        <v>431</v>
      </c>
      <c r="G1183" t="s">
        <v>149</v>
      </c>
      <c r="H1183" t="s">
        <v>150</v>
      </c>
      <c r="I1183" t="s">
        <v>88</v>
      </c>
      <c r="J1183" t="s">
        <v>151</v>
      </c>
      <c r="K1183" t="s">
        <v>2</v>
      </c>
      <c r="L1183" t="s">
        <v>5239</v>
      </c>
      <c r="M1183" t="s">
        <v>5240</v>
      </c>
      <c r="N1183" t="s">
        <v>433</v>
      </c>
      <c r="O1183" t="s">
        <v>53</v>
      </c>
      <c r="P1183" t="s">
        <v>5241</v>
      </c>
      <c r="Q1183" s="14" t="s">
        <v>125</v>
      </c>
      <c r="R1183" t="s">
        <v>5242</v>
      </c>
      <c r="S1183">
        <v>0.42</v>
      </c>
      <c r="T1183">
        <v>4219</v>
      </c>
      <c r="U1183">
        <v>0</v>
      </c>
      <c r="V1183">
        <v>4219</v>
      </c>
    </row>
    <row r="1184" spans="1:22" x14ac:dyDescent="0.25">
      <c r="A1184">
        <v>152577</v>
      </c>
      <c r="B1184">
        <v>130956824</v>
      </c>
      <c r="C1184" t="s">
        <v>5243</v>
      </c>
      <c r="D1184">
        <v>249600050</v>
      </c>
      <c r="E1184" t="s">
        <v>5067</v>
      </c>
      <c r="F1184" t="s">
        <v>431</v>
      </c>
      <c r="G1184" t="s">
        <v>149</v>
      </c>
      <c r="H1184" t="s">
        <v>150</v>
      </c>
      <c r="I1184" t="s">
        <v>88</v>
      </c>
      <c r="J1184" t="s">
        <v>151</v>
      </c>
      <c r="K1184" t="s">
        <v>2</v>
      </c>
      <c r="L1184" t="s">
        <v>5244</v>
      </c>
      <c r="M1184" t="s">
        <v>5245</v>
      </c>
      <c r="N1184" t="s">
        <v>433</v>
      </c>
      <c r="O1184" t="s">
        <v>53</v>
      </c>
      <c r="P1184" t="s">
        <v>5246</v>
      </c>
      <c r="Q1184" s="14" t="s">
        <v>122</v>
      </c>
      <c r="R1184" t="s">
        <v>5242</v>
      </c>
      <c r="S1184">
        <v>1.22</v>
      </c>
      <c r="T1184">
        <v>5310</v>
      </c>
      <c r="U1184">
        <v>0</v>
      </c>
      <c r="V1184">
        <v>5310</v>
      </c>
    </row>
    <row r="1185" spans="1:22" x14ac:dyDescent="0.25">
      <c r="A1185">
        <v>152577</v>
      </c>
      <c r="B1185">
        <v>130877938</v>
      </c>
      <c r="C1185" t="s">
        <v>5247</v>
      </c>
      <c r="D1185">
        <v>249426034</v>
      </c>
      <c r="E1185" t="s">
        <v>5067</v>
      </c>
      <c r="F1185" t="s">
        <v>431</v>
      </c>
      <c r="G1185" t="s">
        <v>149</v>
      </c>
      <c r="H1185" t="s">
        <v>150</v>
      </c>
      <c r="I1185" t="s">
        <v>88</v>
      </c>
      <c r="J1185" t="s">
        <v>151</v>
      </c>
      <c r="K1185" t="s">
        <v>2</v>
      </c>
      <c r="L1185" t="s">
        <v>5248</v>
      </c>
      <c r="M1185" t="s">
        <v>5249</v>
      </c>
      <c r="N1185" t="s">
        <v>433</v>
      </c>
      <c r="O1185" t="s">
        <v>53</v>
      </c>
      <c r="P1185" t="s">
        <v>5250</v>
      </c>
      <c r="Q1185" s="14" t="s">
        <v>300</v>
      </c>
      <c r="R1185" t="s">
        <v>5251</v>
      </c>
      <c r="S1185">
        <v>0.4</v>
      </c>
      <c r="T1185">
        <v>5749</v>
      </c>
      <c r="U1185">
        <v>0</v>
      </c>
      <c r="V1185">
        <v>5749</v>
      </c>
    </row>
    <row r="1186" spans="1:22" x14ac:dyDescent="0.25">
      <c r="A1186">
        <v>152577</v>
      </c>
      <c r="B1186">
        <v>130877022</v>
      </c>
      <c r="C1186" t="s">
        <v>5252</v>
      </c>
      <c r="D1186">
        <v>249424683</v>
      </c>
      <c r="E1186" t="s">
        <v>5067</v>
      </c>
      <c r="F1186" t="s">
        <v>431</v>
      </c>
      <c r="G1186" t="s">
        <v>149</v>
      </c>
      <c r="H1186" t="s">
        <v>150</v>
      </c>
      <c r="I1186" t="s">
        <v>88</v>
      </c>
      <c r="J1186" t="s">
        <v>151</v>
      </c>
      <c r="K1186" t="s">
        <v>2</v>
      </c>
      <c r="L1186" t="s">
        <v>5253</v>
      </c>
      <c r="M1186" t="s">
        <v>5254</v>
      </c>
      <c r="N1186" t="s">
        <v>433</v>
      </c>
      <c r="O1186" t="s">
        <v>53</v>
      </c>
      <c r="P1186" t="s">
        <v>5255</v>
      </c>
      <c r="Q1186" s="14" t="s">
        <v>129</v>
      </c>
      <c r="R1186" t="s">
        <v>5256</v>
      </c>
      <c r="S1186">
        <v>0.4</v>
      </c>
      <c r="T1186">
        <v>7212</v>
      </c>
      <c r="U1186">
        <v>0</v>
      </c>
      <c r="V1186">
        <v>7212</v>
      </c>
    </row>
    <row r="1187" spans="1:22" x14ac:dyDescent="0.25">
      <c r="A1187">
        <v>152577</v>
      </c>
      <c r="B1187">
        <v>130847487</v>
      </c>
      <c r="C1187" t="s">
        <v>5257</v>
      </c>
      <c r="D1187">
        <v>249352736</v>
      </c>
      <c r="E1187" t="s">
        <v>5067</v>
      </c>
      <c r="F1187" t="s">
        <v>431</v>
      </c>
      <c r="G1187" t="s">
        <v>149</v>
      </c>
      <c r="H1187" t="s">
        <v>150</v>
      </c>
      <c r="I1187" t="s">
        <v>88</v>
      </c>
      <c r="J1187" t="s">
        <v>151</v>
      </c>
      <c r="K1187" t="s">
        <v>2</v>
      </c>
      <c r="L1187" t="s">
        <v>5258</v>
      </c>
      <c r="M1187" t="s">
        <v>5259</v>
      </c>
      <c r="N1187" t="s">
        <v>433</v>
      </c>
      <c r="O1187" t="s">
        <v>53</v>
      </c>
      <c r="P1187" t="s">
        <v>5260</v>
      </c>
      <c r="Q1187" s="14" t="s">
        <v>124</v>
      </c>
      <c r="R1187" t="s">
        <v>246</v>
      </c>
      <c r="S1187">
        <v>0.46</v>
      </c>
      <c r="T1187">
        <v>4219</v>
      </c>
      <c r="U1187">
        <v>0</v>
      </c>
      <c r="V1187">
        <v>4219</v>
      </c>
    </row>
    <row r="1188" spans="1:22" x14ac:dyDescent="0.25">
      <c r="A1188">
        <v>152577</v>
      </c>
      <c r="B1188">
        <v>130850339</v>
      </c>
      <c r="C1188" t="s">
        <v>5261</v>
      </c>
      <c r="D1188">
        <v>249358114</v>
      </c>
      <c r="E1188" t="s">
        <v>5067</v>
      </c>
      <c r="F1188" t="s">
        <v>431</v>
      </c>
      <c r="G1188" t="s">
        <v>149</v>
      </c>
      <c r="H1188" t="s">
        <v>150</v>
      </c>
      <c r="I1188" t="s">
        <v>88</v>
      </c>
      <c r="J1188" t="s">
        <v>151</v>
      </c>
      <c r="K1188" t="s">
        <v>2</v>
      </c>
      <c r="L1188" t="s">
        <v>5262</v>
      </c>
      <c r="M1188" t="s">
        <v>5263</v>
      </c>
      <c r="N1188" t="s">
        <v>433</v>
      </c>
      <c r="O1188" t="s">
        <v>53</v>
      </c>
      <c r="P1188" t="s">
        <v>5264</v>
      </c>
      <c r="Q1188" s="14" t="s">
        <v>140</v>
      </c>
      <c r="R1188" t="s">
        <v>5265</v>
      </c>
      <c r="S1188">
        <v>0.44</v>
      </c>
      <c r="T1188">
        <v>4669</v>
      </c>
      <c r="U1188">
        <v>0</v>
      </c>
      <c r="V1188">
        <v>4669</v>
      </c>
    </row>
    <row r="1189" spans="1:22" x14ac:dyDescent="0.25">
      <c r="A1189">
        <v>152577</v>
      </c>
      <c r="B1189">
        <v>130849818</v>
      </c>
      <c r="C1189" t="s">
        <v>5266</v>
      </c>
      <c r="D1189">
        <v>249357080</v>
      </c>
      <c r="E1189" t="s">
        <v>5067</v>
      </c>
      <c r="F1189" t="s">
        <v>431</v>
      </c>
      <c r="G1189" t="s">
        <v>149</v>
      </c>
      <c r="H1189" t="s">
        <v>150</v>
      </c>
      <c r="I1189" t="s">
        <v>88</v>
      </c>
      <c r="J1189" t="s">
        <v>151</v>
      </c>
      <c r="K1189" t="s">
        <v>2</v>
      </c>
      <c r="L1189" t="s">
        <v>5267</v>
      </c>
      <c r="M1189" t="s">
        <v>5268</v>
      </c>
      <c r="N1189" t="s">
        <v>433</v>
      </c>
      <c r="O1189" t="s">
        <v>53</v>
      </c>
      <c r="P1189" t="s">
        <v>5269</v>
      </c>
      <c r="Q1189" s="14" t="s">
        <v>38</v>
      </c>
      <c r="R1189" t="s">
        <v>5270</v>
      </c>
      <c r="S1189">
        <v>0.77</v>
      </c>
      <c r="T1189">
        <v>4669</v>
      </c>
      <c r="U1189">
        <v>0</v>
      </c>
      <c r="V1189">
        <v>4669</v>
      </c>
    </row>
    <row r="1190" spans="1:22" x14ac:dyDescent="0.25">
      <c r="A1190">
        <v>152577</v>
      </c>
      <c r="B1190">
        <v>130848722</v>
      </c>
      <c r="C1190" t="s">
        <v>5271</v>
      </c>
      <c r="D1190">
        <v>249354735</v>
      </c>
      <c r="E1190" t="s">
        <v>5067</v>
      </c>
      <c r="F1190" t="s">
        <v>431</v>
      </c>
      <c r="G1190" t="s">
        <v>149</v>
      </c>
      <c r="H1190" t="s">
        <v>150</v>
      </c>
      <c r="I1190" t="s">
        <v>88</v>
      </c>
      <c r="J1190" t="s">
        <v>151</v>
      </c>
      <c r="K1190" t="s">
        <v>2</v>
      </c>
      <c r="L1190" t="s">
        <v>5272</v>
      </c>
      <c r="M1190" t="s">
        <v>5273</v>
      </c>
      <c r="N1190" t="s">
        <v>433</v>
      </c>
      <c r="O1190" t="s">
        <v>53</v>
      </c>
      <c r="P1190" t="s">
        <v>5274</v>
      </c>
      <c r="Q1190" s="14" t="s">
        <v>124</v>
      </c>
      <c r="R1190" t="s">
        <v>397</v>
      </c>
      <c r="S1190">
        <v>0.52</v>
      </c>
      <c r="T1190">
        <v>4219</v>
      </c>
      <c r="U1190">
        <v>0</v>
      </c>
      <c r="V1190">
        <v>4219</v>
      </c>
    </row>
    <row r="1191" spans="1:22" x14ac:dyDescent="0.25">
      <c r="A1191">
        <v>152577</v>
      </c>
      <c r="B1191">
        <v>130847913</v>
      </c>
      <c r="C1191" t="s">
        <v>5275</v>
      </c>
      <c r="D1191">
        <v>249353328</v>
      </c>
      <c r="E1191" t="s">
        <v>5067</v>
      </c>
      <c r="F1191" t="s">
        <v>431</v>
      </c>
      <c r="G1191" t="s">
        <v>149</v>
      </c>
      <c r="H1191" t="s">
        <v>150</v>
      </c>
      <c r="I1191" t="s">
        <v>88</v>
      </c>
      <c r="J1191" t="s">
        <v>151</v>
      </c>
      <c r="K1191" t="s">
        <v>2</v>
      </c>
      <c r="L1191" t="s">
        <v>5276</v>
      </c>
      <c r="M1191" t="s">
        <v>5277</v>
      </c>
      <c r="N1191" t="s">
        <v>433</v>
      </c>
      <c r="O1191" t="s">
        <v>53</v>
      </c>
      <c r="P1191" t="s">
        <v>5278</v>
      </c>
      <c r="Q1191" s="14" t="s">
        <v>152</v>
      </c>
      <c r="R1191" t="s">
        <v>5279</v>
      </c>
      <c r="S1191">
        <v>0.44</v>
      </c>
      <c r="T1191">
        <v>4219</v>
      </c>
      <c r="U1191">
        <v>0</v>
      </c>
      <c r="V1191">
        <v>4219</v>
      </c>
    </row>
    <row r="1192" spans="1:22" x14ac:dyDescent="0.25">
      <c r="A1192">
        <v>152577</v>
      </c>
      <c r="B1192">
        <v>130785319</v>
      </c>
      <c r="C1192" t="s">
        <v>5280</v>
      </c>
      <c r="D1192">
        <v>249233009</v>
      </c>
      <c r="E1192" t="s">
        <v>5067</v>
      </c>
      <c r="F1192" t="s">
        <v>431</v>
      </c>
      <c r="G1192" t="s">
        <v>149</v>
      </c>
      <c r="H1192" t="s">
        <v>150</v>
      </c>
      <c r="I1192" t="s">
        <v>88</v>
      </c>
      <c r="J1192" t="s">
        <v>151</v>
      </c>
      <c r="K1192" t="s">
        <v>2</v>
      </c>
      <c r="L1192" t="s">
        <v>5281</v>
      </c>
      <c r="M1192" t="s">
        <v>5282</v>
      </c>
      <c r="N1192" t="s">
        <v>433</v>
      </c>
      <c r="O1192" t="s">
        <v>53</v>
      </c>
      <c r="P1192" t="s">
        <v>5283</v>
      </c>
      <c r="Q1192" s="14" t="s">
        <v>113</v>
      </c>
      <c r="R1192" t="s">
        <v>423</v>
      </c>
      <c r="S1192">
        <v>0.47</v>
      </c>
      <c r="T1192">
        <v>4973</v>
      </c>
      <c r="U1192">
        <v>0</v>
      </c>
      <c r="V1192">
        <v>4973</v>
      </c>
    </row>
    <row r="1193" spans="1:22" x14ac:dyDescent="0.25">
      <c r="A1193">
        <v>152577</v>
      </c>
      <c r="B1193">
        <v>130849714</v>
      </c>
      <c r="C1193" t="s">
        <v>5284</v>
      </c>
      <c r="D1193">
        <v>249356900</v>
      </c>
      <c r="E1193" t="s">
        <v>5067</v>
      </c>
      <c r="F1193" t="s">
        <v>431</v>
      </c>
      <c r="G1193" t="s">
        <v>149</v>
      </c>
      <c r="H1193" t="s">
        <v>150</v>
      </c>
      <c r="I1193" t="s">
        <v>88</v>
      </c>
      <c r="J1193" t="s">
        <v>151</v>
      </c>
      <c r="K1193" t="s">
        <v>2</v>
      </c>
      <c r="L1193" t="s">
        <v>5285</v>
      </c>
      <c r="M1193" t="s">
        <v>5245</v>
      </c>
      <c r="N1193" t="s">
        <v>433</v>
      </c>
      <c r="O1193" t="s">
        <v>53</v>
      </c>
      <c r="P1193" t="s">
        <v>5246</v>
      </c>
      <c r="Q1193" s="14" t="s">
        <v>122</v>
      </c>
      <c r="R1193" t="s">
        <v>354</v>
      </c>
      <c r="S1193">
        <v>0.44</v>
      </c>
      <c r="T1193">
        <v>4973</v>
      </c>
      <c r="U1193">
        <v>0</v>
      </c>
      <c r="V1193">
        <v>4973</v>
      </c>
    </row>
    <row r="1194" spans="1:22" x14ac:dyDescent="0.25">
      <c r="A1194">
        <v>152577</v>
      </c>
      <c r="B1194">
        <v>130750394</v>
      </c>
      <c r="C1194" t="s">
        <v>5286</v>
      </c>
      <c r="D1194">
        <v>249158502</v>
      </c>
      <c r="E1194" t="s">
        <v>5067</v>
      </c>
      <c r="F1194" t="s">
        <v>431</v>
      </c>
      <c r="G1194" t="s">
        <v>149</v>
      </c>
      <c r="H1194" t="s">
        <v>150</v>
      </c>
      <c r="I1194" t="s">
        <v>88</v>
      </c>
      <c r="J1194" t="s">
        <v>151</v>
      </c>
      <c r="K1194" t="s">
        <v>2</v>
      </c>
      <c r="L1194" t="s">
        <v>5287</v>
      </c>
      <c r="M1194" t="s">
        <v>5288</v>
      </c>
      <c r="N1194" t="s">
        <v>433</v>
      </c>
      <c r="O1194" t="s">
        <v>53</v>
      </c>
      <c r="P1194" t="s">
        <v>5289</v>
      </c>
      <c r="Q1194" s="14" t="s">
        <v>135</v>
      </c>
      <c r="R1194" t="s">
        <v>5290</v>
      </c>
      <c r="S1194">
        <v>0.48</v>
      </c>
      <c r="T1194">
        <v>4219</v>
      </c>
      <c r="U1194">
        <v>0</v>
      </c>
      <c r="V1194">
        <v>4219</v>
      </c>
    </row>
    <row r="1195" spans="1:22" x14ac:dyDescent="0.25">
      <c r="A1195">
        <v>152577</v>
      </c>
      <c r="B1195">
        <v>130701706</v>
      </c>
      <c r="C1195" t="s">
        <v>5291</v>
      </c>
      <c r="D1195">
        <v>249068332</v>
      </c>
      <c r="E1195" t="s">
        <v>5067</v>
      </c>
      <c r="F1195" t="s">
        <v>431</v>
      </c>
      <c r="G1195" t="s">
        <v>149</v>
      </c>
      <c r="H1195" t="s">
        <v>150</v>
      </c>
      <c r="I1195" t="s">
        <v>88</v>
      </c>
      <c r="J1195" t="s">
        <v>151</v>
      </c>
      <c r="K1195" t="s">
        <v>2</v>
      </c>
      <c r="L1195" t="s">
        <v>5292</v>
      </c>
      <c r="M1195" t="s">
        <v>5293</v>
      </c>
      <c r="N1195" t="s">
        <v>433</v>
      </c>
      <c r="O1195" t="s">
        <v>53</v>
      </c>
      <c r="P1195" t="s">
        <v>5294</v>
      </c>
      <c r="Q1195" s="14" t="s">
        <v>129</v>
      </c>
      <c r="R1195" t="s">
        <v>400</v>
      </c>
      <c r="S1195">
        <v>0.4</v>
      </c>
      <c r="T1195">
        <v>7212</v>
      </c>
      <c r="U1195">
        <v>0</v>
      </c>
      <c r="V1195">
        <v>7212</v>
      </c>
    </row>
    <row r="1196" spans="1:22" x14ac:dyDescent="0.25">
      <c r="A1196">
        <v>152577</v>
      </c>
      <c r="B1196">
        <v>130701704</v>
      </c>
      <c r="C1196" t="s">
        <v>5295</v>
      </c>
      <c r="D1196">
        <v>249068336</v>
      </c>
      <c r="E1196" t="s">
        <v>5067</v>
      </c>
      <c r="F1196" t="s">
        <v>431</v>
      </c>
      <c r="G1196" t="s">
        <v>149</v>
      </c>
      <c r="H1196" t="s">
        <v>150</v>
      </c>
      <c r="I1196" t="s">
        <v>88</v>
      </c>
      <c r="J1196" t="s">
        <v>151</v>
      </c>
      <c r="K1196" t="s">
        <v>2</v>
      </c>
      <c r="L1196" t="s">
        <v>5296</v>
      </c>
      <c r="M1196" t="s">
        <v>256</v>
      </c>
      <c r="N1196" t="s">
        <v>433</v>
      </c>
      <c r="O1196" t="s">
        <v>53</v>
      </c>
      <c r="P1196" t="s">
        <v>5297</v>
      </c>
      <c r="Q1196" s="14" t="s">
        <v>120</v>
      </c>
      <c r="R1196" t="s">
        <v>400</v>
      </c>
      <c r="S1196">
        <v>0.34</v>
      </c>
      <c r="T1196">
        <v>5153</v>
      </c>
      <c r="U1196">
        <v>0</v>
      </c>
      <c r="V1196">
        <v>5153</v>
      </c>
    </row>
    <row r="1197" spans="1:22" x14ac:dyDescent="0.25">
      <c r="A1197">
        <v>152577</v>
      </c>
      <c r="B1197">
        <v>130701646</v>
      </c>
      <c r="C1197" t="s">
        <v>5298</v>
      </c>
      <c r="D1197">
        <v>249068235</v>
      </c>
      <c r="E1197" t="s">
        <v>5067</v>
      </c>
      <c r="F1197" t="s">
        <v>431</v>
      </c>
      <c r="G1197" t="s">
        <v>149</v>
      </c>
      <c r="H1197" t="s">
        <v>150</v>
      </c>
      <c r="I1197" t="s">
        <v>88</v>
      </c>
      <c r="J1197" t="s">
        <v>151</v>
      </c>
      <c r="K1197" t="s">
        <v>2</v>
      </c>
      <c r="L1197" t="s">
        <v>5299</v>
      </c>
      <c r="M1197" t="s">
        <v>5300</v>
      </c>
      <c r="N1197" t="s">
        <v>433</v>
      </c>
      <c r="O1197" t="s">
        <v>53</v>
      </c>
      <c r="P1197" t="s">
        <v>5301</v>
      </c>
      <c r="Q1197" s="14" t="s">
        <v>125</v>
      </c>
      <c r="R1197" t="s">
        <v>5302</v>
      </c>
      <c r="S1197">
        <v>0.45</v>
      </c>
      <c r="T1197">
        <v>4219</v>
      </c>
      <c r="U1197">
        <v>0</v>
      </c>
      <c r="V1197">
        <v>4219</v>
      </c>
    </row>
    <row r="1198" spans="1:22" x14ac:dyDescent="0.25">
      <c r="A1198">
        <v>152577</v>
      </c>
      <c r="B1198">
        <v>130681418</v>
      </c>
      <c r="C1198" t="s">
        <v>5303</v>
      </c>
      <c r="D1198">
        <v>249003060</v>
      </c>
      <c r="E1198" t="s">
        <v>5067</v>
      </c>
      <c r="F1198" t="s">
        <v>431</v>
      </c>
      <c r="G1198" t="s">
        <v>149</v>
      </c>
      <c r="H1198" t="s">
        <v>150</v>
      </c>
      <c r="I1198" t="s">
        <v>88</v>
      </c>
      <c r="J1198" t="s">
        <v>151</v>
      </c>
      <c r="K1198" t="s">
        <v>2</v>
      </c>
      <c r="L1198" t="s">
        <v>5304</v>
      </c>
      <c r="M1198" t="s">
        <v>5305</v>
      </c>
      <c r="N1198" t="s">
        <v>433</v>
      </c>
      <c r="O1198" t="s">
        <v>53</v>
      </c>
      <c r="P1198" t="s">
        <v>5306</v>
      </c>
      <c r="Q1198" s="14" t="s">
        <v>124</v>
      </c>
      <c r="R1198" t="s">
        <v>5307</v>
      </c>
      <c r="S1198">
        <v>0.45</v>
      </c>
      <c r="T1198">
        <v>4219</v>
      </c>
      <c r="U1198">
        <v>0</v>
      </c>
      <c r="V1198">
        <v>4219</v>
      </c>
    </row>
    <row r="1199" spans="1:22" x14ac:dyDescent="0.25">
      <c r="A1199">
        <v>152577</v>
      </c>
      <c r="B1199">
        <v>130748584</v>
      </c>
      <c r="C1199" t="s">
        <v>5308</v>
      </c>
      <c r="D1199">
        <v>249155473</v>
      </c>
      <c r="E1199" t="s">
        <v>5067</v>
      </c>
      <c r="F1199" t="s">
        <v>431</v>
      </c>
      <c r="G1199" t="s">
        <v>149</v>
      </c>
      <c r="H1199" t="s">
        <v>150</v>
      </c>
      <c r="I1199" t="s">
        <v>88</v>
      </c>
      <c r="J1199" t="s">
        <v>151</v>
      </c>
      <c r="K1199" t="s">
        <v>2</v>
      </c>
      <c r="L1199" t="s">
        <v>5309</v>
      </c>
      <c r="M1199" t="s">
        <v>5310</v>
      </c>
      <c r="N1199" t="s">
        <v>433</v>
      </c>
      <c r="O1199" t="s">
        <v>53</v>
      </c>
      <c r="P1199" t="s">
        <v>5311</v>
      </c>
      <c r="Q1199" s="14" t="s">
        <v>125</v>
      </c>
      <c r="R1199" t="s">
        <v>5312</v>
      </c>
      <c r="S1199">
        <v>0.42</v>
      </c>
      <c r="T1199">
        <v>4219</v>
      </c>
      <c r="U1199">
        <v>0</v>
      </c>
      <c r="V1199">
        <v>4219</v>
      </c>
    </row>
    <row r="1200" spans="1:22" x14ac:dyDescent="0.25">
      <c r="A1200">
        <v>152577</v>
      </c>
      <c r="B1200">
        <v>130752026</v>
      </c>
      <c r="C1200" t="s">
        <v>5313</v>
      </c>
      <c r="D1200">
        <v>249161122</v>
      </c>
      <c r="E1200" t="s">
        <v>5067</v>
      </c>
      <c r="F1200" t="s">
        <v>431</v>
      </c>
      <c r="G1200" t="s">
        <v>149</v>
      </c>
      <c r="H1200" t="s">
        <v>150</v>
      </c>
      <c r="I1200" t="s">
        <v>88</v>
      </c>
      <c r="J1200" t="s">
        <v>151</v>
      </c>
      <c r="K1200" t="s">
        <v>2</v>
      </c>
      <c r="L1200" t="s">
        <v>5314</v>
      </c>
      <c r="M1200" t="s">
        <v>5315</v>
      </c>
      <c r="N1200" t="s">
        <v>433</v>
      </c>
      <c r="O1200" t="s">
        <v>53</v>
      </c>
      <c r="P1200" t="s">
        <v>5316</v>
      </c>
      <c r="Q1200" s="14" t="s">
        <v>158</v>
      </c>
      <c r="R1200" t="s">
        <v>5317</v>
      </c>
      <c r="S1200">
        <v>0.48</v>
      </c>
      <c r="T1200">
        <v>4219</v>
      </c>
      <c r="U1200">
        <v>0</v>
      </c>
      <c r="V1200">
        <v>4219</v>
      </c>
    </row>
    <row r="1201" spans="1:22" x14ac:dyDescent="0.25">
      <c r="A1201">
        <v>152577</v>
      </c>
      <c r="B1201">
        <v>130654423</v>
      </c>
      <c r="C1201" t="s">
        <v>5318</v>
      </c>
      <c r="D1201">
        <v>248939204</v>
      </c>
      <c r="E1201" t="s">
        <v>5067</v>
      </c>
      <c r="F1201" t="s">
        <v>431</v>
      </c>
      <c r="G1201" t="s">
        <v>149</v>
      </c>
      <c r="H1201" t="s">
        <v>150</v>
      </c>
      <c r="I1201" t="s">
        <v>88</v>
      </c>
      <c r="J1201" t="s">
        <v>151</v>
      </c>
      <c r="K1201" t="s">
        <v>2</v>
      </c>
      <c r="L1201" t="s">
        <v>5319</v>
      </c>
      <c r="M1201" t="s">
        <v>5320</v>
      </c>
      <c r="N1201" t="s">
        <v>433</v>
      </c>
      <c r="O1201" t="s">
        <v>53</v>
      </c>
      <c r="P1201" t="s">
        <v>5321</v>
      </c>
      <c r="Q1201" s="14" t="s">
        <v>129</v>
      </c>
      <c r="R1201" t="s">
        <v>401</v>
      </c>
      <c r="S1201">
        <v>0.4</v>
      </c>
      <c r="T1201">
        <v>7212</v>
      </c>
      <c r="U1201">
        <v>0</v>
      </c>
      <c r="V1201">
        <v>7212</v>
      </c>
    </row>
    <row r="1202" spans="1:22" x14ac:dyDescent="0.25">
      <c r="A1202">
        <v>152577</v>
      </c>
      <c r="B1202">
        <v>130581497</v>
      </c>
      <c r="C1202" t="s">
        <v>5322</v>
      </c>
      <c r="D1202">
        <v>249007372</v>
      </c>
      <c r="E1202" t="s">
        <v>5067</v>
      </c>
      <c r="F1202" t="s">
        <v>431</v>
      </c>
      <c r="G1202" t="s">
        <v>149</v>
      </c>
      <c r="H1202" t="s">
        <v>150</v>
      </c>
      <c r="I1202" t="s">
        <v>88</v>
      </c>
      <c r="J1202" t="s">
        <v>151</v>
      </c>
      <c r="K1202" t="s">
        <v>2</v>
      </c>
      <c r="L1202" t="s">
        <v>5323</v>
      </c>
      <c r="M1202" t="s">
        <v>5324</v>
      </c>
      <c r="N1202" t="s">
        <v>433</v>
      </c>
      <c r="O1202" t="s">
        <v>53</v>
      </c>
      <c r="P1202" t="s">
        <v>5325</v>
      </c>
      <c r="Q1202" s="14" t="s">
        <v>169</v>
      </c>
      <c r="R1202" t="s">
        <v>5326</v>
      </c>
      <c r="S1202">
        <v>0.04</v>
      </c>
      <c r="T1202">
        <v>4853</v>
      </c>
      <c r="U1202">
        <v>0</v>
      </c>
      <c r="V1202">
        <v>4853</v>
      </c>
    </row>
    <row r="1203" spans="1:22" x14ac:dyDescent="0.25">
      <c r="A1203">
        <v>152577</v>
      </c>
      <c r="B1203">
        <v>130682249</v>
      </c>
      <c r="C1203" t="s">
        <v>5327</v>
      </c>
      <c r="D1203">
        <v>249004890</v>
      </c>
      <c r="E1203" t="s">
        <v>5067</v>
      </c>
      <c r="F1203" t="s">
        <v>431</v>
      </c>
      <c r="G1203" t="s">
        <v>149</v>
      </c>
      <c r="H1203" t="s">
        <v>150</v>
      </c>
      <c r="I1203" t="s">
        <v>88</v>
      </c>
      <c r="J1203" t="s">
        <v>151</v>
      </c>
      <c r="K1203" t="s">
        <v>2</v>
      </c>
      <c r="L1203" t="s">
        <v>5328</v>
      </c>
      <c r="M1203" t="s">
        <v>5329</v>
      </c>
      <c r="N1203" t="s">
        <v>433</v>
      </c>
      <c r="O1203" t="s">
        <v>53</v>
      </c>
      <c r="P1203" t="s">
        <v>5330</v>
      </c>
      <c r="Q1203" s="14" t="s">
        <v>135</v>
      </c>
      <c r="R1203" t="s">
        <v>5331</v>
      </c>
      <c r="S1203">
        <v>0.4</v>
      </c>
      <c r="T1203">
        <v>4219</v>
      </c>
      <c r="U1203">
        <v>0</v>
      </c>
      <c r="V1203">
        <v>4219</v>
      </c>
    </row>
    <row r="1204" spans="1:22" x14ac:dyDescent="0.25">
      <c r="A1204">
        <v>152577</v>
      </c>
      <c r="B1204">
        <v>130619056</v>
      </c>
      <c r="C1204" t="s">
        <v>5332</v>
      </c>
      <c r="D1204">
        <v>248856489</v>
      </c>
      <c r="E1204" t="s">
        <v>5067</v>
      </c>
      <c r="F1204" t="s">
        <v>431</v>
      </c>
      <c r="G1204" t="s">
        <v>149</v>
      </c>
      <c r="H1204" t="s">
        <v>150</v>
      </c>
      <c r="I1204" t="s">
        <v>88</v>
      </c>
      <c r="J1204" t="s">
        <v>151</v>
      </c>
      <c r="K1204" t="s">
        <v>2</v>
      </c>
      <c r="L1204" t="s">
        <v>5333</v>
      </c>
      <c r="M1204" t="s">
        <v>5334</v>
      </c>
      <c r="N1204" t="s">
        <v>433</v>
      </c>
      <c r="O1204" t="s">
        <v>53</v>
      </c>
      <c r="P1204" t="s">
        <v>5335</v>
      </c>
      <c r="Q1204" s="14" t="s">
        <v>142</v>
      </c>
      <c r="R1204" t="s">
        <v>427</v>
      </c>
      <c r="S1204">
        <v>0.86</v>
      </c>
      <c r="T1204">
        <v>4219</v>
      </c>
      <c r="U1204">
        <v>0</v>
      </c>
      <c r="V1204">
        <v>4219</v>
      </c>
    </row>
    <row r="1205" spans="1:22" x14ac:dyDescent="0.25">
      <c r="A1205">
        <v>152577</v>
      </c>
      <c r="B1205">
        <v>130556108</v>
      </c>
      <c r="C1205" t="s">
        <v>5336</v>
      </c>
      <c r="D1205">
        <v>248719466</v>
      </c>
      <c r="E1205" t="s">
        <v>5067</v>
      </c>
      <c r="F1205" t="s">
        <v>431</v>
      </c>
      <c r="G1205" t="s">
        <v>149</v>
      </c>
      <c r="H1205" t="s">
        <v>150</v>
      </c>
      <c r="I1205" t="s">
        <v>88</v>
      </c>
      <c r="J1205" t="s">
        <v>151</v>
      </c>
      <c r="K1205" t="s">
        <v>2</v>
      </c>
      <c r="L1205" t="s">
        <v>5337</v>
      </c>
      <c r="M1205" t="s">
        <v>5338</v>
      </c>
      <c r="N1205" t="s">
        <v>433</v>
      </c>
      <c r="O1205" t="s">
        <v>53</v>
      </c>
      <c r="P1205" t="s">
        <v>5339</v>
      </c>
      <c r="Q1205" s="14" t="s">
        <v>128</v>
      </c>
      <c r="R1205" t="s">
        <v>5340</v>
      </c>
      <c r="S1205">
        <v>1</v>
      </c>
      <c r="T1205">
        <v>7864</v>
      </c>
      <c r="U1205">
        <v>0</v>
      </c>
      <c r="V1205">
        <v>7864</v>
      </c>
    </row>
    <row r="1206" spans="1:22" x14ac:dyDescent="0.25">
      <c r="A1206">
        <v>152577</v>
      </c>
      <c r="B1206">
        <v>130555206</v>
      </c>
      <c r="C1206" t="s">
        <v>5341</v>
      </c>
      <c r="D1206">
        <v>248716152</v>
      </c>
      <c r="E1206" t="s">
        <v>5067</v>
      </c>
      <c r="F1206" t="s">
        <v>431</v>
      </c>
      <c r="G1206" t="s">
        <v>149</v>
      </c>
      <c r="H1206" t="s">
        <v>150</v>
      </c>
      <c r="I1206" t="s">
        <v>88</v>
      </c>
      <c r="J1206" t="s">
        <v>151</v>
      </c>
      <c r="K1206" t="s">
        <v>2</v>
      </c>
      <c r="L1206" t="s">
        <v>5342</v>
      </c>
      <c r="M1206" t="s">
        <v>5343</v>
      </c>
      <c r="N1206" t="s">
        <v>433</v>
      </c>
      <c r="O1206" t="s">
        <v>53</v>
      </c>
      <c r="P1206" t="s">
        <v>5344</v>
      </c>
      <c r="Q1206" s="14" t="s">
        <v>159</v>
      </c>
      <c r="R1206" t="s">
        <v>5345</v>
      </c>
      <c r="S1206">
        <v>1.98</v>
      </c>
      <c r="T1206">
        <v>6660</v>
      </c>
      <c r="U1206">
        <v>0</v>
      </c>
      <c r="V1206">
        <v>6660</v>
      </c>
    </row>
    <row r="1207" spans="1:22" x14ac:dyDescent="0.25">
      <c r="A1207">
        <v>152577</v>
      </c>
      <c r="B1207">
        <v>130556717</v>
      </c>
      <c r="C1207" t="s">
        <v>5346</v>
      </c>
      <c r="D1207">
        <v>248722000</v>
      </c>
      <c r="E1207" t="s">
        <v>5067</v>
      </c>
      <c r="F1207" t="s">
        <v>431</v>
      </c>
      <c r="G1207" t="s">
        <v>149</v>
      </c>
      <c r="H1207" t="s">
        <v>150</v>
      </c>
      <c r="I1207" t="s">
        <v>88</v>
      </c>
      <c r="J1207" t="s">
        <v>151</v>
      </c>
      <c r="K1207" t="s">
        <v>2</v>
      </c>
      <c r="L1207" t="s">
        <v>5267</v>
      </c>
      <c r="M1207" t="s">
        <v>5347</v>
      </c>
      <c r="N1207" t="s">
        <v>433</v>
      </c>
      <c r="O1207" t="s">
        <v>53</v>
      </c>
      <c r="P1207" t="s">
        <v>5348</v>
      </c>
      <c r="Q1207" s="14" t="s">
        <v>38</v>
      </c>
      <c r="R1207" t="s">
        <v>5349</v>
      </c>
      <c r="S1207">
        <v>0.4</v>
      </c>
      <c r="T1207">
        <v>4669</v>
      </c>
      <c r="U1207">
        <v>0</v>
      </c>
      <c r="V1207">
        <v>4669</v>
      </c>
    </row>
    <row r="1208" spans="1:22" x14ac:dyDescent="0.25">
      <c r="A1208">
        <v>152577</v>
      </c>
      <c r="B1208">
        <v>130555880</v>
      </c>
      <c r="C1208" t="s">
        <v>5350</v>
      </c>
      <c r="D1208">
        <v>248718680</v>
      </c>
      <c r="E1208" t="s">
        <v>5067</v>
      </c>
      <c r="F1208" t="s">
        <v>431</v>
      </c>
      <c r="G1208" t="s">
        <v>149</v>
      </c>
      <c r="H1208" t="s">
        <v>150</v>
      </c>
      <c r="I1208" t="s">
        <v>88</v>
      </c>
      <c r="J1208" t="s">
        <v>151</v>
      </c>
      <c r="K1208" t="s">
        <v>2</v>
      </c>
      <c r="L1208" t="s">
        <v>359</v>
      </c>
      <c r="M1208" t="s">
        <v>5351</v>
      </c>
      <c r="N1208" t="s">
        <v>433</v>
      </c>
      <c r="O1208" t="s">
        <v>53</v>
      </c>
      <c r="P1208" t="s">
        <v>360</v>
      </c>
      <c r="Q1208" s="14" t="s">
        <v>120</v>
      </c>
      <c r="R1208" t="s">
        <v>5352</v>
      </c>
      <c r="S1208">
        <v>0.4</v>
      </c>
      <c r="T1208">
        <v>5153</v>
      </c>
      <c r="U1208">
        <v>0</v>
      </c>
      <c r="V1208">
        <v>5153</v>
      </c>
    </row>
    <row r="1209" spans="1:22" x14ac:dyDescent="0.25">
      <c r="A1209">
        <v>152577</v>
      </c>
      <c r="B1209">
        <v>130541981</v>
      </c>
      <c r="C1209" t="s">
        <v>5353</v>
      </c>
      <c r="D1209">
        <v>248683632</v>
      </c>
      <c r="E1209" t="s">
        <v>5067</v>
      </c>
      <c r="F1209" t="s">
        <v>431</v>
      </c>
      <c r="G1209" t="s">
        <v>149</v>
      </c>
      <c r="H1209" t="s">
        <v>150</v>
      </c>
      <c r="I1209" t="s">
        <v>88</v>
      </c>
      <c r="J1209" t="s">
        <v>151</v>
      </c>
      <c r="K1209" t="s">
        <v>2</v>
      </c>
      <c r="L1209" t="s">
        <v>5354</v>
      </c>
      <c r="M1209" t="s">
        <v>5249</v>
      </c>
      <c r="N1209" t="s">
        <v>433</v>
      </c>
      <c r="O1209" t="s">
        <v>53</v>
      </c>
      <c r="P1209" t="s">
        <v>5250</v>
      </c>
      <c r="Q1209" s="14" t="s">
        <v>300</v>
      </c>
      <c r="R1209" t="s">
        <v>5355</v>
      </c>
      <c r="S1209">
        <v>0.8</v>
      </c>
      <c r="T1209">
        <v>5749</v>
      </c>
      <c r="U1209">
        <v>0</v>
      </c>
      <c r="V1209">
        <v>5749</v>
      </c>
    </row>
    <row r="1210" spans="1:22" x14ac:dyDescent="0.25">
      <c r="A1210">
        <v>152577</v>
      </c>
      <c r="B1210">
        <v>130541990</v>
      </c>
      <c r="C1210" t="s">
        <v>5356</v>
      </c>
      <c r="D1210">
        <v>248683615</v>
      </c>
      <c r="E1210" t="s">
        <v>5067</v>
      </c>
      <c r="F1210" t="s">
        <v>431</v>
      </c>
      <c r="G1210" t="s">
        <v>149</v>
      </c>
      <c r="H1210" t="s">
        <v>150</v>
      </c>
      <c r="I1210" t="s">
        <v>88</v>
      </c>
      <c r="J1210" t="s">
        <v>151</v>
      </c>
      <c r="K1210" t="s">
        <v>2</v>
      </c>
      <c r="L1210" t="s">
        <v>5357</v>
      </c>
      <c r="M1210" t="s">
        <v>5358</v>
      </c>
      <c r="N1210" t="s">
        <v>433</v>
      </c>
      <c r="O1210" t="s">
        <v>53</v>
      </c>
      <c r="P1210" t="s">
        <v>5359</v>
      </c>
      <c r="Q1210" s="14" t="s">
        <v>129</v>
      </c>
      <c r="R1210" t="s">
        <v>5355</v>
      </c>
      <c r="S1210">
        <v>0.48</v>
      </c>
      <c r="T1210">
        <v>7212</v>
      </c>
      <c r="U1210">
        <v>0</v>
      </c>
      <c r="V1210">
        <v>7212</v>
      </c>
    </row>
    <row r="1211" spans="1:22" x14ac:dyDescent="0.25">
      <c r="A1211">
        <v>152577</v>
      </c>
      <c r="B1211">
        <v>130541994</v>
      </c>
      <c r="C1211" t="s">
        <v>5360</v>
      </c>
      <c r="D1211">
        <v>248683619</v>
      </c>
      <c r="E1211" t="s">
        <v>5067</v>
      </c>
      <c r="F1211" t="s">
        <v>431</v>
      </c>
      <c r="G1211" t="s">
        <v>149</v>
      </c>
      <c r="H1211" t="s">
        <v>150</v>
      </c>
      <c r="I1211" t="s">
        <v>88</v>
      </c>
      <c r="J1211" t="s">
        <v>151</v>
      </c>
      <c r="K1211" t="s">
        <v>2</v>
      </c>
      <c r="L1211" t="s">
        <v>2535</v>
      </c>
      <c r="M1211" t="s">
        <v>5361</v>
      </c>
      <c r="N1211" t="s">
        <v>433</v>
      </c>
      <c r="O1211" t="s">
        <v>53</v>
      </c>
      <c r="P1211" t="s">
        <v>5362</v>
      </c>
      <c r="Q1211" s="14" t="s">
        <v>124</v>
      </c>
      <c r="R1211" t="s">
        <v>5355</v>
      </c>
      <c r="S1211">
        <v>0.48</v>
      </c>
      <c r="T1211">
        <v>4219</v>
      </c>
      <c r="U1211">
        <v>0</v>
      </c>
      <c r="V1211">
        <v>4219</v>
      </c>
    </row>
    <row r="1212" spans="1:22" x14ac:dyDescent="0.25">
      <c r="A1212">
        <v>152577</v>
      </c>
      <c r="B1212">
        <v>130468763</v>
      </c>
      <c r="C1212" t="s">
        <v>5363</v>
      </c>
      <c r="D1212">
        <v>248501949</v>
      </c>
      <c r="E1212" t="s">
        <v>5067</v>
      </c>
      <c r="F1212" t="s">
        <v>431</v>
      </c>
      <c r="G1212" t="s">
        <v>149</v>
      </c>
      <c r="H1212" t="s">
        <v>150</v>
      </c>
      <c r="I1212" t="s">
        <v>88</v>
      </c>
      <c r="J1212" t="s">
        <v>151</v>
      </c>
      <c r="K1212" t="s">
        <v>2</v>
      </c>
      <c r="L1212" t="s">
        <v>5364</v>
      </c>
      <c r="M1212" t="s">
        <v>5365</v>
      </c>
      <c r="N1212" t="s">
        <v>433</v>
      </c>
      <c r="O1212" t="s">
        <v>53</v>
      </c>
      <c r="P1212" t="s">
        <v>5366</v>
      </c>
      <c r="Q1212" s="14" t="s">
        <v>119</v>
      </c>
      <c r="R1212" t="s">
        <v>5367</v>
      </c>
      <c r="S1212">
        <v>1.31</v>
      </c>
      <c r="T1212">
        <v>6244</v>
      </c>
      <c r="U1212">
        <v>0</v>
      </c>
      <c r="V1212">
        <v>6244</v>
      </c>
    </row>
    <row r="1213" spans="1:22" x14ac:dyDescent="0.25">
      <c r="A1213">
        <v>152577</v>
      </c>
      <c r="B1213">
        <v>130468442</v>
      </c>
      <c r="C1213" t="s">
        <v>5368</v>
      </c>
      <c r="D1213">
        <v>248501178</v>
      </c>
      <c r="E1213" t="s">
        <v>5067</v>
      </c>
      <c r="F1213" t="s">
        <v>431</v>
      </c>
      <c r="G1213" t="s">
        <v>149</v>
      </c>
      <c r="H1213" t="s">
        <v>150</v>
      </c>
      <c r="I1213" t="s">
        <v>88</v>
      </c>
      <c r="J1213" t="s">
        <v>151</v>
      </c>
      <c r="K1213" t="s">
        <v>2</v>
      </c>
      <c r="L1213" t="s">
        <v>5369</v>
      </c>
      <c r="M1213" t="s">
        <v>5370</v>
      </c>
      <c r="N1213" t="s">
        <v>433</v>
      </c>
      <c r="O1213" t="s">
        <v>53</v>
      </c>
      <c r="P1213" t="s">
        <v>5371</v>
      </c>
      <c r="Q1213" s="14" t="s">
        <v>142</v>
      </c>
      <c r="R1213" t="s">
        <v>5372</v>
      </c>
      <c r="S1213">
        <v>0.45</v>
      </c>
      <c r="T1213">
        <v>4219</v>
      </c>
      <c r="U1213">
        <v>0</v>
      </c>
      <c r="V1213">
        <v>4219</v>
      </c>
    </row>
    <row r="1214" spans="1:22" x14ac:dyDescent="0.25">
      <c r="A1214">
        <v>152577</v>
      </c>
      <c r="B1214">
        <v>130468721</v>
      </c>
      <c r="C1214" t="s">
        <v>5373</v>
      </c>
      <c r="D1214">
        <v>248501816</v>
      </c>
      <c r="E1214" t="s">
        <v>5067</v>
      </c>
      <c r="F1214" t="s">
        <v>431</v>
      </c>
      <c r="G1214" t="s">
        <v>149</v>
      </c>
      <c r="H1214" t="s">
        <v>150</v>
      </c>
      <c r="I1214" t="s">
        <v>88</v>
      </c>
      <c r="J1214" t="s">
        <v>151</v>
      </c>
      <c r="K1214" t="s">
        <v>2</v>
      </c>
      <c r="L1214" t="s">
        <v>5374</v>
      </c>
      <c r="M1214" t="s">
        <v>5375</v>
      </c>
      <c r="N1214" t="s">
        <v>433</v>
      </c>
      <c r="O1214" t="s">
        <v>53</v>
      </c>
      <c r="P1214" t="s">
        <v>5376</v>
      </c>
      <c r="Q1214" s="14" t="s">
        <v>137</v>
      </c>
      <c r="R1214" t="s">
        <v>5377</v>
      </c>
      <c r="S1214">
        <v>0.53</v>
      </c>
      <c r="T1214">
        <v>4219</v>
      </c>
      <c r="U1214">
        <v>0</v>
      </c>
      <c r="V1214">
        <v>4219</v>
      </c>
    </row>
    <row r="1215" spans="1:22" x14ac:dyDescent="0.25">
      <c r="A1215">
        <v>152577</v>
      </c>
      <c r="B1215">
        <v>130417289</v>
      </c>
      <c r="C1215" t="s">
        <v>5378</v>
      </c>
      <c r="D1215">
        <v>248379590</v>
      </c>
      <c r="E1215" t="s">
        <v>5067</v>
      </c>
      <c r="F1215" t="s">
        <v>431</v>
      </c>
      <c r="G1215" t="s">
        <v>149</v>
      </c>
      <c r="H1215" t="s">
        <v>150</v>
      </c>
      <c r="I1215" t="s">
        <v>88</v>
      </c>
      <c r="J1215" t="s">
        <v>151</v>
      </c>
      <c r="K1215" t="s">
        <v>2</v>
      </c>
      <c r="L1215" t="s">
        <v>5379</v>
      </c>
      <c r="M1215" t="s">
        <v>5380</v>
      </c>
      <c r="N1215" t="s">
        <v>433</v>
      </c>
      <c r="O1215" t="s">
        <v>53</v>
      </c>
      <c r="P1215" t="s">
        <v>5381</v>
      </c>
      <c r="Q1215" s="14" t="s">
        <v>95</v>
      </c>
      <c r="R1215" t="s">
        <v>376</v>
      </c>
      <c r="S1215">
        <v>0.82</v>
      </c>
      <c r="T1215">
        <v>5749</v>
      </c>
      <c r="U1215">
        <v>0</v>
      </c>
      <c r="V1215">
        <v>5749</v>
      </c>
    </row>
    <row r="1216" spans="1:22" x14ac:dyDescent="0.25">
      <c r="A1216">
        <v>152577</v>
      </c>
      <c r="B1216">
        <v>130419570</v>
      </c>
      <c r="C1216" t="s">
        <v>5382</v>
      </c>
      <c r="D1216">
        <v>248383346</v>
      </c>
      <c r="E1216" t="s">
        <v>5067</v>
      </c>
      <c r="F1216" t="s">
        <v>431</v>
      </c>
      <c r="G1216" t="s">
        <v>149</v>
      </c>
      <c r="H1216" t="s">
        <v>150</v>
      </c>
      <c r="I1216" t="s">
        <v>88</v>
      </c>
      <c r="J1216" t="s">
        <v>151</v>
      </c>
      <c r="K1216" t="s">
        <v>2</v>
      </c>
      <c r="L1216" t="s">
        <v>5383</v>
      </c>
      <c r="M1216" t="s">
        <v>5384</v>
      </c>
      <c r="N1216" t="s">
        <v>433</v>
      </c>
      <c r="O1216" t="s">
        <v>53</v>
      </c>
      <c r="P1216" t="s">
        <v>5385</v>
      </c>
      <c r="Q1216" s="14" t="s">
        <v>38</v>
      </c>
      <c r="R1216" t="s">
        <v>191</v>
      </c>
      <c r="S1216">
        <v>1.06</v>
      </c>
      <c r="T1216">
        <v>5040</v>
      </c>
      <c r="U1216">
        <v>0</v>
      </c>
      <c r="V1216">
        <v>5040</v>
      </c>
    </row>
    <row r="1217" spans="1:22" x14ac:dyDescent="0.25">
      <c r="A1217">
        <v>152577</v>
      </c>
      <c r="B1217">
        <v>130419923</v>
      </c>
      <c r="C1217" t="s">
        <v>5386</v>
      </c>
      <c r="D1217">
        <v>248384264</v>
      </c>
      <c r="E1217" t="s">
        <v>5067</v>
      </c>
      <c r="F1217" t="s">
        <v>431</v>
      </c>
      <c r="G1217" t="s">
        <v>149</v>
      </c>
      <c r="H1217" t="s">
        <v>150</v>
      </c>
      <c r="I1217" t="s">
        <v>88</v>
      </c>
      <c r="J1217" t="s">
        <v>151</v>
      </c>
      <c r="K1217" t="s">
        <v>2</v>
      </c>
      <c r="L1217" t="s">
        <v>5387</v>
      </c>
      <c r="M1217" t="s">
        <v>5388</v>
      </c>
      <c r="N1217" t="s">
        <v>433</v>
      </c>
      <c r="O1217" t="s">
        <v>53</v>
      </c>
      <c r="P1217" t="s">
        <v>5389</v>
      </c>
      <c r="Q1217" s="14" t="s">
        <v>135</v>
      </c>
      <c r="R1217" t="s">
        <v>5390</v>
      </c>
      <c r="S1217">
        <v>0.4</v>
      </c>
      <c r="T1217">
        <v>4219</v>
      </c>
      <c r="U1217">
        <v>0</v>
      </c>
      <c r="V1217">
        <v>4219</v>
      </c>
    </row>
    <row r="1218" spans="1:22" x14ac:dyDescent="0.25">
      <c r="A1218">
        <v>152577</v>
      </c>
      <c r="B1218">
        <v>130328144</v>
      </c>
      <c r="C1218" t="s">
        <v>5391</v>
      </c>
      <c r="D1218">
        <v>248186136</v>
      </c>
      <c r="E1218" t="s">
        <v>5067</v>
      </c>
      <c r="F1218" t="s">
        <v>431</v>
      </c>
      <c r="G1218" t="s">
        <v>149</v>
      </c>
      <c r="H1218" t="s">
        <v>150</v>
      </c>
      <c r="I1218" t="s">
        <v>88</v>
      </c>
      <c r="J1218" t="s">
        <v>151</v>
      </c>
      <c r="K1218" t="s">
        <v>2</v>
      </c>
      <c r="L1218" t="s">
        <v>5392</v>
      </c>
      <c r="M1218" t="s">
        <v>5393</v>
      </c>
      <c r="N1218" t="s">
        <v>433</v>
      </c>
      <c r="O1218" t="s">
        <v>53</v>
      </c>
      <c r="P1218" t="s">
        <v>5394</v>
      </c>
      <c r="Q1218" s="14" t="s">
        <v>129</v>
      </c>
      <c r="R1218" t="s">
        <v>393</v>
      </c>
      <c r="S1218">
        <v>0.76</v>
      </c>
      <c r="T1218">
        <v>7212</v>
      </c>
      <c r="U1218">
        <v>0</v>
      </c>
      <c r="V1218">
        <v>7212</v>
      </c>
    </row>
    <row r="1219" spans="1:22" x14ac:dyDescent="0.25">
      <c r="A1219">
        <v>152577</v>
      </c>
      <c r="B1219">
        <v>129958803</v>
      </c>
      <c r="C1219" t="s">
        <v>5395</v>
      </c>
      <c r="D1219">
        <v>247241976</v>
      </c>
      <c r="E1219" t="s">
        <v>5067</v>
      </c>
      <c r="F1219" t="s">
        <v>431</v>
      </c>
      <c r="G1219" t="s">
        <v>149</v>
      </c>
      <c r="H1219" t="s">
        <v>150</v>
      </c>
      <c r="I1219" t="s">
        <v>88</v>
      </c>
      <c r="J1219" t="s">
        <v>151</v>
      </c>
      <c r="K1219" t="s">
        <v>2</v>
      </c>
      <c r="L1219" t="s">
        <v>5396</v>
      </c>
      <c r="M1219" t="s">
        <v>5397</v>
      </c>
      <c r="N1219" t="s">
        <v>433</v>
      </c>
      <c r="O1219" t="s">
        <v>53</v>
      </c>
      <c r="P1219" t="s">
        <v>5398</v>
      </c>
      <c r="Q1219" s="14" t="s">
        <v>110</v>
      </c>
      <c r="R1219" t="s">
        <v>5399</v>
      </c>
      <c r="S1219">
        <v>0.44</v>
      </c>
      <c r="T1219">
        <v>6267</v>
      </c>
      <c r="U1219">
        <v>0</v>
      </c>
      <c r="V1219">
        <v>6267</v>
      </c>
    </row>
    <row r="1220" spans="1:22" x14ac:dyDescent="0.25">
      <c r="A1220">
        <v>152577</v>
      </c>
      <c r="B1220">
        <v>130367849</v>
      </c>
      <c r="C1220" t="s">
        <v>5400</v>
      </c>
      <c r="D1220">
        <v>248255521</v>
      </c>
      <c r="E1220" t="s">
        <v>5067</v>
      </c>
      <c r="F1220" t="s">
        <v>431</v>
      </c>
      <c r="G1220" t="s">
        <v>149</v>
      </c>
      <c r="H1220" t="s">
        <v>150</v>
      </c>
      <c r="I1220" t="s">
        <v>88</v>
      </c>
      <c r="J1220" t="s">
        <v>151</v>
      </c>
      <c r="K1220" t="s">
        <v>2</v>
      </c>
      <c r="L1220" t="s">
        <v>5401</v>
      </c>
      <c r="M1220" t="s">
        <v>5402</v>
      </c>
      <c r="N1220" t="s">
        <v>433</v>
      </c>
      <c r="O1220" t="s">
        <v>53</v>
      </c>
      <c r="P1220" t="s">
        <v>5403</v>
      </c>
      <c r="Q1220" s="14" t="s">
        <v>104</v>
      </c>
      <c r="R1220" t="s">
        <v>5404</v>
      </c>
      <c r="S1220">
        <v>0.62</v>
      </c>
      <c r="T1220">
        <v>4737</v>
      </c>
      <c r="U1220">
        <v>0</v>
      </c>
      <c r="V1220">
        <v>4737</v>
      </c>
    </row>
    <row r="1221" spans="1:22" x14ac:dyDescent="0.25">
      <c r="A1221">
        <v>152577</v>
      </c>
      <c r="B1221">
        <v>130334854</v>
      </c>
      <c r="C1221" t="s">
        <v>5405</v>
      </c>
      <c r="D1221">
        <v>248186932</v>
      </c>
      <c r="E1221" t="s">
        <v>5067</v>
      </c>
      <c r="F1221" t="s">
        <v>431</v>
      </c>
      <c r="G1221" t="s">
        <v>149</v>
      </c>
      <c r="H1221" t="s">
        <v>150</v>
      </c>
      <c r="I1221" t="s">
        <v>88</v>
      </c>
      <c r="J1221" t="s">
        <v>151</v>
      </c>
      <c r="K1221" t="s">
        <v>2</v>
      </c>
      <c r="L1221" t="s">
        <v>5406</v>
      </c>
      <c r="M1221" t="s">
        <v>5407</v>
      </c>
      <c r="N1221" t="s">
        <v>433</v>
      </c>
      <c r="O1221" t="s">
        <v>53</v>
      </c>
      <c r="P1221" t="s">
        <v>5408</v>
      </c>
      <c r="Q1221" s="14" t="s">
        <v>125</v>
      </c>
      <c r="R1221" t="s">
        <v>5409</v>
      </c>
      <c r="S1221">
        <v>0.4</v>
      </c>
      <c r="T1221">
        <v>4219</v>
      </c>
      <c r="U1221">
        <v>0</v>
      </c>
      <c r="V1221">
        <v>4219</v>
      </c>
    </row>
    <row r="1222" spans="1:22" x14ac:dyDescent="0.25">
      <c r="A1222">
        <v>152577</v>
      </c>
      <c r="B1222">
        <v>130325068</v>
      </c>
      <c r="C1222" t="s">
        <v>5410</v>
      </c>
      <c r="D1222">
        <v>248162623</v>
      </c>
      <c r="E1222" t="s">
        <v>5067</v>
      </c>
      <c r="F1222" t="s">
        <v>431</v>
      </c>
      <c r="G1222" t="s">
        <v>149</v>
      </c>
      <c r="H1222" t="s">
        <v>150</v>
      </c>
      <c r="I1222" t="s">
        <v>88</v>
      </c>
      <c r="J1222" t="s">
        <v>151</v>
      </c>
      <c r="K1222" t="s">
        <v>2</v>
      </c>
      <c r="L1222" t="s">
        <v>5411</v>
      </c>
      <c r="M1222" t="s">
        <v>5412</v>
      </c>
      <c r="N1222" t="s">
        <v>433</v>
      </c>
      <c r="O1222" t="s">
        <v>53</v>
      </c>
      <c r="P1222" t="s">
        <v>5413</v>
      </c>
      <c r="Q1222" s="14" t="s">
        <v>124</v>
      </c>
      <c r="R1222" t="s">
        <v>244</v>
      </c>
      <c r="S1222">
        <v>1.1599999999999999</v>
      </c>
      <c r="T1222">
        <v>4467</v>
      </c>
      <c r="U1222">
        <v>0</v>
      </c>
      <c r="V1222">
        <v>4467</v>
      </c>
    </row>
    <row r="1223" spans="1:22" x14ac:dyDescent="0.25">
      <c r="A1223">
        <v>152577</v>
      </c>
      <c r="B1223">
        <v>130326097</v>
      </c>
      <c r="C1223" t="s">
        <v>5414</v>
      </c>
      <c r="D1223">
        <v>248164587</v>
      </c>
      <c r="E1223" t="s">
        <v>5067</v>
      </c>
      <c r="F1223" t="s">
        <v>431</v>
      </c>
      <c r="G1223" t="s">
        <v>149</v>
      </c>
      <c r="H1223" t="s">
        <v>150</v>
      </c>
      <c r="I1223" t="s">
        <v>88</v>
      </c>
      <c r="J1223" t="s">
        <v>151</v>
      </c>
      <c r="K1223" t="s">
        <v>2</v>
      </c>
      <c r="L1223" t="s">
        <v>5415</v>
      </c>
      <c r="M1223" t="s">
        <v>5416</v>
      </c>
      <c r="N1223" t="s">
        <v>433</v>
      </c>
      <c r="O1223" t="s">
        <v>53</v>
      </c>
      <c r="P1223" t="s">
        <v>5417</v>
      </c>
      <c r="Q1223" s="14" t="s">
        <v>294</v>
      </c>
      <c r="R1223" t="s">
        <v>5418</v>
      </c>
      <c r="S1223">
        <v>0.85</v>
      </c>
      <c r="T1223">
        <v>4669</v>
      </c>
      <c r="U1223">
        <v>0</v>
      </c>
      <c r="V1223">
        <v>4669</v>
      </c>
    </row>
    <row r="1224" spans="1:22" x14ac:dyDescent="0.25">
      <c r="A1224">
        <v>152577</v>
      </c>
      <c r="B1224">
        <v>130324826</v>
      </c>
      <c r="C1224" t="s">
        <v>5419</v>
      </c>
      <c r="D1224">
        <v>248162307</v>
      </c>
      <c r="E1224" t="s">
        <v>5067</v>
      </c>
      <c r="F1224" t="s">
        <v>431</v>
      </c>
      <c r="G1224" t="s">
        <v>149</v>
      </c>
      <c r="H1224" t="s">
        <v>150</v>
      </c>
      <c r="I1224" t="s">
        <v>88</v>
      </c>
      <c r="J1224" t="s">
        <v>151</v>
      </c>
      <c r="K1224" t="s">
        <v>2</v>
      </c>
      <c r="L1224" t="s">
        <v>5420</v>
      </c>
      <c r="M1224" t="s">
        <v>5421</v>
      </c>
      <c r="N1224" t="s">
        <v>433</v>
      </c>
      <c r="O1224" t="s">
        <v>53</v>
      </c>
      <c r="P1224" t="s">
        <v>5422</v>
      </c>
      <c r="Q1224" s="14" t="s">
        <v>113</v>
      </c>
      <c r="R1224" t="s">
        <v>5423</v>
      </c>
      <c r="S1224">
        <v>0.6</v>
      </c>
      <c r="T1224">
        <v>4973</v>
      </c>
      <c r="U1224">
        <v>0</v>
      </c>
      <c r="V1224">
        <v>4973</v>
      </c>
    </row>
    <row r="1225" spans="1:22" x14ac:dyDescent="0.25">
      <c r="A1225">
        <v>152577</v>
      </c>
      <c r="B1225">
        <v>131158758</v>
      </c>
      <c r="C1225" t="s">
        <v>5424</v>
      </c>
      <c r="D1225" t="s">
        <v>5425</v>
      </c>
      <c r="E1225" t="s">
        <v>5067</v>
      </c>
      <c r="F1225" t="s">
        <v>431</v>
      </c>
      <c r="G1225" t="s">
        <v>86</v>
      </c>
      <c r="H1225" t="s">
        <v>87</v>
      </c>
      <c r="I1225" t="s">
        <v>88</v>
      </c>
      <c r="J1225" t="s">
        <v>89</v>
      </c>
      <c r="K1225" t="s">
        <v>2</v>
      </c>
      <c r="L1225" t="s">
        <v>90</v>
      </c>
      <c r="M1225" t="s">
        <v>5426</v>
      </c>
      <c r="N1225" t="s">
        <v>433</v>
      </c>
      <c r="O1225" t="s">
        <v>53</v>
      </c>
      <c r="P1225" t="s">
        <v>5427</v>
      </c>
      <c r="Q1225" s="14" t="s">
        <v>70</v>
      </c>
      <c r="R1225" t="s">
        <v>5428</v>
      </c>
      <c r="S1225">
        <v>0.85</v>
      </c>
      <c r="T1225">
        <v>3735</v>
      </c>
      <c r="U1225">
        <v>359.9</v>
      </c>
      <c r="V1225">
        <v>4094.9</v>
      </c>
    </row>
    <row r="1226" spans="1:22" x14ac:dyDescent="0.25">
      <c r="A1226">
        <v>152577</v>
      </c>
      <c r="B1226">
        <v>131026272</v>
      </c>
      <c r="C1226" t="s">
        <v>5429</v>
      </c>
      <c r="D1226" t="s">
        <v>5430</v>
      </c>
      <c r="E1226" t="s">
        <v>5067</v>
      </c>
      <c r="F1226" t="s">
        <v>431</v>
      </c>
      <c r="G1226" t="s">
        <v>86</v>
      </c>
      <c r="H1226" t="s">
        <v>87</v>
      </c>
      <c r="I1226" t="s">
        <v>88</v>
      </c>
      <c r="J1226" t="s">
        <v>89</v>
      </c>
      <c r="K1226" t="s">
        <v>2</v>
      </c>
      <c r="L1226" t="s">
        <v>90</v>
      </c>
      <c r="M1226" t="s">
        <v>5431</v>
      </c>
      <c r="N1226" t="s">
        <v>433</v>
      </c>
      <c r="O1226" t="s">
        <v>53</v>
      </c>
      <c r="P1226" t="s">
        <v>5432</v>
      </c>
      <c r="Q1226" s="14" t="s">
        <v>47</v>
      </c>
      <c r="R1226" t="s">
        <v>5433</v>
      </c>
      <c r="S1226">
        <v>0.73</v>
      </c>
      <c r="T1226">
        <v>4481</v>
      </c>
      <c r="U1226">
        <v>149.94999999999999</v>
      </c>
      <c r="V1226">
        <v>4630.95</v>
      </c>
    </row>
    <row r="1227" spans="1:22" x14ac:dyDescent="0.25">
      <c r="A1227">
        <v>152577</v>
      </c>
      <c r="B1227">
        <v>130881522</v>
      </c>
      <c r="C1227" t="s">
        <v>5434</v>
      </c>
      <c r="D1227" t="s">
        <v>5435</v>
      </c>
      <c r="E1227" t="s">
        <v>5067</v>
      </c>
      <c r="F1227" t="s">
        <v>431</v>
      </c>
      <c r="G1227" t="s">
        <v>86</v>
      </c>
      <c r="H1227" t="s">
        <v>87</v>
      </c>
      <c r="I1227" t="s">
        <v>88</v>
      </c>
      <c r="J1227" t="s">
        <v>89</v>
      </c>
      <c r="K1227" t="s">
        <v>2</v>
      </c>
      <c r="L1227" t="s">
        <v>90</v>
      </c>
      <c r="M1227" t="s">
        <v>5436</v>
      </c>
      <c r="N1227" t="s">
        <v>433</v>
      </c>
      <c r="O1227" t="s">
        <v>53</v>
      </c>
      <c r="P1227" t="s">
        <v>5437</v>
      </c>
      <c r="Q1227" s="14" t="s">
        <v>130</v>
      </c>
      <c r="R1227" t="s">
        <v>5438</v>
      </c>
      <c r="S1227">
        <v>0.89</v>
      </c>
      <c r="T1227">
        <v>5317</v>
      </c>
      <c r="U1227">
        <v>644.9</v>
      </c>
      <c r="V1227">
        <v>5961.9</v>
      </c>
    </row>
    <row r="1228" spans="1:22" x14ac:dyDescent="0.25">
      <c r="A1228">
        <v>152577</v>
      </c>
      <c r="B1228">
        <v>130619057</v>
      </c>
      <c r="C1228" t="s">
        <v>5439</v>
      </c>
      <c r="D1228" t="s">
        <v>5440</v>
      </c>
      <c r="E1228" t="s">
        <v>5067</v>
      </c>
      <c r="F1228" t="s">
        <v>431</v>
      </c>
      <c r="G1228" t="s">
        <v>86</v>
      </c>
      <c r="H1228" t="s">
        <v>87</v>
      </c>
      <c r="I1228" t="s">
        <v>88</v>
      </c>
      <c r="J1228" t="s">
        <v>89</v>
      </c>
      <c r="K1228" t="s">
        <v>2</v>
      </c>
      <c r="L1228" t="s">
        <v>90</v>
      </c>
      <c r="M1228" t="s">
        <v>5441</v>
      </c>
      <c r="N1228" t="s">
        <v>433</v>
      </c>
      <c r="O1228" t="s">
        <v>53</v>
      </c>
      <c r="P1228" t="s">
        <v>5442</v>
      </c>
      <c r="Q1228" s="14" t="s">
        <v>47</v>
      </c>
      <c r="R1228" t="s">
        <v>427</v>
      </c>
      <c r="S1228">
        <v>0.49</v>
      </c>
      <c r="T1228">
        <v>4481</v>
      </c>
      <c r="U1228">
        <v>299.95</v>
      </c>
      <c r="V1228">
        <v>4780.95</v>
      </c>
    </row>
    <row r="1229" spans="1:22" x14ac:dyDescent="0.25">
      <c r="A1229">
        <v>152577</v>
      </c>
      <c r="B1229">
        <v>130555024</v>
      </c>
      <c r="C1229" t="s">
        <v>5443</v>
      </c>
      <c r="D1229" t="s">
        <v>5444</v>
      </c>
      <c r="E1229" t="s">
        <v>5067</v>
      </c>
      <c r="F1229" t="s">
        <v>431</v>
      </c>
      <c r="G1229" t="s">
        <v>39</v>
      </c>
      <c r="H1229" t="s">
        <v>153</v>
      </c>
      <c r="I1229" t="s">
        <v>88</v>
      </c>
      <c r="J1229" t="s">
        <v>154</v>
      </c>
      <c r="K1229" t="s">
        <v>2</v>
      </c>
      <c r="L1229" t="s">
        <v>155</v>
      </c>
      <c r="M1229" t="s">
        <v>5445</v>
      </c>
      <c r="N1229" t="s">
        <v>433</v>
      </c>
      <c r="O1229" t="s">
        <v>53</v>
      </c>
      <c r="P1229" t="s">
        <v>5446</v>
      </c>
      <c r="Q1229" s="14" t="s">
        <v>52</v>
      </c>
      <c r="R1229" t="s">
        <v>5447</v>
      </c>
      <c r="S1229">
        <v>9.42</v>
      </c>
      <c r="T1229">
        <v>5255</v>
      </c>
      <c r="U1229">
        <v>0</v>
      </c>
      <c r="V1229">
        <v>5255</v>
      </c>
    </row>
    <row r="1230" spans="1:22" x14ac:dyDescent="0.25">
      <c r="A1230">
        <v>152577</v>
      </c>
      <c r="B1230">
        <v>130580611</v>
      </c>
      <c r="C1230" t="s">
        <v>5448</v>
      </c>
      <c r="D1230" t="s">
        <v>5449</v>
      </c>
      <c r="E1230" t="s">
        <v>5067</v>
      </c>
      <c r="F1230" t="s">
        <v>431</v>
      </c>
      <c r="G1230" t="s">
        <v>39</v>
      </c>
      <c r="H1230" t="s">
        <v>153</v>
      </c>
      <c r="I1230" t="s">
        <v>88</v>
      </c>
      <c r="J1230" t="s">
        <v>154</v>
      </c>
      <c r="K1230" t="s">
        <v>2</v>
      </c>
      <c r="L1230" t="s">
        <v>155</v>
      </c>
      <c r="M1230" t="s">
        <v>5450</v>
      </c>
      <c r="N1230" t="s">
        <v>433</v>
      </c>
      <c r="O1230" t="s">
        <v>53</v>
      </c>
      <c r="P1230" t="s">
        <v>5451</v>
      </c>
      <c r="Q1230" s="14" t="s">
        <v>216</v>
      </c>
      <c r="R1230" t="s">
        <v>5452</v>
      </c>
      <c r="S1230">
        <v>1.24</v>
      </c>
      <c r="T1230">
        <v>5992</v>
      </c>
      <c r="U1230">
        <v>0</v>
      </c>
      <c r="V1230">
        <v>5992</v>
      </c>
    </row>
    <row r="1231" spans="1:22" x14ac:dyDescent="0.25">
      <c r="A1231">
        <v>152577</v>
      </c>
      <c r="B1231">
        <v>130235338</v>
      </c>
      <c r="C1231" t="s">
        <v>5453</v>
      </c>
      <c r="D1231" t="s">
        <v>5454</v>
      </c>
      <c r="E1231" t="s">
        <v>5067</v>
      </c>
      <c r="F1231" t="s">
        <v>431</v>
      </c>
      <c r="G1231" t="s">
        <v>39</v>
      </c>
      <c r="H1231" t="s">
        <v>153</v>
      </c>
      <c r="I1231" t="s">
        <v>88</v>
      </c>
      <c r="J1231" t="s">
        <v>154</v>
      </c>
      <c r="K1231" t="s">
        <v>2</v>
      </c>
      <c r="L1231" t="s">
        <v>155</v>
      </c>
      <c r="M1231" t="s">
        <v>5455</v>
      </c>
      <c r="N1231" t="s">
        <v>433</v>
      </c>
      <c r="O1231" t="s">
        <v>53</v>
      </c>
      <c r="P1231" t="s">
        <v>5456</v>
      </c>
      <c r="Q1231" s="14" t="s">
        <v>61</v>
      </c>
      <c r="R1231" t="s">
        <v>5457</v>
      </c>
      <c r="S1231">
        <v>0.15</v>
      </c>
      <c r="T1231">
        <v>3701</v>
      </c>
      <c r="U1231">
        <v>0</v>
      </c>
      <c r="V1231">
        <v>3701</v>
      </c>
    </row>
    <row r="1232" spans="1:22" x14ac:dyDescent="0.25">
      <c r="A1232">
        <v>7547</v>
      </c>
      <c r="E1232" t="s">
        <v>431</v>
      </c>
      <c r="F1232" t="s">
        <v>431</v>
      </c>
      <c r="G1232" t="s">
        <v>83</v>
      </c>
      <c r="H1232" t="s">
        <v>205</v>
      </c>
      <c r="I1232" t="s">
        <v>206</v>
      </c>
      <c r="K1232" t="s">
        <v>207</v>
      </c>
      <c r="R1232">
        <v>45869</v>
      </c>
      <c r="S1232">
        <v>1</v>
      </c>
      <c r="T1232">
        <v>3300</v>
      </c>
      <c r="U1232">
        <v>0</v>
      </c>
      <c r="V1232">
        <v>3300</v>
      </c>
    </row>
    <row r="1233" spans="1:22" x14ac:dyDescent="0.25">
      <c r="A1233">
        <v>7547</v>
      </c>
      <c r="E1233" t="s">
        <v>431</v>
      </c>
      <c r="F1233" t="s">
        <v>431</v>
      </c>
      <c r="G1233" t="s">
        <v>83</v>
      </c>
      <c r="H1233" t="s">
        <v>205</v>
      </c>
      <c r="I1233" t="s">
        <v>206</v>
      </c>
      <c r="K1233" t="s">
        <v>207</v>
      </c>
      <c r="R1233">
        <v>45868</v>
      </c>
      <c r="S1233">
        <v>1</v>
      </c>
      <c r="T1233">
        <v>3300</v>
      </c>
      <c r="U1233">
        <v>0</v>
      </c>
      <c r="V1233">
        <v>3300</v>
      </c>
    </row>
    <row r="1234" spans="1:22" x14ac:dyDescent="0.25">
      <c r="A1234">
        <v>7547</v>
      </c>
      <c r="E1234" t="s">
        <v>431</v>
      </c>
      <c r="F1234" t="s">
        <v>431</v>
      </c>
      <c r="G1234" t="s">
        <v>83</v>
      </c>
      <c r="H1234" t="s">
        <v>205</v>
      </c>
      <c r="I1234" t="s">
        <v>206</v>
      </c>
      <c r="K1234" t="s">
        <v>207</v>
      </c>
      <c r="R1234">
        <v>45867</v>
      </c>
      <c r="S1234">
        <v>1</v>
      </c>
      <c r="T1234">
        <v>3300</v>
      </c>
      <c r="U1234">
        <v>0</v>
      </c>
      <c r="V1234">
        <v>3300</v>
      </c>
    </row>
    <row r="1235" spans="1:22" x14ac:dyDescent="0.25">
      <c r="A1235">
        <v>7547</v>
      </c>
      <c r="E1235" t="s">
        <v>431</v>
      </c>
      <c r="F1235" t="s">
        <v>431</v>
      </c>
      <c r="G1235" t="s">
        <v>83</v>
      </c>
      <c r="H1235" t="s">
        <v>205</v>
      </c>
      <c r="I1235" t="s">
        <v>206</v>
      </c>
      <c r="K1235" t="s">
        <v>207</v>
      </c>
      <c r="R1235">
        <v>45863</v>
      </c>
      <c r="S1235">
        <v>1</v>
      </c>
      <c r="T1235">
        <v>3300</v>
      </c>
      <c r="U1235">
        <v>0</v>
      </c>
      <c r="V1235">
        <v>3300</v>
      </c>
    </row>
    <row r="1236" spans="1:22" x14ac:dyDescent="0.25">
      <c r="A1236">
        <v>8326</v>
      </c>
      <c r="B1236">
        <v>131280135</v>
      </c>
      <c r="C1236" t="s">
        <v>5458</v>
      </c>
      <c r="D1236" t="s">
        <v>5459</v>
      </c>
      <c r="E1236" t="s">
        <v>5460</v>
      </c>
      <c r="F1236" t="s">
        <v>431</v>
      </c>
      <c r="G1236" t="s">
        <v>83</v>
      </c>
      <c r="H1236" t="s">
        <v>205</v>
      </c>
      <c r="I1236" t="s">
        <v>88</v>
      </c>
      <c r="J1236" t="s">
        <v>209</v>
      </c>
      <c r="K1236" t="s">
        <v>2</v>
      </c>
      <c r="L1236" t="s">
        <v>166</v>
      </c>
      <c r="M1236" t="s">
        <v>5461</v>
      </c>
      <c r="N1236" t="s">
        <v>433</v>
      </c>
      <c r="O1236" t="s">
        <v>53</v>
      </c>
      <c r="P1236" t="s">
        <v>5462</v>
      </c>
      <c r="Q1236" s="14" t="s">
        <v>50</v>
      </c>
      <c r="R1236" t="s">
        <v>5463</v>
      </c>
      <c r="S1236">
        <v>1</v>
      </c>
      <c r="T1236">
        <v>2706</v>
      </c>
      <c r="U1236">
        <v>0</v>
      </c>
      <c r="V1236">
        <v>2706</v>
      </c>
    </row>
    <row r="1237" spans="1:22" x14ac:dyDescent="0.25">
      <c r="A1237">
        <v>8326</v>
      </c>
      <c r="B1237">
        <v>131280021</v>
      </c>
      <c r="C1237" t="s">
        <v>5464</v>
      </c>
      <c r="D1237" t="s">
        <v>5465</v>
      </c>
      <c r="E1237" t="s">
        <v>5460</v>
      </c>
      <c r="F1237" t="s">
        <v>431</v>
      </c>
      <c r="G1237" t="s">
        <v>83</v>
      </c>
      <c r="H1237" t="s">
        <v>205</v>
      </c>
      <c r="I1237" t="s">
        <v>88</v>
      </c>
      <c r="J1237" t="s">
        <v>209</v>
      </c>
      <c r="K1237" t="s">
        <v>2</v>
      </c>
      <c r="L1237" t="s">
        <v>166</v>
      </c>
      <c r="M1237" t="s">
        <v>5466</v>
      </c>
      <c r="N1237" t="s">
        <v>433</v>
      </c>
      <c r="O1237" t="s">
        <v>53</v>
      </c>
      <c r="P1237" t="s">
        <v>5467</v>
      </c>
      <c r="Q1237" s="14" t="s">
        <v>48</v>
      </c>
      <c r="R1237" t="s">
        <v>5468</v>
      </c>
      <c r="S1237">
        <v>1</v>
      </c>
      <c r="T1237">
        <v>2706</v>
      </c>
      <c r="U1237">
        <v>0</v>
      </c>
      <c r="V1237">
        <v>2706</v>
      </c>
    </row>
    <row r="1238" spans="1:22" x14ac:dyDescent="0.25">
      <c r="A1238">
        <v>8326</v>
      </c>
      <c r="B1238">
        <v>131237257</v>
      </c>
      <c r="C1238" t="s">
        <v>5469</v>
      </c>
      <c r="D1238" t="s">
        <v>5470</v>
      </c>
      <c r="E1238" t="s">
        <v>5460</v>
      </c>
      <c r="F1238" t="s">
        <v>431</v>
      </c>
      <c r="G1238" t="s">
        <v>83</v>
      </c>
      <c r="H1238" t="s">
        <v>205</v>
      </c>
      <c r="I1238" t="s">
        <v>88</v>
      </c>
      <c r="J1238" t="s">
        <v>209</v>
      </c>
      <c r="K1238" t="s">
        <v>2</v>
      </c>
      <c r="L1238" t="s">
        <v>166</v>
      </c>
      <c r="M1238" t="s">
        <v>5471</v>
      </c>
      <c r="N1238" t="s">
        <v>433</v>
      </c>
      <c r="O1238" t="s">
        <v>53</v>
      </c>
      <c r="P1238" t="s">
        <v>5472</v>
      </c>
      <c r="Q1238" s="14" t="s">
        <v>73</v>
      </c>
      <c r="R1238" t="s">
        <v>380</v>
      </c>
      <c r="S1238">
        <v>1</v>
      </c>
      <c r="T1238">
        <v>2706</v>
      </c>
      <c r="U1238">
        <v>0</v>
      </c>
      <c r="V1238">
        <v>2706</v>
      </c>
    </row>
    <row r="1239" spans="1:22" x14ac:dyDescent="0.25">
      <c r="A1239">
        <v>8326</v>
      </c>
      <c r="B1239">
        <v>131086231</v>
      </c>
      <c r="C1239" t="s">
        <v>5473</v>
      </c>
      <c r="D1239" t="s">
        <v>5474</v>
      </c>
      <c r="E1239" t="s">
        <v>5460</v>
      </c>
      <c r="F1239" t="s">
        <v>431</v>
      </c>
      <c r="G1239" t="s">
        <v>83</v>
      </c>
      <c r="H1239" t="s">
        <v>205</v>
      </c>
      <c r="I1239" t="s">
        <v>88</v>
      </c>
      <c r="J1239" t="s">
        <v>209</v>
      </c>
      <c r="K1239" t="s">
        <v>2</v>
      </c>
      <c r="L1239" t="s">
        <v>166</v>
      </c>
      <c r="M1239" t="s">
        <v>5475</v>
      </c>
      <c r="N1239" t="s">
        <v>433</v>
      </c>
      <c r="O1239" t="s">
        <v>53</v>
      </c>
      <c r="P1239" t="s">
        <v>5476</v>
      </c>
      <c r="Q1239" s="14" t="s">
        <v>59</v>
      </c>
      <c r="R1239" t="s">
        <v>5477</v>
      </c>
      <c r="S1239">
        <v>1</v>
      </c>
      <c r="T1239">
        <v>2706</v>
      </c>
      <c r="U1239">
        <v>0</v>
      </c>
      <c r="V1239">
        <v>2706</v>
      </c>
    </row>
    <row r="1240" spans="1:22" x14ac:dyDescent="0.25">
      <c r="A1240">
        <v>8326</v>
      </c>
      <c r="B1240">
        <v>131086259</v>
      </c>
      <c r="C1240" t="s">
        <v>5478</v>
      </c>
      <c r="D1240" t="s">
        <v>5479</v>
      </c>
      <c r="E1240" t="s">
        <v>5460</v>
      </c>
      <c r="F1240" t="s">
        <v>431</v>
      </c>
      <c r="G1240" t="s">
        <v>83</v>
      </c>
      <c r="H1240" t="s">
        <v>205</v>
      </c>
      <c r="I1240" t="s">
        <v>88</v>
      </c>
      <c r="J1240" t="s">
        <v>209</v>
      </c>
      <c r="K1240" t="s">
        <v>2</v>
      </c>
      <c r="L1240" t="s">
        <v>166</v>
      </c>
      <c r="M1240" t="s">
        <v>5480</v>
      </c>
      <c r="N1240" t="s">
        <v>433</v>
      </c>
      <c r="O1240" t="s">
        <v>53</v>
      </c>
      <c r="P1240" t="s">
        <v>5481</v>
      </c>
      <c r="Q1240" s="14" t="s">
        <v>51</v>
      </c>
      <c r="R1240" t="s">
        <v>5482</v>
      </c>
      <c r="S1240">
        <v>1</v>
      </c>
      <c r="T1240">
        <v>2706</v>
      </c>
      <c r="U1240">
        <v>0</v>
      </c>
      <c r="V1240">
        <v>2706</v>
      </c>
    </row>
    <row r="1241" spans="1:22" x14ac:dyDescent="0.25">
      <c r="A1241">
        <v>8326</v>
      </c>
      <c r="B1241">
        <v>131052972</v>
      </c>
      <c r="C1241" t="s">
        <v>5483</v>
      </c>
      <c r="D1241" t="s">
        <v>5484</v>
      </c>
      <c r="E1241" t="s">
        <v>5460</v>
      </c>
      <c r="F1241" t="s">
        <v>431</v>
      </c>
      <c r="G1241" t="s">
        <v>83</v>
      </c>
      <c r="H1241" t="s">
        <v>205</v>
      </c>
      <c r="I1241" t="s">
        <v>88</v>
      </c>
      <c r="J1241" t="s">
        <v>209</v>
      </c>
      <c r="K1241" t="s">
        <v>2</v>
      </c>
      <c r="L1241" t="s">
        <v>166</v>
      </c>
      <c r="M1241" t="s">
        <v>5485</v>
      </c>
      <c r="N1241" t="s">
        <v>433</v>
      </c>
      <c r="O1241" t="s">
        <v>53</v>
      </c>
      <c r="P1241" t="s">
        <v>5486</v>
      </c>
      <c r="Q1241" s="14" t="s">
        <v>57</v>
      </c>
      <c r="R1241" t="s">
        <v>5487</v>
      </c>
      <c r="S1241">
        <v>1</v>
      </c>
      <c r="T1241">
        <v>2706</v>
      </c>
      <c r="U1241">
        <v>0</v>
      </c>
      <c r="V1241">
        <v>2706</v>
      </c>
    </row>
    <row r="1242" spans="1:22" x14ac:dyDescent="0.25">
      <c r="A1242">
        <v>8326</v>
      </c>
      <c r="B1242">
        <v>130991588</v>
      </c>
      <c r="C1242" t="s">
        <v>5488</v>
      </c>
      <c r="D1242" t="s">
        <v>5489</v>
      </c>
      <c r="E1242" t="s">
        <v>5460</v>
      </c>
      <c r="F1242" t="s">
        <v>431</v>
      </c>
      <c r="G1242" t="s">
        <v>83</v>
      </c>
      <c r="H1242" t="s">
        <v>205</v>
      </c>
      <c r="I1242" t="s">
        <v>88</v>
      </c>
      <c r="J1242" t="s">
        <v>209</v>
      </c>
      <c r="K1242" t="s">
        <v>2</v>
      </c>
      <c r="L1242" t="s">
        <v>166</v>
      </c>
      <c r="M1242" t="s">
        <v>5490</v>
      </c>
      <c r="N1242" t="s">
        <v>433</v>
      </c>
      <c r="O1242" t="s">
        <v>53</v>
      </c>
      <c r="P1242" t="s">
        <v>5491</v>
      </c>
      <c r="Q1242" s="14" t="s">
        <v>37</v>
      </c>
      <c r="R1242" t="s">
        <v>5492</v>
      </c>
      <c r="S1242">
        <v>1</v>
      </c>
      <c r="T1242">
        <v>6125</v>
      </c>
      <c r="U1242">
        <v>0</v>
      </c>
      <c r="V1242">
        <v>6125</v>
      </c>
    </row>
    <row r="1243" spans="1:22" x14ac:dyDescent="0.25">
      <c r="A1243">
        <v>8326</v>
      </c>
      <c r="B1243">
        <v>130991523</v>
      </c>
      <c r="C1243" t="s">
        <v>5493</v>
      </c>
      <c r="D1243" t="s">
        <v>5494</v>
      </c>
      <c r="E1243" t="s">
        <v>5460</v>
      </c>
      <c r="F1243" t="s">
        <v>431</v>
      </c>
      <c r="G1243" t="s">
        <v>83</v>
      </c>
      <c r="H1243" t="s">
        <v>205</v>
      </c>
      <c r="I1243" t="s">
        <v>88</v>
      </c>
      <c r="J1243" t="s">
        <v>209</v>
      </c>
      <c r="K1243" t="s">
        <v>2</v>
      </c>
      <c r="L1243" t="s">
        <v>166</v>
      </c>
      <c r="M1243" t="s">
        <v>5495</v>
      </c>
      <c r="N1243" t="s">
        <v>433</v>
      </c>
      <c r="O1243" t="s">
        <v>53</v>
      </c>
      <c r="P1243" t="s">
        <v>5496</v>
      </c>
      <c r="Q1243" s="14" t="s">
        <v>62</v>
      </c>
      <c r="R1243" t="s">
        <v>5497</v>
      </c>
      <c r="S1243">
        <v>1</v>
      </c>
      <c r="T1243">
        <v>2706</v>
      </c>
      <c r="U1243">
        <v>0</v>
      </c>
      <c r="V1243">
        <v>2706</v>
      </c>
    </row>
    <row r="1244" spans="1:22" x14ac:dyDescent="0.25">
      <c r="A1244">
        <v>8326</v>
      </c>
      <c r="B1244">
        <v>130991291</v>
      </c>
      <c r="C1244" t="s">
        <v>5498</v>
      </c>
      <c r="D1244" t="s">
        <v>5499</v>
      </c>
      <c r="E1244" t="s">
        <v>5460</v>
      </c>
      <c r="F1244" t="s">
        <v>431</v>
      </c>
      <c r="G1244" t="s">
        <v>83</v>
      </c>
      <c r="H1244" t="s">
        <v>205</v>
      </c>
      <c r="I1244" t="s">
        <v>88</v>
      </c>
      <c r="J1244" t="s">
        <v>209</v>
      </c>
      <c r="K1244" t="s">
        <v>2</v>
      </c>
      <c r="L1244" t="s">
        <v>166</v>
      </c>
      <c r="M1244" t="s">
        <v>5500</v>
      </c>
      <c r="N1244" t="s">
        <v>433</v>
      </c>
      <c r="O1244" t="s">
        <v>53</v>
      </c>
      <c r="P1244" t="s">
        <v>5501</v>
      </c>
      <c r="Q1244" s="14" t="s">
        <v>78</v>
      </c>
      <c r="R1244" t="s">
        <v>5502</v>
      </c>
      <c r="S1244">
        <v>1</v>
      </c>
      <c r="T1244">
        <v>2706</v>
      </c>
      <c r="U1244">
        <v>0</v>
      </c>
      <c r="V1244">
        <v>2706</v>
      </c>
    </row>
    <row r="1245" spans="1:22" x14ac:dyDescent="0.25">
      <c r="A1245">
        <v>8326</v>
      </c>
      <c r="B1245">
        <v>131157966</v>
      </c>
      <c r="C1245" t="s">
        <v>5503</v>
      </c>
      <c r="D1245">
        <v>250046309</v>
      </c>
      <c r="E1245" t="s">
        <v>5460</v>
      </c>
      <c r="F1245" t="s">
        <v>431</v>
      </c>
      <c r="G1245" t="s">
        <v>149</v>
      </c>
      <c r="H1245" t="s">
        <v>150</v>
      </c>
      <c r="I1245" t="s">
        <v>88</v>
      </c>
      <c r="J1245" t="s">
        <v>151</v>
      </c>
      <c r="K1245" t="s">
        <v>2</v>
      </c>
      <c r="L1245" t="s">
        <v>5504</v>
      </c>
      <c r="M1245" t="s">
        <v>5505</v>
      </c>
      <c r="N1245" t="s">
        <v>433</v>
      </c>
      <c r="O1245" t="s">
        <v>53</v>
      </c>
      <c r="P1245" t="s">
        <v>5506</v>
      </c>
      <c r="Q1245" s="14" t="s">
        <v>124</v>
      </c>
      <c r="R1245" t="s">
        <v>5507</v>
      </c>
      <c r="S1245">
        <v>1</v>
      </c>
      <c r="T1245">
        <v>4219</v>
      </c>
      <c r="U1245">
        <v>0</v>
      </c>
      <c r="V1245">
        <v>4219</v>
      </c>
    </row>
    <row r="1246" spans="1:22" x14ac:dyDescent="0.25">
      <c r="A1246">
        <v>8326</v>
      </c>
      <c r="B1246">
        <v>131054288</v>
      </c>
      <c r="C1246" t="s">
        <v>5508</v>
      </c>
      <c r="D1246">
        <v>249832900</v>
      </c>
      <c r="E1246" t="s">
        <v>5460</v>
      </c>
      <c r="F1246" t="s">
        <v>431</v>
      </c>
      <c r="G1246" t="s">
        <v>149</v>
      </c>
      <c r="H1246" t="s">
        <v>150</v>
      </c>
      <c r="I1246" t="s">
        <v>88</v>
      </c>
      <c r="J1246" t="s">
        <v>151</v>
      </c>
      <c r="K1246" t="s">
        <v>2</v>
      </c>
      <c r="L1246" t="s">
        <v>5509</v>
      </c>
      <c r="M1246" t="s">
        <v>5510</v>
      </c>
      <c r="N1246" t="s">
        <v>433</v>
      </c>
      <c r="O1246" t="s">
        <v>53</v>
      </c>
      <c r="P1246" t="s">
        <v>5511</v>
      </c>
      <c r="Q1246" s="14" t="s">
        <v>124</v>
      </c>
      <c r="R1246" t="s">
        <v>5512</v>
      </c>
      <c r="S1246">
        <v>8.1999999999999993</v>
      </c>
      <c r="T1246">
        <v>6289</v>
      </c>
      <c r="U1246">
        <v>0</v>
      </c>
      <c r="V1246">
        <v>6289</v>
      </c>
    </row>
    <row r="1247" spans="1:22" x14ac:dyDescent="0.25">
      <c r="A1247">
        <v>8326</v>
      </c>
      <c r="B1247">
        <v>130976117</v>
      </c>
      <c r="C1247" t="s">
        <v>5513</v>
      </c>
      <c r="D1247">
        <v>249652623</v>
      </c>
      <c r="E1247" t="s">
        <v>5460</v>
      </c>
      <c r="F1247" t="s">
        <v>431</v>
      </c>
      <c r="G1247" t="s">
        <v>149</v>
      </c>
      <c r="H1247" t="s">
        <v>150</v>
      </c>
      <c r="I1247" t="s">
        <v>88</v>
      </c>
      <c r="J1247" t="s">
        <v>151</v>
      </c>
      <c r="K1247" t="s">
        <v>2</v>
      </c>
      <c r="L1247" t="s">
        <v>5514</v>
      </c>
      <c r="M1247" t="s">
        <v>5515</v>
      </c>
      <c r="N1247" t="s">
        <v>433</v>
      </c>
      <c r="O1247" t="s">
        <v>53</v>
      </c>
      <c r="P1247" t="s">
        <v>5516</v>
      </c>
      <c r="Q1247" s="14" t="s">
        <v>165</v>
      </c>
      <c r="R1247" t="s">
        <v>345</v>
      </c>
      <c r="S1247">
        <v>1</v>
      </c>
      <c r="T1247">
        <v>11498</v>
      </c>
      <c r="U1247">
        <v>0</v>
      </c>
      <c r="V1247">
        <v>11498</v>
      </c>
    </row>
    <row r="1248" spans="1:22" x14ac:dyDescent="0.25">
      <c r="A1248">
        <v>8326</v>
      </c>
      <c r="B1248">
        <v>130990426</v>
      </c>
      <c r="C1248" t="s">
        <v>5517</v>
      </c>
      <c r="D1248">
        <v>249681886</v>
      </c>
      <c r="E1248" t="s">
        <v>5460</v>
      </c>
      <c r="F1248" t="s">
        <v>431</v>
      </c>
      <c r="G1248" t="s">
        <v>149</v>
      </c>
      <c r="H1248" t="s">
        <v>150</v>
      </c>
      <c r="I1248" t="s">
        <v>88</v>
      </c>
      <c r="J1248" t="s">
        <v>151</v>
      </c>
      <c r="K1248" t="s">
        <v>2</v>
      </c>
      <c r="L1248" t="s">
        <v>5518</v>
      </c>
      <c r="M1248" t="s">
        <v>5519</v>
      </c>
      <c r="N1248" t="s">
        <v>433</v>
      </c>
      <c r="O1248" t="s">
        <v>53</v>
      </c>
      <c r="P1248" t="s">
        <v>5520</v>
      </c>
      <c r="Q1248" s="14" t="s">
        <v>95</v>
      </c>
      <c r="R1248" t="s">
        <v>157</v>
      </c>
      <c r="S1248">
        <v>1</v>
      </c>
      <c r="T1248">
        <v>5749</v>
      </c>
      <c r="U1248">
        <v>0</v>
      </c>
      <c r="V1248">
        <v>5749</v>
      </c>
    </row>
    <row r="1249" spans="1:22" x14ac:dyDescent="0.25">
      <c r="A1249">
        <v>8326</v>
      </c>
      <c r="B1249">
        <v>130884560</v>
      </c>
      <c r="C1249" t="s">
        <v>5521</v>
      </c>
      <c r="D1249">
        <v>249437640</v>
      </c>
      <c r="E1249" t="s">
        <v>5460</v>
      </c>
      <c r="F1249" t="s">
        <v>431</v>
      </c>
      <c r="G1249" t="s">
        <v>149</v>
      </c>
      <c r="H1249" t="s">
        <v>150</v>
      </c>
      <c r="I1249" t="s">
        <v>88</v>
      </c>
      <c r="J1249" t="s">
        <v>151</v>
      </c>
      <c r="K1249" t="s">
        <v>2</v>
      </c>
      <c r="L1249" t="s">
        <v>5522</v>
      </c>
      <c r="M1249" t="s">
        <v>5523</v>
      </c>
      <c r="N1249" t="s">
        <v>433</v>
      </c>
      <c r="O1249" t="s">
        <v>53</v>
      </c>
      <c r="P1249" t="s">
        <v>5524</v>
      </c>
      <c r="Q1249" s="14" t="s">
        <v>219</v>
      </c>
      <c r="R1249" t="s">
        <v>384</v>
      </c>
      <c r="S1249">
        <v>3.6</v>
      </c>
      <c r="T1249">
        <v>7493</v>
      </c>
      <c r="U1249">
        <v>0</v>
      </c>
      <c r="V1249">
        <v>7493</v>
      </c>
    </row>
    <row r="1250" spans="1:22" x14ac:dyDescent="0.25">
      <c r="A1250">
        <v>8326</v>
      </c>
      <c r="B1250">
        <v>130884472</v>
      </c>
      <c r="C1250" t="s">
        <v>5525</v>
      </c>
      <c r="D1250">
        <v>249437455</v>
      </c>
      <c r="E1250" t="s">
        <v>5460</v>
      </c>
      <c r="F1250" t="s">
        <v>431</v>
      </c>
      <c r="G1250" t="s">
        <v>149</v>
      </c>
      <c r="H1250" t="s">
        <v>150</v>
      </c>
      <c r="I1250" t="s">
        <v>88</v>
      </c>
      <c r="J1250" t="s">
        <v>151</v>
      </c>
      <c r="K1250" t="s">
        <v>2</v>
      </c>
      <c r="L1250" t="s">
        <v>5526</v>
      </c>
      <c r="M1250" t="s">
        <v>5527</v>
      </c>
      <c r="N1250" t="s">
        <v>433</v>
      </c>
      <c r="O1250" t="s">
        <v>53</v>
      </c>
      <c r="P1250" t="s">
        <v>5528</v>
      </c>
      <c r="Q1250" s="14" t="s">
        <v>125</v>
      </c>
      <c r="R1250" t="s">
        <v>5529</v>
      </c>
      <c r="S1250">
        <v>2.2000000000000002</v>
      </c>
      <c r="T1250">
        <v>4737</v>
      </c>
      <c r="U1250">
        <v>0</v>
      </c>
      <c r="V1250">
        <v>4737</v>
      </c>
    </row>
    <row r="1251" spans="1:22" x14ac:dyDescent="0.25">
      <c r="A1251">
        <v>8326</v>
      </c>
      <c r="B1251">
        <v>130846759</v>
      </c>
      <c r="C1251" t="s">
        <v>5530</v>
      </c>
      <c r="D1251">
        <v>249351309</v>
      </c>
      <c r="E1251" t="s">
        <v>5460</v>
      </c>
      <c r="F1251" t="s">
        <v>431</v>
      </c>
      <c r="G1251" t="s">
        <v>149</v>
      </c>
      <c r="H1251" t="s">
        <v>150</v>
      </c>
      <c r="I1251" t="s">
        <v>88</v>
      </c>
      <c r="J1251" t="s">
        <v>151</v>
      </c>
      <c r="K1251" t="s">
        <v>2</v>
      </c>
      <c r="L1251" t="s">
        <v>5531</v>
      </c>
      <c r="M1251" t="s">
        <v>5532</v>
      </c>
      <c r="N1251" t="s">
        <v>433</v>
      </c>
      <c r="O1251" t="s">
        <v>53</v>
      </c>
      <c r="P1251" t="s">
        <v>5533</v>
      </c>
      <c r="Q1251" s="14" t="s">
        <v>122</v>
      </c>
      <c r="R1251" t="s">
        <v>5534</v>
      </c>
      <c r="S1251">
        <v>0.38</v>
      </c>
      <c r="T1251">
        <v>4973</v>
      </c>
      <c r="U1251">
        <v>0</v>
      </c>
      <c r="V1251">
        <v>4973</v>
      </c>
    </row>
    <row r="1252" spans="1:22" x14ac:dyDescent="0.25">
      <c r="A1252">
        <v>8326</v>
      </c>
      <c r="B1252">
        <v>130791292</v>
      </c>
      <c r="C1252" t="s">
        <v>5535</v>
      </c>
      <c r="D1252">
        <v>249246459</v>
      </c>
      <c r="E1252" t="s">
        <v>5460</v>
      </c>
      <c r="F1252" t="s">
        <v>431</v>
      </c>
      <c r="G1252" t="s">
        <v>149</v>
      </c>
      <c r="H1252" t="s">
        <v>150</v>
      </c>
      <c r="I1252" t="s">
        <v>88</v>
      </c>
      <c r="J1252" t="s">
        <v>151</v>
      </c>
      <c r="K1252" t="s">
        <v>2</v>
      </c>
      <c r="L1252" t="s">
        <v>5536</v>
      </c>
      <c r="M1252" t="s">
        <v>5537</v>
      </c>
      <c r="N1252" t="s">
        <v>433</v>
      </c>
      <c r="O1252" t="s">
        <v>53</v>
      </c>
      <c r="P1252" t="s">
        <v>5538</v>
      </c>
      <c r="Q1252" s="14" t="s">
        <v>120</v>
      </c>
      <c r="R1252" t="s">
        <v>5539</v>
      </c>
      <c r="S1252">
        <v>2.85</v>
      </c>
      <c r="T1252">
        <v>5997</v>
      </c>
      <c r="U1252">
        <v>0</v>
      </c>
      <c r="V1252">
        <v>5997</v>
      </c>
    </row>
    <row r="1253" spans="1:22" x14ac:dyDescent="0.25">
      <c r="A1253">
        <v>8326</v>
      </c>
      <c r="B1253">
        <v>130747804</v>
      </c>
      <c r="C1253" t="s">
        <v>5540</v>
      </c>
      <c r="D1253">
        <v>249153774</v>
      </c>
      <c r="E1253" t="s">
        <v>5460</v>
      </c>
      <c r="F1253" t="s">
        <v>431</v>
      </c>
      <c r="G1253" t="s">
        <v>149</v>
      </c>
      <c r="H1253" t="s">
        <v>150</v>
      </c>
      <c r="I1253" t="s">
        <v>88</v>
      </c>
      <c r="J1253" t="s">
        <v>151</v>
      </c>
      <c r="K1253" t="s">
        <v>2</v>
      </c>
      <c r="L1253" t="s">
        <v>5541</v>
      </c>
      <c r="M1253" t="s">
        <v>5542</v>
      </c>
      <c r="N1253" t="s">
        <v>433</v>
      </c>
      <c r="O1253" t="s">
        <v>53</v>
      </c>
      <c r="P1253" t="s">
        <v>5543</v>
      </c>
      <c r="Q1253" s="14" t="s">
        <v>119</v>
      </c>
      <c r="R1253" t="s">
        <v>5544</v>
      </c>
      <c r="S1253">
        <v>0.09</v>
      </c>
      <c r="T1253">
        <v>5749</v>
      </c>
      <c r="U1253">
        <v>0</v>
      </c>
      <c r="V1253">
        <v>5749</v>
      </c>
    </row>
    <row r="1254" spans="1:22" x14ac:dyDescent="0.25">
      <c r="A1254">
        <v>8326</v>
      </c>
      <c r="B1254">
        <v>130750092</v>
      </c>
      <c r="C1254" t="s">
        <v>5545</v>
      </c>
      <c r="D1254">
        <v>249158000</v>
      </c>
      <c r="E1254" t="s">
        <v>5460</v>
      </c>
      <c r="F1254" t="s">
        <v>431</v>
      </c>
      <c r="G1254" t="s">
        <v>149</v>
      </c>
      <c r="H1254" t="s">
        <v>150</v>
      </c>
      <c r="I1254" t="s">
        <v>88</v>
      </c>
      <c r="J1254" t="s">
        <v>151</v>
      </c>
      <c r="K1254" t="s">
        <v>2</v>
      </c>
      <c r="L1254" t="s">
        <v>5546</v>
      </c>
      <c r="M1254" t="s">
        <v>5547</v>
      </c>
      <c r="N1254" t="s">
        <v>433</v>
      </c>
      <c r="O1254" t="s">
        <v>53</v>
      </c>
      <c r="P1254" t="s">
        <v>5548</v>
      </c>
      <c r="Q1254" s="14" t="s">
        <v>137</v>
      </c>
      <c r="R1254" t="s">
        <v>5549</v>
      </c>
      <c r="S1254">
        <v>0.37</v>
      </c>
      <c r="T1254">
        <v>4219</v>
      </c>
      <c r="U1254">
        <v>0</v>
      </c>
      <c r="V1254">
        <v>4219</v>
      </c>
    </row>
    <row r="1255" spans="1:22" x14ac:dyDescent="0.25">
      <c r="A1255">
        <v>8326</v>
      </c>
      <c r="B1255">
        <v>130682003</v>
      </c>
      <c r="C1255" t="s">
        <v>5550</v>
      </c>
      <c r="D1255">
        <v>249004195</v>
      </c>
      <c r="E1255" t="s">
        <v>5460</v>
      </c>
      <c r="F1255" t="s">
        <v>431</v>
      </c>
      <c r="G1255" t="s">
        <v>149</v>
      </c>
      <c r="H1255" t="s">
        <v>150</v>
      </c>
      <c r="I1255" t="s">
        <v>88</v>
      </c>
      <c r="J1255" t="s">
        <v>151</v>
      </c>
      <c r="K1255" t="s">
        <v>2</v>
      </c>
      <c r="L1255" t="s">
        <v>5551</v>
      </c>
      <c r="M1255" t="s">
        <v>5552</v>
      </c>
      <c r="N1255" t="s">
        <v>433</v>
      </c>
      <c r="O1255" t="s">
        <v>53</v>
      </c>
      <c r="P1255" t="s">
        <v>5553</v>
      </c>
      <c r="Q1255" s="14" t="s">
        <v>103</v>
      </c>
      <c r="R1255" t="s">
        <v>365</v>
      </c>
      <c r="S1255">
        <v>1</v>
      </c>
      <c r="T1255">
        <v>6070</v>
      </c>
      <c r="U1255">
        <v>0</v>
      </c>
      <c r="V1255">
        <v>6070</v>
      </c>
    </row>
    <row r="1256" spans="1:22" x14ac:dyDescent="0.25">
      <c r="A1256">
        <v>8326</v>
      </c>
      <c r="B1256">
        <v>130621887</v>
      </c>
      <c r="C1256" t="s">
        <v>5554</v>
      </c>
      <c r="D1256">
        <v>248864334</v>
      </c>
      <c r="E1256" t="s">
        <v>5460</v>
      </c>
      <c r="F1256" t="s">
        <v>431</v>
      </c>
      <c r="G1256" t="s">
        <v>149</v>
      </c>
      <c r="H1256" t="s">
        <v>150</v>
      </c>
      <c r="I1256" t="s">
        <v>88</v>
      </c>
      <c r="J1256" t="s">
        <v>151</v>
      </c>
      <c r="K1256" t="s">
        <v>2</v>
      </c>
      <c r="L1256" t="s">
        <v>361</v>
      </c>
      <c r="M1256" t="s">
        <v>5555</v>
      </c>
      <c r="N1256" t="s">
        <v>433</v>
      </c>
      <c r="O1256" t="s">
        <v>53</v>
      </c>
      <c r="P1256" t="s">
        <v>5556</v>
      </c>
      <c r="Q1256" s="14" t="s">
        <v>99</v>
      </c>
      <c r="R1256" t="s">
        <v>5557</v>
      </c>
      <c r="S1256">
        <v>0.36</v>
      </c>
      <c r="T1256">
        <v>4219</v>
      </c>
      <c r="U1256">
        <v>0</v>
      </c>
      <c r="V1256">
        <v>4219</v>
      </c>
    </row>
    <row r="1257" spans="1:22" x14ac:dyDescent="0.25">
      <c r="A1257">
        <v>8326</v>
      </c>
      <c r="B1257">
        <v>130581887</v>
      </c>
      <c r="C1257" t="s">
        <v>5558</v>
      </c>
      <c r="D1257">
        <v>248770875</v>
      </c>
      <c r="E1257" t="s">
        <v>5460</v>
      </c>
      <c r="F1257" t="s">
        <v>431</v>
      </c>
      <c r="G1257" t="s">
        <v>149</v>
      </c>
      <c r="H1257" t="s">
        <v>150</v>
      </c>
      <c r="I1257" t="s">
        <v>88</v>
      </c>
      <c r="J1257" t="s">
        <v>151</v>
      </c>
      <c r="K1257" t="s">
        <v>2</v>
      </c>
      <c r="L1257" t="s">
        <v>5559</v>
      </c>
      <c r="M1257" t="s">
        <v>346</v>
      </c>
      <c r="N1257" t="s">
        <v>433</v>
      </c>
      <c r="O1257" t="s">
        <v>53</v>
      </c>
      <c r="P1257" t="s">
        <v>5560</v>
      </c>
      <c r="Q1257" s="14" t="s">
        <v>159</v>
      </c>
      <c r="R1257" t="s">
        <v>5561</v>
      </c>
      <c r="S1257">
        <v>2.2200000000000002</v>
      </c>
      <c r="T1257">
        <v>7189</v>
      </c>
      <c r="U1257">
        <v>0</v>
      </c>
      <c r="V1257">
        <v>7189</v>
      </c>
    </row>
    <row r="1258" spans="1:22" x14ac:dyDescent="0.25">
      <c r="A1258">
        <v>8326</v>
      </c>
      <c r="B1258">
        <v>130581815</v>
      </c>
      <c r="C1258" t="s">
        <v>5562</v>
      </c>
      <c r="D1258">
        <v>248770791</v>
      </c>
      <c r="E1258" t="s">
        <v>5460</v>
      </c>
      <c r="F1258" t="s">
        <v>431</v>
      </c>
      <c r="G1258" t="s">
        <v>149</v>
      </c>
      <c r="H1258" t="s">
        <v>150</v>
      </c>
      <c r="I1258" t="s">
        <v>88</v>
      </c>
      <c r="J1258" t="s">
        <v>151</v>
      </c>
      <c r="K1258" t="s">
        <v>2</v>
      </c>
      <c r="L1258" t="s">
        <v>5563</v>
      </c>
      <c r="M1258" t="s">
        <v>5564</v>
      </c>
      <c r="N1258" t="s">
        <v>433</v>
      </c>
      <c r="O1258" t="s">
        <v>53</v>
      </c>
      <c r="P1258" t="s">
        <v>5565</v>
      </c>
      <c r="Q1258" s="14" t="s">
        <v>142</v>
      </c>
      <c r="R1258" t="s">
        <v>5566</v>
      </c>
      <c r="S1258">
        <v>1</v>
      </c>
      <c r="T1258">
        <v>4219</v>
      </c>
      <c r="U1258">
        <v>0</v>
      </c>
      <c r="V1258">
        <v>4219</v>
      </c>
    </row>
    <row r="1259" spans="1:22" x14ac:dyDescent="0.25">
      <c r="A1259">
        <v>8326</v>
      </c>
      <c r="B1259">
        <v>130544158</v>
      </c>
      <c r="C1259" t="s">
        <v>5567</v>
      </c>
      <c r="D1259">
        <v>248687382</v>
      </c>
      <c r="E1259" t="s">
        <v>5460</v>
      </c>
      <c r="F1259" t="s">
        <v>431</v>
      </c>
      <c r="G1259" t="s">
        <v>149</v>
      </c>
      <c r="H1259" t="s">
        <v>150</v>
      </c>
      <c r="I1259" t="s">
        <v>88</v>
      </c>
      <c r="J1259" t="s">
        <v>151</v>
      </c>
      <c r="K1259" t="s">
        <v>2</v>
      </c>
      <c r="L1259" t="s">
        <v>5568</v>
      </c>
      <c r="M1259" t="s">
        <v>5569</v>
      </c>
      <c r="N1259" t="s">
        <v>433</v>
      </c>
      <c r="O1259" t="s">
        <v>53</v>
      </c>
      <c r="P1259" t="s">
        <v>5570</v>
      </c>
      <c r="Q1259" s="14" t="s">
        <v>142</v>
      </c>
      <c r="R1259" t="s">
        <v>402</v>
      </c>
      <c r="S1259">
        <v>2.02</v>
      </c>
      <c r="T1259">
        <v>4737</v>
      </c>
      <c r="U1259">
        <v>0</v>
      </c>
      <c r="V1259">
        <v>4737</v>
      </c>
    </row>
    <row r="1260" spans="1:22" x14ac:dyDescent="0.25">
      <c r="A1260">
        <v>8326</v>
      </c>
      <c r="B1260">
        <v>130407542</v>
      </c>
      <c r="C1260" t="s">
        <v>5571</v>
      </c>
      <c r="D1260">
        <v>248348241</v>
      </c>
      <c r="E1260" t="s">
        <v>5460</v>
      </c>
      <c r="F1260" t="s">
        <v>431</v>
      </c>
      <c r="G1260" t="s">
        <v>149</v>
      </c>
      <c r="H1260" t="s">
        <v>150</v>
      </c>
      <c r="I1260" t="s">
        <v>88</v>
      </c>
      <c r="J1260" t="s">
        <v>151</v>
      </c>
      <c r="K1260" t="s">
        <v>2</v>
      </c>
      <c r="L1260" t="s">
        <v>5572</v>
      </c>
      <c r="M1260" t="s">
        <v>5573</v>
      </c>
      <c r="N1260" t="s">
        <v>433</v>
      </c>
      <c r="O1260" t="s">
        <v>53</v>
      </c>
      <c r="P1260" t="s">
        <v>5574</v>
      </c>
      <c r="Q1260" s="14" t="s">
        <v>119</v>
      </c>
      <c r="R1260" t="s">
        <v>5575</v>
      </c>
      <c r="S1260">
        <v>1.28</v>
      </c>
      <c r="T1260">
        <v>6244</v>
      </c>
      <c r="U1260">
        <v>0</v>
      </c>
      <c r="V1260">
        <v>6244</v>
      </c>
    </row>
    <row r="1261" spans="1:22" x14ac:dyDescent="0.25">
      <c r="A1261">
        <v>8326</v>
      </c>
      <c r="B1261">
        <v>130394884</v>
      </c>
      <c r="C1261" t="s">
        <v>5576</v>
      </c>
      <c r="D1261">
        <v>248325646</v>
      </c>
      <c r="E1261" t="s">
        <v>5460</v>
      </c>
      <c r="F1261" t="s">
        <v>431</v>
      </c>
      <c r="G1261" t="s">
        <v>149</v>
      </c>
      <c r="H1261" t="s">
        <v>150</v>
      </c>
      <c r="I1261" t="s">
        <v>88</v>
      </c>
      <c r="J1261" t="s">
        <v>151</v>
      </c>
      <c r="K1261" t="s">
        <v>2</v>
      </c>
      <c r="L1261" t="s">
        <v>5577</v>
      </c>
      <c r="M1261" t="s">
        <v>5578</v>
      </c>
      <c r="N1261" t="s">
        <v>433</v>
      </c>
      <c r="O1261" t="s">
        <v>53</v>
      </c>
      <c r="P1261" t="s">
        <v>5579</v>
      </c>
      <c r="Q1261" s="14" t="s">
        <v>106</v>
      </c>
      <c r="R1261" t="s">
        <v>5580</v>
      </c>
      <c r="S1261">
        <v>7.78</v>
      </c>
      <c r="T1261">
        <v>6019</v>
      </c>
      <c r="U1261">
        <v>0</v>
      </c>
      <c r="V1261">
        <v>6019</v>
      </c>
    </row>
    <row r="1262" spans="1:22" x14ac:dyDescent="0.25">
      <c r="A1262">
        <v>8326</v>
      </c>
      <c r="B1262">
        <v>130336855</v>
      </c>
      <c r="C1262" t="s">
        <v>5581</v>
      </c>
      <c r="D1262" t="s">
        <v>5582</v>
      </c>
      <c r="E1262" t="s">
        <v>5460</v>
      </c>
      <c r="F1262" t="s">
        <v>431</v>
      </c>
      <c r="G1262" t="s">
        <v>39</v>
      </c>
      <c r="H1262" t="s">
        <v>153</v>
      </c>
      <c r="I1262" t="s">
        <v>88</v>
      </c>
      <c r="J1262" t="s">
        <v>154</v>
      </c>
      <c r="K1262" t="s">
        <v>2</v>
      </c>
      <c r="L1262" t="s">
        <v>155</v>
      </c>
      <c r="M1262" t="s">
        <v>5583</v>
      </c>
      <c r="N1262" t="s">
        <v>433</v>
      </c>
      <c r="O1262" t="s">
        <v>53</v>
      </c>
      <c r="P1262" t="s">
        <v>5584</v>
      </c>
      <c r="Q1262" s="14" t="s">
        <v>137</v>
      </c>
      <c r="R1262" t="s">
        <v>5585</v>
      </c>
      <c r="S1262">
        <v>5.75</v>
      </c>
      <c r="T1262">
        <v>7224</v>
      </c>
      <c r="U1262">
        <v>0</v>
      </c>
      <c r="V1262">
        <v>7224</v>
      </c>
    </row>
    <row r="1263" spans="1:22" x14ac:dyDescent="0.25">
      <c r="A1263">
        <v>8326</v>
      </c>
      <c r="B1263">
        <v>130278888</v>
      </c>
      <c r="C1263" t="s">
        <v>5586</v>
      </c>
      <c r="D1263">
        <v>248075235</v>
      </c>
      <c r="E1263" t="s">
        <v>5460</v>
      </c>
      <c r="F1263" t="s">
        <v>431</v>
      </c>
      <c r="G1263" t="s">
        <v>149</v>
      </c>
      <c r="H1263" t="s">
        <v>150</v>
      </c>
      <c r="I1263" t="s">
        <v>88</v>
      </c>
      <c r="J1263" t="s">
        <v>151</v>
      </c>
      <c r="K1263" t="s">
        <v>2</v>
      </c>
      <c r="L1263" t="s">
        <v>5587</v>
      </c>
      <c r="M1263" t="s">
        <v>5588</v>
      </c>
      <c r="N1263" t="s">
        <v>433</v>
      </c>
      <c r="O1263" t="s">
        <v>53</v>
      </c>
      <c r="P1263" t="s">
        <v>5589</v>
      </c>
      <c r="Q1263" s="14" t="s">
        <v>119</v>
      </c>
      <c r="R1263" t="s">
        <v>5590</v>
      </c>
      <c r="S1263">
        <v>5.39</v>
      </c>
      <c r="T1263">
        <v>8213</v>
      </c>
      <c r="U1263">
        <v>0</v>
      </c>
      <c r="V1263">
        <v>8213</v>
      </c>
    </row>
    <row r="1264" spans="1:22" x14ac:dyDescent="0.25">
      <c r="A1264">
        <v>8326</v>
      </c>
      <c r="B1264">
        <v>130294417</v>
      </c>
      <c r="C1264" t="s">
        <v>5591</v>
      </c>
      <c r="D1264">
        <v>248110628</v>
      </c>
      <c r="E1264" t="s">
        <v>5460</v>
      </c>
      <c r="F1264" t="s">
        <v>431</v>
      </c>
      <c r="G1264" t="s">
        <v>149</v>
      </c>
      <c r="H1264" t="s">
        <v>150</v>
      </c>
      <c r="I1264" t="s">
        <v>88</v>
      </c>
      <c r="J1264" t="s">
        <v>151</v>
      </c>
      <c r="K1264" t="s">
        <v>2</v>
      </c>
      <c r="L1264" t="s">
        <v>5592</v>
      </c>
      <c r="M1264" t="s">
        <v>5593</v>
      </c>
      <c r="N1264" t="s">
        <v>433</v>
      </c>
      <c r="O1264" t="s">
        <v>53</v>
      </c>
      <c r="P1264" t="s">
        <v>5594</v>
      </c>
      <c r="Q1264" s="14" t="s">
        <v>305</v>
      </c>
      <c r="R1264" t="s">
        <v>5595</v>
      </c>
      <c r="S1264">
        <v>3.06</v>
      </c>
      <c r="T1264">
        <v>4995</v>
      </c>
      <c r="U1264">
        <v>0</v>
      </c>
      <c r="V1264">
        <v>4995</v>
      </c>
    </row>
    <row r="1265" spans="1:22" x14ac:dyDescent="0.25">
      <c r="A1265">
        <v>8326</v>
      </c>
      <c r="B1265">
        <v>130469023</v>
      </c>
      <c r="C1265" t="s">
        <v>5596</v>
      </c>
      <c r="D1265" t="s">
        <v>5597</v>
      </c>
      <c r="E1265" t="s">
        <v>5460</v>
      </c>
      <c r="F1265" t="s">
        <v>431</v>
      </c>
      <c r="G1265" t="s">
        <v>39</v>
      </c>
      <c r="H1265" t="s">
        <v>153</v>
      </c>
      <c r="I1265" t="s">
        <v>88</v>
      </c>
      <c r="J1265" t="s">
        <v>154</v>
      </c>
      <c r="K1265" t="s">
        <v>2</v>
      </c>
      <c r="L1265" t="s">
        <v>155</v>
      </c>
      <c r="M1265" t="s">
        <v>5598</v>
      </c>
      <c r="N1265" t="s">
        <v>433</v>
      </c>
      <c r="O1265" t="s">
        <v>53</v>
      </c>
      <c r="P1265" t="s">
        <v>5599</v>
      </c>
      <c r="Q1265" s="14" t="s">
        <v>330</v>
      </c>
      <c r="R1265" t="s">
        <v>347</v>
      </c>
      <c r="S1265">
        <v>2.04</v>
      </c>
      <c r="T1265">
        <v>7945</v>
      </c>
      <c r="U1265">
        <v>0</v>
      </c>
      <c r="V1265">
        <v>7945</v>
      </c>
    </row>
    <row r="1266" spans="1:22" x14ac:dyDescent="0.25">
      <c r="A1266">
        <v>164188</v>
      </c>
      <c r="B1266">
        <v>130997878</v>
      </c>
      <c r="C1266" t="s">
        <v>5600</v>
      </c>
      <c r="D1266" t="s">
        <v>5601</v>
      </c>
      <c r="E1266" t="s">
        <v>5602</v>
      </c>
      <c r="F1266" t="s">
        <v>431</v>
      </c>
      <c r="G1266" t="s">
        <v>39</v>
      </c>
      <c r="H1266" t="s">
        <v>153</v>
      </c>
      <c r="I1266" t="s">
        <v>88</v>
      </c>
      <c r="J1266" t="s">
        <v>154</v>
      </c>
      <c r="K1266" t="s">
        <v>2</v>
      </c>
      <c r="L1266" t="s">
        <v>155</v>
      </c>
      <c r="M1266" t="s">
        <v>5603</v>
      </c>
      <c r="N1266" t="s">
        <v>433</v>
      </c>
      <c r="O1266" t="s">
        <v>53</v>
      </c>
      <c r="P1266" t="s">
        <v>5604</v>
      </c>
      <c r="Q1266" s="14" t="s">
        <v>142</v>
      </c>
      <c r="R1266" t="s">
        <v>5605</v>
      </c>
      <c r="S1266">
        <v>0.82</v>
      </c>
      <c r="T1266">
        <v>5992</v>
      </c>
      <c r="U1266">
        <v>0</v>
      </c>
      <c r="V1266">
        <v>5992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2025-08-09T19:23:06Z</dcterms:modified>
</cp:coreProperties>
</file>