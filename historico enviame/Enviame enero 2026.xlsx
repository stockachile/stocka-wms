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6\Facturación 2026-01 Enero\Detalles\"/>
    </mc:Choice>
  </mc:AlternateContent>
  <xr:revisionPtr revIDLastSave="0" documentId="8_{EAB4BAC3-0BC4-4E55-B9C6-406DB62AC23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10" i="2"/>
  <c r="D5" i="2" l="1"/>
  <c r="D9" i="2"/>
  <c r="E12" i="2"/>
  <c r="D12" i="2"/>
  <c r="E5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<sst xmlns="http://schemas.openxmlformats.org/spreadsheetml/2006/main" count="26248" uniqueCount="8413">
  <si>
    <t>IVA</t>
  </si>
  <si>
    <t>Total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</si>
  <si>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</si>
  <si>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</si>
  <si>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</si>
  <si>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</si>
  <si>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</si>
  <si>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</si>
  <si>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</si>
  <si>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</si>
  <si>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</si>
  <si>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</si>
  <si>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</si>
  <si>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</si>
  <si>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</si>
  <si>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</si>
  <si>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</si>
  <si>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</si>
  <si>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</si>
  <si>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</si>
  <si>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</si>
  <si>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</si>
  <si>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</si>
  <si>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</si>
  <si>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</si>
  <si>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</si>
  <si>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</si>
  <si>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</si>
  <si>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</si>
  <si>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</si>
  <si>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</si>
  <si>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</si>
  <si>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</si>
  <si>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</si>
  <si>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distribucion</t>
  </si>
  <si>
    <t>contract_type</t>
  </si>
  <si>
    <t>peso informado por carrier</t>
  </si>
  <si>
    <t>Flex</t>
  </si>
  <si>
    <t>mkp</t>
  </si>
  <si>
    <t>carrier_service_name</t>
  </si>
  <si>
    <t>seguro</t>
  </si>
  <si>
    <t>Entregado</t>
  </si>
  <si>
    <t>Los Ángeles</t>
  </si>
  <si>
    <t>STARKEN</t>
  </si>
  <si>
    <t>SKN</t>
  </si>
  <si>
    <t>Normal</t>
  </si>
  <si>
    <t>Rancagua</t>
  </si>
  <si>
    <t>Osorno</t>
  </si>
  <si>
    <t>Copiapó</t>
  </si>
  <si>
    <t>Talca</t>
  </si>
  <si>
    <t>Antofagasta</t>
  </si>
  <si>
    <t>Illapel</t>
  </si>
  <si>
    <t>Vallenar</t>
  </si>
  <si>
    <t>Curicó</t>
  </si>
  <si>
    <t>En Reparto</t>
  </si>
  <si>
    <t>EN REPARTO</t>
  </si>
  <si>
    <t>Chillán</t>
  </si>
  <si>
    <t>Padre las Casas</t>
  </si>
  <si>
    <t>Quilpué</t>
  </si>
  <si>
    <t>Rengo</t>
  </si>
  <si>
    <t>Puerto Varas</t>
  </si>
  <si>
    <t>Viña del Mar</t>
  </si>
  <si>
    <t>La Serena</t>
  </si>
  <si>
    <t>San Antonio</t>
  </si>
  <si>
    <t>Ñuñoa</t>
  </si>
  <si>
    <t>Luis Rojas</t>
  </si>
  <si>
    <t>Ovalle</t>
  </si>
  <si>
    <t>Coquimbo</t>
  </si>
  <si>
    <t>Punta Arenas</t>
  </si>
  <si>
    <t>BLUEXPRESS</t>
  </si>
  <si>
    <t>BLX</t>
  </si>
  <si>
    <t>ENTREGADO</t>
  </si>
  <si>
    <t>Los Vilos</t>
  </si>
  <si>
    <t>San Pedro de la Paz</t>
  </si>
  <si>
    <t>Puchuncaví</t>
  </si>
  <si>
    <t>Talcahuano</t>
  </si>
  <si>
    <t>La Cruz</t>
  </si>
  <si>
    <t>Lampa</t>
  </si>
  <si>
    <t>Pudahuel</t>
  </si>
  <si>
    <t>Los Andes</t>
  </si>
  <si>
    <t>La Reina</t>
  </si>
  <si>
    <t>San Fernando</t>
  </si>
  <si>
    <t>Iquique</t>
  </si>
  <si>
    <t>Buin</t>
  </si>
  <si>
    <t>Llaillay</t>
  </si>
  <si>
    <t>Graneros</t>
  </si>
  <si>
    <t>Aysén</t>
  </si>
  <si>
    <t>Machalí</t>
  </si>
  <si>
    <t>Codegua</t>
  </si>
  <si>
    <t>Mulchén</t>
  </si>
  <si>
    <t>Concepción</t>
  </si>
  <si>
    <t>Colina</t>
  </si>
  <si>
    <t>Pozo Almonte</t>
  </si>
  <si>
    <t>Paine</t>
  </si>
  <si>
    <t>Cabrero</t>
  </si>
  <si>
    <t>Devolucion entregada</t>
  </si>
  <si>
    <t>DEVOLUCION ENTREGADA</t>
  </si>
  <si>
    <t>Puerto Montt</t>
  </si>
  <si>
    <t>Arica</t>
  </si>
  <si>
    <t>Luis Cabezas</t>
  </si>
  <si>
    <t>Pichilemu</t>
  </si>
  <si>
    <t>Hijuelas</t>
  </si>
  <si>
    <t>Villa Alemana</t>
  </si>
  <si>
    <t>Quillota</t>
  </si>
  <si>
    <t>Melipilla</t>
  </si>
  <si>
    <t>Talagante</t>
  </si>
  <si>
    <t>Limache</t>
  </si>
  <si>
    <t>Catemu</t>
  </si>
  <si>
    <t>Valparaíso</t>
  </si>
  <si>
    <t>Curacaví</t>
  </si>
  <si>
    <t>Pirque</t>
  </si>
  <si>
    <t>Calama</t>
  </si>
  <si>
    <t>San Felipe</t>
  </si>
  <si>
    <t>Constitución</t>
  </si>
  <si>
    <t>Tocopilla</t>
  </si>
  <si>
    <t>Hualpén</t>
  </si>
  <si>
    <t>Peralillo</t>
  </si>
  <si>
    <t>San Clemente</t>
  </si>
  <si>
    <t>Temuco</t>
  </si>
  <si>
    <t>Florencia Hermosilla</t>
  </si>
  <si>
    <t>Tomé</t>
  </si>
  <si>
    <t>Nancagua</t>
  </si>
  <si>
    <t>Mariquina</t>
  </si>
  <si>
    <t>San Vicente</t>
  </si>
  <si>
    <t>Arauco</t>
  </si>
  <si>
    <t>Valdivia</t>
  </si>
  <si>
    <t>Concón</t>
  </si>
  <si>
    <t>En tránsito</t>
  </si>
  <si>
    <t>Calera</t>
  </si>
  <si>
    <t>Calera de Tango</t>
  </si>
  <si>
    <t>Coronel</t>
  </si>
  <si>
    <t>San Pedro de Atacama</t>
  </si>
  <si>
    <t>Castro</t>
  </si>
  <si>
    <t>Alto Hospicio</t>
  </si>
  <si>
    <t>Vicuña</t>
  </si>
  <si>
    <t>En planta destino</t>
  </si>
  <si>
    <t>CHILEXPRESS</t>
  </si>
  <si>
    <t>CHX</t>
  </si>
  <si>
    <t>Dia Hábil Siguiente (Express Aéreo)</t>
  </si>
  <si>
    <t>Standard</t>
  </si>
  <si>
    <t>Cabildo</t>
  </si>
  <si>
    <t>Santo Domingo</t>
  </si>
  <si>
    <t>Isla de Maipo</t>
  </si>
  <si>
    <t>Olmué</t>
  </si>
  <si>
    <t>Chiguayante</t>
  </si>
  <si>
    <t>Cañete</t>
  </si>
  <si>
    <t>Constanza Gonzalez</t>
  </si>
  <si>
    <t>Ercilla</t>
  </si>
  <si>
    <t>Maule</t>
  </si>
  <si>
    <t>Huasco</t>
  </si>
  <si>
    <t>Olivar</t>
  </si>
  <si>
    <t>Río Bueno</t>
  </si>
  <si>
    <t>En planta de origen</t>
  </si>
  <si>
    <t>Javiera Hernandez</t>
  </si>
  <si>
    <t>Carolina Lagos</t>
  </si>
  <si>
    <t>Mauricio Vicencio Aravena</t>
  </si>
  <si>
    <t>Valentina Ulloa</t>
  </si>
  <si>
    <t>Carolina Contreras</t>
  </si>
  <si>
    <t>Camila Salinas</t>
  </si>
  <si>
    <t>Victor Gallardo</t>
  </si>
  <si>
    <t>Camila Riquelme</t>
  </si>
  <si>
    <t>Paloma Muñoz</t>
  </si>
  <si>
    <t>Annette Jaramillo Cáceres</t>
  </si>
  <si>
    <t>Maria Jose Henriquez</t>
  </si>
  <si>
    <t>Camila Guajardo</t>
  </si>
  <si>
    <t>Carolina Vergara</t>
  </si>
  <si>
    <t>Coyhaique</t>
  </si>
  <si>
    <t>Linares</t>
  </si>
  <si>
    <t>Villarrica</t>
  </si>
  <si>
    <t>Chillán Viejo</t>
  </si>
  <si>
    <t>Coelemu</t>
  </si>
  <si>
    <t>María Pinto</t>
  </si>
  <si>
    <t>Nacimiento</t>
  </si>
  <si>
    <t>Pitrufquén</t>
  </si>
  <si>
    <t>Peñaflor</t>
  </si>
  <si>
    <t>Pucón</t>
  </si>
  <si>
    <t>Ancud</t>
  </si>
  <si>
    <t>Las Cabras</t>
  </si>
  <si>
    <t>San Carlos</t>
  </si>
  <si>
    <t>Parral</t>
  </si>
  <si>
    <t>Quintero</t>
  </si>
  <si>
    <t>Bulnes</t>
  </si>
  <si>
    <t>Porvenir</t>
  </si>
  <si>
    <t>Monte Patria</t>
  </si>
  <si>
    <t>Cauquenes</t>
  </si>
  <si>
    <t>Longaví</t>
  </si>
  <si>
    <t>Molina</t>
  </si>
  <si>
    <t>Lota</t>
  </si>
  <si>
    <t>La Ligua</t>
  </si>
  <si>
    <t>Zapallar</t>
  </si>
  <si>
    <t>San Javier</t>
  </si>
  <si>
    <t>Lautaro</t>
  </si>
  <si>
    <t>Pelarco</t>
  </si>
  <si>
    <t>Angol</t>
  </si>
  <si>
    <t>Sagrada Familia</t>
  </si>
  <si>
    <t>Tucapel</t>
  </si>
  <si>
    <t>Curacautín</t>
  </si>
  <si>
    <t>Calbuco</t>
  </si>
  <si>
    <t>El Monte</t>
  </si>
  <si>
    <t>Frutillar</t>
  </si>
  <si>
    <t>Penco</t>
  </si>
  <si>
    <t>Natales</t>
  </si>
  <si>
    <t>Curanilahue</t>
  </si>
  <si>
    <t>Taltal</t>
  </si>
  <si>
    <t>Negrete</t>
  </si>
  <si>
    <t>Chañaral</t>
  </si>
  <si>
    <t>Pelluhue</t>
  </si>
  <si>
    <t>Doñihue</t>
  </si>
  <si>
    <t>Victoria</t>
  </si>
  <si>
    <t>Yungay</t>
  </si>
  <si>
    <t>Casablanca</t>
  </si>
  <si>
    <t>Quellón</t>
  </si>
  <si>
    <t>Santa Cruz</t>
  </si>
  <si>
    <t>Cartagena</t>
  </si>
  <si>
    <t>Mostazal</t>
  </si>
  <si>
    <t>Los Lagos</t>
  </si>
  <si>
    <t>Chaitén</t>
  </si>
  <si>
    <t>La Unión</t>
  </si>
  <si>
    <t>Nueva Imperial</t>
  </si>
  <si>
    <t>Navidad</t>
  </si>
  <si>
    <t>Futaleufú</t>
  </si>
  <si>
    <t>Caldera</t>
  </si>
  <si>
    <t>Lanco</t>
  </si>
  <si>
    <t>Lebu</t>
  </si>
  <si>
    <t>Laja</t>
  </si>
  <si>
    <t>Rinconada</t>
  </si>
  <si>
    <t>Chonchi</t>
  </si>
  <si>
    <t>Contulmo</t>
  </si>
  <si>
    <t>Romeral</t>
  </si>
  <si>
    <t>Teno</t>
  </si>
  <si>
    <t>Gorbea</t>
  </si>
  <si>
    <t>San Esteban</t>
  </si>
  <si>
    <t>Villa Alegre</t>
  </si>
  <si>
    <t>Freirina</t>
  </si>
  <si>
    <t>El Quisco</t>
  </si>
  <si>
    <t>Tiltil</t>
  </si>
  <si>
    <t>Requínoa</t>
  </si>
  <si>
    <t>Chanco</t>
  </si>
  <si>
    <t>Vichuquén</t>
  </si>
  <si>
    <t>El Tabo</t>
  </si>
  <si>
    <t>Andacollo</t>
  </si>
  <si>
    <t>Nogales</t>
  </si>
  <si>
    <t>Coltauco</t>
  </si>
  <si>
    <t>Traiguén</t>
  </si>
  <si>
    <t>Freire</t>
  </si>
  <si>
    <t>Quinta de Tilcoco</t>
  </si>
  <si>
    <t>Litueche</t>
  </si>
  <si>
    <t>Mejillones</t>
  </si>
  <si>
    <t>Putaendo</t>
  </si>
  <si>
    <t>Algarrobo</t>
  </si>
  <si>
    <t>Quillón</t>
  </si>
  <si>
    <t>Portezuelo</t>
  </si>
  <si>
    <t>Fresia</t>
  </si>
  <si>
    <t>Corral</t>
  </si>
  <si>
    <t>Cochamó</t>
  </si>
  <si>
    <t>La Estrella</t>
  </si>
  <si>
    <t>Lago Ranco</t>
  </si>
  <si>
    <t>Paredones</t>
  </si>
  <si>
    <t>null</t>
  </si>
  <si>
    <t>2025-12-26 14:27</t>
  </si>
  <si>
    <t>Disponible para retiro</t>
  </si>
  <si>
    <t>PENDIENTE ENTREGA</t>
  </si>
  <si>
    <t>2026-01-01 22:51</t>
  </si>
  <si>
    <t>NOMBRE RETIRA: LORENA SOTO . RUT RETIRA: 53336919-7</t>
  </si>
  <si>
    <t>2026-01-22 13:08</t>
  </si>
  <si>
    <t>2026-01-21 10:27</t>
  </si>
  <si>
    <t>Paula Reyes</t>
  </si>
  <si>
    <t>Paulina Vera</t>
  </si>
  <si>
    <t>2026-01-21 13:50</t>
  </si>
  <si>
    <t>Mauricio Cerda</t>
  </si>
  <si>
    <t>Papudo</t>
  </si>
  <si>
    <t>NOMBRE RETIRA: RUT RETIRA: 1-9</t>
  </si>
  <si>
    <t>Patricia Araya</t>
  </si>
  <si>
    <t>2026-01-15 09:17</t>
  </si>
  <si>
    <t>2026-01-07 11:09</t>
  </si>
  <si>
    <t>NOMBRE RETIRA: JOSE , , RUT RETIRA: 53310370-7</t>
  </si>
  <si>
    <t>2026-01-08 11:11</t>
  </si>
  <si>
    <t>2026-01-07 11:01</t>
  </si>
  <si>
    <t>NOMBRE RETIRA: ALEJANDRO , , , RUT RETIRA: 53310370-7</t>
  </si>
  <si>
    <t>2025-12-30 12:58</t>
  </si>
  <si>
    <t>2026-01-12 11:04</t>
  </si>
  <si>
    <t>2026-01-22 12:12</t>
  </si>
  <si>
    <t>2026-01-15 11:11</t>
  </si>
  <si>
    <t>2026-01-12 11:05</t>
  </si>
  <si>
    <t>NOMBRE RETIRA: ROXANA ZARATE . RUT RETIRA: 12533484-9</t>
  </si>
  <si>
    <t>Claudio Contreras</t>
  </si>
  <si>
    <t>Ricardo Pérez</t>
  </si>
  <si>
    <t>2026-01-15 11:09</t>
  </si>
  <si>
    <t>2026-01-07 14:15</t>
  </si>
  <si>
    <t>2025-12-29 11:09</t>
  </si>
  <si>
    <t>2025-12-29 11:12</t>
  </si>
  <si>
    <t>Claudia Muñoz</t>
  </si>
  <si>
    <t>Jorge Salazar</t>
  </si>
  <si>
    <t>Esteban Torres</t>
  </si>
  <si>
    <t>Claudia Espinoza</t>
  </si>
  <si>
    <t>Carolina Tapia</t>
  </si>
  <si>
    <t>Manuel Cáceres</t>
  </si>
  <si>
    <t>Alejandro Sandoval</t>
  </si>
  <si>
    <t>Hector Ramirez</t>
  </si>
  <si>
    <t>2026-01-09 11:07</t>
  </si>
  <si>
    <t>2026-01-22 09:59</t>
  </si>
  <si>
    <t>2026-01-20 12:03</t>
  </si>
  <si>
    <t>San Rafael</t>
  </si>
  <si>
    <t>NOMBRE RETIRA: . . . RUT RETIRA: 13465010-9</t>
  </si>
  <si>
    <t>franco cortez</t>
  </si>
  <si>
    <t>2026-01-13 16:07</t>
  </si>
  <si>
    <t>Manuel Araya</t>
  </si>
  <si>
    <t>Carlos Fuentes</t>
  </si>
  <si>
    <t>NOMBRE RETIRA: FRANCISCO INZUNZA A RUT RETIRA: 21290455-4</t>
  </si>
  <si>
    <t>Victor Espinoza</t>
  </si>
  <si>
    <t>Jessica Sandoval</t>
  </si>
  <si>
    <t>2025-12-26 11:14</t>
  </si>
  <si>
    <t>2025-12-26 11:56</t>
  </si>
  <si>
    <t>2025-12-24 11:23</t>
  </si>
  <si>
    <t>Andrea Quezada</t>
  </si>
  <si>
    <t>2026-01-20 15:10</t>
  </si>
  <si>
    <t>2026-01-19 11:10</t>
  </si>
  <si>
    <t>2026-01-16 20:03</t>
  </si>
  <si>
    <t>2026-01-11 20:41</t>
  </si>
  <si>
    <t>2026-01-09 12:04</t>
  </si>
  <si>
    <t>2026-01-08 11:04</t>
  </si>
  <si>
    <t>Francisco Morales</t>
  </si>
  <si>
    <t>Ricardo Vial</t>
  </si>
  <si>
    <t>2026-01-05 20:09</t>
  </si>
  <si>
    <t>Felipe Tapia</t>
  </si>
  <si>
    <t>Catalina Ortega</t>
  </si>
  <si>
    <t>Benjamin Salazar</t>
  </si>
  <si>
    <t>Rodrigo Ortiz</t>
  </si>
  <si>
    <t>Daniela Mardones</t>
  </si>
  <si>
    <t>Veronica Arriagada</t>
  </si>
  <si>
    <t>Claudia Acevedo</t>
  </si>
  <si>
    <t>Juan Silva</t>
  </si>
  <si>
    <t>Marcela Alvarez</t>
  </si>
  <si>
    <t>Javiera Flores</t>
  </si>
  <si>
    <t>Claudia Rodriguez</t>
  </si>
  <si>
    <t>Isabel Diaz</t>
  </si>
  <si>
    <t>Daniela Gonzalez</t>
  </si>
  <si>
    <t>Yasna Vega</t>
  </si>
  <si>
    <t>Natalia Montecinos</t>
  </si>
  <si>
    <t>Paulina Tapia Burgos</t>
  </si>
  <si>
    <t>Felipillo 1434, Casa</t>
  </si>
  <si>
    <t>Felipe Castro</t>
  </si>
  <si>
    <t>natalia maldonado</t>
  </si>
  <si>
    <t>Jose Valenzuela</t>
  </si>
  <si>
    <t>Andrea Rojas</t>
  </si>
  <si>
    <t>Rut Castillo</t>
  </si>
  <si>
    <t>Andrea Castillo</t>
  </si>
  <si>
    <t>María Elena</t>
  </si>
  <si>
    <t>Cochrane</t>
  </si>
  <si>
    <t>2026-01-12 20:43</t>
  </si>
  <si>
    <t>Carlos Estay</t>
  </si>
  <si>
    <t>2026-01-19 11:04</t>
  </si>
  <si>
    <t>2026-01-21 11:15</t>
  </si>
  <si>
    <t>EN TRANSITO</t>
  </si>
  <si>
    <t>2025-12-23 11:39</t>
  </si>
  <si>
    <t>NOMBRE RETIRA: ALICIA PEREZ . RUT RETIRA: 17736384-7</t>
  </si>
  <si>
    <t>Jorge Lopez</t>
  </si>
  <si>
    <t>O Higgins 910</t>
  </si>
  <si>
    <t>Chile Chico</t>
  </si>
  <si>
    <t>FRANCISCO PINCHEIRA COSTANSO</t>
  </si>
  <si>
    <t>2026-01-13 12:00</t>
  </si>
  <si>
    <t>2026-01-14 20:00</t>
  </si>
  <si>
    <t>2026-01-22 11:20</t>
  </si>
  <si>
    <t>2026-01-16 11:11</t>
  </si>
  <si>
    <t>2026-01-05 14:30</t>
  </si>
  <si>
    <t>NOMBRE RETIRA: JUAN LARA . RUT RETIRA: 53309592-5</t>
  </si>
  <si>
    <t>2025-12-23 11:00</t>
  </si>
  <si>
    <t>2025-12-22 20:30</t>
  </si>
  <si>
    <t>Monica Arevalo</t>
  </si>
  <si>
    <t>Lorena Donoso</t>
  </si>
  <si>
    <t>Ingrid Bussenius</t>
  </si>
  <si>
    <t>Cerro esperanza 8288</t>
  </si>
  <si>
    <t>2025-12-23 18:07</t>
  </si>
  <si>
    <t>Isla de Pascua</t>
  </si>
  <si>
    <t>2026-01-20 12:44</t>
  </si>
  <si>
    <t>2026-01-19 13:50</t>
  </si>
  <si>
    <t>2026-01-11 20:20</t>
  </si>
  <si>
    <t>2026-01-07 11:02</t>
  </si>
  <si>
    <t>Paula Lagos</t>
  </si>
  <si>
    <t>PENDIENTE DESPACHO</t>
  </si>
  <si>
    <t>Carolina Vargas</t>
  </si>
  <si>
    <t>2026-01-23 20:05</t>
  </si>
  <si>
    <t>2025-12-28 20:14</t>
  </si>
  <si>
    <t>Nicolas Escobar</t>
  </si>
  <si>
    <t>2026-01-23 09:34</t>
  </si>
  <si>
    <t>Pablo Ruz</t>
  </si>
  <si>
    <t>Luis Garay</t>
  </si>
  <si>
    <t>2026-01-19 13:21</t>
  </si>
  <si>
    <t>2026-01-12 12:10</t>
  </si>
  <si>
    <t>Maria Ramirez</t>
  </si>
  <si>
    <t>2026-01-21 12:03</t>
  </si>
  <si>
    <t>2026-01-19 12:11</t>
  </si>
  <si>
    <t>Veronica Sanchez</t>
  </si>
  <si>
    <t>Carolina Silva</t>
  </si>
  <si>
    <t>Raul Vega</t>
  </si>
  <si>
    <t>Sujey Hormazabal Mendez</t>
  </si>
  <si>
    <t>2026-01-14 11:13</t>
  </si>
  <si>
    <t>Camila Concha</t>
  </si>
  <si>
    <t>Rob van Holstein</t>
  </si>
  <si>
    <t>Claudia Sandoval</t>
  </si>
  <si>
    <t>Carlos Leiva</t>
  </si>
  <si>
    <t>2026-01-16 12:08</t>
  </si>
  <si>
    <t>2026-01-08 11:09</t>
  </si>
  <si>
    <t>2026-01-01 22:31</t>
  </si>
  <si>
    <t>2025-12-31 15:12</t>
  </si>
  <si>
    <t>2026-01-08 11:07</t>
  </si>
  <si>
    <t>2026-01-12 20:11</t>
  </si>
  <si>
    <t>Luis Araya</t>
  </si>
  <si>
    <t>2026-01-16 23:32</t>
  </si>
  <si>
    <t>2026-01-23 11:02</t>
  </si>
  <si>
    <t>2026-01-27 20:01</t>
  </si>
  <si>
    <t>2026-01-20 11:13</t>
  </si>
  <si>
    <t>NOMBRE RETIRA: CLAUDIO FIGUEROA CONSERJERIA RUT RETIRA: 10145114-3</t>
  </si>
  <si>
    <t>Juan Riquelme</t>
  </si>
  <si>
    <t>Priscilla Cisternas</t>
  </si>
  <si>
    <t>2026-01-20 11:11</t>
  </si>
  <si>
    <t>2026-01-06 11:05</t>
  </si>
  <si>
    <t>2026-01-14 09:41</t>
  </si>
  <si>
    <t>NOMBRE RETIRA: KEVIN MEJIAS 0 RUT RETIRA: 20944134-9</t>
  </si>
  <si>
    <t>2026-01-06 12:06</t>
  </si>
  <si>
    <t>2026-01-23 09:30</t>
  </si>
  <si>
    <t>NOMBRE RETIRA: MARLON CASTRO . RUT RETIRA: 27037619-3</t>
  </si>
  <si>
    <t>NOMBRE RETIRA: ROBINSON ROMAN . RUT RETIRA: 8783667-3</t>
  </si>
  <si>
    <t>Constanza Sandoval Araneda</t>
  </si>
  <si>
    <t>Daniela Mura</t>
  </si>
  <si>
    <t>San Rafael 1059</t>
  </si>
  <si>
    <t>La Florida 1667</t>
  </si>
  <si>
    <t>Tucapel 530</t>
  </si>
  <si>
    <t>NOMBRE RETIRA: BENJAMIN CASTRO CONSERJE RUT RETIRA: 17625970-1</t>
  </si>
  <si>
    <t>Karla Escobar</t>
  </si>
  <si>
    <t>2025-12-20 11:18</t>
  </si>
  <si>
    <t>Valentina Aguilera</t>
  </si>
  <si>
    <t>Marcela Vargas</t>
  </si>
  <si>
    <t>2025-12-24 11:10</t>
  </si>
  <si>
    <t>2026-01-09 11:09</t>
  </si>
  <si>
    <t>2026-01-02 11:12</t>
  </si>
  <si>
    <t>2026-01-31 09:39</t>
  </si>
  <si>
    <t>NOMBRE RETIRA: BETZABE ALARCON . RUT RETIRA: 65170374-3</t>
  </si>
  <si>
    <t>NOMBRE RETIRA: EDUARDO DICKINSON . RUT RETIRA: 10748024-2</t>
  </si>
  <si>
    <t>Alejandro Fuentes</t>
  </si>
  <si>
    <t>Paulina Silva</t>
  </si>
  <si>
    <t>2026-01-26 20:18</t>
  </si>
  <si>
    <t>2026-01-18 20:21</t>
  </si>
  <si>
    <t>2026-01-11 20:18</t>
  </si>
  <si>
    <t>2026-01-02 20:22</t>
  </si>
  <si>
    <t>2025-12-26 14:51</t>
  </si>
  <si>
    <t>2026-01-14 12:10</t>
  </si>
  <si>
    <t>Diego Berrios</t>
  </si>
  <si>
    <t>2026-01-05 11:07</t>
  </si>
  <si>
    <t>cristian bozzo</t>
  </si>
  <si>
    <t>Valeria Iturra</t>
  </si>
  <si>
    <t>Gabriela Bustos</t>
  </si>
  <si>
    <t>Mauricio Rojas</t>
  </si>
  <si>
    <t>Maria Rivera</t>
  </si>
  <si>
    <t>Manuel Muñoz</t>
  </si>
  <si>
    <t>Francisco Rodriguez</t>
  </si>
  <si>
    <t>Felipe Soto</t>
  </si>
  <si>
    <t>Carolina Venegas</t>
  </si>
  <si>
    <t>Sebastian Reyes</t>
  </si>
  <si>
    <t>Renato Perez</t>
  </si>
  <si>
    <t>Carola Rivas</t>
  </si>
  <si>
    <t>Jeannette Pasten Nuñez</t>
  </si>
  <si>
    <t>Luis Perez</t>
  </si>
  <si>
    <t>Adriana Gamboa Muñoz</t>
  </si>
  <si>
    <t>Daniela Fernandez</t>
  </si>
  <si>
    <t>Constanza Reyes</t>
  </si>
  <si>
    <t>Francisco Gonzalez</t>
  </si>
  <si>
    <t>Rodrigo Castillo</t>
  </si>
  <si>
    <t>Diego Valenzuela</t>
  </si>
  <si>
    <t>Andrea Romero</t>
  </si>
  <si>
    <t>2025-12-22 11:02</t>
  </si>
  <si>
    <t>Manuel Cortes</t>
  </si>
  <si>
    <t>Claudia Ortega</t>
  </si>
  <si>
    <t>NOMBRE RETIRA: DANITZA JARA . RUT RETIRA: 20256220-5</t>
  </si>
  <si>
    <t>2026-01-13 20:16</t>
  </si>
  <si>
    <t>2026-01-22 11:15</t>
  </si>
  <si>
    <t>2026-01-13 11:04</t>
  </si>
  <si>
    <t>NOMBRE RETIRA: CONSERJERIA . . RUT RETIRA: 16754596-3</t>
  </si>
  <si>
    <t>2026-01-08 20:09</t>
  </si>
  <si>
    <t>Paula Álvarez</t>
  </si>
  <si>
    <t>Carla Abraham</t>
  </si>
  <si>
    <t>2026-01-06 20:32</t>
  </si>
  <si>
    <t>2026-01-21 20:15</t>
  </si>
  <si>
    <t>2026-01-27 10:33</t>
  </si>
  <si>
    <t>2026-01-19 14:46</t>
  </si>
  <si>
    <t>2026-01-05 14:16</t>
  </si>
  <si>
    <t>2026-01-20 15:42</t>
  </si>
  <si>
    <t>2026-01-20 20:18</t>
  </si>
  <si>
    <t>2026-01-08 20:12</t>
  </si>
  <si>
    <t>2026-01-09 20:09</t>
  </si>
  <si>
    <t>Josefa Muñoz</t>
  </si>
  <si>
    <t>2026-01-24 20:05</t>
  </si>
  <si>
    <t>2026-01-02 20:20</t>
  </si>
  <si>
    <t>2026-01-16 20:08</t>
  </si>
  <si>
    <t>Pablo Carvajal</t>
  </si>
  <si>
    <t>Leopoldo quinteros 03650, Casa 42</t>
  </si>
  <si>
    <t>Angelo Lagos Rojas</t>
  </si>
  <si>
    <t>2026-01-09 12:05</t>
  </si>
  <si>
    <t>2026-01-16 14:20</t>
  </si>
  <si>
    <t>MARCELO FERNANDEZ</t>
  </si>
  <si>
    <t>2026-01-06 11:09</t>
  </si>
  <si>
    <t>2025-12-22 14:04</t>
  </si>
  <si>
    <t>2026-01-20 20:15</t>
  </si>
  <si>
    <t>Juan Aguillon</t>
  </si>
  <si>
    <t>Alvaro Salom cifuentes</t>
  </si>
  <si>
    <t>Berlin 2350</t>
  </si>
  <si>
    <t>NOMBRE RETIRA: RODRIGO , , RUT RETIRA: 53310370-7</t>
  </si>
  <si>
    <t>2025-12-19 11:16</t>
  </si>
  <si>
    <t>ROBERTO GARCIA</t>
  </si>
  <si>
    <t>2025-12-26 20:05</t>
  </si>
  <si>
    <t>2026-01-08 13:49</t>
  </si>
  <si>
    <t>BIT11038082</t>
  </si>
  <si>
    <t>262368305</t>
  </si>
  <si>
    <t>BACK IN TIME</t>
  </si>
  <si>
    <t>Stocka</t>
  </si>
  <si>
    <t>Patricia Cortés Aguero</t>
  </si>
  <si>
    <t>Av. Campos de Deportes 405</t>
  </si>
  <si>
    <t>Arturo prat 2141, El mercadito</t>
  </si>
  <si>
    <t>2025-12-18 11:39</t>
  </si>
  <si>
    <t>BIT11040646</t>
  </si>
  <si>
    <t>262814028</t>
  </si>
  <si>
    <t>NOMBRE RETIRA: NELSON SAMUEL _ RUT RETIRA: 12345678-5</t>
  </si>
  <si>
    <t>Nelson Samuel</t>
  </si>
  <si>
    <t>Polaris 717, Serena Golf</t>
  </si>
  <si>
    <t>BIT11040630</t>
  </si>
  <si>
    <t>262814061</t>
  </si>
  <si>
    <t>NOMBRE RETIRA: HUGO VOLCHEZ . RUT RETIRA: 18306200-K</t>
  </si>
  <si>
    <t>Hugo Vilchez</t>
  </si>
  <si>
    <t>Avenida Universidad 630, Casa 85, Casa 85, Casa 85, Casa 85, Casa 85, Casa 85, Casa 85</t>
  </si>
  <si>
    <t>BIT11040635</t>
  </si>
  <si>
    <t>262814059</t>
  </si>
  <si>
    <t>NOMBRE RETIRA: PRISCILLA CISTETNAS R RUT RETIRA: 13646683-6</t>
  </si>
  <si>
    <t>Leonidas Perez, 4111</t>
  </si>
  <si>
    <t>BIT11040133</t>
  </si>
  <si>
    <t>262103276</t>
  </si>
  <si>
    <t>NOMBRE RETIRA: VICTOR GALLARDO E RUT RETIRA: 10190680-9</t>
  </si>
  <si>
    <t>Altos del Bosque 01969</t>
  </si>
  <si>
    <t>2026-01-12 20:17</t>
  </si>
  <si>
    <t>BIT11040617</t>
  </si>
  <si>
    <t>262814089</t>
  </si>
  <si>
    <t>NOMBRE RETIRA: ELEODORO CASTILLO . RUT RETIRA: 6848541-K</t>
  </si>
  <si>
    <t>Lago caburga 01765, Casa de esquina</t>
  </si>
  <si>
    <t>2026-01-22 20:23</t>
  </si>
  <si>
    <t>BIT11040638</t>
  </si>
  <si>
    <t>262814052</t>
  </si>
  <si>
    <t>NOMBRE RETIRA: OSCAR VERGARA .CONSERJE RUT RETIRA: 7965847-2</t>
  </si>
  <si>
    <t>Francisco Alfaro navarro</t>
  </si>
  <si>
    <t>Ulriksen 1700, Depto H-11</t>
  </si>
  <si>
    <t>BIT11040620</t>
  </si>
  <si>
    <t>262814085</t>
  </si>
  <si>
    <t>NOMBRE RETIRA: YANETH HERNANDEZ J RUT RETIRA: 20066879-0</t>
  </si>
  <si>
    <t>Yaneth Hernandez Paredes</t>
  </si>
  <si>
    <t>Volcan Choshuenco 5111, Casa 122</t>
  </si>
  <si>
    <t>BIT11040570</t>
  </si>
  <si>
    <t>262740331</t>
  </si>
  <si>
    <t>NOMBRE RETIRA: ANGELA GALVIS . RUT RETIRA: 29067620-7</t>
  </si>
  <si>
    <t>Josemiguel Collante Avalos</t>
  </si>
  <si>
    <t>Edmundo PÉrez Zujovic 10880, B 603, 603- B</t>
  </si>
  <si>
    <t>BIT11040623</t>
  </si>
  <si>
    <t>262814065</t>
  </si>
  <si>
    <t>NOMBRE RETIRA: MIJAIL SAAVEDRA . RUT RETIRA: 17159827-3</t>
  </si>
  <si>
    <t>Mijail Saavedra</t>
  </si>
  <si>
    <t>Calle las heras 1634 forestal bajo</t>
  </si>
  <si>
    <t>BIT11040648</t>
  </si>
  <si>
    <t>262814003</t>
  </si>
  <si>
    <t>NOMBRE RETIRA: KARIS ROGEL . RUT RETIRA: 8201778-K</t>
  </si>
  <si>
    <t>Paulina Altamirano</t>
  </si>
  <si>
    <t>Velero helene 78, Casa</t>
  </si>
  <si>
    <t>BIT11040544</t>
  </si>
  <si>
    <t>262668946</t>
  </si>
  <si>
    <t>NOMBRE RETIRA: KARINA SANDOVAL . RUT RETIRA: 16665873-K</t>
  </si>
  <si>
    <t>Evelyn Santibañez Peralta</t>
  </si>
  <si>
    <t>Manuel Verbal 1545, 1204 torre A</t>
  </si>
  <si>
    <t>BIT11040552</t>
  </si>
  <si>
    <t>262668940</t>
  </si>
  <si>
    <t>NOMBRE RETIRA: ANGEL FERNANDEZ . RUT RETIRA: 18898606-4</t>
  </si>
  <si>
    <t>CRISTIAN Zamorano Valdés</t>
  </si>
  <si>
    <t>Calle Salvador Alllende Gossens 2250, Depto 167 Edificio Rotterdam, Depto 167, Edificio Rotterdam</t>
  </si>
  <si>
    <t>BIT11040579</t>
  </si>
  <si>
    <t>262740255</t>
  </si>
  <si>
    <t>NOMBRE RETIRA: MANUEL MOYA . RUT RETIRA: 6054102-7</t>
  </si>
  <si>
    <t>Andrés Moya</t>
  </si>
  <si>
    <t>Av. Playa Brava 3225, Casa</t>
  </si>
  <si>
    <t>BIT11040408</t>
  </si>
  <si>
    <t>262512123</t>
  </si>
  <si>
    <t>NOMBRE RETIRA: PATRICIA CONAHAUA . RUT RETIRA: 11415087-8</t>
  </si>
  <si>
    <t>Eugenio Pavez</t>
  </si>
  <si>
    <t>Avenida Libertador Bernardo OHiggins, Depto 805 / Torre 1</t>
  </si>
  <si>
    <t>BIT11040605</t>
  </si>
  <si>
    <t>262740212</t>
  </si>
  <si>
    <t>NOMBRE RETIRA: DANIELA HIDALGO . RUT RETIRA: 12553308-6</t>
  </si>
  <si>
    <t>Daniella Hidalgo Puchi</t>
  </si>
  <si>
    <t>Manuel Balmaceda 2264, Casa</t>
  </si>
  <si>
    <t>BIT11040634</t>
  </si>
  <si>
    <t>262814047</t>
  </si>
  <si>
    <t>NOMBRE RETIRA: SONIA MATUS . RUT RETIRA: 53321047-3</t>
  </si>
  <si>
    <t>ENRIQUEZ FRITZ</t>
  </si>
  <si>
    <t>AVDA SAN ANDRES, 51</t>
  </si>
  <si>
    <t>BIT11040581</t>
  </si>
  <si>
    <t>262740271</t>
  </si>
  <si>
    <t>NOMBRE RETIRA: ALEJANDRO QUINONES B RUT RETIRA: 8324237-K</t>
  </si>
  <si>
    <t>Susana Quiñones Mancilla</t>
  </si>
  <si>
    <t>Calle Victorino Lastarria pasaje 6 casa 576</t>
  </si>
  <si>
    <t>BIT11040553</t>
  </si>
  <si>
    <t>262668934</t>
  </si>
  <si>
    <t>NOMBRE RETIRA: EUGENIO LIZAMA _ RUT RETIRA: 12345678-5</t>
  </si>
  <si>
    <t>Eugenio Lizama</t>
  </si>
  <si>
    <t>Avenida los pescadores 5425 condominio jardín del mar, 2219</t>
  </si>
  <si>
    <t>BIT11040596</t>
  </si>
  <si>
    <t>262740236</t>
  </si>
  <si>
    <t>NOMBRE RETIRA: JORGE VALLEJOS . RUT RETIRA: 11945540-5</t>
  </si>
  <si>
    <t>Daniela Alejandra San Martín Fernández</t>
  </si>
  <si>
    <t>Pasaje Santiago de Compostela 1825, Mirador de la Bahía</t>
  </si>
  <si>
    <t>BIT11040531</t>
  </si>
  <si>
    <t>262668969</t>
  </si>
  <si>
    <t>Michelle Sills</t>
  </si>
  <si>
    <t>Bombero fuentes 27, depto 1504</t>
  </si>
  <si>
    <t>BIT11040566</t>
  </si>
  <si>
    <t>262740268</t>
  </si>
  <si>
    <t>NOMBRE RETIRA: EVA FERRER . RUT RETIRA: 27742895-4</t>
  </si>
  <si>
    <t>Alejandro Alejandro Jara</t>
  </si>
  <si>
    <t>Avenida Chacabuco 111, 804</t>
  </si>
  <si>
    <t>BIT11040361</t>
  </si>
  <si>
    <t>262512352</t>
  </si>
  <si>
    <t>NOMBRE RETIRA: RAMON RODRIGUEZ . RUT RETIRA: 17597377-K</t>
  </si>
  <si>
    <t>Ramon Rodriguez</t>
  </si>
  <si>
    <t>Ruta Panamericana sur km 141</t>
  </si>
  <si>
    <t>BIT11039952</t>
  </si>
  <si>
    <t>261854517</t>
  </si>
  <si>
    <t>NOMBRE RETIRA: YENNY MONTECINO . RUT RETIRA: 15759185-1</t>
  </si>
  <si>
    <t>Yenny Montecinos</t>
  </si>
  <si>
    <t>Ruta 9 sur 6486, Leñadura, Lote B</t>
  </si>
  <si>
    <t>BIT11040466</t>
  </si>
  <si>
    <t>262591087</t>
  </si>
  <si>
    <t>NOMBRE RETIRA: XIMENA GODOY . RUT RETIRA: 7800007-4</t>
  </si>
  <si>
    <t>Av Argentina 1665, Depto 1102 B</t>
  </si>
  <si>
    <t>2026-01-19 20:19</t>
  </si>
  <si>
    <t>BIT11040013</t>
  </si>
  <si>
    <t>261917889</t>
  </si>
  <si>
    <t>NOMBRE RETIRA: NATALIA AREYULA . RUT RETIRA: 11111111-1</t>
  </si>
  <si>
    <t>Fernando Gajardo</t>
  </si>
  <si>
    <t>Sicomoro 01157</t>
  </si>
  <si>
    <t>2026-01-10 11:02</t>
  </si>
  <si>
    <t>BIT11040504</t>
  </si>
  <si>
    <t>262669057</t>
  </si>
  <si>
    <t>NOMBRE RETIRA: JESSICA RIVAS . RUT RETIRA: 15169930-8</t>
  </si>
  <si>
    <t>KAREN BELLO VASQUEZ</t>
  </si>
  <si>
    <t>SOTOMAYOR 1265 TOME, NOTARIA TOME</t>
  </si>
  <si>
    <t>BIT11040536</t>
  </si>
  <si>
    <t>262668961</t>
  </si>
  <si>
    <t>NOMBRE RETIRA: JESUS GONZALES 0 RUT RETIRA: 14562072-4</t>
  </si>
  <si>
    <t>Ricardo Krakowiak tichauer</t>
  </si>
  <si>
    <t>Castellón 316, Oficina 701</t>
  </si>
  <si>
    <t>BIT11040589</t>
  </si>
  <si>
    <t>262740228</t>
  </si>
  <si>
    <t>NOMBRE RETIRA: ENRIQUE PASTEN . RUT RETIRA: 16539423-2</t>
  </si>
  <si>
    <t>Angelo Pasten</t>
  </si>
  <si>
    <t>Av. Los laureles poste 31, Casa</t>
  </si>
  <si>
    <t>BIT11040606</t>
  </si>
  <si>
    <t>262740217</t>
  </si>
  <si>
    <t>NOMBRE RETIRA: FREDY QUINTERO . RUT RETIRA: 65090232-7</t>
  </si>
  <si>
    <t>Calle Limache 1150, depto 2110, depto 2110</t>
  </si>
  <si>
    <t>BIT11040533</t>
  </si>
  <si>
    <t>262668988</t>
  </si>
  <si>
    <t>NOMBRE RETIRA: FABIAN GARCIA . RUT RETIRA: 16490142-4</t>
  </si>
  <si>
    <t>Fabián García González</t>
  </si>
  <si>
    <t>Los Lirios 4985 Los Cóndores, Casa. Código postal: 4280625</t>
  </si>
  <si>
    <t>BIT11040530</t>
  </si>
  <si>
    <t>262669010</t>
  </si>
  <si>
    <t>NOMBRE RETIRA: FABIAN BELMAR . RUT RETIRA: 18805117-0</t>
  </si>
  <si>
    <t>Fabian Belmar riffo</t>
  </si>
  <si>
    <t>Costanera Quilque norte 820, Torre Alerce 601</t>
  </si>
  <si>
    <t>BIT11040573</t>
  </si>
  <si>
    <t>262740290</t>
  </si>
  <si>
    <t>NOMBRE RETIRA: BRENDA OLIVATES . RUT RETIRA: 11784795-0</t>
  </si>
  <si>
    <t>A.Riquelme 9, 9</t>
  </si>
  <si>
    <t>BIT11040565</t>
  </si>
  <si>
    <t>262740311</t>
  </si>
  <si>
    <t>NOMBRE RETIRA: ANGELICA CANTILLANA CANTILLANA RUT RETIRA: 10304386-7</t>
  </si>
  <si>
    <t>Edith Agurto Agurto</t>
  </si>
  <si>
    <t>La Galeria 630 Jardin Oriente Rancagua, Galería 630</t>
  </si>
  <si>
    <t>BIT11040510</t>
  </si>
  <si>
    <t>262669046</t>
  </si>
  <si>
    <t>NOMBRE RETIRA: ANTONIO AGUILAR . RUT RETIRA: 15697600-8</t>
  </si>
  <si>
    <t>ANTONIO aguilar farias</t>
  </si>
  <si>
    <t>CHILLAN 340 san fernando, Oficina</t>
  </si>
  <si>
    <t>BIT11040507</t>
  </si>
  <si>
    <t>262669053</t>
  </si>
  <si>
    <t>NOMBRE RETIRA: VIOLETA ROMERO . . RUT RETIRA: 12346228-9</t>
  </si>
  <si>
    <t>Jorge Francisco Romero Oyarzún</t>
  </si>
  <si>
    <t>Balmaceda # 160, Casa</t>
  </si>
  <si>
    <t>BIT11040529</t>
  </si>
  <si>
    <t>262669005</t>
  </si>
  <si>
    <t>NOMBRE RETIRA: AMARANDA SILVA . RUT RETIRA: 12675223-7</t>
  </si>
  <si>
    <t>Amaranda Silva Torres</t>
  </si>
  <si>
    <t>20 de agosto 891</t>
  </si>
  <si>
    <t>BIT11040496</t>
  </si>
  <si>
    <t>262591021</t>
  </si>
  <si>
    <t>NOMBRE RETIRA: GUSTAVO CASTRO . RUT RETIRA: 15512828-3</t>
  </si>
  <si>
    <t>Paola Castro Valdebenito</t>
  </si>
  <si>
    <t>Alborada 32 Angol, Casa</t>
  </si>
  <si>
    <t>2026-01-20 11:09</t>
  </si>
  <si>
    <t>BIT11040597</t>
  </si>
  <si>
    <t>262740210</t>
  </si>
  <si>
    <t>NOMBRE RETIRA: ESTELA CORTEZ . RUT RETIRA: 10089691-5</t>
  </si>
  <si>
    <t>Estela Cortez celedon</t>
  </si>
  <si>
    <t>San Rafael calle sur L 01</t>
  </si>
  <si>
    <t>BIT11040576</t>
  </si>
  <si>
    <t>262740284</t>
  </si>
  <si>
    <t>NOMBRE RETIRA: CAROLINA VILLA . RUT RETIRA: 17756560-1</t>
  </si>
  <si>
    <t>Oscar Torres</t>
  </si>
  <si>
    <t>Los aromos 1565 pobl. San Francisco  quillon</t>
  </si>
  <si>
    <t>BIT11040569</t>
  </si>
  <si>
    <t>262740297</t>
  </si>
  <si>
    <t>NOMBRE RETIRA: CARLOS FALVEZ GALVEZ RUT RETIRA: 15994005-5</t>
  </si>
  <si>
    <t>Carlos Gálvez</t>
  </si>
  <si>
    <t>Pje Volcan Palomo 39, 39</t>
  </si>
  <si>
    <t>BIT11040328</t>
  </si>
  <si>
    <t>262406284</t>
  </si>
  <si>
    <t>NOMBRE RETIRA: ENRRIQUE MUNOZ . RUT RETIRA: 16590882-1</t>
  </si>
  <si>
    <t>Herman Orellana</t>
  </si>
  <si>
    <t>Los olivos 294, villa rauquen - curico</t>
  </si>
  <si>
    <t>BIT11040423</t>
  </si>
  <si>
    <t>262512095</t>
  </si>
  <si>
    <t>NOMBRE RETIRA: DIEGO LUCERO L RUT RETIRA: 12470723-4</t>
  </si>
  <si>
    <t>Diego Lucero Fuentes</t>
  </si>
  <si>
    <t>Juan egenau 621, Minimarket</t>
  </si>
  <si>
    <t>BIT11040376</t>
  </si>
  <si>
    <t>262512271</t>
  </si>
  <si>
    <t>NOMBRE RETIRA: MARLENE BERRIOS . RUT RETIRA: 21499654-5</t>
  </si>
  <si>
    <t>Cesar Villanueva</t>
  </si>
  <si>
    <t>Eleuterio ramirez 1429, Depto. 902</t>
  </si>
  <si>
    <t>BIT11040501</t>
  </si>
  <si>
    <t>262591013</t>
  </si>
  <si>
    <t>NOMBRE RETIRA: UZIEL . . RUT RETIRA: 53310370-7</t>
  </si>
  <si>
    <t>Matilde Lassalle</t>
  </si>
  <si>
    <t>Los Pablos 2144, depto 602</t>
  </si>
  <si>
    <t>BIT11040457</t>
  </si>
  <si>
    <t>262591138</t>
  </si>
  <si>
    <t>NOMBRE RETIRA: KEYVER RODRIGUEZ . RUT RETIRA: 29025094-3</t>
  </si>
  <si>
    <t>Daniel Cortes</t>
  </si>
  <si>
    <t>Lawrence 372, 1406</t>
  </si>
  <si>
    <t>BIT11040477</t>
  </si>
  <si>
    <t>262591058</t>
  </si>
  <si>
    <t>NOMBRE RETIRA: ALVARO VALENCIA . RUT RETIRA: 16972350-8</t>
  </si>
  <si>
    <t>AVDA EL GOLF SECTOR E CONDOMINIO MARINA MARBELLA, DPTO 252 EDIFICIO CAPRI</t>
  </si>
  <si>
    <t>2026-01-19 20:20</t>
  </si>
  <si>
    <t>BIT11040492</t>
  </si>
  <si>
    <t>262591030</t>
  </si>
  <si>
    <t>NOMBRE RETIRA: RAQUEL FARIA 0 RUT RETIRA: 15907557-5</t>
  </si>
  <si>
    <t>Raquel Fariaa gonzalez</t>
  </si>
  <si>
    <t>24 norte 4165, Casa</t>
  </si>
  <si>
    <t>BIT11040355</t>
  </si>
  <si>
    <t>262512365</t>
  </si>
  <si>
    <t>NOMBRE RETIRA: JULIO YEPES . RUT RETIRA: 28048181-5</t>
  </si>
  <si>
    <t>Marcelo López</t>
  </si>
  <si>
    <t>Av. Maximiliano Poblete 14601, Casa 18</t>
  </si>
  <si>
    <t>2026-01-17 11:05</t>
  </si>
  <si>
    <t>BIT11040402</t>
  </si>
  <si>
    <t>262512146</t>
  </si>
  <si>
    <t>NOMBRE RETIRA: IVAN YEPES . RUT RETIRA: 27750142-2</t>
  </si>
  <si>
    <t>Carlos Ulloa Molina</t>
  </si>
  <si>
    <t>Avenida proyectada 2620, Depto 1703</t>
  </si>
  <si>
    <t>BIT11040363</t>
  </si>
  <si>
    <t>262512331</t>
  </si>
  <si>
    <t>NOMBRE RETIRA: ROBERTO DIAZ H RUT RETIRA: 28602059-3</t>
  </si>
  <si>
    <t>Roberto Diaz juica</t>
  </si>
  <si>
    <t>Paraguay 630. Antofagasta, Casa</t>
  </si>
  <si>
    <t>BIT11040487</t>
  </si>
  <si>
    <t>262591044</t>
  </si>
  <si>
    <t>NOMBRE RETIRA: CONSTANZA MENDOZA . RUT RETIRA: 21048785-9</t>
  </si>
  <si>
    <t>jorge Chavarria</t>
  </si>
  <si>
    <t>hermanos van rysselberghe 89</t>
  </si>
  <si>
    <t>BIT11040497</t>
  </si>
  <si>
    <t>262591000</t>
  </si>
  <si>
    <t>NOMBRE RETIRA: RENATO GAETE . RUT RETIRA: 22034107-0</t>
  </si>
  <si>
    <t>Gonzalo Gaete</t>
  </si>
  <si>
    <t>Batuco 250, 304</t>
  </si>
  <si>
    <t>BIT11040448</t>
  </si>
  <si>
    <t>262591144</t>
  </si>
  <si>
    <t>NOMBRE RETIRA: CARLOS VARGAS . RUT RETIRA: 12345678-5</t>
  </si>
  <si>
    <t>General Cruz 222, Valparaíso</t>
  </si>
  <si>
    <t>BIT11040447</t>
  </si>
  <si>
    <t>262591124</t>
  </si>
  <si>
    <t>NOMBRE RETIRA: ANA CAMPOS N RUT RETIRA: 15988892-4</t>
  </si>
  <si>
    <t>Claudio Antipa</t>
  </si>
  <si>
    <t>Avenida Pedro De Valdivia 0400, 1007B</t>
  </si>
  <si>
    <t>BIT11036993</t>
  </si>
  <si>
    <t>9413533253</t>
  </si>
  <si>
    <t>Gabriela Benavides</t>
  </si>
  <si>
    <t>Calle dieciocho 857, Angol</t>
  </si>
  <si>
    <t>2025-12-08 17:17</t>
  </si>
  <si>
    <t>BIT11040381</t>
  </si>
  <si>
    <t>262512242</t>
  </si>
  <si>
    <t>NOMBRE RETIRA: MARCO QUINTANA V V RUT RETIRA: 11111111-1</t>
  </si>
  <si>
    <t>Nicanor plaza 1070, Depto 087 edificio vista Urbana sector Sur, Departamento</t>
  </si>
  <si>
    <t>BIT11040456</t>
  </si>
  <si>
    <t>262591116</t>
  </si>
  <si>
    <t>NOMBRE RETIRA: CARMEN VALDIVIESO . RUT RETIRA: 5073379-3</t>
  </si>
  <si>
    <t>Carmen Valdivieso Gandarillas</t>
  </si>
  <si>
    <t>Lo Gamboa 302 ex 42  Limache Region Valparaiso, casa</t>
  </si>
  <si>
    <t>BIT11040458</t>
  </si>
  <si>
    <t>262591103</t>
  </si>
  <si>
    <t>BIT11040499</t>
  </si>
  <si>
    <t>262590945</t>
  </si>
  <si>
    <t>Javiera Nuñez Narvarte</t>
  </si>
  <si>
    <t>Camino del Sur 416 Barrio Idahue, 416, Barrio Idahue</t>
  </si>
  <si>
    <t>BIT11040436</t>
  </si>
  <si>
    <t>262512003</t>
  </si>
  <si>
    <t>NOMBRE RETIRA: CATALINA CONCA . RUT RETIRA: 20953563-7</t>
  </si>
  <si>
    <t>GUILLERMO ANDRES RETAMAL Flies</t>
  </si>
  <si>
    <t>Avenida Granaderos 2490</t>
  </si>
  <si>
    <t>2026-01-19 11:05</t>
  </si>
  <si>
    <t>BIT11040395</t>
  </si>
  <si>
    <t>262512203</t>
  </si>
  <si>
    <t>NOMBRE RETIRA: FERNANDO REVUELTA R RUT RETIRA: 18546677-9</t>
  </si>
  <si>
    <t>Fernando Revuelta</t>
  </si>
  <si>
    <t>Los Carrera 3261, Clinica KINEAVAD</t>
  </si>
  <si>
    <t>BIT11040404</t>
  </si>
  <si>
    <t>262512153</t>
  </si>
  <si>
    <t>NOMBRE RETIRA: KATALINA MONTECINOS Y RUT RETIRA: 15988892-4</t>
  </si>
  <si>
    <t>Katalina Montecinos</t>
  </si>
  <si>
    <t>Montes Sabinos 507</t>
  </si>
  <si>
    <t>BIT11039907</t>
  </si>
  <si>
    <t>261854613</t>
  </si>
  <si>
    <t>NOMBRE RETIRA: FERNANDO GAJARDO . RUT RETIRA: 11111111-1</t>
  </si>
  <si>
    <t>Sicomoro 01157, Casa</t>
  </si>
  <si>
    <t>BIT11040387</t>
  </si>
  <si>
    <t>262512232</t>
  </si>
  <si>
    <t>NOMBRE RETIRA: ALVARO RUBILAR . RUT RETIRA: 15849792-1</t>
  </si>
  <si>
    <t>Alvaro Rubilar</t>
  </si>
  <si>
    <t>Llanten 2029</t>
  </si>
  <si>
    <t>BIT11040378</t>
  </si>
  <si>
    <t>262512245</t>
  </si>
  <si>
    <t>NOMBRE RETIRA: LUIS HERNANDEZ . RUT RETIRA: 12345678-5</t>
  </si>
  <si>
    <t>CAUPOLICÁN 1484, 402 B</t>
  </si>
  <si>
    <t>BIT11040405</t>
  </si>
  <si>
    <t>262512128</t>
  </si>
  <si>
    <t>Guillermo Lara</t>
  </si>
  <si>
    <t>Juan De Dios CarreÑo Orostica 660 660 660 660 660, 660, 660</t>
  </si>
  <si>
    <t>BIT11040426</t>
  </si>
  <si>
    <t>262512068</t>
  </si>
  <si>
    <t>NOMBRE RETIRA: INGRID BUSSENIUS . RUT RETIRA: 16046151-9</t>
  </si>
  <si>
    <t>BIT11040431</t>
  </si>
  <si>
    <t>262512031</t>
  </si>
  <si>
    <t>NOMBRE RETIRA: SARA NAVEAS . . RUT RETIRA: 5642200-5</t>
  </si>
  <si>
    <t>Alberto Colville</t>
  </si>
  <si>
    <t>Av. GABRIELA MISTRAL 1296, Casa C49</t>
  </si>
  <si>
    <t>BIT11040357</t>
  </si>
  <si>
    <t>262512349</t>
  </si>
  <si>
    <t>Carolina Mora</t>
  </si>
  <si>
    <t>Calle Nueva 1280, Depto 803B</t>
  </si>
  <si>
    <t>BIT11040396</t>
  </si>
  <si>
    <t>262512188</t>
  </si>
  <si>
    <t>NOMBRE RETIRA: PEDRO HEENANDEZ . RUT RETIRA: 9933251-4</t>
  </si>
  <si>
    <t>Carla Christie</t>
  </si>
  <si>
    <t>Yerbas Buenas 181, Centro extensión los canelos</t>
  </si>
  <si>
    <t>BIT11040374</t>
  </si>
  <si>
    <t>262512256</t>
  </si>
  <si>
    <t>NOMBRE RETIRA: JORGE OLIVAREA . RUT RETIRA: 53330390-0</t>
  </si>
  <si>
    <t>Hugo Vega Cortés</t>
  </si>
  <si>
    <t>Mercedes 461, Placeres., 909</t>
  </si>
  <si>
    <t>BIT11040364</t>
  </si>
  <si>
    <t>262512287</t>
  </si>
  <si>
    <t>NOMBRE RETIRA: EMANUEL PACHECO . RUT RETIRA: 18181010-6</t>
  </si>
  <si>
    <t>Emanuel Pacheco Burgos</t>
  </si>
  <si>
    <t>Avenida celulosa 285, Oficina</t>
  </si>
  <si>
    <t>BIT11040416</t>
  </si>
  <si>
    <t>262512077</t>
  </si>
  <si>
    <t>NOMBRE RETIRA: EDUARDO TERIAN . RUT RETIRA: 28040221-4</t>
  </si>
  <si>
    <t>Eduardo Terian</t>
  </si>
  <si>
    <t>Volcan Choshuenco 5064 casa 8. Condominio Lomas del Valle, Casa 8, condominio Lomas del Valle</t>
  </si>
  <si>
    <t>BIT11040389</t>
  </si>
  <si>
    <t>262512208</t>
  </si>
  <si>
    <t>NOMBRE RETIRA: ETIEN ARGANDOMA J RUT RETIRA: 19349713-6</t>
  </si>
  <si>
    <t>CRISTIAN YAÑEZ</t>
  </si>
  <si>
    <t>Avenida Costanera del Rio 1567 depto 110 A, Depto 110 torre A, Condominio Gabriela Mistral V</t>
  </si>
  <si>
    <t>BIT11040392</t>
  </si>
  <si>
    <t>262512217</t>
  </si>
  <si>
    <t>NOMBRE RETIRA: LUIS MUNOZ A RUT RETIRA: 53130190-0</t>
  </si>
  <si>
    <t>Eduardo Brito Avalos</t>
  </si>
  <si>
    <t>Salvador Vergara 450, Casa 18</t>
  </si>
  <si>
    <t>BIT11040373</t>
  </si>
  <si>
    <t>262512312</t>
  </si>
  <si>
    <t>NOMBRE RETIRA: VICTOR RODRIGUEZ Y RUT RETIRA: 7210184-7</t>
  </si>
  <si>
    <t>Gerardo Panes Mosso</t>
  </si>
  <si>
    <t>Orompello 87, Departamento 112</t>
  </si>
  <si>
    <t>BIT11040410</t>
  </si>
  <si>
    <t>262512088</t>
  </si>
  <si>
    <t>Olimpia Troncoso</t>
  </si>
  <si>
    <t>Arzobispo Valdivieso 81 Llolleo lleo, Casa (sector cancha de tenis hacia el mar)</t>
  </si>
  <si>
    <t>BIT11040397</t>
  </si>
  <si>
    <t>262512180</t>
  </si>
  <si>
    <t>NOMBRE RETIRA: PAOLO ARCAUSA, , RUT RETIRA: 8431667-9</t>
  </si>
  <si>
    <t>Angamos 1134</t>
  </si>
  <si>
    <t>BIT11040430</t>
  </si>
  <si>
    <t>262512057</t>
  </si>
  <si>
    <t>NOMBRE RETIRA: COM AMALFI . RUT RETIRA: 53309725-1</t>
  </si>
  <si>
    <t>Marcelo Luengo Rodríguez</t>
  </si>
  <si>
    <t>Avenida 2 Sur 1285, 1504</t>
  </si>
  <si>
    <t>BIT11040354</t>
  </si>
  <si>
    <t>262512341</t>
  </si>
  <si>
    <t>NOMBRE RETIRA: ALEJANDRO GARRIDO . RUT RETIRA: 9101811-K</t>
  </si>
  <si>
    <t>María Isabel González G</t>
  </si>
  <si>
    <t>Wilhem  1000-A, Depto 901</t>
  </si>
  <si>
    <t>BIT11040362</t>
  </si>
  <si>
    <t>262512325</t>
  </si>
  <si>
    <t>NOMBRE RETIRA: JORGE PAROT . RUT RETIRA: 20619803-6</t>
  </si>
  <si>
    <t>Jorge Parot</t>
  </si>
  <si>
    <t>Camino Nahueltoro, 18000</t>
  </si>
  <si>
    <t>BIT11040399</t>
  </si>
  <si>
    <t>262512165</t>
  </si>
  <si>
    <t>NOMBRE RETIRA: ANA CASANUEVA . RUT RETIRA: 11237415-9</t>
  </si>
  <si>
    <t>Esteban Bancalari</t>
  </si>
  <si>
    <t>Los Maquis 192, Casa Sector Schaub</t>
  </si>
  <si>
    <t>BIT11040339</t>
  </si>
  <si>
    <t>262406270</t>
  </si>
  <si>
    <t>NOMBRE RETIRA: ROBINSOM SOTO . RUT RETIRA: 8825678-6</t>
  </si>
  <si>
    <t>Eugenia Rodriguez</t>
  </si>
  <si>
    <t>Parque Husamontt Parcela, 20</t>
  </si>
  <si>
    <t>BIT11040256</t>
  </si>
  <si>
    <t>262266514</t>
  </si>
  <si>
    <t>NOMBRE RETIRA: ALEJANDRA FAJARSO P RUT RETIRA: 14370941-8</t>
  </si>
  <si>
    <t>María magdalena Letelier</t>
  </si>
  <si>
    <t>Carrera d409 kl 69, 1304</t>
  </si>
  <si>
    <t>BIT11040344</t>
  </si>
  <si>
    <t>262406187</t>
  </si>
  <si>
    <t>NOMBRE RETIRA: GABRIEL REYES . RUT RETIRA: 13530758-0</t>
  </si>
  <si>
    <t>Gabriel Gabriel Reyes</t>
  </si>
  <si>
    <t>Marbella 5185</t>
  </si>
  <si>
    <t>BIT11040336</t>
  </si>
  <si>
    <t>262406238</t>
  </si>
  <si>
    <t>NOMBRE RETIRA: MAURICIO CONSERJE . RUT RETIRA: 53309592-5</t>
  </si>
  <si>
    <t>Reynaldo Núñez Estrada</t>
  </si>
  <si>
    <t>4 Norte 277, 83</t>
  </si>
  <si>
    <t>BIT11040321</t>
  </si>
  <si>
    <t>262406290</t>
  </si>
  <si>
    <t>NOMBRE RETIRA: GABRIELA GODOY . RUT RETIRA: 19963343-0</t>
  </si>
  <si>
    <t>Gabriela Godoy Suazo</t>
  </si>
  <si>
    <t>Bellavjsta 124, 4to piso centro medico andes salud, traumatologia</t>
  </si>
  <si>
    <t>BIT11040320</t>
  </si>
  <si>
    <t>262406311</t>
  </si>
  <si>
    <t>NOMBRE RETIRA: FAVIAN VARGAS . RUT RETIRA: 65171995-K</t>
  </si>
  <si>
    <t>Ricardo Osses</t>
  </si>
  <si>
    <t>Volcán Corcovado 5800, Dpto A205, Departamento A205</t>
  </si>
  <si>
    <t>BIT11040340</t>
  </si>
  <si>
    <t>262406259</t>
  </si>
  <si>
    <t>Bastián Garcés</t>
  </si>
  <si>
    <t>Las Perlas Norte 125, depto 205</t>
  </si>
  <si>
    <t>BIT11040330</t>
  </si>
  <si>
    <t>262406247</t>
  </si>
  <si>
    <t>NOMBRE RETIRA: EDUARDO AMIGO . RUT RETIRA: 10210618-0</t>
  </si>
  <si>
    <t>EDUARDO AMIGO FERRARI</t>
  </si>
  <si>
    <t>Henry Cahill 3116, Fundo El Venado</t>
  </si>
  <si>
    <t>BIT11040343</t>
  </si>
  <si>
    <t>262406229</t>
  </si>
  <si>
    <t>NOMBRE RETIRA: SUSANA . . RUT RETIRA: 12345678-5</t>
  </si>
  <si>
    <t>Susana Huanquilef</t>
  </si>
  <si>
    <t>Subdelegado Martin Gregorio del Villar 710, Casa</t>
  </si>
  <si>
    <t>BIT11040324</t>
  </si>
  <si>
    <t>262406275</t>
  </si>
  <si>
    <t>NOMBRE RETIRA: XIMENA VILCHES . RUT RETIRA: 10242427-1</t>
  </si>
  <si>
    <t>carlos Bernales</t>
  </si>
  <si>
    <t>1 norte 441 entre 3 y 4 poniente talca, Casa</t>
  </si>
  <si>
    <t>BIT11039911</t>
  </si>
  <si>
    <t>261854602</t>
  </si>
  <si>
    <t>NOMBRE RETIRA: ROBINSON HORMAZABAL . RUT RETIRA: 16309149-6</t>
  </si>
  <si>
    <t>ROBINSON HORMAZABAL ARAVENA</t>
  </si>
  <si>
    <t>PONIENTE 3, SECTOR SOCOVESA, 1032</t>
  </si>
  <si>
    <t>BIT11040271</t>
  </si>
  <si>
    <t>262343077</t>
  </si>
  <si>
    <t>NOMBRE RETIRA: HORACIO LARRAIN LARRAIN RUT RETIRA: 17110111-5</t>
  </si>
  <si>
    <t>Horacio Larrain</t>
  </si>
  <si>
    <t>Camino el Trapiche 3152, Dep 806E</t>
  </si>
  <si>
    <t>2026-01-15 20:05</t>
  </si>
  <si>
    <t>BIT11040332</t>
  </si>
  <si>
    <t>262406277</t>
  </si>
  <si>
    <t>NOMBRE RETIRA: HECTOR ZAMBEANO ZAMBRANO RUT RETIRA: 8913151-0</t>
  </si>
  <si>
    <t>Hector Zambrano</t>
  </si>
  <si>
    <t>pasaje 8 oriente, casa 60 Polo A</t>
  </si>
  <si>
    <t>BIT11040441</t>
  </si>
  <si>
    <t>262512008</t>
  </si>
  <si>
    <t>NOMBRE RETIRA: PAOLA SANTANDER . RUT RETIRA: 10966755-2</t>
  </si>
  <si>
    <t>Molinos del Sol nr 89, Nr 89</t>
  </si>
  <si>
    <t>BIT11040290</t>
  </si>
  <si>
    <t>262342963</t>
  </si>
  <si>
    <t>NOMBRE RETIRA: RODRIGO OYANEDEL . RUT RETIRA: 11822082-K</t>
  </si>
  <si>
    <t>Henry Carcamo</t>
  </si>
  <si>
    <t>Casa, RÓmulo PeÑa 1438</t>
  </si>
  <si>
    <t>BIT11040312</t>
  </si>
  <si>
    <t>262342836</t>
  </si>
  <si>
    <t>NOMBRE RETIRA: ANTONIA LUZA . RUT RETIRA: 12001154-5</t>
  </si>
  <si>
    <t>Antonia Luza Gómez</t>
  </si>
  <si>
    <t>Los Lichiguayos 2667</t>
  </si>
  <si>
    <t>2026-01-16 11:06</t>
  </si>
  <si>
    <t>BIT11039520</t>
  </si>
  <si>
    <t>261381895</t>
  </si>
  <si>
    <t>NOMBRE RETIRA: JUAN J . RUT RETIRA: 18642909-5</t>
  </si>
  <si>
    <t>Juan Carlos Barraza Vera</t>
  </si>
  <si>
    <t>Granaderos 1619, Casa</t>
  </si>
  <si>
    <t>2026-01-02 20:13</t>
  </si>
  <si>
    <t>BIT11040244</t>
  </si>
  <si>
    <t>262266583</t>
  </si>
  <si>
    <t>NOMBRE RETIRA: ALDAIR MAMANI . RUT RETIRA: 21328543-2</t>
  </si>
  <si>
    <t>Aldair Mamani abasto</t>
  </si>
  <si>
    <t>Agustin marin 4274, Casa</t>
  </si>
  <si>
    <t>BIT11040299</t>
  </si>
  <si>
    <t>262342844</t>
  </si>
  <si>
    <t>NOMBRE RETIRA: RODRIGO PEREZ . RUT RETIRA: 6483317-0</t>
  </si>
  <si>
    <t>Rodrigo Pérez Morgado</t>
  </si>
  <si>
    <t>Cerro Bayo 1759, Casa</t>
  </si>
  <si>
    <t>BIT11040282</t>
  </si>
  <si>
    <t>262342922</t>
  </si>
  <si>
    <t>NOMBRE RETIRA: ALEJANDRO CRUZ . RUT RETIRA: 13417841-8</t>
  </si>
  <si>
    <t>Alejandro Cruz Zuleta</t>
  </si>
  <si>
    <t>Calle Atacama 2761</t>
  </si>
  <si>
    <t>BIT11040283</t>
  </si>
  <si>
    <t>262342992</t>
  </si>
  <si>
    <t>NOMBRE RETIRA: ROBINSON VERGARA . RUT RETIRA: 13078339-2</t>
  </si>
  <si>
    <t>Robinson Vergara</t>
  </si>
  <si>
    <t>Arturo perez canto 2174</t>
  </si>
  <si>
    <t>BIT11040298</t>
  </si>
  <si>
    <t>262342880</t>
  </si>
  <si>
    <t>NOMBRE RETIRA: ISIDORA CORVALAN . RUT RETIRA: 22644571-4</t>
  </si>
  <si>
    <t>Carmen Corvalan</t>
  </si>
  <si>
    <t>Dieciocho 361, Casa</t>
  </si>
  <si>
    <t>BIT11040247</t>
  </si>
  <si>
    <t>262266573</t>
  </si>
  <si>
    <t>NOMBRE RETIRA: GIANINA FRIZZ X RUT RETIRA: 20145831-5</t>
  </si>
  <si>
    <t>Jacqueline Valenzuela</t>
  </si>
  <si>
    <t>Avda Pedro de Valdivia 0320, ex fundar frente a lla carcel</t>
  </si>
  <si>
    <t>BIT11040285</t>
  </si>
  <si>
    <t>262342943</t>
  </si>
  <si>
    <t>NOMBRE RETIRA: URSULA X X RUT RETIRA: 12345678-5</t>
  </si>
  <si>
    <t>Ursula Moreno</t>
  </si>
  <si>
    <t>Pasaje Oscar Bonilla 8696</t>
  </si>
  <si>
    <t>BIT11040246</t>
  </si>
  <si>
    <t>262266579</t>
  </si>
  <si>
    <t>NOMBRE RETIRA: NANI ACUNA . RUT RETIRA: 25440263-K</t>
  </si>
  <si>
    <t>Nani Acuña</t>
  </si>
  <si>
    <t>Avenida Cerro Paranal 320, Depto 65</t>
  </si>
  <si>
    <t>BIT11040292</t>
  </si>
  <si>
    <t>262342912</t>
  </si>
  <si>
    <t>NOMBRE RETIRA: RISA SANTOS . RUT RETIRA: 6720225-2</t>
  </si>
  <si>
    <t>Camilo Díaz</t>
  </si>
  <si>
    <t>Cantera Alta, Narciso Herrera 3635</t>
  </si>
  <si>
    <t>BIT11040313</t>
  </si>
  <si>
    <t>262342839</t>
  </si>
  <si>
    <t>NOMBRE RETIRA: CARLO GALLEGUILLOS . RUT RETIRA: 12618659-2</t>
  </si>
  <si>
    <t>Carlos Galleguillos</t>
  </si>
  <si>
    <t>Aurora 2655, compañía baja</t>
  </si>
  <si>
    <t>BIT11040131</t>
  </si>
  <si>
    <t>262103286</t>
  </si>
  <si>
    <t>NOMBRE RETIRA: LEANDRO SANDOVAL Y RUT RETIRA: 15988892-4</t>
  </si>
  <si>
    <t>Leandro Sandoval diego</t>
  </si>
  <si>
    <t>VÍctor Domingo Silva 01089, Casa,taller</t>
  </si>
  <si>
    <t>BIT11040287</t>
  </si>
  <si>
    <t>262342941</t>
  </si>
  <si>
    <t>NOMBRE RETIRA: FAUNDEZ . . RUT RETIRA: 53310370-7</t>
  </si>
  <si>
    <t>Mario Guillermo Oñat Godoy</t>
  </si>
  <si>
    <t>Avenida Los Pablos, 2500, Departamento 1401</t>
  </si>
  <si>
    <t>BIT11040281</t>
  </si>
  <si>
    <t>262342982</t>
  </si>
  <si>
    <t>NOMBRE RETIRA: OSCAR AFURA A RUT RETIRA: 7902215-2</t>
  </si>
  <si>
    <t>Oscar Asfura Kuncar</t>
  </si>
  <si>
    <t>León Felipe 1595, Dep 3d</t>
  </si>
  <si>
    <t>BIT11040266</t>
  </si>
  <si>
    <t>262343078</t>
  </si>
  <si>
    <t>NOMBRE RETIRA: MAURICIO ROJAS . RUT RETIRA: 12459919-9</t>
  </si>
  <si>
    <t>CHACABUCO 15, Oficina 1</t>
  </si>
  <si>
    <t>2026-01-15 20:04</t>
  </si>
  <si>
    <t>BIT11040289</t>
  </si>
  <si>
    <t>262342932</t>
  </si>
  <si>
    <t>NOMBRE RETIRA: NICOLAS VASQUEZ . RUT RETIRA: 76669508-6</t>
  </si>
  <si>
    <t>Manuel Vásquez Toloza</t>
  </si>
  <si>
    <t>AnÍbal Pinto 886</t>
  </si>
  <si>
    <t>BIT11040225</t>
  </si>
  <si>
    <t>262266608</t>
  </si>
  <si>
    <t>NOMBRE RETIRA: ANTONIO . . RUT RETIRA: 9163485-6</t>
  </si>
  <si>
    <t>Paulo Torres</t>
  </si>
  <si>
    <t>Oficina Bonasort 258, Depto 103</t>
  </si>
  <si>
    <t>BIT11040307</t>
  </si>
  <si>
    <t>262342855</t>
  </si>
  <si>
    <t>NOMBRE RETIRA: RIVARDO SALAZAR . RUT RETIRA: 15752014-8</t>
  </si>
  <si>
    <t>Javier Andrés García González</t>
  </si>
  <si>
    <t>Avenida Francia 1085, Torre 1 Dpto. 107</t>
  </si>
  <si>
    <t>BIT11040273</t>
  </si>
  <si>
    <t>262343043</t>
  </si>
  <si>
    <t>NOMBRE RETIRA: RENE GONZALEZ. . RUT RETIRA: 53337172-8</t>
  </si>
  <si>
    <t>Andres Carreño</t>
  </si>
  <si>
    <t>Av. San Sebastian 02240, Casa 53</t>
  </si>
  <si>
    <t>BIT11040293</t>
  </si>
  <si>
    <t>262342850</t>
  </si>
  <si>
    <t>Eduardo Monje Puglisevich</t>
  </si>
  <si>
    <t>Gabriela Mistral 4000, J 102</t>
  </si>
  <si>
    <t>BIT11040274</t>
  </si>
  <si>
    <t>262343072</t>
  </si>
  <si>
    <t>NOMBRE RETIRA: JOSELIN RIFDO . RUT RETIRA: 19908924-2</t>
  </si>
  <si>
    <t>jocelyn sthefany riffo toledo</t>
  </si>
  <si>
    <t>las palomas 2020, san pedro de la paz, casa</t>
  </si>
  <si>
    <t>BIT11040276</t>
  </si>
  <si>
    <t>262342989</t>
  </si>
  <si>
    <t>NOMBRE RETIRA: REINALDO BARRIOS FM RUT RETIRA: 13624643-7</t>
  </si>
  <si>
    <t>Av. siete lagunas 939, lomas san sebastian, 1207b</t>
  </si>
  <si>
    <t>BIT11040278</t>
  </si>
  <si>
    <t>262343001</t>
  </si>
  <si>
    <t>NOMBRE RETIRA: KARINA MOLINA M RUT RETIRA: 13894707-6</t>
  </si>
  <si>
    <t>RUBEN CORDOVA</t>
  </si>
  <si>
    <t>CORALINA 340 JARDIN DEL MAR-REÑACA, CASA</t>
  </si>
  <si>
    <t>BIT11040237</t>
  </si>
  <si>
    <t>262266598</t>
  </si>
  <si>
    <t>NOMBRE RETIRA: RICA AVENTURA . . RUT RETIRA: 65151081-3</t>
  </si>
  <si>
    <t>Christian Rivera diaz</t>
  </si>
  <si>
    <t>Anf, Benito Ocampos 11730</t>
  </si>
  <si>
    <t>BIT11040297</t>
  </si>
  <si>
    <t>262342892</t>
  </si>
  <si>
    <t>NOMBRE RETIRA: PAULO MORALEA MORALES RUT RETIRA: 10782925-3</t>
  </si>
  <si>
    <t>Paulo Morales</t>
  </si>
  <si>
    <t>Avda Madero 452, El polo</t>
  </si>
  <si>
    <t>BIT11040260</t>
  </si>
  <si>
    <t>262266510</t>
  </si>
  <si>
    <t>NOMBRE RETIRA: JORGE ROMERO . . RUT RETIRA: 11544819-6</t>
  </si>
  <si>
    <t>BIT11040277</t>
  </si>
  <si>
    <t>262342979</t>
  </si>
  <si>
    <t>NOMBRE RETIRA: MANUEL CORTEZ . RUT RETIRA: 11387166-0</t>
  </si>
  <si>
    <t>ARICA 4</t>
  </si>
  <si>
    <t>BIT11040217</t>
  </si>
  <si>
    <t>262266673</t>
  </si>
  <si>
    <t>NOMBRE RETIRA: CAROLINA RAMIREZ REYES RUT RETIRA: 6877702-K</t>
  </si>
  <si>
    <t>Carolina Ramírez Reyes</t>
  </si>
  <si>
    <t>pasaje Quellón #0945, Afuera de la casa, hay un gran árbol</t>
  </si>
  <si>
    <t>BIT11040250</t>
  </si>
  <si>
    <t>262266564</t>
  </si>
  <si>
    <t>NOMBRE RETIRA: NICOLAS ORTEGA . RUT RETIRA: 17988570-0</t>
  </si>
  <si>
    <t>Nicolás Ortega Bustos</t>
  </si>
  <si>
    <t>Luis Del Fierro 334</t>
  </si>
  <si>
    <t>BIT11040259</t>
  </si>
  <si>
    <t>262266485</t>
  </si>
  <si>
    <t>NOMBRE RETIRA: CARLOA FUENYWA , RUT RETIRA: 53310370-7</t>
  </si>
  <si>
    <t>Alonso Davila 01851, casa</t>
  </si>
  <si>
    <t>BIT11040226</t>
  </si>
  <si>
    <t>262266621</t>
  </si>
  <si>
    <t>NOMBRE RETIRA: ALEXIS QUIROZ ESTAY RUT RETIRA: 14001152-5</t>
  </si>
  <si>
    <t>Miguel angel Toro Quiñones</t>
  </si>
  <si>
    <t>Atacama 1098, Cuartel pdi</t>
  </si>
  <si>
    <t>BIT11040201</t>
  </si>
  <si>
    <t>262183727</t>
  </si>
  <si>
    <t>NOMBRE RETIRA: ANDREA SANTANA . RUT RETIRA: 16722278-1</t>
  </si>
  <si>
    <t>Andrés Santana Santana</t>
  </si>
  <si>
    <t>Isla Guafo 1010</t>
  </si>
  <si>
    <t>BIT11040255</t>
  </si>
  <si>
    <t>262266531</t>
  </si>
  <si>
    <t>NOMBRE RETIRA: CECILIA , , RUT RETIRA: 53310370-7</t>
  </si>
  <si>
    <t>Cecilia Henríquez</t>
  </si>
  <si>
    <t>Pasaje El Acantilado Poniente 841 Lomas de mirasur , El Acantilado Poniente 841</t>
  </si>
  <si>
    <t>BIT11040218</t>
  </si>
  <si>
    <t>262266648</t>
  </si>
  <si>
    <t>NOMBRE RETIRA: JAVIER RODRIGUEZ T RUT RETIRA: 14472022-9</t>
  </si>
  <si>
    <t>Javier Rodríguez</t>
  </si>
  <si>
    <t>Avenida Pedro Montt 2075, Valdivia</t>
  </si>
  <si>
    <t>BIT11040253</t>
  </si>
  <si>
    <t>262266557</t>
  </si>
  <si>
    <t>NOMBRE RETIRA: EDUARDO DELGADO D RUT RETIRA: 65999916-1</t>
  </si>
  <si>
    <t>Francisco Saint-Laurence</t>
  </si>
  <si>
    <t>Santa Ines 294, Valparaiso, Depto 56 Torre 1, Bahia Mirador 1</t>
  </si>
  <si>
    <t>BIT11040213</t>
  </si>
  <si>
    <t>262183698</t>
  </si>
  <si>
    <t>NOMBRE RETIRA: VANESA WILSON . RUT RETIRA: 20904597-4</t>
  </si>
  <si>
    <t>Vanessa Wilson</t>
  </si>
  <si>
    <t>Uribe 1256 Casa D, Casa d</t>
  </si>
  <si>
    <t>BIT11040251</t>
  </si>
  <si>
    <t>262266948</t>
  </si>
  <si>
    <t>NOMBRE RETIRA: GARY PINO J RUT RETIRA: 20135181-2</t>
  </si>
  <si>
    <t>Carla Valdebenito</t>
  </si>
  <si>
    <t>Santiago bueras 740, Oficina</t>
  </si>
  <si>
    <t>BIT11040223</t>
  </si>
  <si>
    <t>262266652</t>
  </si>
  <si>
    <t>NOMBRE RETIRA: ALEJANDRO OYARCE R RUT RETIRA: 9635177-1</t>
  </si>
  <si>
    <t>Miguel Gatica</t>
  </si>
  <si>
    <t>Calle G 1189 casa 34, 34</t>
  </si>
  <si>
    <t>BIT11040039</t>
  </si>
  <si>
    <t>262006924</t>
  </si>
  <si>
    <t>NOMBRE RETIRA: MARIA CID . RUT RETIRA: 16159159-9</t>
  </si>
  <si>
    <t>Blanca Leiva Salgado</t>
  </si>
  <si>
    <t>Las Araucarias 993 Contulmo, Casa</t>
  </si>
  <si>
    <t>2026-01-11 20:10</t>
  </si>
  <si>
    <t>BIT11040215</t>
  </si>
  <si>
    <t>262266677</t>
  </si>
  <si>
    <t>NOMBRE RETIRA: CAMILO PEREZ . RUT RETIRA: 17552526-2</t>
  </si>
  <si>
    <t>Angela Urtubia</t>
  </si>
  <si>
    <t>Limache 2107, Casa 4</t>
  </si>
  <si>
    <t>BIT11040224</t>
  </si>
  <si>
    <t>262266659</t>
  </si>
  <si>
    <t>NOMBRE RETIRA: ELSA MONTENGRO . RUT RETIRA: 20301600-K</t>
  </si>
  <si>
    <t>Gonzalo Ibaceta</t>
  </si>
  <si>
    <t>Las Heras 650, 307</t>
  </si>
  <si>
    <t>BIT11040200</t>
  </si>
  <si>
    <t>262183717</t>
  </si>
  <si>
    <t>NOMBRE RETIRA: JUDITH OLIVARES . RUT RETIRA: 15691380-4</t>
  </si>
  <si>
    <t>JUAN DAHER</t>
  </si>
  <si>
    <t>AVENIDA RICA AVENTURA 10701, 1007</t>
  </si>
  <si>
    <t>BIT11040189</t>
  </si>
  <si>
    <t>262183777</t>
  </si>
  <si>
    <t>NOMBRE RETIRA: NABIA SEPULVEDA .. RUT RETIRA: 16506124-1</t>
  </si>
  <si>
    <t>Alvaro Esteban Alvarez Valenzuela</t>
  </si>
  <si>
    <t>Cholguan 25 poniente, 25, Poniente</t>
  </si>
  <si>
    <t>2026-01-14 11:12</t>
  </si>
  <si>
    <t>BIT11040080</t>
  </si>
  <si>
    <t>262006712</t>
  </si>
  <si>
    <t>Victor manuel Vargas moya</t>
  </si>
  <si>
    <t>Echaurren 191 llolleo</t>
  </si>
  <si>
    <t>2026-01-11 20:11</t>
  </si>
  <si>
    <t>BIT11039613</t>
  </si>
  <si>
    <t>261490314</t>
  </si>
  <si>
    <t>NOMBRE RETIRA: JUANA RIQUELME . RUT RETIRA: 9624420-7</t>
  </si>
  <si>
    <t>Juana Riquelme parra</t>
  </si>
  <si>
    <t>Casa, Pasaje Coronel MartÍnez 563 interior</t>
  </si>
  <si>
    <t>2026-01-04 19:57</t>
  </si>
  <si>
    <t>BIT11040178</t>
  </si>
  <si>
    <t>262183826</t>
  </si>
  <si>
    <t>NOMBRE RETIRA: EDUARDO CARRIEL . RUT RETIRA: 10382985-2</t>
  </si>
  <si>
    <t>Eduardo Carriel Martínez</t>
  </si>
  <si>
    <t>Camino san ramon 8400 casa 8 b 1</t>
  </si>
  <si>
    <t>2026-01-13 20:09</t>
  </si>
  <si>
    <t>BIT11040175</t>
  </si>
  <si>
    <t>262183838</t>
  </si>
  <si>
    <t>NOMBRE RETIRA: NELSOB SAMUL J RUT RETIRA: 15034848-K</t>
  </si>
  <si>
    <t>BIT11040047</t>
  </si>
  <si>
    <t>262006885</t>
  </si>
  <si>
    <t>NOMBRE RETIRA: MARCELA DIAS 0 RUT RETIRA: 9754537-5</t>
  </si>
  <si>
    <t>Marcela Diaz Herrera</t>
  </si>
  <si>
    <t>Pasaje La Chimba 775 Gran Via</t>
  </si>
  <si>
    <t>BIT11040147</t>
  </si>
  <si>
    <t>262103190</t>
  </si>
  <si>
    <t>NOMBRE RETIRA: CINTIA GOMEA .. RUT RETIRA: 21154678-6</t>
  </si>
  <si>
    <t>Fabián Gómez palomino</t>
  </si>
  <si>
    <t>Av chorrilos 1089, Casa 2</t>
  </si>
  <si>
    <t>BIT11040184</t>
  </si>
  <si>
    <t>262183790</t>
  </si>
  <si>
    <t>NOMBRE RETIRA: ANAHI VILLALOBOS VILLALOBOS RUT RETIRA: 12575964-5</t>
  </si>
  <si>
    <t>Anahi Villalobos</t>
  </si>
  <si>
    <t>Los carreras 5050 villa san jose casa 5056, Casa</t>
  </si>
  <si>
    <t>BIT11040162</t>
  </si>
  <si>
    <t>262183890</t>
  </si>
  <si>
    <t>NOMBRE RETIRA: SOLEDAD CANDIA . RUT RETIRA: 53327162-6</t>
  </si>
  <si>
    <t>Soledad Candia</t>
  </si>
  <si>
    <t>Avenida 4 Norte 580, Condominio Las Bandurrias, San Pedro de la Paz, 43</t>
  </si>
  <si>
    <t>BIT11040187</t>
  </si>
  <si>
    <t>262183798</t>
  </si>
  <si>
    <t>NOMBRE RETIRA: EDISON RAMIREZ . RUT RETIRA: 19109789-0</t>
  </si>
  <si>
    <t>Edison Ramírez Fernández</t>
  </si>
  <si>
    <t>El roble 330</t>
  </si>
  <si>
    <t>BIT11040197</t>
  </si>
  <si>
    <t>262183735</t>
  </si>
  <si>
    <t>NOMBRE RETIRA: FELIPE CASTILLO M RUT RETIRA: 12345678-5</t>
  </si>
  <si>
    <t>Felipe Castillo Sierra</t>
  </si>
  <si>
    <t>Aragón 125, Dep. 1203A</t>
  </si>
  <si>
    <t>BIT11040159</t>
  </si>
  <si>
    <t>262183895</t>
  </si>
  <si>
    <t>NOMBRE RETIRA: HANS SCHULZ . RUT RETIRA: 6931276-4</t>
  </si>
  <si>
    <t>HANS SCHULZ PLANCIC</t>
  </si>
  <si>
    <t>LOS ABEDULES, ALAMEDAS DE SAN FRANCISCO, I-31</t>
  </si>
  <si>
    <t>BIT11040193</t>
  </si>
  <si>
    <t>262183764</t>
  </si>
  <si>
    <t>NOMBRE RETIRA: HOSE VALENZUEKA VALENZUEKA RUT RETIRA: 11435540-2</t>
  </si>
  <si>
    <t>San Rafael Arcangel, Casa 1629</t>
  </si>
  <si>
    <t>BIT11040207</t>
  </si>
  <si>
    <t>262183693</t>
  </si>
  <si>
    <t>NOMBRE RETIRA: MARION RIVAS . RUT RETIRA: 53333519-5</t>
  </si>
  <si>
    <t>Marion Rivas Muñoz</t>
  </si>
  <si>
    <t>Buena Vista, Valle Nonguen 253, Casa</t>
  </si>
  <si>
    <t>BIT11040183</t>
  </si>
  <si>
    <t>262183821</t>
  </si>
  <si>
    <t>NOMBRE RETIRA: YESSENIA VILLARROEL H RUT RETIRA: 19615228-8</t>
  </si>
  <si>
    <t>Mario Vivar valdivia</t>
  </si>
  <si>
    <t>Av. Clemente Holzapfel 524</t>
  </si>
  <si>
    <t>BIT11040173</t>
  </si>
  <si>
    <t>262183855</t>
  </si>
  <si>
    <t>Gabriela Mistral, 4000 J 102</t>
  </si>
  <si>
    <t>BIT11040110</t>
  </si>
  <si>
    <t>262103368</t>
  </si>
  <si>
    <t>NOMBRE RETIRA: JENNY LIZARDE . RUT RETIRA: 15020092-K</t>
  </si>
  <si>
    <t>Luis Rojas Quinteros</t>
  </si>
  <si>
    <t>Avenida Cinco 4341, 1203</t>
  </si>
  <si>
    <t>BIT11040075</t>
  </si>
  <si>
    <t>262006721</t>
  </si>
  <si>
    <t>NOMBRE RETIRA: ALEJANDRO VERA . RUT RETIRA: 16087499-6</t>
  </si>
  <si>
    <t>Marco Antonio Creuz Navarro</t>
  </si>
  <si>
    <t>Monjitas 786, Casa</t>
  </si>
  <si>
    <t>BIT11040170</t>
  </si>
  <si>
    <t>262183882</t>
  </si>
  <si>
    <t>DARIO VERGARA</t>
  </si>
  <si>
    <t>PORTUS 391 - EX.71</t>
  </si>
  <si>
    <t>BIT11040145</t>
  </si>
  <si>
    <t>262103203</t>
  </si>
  <si>
    <t>NOMBRE RETIRA: SERGIO SAAVEDRA . RUT RETIRA: 8727709-7</t>
  </si>
  <si>
    <t>german miric 216 ,, dept 802 BARTOLOME</t>
  </si>
  <si>
    <t>BIT11040006</t>
  </si>
  <si>
    <t>261917952</t>
  </si>
  <si>
    <t>NOMBRE RETIRA: FRANCISCO PINCHEIRA X RUT RETIRA: 7595585-5</t>
  </si>
  <si>
    <t>MUNICH 2275</t>
  </si>
  <si>
    <t>BIT11040195</t>
  </si>
  <si>
    <t>262183758</t>
  </si>
  <si>
    <t>NOMBRE RETIRA: VIRGINIA CASTILLO S RUT RETIRA: 18100464-9</t>
  </si>
  <si>
    <t>Virginia Castillo Bascur</t>
  </si>
  <si>
    <t>Condominio Peñón De Curamonte 201, Casa 12</t>
  </si>
  <si>
    <t>BIT11039971</t>
  </si>
  <si>
    <t>261918096</t>
  </si>
  <si>
    <t>NOMBRE RETIRA: ROBERTO CARCAMO . RUT RETIRA: 12345678-5</t>
  </si>
  <si>
    <t>Patricio Huaiquin Montalva</t>
  </si>
  <si>
    <t>Mirador 45, Departamento 23 Edificio Gran Peninsula Lake</t>
  </si>
  <si>
    <t>2026-01-09 20:03</t>
  </si>
  <si>
    <t>BIT11040109</t>
  </si>
  <si>
    <t>262103375</t>
  </si>
  <si>
    <t>Carlos Gentile</t>
  </si>
  <si>
    <t>Torre 2, Olimpia 1720, Depto 608</t>
  </si>
  <si>
    <t>BIT11040097</t>
  </si>
  <si>
    <t>262006641</t>
  </si>
  <si>
    <t>NOMBRE RETIRA: PEDRO CASUPA . RUT RETIRA: 29039386-8</t>
  </si>
  <si>
    <t>gonzalo neira</t>
  </si>
  <si>
    <t>Balmaceda 1750, Local 1</t>
  </si>
  <si>
    <t>BIT11040144</t>
  </si>
  <si>
    <t>262103199</t>
  </si>
  <si>
    <t>NOMBRE RETIRA: JUANA SEGOVIA C RUT RETIRA: 15611391-3</t>
  </si>
  <si>
    <t>Juana Segovia</t>
  </si>
  <si>
    <t>Salitrera cholita 605, Casa</t>
  </si>
  <si>
    <t>BIT11040032</t>
  </si>
  <si>
    <t>262006958</t>
  </si>
  <si>
    <t>NOMBRE RETIRA: MARTIAS VALDIVIA J RUT RETIRA: 18194820-5</t>
  </si>
  <si>
    <t>matias valdivia levio</t>
  </si>
  <si>
    <t>Los mercedarios 03190</t>
  </si>
  <si>
    <t>BIT11039978</t>
  </si>
  <si>
    <t>261918062</t>
  </si>
  <si>
    <t>NOMBRE RETIRA: DIEGO ESCOBAR . RUT RETIRA: 28824984-9</t>
  </si>
  <si>
    <t>Patricio Cordon Pasten</t>
  </si>
  <si>
    <t>Ascotán Norte 155, 1804B</t>
  </si>
  <si>
    <t>BIT11040138</t>
  </si>
  <si>
    <t>262103237</t>
  </si>
  <si>
    <t>NOMBRE RETIRA: ADOLFO NAVIA A RUT RETIRA: 5333130-0</t>
  </si>
  <si>
    <t>Jaime Serrano</t>
  </si>
  <si>
    <t>Luisa Nieto de Hamel 375A, 213</t>
  </si>
  <si>
    <t>BIT11040152</t>
  </si>
  <si>
    <t>262103166</t>
  </si>
  <si>
    <t>NOMBRE RETIRA: CLAUDIO GARCIA . RUT RETIRA: 53303479-9</t>
  </si>
  <si>
    <t>FRANCISCO ACUNA</t>
  </si>
  <si>
    <t>CUATRO NORTE 290, 152</t>
  </si>
  <si>
    <t>BIT11040084</t>
  </si>
  <si>
    <t>262006645</t>
  </si>
  <si>
    <t>NOMBRE RETIRA: MONICA GONZALEZ OLIVERA RUT RETIRA: 8502764-6</t>
  </si>
  <si>
    <t>Benjamin Doizi</t>
  </si>
  <si>
    <t>El trigal 428, Casa</t>
  </si>
  <si>
    <t>BIT11040072</t>
  </si>
  <si>
    <t>262006744</t>
  </si>
  <si>
    <t>NOMBRE RETIRA: EUGENIO CASTRO CASTRO RUT RETIRA: 25134401-9</t>
  </si>
  <si>
    <t>Eugenio Castro</t>
  </si>
  <si>
    <t>Lahuan 5, Casa 5</t>
  </si>
  <si>
    <t>BIT11040101</t>
  </si>
  <si>
    <t>262006633</t>
  </si>
  <si>
    <t>NOMBRE RETIRA: GONZALO GAETE . RUT RETIRA: 15741215-9</t>
  </si>
  <si>
    <t>BIT11040022</t>
  </si>
  <si>
    <t>262007013</t>
  </si>
  <si>
    <t>NOMBRE RETIRA: ALEJANDRO CASTILLO M RUT RETIRA: 13423383-4</t>
  </si>
  <si>
    <t>Esteban Adaro Nieto</t>
  </si>
  <si>
    <t>Callejon Jose Joaquin Vallejos 399, Casa 4, Condominio don Leonidas</t>
  </si>
  <si>
    <t>BIT11040112</t>
  </si>
  <si>
    <t>262103347</t>
  </si>
  <si>
    <t>NOMBRE RETIRA: MACARENA TRONCOSO . RUT RETIRA: 13508031-4</t>
  </si>
  <si>
    <t>Macarena Troncoso</t>
  </si>
  <si>
    <t>Cam. a Penco 450</t>
  </si>
  <si>
    <t>BIT11040122</t>
  </si>
  <si>
    <t>262103301</t>
  </si>
  <si>
    <t>NOMBRE RETIRA: JOSE MARTINEZ . RUT RETIRA: 17410419-0</t>
  </si>
  <si>
    <t>JULIA SALGADO</t>
  </si>
  <si>
    <t>CALLE NUEVA 10 N°5026, VALLE VOLCANES</t>
  </si>
  <si>
    <t>BIT11040030</t>
  </si>
  <si>
    <t>262006966</t>
  </si>
  <si>
    <t>NOMBRE RETIRA: GISTAVO AEDO G RUT RETIRA: 13624643-7</t>
  </si>
  <si>
    <t>Gustavo Aedo Urrutia</t>
  </si>
  <si>
    <t>Pasaje Veinte #392 Brisa del Sol</t>
  </si>
  <si>
    <t>BIT11039990</t>
  </si>
  <si>
    <t>261918045</t>
  </si>
  <si>
    <t>NOMBRE RETIRA: JOSUE GAMARRA . RUT RETIRA: 27506702-4</t>
  </si>
  <si>
    <t>Juan Carlos De la Torre</t>
  </si>
  <si>
    <t>Galleguillos Lorca 1604, 1604, 1604, 1604</t>
  </si>
  <si>
    <t>BIT11040127</t>
  </si>
  <si>
    <t>262103268</t>
  </si>
  <si>
    <t>NOMBRE RETIRA: VIVIANA GANGAS . RUT RETIRA: 12259450-5</t>
  </si>
  <si>
    <t>YASNA ESQUIVEL</t>
  </si>
  <si>
    <t>PRAT 255, Oficina 400</t>
  </si>
  <si>
    <t>BIT11040033</t>
  </si>
  <si>
    <t>262006953</t>
  </si>
  <si>
    <t>NOMBRE RETIRA: FERNANDO GUTIERREZ A RUT RETIRA: 20137133-3</t>
  </si>
  <si>
    <t>Ulises Reyes Castro</t>
  </si>
  <si>
    <t>Navio san martin 45 b san roque, Departamento</t>
  </si>
  <si>
    <t>BIT11040066</t>
  </si>
  <si>
    <t>262006764</t>
  </si>
  <si>
    <t>NOMBRE RETIRA: JOAQUIN RODRIGUEZ RODRGUEZ RUT RETIRA: 21914950-6</t>
  </si>
  <si>
    <t>Roberto Habach</t>
  </si>
  <si>
    <t>18 de septiembre 1960, 5ta comisaría Cop</t>
  </si>
  <si>
    <t>BIT11040119</t>
  </si>
  <si>
    <t>262103341</t>
  </si>
  <si>
    <t>NOMBRE RETIRA: LUIS VERDUGO .. RUT RETIRA: 13950103-9</t>
  </si>
  <si>
    <t>luis Verdugo</t>
  </si>
  <si>
    <t>Alto Las Cruces, Los Manzanos 21</t>
  </si>
  <si>
    <t>BIT11040142</t>
  </si>
  <si>
    <t>262103230</t>
  </si>
  <si>
    <t>NOMBRE RETIRA: ALEXIS MUNOS . RUT RETIRA: 14145597-4</t>
  </si>
  <si>
    <t>Alexis Muñoz</t>
  </si>
  <si>
    <t>Calle Amelia Barros de Cavada, 4573, santuario de peñuelas</t>
  </si>
  <si>
    <t>BIT11040076</t>
  </si>
  <si>
    <t>262006714</t>
  </si>
  <si>
    <t>NOMBRE RETIRA: DANIEL ROA . RUT RETIRA: 10491414-4</t>
  </si>
  <si>
    <t>Daniel Roa</t>
  </si>
  <si>
    <t>cerro el toro el toro 3045</t>
  </si>
  <si>
    <t>BIT11040117</t>
  </si>
  <si>
    <t>262103310</t>
  </si>
  <si>
    <t>NOMBRE RETIRA: CECILIA ESPINOZA DIAZ RUT RETIRA: 28440632-K</t>
  </si>
  <si>
    <t>Cecilia Espinosa Diaz</t>
  </si>
  <si>
    <t>Av. Nelson Pereira 2411, Centro de Salud</t>
  </si>
  <si>
    <t>BIT11040064</t>
  </si>
  <si>
    <t>262006791</t>
  </si>
  <si>
    <t>NOMBRE RETIRA: NICOLAS SOTO . RUT RETIRA: 21388192-2</t>
  </si>
  <si>
    <t>Gabriel Gaytan</t>
  </si>
  <si>
    <t>Avenida Edmundo Pérez zujovic 5490, Departamento 406</t>
  </si>
  <si>
    <t>BIT11039992</t>
  </si>
  <si>
    <t>261918020</t>
  </si>
  <si>
    <t>NOMBRE RETIRA: VALENTINA ARAVENA . RUT RETIRA: 24049386-1</t>
  </si>
  <si>
    <t>Fernando Aravena</t>
  </si>
  <si>
    <t>Calle A, Departamento H41, condominio La Tirana, Iquique, Edificio H</t>
  </si>
  <si>
    <t>BIT11040087</t>
  </si>
  <si>
    <t>262006649</t>
  </si>
  <si>
    <t>NOMBRE RETIRA: PAUL CHAVEZ N RUT RETIRA: 15988892-4</t>
  </si>
  <si>
    <t>Consuelo Jiménez Morales</t>
  </si>
  <si>
    <t>Av. Pedro de Valdivia 0400., Dpto 403,torre 3</t>
  </si>
  <si>
    <t>BIT11040038</t>
  </si>
  <si>
    <t>262006932</t>
  </si>
  <si>
    <t>NOMBRE RETIRA: ROXANA PENA . RUT RETIRA: 53336919-7</t>
  </si>
  <si>
    <t>Pablo Aravena Neira</t>
  </si>
  <si>
    <t>Santa Margarita 925 Depto 1108, Departamento 1108</t>
  </si>
  <si>
    <t>BIT11040134</t>
  </si>
  <si>
    <t>262103262</t>
  </si>
  <si>
    <t>NOMBRE RETIRA: JULIAN VARGAS P RUT RETIRA: 21087100-4</t>
  </si>
  <si>
    <t>Eduardo Monsalves</t>
  </si>
  <si>
    <t>Condominio Los Olivos., Avenida Laguna Grande 480</t>
  </si>
  <si>
    <t>BIT11040086</t>
  </si>
  <si>
    <t>262006696</t>
  </si>
  <si>
    <t>NOMBRE RETIRA: EUGENIO AGUILERA . RUT RETIRA: 19109789-0</t>
  </si>
  <si>
    <t>Eugenio Aguilera Aguilera</t>
  </si>
  <si>
    <t>Vicente Palacios 2130, Casa</t>
  </si>
  <si>
    <t>BIT11040130</t>
  </si>
  <si>
    <t>262103281</t>
  </si>
  <si>
    <t>NOMBRE RETIRA: FERNANDO LEIVA . RUT RETIRA: 12345678-5</t>
  </si>
  <si>
    <t>Darien Aragon</t>
  </si>
  <si>
    <t>Calle 9 2470, Santa ines</t>
  </si>
  <si>
    <t>BIT11040051</t>
  </si>
  <si>
    <t>262006879</t>
  </si>
  <si>
    <t>NOMBRE RETIRA: NOLVERTO AVENDANO . RUT RETIRA: 8727709-7</t>
  </si>
  <si>
    <t>Fernando Maulen</t>
  </si>
  <si>
    <t>BIT11040021</t>
  </si>
  <si>
    <t>262006992</t>
  </si>
  <si>
    <t>NOMBRE RETIRA: JUAN NEGRETE PAREDES RUT RETIRA: 20215824-2</t>
  </si>
  <si>
    <t>Juan Negrete paredes</t>
  </si>
  <si>
    <t>La Cincha 22, Casa</t>
  </si>
  <si>
    <t>BIT11040008</t>
  </si>
  <si>
    <t>261917978</t>
  </si>
  <si>
    <t>NOMBRE RETIRA: OMAR RODRIGUEZ . RUT RETIRA: 22384901-6</t>
  </si>
  <si>
    <t>Patricio Rojas Orrego</t>
  </si>
  <si>
    <t>Cerro Moreno 10580, depto 302, block F</t>
  </si>
  <si>
    <t>BIT11040002</t>
  </si>
  <si>
    <t>261917897</t>
  </si>
  <si>
    <t>NOMBRE RETIRA: CLAUDIA BURTO . RUT RETIRA: 53321047-3</t>
  </si>
  <si>
    <t>Chancal 244, Lomas de san andres</t>
  </si>
  <si>
    <t>BIT11040094</t>
  </si>
  <si>
    <t>262006635</t>
  </si>
  <si>
    <t>NOMBRE RETIRA: PRISCILA BARRAZA . RUT RETIRA: 20260999-6</t>
  </si>
  <si>
    <t>Lidia Moreno 177, Depto 710</t>
  </si>
  <si>
    <t>BIT11039546</t>
  </si>
  <si>
    <t>261381813</t>
  </si>
  <si>
    <t>NOMBRE RETIRA: MACARENA AGUUILAR . RUT RETIRA: 15309283-4</t>
  </si>
  <si>
    <t>Madeleine Andrades Mellado</t>
  </si>
  <si>
    <t>Federico Errázuriz 977</t>
  </si>
  <si>
    <t>BIT11040111</t>
  </si>
  <si>
    <t>262103358</t>
  </si>
  <si>
    <t>NOMBRE RETIRA: PATRCICII SOLIA 0 RUT RETIRA: 15944689-1</t>
  </si>
  <si>
    <t>Margarita Huerta</t>
  </si>
  <si>
    <t>Enrique Moya 1433,   Parque residencial los Canelos, casa</t>
  </si>
  <si>
    <t>BIT11040090</t>
  </si>
  <si>
    <t>262006674</t>
  </si>
  <si>
    <t>NOMBRE RETIRA: CONSERKERIA . . RUT RETIRA: 16754596-3</t>
  </si>
  <si>
    <t>Florens Vallencia</t>
  </si>
  <si>
    <t>Avenida Alemania 5882, Edificio Costa Mirador, departamento 1102</t>
  </si>
  <si>
    <t>BIT11040063</t>
  </si>
  <si>
    <t>262006798</t>
  </si>
  <si>
    <t>NOMBRE RETIRA: BLANCA CONTRERAS .BLANCA RUT RETIRA: 14526166-K</t>
  </si>
  <si>
    <t>orson raillanca</t>
  </si>
  <si>
    <t>Avenida Rene Varas Asenjo 392</t>
  </si>
  <si>
    <t>BIT11039416</t>
  </si>
  <si>
    <t>261317949</t>
  </si>
  <si>
    <t>NOMBRE RETIRA: MARTIN ROJAS . RUT RETIRA: 21851689-0</t>
  </si>
  <si>
    <t>Francisco Croxatto</t>
  </si>
  <si>
    <t>Rene scheneider 1274, Casa</t>
  </si>
  <si>
    <t>2025-12-30 20:09</t>
  </si>
  <si>
    <t>BIT11040004</t>
  </si>
  <si>
    <t>261918008</t>
  </si>
  <si>
    <t>NOMBRE RETIRA: CAROLINA NAVAROO ... RUT RETIRA: 15884198-3</t>
  </si>
  <si>
    <t>Maryoris Jara</t>
  </si>
  <si>
    <t>Alcazar 94</t>
  </si>
  <si>
    <t>BIT11040016</t>
  </si>
  <si>
    <t>261917879</t>
  </si>
  <si>
    <t>NOMBRE RETIRA: ISIDORA HERRERA .. RUT RETIRA: 76669508-6</t>
  </si>
  <si>
    <t>Victor Toledo herrera</t>
  </si>
  <si>
    <t>Juan jimenez 1210 las posas 6, Casa</t>
  </si>
  <si>
    <t>BIT11039323</t>
  </si>
  <si>
    <t>261170753</t>
  </si>
  <si>
    <t>NOMBRE RETIRA: MARIA J MORALES .. RUT RETIRA: 17855723-8</t>
  </si>
  <si>
    <t>María José Morales</t>
  </si>
  <si>
    <t>Presidente Errázuriz 2461, Casa</t>
  </si>
  <si>
    <t>2025-12-29 20:11</t>
  </si>
  <si>
    <t>BIT11040005</t>
  </si>
  <si>
    <t>261917962</t>
  </si>
  <si>
    <t>NOMBRE RETIRA: CARLA NUNEZ A RUT RETIRA: 7510277-1</t>
  </si>
  <si>
    <t>Carla Nuñez Paredes</t>
  </si>
  <si>
    <t>Los Maitenes 621, Quilpue, 621</t>
  </si>
  <si>
    <t>BIT11039979</t>
  </si>
  <si>
    <t>261918052</t>
  </si>
  <si>
    <t>NOMBRE RETIRA: CAROLINA RABIMO ... RUT RETIRA: 19146817-1</t>
  </si>
  <si>
    <t>CAROLINA TABILO</t>
  </si>
  <si>
    <t>PJE JAIME PERALTA 1054, VILLA LOMAS DE TUQUI</t>
  </si>
  <si>
    <t>BIT11040046</t>
  </si>
  <si>
    <t>262006890</t>
  </si>
  <si>
    <t>NOMBRE RETIRA: NATALIA CARDANES .. RUT RETIRA: 18089105-6</t>
  </si>
  <si>
    <t>Natalia Cardenas</t>
  </si>
  <si>
    <t>Pasaje Ercio mettifogo #2618, Casa</t>
  </si>
  <si>
    <t>BIT11039997</t>
  </si>
  <si>
    <t>261917971</t>
  </si>
  <si>
    <t>NOMBRE RETIRA: BOSQUE CENTENARIO SEBASTIAN RUT RETIRA: 53309528-3</t>
  </si>
  <si>
    <t>gabriel monje</t>
  </si>
  <si>
    <t>Ingeniero Hyatt 2583</t>
  </si>
  <si>
    <t>BIT11040000</t>
  </si>
  <si>
    <t>261918003</t>
  </si>
  <si>
    <t>NOMBRE RETIRA: ESPERAMZA GONZALEZ N RUT RETIRA: 23264364-1</t>
  </si>
  <si>
    <t>Ximena Valenzuela Monsalve</t>
  </si>
  <si>
    <t>Bulnes 1835, Casa</t>
  </si>
  <si>
    <t>BIT11039980</t>
  </si>
  <si>
    <t>261918055</t>
  </si>
  <si>
    <t>NOMBRE RETIRA: JUAN VIDES . RUT RETIRA: 65029764-4</t>
  </si>
  <si>
    <t>Sebastian Manriquez</t>
  </si>
  <si>
    <t>Viana 1275</t>
  </si>
  <si>
    <t>BIT11039994</t>
  </si>
  <si>
    <t>261917990</t>
  </si>
  <si>
    <t>NOMBRE RETIRA: NAVIA SEPULVEDA . RUT RETIRA: 12147158-2</t>
  </si>
  <si>
    <t>BIT11040012</t>
  </si>
  <si>
    <t>261917901</t>
  </si>
  <si>
    <t>NOMBRE RETIRA: FRANCISCO VILLAGRA V RUT RETIRA: 20852114-4</t>
  </si>
  <si>
    <t>Francisco Villagra Casanova</t>
  </si>
  <si>
    <t>CUATRO Y MEDIO NORTE 4036</t>
  </si>
  <si>
    <t>BIT11039988</t>
  </si>
  <si>
    <t>261918024</t>
  </si>
  <si>
    <t>NOMBRE RETIRA: BRENDA OLIVARES . RUT RETIRA: 11784795-0</t>
  </si>
  <si>
    <t>BIT11039989</t>
  </si>
  <si>
    <t>261918027</t>
  </si>
  <si>
    <t>NOMBRE RETIRA: JOSE RAMIREZ Y RUT RETIRA: 65195412-6</t>
  </si>
  <si>
    <t>Eduardo Moreso</t>
  </si>
  <si>
    <t>Freire 1062, Dpto 1005</t>
  </si>
  <si>
    <t>BIT11040009</t>
  </si>
  <si>
    <t>261917938</t>
  </si>
  <si>
    <t>Marcelo Verdejo Espinoza</t>
  </si>
  <si>
    <t>Avda.Cardenal Samore #1451, Casa K1</t>
  </si>
  <si>
    <t>BIT11039970</t>
  </si>
  <si>
    <t>261918088</t>
  </si>
  <si>
    <t>NOMBRE RETIRA: MANUEL MERA MARQUEZ RUT RETIRA: 12415869-9</t>
  </si>
  <si>
    <t>manuel mera marquez</t>
  </si>
  <si>
    <t>nicaragua 1167</t>
  </si>
  <si>
    <t>BIT11040015</t>
  </si>
  <si>
    <t>261917913</t>
  </si>
  <si>
    <t>NOMBRE RETIRA: CRISTINA BERNALES .. RUT RETIRA: 12953258-0</t>
  </si>
  <si>
    <t>Ronny Baigorria</t>
  </si>
  <si>
    <t>Diaz 1536, Villa Alemana</t>
  </si>
  <si>
    <t>BIT11040052</t>
  </si>
  <si>
    <t>262006842</t>
  </si>
  <si>
    <t>NOMBRE RETIRA: ANDREA NAVAJAS . RUT RETIRA: 17971129-K</t>
  </si>
  <si>
    <t>María Jesús Olea Navajas</t>
  </si>
  <si>
    <t>José mancilla #2300, Villa El Señorial, Casa</t>
  </si>
  <si>
    <t>BIT11040091</t>
  </si>
  <si>
    <t>262006639</t>
  </si>
  <si>
    <t>NOMBRE RETIRA: PABLOJARA P 0 RUT RETIRA: 21858694-5</t>
  </si>
  <si>
    <t>Miguel Coll lledo</t>
  </si>
  <si>
    <t>Avenida los canelos 79 B, 1607 B</t>
  </si>
  <si>
    <t>BIT11040069</t>
  </si>
  <si>
    <t>262006757</t>
  </si>
  <si>
    <t>NOMBRE RETIRA: JOSE VILCHES .. RUT RETIRA: 20067631-9</t>
  </si>
  <si>
    <t>Andrea vilches Verdugo</t>
  </si>
  <si>
    <t>Gladiolos 050 (paradero 11 1/2)</t>
  </si>
  <si>
    <t>BIT11040070</t>
  </si>
  <si>
    <t>262006771</t>
  </si>
  <si>
    <t>NOMBRE RETIRA: JOSEL CARIPAM H RUT RETIRA: 70380200-1</t>
  </si>
  <si>
    <t>Rene Pavez Bort</t>
  </si>
  <si>
    <t>Avenida Argentina 847, E34</t>
  </si>
  <si>
    <t>BIT11040040</t>
  </si>
  <si>
    <t>262006898</t>
  </si>
  <si>
    <t>NOMBRE RETIRA: VANESA CAKDERON CALDERON RUT RETIRA: 17920814-8</t>
  </si>
  <si>
    <t>Vanessa Calderon Guerrero</t>
  </si>
  <si>
    <t>Bahia Morris 78, Machali, Casa 79</t>
  </si>
  <si>
    <t>BIT11039853</t>
  </si>
  <si>
    <t>261770267</t>
  </si>
  <si>
    <t>NOMBRE RETIRA: JUAN RIQUELME Z RUT RETIRA: 17557062-4</t>
  </si>
  <si>
    <t>Condominio montesol II calle 4N 60, Block 3 depto 202</t>
  </si>
  <si>
    <t>2026-01-07 20:08</t>
  </si>
  <si>
    <t>BIT11039050</t>
  </si>
  <si>
    <t>260884037</t>
  </si>
  <si>
    <t>NOMBRE RETIRA: ERIKA MIRANDA . RUT RETIRA: 11111111-1</t>
  </si>
  <si>
    <t>Claudia Beatriz Hernandez Sanchez</t>
  </si>
  <si>
    <t>Av.circunvalacion 77, Casa</t>
  </si>
  <si>
    <t>2025-12-25 19:06</t>
  </si>
  <si>
    <t>BIT11039870</t>
  </si>
  <si>
    <t>261770204</t>
  </si>
  <si>
    <t>NOMBRE RETIRA: CLAUDIO PAVIE . RUT RETIRA: 20134521-9</t>
  </si>
  <si>
    <t>cristian hott</t>
  </si>
  <si>
    <t>Avenida Los Robles 800, Oficina. Lunes a jueves 17:30. Viernes 13:15</t>
  </si>
  <si>
    <t>2026-01-08 11:03</t>
  </si>
  <si>
    <t>BIT11039940</t>
  </si>
  <si>
    <t>261854528</t>
  </si>
  <si>
    <t>NOMBRE RETIRA: ELIANA BRESCHI . RUT RETIRA: 7648929-7</t>
  </si>
  <si>
    <t>Pablo Breschi</t>
  </si>
  <si>
    <t>Mariano farandato 526</t>
  </si>
  <si>
    <t>BIT11039896</t>
  </si>
  <si>
    <t>261770074</t>
  </si>
  <si>
    <t>NOMBRE RETIRA: FREDDY CARNATE P RUT RETIRA: 12345678-5</t>
  </si>
  <si>
    <t>Freddy Canarte</t>
  </si>
  <si>
    <t>Travesia de la plaza, 03583, 03583</t>
  </si>
  <si>
    <t>BIT11039905</t>
  </si>
  <si>
    <t>261854608</t>
  </si>
  <si>
    <t>NOMBRE RETIRA: FERNANDA ANIOTZ H RUT RETIRA: 23370696-5</t>
  </si>
  <si>
    <t>DIEGO ANIOTZ</t>
  </si>
  <si>
    <t>Avenida republica 1105 villa huamachuco 1105, Apt. casa 119</t>
  </si>
  <si>
    <t>BIT11039805</t>
  </si>
  <si>
    <t>261683255</t>
  </si>
  <si>
    <t>NOMBRE RETIRA: RODRIGO FERNANDEZ . RUT RETIRA: 15248808-4</t>
  </si>
  <si>
    <t>Rodrigo Fernández Olave</t>
  </si>
  <si>
    <t>Calle Valparaiso 502, Casa N° 4</t>
  </si>
  <si>
    <t>BIT11039767</t>
  </si>
  <si>
    <t>261683368</t>
  </si>
  <si>
    <t>NOMBRE RETIRA: SEGUNDO DIAZ . RUT RETIRA: 8727709-7</t>
  </si>
  <si>
    <t>Mourin Alvarez Lara</t>
  </si>
  <si>
    <t>Avenida Cerro Paranal 380 dpto 161A, departamento</t>
  </si>
  <si>
    <t>2026-01-06 20:26</t>
  </si>
  <si>
    <t>BIT11039935</t>
  </si>
  <si>
    <t>261854548</t>
  </si>
  <si>
    <t>NOMBRE RETIRA: NATHALIA VALDES . RUT RETIRA: 16764605-0</t>
  </si>
  <si>
    <t>Nathalia Valdés Chandía</t>
  </si>
  <si>
    <t>Las Heras 1932</t>
  </si>
  <si>
    <t>BIT11039947</t>
  </si>
  <si>
    <t>261854510</t>
  </si>
  <si>
    <t>NOMBRE RETIRA: MAXIMILOAMO LUMA . RUT RETIRA: 17138717-5</t>
  </si>
  <si>
    <t>katerine stevenson</t>
  </si>
  <si>
    <t>Cesfam 2, San pedro, 1696, Rancagua sur, trabajo</t>
  </si>
  <si>
    <t>BIT11039918</t>
  </si>
  <si>
    <t>261854578</t>
  </si>
  <si>
    <t>NOMBRE RETIRA: JUAN HUENTEAO CONSERJE RUT RETIRA: 19599564-8</t>
  </si>
  <si>
    <t>Karla Salgado Romero</t>
  </si>
  <si>
    <t>Comandante Luis Soto 759, Depto 901 Torre A</t>
  </si>
  <si>
    <t>BIT11039358</t>
  </si>
  <si>
    <t>261864113</t>
  </si>
  <si>
    <t>NOMBRE RETIRA: JUAN CARLOS ESTAY B RUT RETIRA: 6785940-5</t>
  </si>
  <si>
    <t>Bernardita Buzeta</t>
  </si>
  <si>
    <t>Thompson 1155</t>
  </si>
  <si>
    <t>2026-01-09 14:47</t>
  </si>
  <si>
    <t>BIT11039794</t>
  </si>
  <si>
    <t>261683272</t>
  </si>
  <si>
    <t>NOMBRE RETIRA: YURITZA HERNANDEZ . RUT RETIRA: 27924600-4</t>
  </si>
  <si>
    <t>Yuritza Hernandez rizo</t>
  </si>
  <si>
    <t>Vargas 2204A, Local</t>
  </si>
  <si>
    <t>BIT11039931</t>
  </si>
  <si>
    <t>261854557</t>
  </si>
  <si>
    <t>NOMBRE RETIRA: LEONEL ME,A M RUT RETIRA: 65999916-1</t>
  </si>
  <si>
    <t>BIT11039901</t>
  </si>
  <si>
    <t>261854643</t>
  </si>
  <si>
    <t>NOMBRE RETIRA: KIARA CASTRO . RUT RETIRA: 17204229-5</t>
  </si>
  <si>
    <t>Pedro Antivil</t>
  </si>
  <si>
    <t>Juan martinez de rozas 677, 2010</t>
  </si>
  <si>
    <t>BIT11039869</t>
  </si>
  <si>
    <t>261770194</t>
  </si>
  <si>
    <t>NOMBRE RETIRA: DANIEL MONTERO FUENSALIDA RUT RETIRA: 18912223-3</t>
  </si>
  <si>
    <t>Daniel Montero</t>
  </si>
  <si>
    <t>Hernan Cortes 3533</t>
  </si>
  <si>
    <t>BIT11039930</t>
  </si>
  <si>
    <t>261854562</t>
  </si>
  <si>
    <t>NOMBRE RETIRA: NANCY ECHEVERRIA . . RUT RETIRA: 15022312-1</t>
  </si>
  <si>
    <t>Camilo Olmos vergara</t>
  </si>
  <si>
    <t>Pasaje cerro alegre 771, Casa</t>
  </si>
  <si>
    <t>BIT11039839</t>
  </si>
  <si>
    <t>261770292</t>
  </si>
  <si>
    <t>NOMBRE RETIRA: RAUL . . RUT RETIRA: 8065931-8</t>
  </si>
  <si>
    <t>Raul Valdebenito aros</t>
  </si>
  <si>
    <t>Avenida pedro aguirre cerda 11092, Casa c11</t>
  </si>
  <si>
    <t>2026-01-07 20:07</t>
  </si>
  <si>
    <t>BIT11039922</t>
  </si>
  <si>
    <t>261854598</t>
  </si>
  <si>
    <t>NOMBRE RETIRA: OMAR ESPINOZA ESPINOZA RUT RETIRA: 19590509-6</t>
  </si>
  <si>
    <t>Omar Espinoza Sandoval</t>
  </si>
  <si>
    <t>Villa Los Naranjos - Machali, Avenida San Juan 981</t>
  </si>
  <si>
    <t>BIT11039892</t>
  </si>
  <si>
    <t>261770126</t>
  </si>
  <si>
    <t>NOMBRE RETIRA: ORIANA ESCOBAR CONSERJE RUT RETIRA: 17625970-1</t>
  </si>
  <si>
    <t>Eduardo Yáñez Muñoz</t>
  </si>
  <si>
    <t>Guillermo Ulriksen 1680, depto J24</t>
  </si>
  <si>
    <t>BIT11039821</t>
  </si>
  <si>
    <t>261683224</t>
  </si>
  <si>
    <t>NOMBRE RETIRA: SEBASTIAN GARCIA . RUT RETIRA: 18067212-5</t>
  </si>
  <si>
    <t>ronald herlitz</t>
  </si>
  <si>
    <t>ARTURO PRAT 306</t>
  </si>
  <si>
    <t>BIT11039793</t>
  </si>
  <si>
    <t>261683276</t>
  </si>
  <si>
    <t>NOMBRE RETIRA: DIEGO BERRIOS . RUT RETIRA: 23533909-9</t>
  </si>
  <si>
    <t>Casa, Azapa 55</t>
  </si>
  <si>
    <t>BIT11039890</t>
  </si>
  <si>
    <t>261770095</t>
  </si>
  <si>
    <t>NOMBRE RETIRA: MARCELO MIRANDA . RUT RETIRA: 12220256-9</t>
  </si>
  <si>
    <t>Brayan Miranda Godoy</t>
  </si>
  <si>
    <t>Pasaje Pintor Juan Pereira 396, 396</t>
  </si>
  <si>
    <t>BIT11039898</t>
  </si>
  <si>
    <t>261770028</t>
  </si>
  <si>
    <t>NOMBRE RETIRA: MARCELA APABLAZA M RUT RETIRA: 16563474-8</t>
  </si>
  <si>
    <t>Marcela Apablaza</t>
  </si>
  <si>
    <t>Las Encinas 51, 603</t>
  </si>
  <si>
    <t>BIT11039765</t>
  </si>
  <si>
    <t>261683404</t>
  </si>
  <si>
    <t>NOMBRE RETIRA: WALDO VERGARA . RUT RETIRA: 10321333-9</t>
  </si>
  <si>
    <t>Waldo Vergara</t>
  </si>
  <si>
    <t>Avenida Lomas De La Luz 311, D 311, D 311</t>
  </si>
  <si>
    <t>BIT11039895</t>
  </si>
  <si>
    <t>261770058</t>
  </si>
  <si>
    <t>NOMBRE RETIRA: RODRIGO OYARZO . RUT RETIRA: 21861599-6</t>
  </si>
  <si>
    <t>Rodrigo Oyarzo</t>
  </si>
  <si>
    <t>Calle VolcÁn Choshuenco</t>
  </si>
  <si>
    <t>BIT11039850</t>
  </si>
  <si>
    <t>261770253</t>
  </si>
  <si>
    <t>NOMBRE RETIRA: SEBAATIAN VILLALOBOS . RUT RETIRA: 16464097-3</t>
  </si>
  <si>
    <t>Sebastian Villalobos</t>
  </si>
  <si>
    <t>Isla Acuy 4026</t>
  </si>
  <si>
    <t>BIT11039875</t>
  </si>
  <si>
    <t>261770172</t>
  </si>
  <si>
    <t>NOMBRE RETIRA: JIAN BIGIRLO BUGUNO RUT RETIRA: 9311816-2</t>
  </si>
  <si>
    <t>daniela caceres</t>
  </si>
  <si>
    <t>Volcán Doña Inés 700, 11</t>
  </si>
  <si>
    <t>BIT11039809</t>
  </si>
  <si>
    <t>261683227</t>
  </si>
  <si>
    <t>NOMBRE RETIRA: RUTH RIQUELME . RUT RETIRA: 7171397-0</t>
  </si>
  <si>
    <t>María José Graves Riquelme</t>
  </si>
  <si>
    <t>Colonizadores 856</t>
  </si>
  <si>
    <t>BIT11039792</t>
  </si>
  <si>
    <t>261683304</t>
  </si>
  <si>
    <t>NOMBRE RETIRA: JESSICA FERNANDEZ . RUT RETIRA: 10780705-5</t>
  </si>
  <si>
    <t>Mauricio Poblete Figueroa</t>
  </si>
  <si>
    <t>Cardenal Samore, 1451 casa H2</t>
  </si>
  <si>
    <t>BIT11039801</t>
  </si>
  <si>
    <t>261683287</t>
  </si>
  <si>
    <t>NOMBRE RETIRA: MIJAEL SAAVEDRA . RUT RETIRA: 17575914-K</t>
  </si>
  <si>
    <t>BIT11039878</t>
  </si>
  <si>
    <t>261770162</t>
  </si>
  <si>
    <t>Maryska Arce</t>
  </si>
  <si>
    <t>Copayapu 1144, Trabajo Corte de Apelaciones Copiapo</t>
  </si>
  <si>
    <t>BIT11039827</t>
  </si>
  <si>
    <t>261683218</t>
  </si>
  <si>
    <t>NOMBRE RETIRA: CECILIA HENDEX , RUT RETIRA: 53310370-7</t>
  </si>
  <si>
    <t>Temuco, Pasaje El Acantilado Poniente 841</t>
  </si>
  <si>
    <t>BIT11039873</t>
  </si>
  <si>
    <t>261770183</t>
  </si>
  <si>
    <t>NOMBRE RETIRA: JUAN MORALEZ . RUT RETIRA: 10036225-2</t>
  </si>
  <si>
    <t>Victor Rosales</t>
  </si>
  <si>
    <t>ramon carraco 239 casa 242 barrio antilhue, casa 242</t>
  </si>
  <si>
    <t>BIT11039836</t>
  </si>
  <si>
    <t>261770312</t>
  </si>
  <si>
    <t>NOMBRE RETIRA: MARCELO MORALES . RUT RETIRA: 13860778-K</t>
  </si>
  <si>
    <t>Marcelo Morales</t>
  </si>
  <si>
    <t>Cardenal Caro 822, 822</t>
  </si>
  <si>
    <t>BIT11039865</t>
  </si>
  <si>
    <t>261770209</t>
  </si>
  <si>
    <t>NOMBRE RETIRA: JOSN FRIZ N RUT RETIRA: 18510121-5</t>
  </si>
  <si>
    <t>Johann Fritz muñoz</t>
  </si>
  <si>
    <t>Chacra las gracias parcela 37-1 san isidro</t>
  </si>
  <si>
    <t>BIT11039480</t>
  </si>
  <si>
    <t>261332742</t>
  </si>
  <si>
    <t>NOMBRE RETIRA: FABIAN FABIAN . RUT RETIRA: 16490142-4</t>
  </si>
  <si>
    <t>2026-01-01 22:32</t>
  </si>
  <si>
    <t>BIT11039888</t>
  </si>
  <si>
    <t>261770158</t>
  </si>
  <si>
    <t>NOMBRE RETIRA: ORFELINO PEDRAZA . RUT RETIRA: 53321047-3</t>
  </si>
  <si>
    <t>Beatriz Bertrán Blaskovic</t>
  </si>
  <si>
    <t>Santa Teresa de los andes 27, Casa 2</t>
  </si>
  <si>
    <t>BIT11039832</t>
  </si>
  <si>
    <t>261770329</t>
  </si>
  <si>
    <t>NOMBRE RETIRA: JUAN GALLARDO . RUT RETIRA: 18495745-0</t>
  </si>
  <si>
    <t>Manuel Rencoret</t>
  </si>
  <si>
    <t>Constructora Rencoret, Los Carpinteros 1260</t>
  </si>
  <si>
    <t>BIT11039782</t>
  </si>
  <si>
    <t>261683358</t>
  </si>
  <si>
    <t>NOMBRE RETIRA: LUIS GARCIA . RUT RETIRA: 12345678-5</t>
  </si>
  <si>
    <t>vicente gutiérrez alfarez</t>
  </si>
  <si>
    <t>Av Costanera 3100, depto 1203</t>
  </si>
  <si>
    <t>2026-01-06 20:27</t>
  </si>
  <si>
    <t>BIT11039857</t>
  </si>
  <si>
    <t>261770213</t>
  </si>
  <si>
    <t>NOMBRE RETIRA: MARIA EUGENIA HENRIQUEZ RUT RETIRA: 11862638-9</t>
  </si>
  <si>
    <t>Cristian Muñoz Puentes</t>
  </si>
  <si>
    <t>Cholguán Oriente Casa 20, Casa</t>
  </si>
  <si>
    <t>BIT11039847</t>
  </si>
  <si>
    <t>261770244</t>
  </si>
  <si>
    <t>NOMBRE RETIRA: YUZMARI VARGAS GG RUT RETIRA: 28580410-8</t>
  </si>
  <si>
    <t>Sebastián Toloza Reyes</t>
  </si>
  <si>
    <t>Orompello 1061, Depto 809</t>
  </si>
  <si>
    <t>BIT11039764</t>
  </si>
  <si>
    <t>261683382</t>
  </si>
  <si>
    <t>NOMBRE RETIRA: ERNESTO MARIMAO . RUT RETIRA: 65002347-1</t>
  </si>
  <si>
    <t>EdifÍcio ViÑa Park 2, Álvarez 402, Depto 1304</t>
  </si>
  <si>
    <t>BIT11039830</t>
  </si>
  <si>
    <t>261770342</t>
  </si>
  <si>
    <t>NOMBRE RETIRA: SAMANTA MUJICA .. RUT RETIRA: 26076428-4</t>
  </si>
  <si>
    <t>CARLOS AGUIAR del FIERRO</t>
  </si>
  <si>
    <t>RODRIGUEZ 550</t>
  </si>
  <si>
    <t>BIT11039772</t>
  </si>
  <si>
    <t>261683362</t>
  </si>
  <si>
    <t>NOMBRE RETIRA: MERY PARRA . RUT RETIRA: 14393175-7</t>
  </si>
  <si>
    <t>Mery Parra Santander</t>
  </si>
  <si>
    <t>Av. Monseñor Alarcón 274, Local comercial Check</t>
  </si>
  <si>
    <t>BIT11039885</t>
  </si>
  <si>
    <t>261770134</t>
  </si>
  <si>
    <t>NOMBRE RETIRA: ANDRES NAVARRETE . RUT RETIRA: 12345678-5</t>
  </si>
  <si>
    <t>Ricardo Ramírez</t>
  </si>
  <si>
    <t>Pablo Raab 752, Casa 77</t>
  </si>
  <si>
    <t>BIT11038895</t>
  </si>
  <si>
    <t>260723629</t>
  </si>
  <si>
    <t>NOMBRE RETIRA: JOSSELIN NUNEZ . RUT RETIRA: 16633889-1</t>
  </si>
  <si>
    <t>Tomas Yanez</t>
  </si>
  <si>
    <t>Las Quintas 55</t>
  </si>
  <si>
    <t>2025-12-23 18:06</t>
  </si>
  <si>
    <t>BIT11039781</t>
  </si>
  <si>
    <t>261683330</t>
  </si>
  <si>
    <t>NOMBRE RETIRA: GUOLLERMO MEDINA . RUT RETIRA: 10509646-1</t>
  </si>
  <si>
    <t>MAGALY REYES MARAMBIO</t>
  </si>
  <si>
    <t>AVENIDA MOLINOS DEL SOL NR 89</t>
  </si>
  <si>
    <t>BIT11039854</t>
  </si>
  <si>
    <t>261770259</t>
  </si>
  <si>
    <t>NOMBRE RETIRA: SERGIO CARVACHO . RUT RETIRA: 10187905-4</t>
  </si>
  <si>
    <t>BIT11039698</t>
  </si>
  <si>
    <t>261583436</t>
  </si>
  <si>
    <t>NOMBRE RETIRA: LUIS HNANDES . RUT RETIRA: 15750012-0</t>
  </si>
  <si>
    <t>Matías Henríquez Thienel</t>
  </si>
  <si>
    <t>Caupolican 1484, 603B</t>
  </si>
  <si>
    <t>2026-01-05 20:06</t>
  </si>
  <si>
    <t>BIT11039593</t>
  </si>
  <si>
    <t>261490429</t>
  </si>
  <si>
    <t>NOMBRE RETIRA: VALENTIN ZAMORANO 0 RUT RETIRA: 12345678-5</t>
  </si>
  <si>
    <t>Valentin Zamorano</t>
  </si>
  <si>
    <t>Llullaillaco 3058, Casa</t>
  </si>
  <si>
    <t>BIT11039587</t>
  </si>
  <si>
    <t>261490471</t>
  </si>
  <si>
    <t>NOMBRE RETIRA: LOMA DEL NORTE 2 . RUT RETIRA: 65159793-5</t>
  </si>
  <si>
    <t>Catherine Diaz Saa</t>
  </si>
  <si>
    <t>Felix Garcia 320, Depto. 702 Torre B</t>
  </si>
  <si>
    <t>BIT11039477</t>
  </si>
  <si>
    <t>261332782</t>
  </si>
  <si>
    <t>NOMBRE RETIRA: SANDRA MANRRIQUEZ X RUT RETIRA: 8755184-9</t>
  </si>
  <si>
    <t>Sandra Manríquez Novoa</t>
  </si>
  <si>
    <t>Condominio Puertas Del Pacífico IV Andorra 3450 Edificio 2 Departamento 43, Departamento 43</t>
  </si>
  <si>
    <t>BIT11039612</t>
  </si>
  <si>
    <t>261490339</t>
  </si>
  <si>
    <t>NOMBRE RETIRA: CRISTIAN AMIGO JE RUT RETIRA: 15196688-8</t>
  </si>
  <si>
    <t>Christian Amigo Durán</t>
  </si>
  <si>
    <t>Irarrazabal 731</t>
  </si>
  <si>
    <t>BIT11039634</t>
  </si>
  <si>
    <t>261490238</t>
  </si>
  <si>
    <t>NOMBRE RETIRA: SEBASTIAN ALVAREZ A RUT RETIRA: 15692585-3</t>
  </si>
  <si>
    <t>Sebastian Alvarez Muñoz</t>
  </si>
  <si>
    <t>Los Palmitos 2384, Villa Las Araucarias</t>
  </si>
  <si>
    <t>2026-01-04 19:58</t>
  </si>
  <si>
    <t>BIT11038356</t>
  </si>
  <si>
    <t>260547501</t>
  </si>
  <si>
    <t>NOMBRE RETIRA: JORGE PERALES . RUT RETIRA: 15304698-0</t>
  </si>
  <si>
    <t>Ivan Collado</t>
  </si>
  <si>
    <t>Baquedano 182</t>
  </si>
  <si>
    <t>2025-12-20 11:08</t>
  </si>
  <si>
    <t>BIT11039755</t>
  </si>
  <si>
    <t>261583125</t>
  </si>
  <si>
    <t>NOMBRE RETIRA: GUILLERMO GARRIDO . RUT RETIRA: 13415958-8</t>
  </si>
  <si>
    <t>Gimena Alvarez</t>
  </si>
  <si>
    <t>Avenida Salvador Allende Gossens 609, Departamento 609 reina isabel, condominio 4 reinas</t>
  </si>
  <si>
    <t>BIT11039730</t>
  </si>
  <si>
    <t>261583262</t>
  </si>
  <si>
    <t>NOMBRE RETIRA: LUIS RAMIREZ . RUT RETIRA: 56058900-K</t>
  </si>
  <si>
    <t>Veronica Narbona</t>
  </si>
  <si>
    <t>Av Pacifico 4401, Torre E depto 1003</t>
  </si>
  <si>
    <t>BIT11039703</t>
  </si>
  <si>
    <t>261583377</t>
  </si>
  <si>
    <t>NOMBRE RETIRA: MARIA MIRANDA . RUT RETIRA: 12618802-1</t>
  </si>
  <si>
    <t>Pablo Poblete Lopehandía</t>
  </si>
  <si>
    <t>Avenida Salvador Allende Gossens 448, Condominio Cuatro Reinas Edificio Reina Ana Depto 705</t>
  </si>
  <si>
    <t>BIT11039076</t>
  </si>
  <si>
    <t>260883782</t>
  </si>
  <si>
    <t>NOMBRE RETIRA: CAROLINA VERGARA . RUT RETIRA: 11911128-5</t>
  </si>
  <si>
    <t>Brasilera 0668, Poblacion Juan Williams</t>
  </si>
  <si>
    <t>2025-12-26 11:05</t>
  </si>
  <si>
    <t>BIT11039674</t>
  </si>
  <si>
    <t>261490099</t>
  </si>
  <si>
    <t>NOMBRE RETIRA: CARMEN HIDALGO V RUT RETIRA: 9189313-4</t>
  </si>
  <si>
    <t>Mauricio Pizarro</t>
  </si>
  <si>
    <t>Casa, Pasaje Esmeralda 2537</t>
  </si>
  <si>
    <t>BIT11039756</t>
  </si>
  <si>
    <t>261583102</t>
  </si>
  <si>
    <t>NOMBRE RETIRA: CARLOS AREVALO A RUT RETIRA: 56049520-K</t>
  </si>
  <si>
    <t>Vía Halimeda 1630, 2302</t>
  </si>
  <si>
    <t>BIT11039624</t>
  </si>
  <si>
    <t>261490251</t>
  </si>
  <si>
    <t>NOMBRE RETIRA: NICOLAS MORALES A RUT RETIRA: 15989923-3</t>
  </si>
  <si>
    <t>Nicolás Morales</t>
  </si>
  <si>
    <t>Mauricio Rugendas, don Ambrosio, 330</t>
  </si>
  <si>
    <t>BIT11039556</t>
  </si>
  <si>
    <t>261381804</t>
  </si>
  <si>
    <t>NOMBRE RETIRA: CAMILA CARRIZO . RUT RETIRA: 19824989-0</t>
  </si>
  <si>
    <t>2026-01-03 11:03</t>
  </si>
  <si>
    <t>BIT11038838</t>
  </si>
  <si>
    <t>260723839</t>
  </si>
  <si>
    <t>NOMBRE RETIRA: CLAUDIA RODRIGUEZ X RUT RETIRA: 15013658-K</t>
  </si>
  <si>
    <t>La florida 233, 2</t>
  </si>
  <si>
    <t>BIT11039723</t>
  </si>
  <si>
    <t>261583324</t>
  </si>
  <si>
    <t>NOMBRE RETIRA: MARIELA BARRIENTOS . RUT RETIRA: 6186165-3</t>
  </si>
  <si>
    <t>Mónica Venegas Sancristoful</t>
  </si>
  <si>
    <t>jahuel 1640</t>
  </si>
  <si>
    <t>BIT11039714</t>
  </si>
  <si>
    <t>261583339</t>
  </si>
  <si>
    <t>NOMBRE RETIRA: MARTA MENDEZ . RUT RETIRA: 6677280-2</t>
  </si>
  <si>
    <t>Marta Lucia</t>
  </si>
  <si>
    <t>San Francisco De Limache, Serrano 126A</t>
  </si>
  <si>
    <t>BIT11039708</t>
  </si>
  <si>
    <t>261583358</t>
  </si>
  <si>
    <t>NOMBRE RETIRA: CONSERJERIA N N RUT RETIRA: 53312087-3</t>
  </si>
  <si>
    <t>Derek Needham</t>
  </si>
  <si>
    <t>El Mirador, C 14</t>
  </si>
  <si>
    <t>BIT11039594</t>
  </si>
  <si>
    <t>261490411</t>
  </si>
  <si>
    <t>NOMBRE RETIRA: CAROLINA , , RUT RETIRA: 53310370-7</t>
  </si>
  <si>
    <t>Carolina Meier</t>
  </si>
  <si>
    <t>Pedro de Mendoza 01838</t>
  </si>
  <si>
    <t>BIT11039531</t>
  </si>
  <si>
    <t>261381845</t>
  </si>
  <si>
    <t>NOMBRE RETIRA: JOSEMIGUEL LEONCINI . RUT RETIRA: 13008510-5</t>
  </si>
  <si>
    <t>Josemiguel Leoncini</t>
  </si>
  <si>
    <t>Orella 561, Casa</t>
  </si>
  <si>
    <t>BIT11039741</t>
  </si>
  <si>
    <t>261583183</t>
  </si>
  <si>
    <t>NOMBRE RETIRA: ANGELO LAGOA S RUT RETIRA: 19248643-2</t>
  </si>
  <si>
    <t>Isla del rey 2620, Departamento 424</t>
  </si>
  <si>
    <t>BIT11039131</t>
  </si>
  <si>
    <t>260957339</t>
  </si>
  <si>
    <t>NOMBRE RETIRA: ELSA ARDILES X RUT RETIRA: 10566361-7</t>
  </si>
  <si>
    <t>Elsa Ardiles</t>
  </si>
  <si>
    <t>Pasaje los andes 557</t>
  </si>
  <si>
    <t>2025-12-26 20:01</t>
  </si>
  <si>
    <t>BIT11038360</t>
  </si>
  <si>
    <t>260547477</t>
  </si>
  <si>
    <t>NOMBRE RETIRA: PATRICIO YANEZ . RUT RETIRA: 15310392-5</t>
  </si>
  <si>
    <t>Rafael guichapani</t>
  </si>
  <si>
    <t>croacia 699</t>
  </si>
  <si>
    <t>BIT11039498</t>
  </si>
  <si>
    <t>261332707</t>
  </si>
  <si>
    <t>NOMBRE RETIRA: ROSRIFO SANDOVAL S RUT RETIRA: 19248643-2</t>
  </si>
  <si>
    <t>rodrigo sandoval calderon</t>
  </si>
  <si>
    <t>Avenida Simpson 1498, casa</t>
  </si>
  <si>
    <t>2026-01-02 11:06</t>
  </si>
  <si>
    <t>BIT11039731</t>
  </si>
  <si>
    <t>261583217</t>
  </si>
  <si>
    <t>NOMBRE RETIRA: ALEJANDRO VORDPNDEA . RUT RETIRA: 22154642-3</t>
  </si>
  <si>
    <t>Alejandro Bordones</t>
  </si>
  <si>
    <t>El litre 2136, la Florida, La serena, Casa</t>
  </si>
  <si>
    <t>BIT11039738</t>
  </si>
  <si>
    <t>261583197</t>
  </si>
  <si>
    <t>NOMBRE RETIRA: GISELA ORTEGA A RUT RETIRA: 20137133-3</t>
  </si>
  <si>
    <t>Gisela Ortega</t>
  </si>
  <si>
    <t>Valparaíso, Valparaíso, Cerro San roque. Avenida Bernardo ohiggins, calle maule #56, Casa #56</t>
  </si>
  <si>
    <t>BIT11039696</t>
  </si>
  <si>
    <t>261583444</t>
  </si>
  <si>
    <t>NOMBRE RETIRA: MAICKOL ARANCIBIA . RUT RETIRA: 18259243-9</t>
  </si>
  <si>
    <t>Carlos Valdes</t>
  </si>
  <si>
    <t>Chacabuco 138</t>
  </si>
  <si>
    <t>BIT11039474</t>
  </si>
  <si>
    <t>261332793</t>
  </si>
  <si>
    <t>NOMBRE RETIRA: ERIKA JENERAL J RUT RETIRA: 13894707-6</t>
  </si>
  <si>
    <t>Alvaro Campaña Vergara</t>
  </si>
  <si>
    <t>Las ágatas 155, 62</t>
  </si>
  <si>
    <t>BIT11039580</t>
  </si>
  <si>
    <t>261490501</t>
  </si>
  <si>
    <t>NOMBRE RETIRA: ANDREA TRUJILLO . RUT RETIRA: 26861352-8</t>
  </si>
  <si>
    <t>Marcela Cifuentes San Martin</t>
  </si>
  <si>
    <t>Salvador Reyes 1094, Dp 901</t>
  </si>
  <si>
    <t>BIT11039456</t>
  </si>
  <si>
    <t>261332838</t>
  </si>
  <si>
    <t>NOMBRE RETIRA: JOSE LUIS M RUT RETIRA: 8443550-3</t>
  </si>
  <si>
    <t>José Luis Olave Dañobeitia</t>
  </si>
  <si>
    <t>Los Calabozos SN, Condominio fundo el Sol , parcela 10</t>
  </si>
  <si>
    <t>BIT11039742</t>
  </si>
  <si>
    <t>261583165</t>
  </si>
  <si>
    <t>NOMBRE RETIRA: ADA PEREZ . RUT RETIRA: 7228841-6</t>
  </si>
  <si>
    <t>Italo Lorca</t>
  </si>
  <si>
    <t>Casa, Lago Palena 0420</t>
  </si>
  <si>
    <t>BIT11039492</t>
  </si>
  <si>
    <t>261332666</t>
  </si>
  <si>
    <t>NOMBRE RETIRA: HANS BERATTO . RUT RETIRA: 18008667-6</t>
  </si>
  <si>
    <t>Hans Beratto Ulloa</t>
  </si>
  <si>
    <t>Av Baviera 0271, Angol, Casa</t>
  </si>
  <si>
    <t>BIT11039709</t>
  </si>
  <si>
    <t>261583388</t>
  </si>
  <si>
    <t>NOMBRE RETIRA: MARLEN CONTRERAS . RUT RETIRA: 76669508-6</t>
  </si>
  <si>
    <t>Jorky Aillon</t>
  </si>
  <si>
    <t>Barnachea, Canada 591</t>
  </si>
  <si>
    <t>BIT11039448</t>
  </si>
  <si>
    <t>261332848</t>
  </si>
  <si>
    <t>NOMBRE RETIRA: SANTIAGO CALDERON C RUT RETIRA: 56049520-K</t>
  </si>
  <si>
    <t>Flavia Mastrantonio</t>
  </si>
  <si>
    <t>General Bulnes 503, Depto 5-211</t>
  </si>
  <si>
    <t>BIT11039740</t>
  </si>
  <si>
    <t>261583190</t>
  </si>
  <si>
    <t>NOMBRE RETIRA: MATIA INNAR . RUT RETIRA: 27556546-6</t>
  </si>
  <si>
    <t>juan meneses mella</t>
  </si>
  <si>
    <t>freire 247, 302</t>
  </si>
  <si>
    <t>BIT11039535</t>
  </si>
  <si>
    <t>261381852</t>
  </si>
  <si>
    <t>NOMBRE RETIRA: RAFAELA FARFAR . RUT RETIRA: 24372962-9</t>
  </si>
  <si>
    <t>Paula Silva Jamen</t>
  </si>
  <si>
    <t>El arrayan 155, 6</t>
  </si>
  <si>
    <t>BIT11039540</t>
  </si>
  <si>
    <t>261381815</t>
  </si>
  <si>
    <t>NOMBRE RETIRA: VALESKA NILO PARADA RUT RETIRA: 53332751-6</t>
  </si>
  <si>
    <t>Valeska Nilo Parada</t>
  </si>
  <si>
    <t>Pintor Gustavo cabello Olguín 944, Departamento 609</t>
  </si>
  <si>
    <t>BIT11039733</t>
  </si>
  <si>
    <t>261583227</t>
  </si>
  <si>
    <t>NOMBRE RETIRA: MARIA RIVERA VVMARI RUT RETIRA: 16785976-3</t>
  </si>
  <si>
    <t>Almirante Riveros Norte 2677A, 12</t>
  </si>
  <si>
    <t>BIT11039743</t>
  </si>
  <si>
    <t>261583153</t>
  </si>
  <si>
    <t>NOMBRE RETIRA: FRANCISCO INZUNZAA A RUT RETIRA: 21290455-4</t>
  </si>
  <si>
    <t>Monica Zúñiga Venegas</t>
  </si>
  <si>
    <t>Los boldos 150 llo lleoSan Antonio, Casa</t>
  </si>
  <si>
    <t>BIT11039638</t>
  </si>
  <si>
    <t>261490208</t>
  </si>
  <si>
    <t>NOMBRE RETIRA: GLORIA GARRIDO X RUT RETIRA: 1111111-4</t>
  </si>
  <si>
    <t>Gloria Garrido</t>
  </si>
  <si>
    <t>Segundo de línea 398 esquina videla, Oficina Conadi</t>
  </si>
  <si>
    <t>BIT11039512</t>
  </si>
  <si>
    <t>261381947</t>
  </si>
  <si>
    <t>NOMBRE RETIRA: JAVIER PEREZ . RUT RETIRA: 12652009-3</t>
  </si>
  <si>
    <t>Marina Rubtsova</t>
  </si>
  <si>
    <t>Chacabuco 700, Oficina</t>
  </si>
  <si>
    <t>BIT11039721</t>
  </si>
  <si>
    <t>261583267</t>
  </si>
  <si>
    <t>NOMBRE RETIRA: JESICA SANDOVAL NUNEZ RUT RETIRA: 12851954-8</t>
  </si>
  <si>
    <t>Paicavi 917, 204</t>
  </si>
  <si>
    <t>BIT11039701</t>
  </si>
  <si>
    <t>261583423</t>
  </si>
  <si>
    <t>NOMBRE RETIRA: VICTOR MADRID MADRID RUT RETIRA: 14414102-4</t>
  </si>
  <si>
    <t>Edith Agurto silvs</t>
  </si>
  <si>
    <t>La galeria 630 jardin Oriente Rancagua</t>
  </si>
  <si>
    <t>BIT11039562</t>
  </si>
  <si>
    <t>261381795</t>
  </si>
  <si>
    <t>NOMBRE RETIRA: CECILIA ALIA SIN RUT RUT RETIRA: 12345678-5</t>
  </si>
  <si>
    <t>Renzo Peña Vicuña</t>
  </si>
  <si>
    <t>Pasaje el tesoro 1170, Villa los Yacimientos</t>
  </si>
  <si>
    <t>BIT11039543</t>
  </si>
  <si>
    <t>261381817</t>
  </si>
  <si>
    <t>NOMBRE RETIRA: HANS ALDAY . RUT RETIRA: 14098794-8</t>
  </si>
  <si>
    <t>Hans Alday</t>
  </si>
  <si>
    <t>Balmaceda 160</t>
  </si>
  <si>
    <t>BIT11039526</t>
  </si>
  <si>
    <t>261381882</t>
  </si>
  <si>
    <t>NOMBRE RETIRA: ANDREA ROMERO ROMERO RUT RETIRA: 10957249-7</t>
  </si>
  <si>
    <t>Casa, Gines YÁÑez 0351</t>
  </si>
  <si>
    <t>BIT11039687</t>
  </si>
  <si>
    <t>261490046</t>
  </si>
  <si>
    <t>NOMBRE RETIRA: FELIPE OLMOS OLMOS RUT RETIRA: 19394597-K</t>
  </si>
  <si>
    <t>Felipe Olmos</t>
  </si>
  <si>
    <t>Los Trapenses 465</t>
  </si>
  <si>
    <t>BIT11039734</t>
  </si>
  <si>
    <t>261583246</t>
  </si>
  <si>
    <t>NOMBRE RETIRA: JAIME ZAMORA N RUT RETIRA: 65163035-5</t>
  </si>
  <si>
    <t>SAMUEL SANCHEZ</t>
  </si>
  <si>
    <t>Las Acacias #749, 522</t>
  </si>
  <si>
    <t>BIT11039686</t>
  </si>
  <si>
    <t>261490061</t>
  </si>
  <si>
    <t>NOMBRE RETIRA: SANDRA VERDUGO QUNONES RUT RETIRA: 12515602-9</t>
  </si>
  <si>
    <t>Sandra Verdugo</t>
  </si>
  <si>
    <t>Madrid 1757, Los Alpes</t>
  </si>
  <si>
    <t>BIT11039470</t>
  </si>
  <si>
    <t>261332809</t>
  </si>
  <si>
    <t>NOMBRE RETIRA: GERMAN GUERRERO . RUT RETIRA: 21004030-7</t>
  </si>
  <si>
    <t>German Guerrero</t>
  </si>
  <si>
    <t>Limon verde 4457 villa huaytiquina, Casa</t>
  </si>
  <si>
    <t>BIT11039646</t>
  </si>
  <si>
    <t>261490154</t>
  </si>
  <si>
    <t>NOMBRE RETIRA: NOELIA REYNA . RUT RETIRA: 25217163-0</t>
  </si>
  <si>
    <t>Luisa Pava Isaza</t>
  </si>
  <si>
    <t>Av la paz 1661, Casa 140</t>
  </si>
  <si>
    <t>BIT11038693</t>
  </si>
  <si>
    <t>260544949</t>
  </si>
  <si>
    <t>NOMBRE RETIRA: CAMILA GUAJARDO 0 RUT RETIRA: 16936077-4</t>
  </si>
  <si>
    <t>Pasaje Quillota 357, 34</t>
  </si>
  <si>
    <t>BIT11039707</t>
  </si>
  <si>
    <t>261583371</t>
  </si>
  <si>
    <t>BIT11039614</t>
  </si>
  <si>
    <t>261490304</t>
  </si>
  <si>
    <t>NOMBRE RETIRA: THIARE GONZALEZ GONZALEZ RUT RETIRA: 20242447-3</t>
  </si>
  <si>
    <t>Thiare González Luengo</t>
  </si>
  <si>
    <t>Pasaje Borde Lago Norte 495</t>
  </si>
  <si>
    <t>BIT11039617</t>
  </si>
  <si>
    <t>261490271</t>
  </si>
  <si>
    <t>NOMBRE RETIRA: CRISTIAN MENDEZ . RUT RETIRA: 12708240-5</t>
  </si>
  <si>
    <t>Christian Mendez velozo</t>
  </si>
  <si>
    <t>San antonio 1080, Techo para todos</t>
  </si>
  <si>
    <t>BIT11039643</t>
  </si>
  <si>
    <t>261490181</t>
  </si>
  <si>
    <t>NOMBRE RETIRA: DINA SOTO . RUT RETIRA: 16510588-5</t>
  </si>
  <si>
    <t>Dina Soto Machuca</t>
  </si>
  <si>
    <t>Miguel Hernandez 640 Pob. El Retiro, Casa</t>
  </si>
  <si>
    <t>BIT11039601</t>
  </si>
  <si>
    <t>261490379</t>
  </si>
  <si>
    <t>NOMBRE RETIRA: DSNI , , , RUT RETIRA: 53310370-7</t>
  </si>
  <si>
    <t>Dani Martinez</t>
  </si>
  <si>
    <t>El robledal, 0762</t>
  </si>
  <si>
    <t>BIT11039603</t>
  </si>
  <si>
    <t>261490402</t>
  </si>
  <si>
    <t>NOMBRE RETIRA: LUIS ESPINA . RUT RETIRA: 4110007-9</t>
  </si>
  <si>
    <t>Kike Espina</t>
  </si>
  <si>
    <t>Los Placeres 742, Rinconada</t>
  </si>
  <si>
    <t>BIT11039618</t>
  </si>
  <si>
    <t>261490283</t>
  </si>
  <si>
    <t>NOMBRE RETIRA: LAURA AEDO . RUT RETIRA: 13306302-1</t>
  </si>
  <si>
    <t>Sergio Maturana Lagos</t>
  </si>
  <si>
    <t>Pasaje dieciseis 2930, Villa alto palomares</t>
  </si>
  <si>
    <t>BIT11039591</t>
  </si>
  <si>
    <t>261490419</t>
  </si>
  <si>
    <t>NOMBRE RETIRA: MARCELO VILLENA . RUT RETIRA: 14372626-6</t>
  </si>
  <si>
    <t>Juan Erratchou</t>
  </si>
  <si>
    <t>Av general Bonilla 2338, Oficina</t>
  </si>
  <si>
    <t>BIT11039487</t>
  </si>
  <si>
    <t>261332717</t>
  </si>
  <si>
    <t>NOMBRE RETIRA: ESTEBAN CONTRERAS . RUT RETIRA: 7704565-1</t>
  </si>
  <si>
    <t>esteban contreras lanas</t>
  </si>
  <si>
    <t>moises fabregas 2184, casa</t>
  </si>
  <si>
    <t>BIT11039533</t>
  </si>
  <si>
    <t>261381849</t>
  </si>
  <si>
    <t>NOMBRE RETIRA: PAULINA ESPINOZA CABEZAS RUT RETIRA: 13129133-7</t>
  </si>
  <si>
    <t>Javier Cabezas</t>
  </si>
  <si>
    <t>Avenida Andalien 756, Casa</t>
  </si>
  <si>
    <t>BIT11039450</t>
  </si>
  <si>
    <t>261332834</t>
  </si>
  <si>
    <t>NOMBRE RETIRA: JORGE OLIARTE . RUT RETIRA: 7744041-0</t>
  </si>
  <si>
    <t>Jorge Oliarte Santibáñez</t>
  </si>
  <si>
    <t>Chacarillas 1224</t>
  </si>
  <si>
    <t>BIT11039586</t>
  </si>
  <si>
    <t>261490478</t>
  </si>
  <si>
    <t>NOMBRE RETIRA: CARLOS ORELLANA . RUT RETIRA: 8079999-3</t>
  </si>
  <si>
    <t>Jorge Dosoli</t>
  </si>
  <si>
    <t>Camilo Henriquez 2222, Concepción, Depto 609</t>
  </si>
  <si>
    <t>BIT11039642</t>
  </si>
  <si>
    <t>261490189</t>
  </si>
  <si>
    <t>NOMBRE RETIRA: EDUARDO TERIAN . RUT RETIRA: 13406735-7</t>
  </si>
  <si>
    <t>BIT11039551</t>
  </si>
  <si>
    <t>261381776</t>
  </si>
  <si>
    <t>NOMBRE RETIRA: DENNIS AGUILERA A RUT RETIRA: 15096250-1</t>
  </si>
  <si>
    <t>Dennis Aguilera Aranda</t>
  </si>
  <si>
    <t>Calle los maitenes, 528</t>
  </si>
  <si>
    <t>BIT11039607</t>
  </si>
  <si>
    <t>261490368</t>
  </si>
  <si>
    <t>NOMBRE RETIRA: VLADIMIR MENESES MENESES RUT RETIRA: 15038505-9</t>
  </si>
  <si>
    <t>Vladimir Meneses Díaz</t>
  </si>
  <si>
    <t>Genova 436, Santa Margarita del Mar sector Puertas del Mar</t>
  </si>
  <si>
    <t>BIT11039408</t>
  </si>
  <si>
    <t>261317992</t>
  </si>
  <si>
    <t>NOMBRE RETIRA: EDUARDO QUIROGA . RUT RETIRA: 4116845-5</t>
  </si>
  <si>
    <t>Juan Carlos Toledo Toledo</t>
  </si>
  <si>
    <t>Avenida Arturo Prat ChacÓn 889, 82, 82</t>
  </si>
  <si>
    <t>BIT11039654</t>
  </si>
  <si>
    <t>261490144</t>
  </si>
  <si>
    <t>NOMBRE RETIRA: NANCY TABILO . RUT RETIRA: 10375013-K</t>
  </si>
  <si>
    <t>Victor Villanueva Tabilo</t>
  </si>
  <si>
    <t>Ricardo Varela Munizaga #2378, Punta Mira Norte, Coquimbo, Casa, Sector: Punta Mira Norte, Coquimbo</t>
  </si>
  <si>
    <t>BIT11039491</t>
  </si>
  <si>
    <t>261332670</t>
  </si>
  <si>
    <t>BIT11039579</t>
  </si>
  <si>
    <t>261381751</t>
  </si>
  <si>
    <t>NOMBRE RETIRA: CARLOS MOYA H RUT RETIRA: 65088669-0</t>
  </si>
  <si>
    <t>Luciano Espinoza</t>
  </si>
  <si>
    <t>Morris 776, Valparaíso, Depto 1011</t>
  </si>
  <si>
    <t>2026-01-03 11:04</t>
  </si>
  <si>
    <t>BIT11039515</t>
  </si>
  <si>
    <t>261381938</t>
  </si>
  <si>
    <t>NOMBRE RETIRA: VICENTE ROJAS 7 RUT RETIRA: 20999391-0</t>
  </si>
  <si>
    <t>Adriana Olivos</t>
  </si>
  <si>
    <t>Pfister 1886 C, C</t>
  </si>
  <si>
    <t>BIT11039519</t>
  </si>
  <si>
    <t>261381908</t>
  </si>
  <si>
    <t>NOMBRE RETIRA: MARIA GAETE . RUT RETIRA: 8148593-3</t>
  </si>
  <si>
    <t>Av. Ramón Sanfurgo 478</t>
  </si>
  <si>
    <t>BIT11039517</t>
  </si>
  <si>
    <t>261381945</t>
  </si>
  <si>
    <t>NOMBRE RETIRA: ALEJANDRO LAVAREZ . RUT RETIRA: 53330390-0</t>
  </si>
  <si>
    <t>Ingrid Lobos Lopez</t>
  </si>
  <si>
    <t>Blanca 655 Depto 1404,cerro Los Placeres Valparaiso, Blanca 655, 1304</t>
  </si>
  <si>
    <t>BIT11039445</t>
  </si>
  <si>
    <t>261332858</t>
  </si>
  <si>
    <t>NOMBRE RETIRA: LARRY HIDALGO . RUT RETIRA: 13225985-2</t>
  </si>
  <si>
    <t>Javier Hidalgo Paredes</t>
  </si>
  <si>
    <t>Pasaje Buenos Aires 267, Quilpué</t>
  </si>
  <si>
    <t>BIT11039510</t>
  </si>
  <si>
    <t>261381956</t>
  </si>
  <si>
    <t>NOMBRE RETIRA: DIEGO MENDOZA E RUT RETIRA: 20323016-8</t>
  </si>
  <si>
    <t>Jean Echevarria Pulido</t>
  </si>
  <si>
    <t>Las industrias 9690, Venta de repuestos "FC REPUESTOS SPA"</t>
  </si>
  <si>
    <t>2026-01-02 20:12</t>
  </si>
  <si>
    <t>BIT11039483</t>
  </si>
  <si>
    <t>261332737</t>
  </si>
  <si>
    <t>NOMBRE RETIRA: JOSE CARVAJAK - RUT RETIRA: 5419570-2</t>
  </si>
  <si>
    <t>Jennifer Santibanez leiva</t>
  </si>
  <si>
    <t>Avenida Del Mar 2900, Depto 303, 303</t>
  </si>
  <si>
    <t>BIT11039485</t>
  </si>
  <si>
    <t>261332726</t>
  </si>
  <si>
    <t>NOMBRE RETIRA: ANDRES YANES Y RUT RETIRA: 7136543-3</t>
  </si>
  <si>
    <t>Jonathan Yañez</t>
  </si>
  <si>
    <t>Trapiche 1615, Casa</t>
  </si>
  <si>
    <t>BIT11039489</t>
  </si>
  <si>
    <t>261332675</t>
  </si>
  <si>
    <t>NOMBRE RETIRA: DEISI SILV . RUT RETIRA: 11182202-6</t>
  </si>
  <si>
    <t>Franco Silva</t>
  </si>
  <si>
    <t>DIEGO DIAZ 50</t>
  </si>
  <si>
    <t>BIT11039615</t>
  </si>
  <si>
    <t>261490274</t>
  </si>
  <si>
    <t>NOMBRE RETIRA: FAUTINO ANINIR ANINIR RUT RETIRA: 11451476-4</t>
  </si>
  <si>
    <t>Guillermo Leon Calleia</t>
  </si>
  <si>
    <t>Zenón Herrera 3525, Departamento 4B</t>
  </si>
  <si>
    <t>BIT11039664</t>
  </si>
  <si>
    <t>261490119</t>
  </si>
  <si>
    <t>NOMBRE RETIRA: CAROLINA AVILA . RUT RETIRA: 15180469-1</t>
  </si>
  <si>
    <t>Vicente Duque</t>
  </si>
  <si>
    <t>Las Violetas 1756, 17</t>
  </si>
  <si>
    <t>BIT11039409</t>
  </si>
  <si>
    <t>261318021</t>
  </si>
  <si>
    <t>NOMBRE RETIRA: CAROL BASTIDAS . RUT RETIRA: 25110386-0</t>
  </si>
  <si>
    <t>Fernando Aguilar</t>
  </si>
  <si>
    <t>Manuel Antonio matta 2270</t>
  </si>
  <si>
    <t>BIT11039514</t>
  </si>
  <si>
    <t>261381937</t>
  </si>
  <si>
    <t>NOMBRE RETIRA: CAROLINA HUENUQUEO .. RUT RETIRA: 18067217-6</t>
  </si>
  <si>
    <t>Carolina Huenuqueo Hernandez</t>
  </si>
  <si>
    <t>Lago Villarrica 645, Casa 645</t>
  </si>
  <si>
    <t>BIT11039575</t>
  </si>
  <si>
    <t>261381756</t>
  </si>
  <si>
    <t>NOMBRE RETIRA: JORGE GONZALEZ PORTERIA RUT RETIRA: 65059547-5</t>
  </si>
  <si>
    <t>Dario Salas, 1011</t>
  </si>
  <si>
    <t>BIT11039584</t>
  </si>
  <si>
    <t>261490436</t>
  </si>
  <si>
    <t>NOMBRE RETIRA: VICTOR NAVARRETE . RUT RETIRA: 76669508-6</t>
  </si>
  <si>
    <t>Víctor Alejandro Navarrete Garcés</t>
  </si>
  <si>
    <t>Aníbal Pinto 618, Casa</t>
  </si>
  <si>
    <t>BIT11039486</t>
  </si>
  <si>
    <t>261332682</t>
  </si>
  <si>
    <t>NOMBRE RETIRA: OLGA VERGARA M RUT RETIRA: 5666980-9</t>
  </si>
  <si>
    <t>olgaolga vergara owen</t>
  </si>
  <si>
    <t>Cipreses 0142</t>
  </si>
  <si>
    <t>BIT11039665</t>
  </si>
  <si>
    <t>261490108</t>
  </si>
  <si>
    <t>NOMBRE RETIRA: MARIA EUGENIA PASMINO . RUT RETIRA: 6250201-0</t>
  </si>
  <si>
    <t>Fabián Mendoza</t>
  </si>
  <si>
    <t>Uno Oriente 5967</t>
  </si>
  <si>
    <t>BIT11039452</t>
  </si>
  <si>
    <t>261332770</t>
  </si>
  <si>
    <t>BIT11039525</t>
  </si>
  <si>
    <t>261381888</t>
  </si>
  <si>
    <t>NOMBRE RETIRA: TATIANA SANDOBAL J RUT RETIRA: 18194820-5</t>
  </si>
  <si>
    <t>Cristian Fuentealba</t>
  </si>
  <si>
    <t>Dante 01045, Casa</t>
  </si>
  <si>
    <t>BIT11039471</t>
  </si>
  <si>
    <t>261332816</t>
  </si>
  <si>
    <t>NOMBRE RETIRA: HERNAN BELISARIO . RUT RETIRA: 77393481-9</t>
  </si>
  <si>
    <t>Hernan belisario Hernandez cabrera</t>
  </si>
  <si>
    <t>Volcan llaima, 573</t>
  </si>
  <si>
    <t>BIT11039588</t>
  </si>
  <si>
    <t>261490449</t>
  </si>
  <si>
    <t>NOMBRE RETIRA: ANTONIO VELASQUEZ . RUT RETIRA: 14404593-9</t>
  </si>
  <si>
    <t>Antonio Velásquez</t>
  </si>
  <si>
    <t>La Plaza, 62</t>
  </si>
  <si>
    <t>BIT11039641</t>
  </si>
  <si>
    <t>261490197</t>
  </si>
  <si>
    <t>NOMBRE RETIRA: ARIEL LOPES . RUT RETIRA: 11111111-1</t>
  </si>
  <si>
    <t>Ariel Lopez</t>
  </si>
  <si>
    <t>20 norte 13 oriente C 3141  villa don Horacio, Casa reja verde</t>
  </si>
  <si>
    <t>BIT11039467</t>
  </si>
  <si>
    <t>261332763</t>
  </si>
  <si>
    <t>NOMBRE RETIRA: CLAUDIO RODRIGES . RUT RETIRA: 9019102-0</t>
  </si>
  <si>
    <t>Rodrigo Zúñiga Zuniga</t>
  </si>
  <si>
    <t>B7 D204, Diego Barros Arana 2121</t>
  </si>
  <si>
    <t>BIT11039537</t>
  </si>
  <si>
    <t>261381842</t>
  </si>
  <si>
    <t>NOMBRE RETIRA: PATRICK GUTIERRES . RUT RETIRA: 77393481-9</t>
  </si>
  <si>
    <t>Patrick Gutiérrez</t>
  </si>
  <si>
    <t>Jaime Repullo 3345, 19</t>
  </si>
  <si>
    <t>BIT11039503</t>
  </si>
  <si>
    <t>261381978</t>
  </si>
  <si>
    <t>NOMBRE RETIRA: JAIR SILVA VVTHGF RUT RETIRA: 65210697-8</t>
  </si>
  <si>
    <t>Marcela Medina Aguayo</t>
  </si>
  <si>
    <t>Avenida Manuel Rodríguez 140, depto 2011</t>
  </si>
  <si>
    <t>BIT11039608</t>
  </si>
  <si>
    <t>261490359</t>
  </si>
  <si>
    <t>NOMBRE RETIRA: YABINA LAYANA .. RUT RETIRA: 19146817-1</t>
  </si>
  <si>
    <t>Yanina Layana Barraza</t>
  </si>
  <si>
    <t>Odette Alvarez Musset 195, Casa</t>
  </si>
  <si>
    <t>BIT11039563</t>
  </si>
  <si>
    <t>261381789</t>
  </si>
  <si>
    <t>NOMBRE RETIRA: JOSE AVENDANO GG RUT RETIRA: 14326271-5</t>
  </si>
  <si>
    <t>Jose Avendaño</t>
  </si>
  <si>
    <t>Maipu 776, Trabajo</t>
  </si>
  <si>
    <t>BIT11039481</t>
  </si>
  <si>
    <t>261332752</t>
  </si>
  <si>
    <t>4 Norte 277, Apartamento 83</t>
  </si>
  <si>
    <t>BIT11039449</t>
  </si>
  <si>
    <t>261332771</t>
  </si>
  <si>
    <t>NOMBRE RETIRA: GERMAN PIMENTEL . RUT RETIRA: 65238841-8</t>
  </si>
  <si>
    <t>RUDOLPH HERBSTAEDT</t>
  </si>
  <si>
    <t>Sendero norte 50, Departamento 904</t>
  </si>
  <si>
    <t>BIT11039532</t>
  </si>
  <si>
    <t>261381857</t>
  </si>
  <si>
    <t>NOMBRE RETIRA: VIXTOR SALAD U RUT RETIRA: 10671369-3</t>
  </si>
  <si>
    <t>Victor Salas</t>
  </si>
  <si>
    <t>Pasaje Camilo Henríquez 010 Villa Centinela San Fernando</t>
  </si>
  <si>
    <t>BIT11039622</t>
  </si>
  <si>
    <t>261490235</t>
  </si>
  <si>
    <t>NOMBRE RETIRA: MAURICIO BRUNA . RUT RETIRA: 12950486-2</t>
  </si>
  <si>
    <t>Mauricio marcelo Bruna cortes</t>
  </si>
  <si>
    <t>Santa angela 208 villa el encanto, Casa</t>
  </si>
  <si>
    <t>BIT11039550</t>
  </si>
  <si>
    <t>261381810</t>
  </si>
  <si>
    <t>NOMBRE RETIRA: IRIS GAETE . RUT RETIRA: 5144755-7</t>
  </si>
  <si>
    <t>Jorge Gaete barrera</t>
  </si>
  <si>
    <t>Álvarez 646, 705</t>
  </si>
  <si>
    <t>BIT11039683</t>
  </si>
  <si>
    <t>261490066</t>
  </si>
  <si>
    <t>NOMBRE RETIRA: SANDRA FRIAS . RUT RETIRA: 65112293-7</t>
  </si>
  <si>
    <t>Sandra Frias</t>
  </si>
  <si>
    <t>Jose Tomas Urmeneta 1107, 631</t>
  </si>
  <si>
    <t>BIT11039200</t>
  </si>
  <si>
    <t>261060094</t>
  </si>
  <si>
    <t>NOMBRE RETIRA: EDUARDO ARZE . RUT RETIRA: 13216980-2</t>
  </si>
  <si>
    <t>Eduardo Arce</t>
  </si>
  <si>
    <t>Tarapaca 2367</t>
  </si>
  <si>
    <t>2025-12-28 20:13</t>
  </si>
  <si>
    <t>BIT11038867</t>
  </si>
  <si>
    <t>9422560906</t>
  </si>
  <si>
    <t>Miguel Valencia</t>
  </si>
  <si>
    <t>Pasaje el nogal 229, Casa</t>
  </si>
  <si>
    <t>BIT11038923</t>
  </si>
  <si>
    <t>9422355121</t>
  </si>
  <si>
    <t>David Barrera Bascuñán</t>
  </si>
  <si>
    <t>Punto Blue Express Copec Futaleufu, Futaleufu, carretera austral, camino 0</t>
  </si>
  <si>
    <t>2025-12-23 20:06</t>
  </si>
  <si>
    <t>BIT11039325</t>
  </si>
  <si>
    <t>261170733</t>
  </si>
  <si>
    <t>NOMBRE RETIRA: PABLO ACEVEDO J RUT RETIRA: 13210843-9</t>
  </si>
  <si>
    <t>Pablo Acevedo</t>
  </si>
  <si>
    <t>Quilpue 0939</t>
  </si>
  <si>
    <t>BIT11039349</t>
  </si>
  <si>
    <t>261170719</t>
  </si>
  <si>
    <t>NOMBRE RETIRA: ERIC SANCHEZ Z RUT RETIRA: 19494392-K</t>
  </si>
  <si>
    <t>Eric Sanchez flores</t>
  </si>
  <si>
    <t>San ignacio de loyola 1110, Departamento 303, block 7</t>
  </si>
  <si>
    <t>2025-12-30 11:03</t>
  </si>
  <si>
    <t>BIT11039404</t>
  </si>
  <si>
    <t>261318031</t>
  </si>
  <si>
    <t>NOMBRE RETIRA: MIRTA CONTRERA J RUT RETIRA: 18194820-5</t>
  </si>
  <si>
    <t>Alexis Matamala contreras</t>
  </si>
  <si>
    <t>Recabarren 0875, Casa</t>
  </si>
  <si>
    <t>BIT11039375</t>
  </si>
  <si>
    <t>261318093</t>
  </si>
  <si>
    <t>NOMBRE RETIRA: JOSE ASTTE . RUT RETIRA: 10774799-0</t>
  </si>
  <si>
    <t>DAVID RIOSECO MONTECINO</t>
  </si>
  <si>
    <t>OSCAR BONILLA PARCELA 17, LOTE 19, LOTE 19</t>
  </si>
  <si>
    <t>2025-12-30 20:08</t>
  </si>
  <si>
    <t>BIT11039402</t>
  </si>
  <si>
    <t>261317997</t>
  </si>
  <si>
    <t>NOMBRE RETIRA: IGNACIO . . RUT RETIRA: 6158250-9</t>
  </si>
  <si>
    <t>Ignacio Bañarez</t>
  </si>
  <si>
    <t>Diego Portales, pasaje 1 1953, Villa el Arrayán</t>
  </si>
  <si>
    <t>BIT11038807</t>
  </si>
  <si>
    <t>9422508653</t>
  </si>
  <si>
    <t>Michelle Denisse Armijo cornejo</t>
  </si>
  <si>
    <t>Las Nieves 52 A-1, Casa A-1</t>
  </si>
  <si>
    <t>2025-12-23 10:59</t>
  </si>
  <si>
    <t>BIT11039191</t>
  </si>
  <si>
    <t>261060115</t>
  </si>
  <si>
    <t>NOMBRE RETIRA: DENIS DRAON . RUT RETIRA: 11616057-9</t>
  </si>
  <si>
    <t>Maria Rubio Muñoz</t>
  </si>
  <si>
    <t>Avelino Contardo 1002, 1101</t>
  </si>
  <si>
    <t>BIT11039226</t>
  </si>
  <si>
    <t>261059988</t>
  </si>
  <si>
    <t>NOMBRE RETIRA: ELIANA BRESCHI X RUT RETIRA: 7648929-7</t>
  </si>
  <si>
    <t>BIT11038814</t>
  </si>
  <si>
    <t>9422241592</t>
  </si>
  <si>
    <t>Boulevard San Pedro #900, Valle Grande, Casa 78</t>
  </si>
  <si>
    <t>BIT11039268</t>
  </si>
  <si>
    <t>261170902</t>
  </si>
  <si>
    <t>NOMBRE RETIRA: HARLEN PLAZA . RUT RETIRA: 15004230-5</t>
  </si>
  <si>
    <t>Harlen Plaza Arriarán</t>
  </si>
  <si>
    <t>Avenida La Tirana 3479, Casa</t>
  </si>
  <si>
    <t>BIT11039362</t>
  </si>
  <si>
    <t>261170706</t>
  </si>
  <si>
    <t>NOMBRE RETIRA: NORMA SAAVEDRA 0 RUT RETIRA: 9209502-9</t>
  </si>
  <si>
    <t>Saavedra Norma</t>
  </si>
  <si>
    <t>José Maria Caro, 031</t>
  </si>
  <si>
    <t>BIT11039367</t>
  </si>
  <si>
    <t>261318098</t>
  </si>
  <si>
    <t>NOMBRE RETIRA: HECTOR VELOSO _ RUT RETIRA: 12345678-5</t>
  </si>
  <si>
    <t>Héctor Veloso</t>
  </si>
  <si>
    <t>avenida pacifico 3160, 402B</t>
  </si>
  <si>
    <t>BIT11039427</t>
  </si>
  <si>
    <t>261317913</t>
  </si>
  <si>
    <t>NOMBRE RETIRA: ANGELO RAMIREZ . RUT RETIRA: 17014766-9</t>
  </si>
  <si>
    <t>Angelo Ramirez</t>
  </si>
  <si>
    <t>Dolores Ramirez 1574</t>
  </si>
  <si>
    <t>BIT11039443</t>
  </si>
  <si>
    <t>261317894</t>
  </si>
  <si>
    <t>NOMBRE RETIRA: SEBASTIAN AGUILAR . RUT RETIRA: 15326640-9</t>
  </si>
  <si>
    <t>sebastian aguilar</t>
  </si>
  <si>
    <t>Pasaje jose vasquez andueza, Casa</t>
  </si>
  <si>
    <t>BIT11039407</t>
  </si>
  <si>
    <t>261318016</t>
  </si>
  <si>
    <t>NOMBRE RETIRA: XIMINA ANIOTZ H RUT RETIRA: 8244379-7</t>
  </si>
  <si>
    <t>Diego Aniotz</t>
  </si>
  <si>
    <t>Avenida republica 1105, villa huamachuco casa 119, Casa 119</t>
  </si>
  <si>
    <t>BIT11039384</t>
  </si>
  <si>
    <t>261318073</t>
  </si>
  <si>
    <t>NOMBRE RETIRA: VICTOR GONZALEZ M RUT RETIRA: 27606091-0</t>
  </si>
  <si>
    <t>Catalina Rebolledo gajardo</t>
  </si>
  <si>
    <t>5 de abril 1001, El globo</t>
  </si>
  <si>
    <t>BIT11039396</t>
  </si>
  <si>
    <t>261318060</t>
  </si>
  <si>
    <t>NOMBRE RETIRA: YASNA BERNAL . RUT RETIRA: 16868631-5</t>
  </si>
  <si>
    <t>Claudio Toro</t>
  </si>
  <si>
    <t>German segura 981</t>
  </si>
  <si>
    <t>BIT11039411</t>
  </si>
  <si>
    <t>261317917</t>
  </si>
  <si>
    <t>NOMBRE RETIRA: MOISES VALLEJOS . RUT RETIRA: 53336919-7</t>
  </si>
  <si>
    <t>ricardo fuentes</t>
  </si>
  <si>
    <t>Sangers 1191, 401</t>
  </si>
  <si>
    <t>BIT11039061</t>
  </si>
  <si>
    <t>260883940</t>
  </si>
  <si>
    <t>NOMBRE RETIRA: NEIVA MORALES . RUT RETIRA: 28368570-5</t>
  </si>
  <si>
    <t>Av. Maximiliano Poblete 14804, Casa 18</t>
  </si>
  <si>
    <t>BIT11039192</t>
  </si>
  <si>
    <t>261060103</t>
  </si>
  <si>
    <t>NOMBRE RETIRA: JORGE HORLANDD . RUT RETIRA: 17146009-3</t>
  </si>
  <si>
    <t>Jorge heraldo Faundez navarrete</t>
  </si>
  <si>
    <t>Catorce de febrero 244, 244</t>
  </si>
  <si>
    <t>BIT11039412</t>
  </si>
  <si>
    <t>261317983</t>
  </si>
  <si>
    <t>NOMBRE RETIRA: JOAAUIN ARANEDA . . RUT RETIRA: 21793010-3</t>
  </si>
  <si>
    <t>Aldo Gutierrez</t>
  </si>
  <si>
    <t>Pasaje 2 casa 134 el morro talcahuano, Casa</t>
  </si>
  <si>
    <t>BIT11039385</t>
  </si>
  <si>
    <t>261318067</t>
  </si>
  <si>
    <t>NOMBRE RETIRA: DARIEN ARAGON . RUT RETIRA: 19940088-6</t>
  </si>
  <si>
    <t>Calle 9 2470, Sta ines</t>
  </si>
  <si>
    <t>BIT11039363</t>
  </si>
  <si>
    <t>261170673</t>
  </si>
  <si>
    <t>NOMBRE RETIRA: CRISTINA PINCHEIRA . RUT RETIRA: 8183405-9</t>
  </si>
  <si>
    <t>BIT11039289</t>
  </si>
  <si>
    <t>261170864</t>
  </si>
  <si>
    <t>NOMBRE RETIRA: CAROLINA ASTUDILLO VARGAS RUT RETIRA: 14438717-1</t>
  </si>
  <si>
    <t>Carolina Astudillo Vargas</t>
  </si>
  <si>
    <t>Av.Pedro Montt S/N  Of.7 (Rodoviario)</t>
  </si>
  <si>
    <t>BIT11039426</t>
  </si>
  <si>
    <t>261317906</t>
  </si>
  <si>
    <t>BIT11039400</t>
  </si>
  <si>
    <t>261318035</t>
  </si>
  <si>
    <t>NOMBRE RETIRA: LUIS VALENZUELA T RUT RETIRA: 6665466-4</t>
  </si>
  <si>
    <t>Francisco Bolbaran Anabalon</t>
  </si>
  <si>
    <t>San Martín 1277, Depto 1102</t>
  </si>
  <si>
    <t>BIT11039357</t>
  </si>
  <si>
    <t>261170712</t>
  </si>
  <si>
    <t>NOMBRE RETIRA: JESSICA LIPAN . RUT RETIRA: 12789173-7</t>
  </si>
  <si>
    <t>Jessica Lipan Venegas</t>
  </si>
  <si>
    <t>Pasaje Tacora 873</t>
  </si>
  <si>
    <t>BIT11039245</t>
  </si>
  <si>
    <t>261059919</t>
  </si>
  <si>
    <t>NOMBRE RETIRA: NICOLAS MORALES ... RUT RETIRA: 15989923-3</t>
  </si>
  <si>
    <t>BIT11039313</t>
  </si>
  <si>
    <t>261170727</t>
  </si>
  <si>
    <t>NOMBRE RETIRA: MARIA ISABEL JORGE . RUT RETIRA: 26188316-3</t>
  </si>
  <si>
    <t>Bernardita Riveros villegas</t>
  </si>
  <si>
    <t>Avenida Grecia 1179, Piso 3er</t>
  </si>
  <si>
    <t>BIT11039423</t>
  </si>
  <si>
    <t>261317903</t>
  </si>
  <si>
    <t>NOMBRE RETIRA: ELISA ASTORGA A RUT RETIRA: 7215546-7</t>
  </si>
  <si>
    <t>Las Azucenas 773 villa jardines de ñuble</t>
  </si>
  <si>
    <t>BIT11039143</t>
  </si>
  <si>
    <t>260957317</t>
  </si>
  <si>
    <t>NOMBRE RETIRA: JUAN ROMWEO . RUT RETIRA: 21251455-1</t>
  </si>
  <si>
    <t>Omar Williams López</t>
  </si>
  <si>
    <t>18 de septiembre 1961., departamento 503</t>
  </si>
  <si>
    <t>BIT11039366</t>
  </si>
  <si>
    <t>261170667</t>
  </si>
  <si>
    <t>NOMBRE RETIRA: VICTORIA AGUILERA . RUT RETIRA: 20622514-9</t>
  </si>
  <si>
    <t>Jaime Carvajal</t>
  </si>
  <si>
    <t>Caupolican 1484, Dpto 204/b</t>
  </si>
  <si>
    <t>BIT11039121</t>
  </si>
  <si>
    <t>260957362</t>
  </si>
  <si>
    <t>NOMBRE RETIRA: NOLKA RODRIGUEZ . RUT RETIRA: 15770178-9</t>
  </si>
  <si>
    <t>Diego Castillo Villalobos</t>
  </si>
  <si>
    <t>Laguna kalina 1473, Casa B3</t>
  </si>
  <si>
    <t>2025-12-26 20:00</t>
  </si>
  <si>
    <t>BIT11038999</t>
  </si>
  <si>
    <t>260884554</t>
  </si>
  <si>
    <t>NOMBRE RETIRA: JOSELIN GARCIA 0 RUT RETIRA: 27698255-9</t>
  </si>
  <si>
    <t>Avenida Angamos 0282, 0282, 0282, 0282</t>
  </si>
  <si>
    <t>BIT11039283</t>
  </si>
  <si>
    <t>261170896</t>
  </si>
  <si>
    <t>NOMBRE RETIRA: MARCO FLORES . RUT RETIRA: 11930581-0</t>
  </si>
  <si>
    <t>Marco Marco Flores</t>
  </si>
  <si>
    <t>Cucuter 685, villa San rafael</t>
  </si>
  <si>
    <t>BIT11038149</t>
  </si>
  <si>
    <t>260303473</t>
  </si>
  <si>
    <t>NOMBRE RETIRA: NUCOLSD K . RUT RETIRA: 18642909-5</t>
  </si>
  <si>
    <t>Nicolas Videla</t>
  </si>
  <si>
    <t>Ovejero 969, Natales, Casa B</t>
  </si>
  <si>
    <t>2025-12-18 20:08</t>
  </si>
  <si>
    <t>BIT11039299</t>
  </si>
  <si>
    <t>261170860</t>
  </si>
  <si>
    <t>NOMBRE RETIRA: MERRU PARRA V RUT RETIRA: 13624643-7</t>
  </si>
  <si>
    <t>BIT11039331</t>
  </si>
  <si>
    <t>261170724</t>
  </si>
  <si>
    <t>NOMBRE RETIRA: HUGO NAVARRETE , RUT RETIRA: 53310370-7</t>
  </si>
  <si>
    <t>Hugo Navarrete Wilhelm</t>
  </si>
  <si>
    <t>Guillermo MacDonald 02590, Guillermo MacDonald 02590</t>
  </si>
  <si>
    <t>BIT11039243</t>
  </si>
  <si>
    <t>261059942</t>
  </si>
  <si>
    <t>NOMBRE RETIRA: RODRIGO CONTRERAS C RUT RETIRA: 13422655-2</t>
  </si>
  <si>
    <t>Rodrigo Contreras</t>
  </si>
  <si>
    <t>Juan serapio lois 871, Sector centro</t>
  </si>
  <si>
    <t>BIT11039217</t>
  </si>
  <si>
    <t>261060022</t>
  </si>
  <si>
    <t>NOMBRE RETIRA: JORGE SELMA . RUT RETIRA: 12972711-K</t>
  </si>
  <si>
    <t>Jorge Selman Valenzuela</t>
  </si>
  <si>
    <t>Freire 746, Local 29 galería las araucarias</t>
  </si>
  <si>
    <t>BIT11039246</t>
  </si>
  <si>
    <t>261059903</t>
  </si>
  <si>
    <t>NOMBRE RETIRA: JONATHAN FRUTZ . RUT RETIRA: 18510121-5</t>
  </si>
  <si>
    <t>BIT11039328</t>
  </si>
  <si>
    <t>261170817</t>
  </si>
  <si>
    <t>NOMBRE RETIRA: LUIS PINO PINO RUT RETIRA: 7974992-3</t>
  </si>
  <si>
    <t>BIT11038620</t>
  </si>
  <si>
    <t>260545337</t>
  </si>
  <si>
    <t>NOMBRE RETIRA: FRANCISCO MORALES . RUT RETIRA: 11961659-K</t>
  </si>
  <si>
    <t>Manuel Sepulveda</t>
  </si>
  <si>
    <t>Jaime Repullo 3815, Casa 36</t>
  </si>
  <si>
    <t>2025-12-21 20:32</t>
  </si>
  <si>
    <t>BIT11039042</t>
  </si>
  <si>
    <t>260884178</t>
  </si>
  <si>
    <t>NOMBRE RETIRA: ROGELIO RUSELL F RUT RETIRA: 15718175-0</t>
  </si>
  <si>
    <t>Rogelio Russell</t>
  </si>
  <si>
    <t>Avenida séptima 370-1, Reñaca Alto, Entre calle 10 y calle 11</t>
  </si>
  <si>
    <t>BIT11039044</t>
  </si>
  <si>
    <t>260884138</t>
  </si>
  <si>
    <t>Christian weibel</t>
  </si>
  <si>
    <t>Antonio Varas 979 Ofi 401 Temuco, Al lado del diario austral</t>
  </si>
  <si>
    <t>BIT11037691</t>
  </si>
  <si>
    <t>259989509</t>
  </si>
  <si>
    <t>NOMBRE RETIRA: MERYL LEIVA . RUT RETIRA: 18642909-5</t>
  </si>
  <si>
    <t>Meryl Leiva Leiva</t>
  </si>
  <si>
    <t>Carlos Bories 408, 408</t>
  </si>
  <si>
    <t>2025-12-15 11:00</t>
  </si>
  <si>
    <t>BIT11039263</t>
  </si>
  <si>
    <t>261170907</t>
  </si>
  <si>
    <t>NOMBRE RETIRA: PATRICIO OJEDA . RUT RETIRA: 10958634-K</t>
  </si>
  <si>
    <t>Patricio Ojeda Triviño</t>
  </si>
  <si>
    <t>Barros Arana 935, Gal Italia Conservador Bs Rs</t>
  </si>
  <si>
    <t>BIT11039282</t>
  </si>
  <si>
    <t>261170919</t>
  </si>
  <si>
    <t>NOMBRE RETIRA: LEYLA ALARCON . RUT RETIRA: 18137204-4</t>
  </si>
  <si>
    <t>Jaime Troncoso Wachtendorff</t>
  </si>
  <si>
    <t>Av 3 poniente 235 casa, 05 B</t>
  </si>
  <si>
    <t>BIT11038642</t>
  </si>
  <si>
    <t>260545233</t>
  </si>
  <si>
    <t>NOMBRE RETIRA: MABEL PADILLA . RUT RETIRA: 17761487-4</t>
  </si>
  <si>
    <t>Cristian Benavente Padilla</t>
  </si>
  <si>
    <t>Flores Millan 1065, sector quilamapu, casa</t>
  </si>
  <si>
    <t>BIT11039157</t>
  </si>
  <si>
    <t>261060176</t>
  </si>
  <si>
    <t>NOMBRE RETIRA: HECTOR FREDES F RUT RETIRA: 6563446-5</t>
  </si>
  <si>
    <t>Hector Fredes</t>
  </si>
  <si>
    <t>Leonidas perez 2835, 403B</t>
  </si>
  <si>
    <t>2025-12-27 11:04</t>
  </si>
  <si>
    <t>BIT11038816</t>
  </si>
  <si>
    <t>260723928</t>
  </si>
  <si>
    <t>NOMBRE RETIRA: SONIA URRA . RUT RETIRA: 4126720-8</t>
  </si>
  <si>
    <t>Pamela Molina</t>
  </si>
  <si>
    <t>Domingo Rojas 680</t>
  </si>
  <si>
    <t>BIT11039107</t>
  </si>
  <si>
    <t>260957365</t>
  </si>
  <si>
    <t>NOMBRE RETIRA: GLORIA FLORES . RUT RETIRA: 7170965-5</t>
  </si>
  <si>
    <t>Viviana Cortés Flores</t>
  </si>
  <si>
    <t>Serrano 1263</t>
  </si>
  <si>
    <t>BIT11039099</t>
  </si>
  <si>
    <t>260957377</t>
  </si>
  <si>
    <t>NOMBRE RETIRA: ANDRES MONTERO . RUT RETIRA: 16093862-5</t>
  </si>
  <si>
    <t>Cristina Marambio Cuevas</t>
  </si>
  <si>
    <t>Su santidad Juan XXIII 3317</t>
  </si>
  <si>
    <t>2025-12-26 11:06</t>
  </si>
  <si>
    <t>BIT11039279</t>
  </si>
  <si>
    <t>261170890</t>
  </si>
  <si>
    <t>NOMBRE RETIRA: A DRES MUNOZ . RUT RETIRA: 17971129-K</t>
  </si>
  <si>
    <t>Andrés Muñoz Correa</t>
  </si>
  <si>
    <t>Javiera Carrera, 1325 (Villanueva)</t>
  </si>
  <si>
    <t>BIT11039303</t>
  </si>
  <si>
    <t>261170820</t>
  </si>
  <si>
    <t>NOMBRE RETIRA: GIOWBANW VILLESCA . RUT RETIRA: 15180469-1</t>
  </si>
  <si>
    <t>Giovane Villesca Pacheco</t>
  </si>
  <si>
    <t>pasaje 30, 341</t>
  </si>
  <si>
    <t>BIT11039158</t>
  </si>
  <si>
    <t>261060206</t>
  </si>
  <si>
    <t>NOMBRE RETIRA: MONICA JAQUE . RUT RETIRA: 14308509-0</t>
  </si>
  <si>
    <t>OSVALDO JONAS VILLALOBOS CORANTE</t>
  </si>
  <si>
    <t>Balmaceda 1504 Depto 301, 301</t>
  </si>
  <si>
    <t>BIT11037816</t>
  </si>
  <si>
    <t>260087997</t>
  </si>
  <si>
    <t>NOMBRE RETIRA: NICOL VILLAROEL . RUT RETIRA: 76669508-6</t>
  </si>
  <si>
    <t>ivan Guglielmi</t>
  </si>
  <si>
    <t>Mackenna 291, coyhaique, Casa esquina</t>
  </si>
  <si>
    <t>2025-12-16 11:02</t>
  </si>
  <si>
    <t>BIT11039202</t>
  </si>
  <si>
    <t>261060078</t>
  </si>
  <si>
    <t>NOMBRE RETIRA: DANIEL CERDA . RUT RETIRA: 17625970-1</t>
  </si>
  <si>
    <t>Daniel Cerda</t>
  </si>
  <si>
    <t>Juan GarcÍa Contu 2793</t>
  </si>
  <si>
    <t>BIT11039149</t>
  </si>
  <si>
    <t>261060213</t>
  </si>
  <si>
    <t>NOMBRE RETIRA: MIRKO BARRAZA . RUT RETIRA: 18260417-8</t>
  </si>
  <si>
    <t>Paulina Gómez Elgueta</t>
  </si>
  <si>
    <t>Los Nísperos 678, 710 B</t>
  </si>
  <si>
    <t>BIT11039032</t>
  </si>
  <si>
    <t>260884134</t>
  </si>
  <si>
    <t>NOMBRE RETIRA: CLAUDIA ALVEAL A RUT RETIRA: 20323016-8</t>
  </si>
  <si>
    <t>Claudia Andrea Alveal Meza</t>
  </si>
  <si>
    <t>Alamedas San Fco. Abedules A42, 42</t>
  </si>
  <si>
    <t>BIT11038877</t>
  </si>
  <si>
    <t>9422144900</t>
  </si>
  <si>
    <t>Benjamín Eduardo Torrealba Catalán</t>
  </si>
  <si>
    <t>Amazonas 1256, Casa de dos pisos</t>
  </si>
  <si>
    <t>BIT11039126</t>
  </si>
  <si>
    <t>260957360</t>
  </si>
  <si>
    <t>NOMBRE RETIRA: JOSE ROJAS . RUT RETIRA: 53333476-8</t>
  </si>
  <si>
    <t>Ana Maria Garin</t>
  </si>
  <si>
    <t>Uno oriente 132, 1403</t>
  </si>
  <si>
    <t>BIT11039219</t>
  </si>
  <si>
    <t>261059993</t>
  </si>
  <si>
    <t>NOMBRE RETIRA: FELIPE BURGOS .. RUT RETIRA: 9870160-5</t>
  </si>
  <si>
    <t>Felipe Burgos Arevalo</t>
  </si>
  <si>
    <t>valle del sol pasaje B, casa #40, chiguayante, casa</t>
  </si>
  <si>
    <t>BIT11038825</t>
  </si>
  <si>
    <t>260723874</t>
  </si>
  <si>
    <t>NOMBRE RETIRA: PRISCILA MOLINA . RUT RETIRA: 13625180-5</t>
  </si>
  <si>
    <t>Priscilla Molina</t>
  </si>
  <si>
    <t>Treinta De Octubre 152 Villa Nonguen, 152</t>
  </si>
  <si>
    <t>BIT11038797</t>
  </si>
  <si>
    <t>260723991</t>
  </si>
  <si>
    <t>NOMBRE RETIRA: MAICOL GAJARDI GAJARDI RUT RETIRA: 18943618-1</t>
  </si>
  <si>
    <t>Jocelyn Ocaranza</t>
  </si>
  <si>
    <t>Doctor Amador Neghme 551, block13  dpto22</t>
  </si>
  <si>
    <t>BIT11039146</t>
  </si>
  <si>
    <t>260957319</t>
  </si>
  <si>
    <t>NOMBRE RETIRA: PEDRO VASQUEZ . RUT RETIRA: 76669508-6</t>
  </si>
  <si>
    <t>BIT11037770</t>
  </si>
  <si>
    <t>260088204</t>
  </si>
  <si>
    <t>NOMBRE RETIRA: MANUEL JAQUE . RUT RETIRA: 20900317-1</t>
  </si>
  <si>
    <t>José Ignacio Mora Trujillo</t>
  </si>
  <si>
    <t>General Baquedano 182</t>
  </si>
  <si>
    <t>BIT11038960</t>
  </si>
  <si>
    <t>260884926</t>
  </si>
  <si>
    <t>NOMBRE RETIRA: JOAQUIN VALENZUELA . RUT RETIRA: 21321313-K</t>
  </si>
  <si>
    <t>Beatriz Suhrcke abatte</t>
  </si>
  <si>
    <t>Illapata 140, Depto 93</t>
  </si>
  <si>
    <t>BIT11039052</t>
  </si>
  <si>
    <t>260883970</t>
  </si>
  <si>
    <t>NOMBRE RETIRA: MANUEL MUNOZ MUNOZ RUT RETIRA: 18446261-3</t>
  </si>
  <si>
    <t>Rancagua, Pasaje Capilla Sixtina, 1743, Casa</t>
  </si>
  <si>
    <t>BIT11039034</t>
  </si>
  <si>
    <t>260884293</t>
  </si>
  <si>
    <t>NOMBRE RETIRA: PATRICIA AGUIRE P RUT RETIRA: 1418744-8</t>
  </si>
  <si>
    <t>Patricia AGUIRRE PARADA</t>
  </si>
  <si>
    <t>Las Higueras 275, 275</t>
  </si>
  <si>
    <t>BIT11039045</t>
  </si>
  <si>
    <t>260884083</t>
  </si>
  <si>
    <t>NOMBRE RETIRA: ERIK MUNOZ . RUT RETIRA: 14242591-2</t>
  </si>
  <si>
    <t>Erik Muñoz Chandia</t>
  </si>
  <si>
    <t>Los Cerezos 394 Bellavista Tome, Casa</t>
  </si>
  <si>
    <t>BIT11039039</t>
  </si>
  <si>
    <t>260884209</t>
  </si>
  <si>
    <t>NOMBRE RETIRA: MIGUEL CARLOS . RUT RETIRA: 12805944-K</t>
  </si>
  <si>
    <t>Claudio Troncoso Leyton</t>
  </si>
  <si>
    <t>Peñuelas Norte 191, Restaurante Pilla La Vaca</t>
  </si>
  <si>
    <t>BIT11039129</t>
  </si>
  <si>
    <t>260957337</t>
  </si>
  <si>
    <t>NOMBRE RETIRA: TOMAS RUZ B RUT RETIRA: 17157338-6</t>
  </si>
  <si>
    <t>Tomas ruz</t>
  </si>
  <si>
    <t>boldo 4, pasaje Diecisiete, casa 2271,Curico</t>
  </si>
  <si>
    <t>BIT11039038</t>
  </si>
  <si>
    <t>260884234</t>
  </si>
  <si>
    <t>NOMBRE RETIRA: JOAQUIN HERNA DWZ 0 RUT RETIRA: 21182619-3</t>
  </si>
  <si>
    <t>Rodrigo Henríquez</t>
  </si>
  <si>
    <t>Tomas Daskam 1492</t>
  </si>
  <si>
    <t>BIT11039306</t>
  </si>
  <si>
    <t>261170785</t>
  </si>
  <si>
    <t>NOMBRE RETIRA: XIMENA SANCHEZ SALEH RUT RETIRA: 7173981-3</t>
  </si>
  <si>
    <t>Ximena Sanchez</t>
  </si>
  <si>
    <t>El roble  032, 032</t>
  </si>
  <si>
    <t>BIT11039216</t>
  </si>
  <si>
    <t>261060027</t>
  </si>
  <si>
    <t>NOMBRE RETIRA: POLET ROJAS ... RUT RETIRA: 56074790-K</t>
  </si>
  <si>
    <t>BIT11039254</t>
  </si>
  <si>
    <t>261059888</t>
  </si>
  <si>
    <t>NOMBRE RETIRA: MIRIAM PLAZA DS RUT RETIRA: 5791882-9</t>
  </si>
  <si>
    <t>Mauricio Brunel</t>
  </si>
  <si>
    <t>Wenceslao Vargas 433</t>
  </si>
  <si>
    <t>BIT11039262</t>
  </si>
  <si>
    <t>261059849</t>
  </si>
  <si>
    <t>BIT11039304</t>
  </si>
  <si>
    <t>261170779</t>
  </si>
  <si>
    <t>NOMBRE RETIRA: MARIELA SANCHEZ N RUT RETIRA: 11179103-1</t>
  </si>
  <si>
    <t>REGINA BASALDÚA</t>
  </si>
  <si>
    <t>TORREONES OESTE 1826, 1</t>
  </si>
  <si>
    <t>BIT11039302</t>
  </si>
  <si>
    <t>261170834</t>
  </si>
  <si>
    <t>NOMBRE RETIRA: CESAR MADRID MADRID RUT RETIRA: 21567275-1</t>
  </si>
  <si>
    <t>César Madrid</t>
  </si>
  <si>
    <t>Loteo El Polo Machali calle 6 oriente , Calle 6 Oriente Casa 52 A</t>
  </si>
  <si>
    <t>BIT11039147</t>
  </si>
  <si>
    <t>260957325</t>
  </si>
  <si>
    <t>NOMBRE RETIRA: RICARDO SALAZAR . RUT RETIRA: 15752014-8</t>
  </si>
  <si>
    <t>BIT11038261</t>
  </si>
  <si>
    <t>260303025</t>
  </si>
  <si>
    <t>NOMBRE RETIRA: PRISILA DUARTE . RUT RETIRA: 13658746-3</t>
  </si>
  <si>
    <t>Priscilla Duarte Farias</t>
  </si>
  <si>
    <t>Puesto Viejo 975, Villa Los Ganaderos</t>
  </si>
  <si>
    <t>2025-12-19 11:08</t>
  </si>
  <si>
    <t>BIT11039020</t>
  </si>
  <si>
    <t>260884417</t>
  </si>
  <si>
    <t>NOMBRE RETIRA: RAUL CARDENAA CARDENAS RUT RETIRA: 21688617-8</t>
  </si>
  <si>
    <t>Raul Cardenas Ugarte</t>
  </si>
  <si>
    <t>Monseñor Escriba de Balaguer 800, A148</t>
  </si>
  <si>
    <t>BIT11038996</t>
  </si>
  <si>
    <t>260884635</t>
  </si>
  <si>
    <t>NOMBRE RETIRA: FRANCO CORTES N RUT RETIRA: 17634311-7</t>
  </si>
  <si>
    <t>los lucumos 1345, depto c block 21</t>
  </si>
  <si>
    <t>BIT11038246</t>
  </si>
  <si>
    <t>260303105</t>
  </si>
  <si>
    <t>NOMBRE RETIRA: KRISHNA RODRIGUEZ . RUT RETIRA: 20260904-K</t>
  </si>
  <si>
    <t>Dinka Arce</t>
  </si>
  <si>
    <t>Calle Limache 3405, Oficina 127-128</t>
  </si>
  <si>
    <t>2025-12-19 11:07</t>
  </si>
  <si>
    <t>BIT11039183</t>
  </si>
  <si>
    <t>261060164</t>
  </si>
  <si>
    <t>NOMBRE RETIRA: LEONARDO , , RUT RETIRA: 53310370-7</t>
  </si>
  <si>
    <t>MIGUEL REINALDO SARMIENTO LOBOS</t>
  </si>
  <si>
    <t>Los Pablos 2031, Depto 1209 A</t>
  </si>
  <si>
    <t>BIT11039201</t>
  </si>
  <si>
    <t>261060084</t>
  </si>
  <si>
    <t>NOMBRE RETIRA: ELIZABET CONTRERAS . RUT RETIRA: 19073774-8</t>
  </si>
  <si>
    <t>Natalia Andrea Asenjo Díaz</t>
  </si>
  <si>
    <t>Dieciocho de Septiembre 246, 306</t>
  </si>
  <si>
    <t>BIT11038319</t>
  </si>
  <si>
    <t>260389235</t>
  </si>
  <si>
    <t>NOMBRE RETIRA: MARIA CAMPOS 0 RUT RETIRA: 17246464-5</t>
  </si>
  <si>
    <t>Carlos Pezoa Véliz 99, Depto O-22 (Llamar, no hay timbre ni conserje)</t>
  </si>
  <si>
    <t>2025-12-19 19:44</t>
  </si>
  <si>
    <t>BIT11039244</t>
  </si>
  <si>
    <t>261059927</t>
  </si>
  <si>
    <t>NOMBRE RETIRA: GERMAN MONCADA M RUT RETIRA: 13894707-6</t>
  </si>
  <si>
    <t>German Moncada</t>
  </si>
  <si>
    <t>Bellavista 915, 71</t>
  </si>
  <si>
    <t>BIT11039005</t>
  </si>
  <si>
    <t>260884504</t>
  </si>
  <si>
    <t>NOMBRE RETIRA: JUAN CARKOA . RUT RETIRA: 53330390-0</t>
  </si>
  <si>
    <t>BIT11038972</t>
  </si>
  <si>
    <t>260884737</t>
  </si>
  <si>
    <t>NOMBRE RETIRA: NAYIVE MARTINEZ M RUT RETIRA: 26574290-4</t>
  </si>
  <si>
    <t>Ibar Zepeda Orellana</t>
  </si>
  <si>
    <t>Copiapo 833, Depto 171</t>
  </si>
  <si>
    <t>BIT11039142</t>
  </si>
  <si>
    <t>260957330</t>
  </si>
  <si>
    <t>NOMBRE RETIRA: CESAR CANEO . RUT RETIRA: 19787995-5</t>
  </si>
  <si>
    <t>CESAR CANEO MAGNA</t>
  </si>
  <si>
    <t>Pasaje Justo Estay 0330</t>
  </si>
  <si>
    <t>BIT11038815</t>
  </si>
  <si>
    <t>260723950</t>
  </si>
  <si>
    <t>NOMBRE RETIRA: NANCI CORREA . RUT RETIRA: 11611759-2</t>
  </si>
  <si>
    <t>Max Mora Cortes</t>
  </si>
  <si>
    <t>Avenida Senador Humberto Palza Corvacho 3221</t>
  </si>
  <si>
    <t>BIT11038495</t>
  </si>
  <si>
    <t>260546062</t>
  </si>
  <si>
    <t>NOMBRE RETIRA: GABRIEL LOPEZ . RUT RETIRA: 12801782-8</t>
  </si>
  <si>
    <t>Norma de la Mercedes Meza Lopez</t>
  </si>
  <si>
    <t>Peuco maraton, laguna verde sur #535, Casa de esquina color naranja con rejas blancas.</t>
  </si>
  <si>
    <t>2025-12-21 20:31</t>
  </si>
  <si>
    <t>BIT11038932</t>
  </si>
  <si>
    <t>9422391753</t>
  </si>
  <si>
    <t>Eduardo Aguilera</t>
  </si>
  <si>
    <t>Miraflores 519, Casi esquina A. Prat</t>
  </si>
  <si>
    <t>2025-12-23 21:12</t>
  </si>
  <si>
    <t>BIT11038801</t>
  </si>
  <si>
    <t>260723966</t>
  </si>
  <si>
    <t>NOMBRE RETIRA: JAVIER ZULETA 0 RUT RETIRA: 10674898-5</t>
  </si>
  <si>
    <t>javier Zuleta Peralta</t>
  </si>
  <si>
    <t>Eduardo Orchard 217, 33</t>
  </si>
  <si>
    <t>BIT11038740</t>
  </si>
  <si>
    <t>9422084523</t>
  </si>
  <si>
    <t>Eduardo Gallardo morales</t>
  </si>
  <si>
    <t>La campiña dos casa 2b, Casa porton negro en la entrada</t>
  </si>
  <si>
    <t>2025-12-22 13:58</t>
  </si>
  <si>
    <t>BIT11038830</t>
  </si>
  <si>
    <t>9422605975</t>
  </si>
  <si>
    <t>Av españa 1489</t>
  </si>
  <si>
    <t>BIT11038809</t>
  </si>
  <si>
    <t>9422817526</t>
  </si>
  <si>
    <t>Shannen Bruyer Geis</t>
  </si>
  <si>
    <t>Avenida el parque 1641, Casa 67</t>
  </si>
  <si>
    <t>BIT11039234</t>
  </si>
  <si>
    <t>261059965</t>
  </si>
  <si>
    <t>Rodrigo Rivera</t>
  </si>
  <si>
    <t>valle de elicura 03051</t>
  </si>
  <si>
    <t>BIT11038792</t>
  </si>
  <si>
    <t>9422727436</t>
  </si>
  <si>
    <t>Hector Marcelo Araya Aguilera</t>
  </si>
  <si>
    <t>Las Encinas Nº881 Villa Maguillines</t>
  </si>
  <si>
    <t>BIT11039222</t>
  </si>
  <si>
    <t>261060001</t>
  </si>
  <si>
    <t>NOMBRE RETIRA: LUIS ALBORNOZ ALBORNIZ RUT RETIRA: 65195648-K</t>
  </si>
  <si>
    <t>Alicia Felmer</t>
  </si>
  <si>
    <t>Los Reyes 560 depto 1101 A Arrayanes, Depto 1101 A</t>
  </si>
  <si>
    <t>BIT11039261</t>
  </si>
  <si>
    <t>261059855</t>
  </si>
  <si>
    <t>NOMBRE RETIRA: MAURICIO ESPINOSA . RUT RETIRA: 77159101-9</t>
  </si>
  <si>
    <t>Patricio Saez Carvallo</t>
  </si>
  <si>
    <t>Calle Valle Las Monjas 710, Casa 38 Condominio Santa Emilia</t>
  </si>
  <si>
    <t>BIT11039212</t>
  </si>
  <si>
    <t>261060044</t>
  </si>
  <si>
    <t>NOMBRE RETIRA: ADRIANA BARRIA M RUT RETIRA: 11086461-2</t>
  </si>
  <si>
    <t>Adriana Figueroa barria</t>
  </si>
  <si>
    <t>Marruecos 1,461</t>
  </si>
  <si>
    <t>BIT11038653</t>
  </si>
  <si>
    <t>260545106</t>
  </si>
  <si>
    <t>NOMBRE RETIRA: MARIA KAIMANKE .. RUT RETIRA: 8259063-3</t>
  </si>
  <si>
    <t>Andrés Eduardo Núñez Caimanque</t>
  </si>
  <si>
    <t>Estanislao del Canto 949, Casa</t>
  </si>
  <si>
    <t>2025-12-22 11:01</t>
  </si>
  <si>
    <t>BIT11037752</t>
  </si>
  <si>
    <t>259989016</t>
  </si>
  <si>
    <t>NOMBRE RETIRA: LUIS. BASCUNAN . RUT RETIRA: 15922940-8</t>
  </si>
  <si>
    <t>Luis Segundo Bascuñan Sanchez</t>
  </si>
  <si>
    <t>cañete 411 Coyhaique</t>
  </si>
  <si>
    <t>2025-12-15 20:05</t>
  </si>
  <si>
    <t>BIT11038944</t>
  </si>
  <si>
    <t>260885099</t>
  </si>
  <si>
    <t>NOMBRE RETIRA: JUAN GALDAMES . RUT RETIRA: 17410847-1</t>
  </si>
  <si>
    <t>Juan Galdamez Gutierrez</t>
  </si>
  <si>
    <t>Balmaceda 375 Local Nro. 1 (Lila Center)</t>
  </si>
  <si>
    <t>BIT11039051</t>
  </si>
  <si>
    <t>260883995</t>
  </si>
  <si>
    <t>NOMBRE RETIRA: MARCIA CARES . RUT RETIRA: 18486096-1</t>
  </si>
  <si>
    <t>Pablo Alvarez</t>
  </si>
  <si>
    <t>Luis Durand 03057, Departamento 203 torre E condominio Parque Durand</t>
  </si>
  <si>
    <t>BIT11039105</t>
  </si>
  <si>
    <t>260957369</t>
  </si>
  <si>
    <t>NOMBRE RETIRA: ORIELI PIZARRO . RUT RETIRA: 9328457-7</t>
  </si>
  <si>
    <t>Arnaldo Pizarro</t>
  </si>
  <si>
    <t>Victor Domingo Silva Pasaje 1 Casa 1414, Poblacion Oscar Praguer</t>
  </si>
  <si>
    <t>BIT11039238</t>
  </si>
  <si>
    <t>261059957</t>
  </si>
  <si>
    <t>NOMBRE RETIRA: JEAN ECHEVERRIA E RUT RETIRA: 16159159-9</t>
  </si>
  <si>
    <t>BIT11039009</t>
  </si>
  <si>
    <t>260884474</t>
  </si>
  <si>
    <t>NOMBRE RETIRA: PEDRO HENAO M RUT RETIRA: 8727709-7</t>
  </si>
  <si>
    <t>Luis Patricio Rivera Gonzalez</t>
  </si>
  <si>
    <t>Cerro Paranal 515, Pontos163, Pontos 163</t>
  </si>
  <si>
    <t>BIT11038552</t>
  </si>
  <si>
    <t>260545826</t>
  </si>
  <si>
    <t>NOMBRE RETIRA: XAVIERA LOPEZ . RUT RETIRA: 19104312-K</t>
  </si>
  <si>
    <t>Gisselle Pérez</t>
  </si>
  <si>
    <t>Calle los Exploradores 14011, Casa 151, condominio los Exploradores</t>
  </si>
  <si>
    <t>BIT11039065</t>
  </si>
  <si>
    <t>260883896</t>
  </si>
  <si>
    <t>NOMBRE RETIRA: ARMIN GARNICA . RUT RETIRA: 19086367-0</t>
  </si>
  <si>
    <t>Christian Vergara Rojas</t>
  </si>
  <si>
    <t>Serrano. 1196, 1196</t>
  </si>
  <si>
    <t>BIT11038837</t>
  </si>
  <si>
    <t>260723851</t>
  </si>
  <si>
    <t>NOMBRE RETIRA: CLAUDIA BORQUEZ . RUT RETIRA: 11926891-5</t>
  </si>
  <si>
    <t>BIT11038558</t>
  </si>
  <si>
    <t>260545774</t>
  </si>
  <si>
    <t>NOMBRE RETIRA: MICHEL VERA . RUT RETIRA: 26440955-1</t>
  </si>
  <si>
    <t>Jaime Bustos</t>
  </si>
  <si>
    <t>Arturo prat 1724, 1707</t>
  </si>
  <si>
    <t>BIT11038554</t>
  </si>
  <si>
    <t>260545800</t>
  </si>
  <si>
    <t>NOMBRE RETIRA: LUIS YANEZ . RUT RETIRA: 5117708-8</t>
  </si>
  <si>
    <t>Marcela Yañez</t>
  </si>
  <si>
    <t>Los Viñedos 4857</t>
  </si>
  <si>
    <t>BIT11038892</t>
  </si>
  <si>
    <t>260723652</t>
  </si>
  <si>
    <t>NOMBRE RETIRA: ELIZBETH TORRES J RUT RETIRA: 18194820-5</t>
  </si>
  <si>
    <t>Elizabeth Torres</t>
  </si>
  <si>
    <t>Brisas del maipo 2121, 74</t>
  </si>
  <si>
    <t>BIT11038560</t>
  </si>
  <si>
    <t>260545759</t>
  </si>
  <si>
    <t>NOMBRE RETIRA: BERTA VICTORIANO X RUT RETIRA: 11019086-7</t>
  </si>
  <si>
    <t>Daniela vásquez</t>
  </si>
  <si>
    <t>Lautaro 2010, Casa esquina</t>
  </si>
  <si>
    <t>BIT11038676</t>
  </si>
  <si>
    <t>260545024</t>
  </si>
  <si>
    <t>NOMBRE RETIRA: DORCA ROMERO A RUT RETIRA: 15692585-3</t>
  </si>
  <si>
    <t>Dorca Romero</t>
  </si>
  <si>
    <t>Los Olmos 2621</t>
  </si>
  <si>
    <t>BIT11038492</t>
  </si>
  <si>
    <t>260546088</t>
  </si>
  <si>
    <t>NOMBRE RETIRA: JIMENA SOZA 0 RUT RETIRA: 12345678-5</t>
  </si>
  <si>
    <t>2025-12-21 20:30</t>
  </si>
  <si>
    <t>BIT11038861</t>
  </si>
  <si>
    <t>260723697</t>
  </si>
  <si>
    <t>NOMBRE RETIRA: ERICK NUNEZ . RUT RETIRA: 8904448-0</t>
  </si>
  <si>
    <t>Martin Barañados</t>
  </si>
  <si>
    <t>Manuel Bulnes, 1774</t>
  </si>
  <si>
    <t>BIT11038963</t>
  </si>
  <si>
    <t>260884909</t>
  </si>
  <si>
    <t>NOMBRE RETIRA: ALVARO ZEPEDA . RUT RETIRA: 13218886-6</t>
  </si>
  <si>
    <t>SERGIO COSSIO TAPIA</t>
  </si>
  <si>
    <t>CASTRO 5116, LOCAL</t>
  </si>
  <si>
    <t>BIT11038985</t>
  </si>
  <si>
    <t>260884687</t>
  </si>
  <si>
    <t>NOMBRE RETIRA: EUGENIO PAVEZ .. RUT RETIRA: 9338167-K</t>
  </si>
  <si>
    <t>BIT11039102</t>
  </si>
  <si>
    <t>260883426</t>
  </si>
  <si>
    <t>NOMBRE RETIRA: JESSICA CARMONA . RUT RETIRA: 14110979-0</t>
  </si>
  <si>
    <t>Oscar Robert Aguilera Diaz</t>
  </si>
  <si>
    <t>Ascotán Norte 155, Depto 312 B</t>
  </si>
  <si>
    <t>BIT11039068</t>
  </si>
  <si>
    <t>260883835</t>
  </si>
  <si>
    <t>NOMBRE RETIRA: HUGO . . RUT RETIRA: 26209641-6</t>
  </si>
  <si>
    <t>Hugo Perry Hidalgo</t>
  </si>
  <si>
    <t>Benjamín Vicuña Mackenna 456</t>
  </si>
  <si>
    <t>BIT11038583</t>
  </si>
  <si>
    <t>260545647</t>
  </si>
  <si>
    <t>NOMBRE RETIRA: SANDRA PIZARRO . RUT RETIRA: 11160842-3</t>
  </si>
  <si>
    <t>Sandra Pizarro Yevenes</t>
  </si>
  <si>
    <t>Torremolinos 410 local 202, Local 202</t>
  </si>
  <si>
    <t>BIT11038263</t>
  </si>
  <si>
    <t>260302991</t>
  </si>
  <si>
    <t>NOMBRE RETIRA: REBECA MOLINA . RUT RETIRA: 22800925-3</t>
  </si>
  <si>
    <t>Gerardo Molina</t>
  </si>
  <si>
    <t>San Diego 982, Casa</t>
  </si>
  <si>
    <t>BIT11038915</t>
  </si>
  <si>
    <t>260723530</t>
  </si>
  <si>
    <t>NOMBRE RETIRA: NELLY FUENTES . RUT RETIRA: 12533484-9</t>
  </si>
  <si>
    <t>Nelly Fuentes Carrasco</t>
  </si>
  <si>
    <t>Calle Libertad 322 Lanco, Casa</t>
  </si>
  <si>
    <t>BIT11038871</t>
  </si>
  <si>
    <t>260723688</t>
  </si>
  <si>
    <t>NOMBRE RETIRA: JACOB RIOS . RUT RETIRA: 19260398-6</t>
  </si>
  <si>
    <t>BIT11038738</t>
  </si>
  <si>
    <t>260610436</t>
  </si>
  <si>
    <t>NOMBRE RETIRA: SOFIA ARAVENA . RUT RETIRA: 15978612-9</t>
  </si>
  <si>
    <t>Sofia Aravena Martinez</t>
  </si>
  <si>
    <t>Las Cruces 1463, Las Cruces 1463</t>
  </si>
  <si>
    <t>2025-12-22 13:59</t>
  </si>
  <si>
    <t>BIT11038591</t>
  </si>
  <si>
    <t>260545574</t>
  </si>
  <si>
    <t>NOMBRE RETIRA: YOVANI GONZALES . RUT RETIRA: 18630899-9</t>
  </si>
  <si>
    <t>Yovanny Gonzalez</t>
  </si>
  <si>
    <t>Pasaje Viviana Garay 3545, El Boro</t>
  </si>
  <si>
    <t>BIT11038528</t>
  </si>
  <si>
    <t>260545935</t>
  </si>
  <si>
    <t>NOMBRE RETIRA: ROSANA BALBOA .. RUT RETIRA: 19265402-5</t>
  </si>
  <si>
    <t>Mario Sanchez flores</t>
  </si>
  <si>
    <t>Variante internacional esquina pasaje arriagada, Oficina takun</t>
  </si>
  <si>
    <t>BIT11038938</t>
  </si>
  <si>
    <t>260885180</t>
  </si>
  <si>
    <t>NOMBRE RETIRA: YULISSA VILLARROEL . RUT RETIRA: 13737273-8</t>
  </si>
  <si>
    <t>yanitza villarroel</t>
  </si>
  <si>
    <t>Eulogio Goycolea  126, Casa</t>
  </si>
  <si>
    <t>BIT11039082</t>
  </si>
  <si>
    <t>260883620</t>
  </si>
  <si>
    <t>NOMBRE RETIRA: BENJAMIN VALLEJOS X RUT RETIRA: 12345678-5</t>
  </si>
  <si>
    <t>Victor Vallejos</t>
  </si>
  <si>
    <t>Lautaro 1039, Casa</t>
  </si>
  <si>
    <t>BIT11038940</t>
  </si>
  <si>
    <t>260885094</t>
  </si>
  <si>
    <t>NOMBRE RETIRA: EDTIH RIVERA .. RUT RETIRA: 18868550-1</t>
  </si>
  <si>
    <t>Edith Rivera Mallma</t>
  </si>
  <si>
    <t>Parcela 11 lote 2 sector bellavista, Parcela</t>
  </si>
  <si>
    <t>BIT11038893</t>
  </si>
  <si>
    <t>260723646</t>
  </si>
  <si>
    <t>NOMBRE RETIRA: FLORENCIA GALLEGUILLOS G RUT RETIRA: 7535415-0</t>
  </si>
  <si>
    <t>juan avalos</t>
  </si>
  <si>
    <t>esmeralda 2639</t>
  </si>
  <si>
    <t>BIT11038883</t>
  </si>
  <si>
    <t>260723679</t>
  </si>
  <si>
    <t>NOMBRE RETIRA: LORENA GUZMAN T RUT RETIRA: 9923280-3</t>
  </si>
  <si>
    <t>Gonzalo Molina</t>
  </si>
  <si>
    <t>La virgen 115, Casa</t>
  </si>
  <si>
    <t>BIT11039084</t>
  </si>
  <si>
    <t>260883544</t>
  </si>
  <si>
    <t>NOMBRE RETIRA: BASTIAN BURFIS 0 RUT RETIRA: 20928416-2</t>
  </si>
  <si>
    <t>MARCELO VIVES</t>
  </si>
  <si>
    <t>Los Avellanos 45, 45</t>
  </si>
  <si>
    <t>BIT11038942</t>
  </si>
  <si>
    <t>260885072</t>
  </si>
  <si>
    <t>NOMBRE RETIRA: ELIANA . . RUT RETIRA: 12345678-5</t>
  </si>
  <si>
    <t>Eliana Lopez</t>
  </si>
  <si>
    <t>Casa 29 Condominio 1 Las Pircas Vallenar, Presbitero Bruno Zavala 760</t>
  </si>
  <si>
    <t>BIT11038751</t>
  </si>
  <si>
    <t>260610432</t>
  </si>
  <si>
    <t>NOMBRE RETIRA: CRISTIAN MERINO . RUT RETIRA: 15173327-1</t>
  </si>
  <si>
    <t>Cristian Merino ibacache</t>
  </si>
  <si>
    <t>Pasaje 41 #3982, Casa</t>
  </si>
  <si>
    <t>2025-12-22 20:21</t>
  </si>
  <si>
    <t>BIT11038898</t>
  </si>
  <si>
    <t>260723602</t>
  </si>
  <si>
    <t>NOMBRE RETIRA: NATALIA CASTRO . RUT RETIRA: 11422737-4</t>
  </si>
  <si>
    <t>Natalia Castro</t>
  </si>
  <si>
    <t>Cruce Huallillinga Km 13,5, Sotaqui Ovalle, Frigorifico Brooms, Oficina Coagra</t>
  </si>
  <si>
    <t>BIT11037660</t>
  </si>
  <si>
    <t>259841642</t>
  </si>
  <si>
    <t>NOMBRE RETIRA: ROSA CHACON K RUT RETIRA: 7672915-8</t>
  </si>
  <si>
    <t>Carolina Marin</t>
  </si>
  <si>
    <t>Avenida Cardenal Antonio Samore 1625, Avenida Cardenal Antonio Samore 1625</t>
  </si>
  <si>
    <t>2025-12-14 21:01</t>
  </si>
  <si>
    <t>BIT11038859</t>
  </si>
  <si>
    <t>260723752</t>
  </si>
  <si>
    <t>NOMBRE RETIRA: DANTE FARFAN NN RUT RETIRA: 21534451-7</t>
  </si>
  <si>
    <t>Paola Salgado Campos</t>
  </si>
  <si>
    <t>Ruta U-435 KilÓmetro 1, Condominio Terrazas De TacamÓ Parcela 15, Condominio Terrazas de Tacamó parcela 15</t>
  </si>
  <si>
    <t>BIT11038998</t>
  </si>
  <si>
    <t>260884588</t>
  </si>
  <si>
    <t>NOMBRE RETIRA: JEANPOL CHUQUITAIPE . RUT RETIRA: 27043291-3</t>
  </si>
  <si>
    <t>john chuquitaype</t>
  </si>
  <si>
    <t>Pasaje copihue rojo 681</t>
  </si>
  <si>
    <t>BIT11038819</t>
  </si>
  <si>
    <t>260723925</t>
  </si>
  <si>
    <t>NOMBRE RETIRA: MARCO MORALES . RUT RETIRA: 16159159-9</t>
  </si>
  <si>
    <t>Marco Eduardo Álvarez Antiman</t>
  </si>
  <si>
    <t>Las Araucarias 1053</t>
  </si>
  <si>
    <t>BIT11038697</t>
  </si>
  <si>
    <t>260544940</t>
  </si>
  <si>
    <t>NOMBRE RETIRA: YELISA GUTIERREZ . RUT RETIRA: 25232984-6</t>
  </si>
  <si>
    <t>Vincenzo Moratti</t>
  </si>
  <si>
    <t>Lidia Moreno 153, Departamento 710</t>
  </si>
  <si>
    <t>BIT11038443</t>
  </si>
  <si>
    <t>260546305</t>
  </si>
  <si>
    <t>Angelo Morales Tapia</t>
  </si>
  <si>
    <t>Base Aérea Cerro Moreno</t>
  </si>
  <si>
    <t>BIT11038981</t>
  </si>
  <si>
    <t>260884818</t>
  </si>
  <si>
    <t>NOMBRE RETIRA: SOFIA RAMIREZ . RUT RETIRA: 19780461-0</t>
  </si>
  <si>
    <t>Victor Loyola briones</t>
  </si>
  <si>
    <t>calle cinco 1251, bodega 5, galpón 5, Aquaplast Chile, megacentro chile</t>
  </si>
  <si>
    <t>BIT11038523</t>
  </si>
  <si>
    <t>260545947</t>
  </si>
  <si>
    <t>NOMBRE RETIRA: ROSA SANTOS . RUT RETIRA: 12345678-5</t>
  </si>
  <si>
    <t>Camilo Diaz santos</t>
  </si>
  <si>
    <t>Narciso Herrera 3635, Cantera alta</t>
  </si>
  <si>
    <t>BIT11038501</t>
  </si>
  <si>
    <t>260545986</t>
  </si>
  <si>
    <t>NOMBRE RETIRA: ANGELA TOLEDO . RUT RETIRA: 8085073-5</t>
  </si>
  <si>
    <t>angela Toledo</t>
  </si>
  <si>
    <t>Oasis san pedro 979 villa oasis, casa</t>
  </si>
  <si>
    <t>BIT11038368</t>
  </si>
  <si>
    <t>260547438</t>
  </si>
  <si>
    <t>NOMBRE RETIRA: FABIAM GOMES G. RUT RETIRA: 78225813-3</t>
  </si>
  <si>
    <t>Fabián Gómez Palomino</t>
  </si>
  <si>
    <t>Av chorrillos 1089, Calama, Casa2</t>
  </si>
  <si>
    <t>BIT11038409</t>
  </si>
  <si>
    <t>260547122</t>
  </si>
  <si>
    <t>NOMBRE RETIRA: DIANA FARFAN . RUT RETIRA: 16132739-5</t>
  </si>
  <si>
    <t>Diana Farfán</t>
  </si>
  <si>
    <t>Oficina anita 254</t>
  </si>
  <si>
    <t>2025-12-20 11:09</t>
  </si>
  <si>
    <t>BIT11038312</t>
  </si>
  <si>
    <t>260389269</t>
  </si>
  <si>
    <t>NOMBRE RETIRA: ALEJANDRO FUENRES L RUT RETIRA: 24462176-7</t>
  </si>
  <si>
    <t>Tres Oriente 4351</t>
  </si>
  <si>
    <t>BIT11038689</t>
  </si>
  <si>
    <t>260544980</t>
  </si>
  <si>
    <t>NOMBRE RETIRA: PAMELA MONARDEZ MONARDEZ RUT RETIRA: 15745271-1</t>
  </si>
  <si>
    <t>Pamela MONARDEZ</t>
  </si>
  <si>
    <t>Guido bertin Soto 468</t>
  </si>
  <si>
    <t>BIT11038688</t>
  </si>
  <si>
    <t>260545000</t>
  </si>
  <si>
    <t>NOMBRE RETIRA: RICARDO SANTILLANA . RUT RETIRA: 21713291-6</t>
  </si>
  <si>
    <t>Ricardo Santillana Ayala</t>
  </si>
  <si>
    <t>Colpa 748</t>
  </si>
  <si>
    <t>BIT11038483</t>
  </si>
  <si>
    <t>260546168</t>
  </si>
  <si>
    <t>NOMBRE RETIRA: LORETO CONTRERAS N RUT RETIRA: 13876216-5</t>
  </si>
  <si>
    <t>Lisette Beatriz Maldonado Pereira</t>
  </si>
  <si>
    <t>Avenida Costanera 5551, Departamento Club OcÉano, Torre A 1802, Departamento Club Océano, Torre A, 1802</t>
  </si>
  <si>
    <t>BIT11038485</t>
  </si>
  <si>
    <t>260546155</t>
  </si>
  <si>
    <t>NOMBRE RETIRA: CARLOS LEIVA . RUT RETIRA: 16327117-6</t>
  </si>
  <si>
    <t>Nicolas tirado 90, 85B</t>
  </si>
  <si>
    <t>BIT11038739</t>
  </si>
  <si>
    <t>260610461</t>
  </si>
  <si>
    <t>NOMBRE RETIRA: RODRIGO GUARDO M RUT RETIRA: 15092131-7</t>
  </si>
  <si>
    <t>Benjamin Maluenda</t>
  </si>
  <si>
    <t>El Oro 8235, departamento 510</t>
  </si>
  <si>
    <t>BIT11038844</t>
  </si>
  <si>
    <t>260723802</t>
  </si>
  <si>
    <t>NOMBRE RETIRA: GONZALO SALAZAR . RUT RETIRA: 19531852-2</t>
  </si>
  <si>
    <t>Alejandro Pineda</t>
  </si>
  <si>
    <t>Ohiggins 1045, Depto 301</t>
  </si>
  <si>
    <t>BIT11038905</t>
  </si>
  <si>
    <t>260723560</t>
  </si>
  <si>
    <t>NOMBRE RETIRA: FLAVIO MIRANDA 0 RUT RETIRA: 5340254-2</t>
  </si>
  <si>
    <t>Flavio Miranda Barría</t>
  </si>
  <si>
    <t>Pasaje La Hermita 756, Casa</t>
  </si>
  <si>
    <t>BIT11038956</t>
  </si>
  <si>
    <t>260884994</t>
  </si>
  <si>
    <t>NOMBRE RETIRA: MAGALY MONGES . RUT RETIRA: 13351040-0</t>
  </si>
  <si>
    <t>Patricio Guerrero Cardenas</t>
  </si>
  <si>
    <t>Volcan nevado 1551, Casa</t>
  </si>
  <si>
    <t>BIT11038930</t>
  </si>
  <si>
    <t>260723372</t>
  </si>
  <si>
    <t>NOMBRE RETIRA: JORGE BUSTOS . RUT RETIRA: 15299936-4</t>
  </si>
  <si>
    <t>JORGE ARTURO BUSTOS MEZA</t>
  </si>
  <si>
    <t>EGAÑA  1251  DPTO. H2F  (Condominio)</t>
  </si>
  <si>
    <t>BIT11038456</t>
  </si>
  <si>
    <t>260546261</t>
  </si>
  <si>
    <t>NOMBRE RETIRA: XIMENA LEDEZMA . RUT RETIRA: 17575914-K</t>
  </si>
  <si>
    <t>ximena ledezma</t>
  </si>
  <si>
    <t>Valdés Vergara 675, Casa 6</t>
  </si>
  <si>
    <t>BIT11038987</t>
  </si>
  <si>
    <t>260884670</t>
  </si>
  <si>
    <t>NOMBRE RETIRA: IVAN ZUELETA ZUWLAT RUT RETIRA: 10542303-9</t>
  </si>
  <si>
    <t>Iván Zuleta</t>
  </si>
  <si>
    <t>Avda Juan Martinez 386, Casa Dos Portones De Madera, Juan MartÍnez 386, casa dos portones de madera</t>
  </si>
  <si>
    <t>BIT11038929</t>
  </si>
  <si>
    <t>260723438</t>
  </si>
  <si>
    <t>NOMBRE RETIRA: FELIPE BURGOS . RUT RETIRA: 18810532-7</t>
  </si>
  <si>
    <t>Felipe Burgos</t>
  </si>
  <si>
    <t>valle del sol pasaje b casa 40, casa</t>
  </si>
  <si>
    <t>BIT11038971</t>
  </si>
  <si>
    <t>260884852</t>
  </si>
  <si>
    <t>NOMBRE RETIRA: LUIS FALVES GAKVES RUT RETIRA: 8583258-1</t>
  </si>
  <si>
    <t>Alfredo Gálvez tirado</t>
  </si>
  <si>
    <t>Las lengas 402, Casa</t>
  </si>
  <si>
    <t>BIT11038919</t>
  </si>
  <si>
    <t>260723456</t>
  </si>
  <si>
    <t>NOMBRE RETIRA: ELDA CARRILLO K RUT RETIRA: 18194820-5</t>
  </si>
  <si>
    <t>Cristian Aedo</t>
  </si>
  <si>
    <t>Los Camperos</t>
  </si>
  <si>
    <t>BIT11039033</t>
  </si>
  <si>
    <t>260884326</t>
  </si>
  <si>
    <t>NOMBRE RETIRA: NADIA AVALOS . RUT RETIRA: 18632165-0</t>
  </si>
  <si>
    <t>Nadia Avalos</t>
  </si>
  <si>
    <t>Adrian rivera alfaro, 1300</t>
  </si>
  <si>
    <t>BIT11038917</t>
  </si>
  <si>
    <t>260723500</t>
  </si>
  <si>
    <t>NOMBRE RETIRA: MARIANA UBILLA . RUT RETIRA: 14117529-7</t>
  </si>
  <si>
    <t>Mariana Ubilla</t>
  </si>
  <si>
    <t>Carmen Salfate 4040</t>
  </si>
  <si>
    <t>BIT11038856</t>
  </si>
  <si>
    <t>260723761</t>
  </si>
  <si>
    <t>NOMBRE RETIRA: RODRIGO GOM3Z A RUT RETIRA: 17157010-7</t>
  </si>
  <si>
    <t>Rodrigo Gomez labraña</t>
  </si>
  <si>
    <t>Lago colico 1382</t>
  </si>
  <si>
    <t>BIT11038832</t>
  </si>
  <si>
    <t>260723884</t>
  </si>
  <si>
    <t>NOMBRE RETIRA: CARLOA MPNTIEL .. RUT RETIRA: 9751397-K</t>
  </si>
  <si>
    <t>Jorge Gonzalez Ramirez</t>
  </si>
  <si>
    <t>Avenida Borde Laguna 1002 Casa 44</t>
  </si>
  <si>
    <t>BIT11038320</t>
  </si>
  <si>
    <t>260389242</t>
  </si>
  <si>
    <t>NOMBRE RETIRA: CLAUDIA SAUTEREL . RUT RETIRA: 53321047-3</t>
  </si>
  <si>
    <t>Claudia Sauterel</t>
  </si>
  <si>
    <t>Avenida Jorge Alessadro 450, 1106 D</t>
  </si>
  <si>
    <t>BIT11038989</t>
  </si>
  <si>
    <t>260884621</t>
  </si>
  <si>
    <t>NOMBRE RETIRA: ARMANDO OLLANADER . RUT RETIRA: 16112815-5</t>
  </si>
  <si>
    <t>BIT11038980</t>
  </si>
  <si>
    <t>260884720</t>
  </si>
  <si>
    <t>NOMBRE RETIRA: CARLOS , , RUT RETIRA: 53310370-7</t>
  </si>
  <si>
    <t>BIT11038500</t>
  </si>
  <si>
    <t>260545995</t>
  </si>
  <si>
    <t>NOMBRE RETIRA: PEDRO PAREDES . RUT RETIRA: 9262691-1</t>
  </si>
  <si>
    <t>Juan Azocar Castillo</t>
  </si>
  <si>
    <t>General Velaquez, 1046</t>
  </si>
  <si>
    <t>BIT11038880</t>
  </si>
  <si>
    <t>260723707</t>
  </si>
  <si>
    <t>NOMBRE RETIRA: ALEJANDRO RUZ . RUT RETIRA: 10934663-2</t>
  </si>
  <si>
    <t>Alejandro Ruz Urzúa</t>
  </si>
  <si>
    <t>Pasaje Celia Castro 1572 Placilla, Villa Roberto Matta</t>
  </si>
  <si>
    <t>BIT11038946</t>
  </si>
  <si>
    <t>260885033</t>
  </si>
  <si>
    <t>NOMBRE RETIRA: ALONDRA VASQUE . RUT RETIRA: 13951536-6</t>
  </si>
  <si>
    <t>Alondra Vasquez perez</t>
  </si>
  <si>
    <t>Puerto natales 1060 Talcahuano, Casa N°1060</t>
  </si>
  <si>
    <t>BIT11038968</t>
  </si>
  <si>
    <t>260884881</t>
  </si>
  <si>
    <t>NOMBRE RETIRA: MARCELA VARGAS . RUT RETIRA: 17356448-1</t>
  </si>
  <si>
    <t>Cardenal samore 1451, Casa c5</t>
  </si>
  <si>
    <t>BIT11039025</t>
  </si>
  <si>
    <t>260884398</t>
  </si>
  <si>
    <t>NOMBRE RETIRA: CRISTIAN LOPEZ M RUT RETIRA: 9850457-5</t>
  </si>
  <si>
    <t>Rudolph Herbstaedt</t>
  </si>
  <si>
    <t>Sendero Norte 50 , Depto. 904, Departamento</t>
  </si>
  <si>
    <t>BIT11038853</t>
  </si>
  <si>
    <t>260723785</t>
  </si>
  <si>
    <t>NOMBRE RETIRA: MARIA CARTES C RUT RETIRA: 5771102-7</t>
  </si>
  <si>
    <t>Nelson Antonio Elgueta Cartes</t>
  </si>
  <si>
    <t>Sector Frutillares, Los Boldos # 1115</t>
  </si>
  <si>
    <t>BIT11039067</t>
  </si>
  <si>
    <t>260883815</t>
  </si>
  <si>
    <t>NOMBRE RETIRA: MATIAS MENNE . RUT RETIRA: 16563474-8</t>
  </si>
  <si>
    <t>Matias Menne Cicoria</t>
  </si>
  <si>
    <t>Las Lumas 336</t>
  </si>
  <si>
    <t>BIT11038240</t>
  </si>
  <si>
    <t>260303179</t>
  </si>
  <si>
    <t>NOMBRE RETIRA: IVONNE ALVAREZ L RUT RETIRA: 17433850-7</t>
  </si>
  <si>
    <t>Ivone Alvarez</t>
  </si>
  <si>
    <t>Verdes campiñas 3179, Casa 13 pasaje 3</t>
  </si>
  <si>
    <t>BIT11038913</t>
  </si>
  <si>
    <t>260723510</t>
  </si>
  <si>
    <t>NOMBRE RETIRA: YOBANY MORALS . RUT RETIRA: 21899464-4</t>
  </si>
  <si>
    <t>Patricio Alvarado donoso</t>
  </si>
  <si>
    <t>Sector 3 esquinas villa el sauce calle el roble #30</t>
  </si>
  <si>
    <t>BIT11038827</t>
  </si>
  <si>
    <t>260723901</t>
  </si>
  <si>
    <t>Claudio Barra</t>
  </si>
  <si>
    <t>Avenida Los Arrayanes 23, Placilla</t>
  </si>
  <si>
    <t>BIT11038834</t>
  </si>
  <si>
    <t>260723818</t>
  </si>
  <si>
    <t>Andres Andrade Barrientos</t>
  </si>
  <si>
    <t>18 de septiembre 675, Avenida cakes</t>
  </si>
  <si>
    <t>BIT11038794</t>
  </si>
  <si>
    <t>260724009</t>
  </si>
  <si>
    <t>NOMBRE RETIRA: ENRIQUE AMESTICA . RUT RETIRA: 7723152-8</t>
  </si>
  <si>
    <t>Luis Muñoz Méndez</t>
  </si>
  <si>
    <t>Canonigo Alvear 1347, Pasaje, casa</t>
  </si>
  <si>
    <t>BIT11039078</t>
  </si>
  <si>
    <t>260883739</t>
  </si>
  <si>
    <t>NOMBRE RETIRA: DORIS CAMPUSANO 0 RUT RETIRA: 12345678-5</t>
  </si>
  <si>
    <t>Doris Campusano</t>
  </si>
  <si>
    <t>Calle Diego Peralta Peralta N°935, PoblaciÓn Magallanes Moure, Casa</t>
  </si>
  <si>
    <t>BIT11038910</t>
  </si>
  <si>
    <t>260723512</t>
  </si>
  <si>
    <t>NOMBRE RETIRA: EDITH GARAY . RUT RETIRA: 9541444-3</t>
  </si>
  <si>
    <t>Frutillar 716 belloto norte, Casa 716</t>
  </si>
  <si>
    <t>BIT11038900</t>
  </si>
  <si>
    <t>260723577</t>
  </si>
  <si>
    <t>NOMBRE RETIRA: ROBERT MUNOZ . RUT RETIRA: 28806356-7</t>
  </si>
  <si>
    <t>Susan Muñoz</t>
  </si>
  <si>
    <t>Villa Vaticano, Brasil 453</t>
  </si>
  <si>
    <t>BIT11039017</t>
  </si>
  <si>
    <t>260884454</t>
  </si>
  <si>
    <t>NOMBRE RETIRA: YASNA CORTEA N RUT RETIRA: 20718743-7</t>
  </si>
  <si>
    <t>Jose Pizarro Cortes</t>
  </si>
  <si>
    <t>Pasaje Enrique Soro#67, Villa San Bernardo, Casa</t>
  </si>
  <si>
    <t>BIT11038341</t>
  </si>
  <si>
    <t>260389129</t>
  </si>
  <si>
    <t>NOMBRE RETIRA: LUISA MEDEL 0 RUT RETIRA: 14366725-1</t>
  </si>
  <si>
    <t>Luisa Medel</t>
  </si>
  <si>
    <t>Los Maitenes S/N Horcones, Casa azul, frente Almacen Santa Alicia</t>
  </si>
  <si>
    <t>BIT11039029</t>
  </si>
  <si>
    <t>260884380</t>
  </si>
  <si>
    <t>NOMBRE RETIRA: LORNA HUICHALAF .. RUT RETIRA: 15206622-8</t>
  </si>
  <si>
    <t>Lorna Huichalaf Vargas</t>
  </si>
  <si>
    <t>Lord Cochrane 599, Las Brisas 19, Condominio Vientos del Sur</t>
  </si>
  <si>
    <t>BIT11039097</t>
  </si>
  <si>
    <t>260883478</t>
  </si>
  <si>
    <t>NOMBRE RETIRA: ANDRES LAZO . RUT RETIRA: 27065209-3</t>
  </si>
  <si>
    <t>Las Encinas 51, depto 612</t>
  </si>
  <si>
    <t>BIT11038841</t>
  </si>
  <si>
    <t>260723824</t>
  </si>
  <si>
    <t>BIT11038959</t>
  </si>
  <si>
    <t>260884978</t>
  </si>
  <si>
    <t>NOMBRE RETIRA: BARBARA CABRERA A RUT RETIRA: 20137133-3</t>
  </si>
  <si>
    <t>Barbara Cabrera</t>
  </si>
  <si>
    <t>Joaquín toesca 92, Casa</t>
  </si>
  <si>
    <t>BIT11037701</t>
  </si>
  <si>
    <t>259989373</t>
  </si>
  <si>
    <t>NOMBRE RETIRA: CAROL BASTIAS M RUT RETIRA: 25110386-0</t>
  </si>
  <si>
    <t>BIT11038866</t>
  </si>
  <si>
    <t>260723692</t>
  </si>
  <si>
    <t>NOMBRE RETIRA: SALAS JUANITA . RUT RETIRA: 22154642-3</t>
  </si>
  <si>
    <t>Salas Juanita</t>
  </si>
  <si>
    <t>Algalfares parcela 37 lote 3</t>
  </si>
  <si>
    <t>BIT11038391</t>
  </si>
  <si>
    <t>260547199</t>
  </si>
  <si>
    <t>NOMBRE RETIRA: JORGE NAVARRTE . RUT RETIRA: 13614917-2</t>
  </si>
  <si>
    <t>Jorge Faundez navarrete</t>
  </si>
  <si>
    <t>14 de febrero 244 barrio estacion cauqenes</t>
  </si>
  <si>
    <t>BIT11038901</t>
  </si>
  <si>
    <t>260723574</t>
  </si>
  <si>
    <t>Violeta Pineda</t>
  </si>
  <si>
    <t>Parcela 3 B, Angamos 421</t>
  </si>
  <si>
    <t>BIT11039077</t>
  </si>
  <si>
    <t>260883673</t>
  </si>
  <si>
    <t>NOMBRE RETIRA: MARIZOL PNZALEZ .. RUT RETIRA: 11115120-2</t>
  </si>
  <si>
    <t>Nicolás Ávila González</t>
  </si>
  <si>
    <t>Los Picunches 2668, Villa Las Dunas</t>
  </si>
  <si>
    <t>BIT11039004</t>
  </si>
  <si>
    <t>260884532</t>
  </si>
  <si>
    <t>Margarita Gonzalez Lira</t>
  </si>
  <si>
    <t>Casa, Quechereguas 119</t>
  </si>
  <si>
    <t>BIT11038925</t>
  </si>
  <si>
    <t>260723491</t>
  </si>
  <si>
    <t>NOMBRE RETIRA: EDUARDO ORTIZ CABEZAS RUT RETIRA: 13299872-8</t>
  </si>
  <si>
    <t>Macarena Larrondo</t>
  </si>
  <si>
    <t>El Estribo Norte 39</t>
  </si>
  <si>
    <t>BIT11038744</t>
  </si>
  <si>
    <t>260610433</t>
  </si>
  <si>
    <t>NOMBRE RETIRA: ERIKA ROJAS . RUT RETIRA: 8989943-5</t>
  </si>
  <si>
    <t>Iván Contreras Inostroza</t>
  </si>
  <si>
    <t>Mariano farandato 934, Casa</t>
  </si>
  <si>
    <t>BIT11038935</t>
  </si>
  <si>
    <t>260885204</t>
  </si>
  <si>
    <t>NOMBRE RETIRA: MAXIMILIANO . GODOY RUT RETIRA: 22020046-9</t>
  </si>
  <si>
    <t>Sixto Pozas</t>
  </si>
  <si>
    <t>Av laguna redonda 2055, C12</t>
  </si>
  <si>
    <t>BIT11038654</t>
  </si>
  <si>
    <t>260545146</t>
  </si>
  <si>
    <t>NOMBRE RETIRA: FRANK CACERES A RUT RETIRA: 78225813-3</t>
  </si>
  <si>
    <t>Frank Turpie Cáceres</t>
  </si>
  <si>
    <t>Collahuasi 1563, Villa Ayquina</t>
  </si>
  <si>
    <t>BIT11038908</t>
  </si>
  <si>
    <t>260723568</t>
  </si>
  <si>
    <t>NOMBRE RETIRA: KATERINE PARDO PORTERIA RUT RETIRA: 17992424-2</t>
  </si>
  <si>
    <t>San Antonio de Miravalle parcela E14 , Los Lingues</t>
  </si>
  <si>
    <t>BIT11038939</t>
  </si>
  <si>
    <t>260885129</t>
  </si>
  <si>
    <t>NOMBRE RETIRA: JOSE CARIPAM H RUT RETIRA: 70380200-1</t>
  </si>
  <si>
    <t>BIT11038077</t>
  </si>
  <si>
    <t>260303905</t>
  </si>
  <si>
    <t>NOMBRE RETIRA: JOHANNA SAAVEDRA . RUT RETIRA: 13530026-8</t>
  </si>
  <si>
    <t>Johanna Saavedra Marin</t>
  </si>
  <si>
    <t>Las gaviotas 365, Casa</t>
  </si>
  <si>
    <t>BIT11038557</t>
  </si>
  <si>
    <t>260545761</t>
  </si>
  <si>
    <t>NOMBRE RETIRA: TAMMYA MELENDEZ . RUT RETIRA: 17865332-6</t>
  </si>
  <si>
    <t>Alvaro Rivera Ogalde</t>
  </si>
  <si>
    <t>Avenida Balmaceda 600O Condomino plaza balmaceda DPTO D 301, DPTO D 301</t>
  </si>
  <si>
    <t>BIT11038647</t>
  </si>
  <si>
    <t>260545223</t>
  </si>
  <si>
    <t>NOMBRE RETIRA: CARMEN CORONAD9 . RUT RETIRA: 7595641-K</t>
  </si>
  <si>
    <t>BIT11038785</t>
  </si>
  <si>
    <t>9421783991</t>
  </si>
  <si>
    <t>Marcela Araya Gac</t>
  </si>
  <si>
    <t>Teniente Merino 1880, Casa 24 Cond Mirador de Linderos</t>
  </si>
  <si>
    <t>2025-12-22 20:22</t>
  </si>
  <si>
    <t>BIT11038396</t>
  </si>
  <si>
    <t>260547150</t>
  </si>
  <si>
    <t>NOMBRE RETIRA: FEDREICO RODRIGUEZ . RUT RETIRA: 10455956-5</t>
  </si>
  <si>
    <t>Federico Rodríguez</t>
  </si>
  <si>
    <t>Luis Cruz Martínez 624, Población Pacifico</t>
  </si>
  <si>
    <t>BIT11038479</t>
  </si>
  <si>
    <t>260546219</t>
  </si>
  <si>
    <t>Angelo Briceño</t>
  </si>
  <si>
    <t>Camino Real 1518, Casa</t>
  </si>
  <si>
    <t>BIT11038388</t>
  </si>
  <si>
    <t>260547213</t>
  </si>
  <si>
    <t>NOMBRE RETIRA: MARION U N RUT RETIRA: 17567699-6</t>
  </si>
  <si>
    <t>Marion Urrejola</t>
  </si>
  <si>
    <t>Los Tréboles #116, Casa</t>
  </si>
  <si>
    <t>BIT11038372</t>
  </si>
  <si>
    <t>260547377</t>
  </si>
  <si>
    <t>NOMBRE RETIRA: BENJAMIN ZUNIGA . RUT RETIRA: 21882114-6</t>
  </si>
  <si>
    <t>Diego Zúñiga</t>
  </si>
  <si>
    <t>Suiza 966, El Belloto, Casa</t>
  </si>
  <si>
    <t>BIT11038365</t>
  </si>
  <si>
    <t>260547402</t>
  </si>
  <si>
    <t>BIT11038383</t>
  </si>
  <si>
    <t>260547265</t>
  </si>
  <si>
    <t>NOMBRE RETIRA: CSRKNA WGA . RUT RETIRA: 15591919-1</t>
  </si>
  <si>
    <t>Carolina Vega</t>
  </si>
  <si>
    <t>Comunidad San Valentin parcela 12, ruta 146 camino a Bulnes., Casa</t>
  </si>
  <si>
    <t>BIT11038606</t>
  </si>
  <si>
    <t>260545474</t>
  </si>
  <si>
    <t>NOMBRE RETIRA: MANUEL VILLEGAS .. RUT RETIRA: 53335980-9</t>
  </si>
  <si>
    <t>J Rodrigo Durán</t>
  </si>
  <si>
    <t>Ignacio Carrera Pinto 0376, 601</t>
  </si>
  <si>
    <t>BIT11038529</t>
  </si>
  <si>
    <t>260545927</t>
  </si>
  <si>
    <t>Verónica Ramírez</t>
  </si>
  <si>
    <t>Martín Lutero 02806, 47</t>
  </si>
  <si>
    <t>BIT11038092</t>
  </si>
  <si>
    <t>260303788</t>
  </si>
  <si>
    <t>NOMBRE RETIRA: CAROLINA CONTRERAS 0 RUT RETIRA: 12345678-5</t>
  </si>
  <si>
    <t>Antofagasta, Mario Bahamondes Silva 02901 301</t>
  </si>
  <si>
    <t>BIT11038091</t>
  </si>
  <si>
    <t>260303810</t>
  </si>
  <si>
    <t>NOMBRE RETIRA: DINA BUGUENO . RUT RETIRA: 8460629-4</t>
  </si>
  <si>
    <t>Daniel Schnettle</t>
  </si>
  <si>
    <t>Baquedano 925</t>
  </si>
  <si>
    <t>BIT11038725</t>
  </si>
  <si>
    <t>260610434</t>
  </si>
  <si>
    <t>NOMBRE RETIRA: OSVALDO MIRANDSNA . RUT RETIRA: 9103936-2</t>
  </si>
  <si>
    <t>Sergio Zapata</t>
  </si>
  <si>
    <t>Manuel montt 1469</t>
  </si>
  <si>
    <t>BIT11038490</t>
  </si>
  <si>
    <t>260546109</t>
  </si>
  <si>
    <t>NOMBRE RETIRA: ADRIANA CASTILLO A RUT RETIRA: 10122601-8</t>
  </si>
  <si>
    <t>Adriana Castillo</t>
  </si>
  <si>
    <t>Pasaje cerro piedra roja 1893 la cumbre Quilpue</t>
  </si>
  <si>
    <t>BIT11038245</t>
  </si>
  <si>
    <t>260303123</t>
  </si>
  <si>
    <t>NOMBRE RETIRA: KARLA ESCOBAR 0 RUT RETIRA: 22222222-2</t>
  </si>
  <si>
    <t>Karla escobar</t>
  </si>
  <si>
    <t>Nicanor plaza 1070 depto 087 edificio vista Urbana sector Sur, Apartamento</t>
  </si>
  <si>
    <t>BIT11037434</t>
  </si>
  <si>
    <t>259759569</t>
  </si>
  <si>
    <t>NOMBRE RETIRA: DINA AHUMADA . RUT RETIRA: 10533171-1</t>
  </si>
  <si>
    <t>Alicia Morales ruiz</t>
  </si>
  <si>
    <t>Moraleda 99 esquina Portales</t>
  </si>
  <si>
    <t>2025-12-12 20:00</t>
  </si>
  <si>
    <t>BIT11037423</t>
  </si>
  <si>
    <t>259678702</t>
  </si>
  <si>
    <t>2025-12-12 11:07</t>
  </si>
  <si>
    <t>BIT11038532</t>
  </si>
  <si>
    <t>260545920</t>
  </si>
  <si>
    <t>NOMBRE RETIRA: VIRGINIA RAMOS . RUT RETIRA: 12698707-2</t>
  </si>
  <si>
    <t>Maria Elisa Cisternas Troncoso</t>
  </si>
  <si>
    <t>Dougls Monks 3224, El Venado</t>
  </si>
  <si>
    <t>BIT11038659</t>
  </si>
  <si>
    <t>260545120</t>
  </si>
  <si>
    <t>NOMBRE RETIRA: ANGEL JIMENEZ . RUT RETIRA: 76669508-6</t>
  </si>
  <si>
    <t>Paola Benavides</t>
  </si>
  <si>
    <t>San Martín 394</t>
  </si>
  <si>
    <t>BIT11038631</t>
  </si>
  <si>
    <t>260545291</t>
  </si>
  <si>
    <t>NOMBRE RETIRA: MARTIN NEIRA . RUT RETIRA: 20224612-5</t>
  </si>
  <si>
    <t>Martin Mellado Neira</t>
  </si>
  <si>
    <t>Luis Robles 142, Casa</t>
  </si>
  <si>
    <t>BIT11038611</t>
  </si>
  <si>
    <t>260545354</t>
  </si>
  <si>
    <t>NOMBRE RETIRA: MARYURI MORENO . RUT RETIRA: 10442247-0</t>
  </si>
  <si>
    <t>Maryury Moreno Santander</t>
  </si>
  <si>
    <t>Alberto Basterrica 57 Bicentenario Los Andes, Casa 57</t>
  </si>
  <si>
    <t>BIT11038705</t>
  </si>
  <si>
    <t>260544933</t>
  </si>
  <si>
    <t>NOMBRE RETIRA: MARIA VERA . RUT RETIRA: 12127874-K</t>
  </si>
  <si>
    <t>Maria Ximena Vera Gallardo</t>
  </si>
  <si>
    <t>Luis Bossay 105 Villa Horizonte</t>
  </si>
  <si>
    <t>BIT11038587</t>
  </si>
  <si>
    <t>260545624</t>
  </si>
  <si>
    <t>NOMBRE RETIRA: EVA LABRIN . RUT RETIRA: 9057662-3</t>
  </si>
  <si>
    <t>Nestor Cid</t>
  </si>
  <si>
    <t>O'higgins 594, Apt. 2</t>
  </si>
  <si>
    <t>BIT11038494</t>
  </si>
  <si>
    <t>260546057</t>
  </si>
  <si>
    <t>Andreu Peral</t>
  </si>
  <si>
    <t>Avenida libertad 920, Local</t>
  </si>
  <si>
    <t>BIT11038754</t>
  </si>
  <si>
    <t>260610431</t>
  </si>
  <si>
    <t>NOMBRE RETIRA: SOLEDAD CARVAJAL X RUT RETIRA: 14242641-2</t>
  </si>
  <si>
    <t>Miriam Araya Venegas</t>
  </si>
  <si>
    <t>Av Werner 2500, 201 A</t>
  </si>
  <si>
    <t>BIT11038589</t>
  </si>
  <si>
    <t>260545598</t>
  </si>
  <si>
    <t>Jaime Espinoza gaete</t>
  </si>
  <si>
    <t>Santa Natalia 240 tunca arriba camino al observatorio, Cas</t>
  </si>
  <si>
    <t>BIT11038613</t>
  </si>
  <si>
    <t>260545353</t>
  </si>
  <si>
    <t>NOMBRE RETIRA: SERGIO MARQUEZ . RUT RETIRA: 6848541-K</t>
  </si>
  <si>
    <t>Yolanda Villablanca</t>
  </si>
  <si>
    <t>Hochstetter 1050 dpto 806 P</t>
  </si>
  <si>
    <t>BIT11038380</t>
  </si>
  <si>
    <t>260547277</t>
  </si>
  <si>
    <t>NOMBRE RETIRA: JUAN DIAZ . RUT RETIRA: 22855988-1</t>
  </si>
  <si>
    <t>Juan Díaz Gómez</t>
  </si>
  <si>
    <t>Calle el Bollen 2183, florida, La serena</t>
  </si>
  <si>
    <t>BIT11038650</t>
  </si>
  <si>
    <t>260545184</t>
  </si>
  <si>
    <t>NOMBRE RETIRA: ANDRES CANDA CANDA RUT RETIRA: 53333761-9</t>
  </si>
  <si>
    <t>José Díaz Moreno</t>
  </si>
  <si>
    <t>Pedro de Valdivia 1337, 1305</t>
  </si>
  <si>
    <t>BIT11038755</t>
  </si>
  <si>
    <t>260610429</t>
  </si>
  <si>
    <t>NOMBRE RETIRA: HAYDEE CASTRO 0 RUT RETIRA: 9341813-1</t>
  </si>
  <si>
    <t>haydee castro</t>
  </si>
  <si>
    <t>24 y medio norte c 3429, ALMACEN LIRCAY EN WAZE</t>
  </si>
  <si>
    <t>BIT11038926</t>
  </si>
  <si>
    <t>9422461705</t>
  </si>
  <si>
    <t>hector sepulveda calquin</t>
  </si>
  <si>
    <t>pasaje los copihues n.2708, casa</t>
  </si>
  <si>
    <t>BIT11038629</t>
  </si>
  <si>
    <t>260545297</t>
  </si>
  <si>
    <t>NOMBRE RETIRA: ANTONELMA RIVERA X RUT RETIRA: 16167800-7</t>
  </si>
  <si>
    <t>Laura Pérez</t>
  </si>
  <si>
    <t>Gabriela Mistral 1347, Cerro Navidad casa</t>
  </si>
  <si>
    <t>BIT11038543</t>
  </si>
  <si>
    <t>260545833</t>
  </si>
  <si>
    <t>Chile 628, Casa</t>
  </si>
  <si>
    <t>BIT11038609</t>
  </si>
  <si>
    <t>260545419</t>
  </si>
  <si>
    <t>NOMBRE RETIRA: MARIELA INOSTROZA . . RUT RETIRA: 16674683-3</t>
  </si>
  <si>
    <t>marianela inostroza parada</t>
  </si>
  <si>
    <t>jose santos ossa 370 condominio tala, casa 110</t>
  </si>
  <si>
    <t>BIT11038599</t>
  </si>
  <si>
    <t>260545512</t>
  </si>
  <si>
    <t>NOMBRE RETIRA: ALBERTO DIAZ R RUT RETIRA: 22008590-2</t>
  </si>
  <si>
    <t>Carlos Diaz Dominguez</t>
  </si>
  <si>
    <t>Paicaví 207, Cada 1</t>
  </si>
  <si>
    <t>BIT11038542</t>
  </si>
  <si>
    <t>260545870</t>
  </si>
  <si>
    <t>NOMBRE RETIRA: JORGE HENRIQUEZ . RUT RETIRA: 7072386-7</t>
  </si>
  <si>
    <t>Matías Hernández Martínez</t>
  </si>
  <si>
    <t>Los robles 1100, 302 D</t>
  </si>
  <si>
    <t>BIT11038762</t>
  </si>
  <si>
    <t>260610412</t>
  </si>
  <si>
    <t>NOMBRE RETIRA: CARIS ROGEL .. RUT RETIRA: 8201778-K</t>
  </si>
  <si>
    <t>BIT11038581</t>
  </si>
  <si>
    <t>260545633</t>
  </si>
  <si>
    <t>NOMBRE RETIRA: LUZ VALENCIA . RUT RETIRA: 18511631-K</t>
  </si>
  <si>
    <t>Jorge Salinas Valero</t>
  </si>
  <si>
    <t>Calle Papudo 205, Departamento 106</t>
  </si>
  <si>
    <t>BIT11038743</t>
  </si>
  <si>
    <t>260610459</t>
  </si>
  <si>
    <t>NOMBRE RETIRA: PAULA PINO PIZARRO RUT RETIRA: 15939207-4</t>
  </si>
  <si>
    <t>Paula Pino Pizarro</t>
  </si>
  <si>
    <t>Los Arados 130</t>
  </si>
  <si>
    <t>BIT11038486</t>
  </si>
  <si>
    <t>260546184</t>
  </si>
  <si>
    <t>NOMBRE RETIRA: CARLOS POFFART . RUT RETIRA: 10146487-3</t>
  </si>
  <si>
    <t>Consuelo Cádiz Martínez</t>
  </si>
  <si>
    <t>Avda Costanera Arturo Prat 295, Depto 301</t>
  </si>
  <si>
    <t>BIT11038339</t>
  </si>
  <si>
    <t>260389147</t>
  </si>
  <si>
    <t>NOMBRE RETIRA: VIDOLI QUISPE . RUT RETIRA: 28586451-8</t>
  </si>
  <si>
    <t>Pamela Peñafiel</t>
  </si>
  <si>
    <t>Salvador reyes 940, Dep 2302</t>
  </si>
  <si>
    <t>BIT11038496</t>
  </si>
  <si>
    <t>260546006</t>
  </si>
  <si>
    <t>Joselyn Guaiquiante Albornoz</t>
  </si>
  <si>
    <t>Ruben Araya Rojas 1031, Parque El Baluarte, Casa</t>
  </si>
  <si>
    <t>BIT11038427</t>
  </si>
  <si>
    <t>260546350</t>
  </si>
  <si>
    <t>NOMBRE RETIRA: ANA MOLINA Y RUT RETIRA: 10507146-9</t>
  </si>
  <si>
    <t>Gonzalo Villalon</t>
  </si>
  <si>
    <t>Bergantin aguila, Casa 17</t>
  </si>
  <si>
    <t>BIT11038541</t>
  </si>
  <si>
    <t>260545877</t>
  </si>
  <si>
    <t>NOMBRE RETIRA: LORENA REYES . RUT RETIRA: 11944316-4</t>
  </si>
  <si>
    <t>LORENA Reyes</t>
  </si>
  <si>
    <t>Vil Trasandino, Pasaje Aut Schidner 119</t>
  </si>
  <si>
    <t>BIT11038748</t>
  </si>
  <si>
    <t>260610423</t>
  </si>
  <si>
    <t>NOMBRE RETIRA: SANTIAGO SILVA LL RUT RETIRA: 11707001-8</t>
  </si>
  <si>
    <t>Santiago Silva</t>
  </si>
  <si>
    <t>guillermo hollstein 371, torre 4, departamento 304</t>
  </si>
  <si>
    <t>BIT11038536</t>
  </si>
  <si>
    <t>260545900</t>
  </si>
  <si>
    <t>NOMBRE RETIRA: LUIS FUENTES . . RUT RETIRA: 12328000-8</t>
  </si>
  <si>
    <t>Manuel RodrÍguez 245, Dpto 1202, Dpto 1202</t>
  </si>
  <si>
    <t>BIT11038467</t>
  </si>
  <si>
    <t>260546229</t>
  </si>
  <si>
    <t>NOMBRE RETIRA: CAROLA RIVAS RIVAS RUT RETIRA: 16363521-6</t>
  </si>
  <si>
    <t>Pintor venegas 142, Las palmas de villuco</t>
  </si>
  <si>
    <t>BIT11038619</t>
  </si>
  <si>
    <t>260545317</t>
  </si>
  <si>
    <t>NOMBRE RETIRA: ERIKA BUYONES . RUT RETIRA: 53324603-6</t>
  </si>
  <si>
    <t>Tamara Smith</t>
  </si>
  <si>
    <t>Avenida santa cruz 291 casa 77, La cruz</t>
  </si>
  <si>
    <t>BIT11038572</t>
  </si>
  <si>
    <t>260545704</t>
  </si>
  <si>
    <t>NOMBRE RETIRA: YESENIA N N RUT RETIRA: 14551590-4</t>
  </si>
  <si>
    <t>Miguel Andres Guerrero Narvaez</t>
  </si>
  <si>
    <t>Avenida el Rincon 960, Casa 1</t>
  </si>
  <si>
    <t>BIT11038347</t>
  </si>
  <si>
    <t>260389101</t>
  </si>
  <si>
    <t>NOMBRE RETIRA: SEGUNDO DIAS . RUT RETIRA: 8727709-7</t>
  </si>
  <si>
    <t>Juan José Morales</t>
  </si>
  <si>
    <t>Cerro Paranal 380, Departamento 162-A Edificio Portofino</t>
  </si>
  <si>
    <t>BIT11038410</t>
  </si>
  <si>
    <t>260546463</t>
  </si>
  <si>
    <t>NOMBRE RETIRA: IVAM MANZO N RUT RETIRA: 9345768-4</t>
  </si>
  <si>
    <t>Daniela Lazo Guerra</t>
  </si>
  <si>
    <t>El rincón 568, Casa 12</t>
  </si>
  <si>
    <t>BIT11038408</t>
  </si>
  <si>
    <t>260547109</t>
  </si>
  <si>
    <t>NOMBRE RETIRA: ZHENIA MUNOZ . RUT RETIRA: 26999918-7</t>
  </si>
  <si>
    <t>Zhenia Muñoz</t>
  </si>
  <si>
    <t>Avda Las Parras #1001 Condominio Los Solares de San Esteban casa 124, Casa 124</t>
  </si>
  <si>
    <t>BIT11038580</t>
  </si>
  <si>
    <t>260545684</t>
  </si>
  <si>
    <t>NOMBRE RETIRA: MAXIMILIANO VICENCIO. . RUT RETIRA: 20966737-1</t>
  </si>
  <si>
    <t>BIT11038344</t>
  </si>
  <si>
    <t>260389119</t>
  </si>
  <si>
    <t>NOMBRE RETIRA: ANA LIZARDI . RUT RETIRA: 10573490-5</t>
  </si>
  <si>
    <t>Pedro aguirre cerda 10571, Depto H 404</t>
  </si>
  <si>
    <t>BIT11038413</t>
  </si>
  <si>
    <t>260546441</t>
  </si>
  <si>
    <t>María de los Angeles Valdés</t>
  </si>
  <si>
    <t>Cachapoal 220, Colegio</t>
  </si>
  <si>
    <t>BIT11038732</t>
  </si>
  <si>
    <t>260610462</t>
  </si>
  <si>
    <t>NOMBRE RETIRA: RODRIGO DE VERA . RUT RETIRA: 12817882-1</t>
  </si>
  <si>
    <t>Rodrigo De Vera Fernández</t>
  </si>
  <si>
    <t>Hermano Aquilino 267, 33</t>
  </si>
  <si>
    <t>BIT11038384</t>
  </si>
  <si>
    <t>260547217</t>
  </si>
  <si>
    <t>NOMBRE RETIRA: OLGA PEREZ . RUT RETIRA: 20089184-8</t>
  </si>
  <si>
    <t>Olga madeline Perez perez</t>
  </si>
  <si>
    <t>Calle Manuel Rodriguez pje Odette Doyhamboure blok4 dpto 13</t>
  </si>
  <si>
    <t>BIT11038331</t>
  </si>
  <si>
    <t>260389172</t>
  </si>
  <si>
    <t>NOMBRE RETIRA: KATHERINE FRIAS . RUT RETIRA: 25444616-5</t>
  </si>
  <si>
    <t>Raul Salinas</t>
  </si>
  <si>
    <t>Cerro Moreno 10550, casa 53</t>
  </si>
  <si>
    <t>BIT11038578</t>
  </si>
  <si>
    <t>261479479</t>
  </si>
  <si>
    <t>NOMBRE RETIRA: CRISTOFER CONSRJE M RUT RETIRA: 25934486-7</t>
  </si>
  <si>
    <t>Alejandro Rojas Conejeros</t>
  </si>
  <si>
    <t>Calle tres 1302, 5304</t>
  </si>
  <si>
    <t>BIT11040914</t>
  </si>
  <si>
    <t>713023252900</t>
  </si>
  <si>
    <t>Nombre: felipe vergara - Rut: 157789341</t>
  </si>
  <si>
    <t>Felipe Hernán Vergara Olivares</t>
  </si>
  <si>
    <t>Pasaje Matrona Amada Soto Silva, 15</t>
  </si>
  <si>
    <t>2026-01-29 20:15</t>
  </si>
  <si>
    <t>BIT11040998</t>
  </si>
  <si>
    <t>713023596751</t>
  </si>
  <si>
    <t>Nombre: Kelly Caroca Romero/PAULINA CARRENO - Rut: 18750833</t>
  </si>
  <si>
    <t>Kelly Caroca Romero</t>
  </si>
  <si>
    <t>Ruta I-80-g 13568 8, Botillería Patricia</t>
  </si>
  <si>
    <t>BIT11040886</t>
  </si>
  <si>
    <t>713022789732</t>
  </si>
  <si>
    <t>Nombre: claudia ahumada - Rut: 177081647</t>
  </si>
  <si>
    <t>Axel Campos Cáceres</t>
  </si>
  <si>
    <t>Presidente Montero 9</t>
  </si>
  <si>
    <t>2026-01-29 09:36</t>
  </si>
  <si>
    <t>BIT11040801</t>
  </si>
  <si>
    <t>713021934483</t>
  </si>
  <si>
    <t>Nombre: pablo cartagena - Rut: 75530269</t>
  </si>
  <si>
    <t>Mathias Ducaud Baeza</t>
  </si>
  <si>
    <t>Avenida rafael calderon, 789 , casa 2</t>
  </si>
  <si>
    <t>BIT11040833</t>
  </si>
  <si>
    <t>713022373394</t>
  </si>
  <si>
    <t>Nombre: leandro rossel - Rut: 216561309</t>
  </si>
  <si>
    <t>Veronica Garcia Gaviria</t>
  </si>
  <si>
    <t>Evaristo Merino 288, Local comercial</t>
  </si>
  <si>
    <t>BIT11040708</t>
  </si>
  <si>
    <t>713021435803</t>
  </si>
  <si>
    <t>Nombre: tatiana Baja minded - Rut: 115270478</t>
  </si>
  <si>
    <t>Tatiana Bahamondes</t>
  </si>
  <si>
    <t>Avenida bernardo ohiggins 4015, Parcela 18A, llamar en el porton</t>
  </si>
  <si>
    <t>BIT11040755</t>
  </si>
  <si>
    <t>713021434860</t>
  </si>
  <si>
    <t>Nombre: Sandra reinahuel - Rut: 163132648</t>
  </si>
  <si>
    <t>Pedro Nahuelcar cumin</t>
  </si>
  <si>
    <t>Doctor Steffens 750, Casa</t>
  </si>
  <si>
    <t>2026-01-26 11:10</t>
  </si>
  <si>
    <t>BIT11040655</t>
  </si>
  <si>
    <t>713020570802</t>
  </si>
  <si>
    <t>Nombre: Andrea Lecaros - Rut: 176837543</t>
  </si>
  <si>
    <t>Jimmy Reyes Aravena</t>
  </si>
  <si>
    <t>Av. Libertad 1923 (ex 2211), CESFAM Florencia</t>
  </si>
  <si>
    <t>BIT11040685</t>
  </si>
  <si>
    <t>713020570463</t>
  </si>
  <si>
    <t>Nombre: Sandra jara - Rut: 72869257</t>
  </si>
  <si>
    <t>FLOR MARIA MUÑOZ MENA</t>
  </si>
  <si>
    <t>Manuel Rodríguez 818, Villa Sara Lamothe, Casa 13</t>
  </si>
  <si>
    <t>2026-01-24 11:13</t>
  </si>
  <si>
    <t>BIT11040371</t>
  </si>
  <si>
    <t>713018425453</t>
  </si>
  <si>
    <t>Nombre: danilo pena - Rut: 142989476</t>
  </si>
  <si>
    <t>DANILO EMARDO PEÑA ESPINOZA</t>
  </si>
  <si>
    <t>Avenida Los Ángeles N°864, Los Ángeles., Rústico Molina 240</t>
  </si>
  <si>
    <t>BIT11040647</t>
  </si>
  <si>
    <t>713020113245</t>
  </si>
  <si>
    <t>JARAMILLO NANCAGUA - JOSE DOMINGO JARAMILLO - 202 -</t>
  </si>
  <si>
    <t>Nicolas Güell</t>
  </si>
  <si>
    <t>Bombero Villalobos 1231 depto 204 c, Casa</t>
  </si>
  <si>
    <t>BIT11040558</t>
  </si>
  <si>
    <t>713019672260</t>
  </si>
  <si>
    <t>Nombre: paola lizana - Rut: 15683565</t>
  </si>
  <si>
    <t>Jose Ismael Perez Lorca</t>
  </si>
  <si>
    <t>JosÉ JoaquÍn Aguirre 355</t>
  </si>
  <si>
    <t>BIT11040488</t>
  </si>
  <si>
    <t>713018856572</t>
  </si>
  <si>
    <t>Nombre: enderly perez - Rut: 285361206</t>
  </si>
  <si>
    <t>Perez arce Matías</t>
  </si>
  <si>
    <t>Ortuzar 305</t>
  </si>
  <si>
    <t>BIT11040509</t>
  </si>
  <si>
    <t>713019267240</t>
  </si>
  <si>
    <t>Nombre: Renata Maureira - Rut: 57736852</t>
  </si>
  <si>
    <t>Nicolas Guillon</t>
  </si>
  <si>
    <t>Libertad 345, Casa, segundo timbre condominio</t>
  </si>
  <si>
    <t>BIT11040465</t>
  </si>
  <si>
    <t>713018856756</t>
  </si>
  <si>
    <t>Nombre: claudio gonzales - Rut: 8749182</t>
  </si>
  <si>
    <t>Claudio González</t>
  </si>
  <si>
    <t>Intendente Arturo García 485</t>
  </si>
  <si>
    <t>BIT11040375</t>
  </si>
  <si>
    <t>713018425350</t>
  </si>
  <si>
    <t>Nombre: Jonathan cortes - Rut: 652871704</t>
  </si>
  <si>
    <t>Valentina Fischer</t>
  </si>
  <si>
    <t>carampangue 0175, parcela 5</t>
  </si>
  <si>
    <t>BIT11040382</t>
  </si>
  <si>
    <t>713018425136</t>
  </si>
  <si>
    <t>Nombre: Ivan ordenes - Rut: 173633912</t>
  </si>
  <si>
    <t>Marilyn Ordenes</t>
  </si>
  <si>
    <t>El Palqui, Calle Arturo Prat 392</t>
  </si>
  <si>
    <t>BIT11040428</t>
  </si>
  <si>
    <t>713018424565</t>
  </si>
  <si>
    <t>Nombre: Carlos Moya - Rut: 156225169</t>
  </si>
  <si>
    <t>Carlos andres Moya castro</t>
  </si>
  <si>
    <t>Estonia 105, villa inca, Casa, rinconada oriente</t>
  </si>
  <si>
    <t>BIT11040443</t>
  </si>
  <si>
    <t>713018424451</t>
  </si>
  <si>
    <t>Nombre: mario velasquez - Rut: 42054909</t>
  </si>
  <si>
    <t>Angélica Velásquez</t>
  </si>
  <si>
    <t>Pob. René Schneider, Malleco 9011</t>
  </si>
  <si>
    <t>BIT11040351</t>
  </si>
  <si>
    <t>713017658452</t>
  </si>
  <si>
    <t>Nombre: liz - Rut: 254308641</t>
  </si>
  <si>
    <t>Julio Riadi</t>
  </si>
  <si>
    <t>Carlos osandon, 17</t>
  </si>
  <si>
    <t>2026-01-17 10:13</t>
  </si>
  <si>
    <t>BIT11040341</t>
  </si>
  <si>
    <t>713017658614</t>
  </si>
  <si>
    <t>Nombre: Rodrigo leon - Rut: 133528903</t>
  </si>
  <si>
    <t>Rodrigo Leon Godoy</t>
  </si>
  <si>
    <t>Residencial las palmas pje Carlos Encina Gutiérrez 1736</t>
  </si>
  <si>
    <t>BIT11040348</t>
  </si>
  <si>
    <t>713017658555</t>
  </si>
  <si>
    <t>Nombre: mateo - Rut: 219114818</t>
  </si>
  <si>
    <t>Mateo Acuña</t>
  </si>
  <si>
    <t>Ancahual 589</t>
  </si>
  <si>
    <t>BIT11040275</t>
  </si>
  <si>
    <t>713017333825</t>
  </si>
  <si>
    <t>Nombre: camila bravo - Rut: 195755051</t>
  </si>
  <si>
    <t>marcelo montalva castro</t>
  </si>
  <si>
    <t>freire 614 linares</t>
  </si>
  <si>
    <t>BIT11040295</t>
  </si>
  <si>
    <t>713017332160</t>
  </si>
  <si>
    <t>Nombre: Cecilia Tellez - Rut: 123458745</t>
  </si>
  <si>
    <t>Mauricio Pinilla Pinilla Angulo</t>
  </si>
  <si>
    <t>Fray Manuel Unzurrunzaga 1903. Altos de Gamboa. Castro, casa</t>
  </si>
  <si>
    <t>BIT11040314</t>
  </si>
  <si>
    <t>713017332101</t>
  </si>
  <si>
    <t>Nombre: Hugo guerra - Rut: 115114670</t>
  </si>
  <si>
    <t>Yenny Carmona Aguilera</t>
  </si>
  <si>
    <t>Calle Los Estudiantes 79</t>
  </si>
  <si>
    <t>BIT11040125</t>
  </si>
  <si>
    <t>713015983190</t>
  </si>
  <si>
    <t>Nombre: Gissel jara - Rut: 173331746</t>
  </si>
  <si>
    <t>Jaime Guzmán Espinoza</t>
  </si>
  <si>
    <t>Igualdad 280</t>
  </si>
  <si>
    <t>BIT11040155</t>
  </si>
  <si>
    <t>713015982114</t>
  </si>
  <si>
    <t>Nombre: karol avalos - Rut: 171132398</t>
  </si>
  <si>
    <t>Carol Ávalos Araya</t>
  </si>
  <si>
    <t>Andres bello 14, El Palqui, Monte Patria</t>
  </si>
  <si>
    <t>BIT11040058</t>
  </si>
  <si>
    <t>713015432555</t>
  </si>
  <si>
    <t>Nombre: evelyn rubilar - Rut: 129801271</t>
  </si>
  <si>
    <t>Evelyn Rubilar Saez</t>
  </si>
  <si>
    <t>Independencia, 736 ,Huepil, Tucapel, Chile, Casa</t>
  </si>
  <si>
    <t>BIT11040061</t>
  </si>
  <si>
    <t>713015432603</t>
  </si>
  <si>
    <t>Nombre: alvaro perez - Rut: 158419815</t>
  </si>
  <si>
    <t>Alvaro Perez</t>
  </si>
  <si>
    <t>Camino La Compañia 2059, Parcela 18</t>
  </si>
  <si>
    <t>BIT11040044</t>
  </si>
  <si>
    <t>713015432942</t>
  </si>
  <si>
    <t>Nombre: rene born - Rut: 39967111</t>
  </si>
  <si>
    <t>René Born</t>
  </si>
  <si>
    <t>La Celada 1724, Ingresar por camino El Peumo</t>
  </si>
  <si>
    <t>BIT11040056</t>
  </si>
  <si>
    <t>713015432651</t>
  </si>
  <si>
    <t>BIT11040050</t>
  </si>
  <si>
    <t>713015432765</t>
  </si>
  <si>
    <t>Nombre: Millaray Donoso - Rut: 209964961</t>
  </si>
  <si>
    <t>Roberto Rodriguez</t>
  </si>
  <si>
    <t>Hermanos carrera 585</t>
  </si>
  <si>
    <t>BIT11039818</t>
  </si>
  <si>
    <t>713013264445</t>
  </si>
  <si>
    <t>Nombre: marcoa duney - Rut: 127228531</t>
  </si>
  <si>
    <t>BIT11039849</t>
  </si>
  <si>
    <t>713013801743</t>
  </si>
  <si>
    <t>Nombre: Sebastian Reyes - Rut: 16272553</t>
  </si>
  <si>
    <t>Hidalgo 465 melipilla, Casa</t>
  </si>
  <si>
    <t>BIT11039835</t>
  </si>
  <si>
    <t>713013803250</t>
  </si>
  <si>
    <t>Nombre: pedro villa - Rut: 209283549</t>
  </si>
  <si>
    <t>Mario Vallejos Torres</t>
  </si>
  <si>
    <t>Trehuaco 318, Casa</t>
  </si>
  <si>
    <t>BIT11039891</t>
  </si>
  <si>
    <t>713013799385</t>
  </si>
  <si>
    <t>Nombre: paulina vera - Rut: 132134405</t>
  </si>
  <si>
    <t>Miguel moreira 093, Casa 11 condominio mediterraneo</t>
  </si>
  <si>
    <t>BIT11039724</t>
  </si>
  <si>
    <t>713012653043</t>
  </si>
  <si>
    <t>Nombre: Monica born - Rut: 109422037</t>
  </si>
  <si>
    <t>Monica Born</t>
  </si>
  <si>
    <t>Camino El Peumo 1566, Talagante</t>
  </si>
  <si>
    <t>BIT11039736</t>
  </si>
  <si>
    <t>713012652656</t>
  </si>
  <si>
    <t>Nombre: Carla atenas - Rut: 201236916</t>
  </si>
  <si>
    <t>BIT11039611</t>
  </si>
  <si>
    <t>713012032913</t>
  </si>
  <si>
    <t>Nombre: galo vera - Rut: 82290095</t>
  </si>
  <si>
    <t>Jacqueline Vera Pérez</t>
  </si>
  <si>
    <t>Pedro Aguirre Cerda 76, Casa Interior Azul</t>
  </si>
  <si>
    <t>BIT11039516</t>
  </si>
  <si>
    <t>712999882490</t>
  </si>
  <si>
    <t>Nombre: CAROL LORETO ORTIZ LATUD - Rut: 16301508</t>
  </si>
  <si>
    <t>Carol Loreto Ortiz Latud</t>
  </si>
  <si>
    <t>Avenida Austral 1250, 2000</t>
  </si>
  <si>
    <t>BIT11040310</t>
  </si>
  <si>
    <t>9429781653</t>
  </si>
  <si>
    <t>Diego Leonardo González Muñoz</t>
  </si>
  <si>
    <t>Séptimo de Línea 1177, Población Bicentenario</t>
  </si>
  <si>
    <t>BIT11040586</t>
  </si>
  <si>
    <t>9437688746</t>
  </si>
  <si>
    <t>MAURICIO ANDRÉS CAMPOS MONCADA</t>
  </si>
  <si>
    <t>PARCELA 16 PASO HONDO CASABLANCA, MINIMARKET ANGIE</t>
  </si>
  <si>
    <t>BIT11040515</t>
  </si>
  <si>
    <t>9429531300</t>
  </si>
  <si>
    <t>daniela peña</t>
  </si>
  <si>
    <t>Sector las Damas S/N, Fundo la Cueva Lote 6, Parcela 6</t>
  </si>
  <si>
    <t>BIT11040478</t>
  </si>
  <si>
    <t>9429469114</t>
  </si>
  <si>
    <t>Agua fría poniente 2120, Casa</t>
  </si>
  <si>
    <t>BIT11040286</t>
  </si>
  <si>
    <t>9429881204</t>
  </si>
  <si>
    <t>Adriana Letelier gonzalez</t>
  </si>
  <si>
    <t>Villaseca 210, 210</t>
  </si>
  <si>
    <t>BIT11040360</t>
  </si>
  <si>
    <t>9428870754</t>
  </si>
  <si>
    <t>Fernando Ubiergo</t>
  </si>
  <si>
    <t>La Topilla 114 Cond. Sta. María del mar., Casa</t>
  </si>
  <si>
    <t>BIT11040322</t>
  </si>
  <si>
    <t>9429459152</t>
  </si>
  <si>
    <t>Nelson Troncoso</t>
  </si>
  <si>
    <t>El Limonero 51</t>
  </si>
  <si>
    <t>BIT11040559</t>
  </si>
  <si>
    <t>9437254013</t>
  </si>
  <si>
    <t>Claudio Espejo</t>
  </si>
  <si>
    <t>Las tortolas sitio 19 ritoque quintero, Casa</t>
  </si>
  <si>
    <t>BIT11040024</t>
  </si>
  <si>
    <t>9427111993</t>
  </si>
  <si>
    <t>Adolfo Gutiérrez</t>
  </si>
  <si>
    <t>Pedro Aguirre Cerda 1738 Puente Lampa</t>
  </si>
  <si>
    <t>BIT11039953</t>
  </si>
  <si>
    <t>9427881945</t>
  </si>
  <si>
    <t>Lorena Castillo Canales</t>
  </si>
  <si>
    <t>Avenida El Rodeo 1393, 18</t>
  </si>
  <si>
    <t>BIT11040088</t>
  </si>
  <si>
    <t>9426967826</t>
  </si>
  <si>
    <t>Ruth Bravo agusto</t>
  </si>
  <si>
    <t>Santa gusta quintay, Apartamento 102 amancay</t>
  </si>
  <si>
    <t>BIT11040041</t>
  </si>
  <si>
    <t>9427215033</t>
  </si>
  <si>
    <t>Katia Gallardo Souza</t>
  </si>
  <si>
    <t>21 de mayo 4530, Local</t>
  </si>
  <si>
    <t>BIT11040143</t>
  </si>
  <si>
    <t>9428589181</t>
  </si>
  <si>
    <t>Tomas Montecinos Aroca</t>
  </si>
  <si>
    <t>Avenida Bosques de Montemar 55, Depto 31</t>
  </si>
  <si>
    <t>BIT11040257</t>
  </si>
  <si>
    <t>9426754654</t>
  </si>
  <si>
    <t>Fernanda Santander</t>
  </si>
  <si>
    <t>Carretera Austral 198, Carretera Austral</t>
  </si>
  <si>
    <t>BIT11039963</t>
  </si>
  <si>
    <t>9428166134</t>
  </si>
  <si>
    <t>Avenida senador Jaime Guzmán 244, isla de maipo, Casa 7</t>
  </si>
  <si>
    <t>BIT11039987</t>
  </si>
  <si>
    <t>9427833590</t>
  </si>
  <si>
    <t>Diego Rojas Sanchez</t>
  </si>
  <si>
    <t>Arenales 535, Depto.1001 torre 2</t>
  </si>
  <si>
    <t>BIT11039926</t>
  </si>
  <si>
    <t>9427670523</t>
  </si>
  <si>
    <t>Avenida los corraleros 2731, Casa 266, CHICAUMA</t>
  </si>
  <si>
    <t>BIT11040190</t>
  </si>
  <si>
    <t>9426743664</t>
  </si>
  <si>
    <t>Ignacio Arcaya</t>
  </si>
  <si>
    <t>Los Limoneros 1327</t>
  </si>
  <si>
    <t>BIT11040136</t>
  </si>
  <si>
    <t>9428452950</t>
  </si>
  <si>
    <t>Luis Quiñones Ibacache</t>
  </si>
  <si>
    <t>Villa el sol, Pasaje el talhuen 156, Villa el sol</t>
  </si>
  <si>
    <t>BIT11040018</t>
  </si>
  <si>
    <t>9427232566</t>
  </si>
  <si>
    <t>Paola Herrera   bustamante</t>
  </si>
  <si>
    <t>Aquilon 969, Algarrobo</t>
  </si>
  <si>
    <t>BIT11040053</t>
  </si>
  <si>
    <t>9426882522</t>
  </si>
  <si>
    <t>Chacabuco 15, Oficina 1</t>
  </si>
  <si>
    <t>BIT11040073</t>
  </si>
  <si>
    <t>9427225010</t>
  </si>
  <si>
    <t>Luis Rodrigo Briceño Cabrera</t>
  </si>
  <si>
    <t>Loma del Durazno 1046</t>
  </si>
  <si>
    <t>BIT11040116</t>
  </si>
  <si>
    <t>9428506544</t>
  </si>
  <si>
    <t>Luis Covarrubias</t>
  </si>
  <si>
    <t>Camino a la Joc 41</t>
  </si>
  <si>
    <t>BIT11039858</t>
  </si>
  <si>
    <t>9427316356</t>
  </si>
  <si>
    <t>Victor Araya Hinojosa</t>
  </si>
  <si>
    <t>Pasaje concon, 336</t>
  </si>
  <si>
    <t>BIT11039843</t>
  </si>
  <si>
    <t>9427471760</t>
  </si>
  <si>
    <t>Las Catalpas 99, Depto A3 edificio Brisa de CostaBrava</t>
  </si>
  <si>
    <t>BIT11039874</t>
  </si>
  <si>
    <t>9427475201</t>
  </si>
  <si>
    <t>Eduardo gallardo</t>
  </si>
  <si>
    <t>Colbun, La campiña dos</t>
  </si>
  <si>
    <t>BIT11039518</t>
  </si>
  <si>
    <t>9421095913</t>
  </si>
  <si>
    <t>Nairim Cristina Sandoval Naveda</t>
  </si>
  <si>
    <t>Av. Pdte Salvador Allende G, N 01650, Casa 15</t>
  </si>
  <si>
    <t>BIT11039689</t>
  </si>
  <si>
    <t>9425356511</t>
  </si>
  <si>
    <t>Carlos Ugarte</t>
  </si>
  <si>
    <t>Carlos Vial Infante s/n Parcels 4 -Pirque</t>
  </si>
  <si>
    <t>BIT11039592</t>
  </si>
  <si>
    <t>9426054540</t>
  </si>
  <si>
    <t>Georgina Salvatierra salvatierra</t>
  </si>
  <si>
    <t>Ruta j-60, kilómetro 126800</t>
  </si>
  <si>
    <t>BIT11039648</t>
  </si>
  <si>
    <t>9426242582</t>
  </si>
  <si>
    <t>Bárbara Bravo</t>
  </si>
  <si>
    <t>Pc 16 sector paso hondo, Casablanca</t>
  </si>
  <si>
    <t>BIT11039861</t>
  </si>
  <si>
    <t>9427360331</t>
  </si>
  <si>
    <t>Abel Gonzalez</t>
  </si>
  <si>
    <t>Parcela 34,el milagro, Sitio 10</t>
  </si>
  <si>
    <t>BIT11039748</t>
  </si>
  <si>
    <t>9426092406</t>
  </si>
  <si>
    <t>BIT11039747</t>
  </si>
  <si>
    <t>9425174113</t>
  </si>
  <si>
    <t>Manuel Antonio Soto Basauren</t>
  </si>
  <si>
    <t>Pasaje Alexander Fleming 1213, San Javier</t>
  </si>
  <si>
    <t>BIT11039808</t>
  </si>
  <si>
    <t>9427483881</t>
  </si>
  <si>
    <t>fresia 448, Ercilla</t>
  </si>
  <si>
    <t>BIT11039571</t>
  </si>
  <si>
    <t>9425697676</t>
  </si>
  <si>
    <t>Alejandro Jalil Hamed Galdames</t>
  </si>
  <si>
    <t>Serrano 276 Maipo, Casa</t>
  </si>
  <si>
    <t>BIT11039889</t>
  </si>
  <si>
    <t>9427513395</t>
  </si>
  <si>
    <t>Rodrigo Rubilar Fuentes</t>
  </si>
  <si>
    <t>Luis cousiño 6163, Departamento 606 torre 1</t>
  </si>
  <si>
    <t>BIT11039704</t>
  </si>
  <si>
    <t>9426272763</t>
  </si>
  <si>
    <t>Paulina Henriquez Muñoz</t>
  </si>
  <si>
    <t>Población alto lo vicuña, calle santa Teresa n18; sector lo vicuña; comuna de Putaendo, Casa número 18</t>
  </si>
  <si>
    <t>BIT11039125</t>
  </si>
  <si>
    <t>9427500353</t>
  </si>
  <si>
    <t>Nayade Alvarez</t>
  </si>
  <si>
    <t>Av Victor Troncoso Muñoz 1080, 54</t>
  </si>
  <si>
    <t>BIT11039846</t>
  </si>
  <si>
    <t>9427613613</t>
  </si>
  <si>
    <t>claudio Tessada</t>
  </si>
  <si>
    <t>Almirante Jose Toribio Merino Castro 3490, Algarrobo,, Departamento 1102</t>
  </si>
  <si>
    <t>BIT11039560</t>
  </si>
  <si>
    <t>9425715073</t>
  </si>
  <si>
    <t>21 de mayo, 4530</t>
  </si>
  <si>
    <t>BIT11039309</t>
  </si>
  <si>
    <t>9421000971</t>
  </si>
  <si>
    <t>Las catalpas parcela D5, CONDOMINIO EL ACASIO Y LA CRUZ</t>
  </si>
  <si>
    <t>BIT11039386</t>
  </si>
  <si>
    <t>9421144913</t>
  </si>
  <si>
    <t>monica campos</t>
  </si>
  <si>
    <t>Los robles sur 156, peñaflor</t>
  </si>
  <si>
    <t>BIT11038982</t>
  </si>
  <si>
    <t>9422484304</t>
  </si>
  <si>
    <t>Claudio Escobar plaza</t>
  </si>
  <si>
    <t>Miramar, 349</t>
  </si>
  <si>
    <t>BIT11039112</t>
  </si>
  <si>
    <t>9422286086</t>
  </si>
  <si>
    <t>Cristian Huerta letelier</t>
  </si>
  <si>
    <t>Elena Caffarena 16, Casa esquina costado Plaza</t>
  </si>
  <si>
    <t>BIT11039324</t>
  </si>
  <si>
    <t>9420894464</t>
  </si>
  <si>
    <t>JOSE QUEZADA GONZALEZ</t>
  </si>
  <si>
    <t>Volcan Lonquimay 87, casa</t>
  </si>
  <si>
    <t>BIT11038553</t>
  </si>
  <si>
    <t>9425876541</t>
  </si>
  <si>
    <t>Brian Uribe Moreira</t>
  </si>
  <si>
    <t>Av Las Tranqueras 230, Condominio La Plaza 2, Lampa, 5</t>
  </si>
  <si>
    <t>BIT11039248</t>
  </si>
  <si>
    <t>9423668763</t>
  </si>
  <si>
    <t>Fernando Gonzalez vasquez</t>
  </si>
  <si>
    <t>Los avellanos, 1616</t>
  </si>
  <si>
    <t>BIT11039074</t>
  </si>
  <si>
    <t>9422687713</t>
  </si>
  <si>
    <t>Los nogales norte #3212 , lampa , valle grande, Casa</t>
  </si>
  <si>
    <t>BIT11039288</t>
  </si>
  <si>
    <t>9421070724</t>
  </si>
  <si>
    <t>Luis Soto Soto</t>
  </si>
  <si>
    <t>Molina 711 Buin Maipo, Casa 8</t>
  </si>
  <si>
    <t>BIT11039080</t>
  </si>
  <si>
    <t>9422635784</t>
  </si>
  <si>
    <t>Juan antonio</t>
  </si>
  <si>
    <t>Gertrudis blanco 676</t>
  </si>
  <si>
    <t>BIT11039089</t>
  </si>
  <si>
    <t>9424989766</t>
  </si>
  <si>
    <t>SOR:20-OLA:160-E:007-SP:029-SR:029-PZA:1</t>
  </si>
  <si>
    <t>Darcy Ciudad González</t>
  </si>
  <si>
    <t>Calle Santa María pasaje 2 #1102, Casa esquina</t>
  </si>
  <si>
    <t>BIT11039103</t>
  </si>
  <si>
    <t>9424998645</t>
  </si>
  <si>
    <t>Gabriel González</t>
  </si>
  <si>
    <t>Calle el bosque poniente, Casa 14</t>
  </si>
  <si>
    <t>BIT11039442</t>
  </si>
  <si>
    <t>9420964781</t>
  </si>
  <si>
    <t>Carlos Espinoza Acuna</t>
  </si>
  <si>
    <t>Cardenal Caro 444, Parroquia Peralillo</t>
  </si>
  <si>
    <t>BIT11039472</t>
  </si>
  <si>
    <t>9425661324</t>
  </si>
  <si>
    <t>más Lucas</t>
  </si>
  <si>
    <t>Mata mea, Casa</t>
  </si>
  <si>
    <t>BIT11039204</t>
  </si>
  <si>
    <t>9424157492</t>
  </si>
  <si>
    <t>PINCHAZO DE ARRIBO</t>
  </si>
  <si>
    <t>eduardo mancilla</t>
  </si>
  <si>
    <t>rio maule 2610, 168</t>
  </si>
  <si>
    <t>BIT11038975</t>
  </si>
  <si>
    <t>9422424981</t>
  </si>
  <si>
    <t>Juan Pablo Ramírez</t>
  </si>
  <si>
    <t>Lago Machicura 1735</t>
  </si>
  <si>
    <t>BIT11039187</t>
  </si>
  <si>
    <t>9423652350</t>
  </si>
  <si>
    <t>Juan José Rodríguez</t>
  </si>
  <si>
    <t>Av. Padre Sergio Correa 11300, Condominio Los Portones, Casa La Vendimia 39, Los Portones, Casa La Vendimia 39</t>
  </si>
  <si>
    <t>BIT11039090</t>
  </si>
  <si>
    <t>9424965863</t>
  </si>
  <si>
    <t>Andrea Espinoza</t>
  </si>
  <si>
    <t>Las Chinchillas 361. Barrio las Vizcacha</t>
  </si>
  <si>
    <t>BIT11039094</t>
  </si>
  <si>
    <t>9422284616</t>
  </si>
  <si>
    <t>LISSETTE Pezoa vergara</t>
  </si>
  <si>
    <t>La gloria 5. Comuna Olivar. Región de O'Higgins., Parcela 5</t>
  </si>
  <si>
    <t>BIT11039095</t>
  </si>
  <si>
    <t>9424959902</t>
  </si>
  <si>
    <t>CarmenGloria Zuniga</t>
  </si>
  <si>
    <t>Pasaje san javier oriente 159</t>
  </si>
  <si>
    <t>BIT11039179</t>
  </si>
  <si>
    <t>9423660621</t>
  </si>
  <si>
    <t>BIT11039186</t>
  </si>
  <si>
    <t>9423768933</t>
  </si>
  <si>
    <t>Edgar Castro Silva</t>
  </si>
  <si>
    <t>Avenida Humeres 602</t>
  </si>
  <si>
    <t>BIT11039193</t>
  </si>
  <si>
    <t>9423902541</t>
  </si>
  <si>
    <t>Eduardo Alexis Aravena Jimenez</t>
  </si>
  <si>
    <t>Volcán osorno 71</t>
  </si>
  <si>
    <t>BIT11039091</t>
  </si>
  <si>
    <t>9422301383</t>
  </si>
  <si>
    <t>Aldo Calderón</t>
  </si>
  <si>
    <t>Dr Antonio Bianchini 2156, San Esteban, Valparaiso, Dr Antonio Bianchini 2156</t>
  </si>
  <si>
    <t>BIT11039093</t>
  </si>
  <si>
    <t>9422483405</t>
  </si>
  <si>
    <t>Av Jaime Guzman 870, Valle la reserva, Isla de Maipo, Av Jaime Guzman 870, Valle la reserva, Isla de Maipo</t>
  </si>
  <si>
    <t>BIT11039180</t>
  </si>
  <si>
    <t>9423746216</t>
  </si>
  <si>
    <t>Rio Puelo Cochamo</t>
  </si>
  <si>
    <t>BIT11039463</t>
  </si>
  <si>
    <t>9425426032</t>
  </si>
  <si>
    <t>Hector Pincheira</t>
  </si>
  <si>
    <t>Teniente merino, 670 404F</t>
  </si>
  <si>
    <t>BIT11039476</t>
  </si>
  <si>
    <t>9425500582</t>
  </si>
  <si>
    <t>Miqueas Riquelme Basoalto</t>
  </si>
  <si>
    <t>Jose Canepa 214</t>
  </si>
  <si>
    <t>BIT11039479</t>
  </si>
  <si>
    <t>9425441815</t>
  </si>
  <si>
    <t>Carla Nuñez</t>
  </si>
  <si>
    <t>Tocornal 271, Casa24</t>
  </si>
  <si>
    <t>BIT11039405</t>
  </si>
  <si>
    <t>9421019020</t>
  </si>
  <si>
    <t>Kenny Barrientos rivera</t>
  </si>
  <si>
    <t>Miraflores  33, Casa</t>
  </si>
  <si>
    <t>BIT11039327</t>
  </si>
  <si>
    <t>9420762956</t>
  </si>
  <si>
    <t>Eduardo Roberto Valenzuela Caselli</t>
  </si>
  <si>
    <t>Loteo Las Casas San Isidro, Lote 13, Teno, Curico</t>
  </si>
  <si>
    <t>BIT11039092</t>
  </si>
  <si>
    <t>9422427276</t>
  </si>
  <si>
    <t>SOR:20-OLA:160-E:006-SP:001-SR:001-PZA:1</t>
  </si>
  <si>
    <t>claudia carvajal</t>
  </si>
  <si>
    <t>camino interior san agustin 8, parcela</t>
  </si>
  <si>
    <t>BIT11038234</t>
  </si>
  <si>
    <t>9424990186</t>
  </si>
  <si>
    <t>BXG:DJR099</t>
  </si>
  <si>
    <t>Eileen Palma</t>
  </si>
  <si>
    <t>Avenida del canal 21466, Casa</t>
  </si>
  <si>
    <t>DOR55014887</t>
  </si>
  <si>
    <t>260952483</t>
  </si>
  <si>
    <t>DORMILONES</t>
  </si>
  <si>
    <t>Marlen Tapia</t>
  </si>
  <si>
    <t>Monjitas 744, 305, 305</t>
  </si>
  <si>
    <t>2025-11-30 15:16</t>
  </si>
  <si>
    <t>DOR55016127</t>
  </si>
  <si>
    <t>262813063</t>
  </si>
  <si>
    <t>NOMBRE RETIRA: LUIS BAHAMONDEZ . RUT RETIRA: 20513781-5</t>
  </si>
  <si>
    <t>Rebeca Burgos</t>
  </si>
  <si>
    <t>Avenida Collao 750, 1705</t>
  </si>
  <si>
    <t>2026-01-22 20:25</t>
  </si>
  <si>
    <t>DOR55016126</t>
  </si>
  <si>
    <t>262813094</t>
  </si>
  <si>
    <t>NOMBRE RETIRA: DANIEL OLIVARES C RUT RETIRA: 15030222-6</t>
  </si>
  <si>
    <t>Johana Cortez Villarroel</t>
  </si>
  <si>
    <t>Los Carrera 1657</t>
  </si>
  <si>
    <t>DOR55016131</t>
  </si>
  <si>
    <t>262813041</t>
  </si>
  <si>
    <t>NOMBRE RETIRA: ENOC MILLAMAN . RUT RETIRA: 53330361-7</t>
  </si>
  <si>
    <t>Juliana Mendoza Cabrejo</t>
  </si>
  <si>
    <t>Avenida Nahuelbuta 1610, Apartamento 74-A</t>
  </si>
  <si>
    <t>DOR55016129</t>
  </si>
  <si>
    <t>262813049</t>
  </si>
  <si>
    <t>NOMBRE RETIRA: LUSMERI URBANE . RUT RETIRA: 26027456-2</t>
  </si>
  <si>
    <t>Francisca Valdés Mella</t>
  </si>
  <si>
    <t>4 oriente #2154 entre 10 y 11 norte, Clínica Veterinaria</t>
  </si>
  <si>
    <t>DOR55016108</t>
  </si>
  <si>
    <t>262739351</t>
  </si>
  <si>
    <t>NOMBRE RETIRA: LIGIA SIERRA . RUT RETIRA: 6714885-1</t>
  </si>
  <si>
    <t>Sylvia González</t>
  </si>
  <si>
    <t>Lubeck 1127, población Alemania</t>
  </si>
  <si>
    <t>2026-01-21 20:17</t>
  </si>
  <si>
    <t>DOR55016076</t>
  </si>
  <si>
    <t>262586888</t>
  </si>
  <si>
    <t>Camino S-893 Canto del Agua Parcela 3, Sector Krause-Los Riscos, Casa</t>
  </si>
  <si>
    <t>DOR55016124</t>
  </si>
  <si>
    <t>262813106</t>
  </si>
  <si>
    <t>NOMBRE RETIRA: ANA AEDO . RUT RETIRA: 22262423-1</t>
  </si>
  <si>
    <t>Ana Aedo</t>
  </si>
  <si>
    <t>Pasaje tupper Nro. 1, Bulnes,</t>
  </si>
  <si>
    <t>DOR55016112</t>
  </si>
  <si>
    <t>262739323</t>
  </si>
  <si>
    <t>Jennifer Ibarra</t>
  </si>
  <si>
    <t>Carlos Brull 2054, Vasa</t>
  </si>
  <si>
    <t>DOR55016115</t>
  </si>
  <si>
    <t>262739319</t>
  </si>
  <si>
    <t>NOMBRE RETIRA: LAURA GUTIERREZ . RUT RETIRA: 9224039-8</t>
  </si>
  <si>
    <t>Rodrigo Araya</t>
  </si>
  <si>
    <t>pucara poniente 2164, San Pedro de la Paz, 2164</t>
  </si>
  <si>
    <t>2026-01-22 11:18</t>
  </si>
  <si>
    <t>DOR55016087</t>
  </si>
  <si>
    <t>262666132</t>
  </si>
  <si>
    <t>NOMBRE RETIRA: YARITZA MERCADO . RUT RETIRA: 17736384-7</t>
  </si>
  <si>
    <t>Barbara Guzman</t>
  </si>
  <si>
    <t>Avenida Cerro Paranao 271, Torre Bahamas, Depto 191</t>
  </si>
  <si>
    <t>DOR55016059</t>
  </si>
  <si>
    <t>262505653</t>
  </si>
  <si>
    <t>NOMBRE RETIRA: MARIA NEGRETE A RUT RETIRA: 7060060-9</t>
  </si>
  <si>
    <t>Angélica Leyton Rivera</t>
  </si>
  <si>
    <t>Poblacion Radio el Morro, Pasaje Bonn 1355, casa</t>
  </si>
  <si>
    <t>2026-01-19 11:07</t>
  </si>
  <si>
    <t>DOR55016069</t>
  </si>
  <si>
    <t>262586932</t>
  </si>
  <si>
    <t>NOMBRE RETIRA: LORENA CONTRERAS . RUT RETIRA: 9775895-6</t>
  </si>
  <si>
    <t>Lorena Contreras</t>
  </si>
  <si>
    <t>Granaderos 4243 villa ayquina, Casa</t>
  </si>
  <si>
    <t>2026-01-19 20:23</t>
  </si>
  <si>
    <t>DOR55016089</t>
  </si>
  <si>
    <t>262666083</t>
  </si>
  <si>
    <t>NOMBRE RETIRA: SANDRA ESCAMILLA . RUT RETIRA: 10625034-0</t>
  </si>
  <si>
    <t>Juliet Aristizabal</t>
  </si>
  <si>
    <t>Inés 138, casa amarilla</t>
  </si>
  <si>
    <t>DOR55016093</t>
  </si>
  <si>
    <t>262666076</t>
  </si>
  <si>
    <t>NOMBRE RETIRA: LEONARDO MENDOZA . RUT RETIRA: 13403025-9</t>
  </si>
  <si>
    <t>Yayo Mendoza</t>
  </si>
  <si>
    <t>Poblacion Corvi, Calle Los Ulmos 133</t>
  </si>
  <si>
    <t>DOR55016096</t>
  </si>
  <si>
    <t>262666066</t>
  </si>
  <si>
    <t>NOMBRE RETIRA: CLAUDIO ORELLANA . RUT RETIRA: 14572136-9</t>
  </si>
  <si>
    <t>Sofía Viacava</t>
  </si>
  <si>
    <t>Alameda Bernardo O higgins 460, Dpto 605</t>
  </si>
  <si>
    <t>2026-01-21 11:13</t>
  </si>
  <si>
    <t>DOR55016102</t>
  </si>
  <si>
    <t>262666010</t>
  </si>
  <si>
    <t>Maria paz Mills</t>
  </si>
  <si>
    <t>Manuel bulnes 351, 13</t>
  </si>
  <si>
    <t>DOR55016095</t>
  </si>
  <si>
    <t>262666035</t>
  </si>
  <si>
    <t>NOMBRE RETIRA: ROB . . RUT RETIRA: 26209641-6</t>
  </si>
  <si>
    <t>Calle Coquimbo 128, Spa Medico y Dental</t>
  </si>
  <si>
    <t>DOR55016100</t>
  </si>
  <si>
    <t>262666043</t>
  </si>
  <si>
    <t>NOMBRE RETIRA: MARCELO AGUILA QUINTEROS RUT RETIRA: 13882316-4</t>
  </si>
  <si>
    <t>Marcelo Aguila Quinteros Aguila</t>
  </si>
  <si>
    <t>Casa, Guillermo Chacon p norte 77</t>
  </si>
  <si>
    <t>DOR55016065</t>
  </si>
  <si>
    <t>262586930</t>
  </si>
  <si>
    <t>NOMBRE RETIRA: LUIS ESTAY E RUT RETIRA: 7664098-K</t>
  </si>
  <si>
    <t>Huasco 455, calle huasco, 455</t>
  </si>
  <si>
    <t>DOR55016086</t>
  </si>
  <si>
    <t>262666121</t>
  </si>
  <si>
    <t>NOMBRE RETIRA: MARIO MARTINEZ . RUT RETIRA: 16934960-6</t>
  </si>
  <si>
    <t>MARIO MARTINEZ</t>
  </si>
  <si>
    <t>AVENIDA BERNARDO OHIGGINS, ESQUINA MAC IVER 0304</t>
  </si>
  <si>
    <t>DOR55016066</t>
  </si>
  <si>
    <t>262586945</t>
  </si>
  <si>
    <t>NOMBRE RETIRA: CARLOS CIFUENTES . RUT RETIRA: 21633592-9</t>
  </si>
  <si>
    <t>Guisela Cifuentes</t>
  </si>
  <si>
    <t>Las Gerberas 0232</t>
  </si>
  <si>
    <t>DOR55015883</t>
  </si>
  <si>
    <t>261777705</t>
  </si>
  <si>
    <t>NOMBRE RETIRA: BENJAMIN MUNOZ . RUT RETIRA: 11111111-1</t>
  </si>
  <si>
    <t>Pablo Villarroel</t>
  </si>
  <si>
    <t>Avenida España 0686, Casa esquina</t>
  </si>
  <si>
    <t>DOR55016031</t>
  </si>
  <si>
    <t>262505813</t>
  </si>
  <si>
    <t>NOMBRE RETIRA: ALEJANDRO SANDOVAK A RUT RETIRA: 25808548-5</t>
  </si>
  <si>
    <t>Oficina Lastenia #11810, Block 5 Dpto 306</t>
  </si>
  <si>
    <t>2026-01-17 11:06</t>
  </si>
  <si>
    <t>DOR55016079</t>
  </si>
  <si>
    <t>262586865</t>
  </si>
  <si>
    <t>NOMBRE RETIRA: VICTORIA QUILODRAN . RUT RETIRA: 22005552-3</t>
  </si>
  <si>
    <t>Plaza de armas, 178</t>
  </si>
  <si>
    <t>DOR55016063</t>
  </si>
  <si>
    <t>262505632</t>
  </si>
  <si>
    <t>NOMBRE RETIRA: NOELIA ROJAA . RUT RETIRA: 6506565-7</t>
  </si>
  <si>
    <t>Noelia Rojas</t>
  </si>
  <si>
    <t>Castro 5041 casa 4</t>
  </si>
  <si>
    <t>DOR55016068</t>
  </si>
  <si>
    <t>262586901</t>
  </si>
  <si>
    <t>NOMBRE RETIRA: GUSTAVO ARAYA . . RUT RETIRA: 5370693-2</t>
  </si>
  <si>
    <t>Lorena Pilar Adaro Perez</t>
  </si>
  <si>
    <t>Pasaje padre aidano de vresse 1082, Casa</t>
  </si>
  <si>
    <t>DOR55016055</t>
  </si>
  <si>
    <t>262505650</t>
  </si>
  <si>
    <t>Rocio Araya</t>
  </si>
  <si>
    <t>Sargento Aldea 1960</t>
  </si>
  <si>
    <t>DOR55016042</t>
  </si>
  <si>
    <t>262505720</t>
  </si>
  <si>
    <t>Alisson Rojas</t>
  </si>
  <si>
    <t>Oficina pedro de valdivia 196, Dpto 703</t>
  </si>
  <si>
    <t>2026-01-18 20:25</t>
  </si>
  <si>
    <t>DOR55016074</t>
  </si>
  <si>
    <t>262586880</t>
  </si>
  <si>
    <t>NOMBRE RETIRA: HECTOR URBINA . RUT RETIRA: 12118826-0</t>
  </si>
  <si>
    <t>HÉCTOR Del Pino Urbina</t>
  </si>
  <si>
    <t>Villa Pucara, 29 Sur #633 Talca</t>
  </si>
  <si>
    <t>DOR55016046</t>
  </si>
  <si>
    <t>262505667</t>
  </si>
  <si>
    <t>NOMBRE RETIRA: VANESA CARVAJAL L RUT RETIRA: 28602059-3</t>
  </si>
  <si>
    <t>Vanessa Carvajal Donaire</t>
  </si>
  <si>
    <t>Riñihue 210, Casa esquina grande. Dejar en Almacen Tomasín</t>
  </si>
  <si>
    <t>DOR55016083</t>
  </si>
  <si>
    <t>262586834</t>
  </si>
  <si>
    <t>NOMBRE RETIRA: CRISTOFHER FIBLE . RUT RETIRA: 18563692-5</t>
  </si>
  <si>
    <t>Cristhofer Fible Nuñez</t>
  </si>
  <si>
    <t>Los Gladiolos, Villa Las Camelias 1730, Casa reja blanca</t>
  </si>
  <si>
    <t>DOR55016035</t>
  </si>
  <si>
    <t>262505765</t>
  </si>
  <si>
    <t>NOMBRE RETIRA: CECILIA VERA . RUT RETIRA: 8721045-6</t>
  </si>
  <si>
    <t>Cecilia Vera</t>
  </si>
  <si>
    <t>Renca 1574 Osorno X Region</t>
  </si>
  <si>
    <t>DOR55016034</t>
  </si>
  <si>
    <t>262505784</t>
  </si>
  <si>
    <t>NOMBRE RETIRA: JAVIERA CAYUMIR . RUT RETIRA: 65192418-9</t>
  </si>
  <si>
    <t>Barbara Rojel Rivera</t>
  </si>
  <si>
    <t>Pedro Lagos 865, 1506</t>
  </si>
  <si>
    <t>DOR55016030</t>
  </si>
  <si>
    <t>262505825</t>
  </si>
  <si>
    <t>NOMBRE RETIRA: VIVIANA MARTINEZ . RUT RETIRA: 19084947-3</t>
  </si>
  <si>
    <t>Viviana Martinez</t>
  </si>
  <si>
    <t>Avenida alto bonito 1492 bosquemar mirasol, Casa</t>
  </si>
  <si>
    <t>DOR55016053</t>
  </si>
  <si>
    <t>262505696</t>
  </si>
  <si>
    <t>NOMBRE RETIRA: RICARDO ACLE LLL RUT RETIRA: 19085522-8</t>
  </si>
  <si>
    <t>Ricardo Acle</t>
  </si>
  <si>
    <t>Itahue 2620</t>
  </si>
  <si>
    <t>DOR55016044</t>
  </si>
  <si>
    <t>262505682</t>
  </si>
  <si>
    <t>NOMBRE RETIRA: JEAN SEGOVIA SEGOVIA RUT RETIRA: 16832878-8</t>
  </si>
  <si>
    <t>Jean Segovia</t>
  </si>
  <si>
    <t>Padre caciano 5877</t>
  </si>
  <si>
    <t>DOR55016028</t>
  </si>
  <si>
    <t>262505841</t>
  </si>
  <si>
    <t>NOMBRE RETIRA: CARLOS CHAMORRO 0 RUT RETIRA: 10800143-7</t>
  </si>
  <si>
    <t>Marjorie Alvarez Novoa</t>
  </si>
  <si>
    <t>Av. Laguna Grande 950, Casa 32</t>
  </si>
  <si>
    <t>DOR55016036</t>
  </si>
  <si>
    <t>262505756</t>
  </si>
  <si>
    <t>NOMBRE RETIRA: RWILNADO BARRIOS . RUT RETIRA: 65222441-5</t>
  </si>
  <si>
    <t>Leslie Zwetajeff</t>
  </si>
  <si>
    <t>Avenida siete Lagunas 939, 504 torre B</t>
  </si>
  <si>
    <t>DOR55016038</t>
  </si>
  <si>
    <t>262505747</t>
  </si>
  <si>
    <t>NOMBRE RETIRA: NICOLAS BASCUNAN . RUT RETIRA: 20179622-9</t>
  </si>
  <si>
    <t>Marcela Cáceres Muñoz</t>
  </si>
  <si>
    <t>Negrete 1401 San Fernando, Hospital San Fernando zona descarga Bodegas</t>
  </si>
  <si>
    <t>DOR55016007</t>
  </si>
  <si>
    <t>262341932</t>
  </si>
  <si>
    <t>NOMBRE RETIRA: CLAUDIA ACEVEDO . RUT RETIRA: 9352335-0</t>
  </si>
  <si>
    <t>Victor jara 017, Timbre malo, numeracion por dentro</t>
  </si>
  <si>
    <t>2026-01-15 20:07</t>
  </si>
  <si>
    <t>DOR55016008</t>
  </si>
  <si>
    <t>262341904</t>
  </si>
  <si>
    <t>NOMBRE RETIRA: DALIA OLIVEROS . RUT RETIRA: 18923726-K</t>
  </si>
  <si>
    <t>Francisca Barraza</t>
  </si>
  <si>
    <t>Camino Las Redes 913, Negocio “Donde La Beba”</t>
  </si>
  <si>
    <t>DOR55016002</t>
  </si>
  <si>
    <t>262264158</t>
  </si>
  <si>
    <t>NOMBRE RETIRA: EUGENIA PANIAGUA . RUT RETIRA: 13217243-9</t>
  </si>
  <si>
    <t>Carla Ortiz</t>
  </si>
  <si>
    <t>Pasaje Kamac Pacha Inti 2855, Casa</t>
  </si>
  <si>
    <t>2026-01-14 20:03</t>
  </si>
  <si>
    <t>DOR55016017</t>
  </si>
  <si>
    <t>262341875</t>
  </si>
  <si>
    <t>NOMBRE RETIRA: ELIZABETH BRITO ... RUT RETIRA: 53323380-5</t>
  </si>
  <si>
    <t>ALLISON FERNANDEZ</t>
  </si>
  <si>
    <t>AVENIDA UNIVERSIDAD 892, CASA 42</t>
  </si>
  <si>
    <t>DOR55016011</t>
  </si>
  <si>
    <t>262341896</t>
  </si>
  <si>
    <t>NOMBRE RETIRA: CLAUDIA RIQUELME . RUT RETIRA: 16046151-9</t>
  </si>
  <si>
    <t>Claudia Riquelme Cuadra</t>
  </si>
  <si>
    <t>Sixto Cortes Alcayaga 1537, Casa 9</t>
  </si>
  <si>
    <t>DOR55016009</t>
  </si>
  <si>
    <t>262341909</t>
  </si>
  <si>
    <t>NOMBRE RETIRA: ERICK ULLOA CORROTEA RUT RETIRA: 9891559-1</t>
  </si>
  <si>
    <t>ERICK ULLOA</t>
  </si>
  <si>
    <t>Av. Copayapu 3268, dpto 515, Población Santa Elvira</t>
  </si>
  <si>
    <t>DOR55016016</t>
  </si>
  <si>
    <t>262341865</t>
  </si>
  <si>
    <t>Diego Arenas Leyton</t>
  </si>
  <si>
    <t>31 1/2 Oriente 2780, 41A</t>
  </si>
  <si>
    <t>DOR55016013</t>
  </si>
  <si>
    <t>262341891</t>
  </si>
  <si>
    <t>NOMBRE RETIRA: MARIO LUIZZI . RUT RETIRA: 17354475-8</t>
  </si>
  <si>
    <t>Mario Luzzi</t>
  </si>
  <si>
    <t>5 Norte 926, 71</t>
  </si>
  <si>
    <t>DOR55015904</t>
  </si>
  <si>
    <t>262014152</t>
  </si>
  <si>
    <t>NOMBRE RETIRA: ALEJANDRA JORQUERA . RUT RETIRA: 17575914-K</t>
  </si>
  <si>
    <t>Alejandra Jorquera</t>
  </si>
  <si>
    <t>Las palmeras, sector F casa 8, forestal alto</t>
  </si>
  <si>
    <t>2026-01-09 20:06</t>
  </si>
  <si>
    <t>DOR55016004</t>
  </si>
  <si>
    <t>262264142</t>
  </si>
  <si>
    <t>NOMBRE RETIRA: SEBASTIAN CONSERJE . RUT RETIRA: 53309906-8</t>
  </si>
  <si>
    <t>Marcela Ramos</t>
  </si>
  <si>
    <t>Av nueva libertad 1630 Torremar, Depto 404</t>
  </si>
  <si>
    <t>DOR55015991</t>
  </si>
  <si>
    <t>262264167</t>
  </si>
  <si>
    <t>NOMBRE RETIRA: LEONARDO BORGUEZ Y RUT RETIRA: 12381004-K</t>
  </si>
  <si>
    <t>Galvarino 347, 1505</t>
  </si>
  <si>
    <t>DOR55015986</t>
  </si>
  <si>
    <t>262180975</t>
  </si>
  <si>
    <t>NOMBRE RETIRA: JAVIERA PIZARRO . RUT RETIRA: 17431023-8</t>
  </si>
  <si>
    <t>Javiera Pizarro Méndez</t>
  </si>
  <si>
    <t>Uribe # 1338</t>
  </si>
  <si>
    <t>2026-01-14 11:16</t>
  </si>
  <si>
    <t>DOR55015960</t>
  </si>
  <si>
    <t>262102856</t>
  </si>
  <si>
    <t>NOMBRE RETIRA: GLADIS REA . RUT RETIRA: 4790385-8</t>
  </si>
  <si>
    <t>Pamela patricia vallejos riquelme</t>
  </si>
  <si>
    <t>Pasaje uno 4030, Casa</t>
  </si>
  <si>
    <t>2026-01-13 11:06</t>
  </si>
  <si>
    <t>DOR55015934</t>
  </si>
  <si>
    <t>262013998</t>
  </si>
  <si>
    <t>NOMBRE RETIRA: LORENA REYES N RUT RETIRA: 17407393-7</t>
  </si>
  <si>
    <t>Lorena Reyes</t>
  </si>
  <si>
    <t>Pacifico norte 510, K42</t>
  </si>
  <si>
    <t>2026-01-11 20:16</t>
  </si>
  <si>
    <t>DOR55015914</t>
  </si>
  <si>
    <t>262014072</t>
  </si>
  <si>
    <t>NOMBRE RETIRA: DANIEL MITA . RUT RETIRA: 17553544-6</t>
  </si>
  <si>
    <t>Francisco antonio Zambrana mamani</t>
  </si>
  <si>
    <t>linderos 4454, Casa</t>
  </si>
  <si>
    <t>2026-01-10 11:05</t>
  </si>
  <si>
    <t>DOR55015972</t>
  </si>
  <si>
    <t>262181021</t>
  </si>
  <si>
    <t>NOMBRE RETIRA: GLADYS AFUILERA . RUT RETIRA: 8747673-1</t>
  </si>
  <si>
    <t>Carlos Moraga</t>
  </si>
  <si>
    <t>Oscar Cristi 268 Paradero 8 Achupallas, Casa</t>
  </si>
  <si>
    <t>2026-01-13 20:12</t>
  </si>
  <si>
    <t>DOR55015981</t>
  </si>
  <si>
    <t>262180966</t>
  </si>
  <si>
    <t>NOMBRE RETIRA: DAMARIS MEDINA . RUT RETIRA: 7252224-9</t>
  </si>
  <si>
    <t>Damaris Medina Moraga</t>
  </si>
  <si>
    <t>Felipe Cubillos 305 Villa Rosario, Casa</t>
  </si>
  <si>
    <t>DOR55015978</t>
  </si>
  <si>
    <t>262180985</t>
  </si>
  <si>
    <t>Diego Ignacio Santis Vidal</t>
  </si>
  <si>
    <t>Desiderio Argandoña Pérez 1065 Cumbres de Miramar etapa 4, Departamento 812</t>
  </si>
  <si>
    <t>DOR55015971</t>
  </si>
  <si>
    <t>262181012</t>
  </si>
  <si>
    <t>NOMBRE RETIRA: CRISTINA OPAZO OPAZO RUT RETIRA: 17477607-5</t>
  </si>
  <si>
    <t>Cristina Opaso</t>
  </si>
  <si>
    <t>Nueva Hernan ciudad 60, Casa</t>
  </si>
  <si>
    <t>DOR55015948</t>
  </si>
  <si>
    <t>262102938</t>
  </si>
  <si>
    <t>NOMBRE RETIRA: JOSE CAIMANQUE _ RUT RETIRA: 12345678-5</t>
  </si>
  <si>
    <t>José Caimanque</t>
  </si>
  <si>
    <t>Avenida Pacífico 4883, departamenteo 701 torre 2</t>
  </si>
  <si>
    <t>2026-01-12 20:19</t>
  </si>
  <si>
    <t>DOR55015964</t>
  </si>
  <si>
    <t>262102866</t>
  </si>
  <si>
    <t>NOMBRE RETIRA: SERGIO ASTORGA . RUT RETIRA: 56052820-5</t>
  </si>
  <si>
    <t>Pablo Paredes</t>
  </si>
  <si>
    <t>Av. Manantiales 1440, Depto. S-22, Condominio Manantiales</t>
  </si>
  <si>
    <t>DOR55015965</t>
  </si>
  <si>
    <t>262102833</t>
  </si>
  <si>
    <t>NOMBRE RETIRA: GLADYS VILLARROEL SOTO RUT RETIRA: 11529268-4</t>
  </si>
  <si>
    <t>YESENIA Fuentes villarroel</t>
  </si>
  <si>
    <t>Villa los espinos calle las encinas 1390, rengo, Casa esquina con negocio</t>
  </si>
  <si>
    <t>DOR55015624</t>
  </si>
  <si>
    <t>261085748</t>
  </si>
  <si>
    <t>NOMBRE RETIRA: RODRIGO GARRIDO . RUT RETIRA: 23640915-5</t>
  </si>
  <si>
    <t>Rodrigo Garrido dos Santos</t>
  </si>
  <si>
    <t>Camino Lago Riesco SN</t>
  </si>
  <si>
    <t>2025-12-27 11:09</t>
  </si>
  <si>
    <t>DOR55015941</t>
  </si>
  <si>
    <t>262013935</t>
  </si>
  <si>
    <t>NOMBRE RETIRA: PEDRO JUARES 0 RUT RETIRA: 12616765-2</t>
  </si>
  <si>
    <t>Carlos Pezoa Veliz 0628, 22</t>
  </si>
  <si>
    <t>2026-01-12 11:07</t>
  </si>
  <si>
    <t>DOR55015950</t>
  </si>
  <si>
    <t>262102887</t>
  </si>
  <si>
    <t>NOMBRE RETIRA: NELSON GUAJARDO SALAS RUT RETIRA: 65139345-0</t>
  </si>
  <si>
    <t>Marco Antonio Jorquera Urrea</t>
  </si>
  <si>
    <t>Camino San RamÓn, Condominio Lihuen 3681, Departamento 373, Lihuen 3681, departamento 373</t>
  </si>
  <si>
    <t>DOR55015958</t>
  </si>
  <si>
    <t>262102881</t>
  </si>
  <si>
    <t>NOMBRE RETIRA: MAXIMILIANO ORTIZ . RUT RETIRA: 53322584-5</t>
  </si>
  <si>
    <t>Hermanos clark 311, 306A</t>
  </si>
  <si>
    <t>DOR55015955</t>
  </si>
  <si>
    <t>262102884</t>
  </si>
  <si>
    <t>NOMBRE RETIRA: PAILA V B RUT RETIRA: 13624643-7</t>
  </si>
  <si>
    <t>Yesxabel Morales Jaque</t>
  </si>
  <si>
    <t>Calle J, 889, casa70</t>
  </si>
  <si>
    <t>DOR55015951</t>
  </si>
  <si>
    <t>262102918</t>
  </si>
  <si>
    <t>NOMBRE RETIRA: VICENTE AYALA . RUT RETIRA: 17575914-K</t>
  </si>
  <si>
    <t>nelson ayala</t>
  </si>
  <si>
    <t>Pasaje Gustavo Lorca 143</t>
  </si>
  <si>
    <t>DOR55015906</t>
  </si>
  <si>
    <t>262014118</t>
  </si>
  <si>
    <t>NOMBRE RETIRA: ESTER O O RUT RETIRA: 12345678-5</t>
  </si>
  <si>
    <t>Carlos Baldeig</t>
  </si>
  <si>
    <t>Subida de La Quebrada 335 dpto 102, 102</t>
  </si>
  <si>
    <t>DOR55015931</t>
  </si>
  <si>
    <t>262014010</t>
  </si>
  <si>
    <t>NOMBRE RETIRA: SEGUN DIAZ . RUT RETIRA: 17736384-7</t>
  </si>
  <si>
    <t>Javier Fiblas</t>
  </si>
  <si>
    <t>Cerro Paranal 380, Dpto 115-A</t>
  </si>
  <si>
    <t>DOR55015935</t>
  </si>
  <si>
    <t>262013976</t>
  </si>
  <si>
    <t>NOMBRE RETIRA: LAURA ACOSTA N RUT RETIRA: 16538444-K</t>
  </si>
  <si>
    <t>German Ahumada</t>
  </si>
  <si>
    <t>San Miguel 351, Casa</t>
  </si>
  <si>
    <t>DOR55015921</t>
  </si>
  <si>
    <t>262014050</t>
  </si>
  <si>
    <t>NOMBRE RETIRA: MONICA BRAVO . RUT RETIRA: 12171876-6</t>
  </si>
  <si>
    <t>Luis Mendez</t>
  </si>
  <si>
    <t>Pasaje El molino, casa 104, Av. Augusto Sepúlveda poul, condominio 1200 El tejar</t>
  </si>
  <si>
    <t>DOR55015900</t>
  </si>
  <si>
    <t>261854268</t>
  </si>
  <si>
    <t>NOMBRE RETIRA: CECILIA VEGA M RUT RETIRA: 11246725-4</t>
  </si>
  <si>
    <t>Martin Salazar Vega</t>
  </si>
  <si>
    <t>Camino Internacional 3915, Minimarket El Pibe, frente a maderas doble R</t>
  </si>
  <si>
    <t>DOR55015940</t>
  </si>
  <si>
    <t>262013943</t>
  </si>
  <si>
    <t>NOMBRE RETIRA: PATRICIO FERNANDEZ . RUT RETIRA: 17354230-5</t>
  </si>
  <si>
    <t>Patricio Sepulveda herrera</t>
  </si>
  <si>
    <t>Pasaje manuel rojas el melon comuna de nogales, Casa</t>
  </si>
  <si>
    <t>DOR55015845</t>
  </si>
  <si>
    <t>261685896</t>
  </si>
  <si>
    <t>NOMBRE RETIRA: CRISTIAN SALAZAR . RUT RETIRA: 19365461-4</t>
  </si>
  <si>
    <t>Cristian Salazar</t>
  </si>
  <si>
    <t>Calle Nueva uno 84, Condominio los colonizadores Block G Departamento 503</t>
  </si>
  <si>
    <t>2026-01-06 20:29</t>
  </si>
  <si>
    <t>DOR55015947</t>
  </si>
  <si>
    <t>262013931</t>
  </si>
  <si>
    <t>NOMBRE RETIRA: FRANCISCO SAGRADO . RUT RETIRA: 19534210-5</t>
  </si>
  <si>
    <t>Francisco Sagrado Esparza</t>
  </si>
  <si>
    <t>Benavente, Block 2 departamento 42</t>
  </si>
  <si>
    <t>DOR55015908</t>
  </si>
  <si>
    <t>262014102</t>
  </si>
  <si>
    <t>NOMBRE RETIRA: MARCELO AGUILA . RUT RETIRA: 10491414-4</t>
  </si>
  <si>
    <t>Marta Molina</t>
  </si>
  <si>
    <t>Vicente Pérez Rosales 01649, Condominio Jardín Prado torre 7 depto 102</t>
  </si>
  <si>
    <t>DOR55015728</t>
  </si>
  <si>
    <t>261492773</t>
  </si>
  <si>
    <t>NOMBRE RETIRA: MARIA GUINAO . RUT RETIRA: 11111111-1</t>
  </si>
  <si>
    <t>Fernanda Canales galvez</t>
  </si>
  <si>
    <t>Av Tehuelche 742</t>
  </si>
  <si>
    <t>2026-01-01 22:36</t>
  </si>
  <si>
    <t>DOR55015920</t>
  </si>
  <si>
    <t>262014061</t>
  </si>
  <si>
    <t>NOMBRE RETIRA: ANA CARTES . RUT RETIRA: 15162975-K</t>
  </si>
  <si>
    <t>Carla Peña Gonzalez</t>
  </si>
  <si>
    <t>Schleyer 241, Departamento D34</t>
  </si>
  <si>
    <t>DOR55015926</t>
  </si>
  <si>
    <t>262014039</t>
  </si>
  <si>
    <t>NOMBRE RETIRA: ALVARO WEISBER . RUT RETIRA: 10193600-7</t>
  </si>
  <si>
    <t>Daniela Weisner Sánchez</t>
  </si>
  <si>
    <t>Pedro Godoy 190, Viña del Mar, Valparaíso, Chile</t>
  </si>
  <si>
    <t>DOR55015932</t>
  </si>
  <si>
    <t>262013989</t>
  </si>
  <si>
    <t>Barbara grey Pincheira muñoz</t>
  </si>
  <si>
    <t>Agustin abarca 1151 los canelos san pedro de la paz</t>
  </si>
  <si>
    <t>DOR55015875</t>
  </si>
  <si>
    <t>261777739</t>
  </si>
  <si>
    <t>NOMBRE RETIRA: CARLOS ACIARES . RUT RETIRA: 7431483-K</t>
  </si>
  <si>
    <t>Giovanni Saavedra</t>
  </si>
  <si>
    <t>Gorostiaga 322, depto. 53 (Edificio Los Residentes)</t>
  </si>
  <si>
    <t>2026-01-07 20:10</t>
  </si>
  <si>
    <t>DOR55015877</t>
  </si>
  <si>
    <t>261777715</t>
  </si>
  <si>
    <t>NOMBRE RETIRA: JOSE . . RUT RETIRA: 6470095-2</t>
  </si>
  <si>
    <t>Camilo Riquelme Gonzalez</t>
  </si>
  <si>
    <t>Los fundadores 0155, condominio los fundadores, Casa 22</t>
  </si>
  <si>
    <t>DOR55015570</t>
  </si>
  <si>
    <t>260897999</t>
  </si>
  <si>
    <t>NOMBRE RETIRA: BASTIAN CORTES . RUT RETIRA: 20180329-2</t>
  </si>
  <si>
    <t>Bastián Cortés</t>
  </si>
  <si>
    <t>Psje Julián Fox 0269, Casa</t>
  </si>
  <si>
    <t>2025-12-23 19:02</t>
  </si>
  <si>
    <t>DOR55015858</t>
  </si>
  <si>
    <t>261685808</t>
  </si>
  <si>
    <t>NOMBRE RETIRA: FRANCO AGUILA . RUT RETIRA: 18684139-5</t>
  </si>
  <si>
    <t>San martin 519, club34 segundo piso</t>
  </si>
  <si>
    <t>2026-01-07 11:04</t>
  </si>
  <si>
    <t>DOR55015869</t>
  </si>
  <si>
    <t>261777752</t>
  </si>
  <si>
    <t>NOMBRE RETIRA: CECILIA PASTEN L RUT RETIRA: 14264092-9</t>
  </si>
  <si>
    <t>Cecilia Pasten Contreras</t>
  </si>
  <si>
    <t>Salar de pedernales  1396, Casa esquina</t>
  </si>
  <si>
    <t>DOR55015864</t>
  </si>
  <si>
    <t>261777804</t>
  </si>
  <si>
    <t>NOMBRE RETIRA: TAIRA SALAS . RUT RETIRA: 27529570-1</t>
  </si>
  <si>
    <t>Camila Appel Contreras</t>
  </si>
  <si>
    <t>Playa la gaviota 2242, Edificio Reina Isidora 65</t>
  </si>
  <si>
    <t>DOR55015844</t>
  </si>
  <si>
    <t>261685922</t>
  </si>
  <si>
    <t>NOMBRE RETIRA: C4ISTINA PEREIRA B RUT RETIRA: 10831505-9</t>
  </si>
  <si>
    <t>Cristina Pereira</t>
  </si>
  <si>
    <t>San Martin, 102</t>
  </si>
  <si>
    <t>DOR55015512</t>
  </si>
  <si>
    <t>260610635</t>
  </si>
  <si>
    <t>NOMBRE RETIRA: MARIA AGUILA M RUT RETIRA: 8609264-6</t>
  </si>
  <si>
    <t>Maria Cecilia Aguilar Aguilar</t>
  </si>
  <si>
    <t>Primero de Mayo 0865, Población Carlos ibañez entre calle Eberhard y Vicente kusanovic</t>
  </si>
  <si>
    <t>2025-12-21 20:46</t>
  </si>
  <si>
    <t>DOR55015862</t>
  </si>
  <si>
    <t>261777807</t>
  </si>
  <si>
    <t>NOMBRE RETIRA: ANDREA VASQUEZ N RUT RETIRA: 28602059-3</t>
  </si>
  <si>
    <t>Andrea Vásquez</t>
  </si>
  <si>
    <t>Llanquihue 4138, 604</t>
  </si>
  <si>
    <t>DOR55015851</t>
  </si>
  <si>
    <t>261685857</t>
  </si>
  <si>
    <t>NOMBRE RETIRA: REGINA CASTILLO N RUT RETIRA: 28602059-3</t>
  </si>
  <si>
    <t>Regina Castillo Aguirre</t>
  </si>
  <si>
    <t>Bellavista 4385, Departamento I</t>
  </si>
  <si>
    <t>DOR55015481</t>
  </si>
  <si>
    <t>9422004211</t>
  </si>
  <si>
    <t>Joshua Raimil</t>
  </si>
  <si>
    <t>Larapinta poniente 2632, Casa 174 (condominio los boldos)</t>
  </si>
  <si>
    <t>DOR55015892</t>
  </si>
  <si>
    <t>261854305</t>
  </si>
  <si>
    <t>NOMBRE RETIRA: KURT RIGELE . RUT RETIRA: 18709753-3</t>
  </si>
  <si>
    <t>Kurt Ringele</t>
  </si>
  <si>
    <t>Villa El Maray #24</t>
  </si>
  <si>
    <t>2026-01-08 20:10</t>
  </si>
  <si>
    <t>DOR55015459</t>
  </si>
  <si>
    <t>9421937626</t>
  </si>
  <si>
    <t>Calle 2 casa 1611 Villa Don Matias Romeral, 1611</t>
  </si>
  <si>
    <t>2025-12-19 11:13</t>
  </si>
  <si>
    <t>DOR55015880</t>
  </si>
  <si>
    <t>261777711</t>
  </si>
  <si>
    <t>NOMBRE RETIRA: CARLA WOLFF . RUT RETIRA: 65201876-9</t>
  </si>
  <si>
    <t>Romina Diaz</t>
  </si>
  <si>
    <t>Avenida Austral 1250 casa 105, Condominio Aires del sur 1250 casa 105</t>
  </si>
  <si>
    <t>DOR55015857</t>
  </si>
  <si>
    <t>261685751</t>
  </si>
  <si>
    <t>NOMBRE RETIRA: FRANCISCO POO . RUT RETIRA: 16534120-1</t>
  </si>
  <si>
    <t>Francisco Poo</t>
  </si>
  <si>
    <t>Avenida las encinas 02059</t>
  </si>
  <si>
    <t>DOR55015894</t>
  </si>
  <si>
    <t>261854291</t>
  </si>
  <si>
    <t>NOMBRE RETIRA: AMADIEL CARVAJAL . RUT RETIRA: 9540099-K</t>
  </si>
  <si>
    <t>Pasaje el molino casa 104, Condominio el tejar 1200</t>
  </si>
  <si>
    <t>DOR55015855</t>
  </si>
  <si>
    <t>261685815</t>
  </si>
  <si>
    <t>NOMBRE RETIRA: SERGIO PEREIRA . RUT RETIRA: 17747906-3</t>
  </si>
  <si>
    <t>Marcela Seguel Inostroza</t>
  </si>
  <si>
    <t>Avenida las torres 718. Villa doña. Rosa, Casa</t>
  </si>
  <si>
    <t>DOR55015849</t>
  </si>
  <si>
    <t>261685890</t>
  </si>
  <si>
    <t>NOMBRE RETIRA: LISSETTE CARVAJAL . RUT RETIRA: 16917071-1</t>
  </si>
  <si>
    <t>Lissette Carvajal</t>
  </si>
  <si>
    <t>Urmeneta 929</t>
  </si>
  <si>
    <t>DOR55015876</t>
  </si>
  <si>
    <t>261777745</t>
  </si>
  <si>
    <t>NOMBRE RETIRA: ANDRES PEREIRA A RUT RETIRA: 8937963-6</t>
  </si>
  <si>
    <t>Cristhofer alexis</t>
  </si>
  <si>
    <t>Circunvalación oriente 1585 edificio terraza de cordillera, Depto 109</t>
  </si>
  <si>
    <t>DOR55015853</t>
  </si>
  <si>
    <t>261685834</t>
  </si>
  <si>
    <t>NOMBRE RETIRA: CECILIA AGUILERA . RUT RETIRA: 12345678-5</t>
  </si>
  <si>
    <t>Cecilia Aguilera</t>
  </si>
  <si>
    <t>Del membrillo 3049 Miraflores alto, Casa</t>
  </si>
  <si>
    <t>DOR55015895</t>
  </si>
  <si>
    <t>261854275</t>
  </si>
  <si>
    <t>NOMBRE RETIRA: MARIO GANGA . RUT RETIRA: 11953380-5</t>
  </si>
  <si>
    <t>Juan Pablo Peters Pérez</t>
  </si>
  <si>
    <t>Las Heras 226, depto 301</t>
  </si>
  <si>
    <t>DOR55015861</t>
  </si>
  <si>
    <t>261685779</t>
  </si>
  <si>
    <t>NOMBRE RETIRA: VANESA CASTRO . RUT RETIRA: 9850457-5</t>
  </si>
  <si>
    <t>Vanesa Castro</t>
  </si>
  <si>
    <t>Av. Alejandro Navarrete 290, paradero 7 Agua Santa, Nueva Aurora</t>
  </si>
  <si>
    <t>DOR55015863</t>
  </si>
  <si>
    <t>261777755</t>
  </si>
  <si>
    <t>NOMBRE RETIRA: CECILIA RUIZ Y RUT RETIRA: 12323730-7</t>
  </si>
  <si>
    <t>Janequeo 564, Dpto 603. Edificio Janequeo.</t>
  </si>
  <si>
    <t>DOR55015902</t>
  </si>
  <si>
    <t>261854261</t>
  </si>
  <si>
    <t>NOMBRE RETIRA: ALEJANDRO ORTIZ ORTIZ RUT RETIRA: 17907954-2</t>
  </si>
  <si>
    <t>Alejandro Ortiz</t>
  </si>
  <si>
    <t>Bahía Fitz Roy 59</t>
  </si>
  <si>
    <t>DOR55015778</t>
  </si>
  <si>
    <t>261492610</t>
  </si>
  <si>
    <t>NOMBRE RETIRA: JOHANA CORTEZ C RUT RETIRA: 14323772-9</t>
  </si>
  <si>
    <t>Los Carreras 1657</t>
  </si>
  <si>
    <t>2026-01-03 11:07</t>
  </si>
  <si>
    <t>DOR55015793</t>
  </si>
  <si>
    <t>261492558</t>
  </si>
  <si>
    <t>NOMBRE RETIRA: YANELA BALTAZAR 0 RUT RETIRA: 12345678-5</t>
  </si>
  <si>
    <t>Yanela Baltazar</t>
  </si>
  <si>
    <t>Valle del Atardecer 3696, Casa</t>
  </si>
  <si>
    <t>2026-01-04 20:04</t>
  </si>
  <si>
    <t>DOR55015732</t>
  </si>
  <si>
    <t>261492731</t>
  </si>
  <si>
    <t>NOMBRE RETIRA: DARLIN PINTO . RUT RETIRA: 22206195-4</t>
  </si>
  <si>
    <t>Mónica Vargas Diaz</t>
  </si>
  <si>
    <t>Pasaje camino a la playa 2040, 714 torre C departamento</t>
  </si>
  <si>
    <t>DOR55015815</t>
  </si>
  <si>
    <t>261492468</t>
  </si>
  <si>
    <t>NOMBRE RETIRA: MARITZA PALACIOS . RUT RETIRA: 56052390-4</t>
  </si>
  <si>
    <t>Christian Arenas</t>
  </si>
  <si>
    <t>Salvador Reyes 940, 1203</t>
  </si>
  <si>
    <t>2026-01-05 11:09</t>
  </si>
  <si>
    <t>DOR55015736</t>
  </si>
  <si>
    <t>261492707</t>
  </si>
  <si>
    <t>NOMBRE RETIRA: CAMILA SCHMIDT X RUT RETIRA: 18484772-8</t>
  </si>
  <si>
    <t>Felipe Ortiz Ibarra</t>
  </si>
  <si>
    <t>Urrutia 630, Oficina 204 clínica BH, arriba de Café Local</t>
  </si>
  <si>
    <t>DOR55015781</t>
  </si>
  <si>
    <t>261492602</t>
  </si>
  <si>
    <t>NOMBRE RETIRA: HECTOR RAMIREZ . RUT RETIRA: 11614550-2</t>
  </si>
  <si>
    <t>Domingo barraza 1108, Casa</t>
  </si>
  <si>
    <t>DOR55015759</t>
  </si>
  <si>
    <t>261492627</t>
  </si>
  <si>
    <t>NOMBRE RETIRA: JANET FARIAS L RUT RETIRA: 24462176-7</t>
  </si>
  <si>
    <t>Janet Farias</t>
  </si>
  <si>
    <t>Avenida Antonio Rendic 3750</t>
  </si>
  <si>
    <t>DOR55015785</t>
  </si>
  <si>
    <t>261492573</t>
  </si>
  <si>
    <t>NOMBRE RETIRA: JESSICA . . RUT RETIRA: 9147070-5</t>
  </si>
  <si>
    <t>Giannina Araus</t>
  </si>
  <si>
    <t>Sierra nevada 11110, Depto 901</t>
  </si>
  <si>
    <t>DOR55015835</t>
  </si>
  <si>
    <t>261589184</t>
  </si>
  <si>
    <t>NOMBRE RETIRA: RICARDO VALENCIA . RUT RETIRA: 8727709-7</t>
  </si>
  <si>
    <t>Cerro paranal 360, 51</t>
  </si>
  <si>
    <t>DOR55015468</t>
  </si>
  <si>
    <t>260610774</t>
  </si>
  <si>
    <t>NOMBRE RETIRA: SANDRA SAAVEDRA A RUT RETIRA: 21897136-9</t>
  </si>
  <si>
    <t>Sandra Saavedra</t>
  </si>
  <si>
    <t>Carlos Tello 1565, Casa</t>
  </si>
  <si>
    <t>2025-12-19 19:58</t>
  </si>
  <si>
    <t>DOR55015817</t>
  </si>
  <si>
    <t>261492463</t>
  </si>
  <si>
    <t>NOMBRE RETIRA: LORENA DONOSO . RUT RETIRA: 12127874-K</t>
  </si>
  <si>
    <t>Canto de agua 420, Villa El Porvenir</t>
  </si>
  <si>
    <t>DOR55015731</t>
  </si>
  <si>
    <t>261492763</t>
  </si>
  <si>
    <t>NOMBRE RETIRA: DIEGO HUAIQUINIR . RUT RETIRA: 65204278-3</t>
  </si>
  <si>
    <t>Yazmina Jiménez</t>
  </si>
  <si>
    <t>Patricio Lynch 742, 1703</t>
  </si>
  <si>
    <t>DOR55015739</t>
  </si>
  <si>
    <t>261492698</t>
  </si>
  <si>
    <t>NOMBRE RETIRA: RUBEN , , RUT RETIRA: 53310370-7</t>
  </si>
  <si>
    <t>Tamara Staforelli Martínez</t>
  </si>
  <si>
    <t>Avenida los conquistadores 1640, 103D</t>
  </si>
  <si>
    <t>2026-01-01 22:37</t>
  </si>
  <si>
    <t>DOR55015828</t>
  </si>
  <si>
    <t>261589218</t>
  </si>
  <si>
    <t>NOMBRE RETIRA: MARIANA ORTIZ . RUT RETIRA: 11541264-7</t>
  </si>
  <si>
    <t>Mariana Ortiz Aguero</t>
  </si>
  <si>
    <t>Pje Gabriela Mistral 012, Local comercial</t>
  </si>
  <si>
    <t>2026-01-05 20:11</t>
  </si>
  <si>
    <t>DOR55015483</t>
  </si>
  <si>
    <t>260610771</t>
  </si>
  <si>
    <t>NOMBRE RETIRA: JAVIER FERNANDEZ . RUT RETIRA: 15304464-3</t>
  </si>
  <si>
    <t>Javier Fernández</t>
  </si>
  <si>
    <t>Ignacio Serrano 959</t>
  </si>
  <si>
    <t>DOR55015804</t>
  </si>
  <si>
    <t>261492543</t>
  </si>
  <si>
    <t>NOMBRE RETIRA: PAOLA IBANEZ . RUT RETIRA: 65130888-7</t>
  </si>
  <si>
    <t>paola ibañez</t>
  </si>
  <si>
    <t>9 1/2 sur 4500 hacienda las rastras</t>
  </si>
  <si>
    <t>DOR55015825</t>
  </si>
  <si>
    <t>261589215</t>
  </si>
  <si>
    <t>NOMBRE RETIRA: DARIAO AREVALO . RUT RETIRA: 18805117-0</t>
  </si>
  <si>
    <t>Dario Arévalo Torres</t>
  </si>
  <si>
    <t>Costanera Quilque Norte 820, Edificio el Roble 603</t>
  </si>
  <si>
    <t>DOR55015773</t>
  </si>
  <si>
    <t>261492617</t>
  </si>
  <si>
    <t>NOMBRE RETIRA: MARIA ALFARO . RUT RETIRA: 9547496-9</t>
  </si>
  <si>
    <t>Gabriel Antonio Rodriguez Alfaro</t>
  </si>
  <si>
    <t>Lima 77, Frente a Multicancha</t>
  </si>
  <si>
    <t>DOR55015818</t>
  </si>
  <si>
    <t>261492416</t>
  </si>
  <si>
    <t>NOMBRE RETIRA: COLINA CHAMORRO . RUT RETIRA: 6677265-9</t>
  </si>
  <si>
    <t>Pasaje el Mañío 0200</t>
  </si>
  <si>
    <t>DOR55015838</t>
  </si>
  <si>
    <t>261589147</t>
  </si>
  <si>
    <t>NOMBRE RETIRA: SILVIS WENZRL . RUT RETIRA: 8654936-0</t>
  </si>
  <si>
    <t>Sylvia Wenzel</t>
  </si>
  <si>
    <t>Reloncaví 958, Puerta Del Sol</t>
  </si>
  <si>
    <t>DOR55015819</t>
  </si>
  <si>
    <t>261492436</t>
  </si>
  <si>
    <t>NOMBRE RETIRA: CAMILA MARTINEZ . RUT RETIRA: 18886886-K</t>
  </si>
  <si>
    <t>Karem García</t>
  </si>
  <si>
    <t>Diego Duble Urrutia 546, casa dos pisos con balcon</t>
  </si>
  <si>
    <t>DOR55015783</t>
  </si>
  <si>
    <t>261492599</t>
  </si>
  <si>
    <t>NOMBRE RETIRA: MANLIO BONILLA A RUT RETIRA: 20137133-3</t>
  </si>
  <si>
    <t>Navio San Martín 290, Spto 102-a</t>
  </si>
  <si>
    <t>DOR55015832</t>
  </si>
  <si>
    <t>261589156</t>
  </si>
  <si>
    <t>NOMBRE RETIRA: BEATRIZ MARQUEZ .. RUT RETIRA: 19080604-9</t>
  </si>
  <si>
    <t>Beatriz Marquez Campos</t>
  </si>
  <si>
    <t>Pasaje España 894, Casa</t>
  </si>
  <si>
    <t>DOR55015769</t>
  </si>
  <si>
    <t>261492659</t>
  </si>
  <si>
    <t>NOMBRE RETIRA: NADIA CARRASCO CARRASCO RUT RETIRA: 9556804-1</t>
  </si>
  <si>
    <t>NADIA CARRASCO AZOCAR</t>
  </si>
  <si>
    <t>VISTA HERMOSA 11 LONCO NORTE CHIGUAYANTE, CASA 11</t>
  </si>
  <si>
    <t>DOR55015807</t>
  </si>
  <si>
    <t>261492514</t>
  </si>
  <si>
    <t>NOMBRE RETIRA: RENATO MELIN A RUT RETIRA: 21402539-6</t>
  </si>
  <si>
    <t>Paulina Molina</t>
  </si>
  <si>
    <t>32 oriente 2 norte. 1470 local 119, Tue espacio vivo. Cafeteria amaranto</t>
  </si>
  <si>
    <t>DOR55015617</t>
  </si>
  <si>
    <t>261085770</t>
  </si>
  <si>
    <t>NOMBRE RETIRA: KETRINE MUNOZ A RUT RETIRA: 15692585-3</t>
  </si>
  <si>
    <t>Katerina Muñoz ramos</t>
  </si>
  <si>
    <t>Las Torres 3350, 1000000 Arica, Arica y Parinacota, Chile, Torre 8 depto 34</t>
  </si>
  <si>
    <t>2025-12-26 20:06</t>
  </si>
  <si>
    <t>DOR55015841</t>
  </si>
  <si>
    <t>261589133</t>
  </si>
  <si>
    <t>NOMBRE RETIRA: JAVIER ZAPATA . RUT RETIRA: 65883310-3</t>
  </si>
  <si>
    <t>Lorena Sepulveda</t>
  </si>
  <si>
    <t>Camino al venado 1320, Apartment 703</t>
  </si>
  <si>
    <t>DOR55015806</t>
  </si>
  <si>
    <t>261492493</t>
  </si>
  <si>
    <t>NOMBRE RETIRA: YASNA BEGA . RUT RETIRA: 22154642-3</t>
  </si>
  <si>
    <t>Los Arándanos 5337, Depto A 304</t>
  </si>
  <si>
    <t>DOR55015822</t>
  </si>
  <si>
    <t>261589226</t>
  </si>
  <si>
    <t>NOMBRE RETIRA: SEBASTIAN TAPIA . RUT RETIRA: 18974168-5</t>
  </si>
  <si>
    <t>sebastian tapia</t>
  </si>
  <si>
    <t>San Héctor #260</t>
  </si>
  <si>
    <t>DOR55015771</t>
  </si>
  <si>
    <t>261492647</t>
  </si>
  <si>
    <t>NOMBRE RETIRA: MARIA MARDONES . RUT RETIRA: 7260517-9</t>
  </si>
  <si>
    <t>Cristóbal Soto Mardones</t>
  </si>
  <si>
    <t>Paulina Von Mallinckrodt 39, Las palmeras, collao</t>
  </si>
  <si>
    <t>DOR55015734</t>
  </si>
  <si>
    <t>261492725</t>
  </si>
  <si>
    <t>NOMBRE RETIRA: DANIELA ORTIZ . RUT RETIRA: 65226449-2</t>
  </si>
  <si>
    <t>Javier Barrios Benavente</t>
  </si>
  <si>
    <t>Porvenir 1211, Depto 404D, 404D</t>
  </si>
  <si>
    <t>DOR55015808</t>
  </si>
  <si>
    <t>261492526</t>
  </si>
  <si>
    <t>NOMBRE RETIRA: XIMENA VALENZUELA . RUT RETIRA: 53333463-6</t>
  </si>
  <si>
    <t>Daniela Meneses</t>
  </si>
  <si>
    <t>Condell Sur 1237, 1608</t>
  </si>
  <si>
    <t>DOR55015729</t>
  </si>
  <si>
    <t>261492753</t>
  </si>
  <si>
    <t>NOMBRE RETIRA: TOMAS GLARIA . RUT RETIRA: 16152176-0</t>
  </si>
  <si>
    <t>Yenifer Barrera</t>
  </si>
  <si>
    <t>Avenida Chacabuco 1085, 1301</t>
  </si>
  <si>
    <t>DOR55015842</t>
  </si>
  <si>
    <t>261589097</t>
  </si>
  <si>
    <t>NOMBRE RETIRA: JORGE SALAZAR . RUT RETIRA: 17821730-5</t>
  </si>
  <si>
    <t>1 oriente 1120, Departamento 403 edificio cervantes</t>
  </si>
  <si>
    <t>DOR55015742</t>
  </si>
  <si>
    <t>261492679</t>
  </si>
  <si>
    <t>Andrea Zuñiga</t>
  </si>
  <si>
    <t>Luna llena 894</t>
  </si>
  <si>
    <t>DOR55015787</t>
  </si>
  <si>
    <t>261492568</t>
  </si>
  <si>
    <t>NOMBRE RETIRA: DANIELA FERNANDEZ . RUT RETIRA: 17027884-4</t>
  </si>
  <si>
    <t>Maipu 363, Local de pinturas automotrices baco</t>
  </si>
  <si>
    <t>DOR55015813</t>
  </si>
  <si>
    <t>261492500</t>
  </si>
  <si>
    <t>Michael Farias</t>
  </si>
  <si>
    <t>Alcaparra 1428</t>
  </si>
  <si>
    <t>DOR55015702</t>
  </si>
  <si>
    <t>261321742</t>
  </si>
  <si>
    <t>NOMBRE RETIRA: MARCO MENDOZA X RUT RETIRA: 11535907-K</t>
  </si>
  <si>
    <t>Marco Antonio Mendoza Cifuentes</t>
  </si>
  <si>
    <t>DICHATO, VILLA FRESIA PASAJE 8 CASA 11, COMUNA DE TOME, DICHATO, VILLA FRESIA PASAJE 8 CASA 11,</t>
  </si>
  <si>
    <t>2025-12-30 20:19</t>
  </si>
  <si>
    <t>DOR55015681</t>
  </si>
  <si>
    <t>261169293</t>
  </si>
  <si>
    <t>NOMBRE RETIRA: INGRID ULLOA . RUT RETIRA: 10222671-2</t>
  </si>
  <si>
    <t>Octavio Sandoval</t>
  </si>
  <si>
    <t>Ocurica y leonor 1889, B</t>
  </si>
  <si>
    <t>2025-12-29 11:14</t>
  </si>
  <si>
    <t>DOR55015499</t>
  </si>
  <si>
    <t>9421939505</t>
  </si>
  <si>
    <t>maria teresa Rodriguez fuentealba</t>
  </si>
  <si>
    <t>Río Maule 2610, Casa 168</t>
  </si>
  <si>
    <t>DOR55015475</t>
  </si>
  <si>
    <t>9421587136</t>
  </si>
  <si>
    <t>Carla García Rojas</t>
  </si>
  <si>
    <t>Sitio 63 sector el condor molina, Casa</t>
  </si>
  <si>
    <t>DOR55015682</t>
  </si>
  <si>
    <t>261169317</t>
  </si>
  <si>
    <t>NOMBRE RETIRA: ALEXANDRA SCHOVELIN . RUT RETIRA: 18144600-5</t>
  </si>
  <si>
    <t>Alexandra Schovelin</t>
  </si>
  <si>
    <t>Bernardo O'Higgins Poniente 77, Oficina 1108</t>
  </si>
  <si>
    <t>2025-12-29 20:23</t>
  </si>
  <si>
    <t>DOR55015647</t>
  </si>
  <si>
    <t>261085707</t>
  </si>
  <si>
    <t>NOMBRE RETIRA: LAURA EDIA . RUT RETIRA: 7699242-8</t>
  </si>
  <si>
    <t>Eveline Falla Martinez</t>
  </si>
  <si>
    <t>Avenida argentina 1497, Casa</t>
  </si>
  <si>
    <t>2025-12-28 20:29</t>
  </si>
  <si>
    <t>DOR55015692</t>
  </si>
  <si>
    <t>261169256</t>
  </si>
  <si>
    <t>NOMBRE RETIRA: JOSE HENRIQUEZ . RUT RETIRA: 11624278-8</t>
  </si>
  <si>
    <t>DOR55015698</t>
  </si>
  <si>
    <t>261169238</t>
  </si>
  <si>
    <t>NOMBRE RETIRA: WILMER R T RUT RETIRA: 6397163-4</t>
  </si>
  <si>
    <t>Marioly Sandoval</t>
  </si>
  <si>
    <t>Matías Rojas 552 la favorecedora, Casa</t>
  </si>
  <si>
    <t>2025-12-30 11:11</t>
  </si>
  <si>
    <t>DOR55015608</t>
  </si>
  <si>
    <t>261085827</t>
  </si>
  <si>
    <t>NOMBRE RETIRA: VERONICA DIAZ . RUT RETIRA: 9811847-0</t>
  </si>
  <si>
    <t>Veronica Díaz Solar</t>
  </si>
  <si>
    <t>Juan Mandaleris k 1389, Coviefi,casa</t>
  </si>
  <si>
    <t>DOR55015719</t>
  </si>
  <si>
    <t>261321714</t>
  </si>
  <si>
    <t>NOMBRE RETIRA: RENWE VARGAS . RUT RETIRA: 16664991-9</t>
  </si>
  <si>
    <t>Rodrigo Olmedo</t>
  </si>
  <si>
    <t>Trinquete 27 Depto 302 Av. Alemania, 302</t>
  </si>
  <si>
    <t>2025-12-31 15:14</t>
  </si>
  <si>
    <t>DOR55015673</t>
  </si>
  <si>
    <t>261169333</t>
  </si>
  <si>
    <t>NOMBRE RETIRA: ORIANA VILLALOLOVOS .. RUT RETIRA: 8690497-7</t>
  </si>
  <si>
    <t>Hugo Vasconcelo</t>
  </si>
  <si>
    <t>Trinquete 43, Dpto 402</t>
  </si>
  <si>
    <t>DOR55015680</t>
  </si>
  <si>
    <t>261169321</t>
  </si>
  <si>
    <t>NOMBRE RETIRA: JAIME AGUILAR ... RUT RETIRA: 7377643-0</t>
  </si>
  <si>
    <t>Las Heras 226, Depto. 301</t>
  </si>
  <si>
    <t>DOR55015713</t>
  </si>
  <si>
    <t>261321705</t>
  </si>
  <si>
    <t>NOMBRE RETIRA: IVAN RPSALEZ . RUT RETIRA: 17575914-K</t>
  </si>
  <si>
    <t>19 de junio 1571 depto 1708, edificio parque urbano</t>
  </si>
  <si>
    <t>DOR55015688</t>
  </si>
  <si>
    <t>261169270</t>
  </si>
  <si>
    <t>NOMBRE RETIRA: MAURICIO SAEZ . RUT RETIRA: 65196115-7</t>
  </si>
  <si>
    <t>10 norte 655, Depto 802</t>
  </si>
  <si>
    <t>DOR55015726</t>
  </si>
  <si>
    <t>261321672</t>
  </si>
  <si>
    <t>NOMBRE RETIRA: BERNARDITA TREJO 0 RUT RETIRA: 11639026-4</t>
  </si>
  <si>
    <t>Bernarda Trejo</t>
  </si>
  <si>
    <t>Pasaje Laguna San Rafael PoblaciÓn Mirasol 2042 2042 2042 2042 2042, 2042, 2042</t>
  </si>
  <si>
    <t>DOR55015708</t>
  </si>
  <si>
    <t>261321724</t>
  </si>
  <si>
    <t>NOMBRE RETIRA: CARLOS DORN . RUT RETIRA: 10290617-9</t>
  </si>
  <si>
    <t>Martha Tapia</t>
  </si>
  <si>
    <t>Quito 248, CASA 248</t>
  </si>
  <si>
    <t>DOR55015690</t>
  </si>
  <si>
    <t>261169262</t>
  </si>
  <si>
    <t>NOMBRE RETIRA: EDDA CICORIA . RUT RETIRA: 7072386-7</t>
  </si>
  <si>
    <t>Matias Menne</t>
  </si>
  <si>
    <t>DOR55015685</t>
  </si>
  <si>
    <t>261169280</t>
  </si>
  <si>
    <t>Marcia Guzman Godoy</t>
  </si>
  <si>
    <t>Leonidas Perez 2835, 305 B</t>
  </si>
  <si>
    <t>DOR55015723</t>
  </si>
  <si>
    <t>261321677</t>
  </si>
  <si>
    <t>NOMBRE RETIRA: CRISTIAN PONCE . RUT RETIRA: 19787995-5</t>
  </si>
  <si>
    <t>Cristian Ponce</t>
  </si>
  <si>
    <t>pablo gran viterbo 1460, Los Andes, 1460</t>
  </si>
  <si>
    <t>DOR55015705</t>
  </si>
  <si>
    <t>261321731</t>
  </si>
  <si>
    <t>NOMBRE RETIRA: JOSE CALZADILLA CALZADILLA RUT RETIRA: 12284410-2</t>
  </si>
  <si>
    <t>maria soledad weiss</t>
  </si>
  <si>
    <t>antilhue, 206 depto 142 torre 1A</t>
  </si>
  <si>
    <t>DOR55015678</t>
  </si>
  <si>
    <t>261169295</t>
  </si>
  <si>
    <t>NOMBRE RETIRA: ROMINA CRUCES O RUT RETIRA: 11794369-0</t>
  </si>
  <si>
    <t>Romina Cruces</t>
  </si>
  <si>
    <t>Fuenzalida 1170, Casa</t>
  </si>
  <si>
    <t>DOR55015720</t>
  </si>
  <si>
    <t>261321711</t>
  </si>
  <si>
    <t>NOMBRE RETIRA: GOSENA KRO F RUT RETIRA: 13624643-7</t>
  </si>
  <si>
    <t>GISELA MYRIAM DE FATIMA KOPPLIN RIVAS</t>
  </si>
  <si>
    <t>S*N V*****E DE P**L 24 C**A 10, 10</t>
  </si>
  <si>
    <t>DOR55015693</t>
  </si>
  <si>
    <t>261169267</t>
  </si>
  <si>
    <t>NOMBRE RETIRA: MANUEL URIBE B RUT RETIRA: 18107673-9</t>
  </si>
  <si>
    <t>Avenida Torreones este 1731 dpto 613 D, Casa</t>
  </si>
  <si>
    <t>DOR55015668</t>
  </si>
  <si>
    <t>261169345</t>
  </si>
  <si>
    <t>NOMBRE RETIRA: RICHARD CASTILLO . RUT RETIRA: 10461601-1</t>
  </si>
  <si>
    <t>Katherine La Fuente Rodríguez</t>
  </si>
  <si>
    <t>Miramar 5324, Depto 405</t>
  </si>
  <si>
    <t>DOR55015619</t>
  </si>
  <si>
    <t>261085765</t>
  </si>
  <si>
    <t>NOMBRE RETIRA: MARIOLY SANDOVAL 0 RUT RETIRA: 9837274-1</t>
  </si>
  <si>
    <t>DOR55015660</t>
  </si>
  <si>
    <t>261085666</t>
  </si>
  <si>
    <t>NOMBRE RETIRA: ORIANA VILLAROEL . RUT RETIRA: 10495102-3</t>
  </si>
  <si>
    <t>Tania Giordano</t>
  </si>
  <si>
    <t>Los Leones 538 población lintz, Los Leones 538</t>
  </si>
  <si>
    <t>DOR55015551</t>
  </si>
  <si>
    <t>260610669</t>
  </si>
  <si>
    <t>NOMBRE RETIRA: ALICIA AGUILAR H RUT RETIRA: 15014492-2</t>
  </si>
  <si>
    <t>Oscar Lucero</t>
  </si>
  <si>
    <t>Tadeo Haenke 2221, Depto 134A</t>
  </si>
  <si>
    <t>DOR55015431</t>
  </si>
  <si>
    <t>260610803</t>
  </si>
  <si>
    <t>NOMBRE RETIRA: DANIELA COLLAO COLLAO RUT RETIRA: 19738717-3</t>
  </si>
  <si>
    <t>Daniela Collao Herrera</t>
  </si>
  <si>
    <t>pasaje nevado de incahuasi 2819, Villa los Álamos, casa</t>
  </si>
  <si>
    <t>2025-12-18 20:14</t>
  </si>
  <si>
    <t>DOR55015432</t>
  </si>
  <si>
    <t>260610825</t>
  </si>
  <si>
    <t>NOMBRE RETIRA: OSCAR MERCADO . RUT RETIRA: 76669508-6</t>
  </si>
  <si>
    <t>Óscar mercado</t>
  </si>
  <si>
    <t>Serrano 956</t>
  </si>
  <si>
    <t>DOR55015545</t>
  </si>
  <si>
    <t>260610671</t>
  </si>
  <si>
    <t>NOMBRE RETIRA: YUMILET BUGENO . RUT RETIRA: 15005771-K</t>
  </si>
  <si>
    <t>CAROLINA POULAIN ZAPATA</t>
  </si>
  <si>
    <t>Pasaje Alto Amarillo 5371</t>
  </si>
  <si>
    <t>DOR55015585</t>
  </si>
  <si>
    <t>260897917</t>
  </si>
  <si>
    <t>NOMBRE RETIRA: PAULINA TORREALBA TORREJON RUT RETIRA: 17193405-2</t>
  </si>
  <si>
    <t>Paulina Torrealba Mahuad</t>
  </si>
  <si>
    <t>Infante #147</t>
  </si>
  <si>
    <t>2025-12-25 19:17</t>
  </si>
  <si>
    <t>DOR55015650</t>
  </si>
  <si>
    <t>261085722</t>
  </si>
  <si>
    <t>Rosa Silva</t>
  </si>
  <si>
    <t>La Tirana 4865, 166 A</t>
  </si>
  <si>
    <t>DOR55015514</t>
  </si>
  <si>
    <t>260610711</t>
  </si>
  <si>
    <t>NOMBRE RETIRA: ESNEI DE LA GUERRA . RUT RETIRA: 20249827-2</t>
  </si>
  <si>
    <t>Jorge Edgardo Sandoval Miranda</t>
  </si>
  <si>
    <t>Avenida las parcelas 3232, Depto 511 torre 1</t>
  </si>
  <si>
    <t>DOR55015634</t>
  </si>
  <si>
    <t>261085710</t>
  </si>
  <si>
    <t>NOMBRE RETIRA: MARITZA NAVEA X RUT RETIRA: 19058805-K</t>
  </si>
  <si>
    <t>Maritza Navea</t>
  </si>
  <si>
    <t>Juan retamal 685</t>
  </si>
  <si>
    <t>2025-12-28 20:28</t>
  </si>
  <si>
    <t>DOR55015649</t>
  </si>
  <si>
    <t>261085677</t>
  </si>
  <si>
    <t>NOMBRE RETIRA: LUIS MATAMALA . RUT RETIRA: 9594811-1</t>
  </si>
  <si>
    <t>Mariela Parra Morales</t>
  </si>
  <si>
    <t>Nonguen 171 Dpto 101</t>
  </si>
  <si>
    <t>DOR55015595</t>
  </si>
  <si>
    <t>260897880</t>
  </si>
  <si>
    <t>NOMBRE RETIRA: PAMELA CASTRO . RUT RETIRA: 13218421-6</t>
  </si>
  <si>
    <t>Omar Rios</t>
  </si>
  <si>
    <t>Arturo Fernández 2098, Iquique, Tarapacá, Chile, depto 804</t>
  </si>
  <si>
    <t>2025-12-26 11:11</t>
  </si>
  <si>
    <t>DOR55015464</t>
  </si>
  <si>
    <t>260610775</t>
  </si>
  <si>
    <t>NOMBRE RETIRA: DANIELA SAAVEDRA . RUT RETIRA: 21715271-2</t>
  </si>
  <si>
    <t>Jose Maturana</t>
  </si>
  <si>
    <t>Curico 2314, Casa</t>
  </si>
  <si>
    <t>DOR55015612</t>
  </si>
  <si>
    <t>261085795</t>
  </si>
  <si>
    <t>NOMBRE RETIRA: CINTHIA AGOSIN J RUT RETIRA: 15750432-0</t>
  </si>
  <si>
    <t>Ivan Funes Zamora</t>
  </si>
  <si>
    <t>Byers 859</t>
  </si>
  <si>
    <t>DOR55015587</t>
  </si>
  <si>
    <t>260897922</t>
  </si>
  <si>
    <t>NOMBRE RETIRA: HUGO ARTEAGA . RUT RETIRA: 8953571-9</t>
  </si>
  <si>
    <t>Hugo Arteaga Salgado</t>
  </si>
  <si>
    <t>José Blümell 116, Casa</t>
  </si>
  <si>
    <t>DOR55015607</t>
  </si>
  <si>
    <t>261085810</t>
  </si>
  <si>
    <t>NOMBRE RETIRA: CONSTANZA TAGLE TAGLE RUT RETIRA: 18041753-2</t>
  </si>
  <si>
    <t>Constanza Tagle</t>
  </si>
  <si>
    <t>Av alto palermo 221, Casa</t>
  </si>
  <si>
    <t>DOR55015662</t>
  </si>
  <si>
    <t>261085660</t>
  </si>
  <si>
    <t>NOMBRE RETIRA: NINOSKA MORENO HURTA RUT RETIRA: 15107800-1</t>
  </si>
  <si>
    <t>Ninoska Moreno Hurtado</t>
  </si>
  <si>
    <t>Las Torcazas oriente 704</t>
  </si>
  <si>
    <t>DOR55015541</t>
  </si>
  <si>
    <t>260610673</t>
  </si>
  <si>
    <t>NOMBRE RETIRA: MAY RAMILA . RUT RETIRA: 22684476-7</t>
  </si>
  <si>
    <t>Mai Ramila</t>
  </si>
  <si>
    <t>Museo Del Meteorito, Tocopilla 201</t>
  </si>
  <si>
    <t>2025-12-22 14:02</t>
  </si>
  <si>
    <t>DOR55015442</t>
  </si>
  <si>
    <t>260610788</t>
  </si>
  <si>
    <t>NOMBRE RETIRA: CARMEN NEIRA . RUT RETIRA: 15529343-8</t>
  </si>
  <si>
    <t>Carmen Neira</t>
  </si>
  <si>
    <t>Agustina sur 743, casa</t>
  </si>
  <si>
    <t>DOR55015592</t>
  </si>
  <si>
    <t>260897896</t>
  </si>
  <si>
    <t>NOMBRE RETIRA: CONSTANZA IGLESIAS. . RUT RETIRA: 16888437-0</t>
  </si>
  <si>
    <t>Constanza Iglesias carvallo</t>
  </si>
  <si>
    <t>Miguel de cervantes 1053, 40</t>
  </si>
  <si>
    <t>DOR55015457</t>
  </si>
  <si>
    <t>260610777</t>
  </si>
  <si>
    <t>NOMBRE RETIRA: NICOLAS ARAYA ARAYA RUT RETIRA: 20661616-4</t>
  </si>
  <si>
    <t>Nicolas Araya Basso</t>
  </si>
  <si>
    <t>El Avellano 572, Villa Baquedano</t>
  </si>
  <si>
    <t>DOR55015611</t>
  </si>
  <si>
    <t>261085818</t>
  </si>
  <si>
    <t>NOMBRE RETIRA: CRISTIAN VILLALOBOS . RUT RETIRA: 12423286-4</t>
  </si>
  <si>
    <t>Matias 195364982</t>
  </si>
  <si>
    <t>Avenida Francia 1790, C53</t>
  </si>
  <si>
    <t>DOR55015635</t>
  </si>
  <si>
    <t>261085743</t>
  </si>
  <si>
    <t>NOMBRE RETIRA: DANIELA CATALAN . RUT RETIRA: 14568088-3</t>
  </si>
  <si>
    <t>Daniela Catalán</t>
  </si>
  <si>
    <t>Calle Chañaral #1571, Casa esquina amarilla, esquina pasaje Totoral</t>
  </si>
  <si>
    <t>DOR55015642</t>
  </si>
  <si>
    <t>261085694</t>
  </si>
  <si>
    <t>NOMBRE RETIRA: LIDIA VERGARA . RUT RETIRA: 17194854-1</t>
  </si>
  <si>
    <t>Marta Briones vergara</t>
  </si>
  <si>
    <t>Villa las acacias segunda etapa, pasaje 2, 100</t>
  </si>
  <si>
    <t>DOR55015314</t>
  </si>
  <si>
    <t>259981218</t>
  </si>
  <si>
    <t>NOMBRE RETIRA: JAVIERA UTRERAS . RUT RETIRA: 26625717-1</t>
  </si>
  <si>
    <t>Veronica Vargas</t>
  </si>
  <si>
    <t>Recta foitkick lm 2</t>
  </si>
  <si>
    <t>2025-12-14 21:12</t>
  </si>
  <si>
    <t>DOR55015653</t>
  </si>
  <si>
    <t>261085655</t>
  </si>
  <si>
    <t>NOMBRE RETIRA: DIEGO CASTILLO . RUT RETIRA: 18686873-0</t>
  </si>
  <si>
    <t>Diego Castillo</t>
  </si>
  <si>
    <t>Los leones 812, Casa</t>
  </si>
  <si>
    <t>DOR55015652</t>
  </si>
  <si>
    <t>261085684</t>
  </si>
  <si>
    <t>NOMBRE RETIRA: DANIELA MARDONES N RUT RETIRA: 20802820-0</t>
  </si>
  <si>
    <t>26 1/2 sur numero 78 villa magisterio</t>
  </si>
  <si>
    <t>DOR55015497</t>
  </si>
  <si>
    <t>260610738</t>
  </si>
  <si>
    <t>NOMBRE RETIRA: BASTIAN PIZARRO . RUT RETIRA: 19735427-5</t>
  </si>
  <si>
    <t>Ernesto Lobos 2267</t>
  </si>
  <si>
    <t>DOR55015502</t>
  </si>
  <si>
    <t>260610721</t>
  </si>
  <si>
    <t>NOMBRE RETIRA: VALENTINA HUCK 0 RUT RETIRA: 12345678-5</t>
  </si>
  <si>
    <t>Valentina Huck</t>
  </si>
  <si>
    <t>Santa Magdalena 1188, Casa esquina verde (1188 o 1186)</t>
  </si>
  <si>
    <t>DOR55015498</t>
  </si>
  <si>
    <t>260610726</t>
  </si>
  <si>
    <t>NOMBRE RETIRA: MARCO WEBER . RUT RETIRA: 10620497-7</t>
  </si>
  <si>
    <t>Shiara Barraza</t>
  </si>
  <si>
    <t>Valdivia 751, 406 D</t>
  </si>
  <si>
    <t>DOR55015439</t>
  </si>
  <si>
    <t>260610800</t>
  </si>
  <si>
    <t>NOMBRE RETIRA: ALFREDO MILLON .. RUT RETIRA: 17598638-3</t>
  </si>
  <si>
    <t>Alfredo Millon</t>
  </si>
  <si>
    <t>44 oriente 3538</t>
  </si>
  <si>
    <t>DOR55015444</t>
  </si>
  <si>
    <t>260610785</t>
  </si>
  <si>
    <t>NOMBRE RETIRA: MANUEL ARAYA . RUT RETIRA: 22154642-3</t>
  </si>
  <si>
    <t>Siempreviva 2440</t>
  </si>
  <si>
    <t>DOR55015470</t>
  </si>
  <si>
    <t>260610749</t>
  </si>
  <si>
    <t>NOMBRE RETIRA: NICOLE MUNOZ . RUT RETIRA: 18740566-1</t>
  </si>
  <si>
    <t>Walter andrés Vidal gayoso</t>
  </si>
  <si>
    <t>Curitiba 3220, Casa esquina (local comercial el mercadito)</t>
  </si>
  <si>
    <t>DOR55015494</t>
  </si>
  <si>
    <t>260610758</t>
  </si>
  <si>
    <t>NOMBRE RETIRA: STEPHANIE BALLADARES . RUT RETIRA: 16965033-0</t>
  </si>
  <si>
    <t>Stephanie Balladares vinet</t>
  </si>
  <si>
    <t>Belisario prat 653, Casa</t>
  </si>
  <si>
    <t>DOR55015478</t>
  </si>
  <si>
    <t>260610772</t>
  </si>
  <si>
    <t>Lisette Pino</t>
  </si>
  <si>
    <t>Calle el almendral 384 villa las deliciaa</t>
  </si>
  <si>
    <t>DOR55015531</t>
  </si>
  <si>
    <t>260610693</t>
  </si>
  <si>
    <t>NOMBRE RETIRA: HRRNAN CAVEZAS . RUT RETIRA: 7393302-1</t>
  </si>
  <si>
    <t>Hernan Cabezas Torres</t>
  </si>
  <si>
    <t>Traiguen, Aníbal pinto 906, Casa</t>
  </si>
  <si>
    <t>2025-12-22 11:13</t>
  </si>
  <si>
    <t>DOR55015513</t>
  </si>
  <si>
    <t>260610715</t>
  </si>
  <si>
    <t>NOMBRE RETIRA: JESSICA ROJAS ESPINOZA RUT RETIRA: 9502485-8</t>
  </si>
  <si>
    <t>Wladimir Guzmán Rojas</t>
  </si>
  <si>
    <t>Pasaje Llanos Sal De Atacama, 6120</t>
  </si>
  <si>
    <t>DOR55015451</t>
  </si>
  <si>
    <t>260610780</t>
  </si>
  <si>
    <t>NOMBRE RETIRA: JULIO ANDRADES CONSERJE RUT RETIRA: 17528460-5</t>
  </si>
  <si>
    <t>Juan pablo Paez fernandez</t>
  </si>
  <si>
    <t>Avenida los clarines 1575, Depto 301</t>
  </si>
  <si>
    <t>DOR55015450</t>
  </si>
  <si>
    <t>260610782</t>
  </si>
  <si>
    <t>NOMBRE RETIRA: BERNARDA AGUILERA IK RUT RETIRA: 10700050-K</t>
  </si>
  <si>
    <t>Carolina del Carmen Valdes Diaz</t>
  </si>
  <si>
    <t>Poblacion enrique arenas pasaje argentina, 23</t>
  </si>
  <si>
    <t>DOR55015579</t>
  </si>
  <si>
    <t>260897962</t>
  </si>
  <si>
    <t>NOMBRE RETIRA: PAOLA ROJAS . RUT RETIRA: 16949459-2</t>
  </si>
  <si>
    <t>Paola Roja</t>
  </si>
  <si>
    <t>Ziem 1894, Dpto 511 B</t>
  </si>
  <si>
    <t>2025-12-24 11:22</t>
  </si>
  <si>
    <t>DOR55015561</t>
  </si>
  <si>
    <t>260898032</t>
  </si>
  <si>
    <t>NOMBRE RETIRA: JAVIER FERNANDEZ . RUT RETIRA: 53310959-4</t>
  </si>
  <si>
    <t>SEBASTIAN TOLEDO</t>
  </si>
  <si>
    <t>Avenida Altamirano 1419, Depto 406</t>
  </si>
  <si>
    <t>2025-12-23 11:36</t>
  </si>
  <si>
    <t>DOR55015462</t>
  </si>
  <si>
    <t>260610776</t>
  </si>
  <si>
    <t>NOMBRE RETIRA: ANA ANASXO . RUT RETIRA: 6803899-5</t>
  </si>
  <si>
    <t>Vicente Jimenez</t>
  </si>
  <si>
    <t>Runca 578, Casa roja</t>
  </si>
  <si>
    <t>DOR55015554</t>
  </si>
  <si>
    <t>260610667</t>
  </si>
  <si>
    <t>NOMBRE RETIRA: FRANCISCO MORALES 0 RUT RETIRA: 17987987-5</t>
  </si>
  <si>
    <t>23 1/2 Norte D, 3857, Talca</t>
  </si>
  <si>
    <t>DOR55015584</t>
  </si>
  <si>
    <t>260897958</t>
  </si>
  <si>
    <t>NOMBRE RETIRA: JORHE . . RUT RETIRA: 53330390-0</t>
  </si>
  <si>
    <t>Felipe Abarca Álvarez</t>
  </si>
  <si>
    <t>Irene Morales 664, Departamento 1003</t>
  </si>
  <si>
    <t>DOR55015495</t>
  </si>
  <si>
    <t>260610734</t>
  </si>
  <si>
    <t>NOMBRE RETIRA: SERGIO JARA . RUT RETIRA: 10491414-4</t>
  </si>
  <si>
    <t>Flavio Muñoz</t>
  </si>
  <si>
    <t>Avenida el portal 02455, Depto 88 edificio caburgua</t>
  </si>
  <si>
    <t>DOR55015529</t>
  </si>
  <si>
    <t>260610694</t>
  </si>
  <si>
    <t>NOMBRE RETIRA: LUIS ALARCON . RUT RETIRA: 11571023-0</t>
  </si>
  <si>
    <t>Ocampo Alarcón</t>
  </si>
  <si>
    <t>Lago Llanquihue 278, Valle San Eugenio</t>
  </si>
  <si>
    <t>DOR55015484</t>
  </si>
  <si>
    <t>260610759</t>
  </si>
  <si>
    <t>NOMBRE RETIRA: NAOLA VIDAL . RUT RETIRA: 19269798-0</t>
  </si>
  <si>
    <t>sandra Neumann</t>
  </si>
  <si>
    <t>Avenida Francia 1741, Departamento 601</t>
  </si>
  <si>
    <t>DOR55015493</t>
  </si>
  <si>
    <t>260610737</t>
  </si>
  <si>
    <t>NOMBRE RETIRA: YISELEN ELIANA . RUT RETIRA: 18805117-0</t>
  </si>
  <si>
    <t>YISLEN ELIANA 18523473-8</t>
  </si>
  <si>
    <t>CORRALCO 840 LOS ANGELES, CASA</t>
  </si>
  <si>
    <t>DOR55015542</t>
  </si>
  <si>
    <t>260610682</t>
  </si>
  <si>
    <t>NOMBRE RETIRA: MATIAS GUTIERRES KJ RUT RETIRA: 27805818-2</t>
  </si>
  <si>
    <t>Tabata Hernandez</t>
  </si>
  <si>
    <t>Los Sauces 1924, Villa Portal las Araucarias</t>
  </si>
  <si>
    <t>DOR55015565</t>
  </si>
  <si>
    <t>260898022</t>
  </si>
  <si>
    <t>NOMBRE RETIRA: FELIPE VELASQUEZ . RUT RETIRA: 10967218-1</t>
  </si>
  <si>
    <t>Felipe Velásquez</t>
  </si>
  <si>
    <t>Lynch #135, Casa</t>
  </si>
  <si>
    <t>DOR55015550</t>
  </si>
  <si>
    <t>260610626</t>
  </si>
  <si>
    <t>NOMBRE RETIRA: ANAHI CARCAMO CASTRO RUT RETIRA: 18044460-2</t>
  </si>
  <si>
    <t>Anahi Carcamo</t>
  </si>
  <si>
    <t>Pasaje cinco, 764, Casa</t>
  </si>
  <si>
    <t>DOR55015486</t>
  </si>
  <si>
    <t>260610765</t>
  </si>
  <si>
    <t>NOMBRE RETIRA: RENATO ESCOBAR . RUT RETIRA: 21607416-5</t>
  </si>
  <si>
    <t>KARINA PLAZA SALAS</t>
  </si>
  <si>
    <t>VISTA MAR 48 - Viña del mar, casa</t>
  </si>
  <si>
    <t>DOR55015454</t>
  </si>
  <si>
    <t>260610779</t>
  </si>
  <si>
    <t>NOMBRE RETIRA: NIXOLAA ARAYA ARAYA RUT RETIRA: 81201000-K</t>
  </si>
  <si>
    <t>DOR55015455</t>
  </si>
  <si>
    <t>260610751</t>
  </si>
  <si>
    <t>NOMBRE RETIRA: NICOLAS ESCOBAR . RUT RETIRA: 19786874-0</t>
  </si>
  <si>
    <t>Portus 237, 43</t>
  </si>
  <si>
    <t>DOR55015575</t>
  </si>
  <si>
    <t>260897970</t>
  </si>
  <si>
    <t>NOMBRE RETIRA: YASNA GAETE H RUT RETIRA: 16120449-8</t>
  </si>
  <si>
    <t>Yasna Gaete</t>
  </si>
  <si>
    <t>Pasaje las quinchas 1805 santa laura del boldo</t>
  </si>
  <si>
    <t>DOR55015516</t>
  </si>
  <si>
    <t>260610708</t>
  </si>
  <si>
    <t>NOMBRE RETIRA: AIDA PARADA . RUT RETIRA: 19425319-2</t>
  </si>
  <si>
    <t>Angela Bello</t>
  </si>
  <si>
    <t>Colon 1343, 512</t>
  </si>
  <si>
    <t>DOR55015537</t>
  </si>
  <si>
    <t>260610692</t>
  </si>
  <si>
    <t>NOMBRE RETIRA: MARCOA ESCOBAR I RUT RETIRA: 11121689-4</t>
  </si>
  <si>
    <t>Diego Escobar</t>
  </si>
  <si>
    <t>Estero seco 150, viña del mar</t>
  </si>
  <si>
    <t>DOR55015447</t>
  </si>
  <si>
    <t>260610786</t>
  </si>
  <si>
    <t>NOMBRE RETIRA: FABIOLA LARA N RUT RETIRA: 13145862-2</t>
  </si>
  <si>
    <t>Gustavo Sepulveda</t>
  </si>
  <si>
    <t>Ramon Freire 1481</t>
  </si>
  <si>
    <t>DOR55015474</t>
  </si>
  <si>
    <t>260610773</t>
  </si>
  <si>
    <t>NOMBRE RETIRA: ANDRES ITURRALDE ITURRAL RUT RETIRA: 15311222-3</t>
  </si>
  <si>
    <t>Andres Iturralde</t>
  </si>
  <si>
    <t>Valencia 039</t>
  </si>
  <si>
    <t>DOR55015596</t>
  </si>
  <si>
    <t>260897885</t>
  </si>
  <si>
    <t>NOMBRE RETIRA: LUGINA QUIROGA . RUT RETIRA: 27871863-8</t>
  </si>
  <si>
    <t>Luigina Quiroga González</t>
  </si>
  <si>
    <t>Villa Los Olmos Las pataguas 1261 San Esteban Los Andes, Casa</t>
  </si>
  <si>
    <t>DOR55015583</t>
  </si>
  <si>
    <t>260897941</t>
  </si>
  <si>
    <t>NOMBRE RETIRA: FRANCISCO FONSECA N RUT RETIRA: 53325546-9</t>
  </si>
  <si>
    <t>Doris Diaz</t>
  </si>
  <si>
    <t>Las Acacias 1575, 32</t>
  </si>
  <si>
    <t>DOR55015522</t>
  </si>
  <si>
    <t>260610697</t>
  </si>
  <si>
    <t>NOMBRE RETIRA: MARIELA . M RUT RETIRA: 18510121-5</t>
  </si>
  <si>
    <t>Marianela Valencia</t>
  </si>
  <si>
    <t>Los Ciruelos 401 Condominio Altos de Yungay IV, Torre 2 Departamento 402</t>
  </si>
  <si>
    <t>DOR55015029</t>
  </si>
  <si>
    <t>259112673</t>
  </si>
  <si>
    <t>NOMBRE RETIRA: RAMO ALVARADO . RUT RETIRA: 11358230-8</t>
  </si>
  <si>
    <t>Estefania Caliqueo Sotelo</t>
  </si>
  <si>
    <t>21 de mayo 1268, 2do piso monoambiente</t>
  </si>
  <si>
    <t>2025-12-02 10:20</t>
  </si>
  <si>
    <t>DOR55015722</t>
  </si>
  <si>
    <t>261708109</t>
  </si>
  <si>
    <t>NOMBRE RETIRA: CAELOS PETIT C RUT RETIRA: 56079800-8</t>
  </si>
  <si>
    <t>Krashna Meléndez</t>
  </si>
  <si>
    <t>Alcantara 82, Las Condes, Departamento 1407</t>
  </si>
  <si>
    <t>DOR55016106</t>
  </si>
  <si>
    <t>713019665514</t>
  </si>
  <si>
    <t>Nombre: Catalina Lobos - Rut: 187649609</t>
  </si>
  <si>
    <t>Catalina Lobos Concha</t>
  </si>
  <si>
    <t>Camino La Esperanza, parcela f1, pirque</t>
  </si>
  <si>
    <t>DOR55016088</t>
  </si>
  <si>
    <t>713019257300</t>
  </si>
  <si>
    <t>Nombre: Nelly Veliz - Rut: 97313857</t>
  </si>
  <si>
    <t>Francisca Yañez</t>
  </si>
  <si>
    <t>Mina torno 734 casuto, Casa de 2 pisos celeste</t>
  </si>
  <si>
    <t>DOR55015546</t>
  </si>
  <si>
    <t>9421557935</t>
  </si>
  <si>
    <t>Arlette Ruiz</t>
  </si>
  <si>
    <t>Jose joaquin perez 974</t>
  </si>
  <si>
    <t>DOR55016073</t>
  </si>
  <si>
    <t>713018842314</t>
  </si>
  <si>
    <t>Nombre: Miguel Rosas - Rut: 140958778</t>
  </si>
  <si>
    <t>Miguel Rosas</t>
  </si>
  <si>
    <t>Calle César aguila poza 2520, Casa</t>
  </si>
  <si>
    <t>DOR55016082</t>
  </si>
  <si>
    <t>713018842233</t>
  </si>
  <si>
    <t>Nombre: Rodrigo labra - Rut: 153285667</t>
  </si>
  <si>
    <t>Ignacia Cabrera</t>
  </si>
  <si>
    <t>Vicuña mackenna 848, 848</t>
  </si>
  <si>
    <t>DOR55016029</t>
  </si>
  <si>
    <t>713018402003</t>
  </si>
  <si>
    <t>Nombre: catalina reyes - Rut: 204258260</t>
  </si>
  <si>
    <t>Giselle Reyes</t>
  </si>
  <si>
    <t>Cam. Paico Alto, Sitio n8</t>
  </si>
  <si>
    <t>DOR55016021</t>
  </si>
  <si>
    <t>713018402025</t>
  </si>
  <si>
    <t>Nombre: arantxa michea - Rut: 174012695</t>
  </si>
  <si>
    <t>Arantxa Michea Pizarro</t>
  </si>
  <si>
    <t>Fundo Paico Alto KM cuatro y medio El Paico Alto, Portón negro aprox 14 mts de largo a mano izquierda</t>
  </si>
  <si>
    <t>2026-01-16 20:05</t>
  </si>
  <si>
    <t>DOR55015873</t>
  </si>
  <si>
    <t>713013841853</t>
  </si>
  <si>
    <t>Nombre: Susana Rodriguez - Rut: 142575647</t>
  </si>
  <si>
    <t>Susan Rodriguez Campos</t>
  </si>
  <si>
    <t>Emiliana Subercaseaux 349</t>
  </si>
  <si>
    <t>DOR55015810</t>
  </si>
  <si>
    <t>713012043192</t>
  </si>
  <si>
    <t>Nombre: Javiera Seiba - Rut: 180223096</t>
  </si>
  <si>
    <t>Javiera Seiba</t>
  </si>
  <si>
    <t>Camino de La Pirca 55, Parcelación rinconada del principal</t>
  </si>
  <si>
    <t>DOR55015772</t>
  </si>
  <si>
    <t>713012043505</t>
  </si>
  <si>
    <t>Nombre: Isidora Valdes - Rut: 220662268</t>
  </si>
  <si>
    <t>MATHIAS SEBASTIAN MUNOZ SALDANA</t>
  </si>
  <si>
    <t>Calle esperanza 140, Casa</t>
  </si>
  <si>
    <t>DOR55016041</t>
  </si>
  <si>
    <t>9429479861</t>
  </si>
  <si>
    <t>Ignacio Alarcón</t>
  </si>
  <si>
    <t>Ramón Freire 57</t>
  </si>
  <si>
    <t>DOR55016032</t>
  </si>
  <si>
    <t>9428987444</t>
  </si>
  <si>
    <t>Christian Vidal Castro</t>
  </si>
  <si>
    <t>Tomeco 545 Parque Residencial Bio Bio Hualpen</t>
  </si>
  <si>
    <t>DOR55016054</t>
  </si>
  <si>
    <t>9429917744</t>
  </si>
  <si>
    <t>Adolfo Gutierrez</t>
  </si>
  <si>
    <t>Pedro Aguirre Cerda 1738, Sector Puente Lampa</t>
  </si>
  <si>
    <t>DOR55016092</t>
  </si>
  <si>
    <t>9429649946</t>
  </si>
  <si>
    <t>Alvaro Aguero</t>
  </si>
  <si>
    <t>Campiche 2300, casa</t>
  </si>
  <si>
    <t>DOR55015911</t>
  </si>
  <si>
    <t>9426815834</t>
  </si>
  <si>
    <t>Llaveria 98</t>
  </si>
  <si>
    <t>DOR55015925</t>
  </si>
  <si>
    <t>9427234294</t>
  </si>
  <si>
    <t>Catherine Ayala Salamanca</t>
  </si>
  <si>
    <t>Av padre Santiago loveluck 600, Casa</t>
  </si>
  <si>
    <t>DOR55015891</t>
  </si>
  <si>
    <t>9427809742</t>
  </si>
  <si>
    <t>Esteban Bastidas</t>
  </si>
  <si>
    <t>Pasaje las palmeras 1936, 1936</t>
  </si>
  <si>
    <t>DOR55015989</t>
  </si>
  <si>
    <t>9426534180</t>
  </si>
  <si>
    <t>Francesca Delgado</t>
  </si>
  <si>
    <t>Av victor troncoso muñoz 1081, 56</t>
  </si>
  <si>
    <t>DOR55015993</t>
  </si>
  <si>
    <t>9426349505</t>
  </si>
  <si>
    <t>Padre mateo 316, Casa</t>
  </si>
  <si>
    <t>DOR55015963</t>
  </si>
  <si>
    <t>9428293206</t>
  </si>
  <si>
    <t>Karina Orellana Rosales</t>
  </si>
  <si>
    <t>Pasaje Laja 549, 549</t>
  </si>
  <si>
    <t>DOR55015966</t>
  </si>
  <si>
    <t>9428466504</t>
  </si>
  <si>
    <t>yanina bustos</t>
  </si>
  <si>
    <t>gral san martin norte 111, casa 135</t>
  </si>
  <si>
    <t>DOR55015938</t>
  </si>
  <si>
    <t>9427233491</t>
  </si>
  <si>
    <t>Catalina Larrain ward</t>
  </si>
  <si>
    <t>Camino la cervera 144, Club de golf las araucarias Parcela 11b</t>
  </si>
  <si>
    <t>DOR55015798</t>
  </si>
  <si>
    <t>9426143370</t>
  </si>
  <si>
    <t>Victor Troncoso Muñoz 321, Casa 66</t>
  </si>
  <si>
    <t>DOR55015830</t>
  </si>
  <si>
    <t>9426340103</t>
  </si>
  <si>
    <t>Constanza Pinto</t>
  </si>
  <si>
    <t>Parcela 23 B2, sector el agro, Negrete</t>
  </si>
  <si>
    <t>DOR55015887</t>
  </si>
  <si>
    <t>9427565394</t>
  </si>
  <si>
    <t>Marie Hulshorst</t>
  </si>
  <si>
    <t>E-847 900, 72 (Condominio El Golf de Rinconada)</t>
  </si>
  <si>
    <t>DOR55015890</t>
  </si>
  <si>
    <t>9427443793</t>
  </si>
  <si>
    <t>Orlando Parra lazo</t>
  </si>
  <si>
    <t>Av los claveles 2180, Clinica dental</t>
  </si>
  <si>
    <t>DOR55015746</t>
  </si>
  <si>
    <t>9426272520</t>
  </si>
  <si>
    <t>Natalia Catalan</t>
  </si>
  <si>
    <t>Camino La Estrella, Parcela 3 Huelquen, Camino la estrella parcela 3 huelquen</t>
  </si>
  <si>
    <t>DOR55015865</t>
  </si>
  <si>
    <t>9427664175</t>
  </si>
  <si>
    <t>Matías Raúl Rojas Catalán</t>
  </si>
  <si>
    <t>El Tamarugo 622</t>
  </si>
  <si>
    <t>DOR55015856</t>
  </si>
  <si>
    <t>9427275524</t>
  </si>
  <si>
    <t>Nicolás Ortega Villanueva</t>
  </si>
  <si>
    <t>Los Zorzales 7871, Hualpén, Chile</t>
  </si>
  <si>
    <t>DOR55015738</t>
  </si>
  <si>
    <t>9426221744</t>
  </si>
  <si>
    <t>Maria Garrido Espinoza</t>
  </si>
  <si>
    <t>Calle 3, Casa 46, Villa San Pablo</t>
  </si>
  <si>
    <t>DOR55015748</t>
  </si>
  <si>
    <t>9425867894</t>
  </si>
  <si>
    <t>Francisca Marambio</t>
  </si>
  <si>
    <t>Los viñedos de paine 737, Casa</t>
  </si>
  <si>
    <t>DOR55015874</t>
  </si>
  <si>
    <t>9427443303</t>
  </si>
  <si>
    <t>Paulina Andrea</t>
  </si>
  <si>
    <t>Antillas 1407, Paine, Casa</t>
  </si>
  <si>
    <t>DOR55015814</t>
  </si>
  <si>
    <t>9426162362</t>
  </si>
  <si>
    <t>Hernán Ossandon</t>
  </si>
  <si>
    <t>Subida quillaicillo 475</t>
  </si>
  <si>
    <t>DOR55015821</t>
  </si>
  <si>
    <t>9426314973</t>
  </si>
  <si>
    <t>Luciano Medel</t>
  </si>
  <si>
    <t>Llanos de challes 102, Casa</t>
  </si>
  <si>
    <t>DOR55015730</t>
  </si>
  <si>
    <t>9426026691</t>
  </si>
  <si>
    <t>Jorge Santibanez</t>
  </si>
  <si>
    <t>Av sta teresa de los andes 1660, Depto 302 m4</t>
  </si>
  <si>
    <t>DOR55015666</t>
  </si>
  <si>
    <t>9423524386</t>
  </si>
  <si>
    <t>Andrea Hidalgo Troncoso</t>
  </si>
  <si>
    <t>Bernardo O"Higgins 324</t>
  </si>
  <si>
    <t>DOR55015717</t>
  </si>
  <si>
    <t>9420934390</t>
  </si>
  <si>
    <t>Arturo ramón Ayala Luco</t>
  </si>
  <si>
    <t>Andres bello #715, Casa</t>
  </si>
  <si>
    <t>DOR55015679</t>
  </si>
  <si>
    <t>9420809801</t>
  </si>
  <si>
    <t>Fabian Vera</t>
  </si>
  <si>
    <t>Callejón Lirano 580, Santiago</t>
  </si>
  <si>
    <t>DOR55015562</t>
  </si>
  <si>
    <t>9424124054</t>
  </si>
  <si>
    <t>José Cisternas</t>
  </si>
  <si>
    <t>El pillin 1790, Departamento, pasaje 1</t>
  </si>
  <si>
    <t>DOR55015618</t>
  </si>
  <si>
    <t>9424099031</t>
  </si>
  <si>
    <t>María José Gutiérrez Sánchez</t>
  </si>
  <si>
    <t>Frankfort 2754 ( Población Armando Alarcón del canto)</t>
  </si>
  <si>
    <t>DOR55015643</t>
  </si>
  <si>
    <t>9423598236</t>
  </si>
  <si>
    <t>DOR55015725</t>
  </si>
  <si>
    <t>9421012731</t>
  </si>
  <si>
    <t>Bruno Caceres</t>
  </si>
  <si>
    <t>Bucarest 2829, Casa</t>
  </si>
  <si>
    <t>DOR55015683</t>
  </si>
  <si>
    <t>9421330100</t>
  </si>
  <si>
    <t>Carolina alejandra Meza Cifuentes</t>
  </si>
  <si>
    <t>Chorrillos 1541, Local comercial neumáticos Toloza</t>
  </si>
  <si>
    <t>DOR55015564</t>
  </si>
  <si>
    <t>9422484256</t>
  </si>
  <si>
    <t>Tamara Lara</t>
  </si>
  <si>
    <t>Emilio castro 960, Casa esquina</t>
  </si>
  <si>
    <t>MVI-2711</t>
  </si>
  <si>
    <t>262744893</t>
  </si>
  <si>
    <t>MARINA VITAL</t>
  </si>
  <si>
    <t>NOMBRE RETIRA: ALO.DRA CASTRO K RUT RETIRA: 53331607-7</t>
  </si>
  <si>
    <t>Scarlett Arriagada</t>
  </si>
  <si>
    <t>Lago Zenteno 1211, 1505</t>
  </si>
  <si>
    <t>MVI-2706</t>
  </si>
  <si>
    <t>262515022</t>
  </si>
  <si>
    <t>Maria de los Angeles Poblete Roper</t>
  </si>
  <si>
    <t>Campos 639, depa 503</t>
  </si>
  <si>
    <t>2026-01-19 14:11</t>
  </si>
  <si>
    <t>MVI-2702</t>
  </si>
  <si>
    <t>262274081</t>
  </si>
  <si>
    <t>NOMBRE RETIRA: MARIO CONTRERAA CONTRERAS RUT RETIRA: 20029587-0</t>
  </si>
  <si>
    <t>2026-01-15 13:58</t>
  </si>
  <si>
    <t>MVI-2696</t>
  </si>
  <si>
    <t>261776784</t>
  </si>
  <si>
    <t>NOMBRE RETIRA: MATIAS PARRA B RUT RETIRA: 20193772-8</t>
  </si>
  <si>
    <t>ROSA CONTRERAS CABRERA</t>
  </si>
  <si>
    <t>AV. TORREONES ESTE 1731, TORRE B DEPTO 407</t>
  </si>
  <si>
    <t>MVI-2693</t>
  </si>
  <si>
    <t>261597778</t>
  </si>
  <si>
    <t>ROXANA ISABELA ZÁRATE MONTECINOS</t>
  </si>
  <si>
    <t>CALLE SAN MARTIN 901, casa lado Tenencia de Carabineros</t>
  </si>
  <si>
    <t>2026-01-06 13:55</t>
  </si>
  <si>
    <t>MVI-2689</t>
  </si>
  <si>
    <t>261331983</t>
  </si>
  <si>
    <t>NOMBRE RETIRA: ALICIA PAREDES PAREDES RUT RETIRA: 21852775-2</t>
  </si>
  <si>
    <t>Alicia Paredes</t>
  </si>
  <si>
    <t>Lago Llanquihue 353, Depto A 110</t>
  </si>
  <si>
    <t>2026-01-02 14:08</t>
  </si>
  <si>
    <t>MVI-2690</t>
  </si>
  <si>
    <t>261332000</t>
  </si>
  <si>
    <t>NOMBRE RETIRA: YONATAN GODOY . RUT RETIRA: 10491414-4</t>
  </si>
  <si>
    <t>Lorena Sepúlveda</t>
  </si>
  <si>
    <t>Avenida Barros Arana 3190</t>
  </si>
  <si>
    <t>MVI-2683</t>
  </si>
  <si>
    <t>261086902</t>
  </si>
  <si>
    <t>NOMBRE RETIRA: FELIPE MINIZ . RUT RETIRA: 18282100-4</t>
  </si>
  <si>
    <t>Sandra Sandoval Martínez</t>
  </si>
  <si>
    <t>Juan bautista 280 villa galilea, los ange</t>
  </si>
  <si>
    <t>2025-12-29 14:16</t>
  </si>
  <si>
    <t>MVI-2678</t>
  </si>
  <si>
    <t>260900986</t>
  </si>
  <si>
    <t>NOMBRE RETIRA: MARIA VALENZUELA . RUT RETIRA: 13261118-1</t>
  </si>
  <si>
    <t>Yamilet Claudia Ayca Yampara</t>
  </si>
  <si>
    <t>Avenida jose francisco vergara 3253, Departamento 2306</t>
  </si>
  <si>
    <t>MVI-2676</t>
  </si>
  <si>
    <t>260901007</t>
  </si>
  <si>
    <t>NOMBRE RETIRA: RODRIGO CHAVEZ . RUT RETIRA: 5332089-9</t>
  </si>
  <si>
    <t>Delicia Ortiz Mardones</t>
  </si>
  <si>
    <t>Los Mañios 6095, Departamento 316 torre D</t>
  </si>
  <si>
    <t>MVI-2677</t>
  </si>
  <si>
    <t>260900999</t>
  </si>
  <si>
    <t>NOMBRE RETIRA: RODRIGO CHAVEZ . RUT RETIRA: 53332089-9</t>
  </si>
  <si>
    <t>Delicia Ximena Ortiz Mardones</t>
  </si>
  <si>
    <t>Sag_13101-REENVIO</t>
  </si>
  <si>
    <t>259526227</t>
  </si>
  <si>
    <t>MUNDOBAREFOOT-SAGUAROSHOES</t>
  </si>
  <si>
    <t>Araceli Peña Rivera</t>
  </si>
  <si>
    <t>Psje. Benavides Santander s/N, Santa Cruz.</t>
  </si>
  <si>
    <t>2025-11-13 11:58</t>
  </si>
  <si>
    <t>#NTVA7236</t>
  </si>
  <si>
    <t>260306442</t>
  </si>
  <si>
    <t>NATIVA ELEMENTS</t>
  </si>
  <si>
    <t>Claudia Pinto</t>
  </si>
  <si>
    <t>los coihues 300, Curicó, Maule, Chile, casa 9</t>
  </si>
  <si>
    <t>2025-12-19 11:22</t>
  </si>
  <si>
    <t>#NTVA7664</t>
  </si>
  <si>
    <t>262674210</t>
  </si>
  <si>
    <t>NOMBRE RETIRA: PATRICIO . . RUT RETIRA: 12345678-5</t>
  </si>
  <si>
    <t>Patricio Rivera Castro</t>
  </si>
  <si>
    <t>pasaje san agustin n74 cerro alegre</t>
  </si>
  <si>
    <t>2026-01-20 20:24</t>
  </si>
  <si>
    <t>#NTVA7617</t>
  </si>
  <si>
    <t>262517155</t>
  </si>
  <si>
    <t>NOMBRE RETIRA: DANIEL SILVA Z RUT RETIRA: 65950450-2</t>
  </si>
  <si>
    <t>Daniel Silva Barra</t>
  </si>
  <si>
    <t>manuel castillo ibaceta 2925, depto 213</t>
  </si>
  <si>
    <t>2026-01-16 20:12</t>
  </si>
  <si>
    <t>#NTVA7618</t>
  </si>
  <si>
    <t>262517152</t>
  </si>
  <si>
    <t>NOMBRE RETIRA: VICTOR CUBILLOS H RUT RETIRA: 21772394-9</t>
  </si>
  <si>
    <t>Victor Cubillos</t>
  </si>
  <si>
    <t>Vallejos 10,, 10</t>
  </si>
  <si>
    <t>#NTVA7650</t>
  </si>
  <si>
    <t>262605175</t>
  </si>
  <si>
    <t>NOMBRE RETIRA: ASAAC CAMPOS 0 RUT RETIRA: 21511817-7</t>
  </si>
  <si>
    <t>Isaac Campos</t>
  </si>
  <si>
    <t>Psje pedro lagos 987, Casa</t>
  </si>
  <si>
    <t>2026-01-19 20:26</t>
  </si>
  <si>
    <t>#NTVA7665</t>
  </si>
  <si>
    <t>262674222</t>
  </si>
  <si>
    <t>NOMBRE RETIRA: JERKO SAVEDRA GONZALEZ RUT RETIRA: 8065858-3</t>
  </si>
  <si>
    <t>Jerko Zavedra Gonzalez</t>
  </si>
  <si>
    <t>Los arcangeles 1581</t>
  </si>
  <si>
    <t>#NTVA7671</t>
  </si>
  <si>
    <t>262674178</t>
  </si>
  <si>
    <t>NOMBRE RETIRA: JOAQUIN VALDES SOTO RUT RETIRA: 17989081-K</t>
  </si>
  <si>
    <t>Joaquin Valdes Soto</t>
  </si>
  <si>
    <t>Av andres bello 1411 casa 74, Casa 74</t>
  </si>
  <si>
    <t>#NTVA7670</t>
  </si>
  <si>
    <t>262674189</t>
  </si>
  <si>
    <t>NOMBRE RETIRA: KRISHNA CARRILLO B RUT RETIRA: 15115215-5</t>
  </si>
  <si>
    <t>Krishna Carrillo</t>
  </si>
  <si>
    <t>Villa las araucarias pasaje 6 #67, casa</t>
  </si>
  <si>
    <t>#NTVA7675</t>
  </si>
  <si>
    <t>262744987</t>
  </si>
  <si>
    <t>NOMBRE RETIRA: MARTINA AH A RUT RETIRA: 53130190-0</t>
  </si>
  <si>
    <t>Andres Bello 193, Casa Naranja</t>
  </si>
  <si>
    <t>2026-01-21 20:21</t>
  </si>
  <si>
    <t>#NTVA7666</t>
  </si>
  <si>
    <t>262674214</t>
  </si>
  <si>
    <t>NOMBRE RETIRA: ANTONELLA PEREZ . RUT RETIRA: 12345678-5</t>
  </si>
  <si>
    <t>Antonella Perez gallardo</t>
  </si>
  <si>
    <t>cauquenes altos, 8</t>
  </si>
  <si>
    <t>#NTVA7655</t>
  </si>
  <si>
    <t>262605098</t>
  </si>
  <si>
    <t>NOMBRE RETIRA: NORMA OLGUIN DIAZ RUT RETIRA: 11398355-8</t>
  </si>
  <si>
    <t>Felipe Toro Olguín</t>
  </si>
  <si>
    <t>Carretera H30 3727 Lo Miranda</t>
  </si>
  <si>
    <t>#NTVA7679</t>
  </si>
  <si>
    <t>262745006</t>
  </si>
  <si>
    <t>NOMBRE RETIRA: HERALDOCOFRE 0 0 RUT RETIRA: 10027908-8</t>
  </si>
  <si>
    <t>Florencia Torres</t>
  </si>
  <si>
    <t>Avda san pedro del valle 2315 casa 48</t>
  </si>
  <si>
    <t>#NTVA7680</t>
  </si>
  <si>
    <t>262744967</t>
  </si>
  <si>
    <t>NOMBRE RETIRA: ENRIQUE CONSERJE . RUT RETIRA: 53312534-4</t>
  </si>
  <si>
    <t>Daniela Cortés Yutronic</t>
  </si>
  <si>
    <t>9 norte 834, depto 42</t>
  </si>
  <si>
    <t>#NTVA7658</t>
  </si>
  <si>
    <t>262605114</t>
  </si>
  <si>
    <t>NOMBRE RETIRA: MAITRE CONTRERAS . RUT RETIRA: 22248226-7</t>
  </si>
  <si>
    <t>Gabriela Maitre Contreras</t>
  </si>
  <si>
    <t>Eduardo Frei #1574, Casa</t>
  </si>
  <si>
    <t>#NTVA7656</t>
  </si>
  <si>
    <t>262605122</t>
  </si>
  <si>
    <t>NOMBRE RETIRA: CESAT SAN MARTIN . RUT RETIRA: 56043700-5</t>
  </si>
  <si>
    <t>Jean paul Boudon</t>
  </si>
  <si>
    <t>Sanhueza 55, 405 c</t>
  </si>
  <si>
    <t>#NTVA7646</t>
  </si>
  <si>
    <t>262605202</t>
  </si>
  <si>
    <t>NOMBRE RETIRA: JENNY VARGAS .. RUT RETIRA: 14082519-0</t>
  </si>
  <si>
    <t>catalina fernandez vargas</t>
  </si>
  <si>
    <t>av ramon picarte 2216, automotora picarte</t>
  </si>
  <si>
    <t>#NTVA7529</t>
  </si>
  <si>
    <t>261778536</t>
  </si>
  <si>
    <t>NOMBRE RETIRA: MERCEDES REYEZ K RUT RETIRA: 10725770-5</t>
  </si>
  <si>
    <t>Cristóbal Calbún Reyes</t>
  </si>
  <si>
    <t>Jose Ignacio Zenteno 2234</t>
  </si>
  <si>
    <t>2026-01-07 20:15</t>
  </si>
  <si>
    <t>#NTVA6643</t>
  </si>
  <si>
    <t>9415130281</t>
  </si>
  <si>
    <t>Manuel Iribarren Areco</t>
  </si>
  <si>
    <t>Las cinerarias 1155, Casa</t>
  </si>
  <si>
    <t>2025-11-27 21:26</t>
  </si>
  <si>
    <t>#NTVA7543</t>
  </si>
  <si>
    <t>261859164</t>
  </si>
  <si>
    <t>NOMBRE RETIRA: ARIEK J . RUT RETIRA: 18642909-5</t>
  </si>
  <si>
    <t>Ariel Sebastian Guarda Cardenas</t>
  </si>
  <si>
    <t>Senador alfredo lorca 1712, Casa</t>
  </si>
  <si>
    <t>2026-01-08 20:14</t>
  </si>
  <si>
    <t>#NTVA7660</t>
  </si>
  <si>
    <t>262605117</t>
  </si>
  <si>
    <t>NOMBRE RETIRA: MARCOS HENRIQUEZ F RUT RETIRA: 15070780-3</t>
  </si>
  <si>
    <t>Manzano 105</t>
  </si>
  <si>
    <t>#NTVA7652</t>
  </si>
  <si>
    <t>262605171</t>
  </si>
  <si>
    <t>NOMBRE RETIRA: CAROLINA CANO . . RUT RETIRA: 15274388-2</t>
  </si>
  <si>
    <t>Anja Matthei</t>
  </si>
  <si>
    <t>O'Higgins 252, Departamento 42</t>
  </si>
  <si>
    <t>#NTVA7648</t>
  </si>
  <si>
    <t>262605167</t>
  </si>
  <si>
    <t>NOMBRE RETIRA: VARBARA CRUCES 4 RUT RETIRA: 15952177-K</t>
  </si>
  <si>
    <t>Bruno Adams</t>
  </si>
  <si>
    <t>Parques de carriel 9390, Casa numero 24</t>
  </si>
  <si>
    <t>#NTVA7644</t>
  </si>
  <si>
    <t>262517102</t>
  </si>
  <si>
    <t>NOMBRE RETIRA: BASTIAN URQUETA . RUT RETIRA: 21713291-6</t>
  </si>
  <si>
    <t>Bastian Johann Alexander Urquieta Ossandon</t>
  </si>
  <si>
    <t>Psj. Laguna de la Azufrera 1417</t>
  </si>
  <si>
    <t>#NTVA7642</t>
  </si>
  <si>
    <t>262517083</t>
  </si>
  <si>
    <t>NOMBRE RETIRA: CRISTOBAL PONCE . RUT RETIRA: 21239220-0</t>
  </si>
  <si>
    <t>Nicolas Abner Uribe Alvial</t>
  </si>
  <si>
    <t>Avenida rica aventura 10701, Edificio alerce - DPTO 1209</t>
  </si>
  <si>
    <t>#NTVA7643</t>
  </si>
  <si>
    <t>262517065</t>
  </si>
  <si>
    <t>NOMBRE RETIRA: VANESSA CATALDO J RUT RETIRA: 21893144-8</t>
  </si>
  <si>
    <t>Vanessa Cataldo</t>
  </si>
  <si>
    <t>Alemparte 0747, Casa</t>
  </si>
  <si>
    <t>#NTVA7614</t>
  </si>
  <si>
    <t>262517175</t>
  </si>
  <si>
    <t>NOMBRE RETIRA: EMANUEL MARTINEZ O RUT RETIRA: 19212430-1</t>
  </si>
  <si>
    <t>Emanuel Martinez</t>
  </si>
  <si>
    <t>Unzueta 180, Osseus centro clinico</t>
  </si>
  <si>
    <t>#NTVA7629</t>
  </si>
  <si>
    <t>262517133</t>
  </si>
  <si>
    <t>NOMBRE RETIRA: DANIELA ANITH . RUT RETIRA: 21613923-2</t>
  </si>
  <si>
    <t>DANIELA ANDREA ANTIHUAL VERA</t>
  </si>
  <si>
    <t>Av. Norte Sur 1 1397, Casa azul</t>
  </si>
  <si>
    <t>2026-01-18 20:30</t>
  </si>
  <si>
    <t>#NTVA7615</t>
  </si>
  <si>
    <t>262517167</t>
  </si>
  <si>
    <t>NOMBRE RETIRA: JOSEPH HORMAZABAL . RUT RETIRA: 21807155-4</t>
  </si>
  <si>
    <t>Joseph Hormazabal</t>
  </si>
  <si>
    <t>Manuel Bulnes 1180, Dep 305 D</t>
  </si>
  <si>
    <t>#NTVA7621</t>
  </si>
  <si>
    <t>262517124</t>
  </si>
  <si>
    <t>NOMBRE RETIRA: SCSRLETJ FERANDEZ ... RUT RETIRA: 19146817-1</t>
  </si>
  <si>
    <t>Scarleth Fernánda Muñoz Muñoz</t>
  </si>
  <si>
    <t>Gustavo Olivares 608</t>
  </si>
  <si>
    <t>2026-01-17 12:07</t>
  </si>
  <si>
    <t>#NTVA7501</t>
  </si>
  <si>
    <t>261594860</t>
  </si>
  <si>
    <t>NOMBRE RETIRA: JUAN PEREZ . RUT RETIRA: 65199652-K</t>
  </si>
  <si>
    <t>Paula Tiznado Aguilera</t>
  </si>
  <si>
    <t>los químicos 055</t>
  </si>
  <si>
    <t>2026-01-05 20:13</t>
  </si>
  <si>
    <t>#NTVA7608</t>
  </si>
  <si>
    <t>262353073</t>
  </si>
  <si>
    <t>NOMBRE RETIRA: JUAN ECGEVRRI . RUT RETIRA: 27164411-6</t>
  </si>
  <si>
    <t>Sebas Sam</t>
  </si>
  <si>
    <t>Av argentina 0351, Botilleria tio sam</t>
  </si>
  <si>
    <t>#NTVA7605</t>
  </si>
  <si>
    <t>262353045</t>
  </si>
  <si>
    <t>NOMBRE RETIRA: JOHANA VERA . RUT RETIRA: 12538920-1</t>
  </si>
  <si>
    <t>Pablo Barría vera</t>
  </si>
  <si>
    <t>Avenida Norte Sur 1 1397, Casa azul</t>
  </si>
  <si>
    <t>#NTVA7606</t>
  </si>
  <si>
    <t>262353086</t>
  </si>
  <si>
    <t>NOMBRE RETIRA: VALENTINA CHARMEI . RUT RETIRA: 26750862-3</t>
  </si>
  <si>
    <t>Martina Ovando Puentes</t>
  </si>
  <si>
    <t>García hurtado de Mendoza 750, Concepcion, Casa 58</t>
  </si>
  <si>
    <t>2026-01-16 12:07</t>
  </si>
  <si>
    <t>#NTVA7402</t>
  </si>
  <si>
    <t>260900524</t>
  </si>
  <si>
    <t>NOMBRE RETIRA: JUAN CACERES . RUT RETIRA: 81201000-K</t>
  </si>
  <si>
    <t>Juan Cáceres Merino</t>
  </si>
  <si>
    <t>Tucapel 1763</t>
  </si>
  <si>
    <t>2025-12-25 19:19</t>
  </si>
  <si>
    <t>#NTVA7603</t>
  </si>
  <si>
    <t>262353070</t>
  </si>
  <si>
    <t>NOMBRE RETIRA: FAVIO ARAVENA A RUT RETIRA: 56049520-K</t>
  </si>
  <si>
    <t>Lucia Santamarina</t>
  </si>
  <si>
    <t>Gaston Hamel 145, Casa 8</t>
  </si>
  <si>
    <t>2026-01-15 20:10</t>
  </si>
  <si>
    <t>#NTVA7601</t>
  </si>
  <si>
    <t>262353123</t>
  </si>
  <si>
    <t>NOMBRE RETIRA: JUANA ROMERO J RUT RETIRA: 11964400-3</t>
  </si>
  <si>
    <t>Wilson Gabriel Saez Romero</t>
  </si>
  <si>
    <t>Calle Gabriela Mistral 230, 230</t>
  </si>
  <si>
    <t>#NTVA7602</t>
  </si>
  <si>
    <t>262353099</t>
  </si>
  <si>
    <t>NOMBRE RETIRA: ELFORD BRION N RUT RETIRA: 13192370-8</t>
  </si>
  <si>
    <t>Elford augusto Briones cruz</t>
  </si>
  <si>
    <t>Pablo neruda 139 villa independencia  viña del mar, Negocio</t>
  </si>
  <si>
    <t>#NTVA7590</t>
  </si>
  <si>
    <t>262194021</t>
  </si>
  <si>
    <t>NOMBRE RETIRA: HANIA SPOONER . RUT RETIRA: 17625970-1</t>
  </si>
  <si>
    <t>Hania Spooner</t>
  </si>
  <si>
    <t>Parque nacional torres del paine 2537 La serena, Casa blanca de dos pisos</t>
  </si>
  <si>
    <t>#NTVA7596</t>
  </si>
  <si>
    <t>262274372</t>
  </si>
  <si>
    <t>NOMBRE RETIRA: MATIAS CORTES . RUT RETIRA: 19697571-3</t>
  </si>
  <si>
    <t>Matías Cortes</t>
  </si>
  <si>
    <t>Avda Guillermo Ulriksen 1634  Local 5 Tabaqueria</t>
  </si>
  <si>
    <t>2026-01-14 20:06</t>
  </si>
  <si>
    <t>#NTVA7595</t>
  </si>
  <si>
    <t>262274338</t>
  </si>
  <si>
    <t>NOMBRE RETIRA: ALEJANSRO AVILA . RUT RETIRA: 18565979-8</t>
  </si>
  <si>
    <t>Samuel Agustín Pinto Campillay</t>
  </si>
  <si>
    <t>Primera del Norte 750, 66</t>
  </si>
  <si>
    <t>#NTVA7591</t>
  </si>
  <si>
    <t>262193969</t>
  </si>
  <si>
    <t>NOMBRE RETIRA: RICARDO MARDONES . RUT RETIRA: 18799938-3</t>
  </si>
  <si>
    <t>Ricardo Mardones</t>
  </si>
  <si>
    <t>Manuel palacios Nro. 906, Casa</t>
  </si>
  <si>
    <t>#NTVA7582</t>
  </si>
  <si>
    <t>262194062</t>
  </si>
  <si>
    <t>NOMBRE RETIRA: ROXANA MAECHESIN . RUT RETIRA: 9048053-7</t>
  </si>
  <si>
    <t>Piero Balbontin Marchesi</t>
  </si>
  <si>
    <t>Andalucía 1778</t>
  </si>
  <si>
    <t>#NTVA7570</t>
  </si>
  <si>
    <t>262016789</t>
  </si>
  <si>
    <t>NOMBRE RETIRA: ANTONIO MOLINA Y RUT RETIRA: 15988892-4</t>
  </si>
  <si>
    <t>Antonio Molina</t>
  </si>
  <si>
    <t>Alfredo palma 0613</t>
  </si>
  <si>
    <t>#NTVA7583</t>
  </si>
  <si>
    <t>262194040</t>
  </si>
  <si>
    <t>NOMBRE RETIRA: MAXIMILIANO PASTEN . RUT RETIRA: 14057608-5</t>
  </si>
  <si>
    <t>maximiliano pasten</t>
  </si>
  <si>
    <t>rio cruces 1203, casa esquina</t>
  </si>
  <si>
    <t>#NTVA7573</t>
  </si>
  <si>
    <t>262110124</t>
  </si>
  <si>
    <t>Paulette Ulloa</t>
  </si>
  <si>
    <t>Chacabuco 333, Apartamento 1707</t>
  </si>
  <si>
    <t>2026-01-12 20:23</t>
  </si>
  <si>
    <t>#NTVA7577</t>
  </si>
  <si>
    <t>262110114</t>
  </si>
  <si>
    <t>NOMBRE RETIRA: VICENTE CERDA C RUT RETIRA: 17989081-K</t>
  </si>
  <si>
    <t>Vicente Cerda</t>
  </si>
  <si>
    <t>Pje. Basílica de Sta. Marta 1917, Casa</t>
  </si>
  <si>
    <t>#NTVA7580</t>
  </si>
  <si>
    <t>262110072</t>
  </si>
  <si>
    <t>NOMBRE RETIRA: DANIEL LABRA . RUT RETIRA: 17995764-7</t>
  </si>
  <si>
    <t>Daniel Labra</t>
  </si>
  <si>
    <t>Los Nardos 4522</t>
  </si>
  <si>
    <t>#NTVA7576</t>
  </si>
  <si>
    <t>262110077</t>
  </si>
  <si>
    <t>NOMBRE RETIRA: MARCELA MENDEZ ... RUT RETIRA: 18181010-6</t>
  </si>
  <si>
    <t>Maximiliano Rocha Méndez</t>
  </si>
  <si>
    <t>pje San Nicolás 1542</t>
  </si>
  <si>
    <t>#NTVA7571</t>
  </si>
  <si>
    <t>262110067</t>
  </si>
  <si>
    <t>NOMBRE RETIRA: LUKAS LAMAS . RUT RETIRA: 18549011-4</t>
  </si>
  <si>
    <t>Luka Lamas</t>
  </si>
  <si>
    <t>samuel bambach 254, coelemu, constructora lamas</t>
  </si>
  <si>
    <t>#NTVA7566</t>
  </si>
  <si>
    <t>262016824</t>
  </si>
  <si>
    <t>NOMBRE RETIRA: MATIAS ALARCON FERREIRA RUT RETIRA: 21740287-5</t>
  </si>
  <si>
    <t>Yovar Alarcón Ferreira</t>
  </si>
  <si>
    <t>Agusto D''halmar 335, Coronel</t>
  </si>
  <si>
    <t>#NTVA7564</t>
  </si>
  <si>
    <t>262016838</t>
  </si>
  <si>
    <t>NOMBRE RETIRA: WALTER SALGADO . RUT RETIRA: 15270956-0</t>
  </si>
  <si>
    <t>Walter Salgado cisternas</t>
  </si>
  <si>
    <t>Lord Cochranne 1656</t>
  </si>
  <si>
    <t>#NTVA7557</t>
  </si>
  <si>
    <t>262016896</t>
  </si>
  <si>
    <t>NOMBRE RETIRA: CHRISTIAN LOBOS L RUT RETIRA: 56049520-K</t>
  </si>
  <si>
    <t>Franco Paolinelli Rosas</t>
  </si>
  <si>
    <t>Las Tórtolas 155, Casa 31</t>
  </si>
  <si>
    <t>2026-01-10 12:16</t>
  </si>
  <si>
    <t>#NTVA7225</t>
  </si>
  <si>
    <t>260306515</t>
  </si>
  <si>
    <t>NOMBRE RETIRA: DIANA CEBALLOS . RUT RETIRA: 65209655-7</t>
  </si>
  <si>
    <t>Diana Ceballos</t>
  </si>
  <si>
    <t>Pasaje Marta Vergara varas 03680, Casa</t>
  </si>
  <si>
    <t>2025-12-18 20:21</t>
  </si>
  <si>
    <t>#NTVA7544</t>
  </si>
  <si>
    <t>261859152</t>
  </si>
  <si>
    <t>NOMBRE RETIRA: VICTOR ASENCIO . RUT RETIRA: 21613923-2</t>
  </si>
  <si>
    <t>Victor Asencio</t>
  </si>
  <si>
    <t>Alerce Sur Los gorriones casa 329, casa</t>
  </si>
  <si>
    <t>#NTVA7540</t>
  </si>
  <si>
    <t>261859170</t>
  </si>
  <si>
    <t>NOMBRE RETIRA: MATIAS MONDACA ... RUT RETIRA: 19668324-0</t>
  </si>
  <si>
    <t>Matias Mondaca</t>
  </si>
  <si>
    <t>Parque Nacional Torres del Paine 1358 Sector Bosque san carlos, casa 1358</t>
  </si>
  <si>
    <t>#NTVA7526</t>
  </si>
  <si>
    <t>261778587</t>
  </si>
  <si>
    <t>NOMBRE RETIRA: DIEGO ARRIAFADA . RUT RETIRA: 22556264-4</t>
  </si>
  <si>
    <t>Diego Arriagada Carrasco</t>
  </si>
  <si>
    <t>Bosque de Agua 1602, Casa</t>
  </si>
  <si>
    <t>#NTVA7545</t>
  </si>
  <si>
    <t>261859145</t>
  </si>
  <si>
    <t>NOMBRE RETIRA: ROBERTO MORA . RUT RETIRA: 13406240-1</t>
  </si>
  <si>
    <t>valentina mora vivanco</t>
  </si>
  <si>
    <t>Norma Patiño Navarro 1645, casa</t>
  </si>
  <si>
    <t>#NTVA7499</t>
  </si>
  <si>
    <t>261594873</t>
  </si>
  <si>
    <t>NOMBRE RETIRA: PABLO CEJAS . RUT RETIRA: 13008317-K</t>
  </si>
  <si>
    <t>Pablo Cejas Henriquez</t>
  </si>
  <si>
    <t>Av. Salvador Allende 3037, Casa</t>
  </si>
  <si>
    <t>#NTVA7235</t>
  </si>
  <si>
    <t>260306499</t>
  </si>
  <si>
    <t>NOMBRE RETIRA: ANGELA RICHARS . RUT RETIRA: 18063483-5</t>
  </si>
  <si>
    <t>Angela Richards Urtubia</t>
  </si>
  <si>
    <t>Geronimo Mendez Arancibia 2009, Casa sector Agrado Peñuelas</t>
  </si>
  <si>
    <t>#NTVA7527</t>
  </si>
  <si>
    <t>261778562</t>
  </si>
  <si>
    <t>NOMBRE RETIRA: DOMINGO TROMCOSO 6 RUT RETIRA: 53307578-9</t>
  </si>
  <si>
    <t>Chacabuco 1140, 1305</t>
  </si>
  <si>
    <t>#NTVA7513</t>
  </si>
  <si>
    <t>261690330</t>
  </si>
  <si>
    <t>NOMBRE RETIRA: SEBASTIAN CAMPILLAY C RUT RETIRA: 21751914-4</t>
  </si>
  <si>
    <t>Sebastian Campillay Ortiz</t>
  </si>
  <si>
    <t>Salitrera Germania #310, Copiapó</t>
  </si>
  <si>
    <t>#NTVA7516</t>
  </si>
  <si>
    <t>261690313</t>
  </si>
  <si>
    <t>NOMBRE RETIRA: BASTIAN LEDEZMA L RUT RETIRA: 17492922-K</t>
  </si>
  <si>
    <t>Bastian Ledezma Cortes</t>
  </si>
  <si>
    <t>Recova 1761, 1761</t>
  </si>
  <si>
    <t>2026-01-07 12:01</t>
  </si>
  <si>
    <t>#NTVA7496</t>
  </si>
  <si>
    <t>261594868</t>
  </si>
  <si>
    <t>NOMBRE RETIRA: NICOLAS FERNANDO . RUT RETIRA: 25585273-6</t>
  </si>
  <si>
    <t>NICOLÁS FERNANDO PARADA KLEIN</t>
  </si>
  <si>
    <t>Calle Nueva Ote. 4 5701, casa 53, Casa 53</t>
  </si>
  <si>
    <t>#NTVA7523</t>
  </si>
  <si>
    <t>261690279</t>
  </si>
  <si>
    <t>NOMBRE RETIRA: PABLO VARGAS . RUT RETIRA: 17532301-5</t>
  </si>
  <si>
    <t>Pablo David Vargas Castillo</t>
  </si>
  <si>
    <t>Maicolpue 2561, Casa</t>
  </si>
  <si>
    <t>#NTVA7520</t>
  </si>
  <si>
    <t>261690262</t>
  </si>
  <si>
    <t>NOMBRE RETIRA: NICO MOLINA . RUT RETIRA: 20708510-3</t>
  </si>
  <si>
    <t>Nicolás Molina Martinez</t>
  </si>
  <si>
    <t>1 norte 1269, LOCAL SCHOPDOG 1269</t>
  </si>
  <si>
    <t>#NTVA7514</t>
  </si>
  <si>
    <t>261690324</t>
  </si>
  <si>
    <t>NOMBRE RETIRA: MARCIAL DONOSO . RUT RETIRA: 65053241-4</t>
  </si>
  <si>
    <t>Monserrat Mansilla</t>
  </si>
  <si>
    <t>Viana 1635, Depto 1110</t>
  </si>
  <si>
    <t>#NTVA7521</t>
  </si>
  <si>
    <t>261690273</t>
  </si>
  <si>
    <t>NOMBRE RETIRA: MATIAS ZAMBRANO . RUT RETIRA: 21794521-6</t>
  </si>
  <si>
    <t>Mathias Zambrano</t>
  </si>
  <si>
    <t>Balmaceda 315, tienda</t>
  </si>
  <si>
    <t>#NTVA6420-2</t>
  </si>
  <si>
    <t>261692833</t>
  </si>
  <si>
    <t>NOMBRE RETIRA: RODRIGO DIAZ . RUT RETIRA: 12187572-1</t>
  </si>
  <si>
    <t>Mathias Behrens Saez</t>
  </si>
  <si>
    <t>Ignacio Serrano 855, Oficina Aramco</t>
  </si>
  <si>
    <t>2026-01-07 14:03</t>
  </si>
  <si>
    <t>#NTVA7500</t>
  </si>
  <si>
    <t>261594872</t>
  </si>
  <si>
    <t>NOMBRE RETIRA: SEBASTIAN PARRA . RUT RETIRA: 21771172-K</t>
  </si>
  <si>
    <t>Sebastian Parra sepulveda</t>
  </si>
  <si>
    <t>Los cantaros psj3 #2031, Casa</t>
  </si>
  <si>
    <t>#NTVA7486</t>
  </si>
  <si>
    <t>261501220</t>
  </si>
  <si>
    <t>NOMBRE RETIRA: LENNY CASTRO . RUT RETIRA: 21121589-5</t>
  </si>
  <si>
    <t>Sebastian Oporto</t>
  </si>
  <si>
    <t>Bernardo ohiggins 1151, Dpto 143</t>
  </si>
  <si>
    <t>2026-01-05 12:06</t>
  </si>
  <si>
    <t>#NTVA7495</t>
  </si>
  <si>
    <t>261501196</t>
  </si>
  <si>
    <t>NOMBRE RETIRA: AIDE ASTORGA . RUT RETIRA: 12424157-K</t>
  </si>
  <si>
    <t>Víctor Zepeda Espinoza</t>
  </si>
  <si>
    <t>Pasaje zapallar 2910, departamento</t>
  </si>
  <si>
    <t>#NTVA7483</t>
  </si>
  <si>
    <t>261501238</t>
  </si>
  <si>
    <t>NOMBRE RETIRA: ANDREA . . RUT RETIRA: 16894386-5</t>
  </si>
  <si>
    <t>Juan guillermo Otey muñoz</t>
  </si>
  <si>
    <t>Avenida brasil 29, Casa</t>
  </si>
  <si>
    <t>2026-01-04 20:13</t>
  </si>
  <si>
    <t>#NTVA7504</t>
  </si>
  <si>
    <t>261594836</t>
  </si>
  <si>
    <t>NOMBRE RETIRA: MAR PARAISO . RUT RETIRA: 53330390-0</t>
  </si>
  <si>
    <t>Fernanda Astudillo Gomez</t>
  </si>
  <si>
    <t>Leonidas Valenzuela 1270, Dpto 800a, Dpto 800A</t>
  </si>
  <si>
    <t>#NTVA7498</t>
  </si>
  <si>
    <t>261594925</t>
  </si>
  <si>
    <t>NOMBRE RETIRA: HERIVEERTO GOMEZ B RUT RETIRA: 4917243-5</t>
  </si>
  <si>
    <t>Vicente Gómez</t>
  </si>
  <si>
    <t>Laurel Seis 5028, Casa a mitad del pasaje color amarillo</t>
  </si>
  <si>
    <t>#NTVA7489</t>
  </si>
  <si>
    <t>261501186</t>
  </si>
  <si>
    <t>NOMBRE RETIRA: MAGDALENA ALARCON ALARCON RUT RETIRA: 15696183-3</t>
  </si>
  <si>
    <t>Leonardo González Portilla</t>
  </si>
  <si>
    <t>Baquedano 939, Contraloría Regional</t>
  </si>
  <si>
    <t>#NTVA7413</t>
  </si>
  <si>
    <t>260941201</t>
  </si>
  <si>
    <t>NOMBRE RETIRA: FERNAMDO VILLAGRAN .. RUT RETIRA: 19596860-8</t>
  </si>
  <si>
    <t>Fernando Villagran peña</t>
  </si>
  <si>
    <t>Anibal pinto 11, Casa 11</t>
  </si>
  <si>
    <t>2025-12-26 20:10</t>
  </si>
  <si>
    <t>#NTVA7471</t>
  </si>
  <si>
    <t>261386026</t>
  </si>
  <si>
    <t>NOMBRE RETIRA: JUANA MIETO . RUT RETIRA: 10827060-8</t>
  </si>
  <si>
    <t>Juan pablo Gangas santacruz</t>
  </si>
  <si>
    <t>Cavancha 27</t>
  </si>
  <si>
    <t>2026-01-02 20:24</t>
  </si>
  <si>
    <t>#NTVA7469</t>
  </si>
  <si>
    <t>261386029</t>
  </si>
  <si>
    <t>NOMBRE RETIRA: VERONICA TAPIA . RUT RETIRA: 10863912-1</t>
  </si>
  <si>
    <t>Pedro Lopez  Tapia</t>
  </si>
  <si>
    <t>Villa las 3 islas, psje isla corales #346</t>
  </si>
  <si>
    <t>#NTVA7481</t>
  </si>
  <si>
    <t>261501234</t>
  </si>
  <si>
    <t>NOMBRE RETIRA: MARCELO ORELLANA . RUT RETIRA: 17497637-6</t>
  </si>
  <si>
    <t>Marcelo Orellana</t>
  </si>
  <si>
    <t>15 1/2 Poniente 1/2, Casa esquina malla negra</t>
  </si>
  <si>
    <t>#NTVA7476</t>
  </si>
  <si>
    <t>261501283</t>
  </si>
  <si>
    <t>NOMBRE RETIRA: VICENTE FLORES . RUT RETIRA: 17597377-K</t>
  </si>
  <si>
    <t>Vicente Flores</t>
  </si>
  <si>
    <t>Porvenir 23, san fernando, Casa</t>
  </si>
  <si>
    <t>#NTVA7480</t>
  </si>
  <si>
    <t>261501250</t>
  </si>
  <si>
    <t>NOMBRE RETIRA: SEBASTIAN ALBORNOZ 0 RUT RETIRA: 21682119-K</t>
  </si>
  <si>
    <t>Sebastián Albornoz</t>
  </si>
  <si>
    <t>Los Pirineos 1795</t>
  </si>
  <si>
    <t>#NTVA7464</t>
  </si>
  <si>
    <t>261332428</t>
  </si>
  <si>
    <t>NOMBRE RETIRA: VIFTORIA NEIRA . RUT RETIRA: 22367797-5</t>
  </si>
  <si>
    <t>Victoria Neira espinoza</t>
  </si>
  <si>
    <t>pje zady zañartu 7957 san pedro de la paz, casa</t>
  </si>
  <si>
    <t>#NTVA7488</t>
  </si>
  <si>
    <t>261501200</t>
  </si>
  <si>
    <t>NOMBRE RETIRA: JAQUELIN ARANCIBIA A RUT RETIRA: 65067074-4</t>
  </si>
  <si>
    <t>kenneth arancibia</t>
  </si>
  <si>
    <t>rodelillo, pasaje frutillar 5135</t>
  </si>
  <si>
    <t>#NTVA7474</t>
  </si>
  <si>
    <t>261385993</t>
  </si>
  <si>
    <t>NOMBRE RETIRA: JUAN CACERES H RUT RETIRA: 5314145-5</t>
  </si>
  <si>
    <t>Francisco Gacitúa Riffo</t>
  </si>
  <si>
    <t>Calle lenga 399, Depto N, 503</t>
  </si>
  <si>
    <t>2026-01-03 12:04</t>
  </si>
  <si>
    <t>#NTVA7467</t>
  </si>
  <si>
    <t>261332422</t>
  </si>
  <si>
    <t>NOMBRE RETIRA: NATALIA APAZA . RUT RETIRA: 21564672-6</t>
  </si>
  <si>
    <t>Nicolas Apaz</t>
  </si>
  <si>
    <t>Francisco urzu 4455</t>
  </si>
  <si>
    <t>#NTVA7473</t>
  </si>
  <si>
    <t>261386021</t>
  </si>
  <si>
    <t>NOMBRE RETIRA: FRANCISCO MORALES J RUT RETIRA: 15596910-5</t>
  </si>
  <si>
    <t>Francisco Javier Núñez Valenzuela</t>
  </si>
  <si>
    <t>Calle 21 poniente 872, dpto 301A</t>
  </si>
  <si>
    <t>#NTVA7304</t>
  </si>
  <si>
    <t>260553460</t>
  </si>
  <si>
    <t>NOMBRE RETIRA: PIERA MONTEFIORI . RUT RETIRA: 12948825-5</t>
  </si>
  <si>
    <t>piera montefiori</t>
  </si>
  <si>
    <t>tocornal 068, casa de esquina frente a la veterinaria austral</t>
  </si>
  <si>
    <t>2025-12-21 21:05</t>
  </si>
  <si>
    <t>#NTVA7477</t>
  </si>
  <si>
    <t>261501271</t>
  </si>
  <si>
    <t>NOMBRE RETIRA: NIDIA MILLA . RUT RETIRA: 12805514-2</t>
  </si>
  <si>
    <t>Rodrigo Diaz milla</t>
  </si>
  <si>
    <t>Casa, Las Madreselvas 97</t>
  </si>
  <si>
    <t>#NTVA7482</t>
  </si>
  <si>
    <t>261501247</t>
  </si>
  <si>
    <t>NOMBRE RETIRA: CATALINA IBACETA .. RUT RETIRA: 19071098-K</t>
  </si>
  <si>
    <t>Catalina Ibaceta</t>
  </si>
  <si>
    <t>oscar miniños 2021 villa el señorial, casa</t>
  </si>
  <si>
    <t>#NTVA7462</t>
  </si>
  <si>
    <t>261332431</t>
  </si>
  <si>
    <t>NOMBRE RETIRA: LEONEL ROSAS X RUT RETIRA: 10750943-7</t>
  </si>
  <si>
    <t>Monica Yaneth Barriga Jara</t>
  </si>
  <si>
    <t>Valentin Letelier 630</t>
  </si>
  <si>
    <t>#NTVA7456</t>
  </si>
  <si>
    <t>261324571</t>
  </si>
  <si>
    <t>NOMBRE RETIRA: SEBASTIAN SANTANDER A RUT RETIRA: 20735148-2</t>
  </si>
  <si>
    <t>Sebastian Santander</t>
  </si>
  <si>
    <t>Argentina 3230, Casa</t>
  </si>
  <si>
    <t>2025-12-31 15:22</t>
  </si>
  <si>
    <t>#NTVA7451</t>
  </si>
  <si>
    <t>261324582</t>
  </si>
  <si>
    <t>NOMBRE RETIRA: ENRIQUE NAVARRETE . RUT RETIRA: 19217469-4</t>
  </si>
  <si>
    <t>Enrique Navarrete Jimenez</t>
  </si>
  <si>
    <t>Balmaceda norte #100 (punto servicentro copec)</t>
  </si>
  <si>
    <t>#NTVA7412</t>
  </si>
  <si>
    <t>260941199</t>
  </si>
  <si>
    <t>NOMBRE RETIRA: VITALIQNO ARRIAGADA . RUT RETIRA: 6073750-9</t>
  </si>
  <si>
    <t>Roberto Muñoz Arriagada</t>
  </si>
  <si>
    <t>Prat 381, Casa</t>
  </si>
  <si>
    <t>#NTVA7463</t>
  </si>
  <si>
    <t>261332412</t>
  </si>
  <si>
    <t>Kevin Fritz</t>
  </si>
  <si>
    <t>21 De Mayo 1398, negocio</t>
  </si>
  <si>
    <t>#NTVA7448</t>
  </si>
  <si>
    <t>261324604</t>
  </si>
  <si>
    <t>NOMBRE RETIRA: FERNANDO CASANELLO CASANELLO RUT RETIRA: 21852775-2</t>
  </si>
  <si>
    <t>FERNANDO CASANELLO PINO</t>
  </si>
  <si>
    <t>DECHER 540, departamento C 402</t>
  </si>
  <si>
    <t>2025-12-30 20:31</t>
  </si>
  <si>
    <t>#NTVA7441</t>
  </si>
  <si>
    <t>261324625</t>
  </si>
  <si>
    <t>NOMBRE RETIRA: DIEGO VALENZUELA . RUT RETIRA: 21094044-8</t>
  </si>
  <si>
    <t>Condell 386, Casa</t>
  </si>
  <si>
    <t>#NTVA7364</t>
  </si>
  <si>
    <t>260941195</t>
  </si>
  <si>
    <t>NOMBRE RETIRA: FELIPE COFRE HADWEH RUT RETIRA: 15745271-1</t>
  </si>
  <si>
    <t>Felipe Cofré hadweh</t>
  </si>
  <si>
    <t>Puertas del mar, la serena, Mónaco 493</t>
  </si>
  <si>
    <t>#NTVA7447</t>
  </si>
  <si>
    <t>261324610</t>
  </si>
  <si>
    <t>NOMBRE RETIRA: LUIS BUATAMANTE . RUT RETIRA: 21569251-5</t>
  </si>
  <si>
    <t>Luis Alfonso Bustamante Zúñiga</t>
  </si>
  <si>
    <t>Calle 22 norte 1520, Portal Norte II, A404</t>
  </si>
  <si>
    <t>#NTVA7445</t>
  </si>
  <si>
    <t>261324615</t>
  </si>
  <si>
    <t>NOMBRE RETIRA: SEBASRIAN NEGRETE . RUT RETIRA: 19110494-3</t>
  </si>
  <si>
    <t>Sebastian Negrete</t>
  </si>
  <si>
    <t>2 poniente 6272 Talcahuano</t>
  </si>
  <si>
    <t>#NTVA7452</t>
  </si>
  <si>
    <t>261324588</t>
  </si>
  <si>
    <t>NOMBRE RETIRA: KYARA PEREZ PERE, RUT RETIRA: 14337326-6</t>
  </si>
  <si>
    <t>kyara perez navarrete</t>
  </si>
  <si>
    <t>villa galilea pasaje marengo 1985, casa</t>
  </si>
  <si>
    <t>#NTVA7465</t>
  </si>
  <si>
    <t>261332425</t>
  </si>
  <si>
    <t>NOMBRE RETIRA: ESTEBAN TORRES V RUT RETIRA: 19663861-K</t>
  </si>
  <si>
    <t>Calle los capachitos, pasaje petunias blancas 902, Casa</t>
  </si>
  <si>
    <t>#NTVA7446</t>
  </si>
  <si>
    <t>261324618</t>
  </si>
  <si>
    <t>NOMBRE RETIRA: CARLOS TRONCOSO . RUT RETIRA: 7363268-4</t>
  </si>
  <si>
    <t>Andy Flores Muñoz</t>
  </si>
  <si>
    <t>Esmeralda 185, 185</t>
  </si>
  <si>
    <t>#NTVA7393</t>
  </si>
  <si>
    <t>260900597</t>
  </si>
  <si>
    <t>NOMBRE RETIRA: VICENTE OBRADOR .. RUT RETIRA: 21862892-3</t>
  </si>
  <si>
    <t>Trini Robles</t>
  </si>
  <si>
    <t>Santa matia alto las cruces, Casa 6</t>
  </si>
  <si>
    <t>#NTVA7420</t>
  </si>
  <si>
    <t>261086519</t>
  </si>
  <si>
    <t>NOMBRE RETIRA: AXEL RAMOS RAMOS RUT RETIRA: 20347705-8</t>
  </si>
  <si>
    <t>Apolo Ramos</t>
  </si>
  <si>
    <t>Rio Loa 3190</t>
  </si>
  <si>
    <t>2025-12-27 11:15</t>
  </si>
  <si>
    <t>#NTVA7361</t>
  </si>
  <si>
    <t>260941197</t>
  </si>
  <si>
    <t>NOMBRE RETIRA: RUBEN VASQUEZ . RUT RETIRA: 6413645-3</t>
  </si>
  <si>
    <t>Maria Fernanda Alarcon Mendoza</t>
  </si>
  <si>
    <t>cristobal colon 01633, pasaje cerrado frente a una casa</t>
  </si>
  <si>
    <t>#NTVA7401</t>
  </si>
  <si>
    <t>260900517</t>
  </si>
  <si>
    <t>NOMBRE RETIRA: MARCELO PEREZ . RUT RETIRA: 20545424-1</t>
  </si>
  <si>
    <t>Marcelo Pérez</t>
  </si>
  <si>
    <t>Ana MarÍa Ibaceta 7507</t>
  </si>
  <si>
    <t>#NTVA7347</t>
  </si>
  <si>
    <t>260941219</t>
  </si>
  <si>
    <t>NOMBRE RETIRA: MATIAS PINCHEIRA . RUT RETIRA: 20731933-3</t>
  </si>
  <si>
    <t>Matias Pincheira</t>
  </si>
  <si>
    <t>Tucapel 1788</t>
  </si>
  <si>
    <t>2025-12-22 20:36</t>
  </si>
  <si>
    <t>#NTVA7384</t>
  </si>
  <si>
    <t>260941185</t>
  </si>
  <si>
    <t>NOMBRE RETIRA: SOFIS , , RUT RETIRA: 53310370-7</t>
  </si>
  <si>
    <t>Sofia Barbieri Muñoz</t>
  </si>
  <si>
    <t>El Acantilado Poniente  800</t>
  </si>
  <si>
    <t>#NTVA7397</t>
  </si>
  <si>
    <t>260900567</t>
  </si>
  <si>
    <t>NOMBRE RETIRA: TANIA . . RUT RETIRA: 13747358-5</t>
  </si>
  <si>
    <t>Joaquín Cortés Olivares</t>
  </si>
  <si>
    <t>Benavente 102, Farmacia Dr amigo</t>
  </si>
  <si>
    <t>#NTVA7346</t>
  </si>
  <si>
    <t>260941218</t>
  </si>
  <si>
    <t>NOMBRE RETIRA: JOSE SRIAS Y RUT RETIRA: 16554090-5</t>
  </si>
  <si>
    <t>Jose Arias</t>
  </si>
  <si>
    <t>Pasaje F 435, Pob Guaiquillo</t>
  </si>
  <si>
    <t>#NTVA7290</t>
  </si>
  <si>
    <t>9421597043</t>
  </si>
  <si>
    <t>María Pacheco</t>
  </si>
  <si>
    <t>Canales, Casa</t>
  </si>
  <si>
    <t>#NTVA7421</t>
  </si>
  <si>
    <t>261086483</t>
  </si>
  <si>
    <t>NOMBRE RETIRA: ALFREDO RIVAS . RUT RETIRA: 10985134-5</t>
  </si>
  <si>
    <t>Rosy edith Molina dan martin</t>
  </si>
  <si>
    <t>Amoliacion el tejar 1 oriente casa 1780, Casa</t>
  </si>
  <si>
    <t>2025-12-28 20:36</t>
  </si>
  <si>
    <t>#NTVA7423</t>
  </si>
  <si>
    <t>261086449</t>
  </si>
  <si>
    <t>NOMBRE RETIRA: DIEGO GUZMAN N N RUT RETIRA: 26608148-0</t>
  </si>
  <si>
    <t>Josefa Orellana</t>
  </si>
  <si>
    <t>Tres montes 1141</t>
  </si>
  <si>
    <t>#NTVA7400</t>
  </si>
  <si>
    <t>260900558</t>
  </si>
  <si>
    <t>NOMBRE RETIRA: MATIAS PEDREROS J RUT RETIRA: 23490768-9</t>
  </si>
  <si>
    <t>Matias Pedreros cruzat</t>
  </si>
  <si>
    <t>Chillan, sector parque lantaño, calle san cristobal, casa 230, Casa</t>
  </si>
  <si>
    <t>#NTVA7422</t>
  </si>
  <si>
    <t>261086488</t>
  </si>
  <si>
    <t>NOMBRE RETIRA: RODRIGO CONEJEROS 0 RUT RETIRA: 17572919-4</t>
  </si>
  <si>
    <t>Lucas Ulloa Sepulveda</t>
  </si>
  <si>
    <t>Avenida laguna grande 625, casa 12</t>
  </si>
  <si>
    <t>#NTVA7365</t>
  </si>
  <si>
    <t>260941206</t>
  </si>
  <si>
    <t>#NTVA7295</t>
  </si>
  <si>
    <t>260553572</t>
  </si>
  <si>
    <t>antonio ojeda vasquez</t>
  </si>
  <si>
    <t>Avenida Padre Hurtado 2179, Casa 9</t>
  </si>
  <si>
    <t>#NTVA7406</t>
  </si>
  <si>
    <t>260900496</t>
  </si>
  <si>
    <t>NOMBRE RETIRA: FELIPE JELA . RUT RETIRA: 19107942-6</t>
  </si>
  <si>
    <t>Felipe Eduardo Contreras Riquelme</t>
  </si>
  <si>
    <t>Arturo Prat 2485, casa</t>
  </si>
  <si>
    <t>#NTVA7308</t>
  </si>
  <si>
    <t>260553433</t>
  </si>
  <si>
    <t>NOMBRE RETIRA: ARLIE DELGADO . RUT RETIRA: 13006172-9</t>
  </si>
  <si>
    <t>Maximiliano Zuñiga Delgado</t>
  </si>
  <si>
    <t>Jose Morales Cares 4448, Casa</t>
  </si>
  <si>
    <t>#NTVA7399</t>
  </si>
  <si>
    <t>260900547</t>
  </si>
  <si>
    <t>NOMBRE RETIRA: ESTEBAN GALLARDO . RUT RETIRA: 20306882-4</t>
  </si>
  <si>
    <t>Leandro Gallardo</t>
  </si>
  <si>
    <t>4 1/2 Poniente A 127, Talca</t>
  </si>
  <si>
    <t>#NTVA7437</t>
  </si>
  <si>
    <t>261178593</t>
  </si>
  <si>
    <t>NOMBRE RETIRA: PATRICKA ARANGUIZ M RUT RETIRA: 17457878-8</t>
  </si>
  <si>
    <t>Cristian Vásquez arriagada</t>
  </si>
  <si>
    <t>Yerbas buenas 351, Dpto 606</t>
  </si>
  <si>
    <t>2025-12-30 11:13</t>
  </si>
  <si>
    <t>#NTVA7391</t>
  </si>
  <si>
    <t>260900611</t>
  </si>
  <si>
    <t>NOMBRE RETIRA: BRUNO ALARCON AKARCON RUT RETIRA: 9657184-4</t>
  </si>
  <si>
    <t>Bruno Alarcón Urzúa</t>
  </si>
  <si>
    <t>Calle del Ventisquero 50, 59</t>
  </si>
  <si>
    <t>#NTVA7430</t>
  </si>
  <si>
    <t>261086459</t>
  </si>
  <si>
    <t>NOMBRE RETIRA: HARVEY FERNANDEZ . RUT RETIRA: 22078692-7</t>
  </si>
  <si>
    <t>Harvey Fernández</t>
  </si>
  <si>
    <t>Independencia 220, Casa lata</t>
  </si>
  <si>
    <t>#NTVA7163</t>
  </si>
  <si>
    <t>260170003</t>
  </si>
  <si>
    <t>NOMBRE RETIRA: PATRICIA POZO . RUT RETIRA: 11111111-1</t>
  </si>
  <si>
    <t>Cristobal Arroyo Pozo</t>
  </si>
  <si>
    <t>Uruguay 01485</t>
  </si>
  <si>
    <t>2025-12-17 11:17</t>
  </si>
  <si>
    <t>#NTVA7414</t>
  </si>
  <si>
    <t>260941202</t>
  </si>
  <si>
    <t>NOMBRE RETIRA: LESLIE SOTO . RUT RETIRA: 14039996-5</t>
  </si>
  <si>
    <t>Alexis Asenjo</t>
  </si>
  <si>
    <t>La cisterna 1831, Casa</t>
  </si>
  <si>
    <t>#NTVA7431</t>
  </si>
  <si>
    <t>261086471</t>
  </si>
  <si>
    <t>NOMBRE RETIRA: FELIPE BELMAR . RUT RETIRA: 21039084-7</t>
  </si>
  <si>
    <t>diego belmar</t>
  </si>
  <si>
    <t>coihueco 770, casa</t>
  </si>
  <si>
    <t>#NTVA7434</t>
  </si>
  <si>
    <t>261086428</t>
  </si>
  <si>
    <t>NOMBRE RETIRA: MATIAS NAVARRETE . RUT RETIRA: 18734021-7</t>
  </si>
  <si>
    <t>Matías Navarrete Núñez</t>
  </si>
  <si>
    <t>Los Ciruelillos Sector La Laja parcela 22, parcela 22</t>
  </si>
  <si>
    <t>2025-12-29 11:17</t>
  </si>
  <si>
    <t>#NTVA7363</t>
  </si>
  <si>
    <t>260941207</t>
  </si>
  <si>
    <t>NOMBRE RETIRA: MARCIA REYES CAMPOS RUT RETIRA: 12105850-2</t>
  </si>
  <si>
    <t>marcia reyes campos</t>
  </si>
  <si>
    <t>CALLE PAULA JARAQUEMADA #683, casa 683</t>
  </si>
  <si>
    <t>#NTVA7348</t>
  </si>
  <si>
    <t>260941216</t>
  </si>
  <si>
    <t>NOMBRE RETIRA: LEYLA CANO C RUT RETIRA: 10357726-8</t>
  </si>
  <si>
    <t>Avenida El Palomar 1686, Casa</t>
  </si>
  <si>
    <t>#NTVA7376</t>
  </si>
  <si>
    <t>260941187</t>
  </si>
  <si>
    <t>NOMBRE RETIRA: FLOR MELLADO . RUT RETIRA: 53333519-5</t>
  </si>
  <si>
    <t>Roberto Pacheco Mellado</t>
  </si>
  <si>
    <t>Menorca norte, 2107</t>
  </si>
  <si>
    <t>2025-12-23 19:04</t>
  </si>
  <si>
    <t>#NTVA7353</t>
  </si>
  <si>
    <t>260941210</t>
  </si>
  <si>
    <t>NOMBRE RETIRA: JOSEFINA JARAMILLO . RUT RETIRA: 21531809-5</t>
  </si>
  <si>
    <t>Josefina Antonia Jaramillo Bustos</t>
  </si>
  <si>
    <t>Av. Circunvalación Nueva Región Poniente 1546, Casa</t>
  </si>
  <si>
    <t>#NTVA7339</t>
  </si>
  <si>
    <t>260941226</t>
  </si>
  <si>
    <t>NOMBRE RETIRA: MARCELOB BRIONES 0 RUT RETIRA: 15944689-1</t>
  </si>
  <si>
    <t>Fabiola Diaz</t>
  </si>
  <si>
    <t>Avenida laguna grande 945, casa 39</t>
  </si>
  <si>
    <t>#NTVA7278</t>
  </si>
  <si>
    <t>260553672</t>
  </si>
  <si>
    <t>NOMBRE RETIRA: NICOL LOPEZ . RUT RETIRA: 12345678-5</t>
  </si>
  <si>
    <t>2025-12-21 21:04</t>
  </si>
  <si>
    <t>#NTVA7380</t>
  </si>
  <si>
    <t>260941190</t>
  </si>
  <si>
    <t>NOMBRE RETIRA: LUCAS DAVADGINO A RUT RETIRA: 20483599-3</t>
  </si>
  <si>
    <t>Lucas Davagnino Manríquez</t>
  </si>
  <si>
    <t>Julio Fosa 270</t>
  </si>
  <si>
    <t>#NTVA7368</t>
  </si>
  <si>
    <t>260941194</t>
  </si>
  <si>
    <t>NOMBRE RETIRA: ROSA RODRIGUEZ . RUT RETIRA: 5850721-0</t>
  </si>
  <si>
    <t>Benjamín Escobar</t>
  </si>
  <si>
    <t>Avenida Las Toscas 741</t>
  </si>
  <si>
    <t>#NTVA7362</t>
  </si>
  <si>
    <t>260941196</t>
  </si>
  <si>
    <t>NOMBRE RETIRA: TEPUDEL RIO . RUT RETIRA: 12345678-5</t>
  </si>
  <si>
    <t>Tepu Del rio</t>
  </si>
  <si>
    <t>Parque mozart , calle verdi 17, Casa</t>
  </si>
  <si>
    <t>#NTVA7385</t>
  </si>
  <si>
    <t>260941184</t>
  </si>
  <si>
    <t>NOMBRE RETIRA: BENJAMIN SEPULVEDA . RUT RETIRA: 10749376-K</t>
  </si>
  <si>
    <t>Benjamin Sepúlveda Godoy</t>
  </si>
  <si>
    <t>Villa galilea calle jerusalen 837</t>
  </si>
  <si>
    <t>#NTVA7433</t>
  </si>
  <si>
    <t>261086411</t>
  </si>
  <si>
    <t>NOMBRE RETIRA: BENJAMIN MARTINEZ H RUT RETIRA: 17526525-2</t>
  </si>
  <si>
    <t>Benjamín Martínez Casanova</t>
  </si>
  <si>
    <t>Coltauco, H-312, Sector Lo de Cuevas, Villa el Naranjo, Casa 3, 3</t>
  </si>
  <si>
    <t>#NTVA7398</t>
  </si>
  <si>
    <t>260900573</t>
  </si>
  <si>
    <t>NOMBRE RETIRA: CLAUDIO VALDES . RUT RETIRA: 9672594-9</t>
  </si>
  <si>
    <t>Enrique Meneses</t>
  </si>
  <si>
    <t>1 Sur 922, Scotiabank</t>
  </si>
  <si>
    <t>#NTVA6910</t>
  </si>
  <si>
    <t>259104406</t>
  </si>
  <si>
    <t>NOMBRE RETIRA: BASTIAN ARAYA . RUT RETIRA: 21933414-1</t>
  </si>
  <si>
    <t>Benjamin varas</t>
  </si>
  <si>
    <t>Cantournet 773, Local Vanni</t>
  </si>
  <si>
    <t>2025-12-02 10:34</t>
  </si>
  <si>
    <t>#NTVA7302</t>
  </si>
  <si>
    <t>260553471</t>
  </si>
  <si>
    <t>NOMBRE RETIRA: NICOLAS JARAMILLO . RUT RETIRA: 21405872-3</t>
  </si>
  <si>
    <t>nicolas jaramillo</t>
  </si>
  <si>
    <t>pasaje san eugenio sn</t>
  </si>
  <si>
    <t>#NTVA7276</t>
  </si>
  <si>
    <t>260553663</t>
  </si>
  <si>
    <t>NOMBRE RETIRA: AMANDA ARANCIBIA . RUT RETIRA: 20079464-8</t>
  </si>
  <si>
    <t>Amanda Arancibia</t>
  </si>
  <si>
    <t>Cesar Ruiz 0200, Casa</t>
  </si>
  <si>
    <t>#NTVA7280</t>
  </si>
  <si>
    <t>260553608</t>
  </si>
  <si>
    <t>NOMBRE RETIRA: ARLENN ALVINA . RUT RETIRA: 12122399-6</t>
  </si>
  <si>
    <t>Sebastián Leiva alviña</t>
  </si>
  <si>
    <t>Pasaje Alerce 5, Casa</t>
  </si>
  <si>
    <t>#NTVA7275</t>
  </si>
  <si>
    <t>260553655</t>
  </si>
  <si>
    <t>Jaime Muro bascur</t>
  </si>
  <si>
    <t>Arturo prat 109, Dpto 302</t>
  </si>
  <si>
    <t>#NTVA7288</t>
  </si>
  <si>
    <t>260553629</t>
  </si>
  <si>
    <t>NOMBRE RETIRA: GABRIEL ESCUDERO L RUT RETIRA: 28602059-3</t>
  </si>
  <si>
    <t>Gabriel Escudero</t>
  </si>
  <si>
    <t>Ranco 4081</t>
  </si>
  <si>
    <t>#NTVA6994</t>
  </si>
  <si>
    <t>259385908</t>
  </si>
  <si>
    <t>NOMBRE RETIRA: CARLOS RECEPCION . RUT RETIRA: 53317003-K</t>
  </si>
  <si>
    <t>Nicolas acevedo</t>
  </si>
  <si>
    <t>1 poniente 140, 407</t>
  </si>
  <si>
    <t>2025-12-08 18:20</t>
  </si>
  <si>
    <t>#NTVA6989</t>
  </si>
  <si>
    <t>259385879</t>
  </si>
  <si>
    <t>NOMBRE RETIRA: OSCAR YEPE M RUT RETIRA: 53330390-0</t>
  </si>
  <si>
    <t>abraham de abreu</t>
  </si>
  <si>
    <t>Jose luis carrera 266</t>
  </si>
  <si>
    <t>#NTVA7300</t>
  </si>
  <si>
    <t>260553521</t>
  </si>
  <si>
    <t>NOMBRE RETIRA: NOELIA TORRES . RUT RETIRA: 17597377-K</t>
  </si>
  <si>
    <t>Noelia Flores</t>
  </si>
  <si>
    <t>Porvenir 23 san fernando, Casa blanca 2 pisos</t>
  </si>
  <si>
    <t>#NTVA7264</t>
  </si>
  <si>
    <t>260403093</t>
  </si>
  <si>
    <t>NOMBRE RETIRA: CARRASCO , , RUT RETIRA: 53310370-7</t>
  </si>
  <si>
    <t>Benjamin Reinike Schneeberger</t>
  </si>
  <si>
    <t>Av. Martin Lutero 3006, Condominio Mirador de la Frontera 3, Casa 98</t>
  </si>
  <si>
    <t>2025-12-20 11:23</t>
  </si>
  <si>
    <t>#NTVA7293</t>
  </si>
  <si>
    <t>260553574</t>
  </si>
  <si>
    <t>NOMBRE RETIRA: MARIA ORREGO . RUT RETIRA: 18100464-9</t>
  </si>
  <si>
    <t>Maria loreto Orrego rifo</t>
  </si>
  <si>
    <t>Arturo prat 450, Dpto 302</t>
  </si>
  <si>
    <t>#NTVA7326</t>
  </si>
  <si>
    <t>260553282</t>
  </si>
  <si>
    <t>NOMBRE RETIRA: PAULA LAGOS . RUT RETIRA: 21141226-7</t>
  </si>
  <si>
    <t>Pasaje Teresa Clerc M. 0385</t>
  </si>
  <si>
    <t>2025-12-22 11:17</t>
  </si>
  <si>
    <t>#NTVA7318</t>
  </si>
  <si>
    <t>260553321</t>
  </si>
  <si>
    <t>NOMBRE RETIRA: CRISTIAN GALAX . RUT RETIRA: 16675358-9</t>
  </si>
  <si>
    <t>Cristian Galaz Beltran</t>
  </si>
  <si>
    <t>Camino tolpan parcela 8, Casa</t>
  </si>
  <si>
    <t>#NTVA7333</t>
  </si>
  <si>
    <t>260553210</t>
  </si>
  <si>
    <t>NOMBRE RETIRA: CATALINA PARRA . RUT RETIRA: 23412342-4</t>
  </si>
  <si>
    <t>#NTVA7260</t>
  </si>
  <si>
    <t>260403133</t>
  </si>
  <si>
    <t>NOMBRE RETIRA: ISABEL HURTADO . RUT RETIRA: 12141436-8</t>
  </si>
  <si>
    <t>Hans Alarcón Hurtado</t>
  </si>
  <si>
    <t>Bernardo O'Higgins 1240</t>
  </si>
  <si>
    <t>2025-12-19 20:00</t>
  </si>
  <si>
    <t>#NTVA7277</t>
  </si>
  <si>
    <t>260553700</t>
  </si>
  <si>
    <t>NOMBRE RETIRA: CONSUELO ALCAYAGA . RUT RETIRA: 15166564-0</t>
  </si>
  <si>
    <t>Consuelo Alcayaga Pinto</t>
  </si>
  <si>
    <t>Pasaje Jorge Wilson del Solar #424</t>
  </si>
  <si>
    <t>#NTVA7313</t>
  </si>
  <si>
    <t>260553374</t>
  </si>
  <si>
    <t>NOMBRE RETIRA: DIEGO BELMAR . RUT RETIRA: 21039084-7</t>
  </si>
  <si>
    <t>#NTVA7253</t>
  </si>
  <si>
    <t>260403154</t>
  </si>
  <si>
    <t>Jose miguel Castro valdivia</t>
  </si>
  <si>
    <t>Los aromos 298, Casa</t>
  </si>
  <si>
    <t>#NTVA7301</t>
  </si>
  <si>
    <t>260553513</t>
  </si>
  <si>
    <t>NOMBRE RETIRA: ERIK SALAS . RUT RETIRA: 13312592-2</t>
  </si>
  <si>
    <t>Kevin Salas Pardo</t>
  </si>
  <si>
    <t>Calle Seis Poniente 657, Brisas de Junquillar</t>
  </si>
  <si>
    <t>#NTVA7289</t>
  </si>
  <si>
    <t>260553584</t>
  </si>
  <si>
    <t>Cristóbal Urcelay</t>
  </si>
  <si>
    <t>Condominio Golf Los Lirios, L30</t>
  </si>
  <si>
    <t>#NTVA7649</t>
  </si>
  <si>
    <t>713018919944</t>
  </si>
  <si>
    <t>Nombre: Alexis Pereira - Rut: 16685962</t>
  </si>
  <si>
    <t>Alejandro Pavez</t>
  </si>
  <si>
    <t>Pardo 205, Casa</t>
  </si>
  <si>
    <t>#NTVA7599</t>
  </si>
  <si>
    <t>713016943623</t>
  </si>
  <si>
    <t>Nombre: sebastian boris - Rut: 212896500</t>
  </si>
  <si>
    <t>Balmaceda 1557, Local de comida “el sanguchon”</t>
  </si>
  <si>
    <t>2026-01-15 12:01</t>
  </si>
  <si>
    <t>#NTVA7579</t>
  </si>
  <si>
    <t>713016015692</t>
  </si>
  <si>
    <t>Nombre: paula fuentealba - Rut: 175135766</t>
  </si>
  <si>
    <t>Felipe Contreras Villanueva</t>
  </si>
  <si>
    <t>Doctor Ahues 305, Hospital de Quellon</t>
  </si>
  <si>
    <t>#NTVA7588</t>
  </si>
  <si>
    <t>713016487584</t>
  </si>
  <si>
    <t>Nombre: Jose Miguel castro - Rut: 0</t>
  </si>
  <si>
    <t>#NTVA7560</t>
  </si>
  <si>
    <t>713015475815</t>
  </si>
  <si>
    <t>Nombre: Antonio Valdivia - Rut: 109829447</t>
  </si>
  <si>
    <t>Vicente Agustin Valdivia Nuñez</t>
  </si>
  <si>
    <t>johans sebastians bach 0648, villa los Prados 2, Melipilla, Chile.</t>
  </si>
  <si>
    <t>#NTVA7510</t>
  </si>
  <si>
    <t>713012705414</t>
  </si>
  <si>
    <t>Nombre: nathane samchez - Rut: 219939620</t>
  </si>
  <si>
    <t>Yordano Garces</t>
  </si>
  <si>
    <t>Nestor Barrientos Bustamante 609</t>
  </si>
  <si>
    <t>#NTVA7491</t>
  </si>
  <si>
    <t>713012091061</t>
  </si>
  <si>
    <t>Nombre: Cristobal Munoz - Rut: 221939670</t>
  </si>
  <si>
    <t>Cristobal Muñoz</t>
  </si>
  <si>
    <t>Linares, los castaños, pasaje los maitenes 909, Casa,909 por januario espinosa</t>
  </si>
  <si>
    <t>#NTVA7455</t>
  </si>
  <si>
    <t>712999475160</t>
  </si>
  <si>
    <t>Joseph antonio Landaeta polo</t>
  </si>
  <si>
    <t>21 de noviembre calle General Bonilla casa  437</t>
  </si>
  <si>
    <t>#NTVA7640</t>
  </si>
  <si>
    <t>9429301884</t>
  </si>
  <si>
    <t>Gabriel Zamora Álvarez</t>
  </si>
  <si>
    <t>Pje el sauce, Santa Margarita, Catemu, Casa Blanca, tambien aparece en maps como bajos del sauce.</t>
  </si>
  <si>
    <t>#NTVA7631</t>
  </si>
  <si>
    <t>9429552963</t>
  </si>
  <si>
    <t>Luis Pérez</t>
  </si>
  <si>
    <t>Carlos pezoa veliz 597, Casa</t>
  </si>
  <si>
    <t>#NTVA7611</t>
  </si>
  <si>
    <t>9429314510</t>
  </si>
  <si>
    <t>diego parra vilalon</t>
  </si>
  <si>
    <t>santa margarita 1290, botilleria don lalo</t>
  </si>
  <si>
    <t>#NTVA7654</t>
  </si>
  <si>
    <t>9429471144</t>
  </si>
  <si>
    <t>Cristobal Pérez</t>
  </si>
  <si>
    <t>Teniente merino 670, Depto 303, torre H</t>
  </si>
  <si>
    <t>#NTVA7610</t>
  </si>
  <si>
    <t>9429814214</t>
  </si>
  <si>
    <t>Daniel Lecaros Villarroel</t>
  </si>
  <si>
    <t>Libertad 1101, Casa de esquina</t>
  </si>
  <si>
    <t>#NTVA7634</t>
  </si>
  <si>
    <t>9429094780</t>
  </si>
  <si>
    <t>fernanda lira</t>
  </si>
  <si>
    <t>pasaje las gaviotas 026, casa</t>
  </si>
  <si>
    <t>#NTVA7550</t>
  </si>
  <si>
    <t>9426897620</t>
  </si>
  <si>
    <t>Los Abedules 2025, 28</t>
  </si>
  <si>
    <t>2026-01-09 20:13</t>
  </si>
  <si>
    <t>#NTVA7574</t>
  </si>
  <si>
    <t>9426974421</t>
  </si>
  <si>
    <t>Abraham Diaz</t>
  </si>
  <si>
    <t>Av. concon reñaca 4357, Ed. Ecocostas 1706B, Edifici Ecocostas 1706B</t>
  </si>
  <si>
    <t>#NTVA7525</t>
  </si>
  <si>
    <t>9427490306</t>
  </si>
  <si>
    <t>cristobal Ramirez</t>
  </si>
  <si>
    <t>#NTVA7539</t>
  </si>
  <si>
    <t>9427696062</t>
  </si>
  <si>
    <t>María Ignacia Enríquez Rogers</t>
  </si>
  <si>
    <t>Av. Bosques de montemar 1295, Casa</t>
  </si>
  <si>
    <t>#NTVA7490</t>
  </si>
  <si>
    <t>9425567082</t>
  </si>
  <si>
    <t>Felipe Espinosa Apablaza</t>
  </si>
  <si>
    <t>Egañ 895, Casa de color azul</t>
  </si>
  <si>
    <t>#NTVA7458</t>
  </si>
  <si>
    <t>9421266982</t>
  </si>
  <si>
    <t>Issac Valenzuela</t>
  </si>
  <si>
    <t>Pirque, la catolica, villorio san Jose obrero, los jazmines 4010</t>
  </si>
  <si>
    <t>#NTVA7375</t>
  </si>
  <si>
    <t>9424003912</t>
  </si>
  <si>
    <t>Valentina Tourneur</t>
  </si>
  <si>
    <t>Casa, Los tuliperos 311</t>
  </si>
  <si>
    <t>#NTVA7424</t>
  </si>
  <si>
    <t>9423639223</t>
  </si>
  <si>
    <t>Christian Gaete</t>
  </si>
  <si>
    <t>Roberto Matta 0580, Villa Aires del Maipo, la Islita</t>
  </si>
  <si>
    <t>12934</t>
  </si>
  <si>
    <t>9423104434</t>
  </si>
  <si>
    <t>RCT CHILE</t>
  </si>
  <si>
    <t>Calle Ricardo Varela #2378</t>
  </si>
  <si>
    <t>2025-12-15 21:14</t>
  </si>
  <si>
    <t>12983</t>
  </si>
  <si>
    <t>9421527124</t>
  </si>
  <si>
    <t>Edith Nina Cabrera</t>
  </si>
  <si>
    <t>Diego de almagro 404, maria elena, Antofagasta</t>
  </si>
  <si>
    <t>2025-12-19 13:49</t>
  </si>
  <si>
    <t>13139</t>
  </si>
  <si>
    <t>9429323315</t>
  </si>
  <si>
    <t>SERGIO SANCHEZ</t>
  </si>
  <si>
    <t>AV. ARTURO PRAT 3120, DPTO 323</t>
  </si>
  <si>
    <t>2026-01-19 14:07</t>
  </si>
  <si>
    <t>13142</t>
  </si>
  <si>
    <t>9428951814</t>
  </si>
  <si>
    <t>Hernan gonzalez</t>
  </si>
  <si>
    <t>Saavedra 261</t>
  </si>
  <si>
    <t>13047-2</t>
  </si>
  <si>
    <t>9428966455</t>
  </si>
  <si>
    <t>Miguel Lemus</t>
  </si>
  <si>
    <t>Juan martinez de rosas 1675</t>
  </si>
  <si>
    <t>2026-01-20 15:37</t>
  </si>
  <si>
    <t>13138</t>
  </si>
  <si>
    <t>9429064190</t>
  </si>
  <si>
    <t>VICTOR ILLESCA</t>
  </si>
  <si>
    <t>Pje Siete 622 Candelaria</t>
  </si>
  <si>
    <t>13135</t>
  </si>
  <si>
    <t>9429479614</t>
  </si>
  <si>
    <t>Manuel Hernández campos</t>
  </si>
  <si>
    <t>Esmeralda s/n</t>
  </si>
  <si>
    <t>2026-01-18 02:52</t>
  </si>
  <si>
    <t>12461-2</t>
  </si>
  <si>
    <t>9429203265</t>
  </si>
  <si>
    <t>Felipe Céspedes Herrera</t>
  </si>
  <si>
    <t>Capitán Jorge Oryan 2039</t>
  </si>
  <si>
    <t>13115</t>
  </si>
  <si>
    <t>9429650451</t>
  </si>
  <si>
    <t>Nicole Campos</t>
  </si>
  <si>
    <t>Malaquias concha 443</t>
  </si>
  <si>
    <t>13137</t>
  </si>
  <si>
    <t>9429003802</t>
  </si>
  <si>
    <t>Oscar Valenzuela</t>
  </si>
  <si>
    <t>Parcela santa Mónica lote 1 c</t>
  </si>
  <si>
    <t>2026-01-18 21:56</t>
  </si>
  <si>
    <t>RCT-DEV-12933</t>
  </si>
  <si>
    <t>9428199244</t>
  </si>
  <si>
    <t>Matias Zepeda</t>
  </si>
  <si>
    <t>Las orizas 261</t>
  </si>
  <si>
    <t>13071</t>
  </si>
  <si>
    <t>9426910614</t>
  </si>
  <si>
    <t>DANIELA SOLEDAD VALENZUELA OYARZO</t>
  </si>
  <si>
    <t>Santa rita 950 Dpto 405a</t>
  </si>
  <si>
    <t>2026-01-10 11:31</t>
  </si>
  <si>
    <t>13073</t>
  </si>
  <si>
    <t>9426815506</t>
  </si>
  <si>
    <t>Jonathan García Vidal</t>
  </si>
  <si>
    <t>Av.circunvalacion 01038</t>
  </si>
  <si>
    <t>2026-01-10 13:07</t>
  </si>
  <si>
    <t>13076</t>
  </si>
  <si>
    <t>9426832192</t>
  </si>
  <si>
    <t>Pedro Meneses</t>
  </si>
  <si>
    <t>Calle las medialunas N•8 llaverias las cabras</t>
  </si>
  <si>
    <t>2026-01-11 17:59</t>
  </si>
  <si>
    <t>13077</t>
  </si>
  <si>
    <t>9426994850</t>
  </si>
  <si>
    <t>Julian Jofre</t>
  </si>
  <si>
    <t>Bellavista</t>
  </si>
  <si>
    <t>13087</t>
  </si>
  <si>
    <t>9428241233</t>
  </si>
  <si>
    <t>Miguel Herrera Marquez</t>
  </si>
  <si>
    <t>18 1/2 oriente 141 , villa Rembrandt , Talca</t>
  </si>
  <si>
    <t>13081</t>
  </si>
  <si>
    <t>9428319375</t>
  </si>
  <si>
    <t>Rodrigo Peña Maureira</t>
  </si>
  <si>
    <t>Paula Pineda 736</t>
  </si>
  <si>
    <t>RCT12934-2</t>
  </si>
  <si>
    <t>9428608733</t>
  </si>
  <si>
    <t>Ricardo Varela Munizaga #2378</t>
  </si>
  <si>
    <t>13088</t>
  </si>
  <si>
    <t>9426400830</t>
  </si>
  <si>
    <t>Felix Gregorio Garate Vergara</t>
  </si>
  <si>
    <t>Calle 1 1096 socovesa</t>
  </si>
  <si>
    <t>13061</t>
  </si>
  <si>
    <t>9427248633</t>
  </si>
  <si>
    <t>Felipe Alarcon Velasco</t>
  </si>
  <si>
    <t>Pasaje Elías Braun 1341</t>
  </si>
  <si>
    <t>2026-01-08 11:13</t>
  </si>
  <si>
    <t>13051</t>
  </si>
  <si>
    <t>9425144503</t>
  </si>
  <si>
    <t>Estero el salto 3770</t>
  </si>
  <si>
    <t>2026-01-06 03:10</t>
  </si>
  <si>
    <t>13049</t>
  </si>
  <si>
    <t>9425022106</t>
  </si>
  <si>
    <t>Daniela Santander miranda</t>
  </si>
  <si>
    <t>Pedro Correa 204</t>
  </si>
  <si>
    <t>2026-01-05 19:57</t>
  </si>
  <si>
    <t>13048</t>
  </si>
  <si>
    <t>9425202441</t>
  </si>
  <si>
    <t>Jorge Santana</t>
  </si>
  <si>
    <t>Pedro Aguirre Cerda C 7</t>
  </si>
  <si>
    <t>2026-01-05 19:48</t>
  </si>
  <si>
    <t>13056</t>
  </si>
  <si>
    <t>9427255736</t>
  </si>
  <si>
    <t>Kevin Howard</t>
  </si>
  <si>
    <t>Alcantara 1080</t>
  </si>
  <si>
    <t>2026-01-07 15:48</t>
  </si>
  <si>
    <t>12400</t>
  </si>
  <si>
    <t>9426298254</t>
  </si>
  <si>
    <t>MATIAS ZEPEDA</t>
  </si>
  <si>
    <t>LAS ORIZAS 261</t>
  </si>
  <si>
    <t>2025-11-28 23:46</t>
  </si>
  <si>
    <t>13059</t>
  </si>
  <si>
    <t>9427414603</t>
  </si>
  <si>
    <t>Guillermo Nieto Cortés</t>
  </si>
  <si>
    <t>Jose Montt Salamanca 67</t>
  </si>
  <si>
    <t>2026-01-07 23:12</t>
  </si>
  <si>
    <t>13047</t>
  </si>
  <si>
    <t>9425132485</t>
  </si>
  <si>
    <t>Juan martinez de rosas 1675, andacollo la serena</t>
  </si>
  <si>
    <t>2026-01-05 18:15</t>
  </si>
  <si>
    <t>13027</t>
  </si>
  <si>
    <t>9425794416</t>
  </si>
  <si>
    <t>Juan Vicente Cortés Cuadra</t>
  </si>
  <si>
    <t>Condominio Alto Rungue, parcela 47</t>
  </si>
  <si>
    <t>2025-12-25 09:14</t>
  </si>
  <si>
    <t>13033</t>
  </si>
  <si>
    <t>9425616642</t>
  </si>
  <si>
    <t>Constanza Antonia araya vera</t>
  </si>
  <si>
    <t>Pje los perales sitio 8 pueblo el rosario</t>
  </si>
  <si>
    <t>2025-12-29 09:45</t>
  </si>
  <si>
    <t>13028</t>
  </si>
  <si>
    <t>9424965270</t>
  </si>
  <si>
    <t>Rodrigo Vicencio Oviedo</t>
  </si>
  <si>
    <t>Oficina Lastenia 11810 block 7 depto 305 condominio bonasort 6</t>
  </si>
  <si>
    <t>2025-12-25 16:15</t>
  </si>
  <si>
    <t>13032</t>
  </si>
  <si>
    <t>9425730510</t>
  </si>
  <si>
    <t>Caroline Arriagada Bastias</t>
  </si>
  <si>
    <t>Calle Dos Oriente 419 casa 25</t>
  </si>
  <si>
    <t>2025-12-28 20:20</t>
  </si>
  <si>
    <t>13026</t>
  </si>
  <si>
    <t>9424073175</t>
  </si>
  <si>
    <t>Yenny Pino</t>
  </si>
  <si>
    <t>Cruz del Sur casa 34, Alto Jahuel</t>
  </si>
  <si>
    <t>2025-12-25 00:11</t>
  </si>
  <si>
    <t>REL78789</t>
  </si>
  <si>
    <t>260745115</t>
  </si>
  <si>
    <t>RELAJARTE</t>
  </si>
  <si>
    <t>Pia Sandoval</t>
  </si>
  <si>
    <t>Av. Alcalde Fernando Castillo Velasco 8146</t>
  </si>
  <si>
    <t>Sargento Silva 1725, Depto 308b</t>
  </si>
  <si>
    <t>2025-12-02 19:31</t>
  </si>
  <si>
    <t>REL711098</t>
  </si>
  <si>
    <t>262811999</t>
  </si>
  <si>
    <t>NOMBRE RETIRA: MARGARITA GODOY GODOY RUT RETIRA: 7973974-K</t>
  </si>
  <si>
    <t>Cristobal Jesus Chirino Godoy</t>
  </si>
  <si>
    <t>Calle Huascar 1646 PoblaciÓn Arturo Prat</t>
  </si>
  <si>
    <t>REL711091</t>
  </si>
  <si>
    <t>262812028</t>
  </si>
  <si>
    <t>NOMBRE RETIRA: ALIRIO ROJAS ROJAS RUT RETIRA: 5217411-2</t>
  </si>
  <si>
    <t>Valeria francisca Rojas Rojas</t>
  </si>
  <si>
    <t>Salas 791, Casa</t>
  </si>
  <si>
    <t>REL711097</t>
  </si>
  <si>
    <t>262811995</t>
  </si>
  <si>
    <t>NOMBRE RETIRA: IGNACIO PIZARRO . RUT RETIRA: 16046151-9</t>
  </si>
  <si>
    <t>Ignacio Pizarro Miranda</t>
  </si>
  <si>
    <t>Carmen Silva Rojas 1436</t>
  </si>
  <si>
    <t>REL711089</t>
  </si>
  <si>
    <t>262812058</t>
  </si>
  <si>
    <t>NOMBRE RETIRA: YIHALMA MOLINA K RUT RETIRA: 21442412-6</t>
  </si>
  <si>
    <t>Yohalma Molina</t>
  </si>
  <si>
    <t>Los Boldos 2104, Esquina Cafetales, Los Boldos 2104</t>
  </si>
  <si>
    <t>REL711085</t>
  </si>
  <si>
    <t>262812089</t>
  </si>
  <si>
    <t>NOMBRE RETIRA: BEATRIZ JARA . RUT RETIRA: 9622125-8</t>
  </si>
  <si>
    <t>Porvenir pasaje 17, 2919</t>
  </si>
  <si>
    <t>REL711055</t>
  </si>
  <si>
    <t>262738535</t>
  </si>
  <si>
    <t>NOMBRE RETIRA: YOLANDA TAPIA . RUT RETIRA: 19871166-7</t>
  </si>
  <si>
    <t>jordy iglesias guzman</t>
  </si>
  <si>
    <t>achao 45</t>
  </si>
  <si>
    <t>REL711066</t>
  </si>
  <si>
    <t>262738436</t>
  </si>
  <si>
    <t>NOMBRE RETIRA: JUAN GODOY . RUT RETIRA: 26495169-0</t>
  </si>
  <si>
    <t>Patricia Bruzco</t>
  </si>
  <si>
    <t>JosÉ Francisco Vergara 3253, Dpto 2102, 2102</t>
  </si>
  <si>
    <t>REL711093</t>
  </si>
  <si>
    <t>262812024</t>
  </si>
  <si>
    <t>NOMBRE RETIRA: NATACHA SEGURA Y RUT RETIRA: 15988892-4</t>
  </si>
  <si>
    <t>Natasha Segura Cueto</t>
  </si>
  <si>
    <t>Prieto Norte 395</t>
  </si>
  <si>
    <t>REL711064</t>
  </si>
  <si>
    <t>262738449</t>
  </si>
  <si>
    <t>NOMBRE RETIRA: YARITZA MERCAO . RUT RETIRA: 8727709-7</t>
  </si>
  <si>
    <t>Miguel Aguirre</t>
  </si>
  <si>
    <t>EdifÍcio Bahamas, Cerro Paranal 271, Depto 142</t>
  </si>
  <si>
    <t>REL711001</t>
  </si>
  <si>
    <t>262665113</t>
  </si>
  <si>
    <t>NOMBRE RETIRA: KAREN MEZA A RUT RETIRA: 6802943-0</t>
  </si>
  <si>
    <t>Karen Meza Cortés</t>
  </si>
  <si>
    <t>Sold felix Contreras 1033, Casa</t>
  </si>
  <si>
    <t>2026-01-20 20:21</t>
  </si>
  <si>
    <t>REL711067</t>
  </si>
  <si>
    <t>262738389</t>
  </si>
  <si>
    <t>NOMBRE RETIRA: DANIEL OLMOS CAMPOS RUT RETIRA: 15611419-7</t>
  </si>
  <si>
    <t>Daniel Olmos</t>
  </si>
  <si>
    <t>Parque Los Carrera 5994, Casa</t>
  </si>
  <si>
    <t>REL711052</t>
  </si>
  <si>
    <t>262738557</t>
  </si>
  <si>
    <t>NOMBRE RETIRA: CLAUDIA CASTILLO . RUT RETIRA: 12240555-9</t>
  </si>
  <si>
    <t>Diego Joaquin Gonzalez Jelves</t>
  </si>
  <si>
    <t>german krause 02291</t>
  </si>
  <si>
    <t>2026-01-21 20:19</t>
  </si>
  <si>
    <t>REL711037</t>
  </si>
  <si>
    <t>262738609</t>
  </si>
  <si>
    <t>NOMBRE RETIRA: ALEJANDRO . . RUT RETIRA: 53310370-7</t>
  </si>
  <si>
    <t>Sergio del Valle Muñoz</t>
  </si>
  <si>
    <t>AVENIDA MARTIN LUTERO 03006, casa 111</t>
  </si>
  <si>
    <t>REL711039</t>
  </si>
  <si>
    <t>262738602</t>
  </si>
  <si>
    <t>NOMBRE RETIRA: JAVIER REYEA . RUT RETIRA: 17118277-8</t>
  </si>
  <si>
    <t>Paulina Jimenez Asenjo</t>
  </si>
  <si>
    <t>Cuatro Pinos 2678, Casa</t>
  </si>
  <si>
    <t>REL711015</t>
  </si>
  <si>
    <t>262665071</t>
  </si>
  <si>
    <t>NOMBRE RETIRA: MARCO SANTANDER . RUT RETIRA: 10050628-9</t>
  </si>
  <si>
    <t>Ana Pamela Bastias Castillo</t>
  </si>
  <si>
    <t>Av Ascotan norte 155, Apt. 709 B</t>
  </si>
  <si>
    <t>REL711050</t>
  </si>
  <si>
    <t>262738570</t>
  </si>
  <si>
    <t>NOMBRE RETIRA: VERTA VENEGAA . RUT RETIRA: 18120639-K</t>
  </si>
  <si>
    <t>Bertha Venegas Grafin von Plettenberg</t>
  </si>
  <si>
    <t>Enrique segundo donoso 1210</t>
  </si>
  <si>
    <t>REL711036</t>
  </si>
  <si>
    <t>262738586</t>
  </si>
  <si>
    <t>NOMBRE RETIRA: JUAN GARCES . RUT RETIRA: 8730467-1</t>
  </si>
  <si>
    <t>Maria Garces bello</t>
  </si>
  <si>
    <t>Calle lemunko 4441, Casa villa pocuro escuadron</t>
  </si>
  <si>
    <t>REL711053</t>
  </si>
  <si>
    <t>262738543</t>
  </si>
  <si>
    <t>NOMBRE RETIRA: MARIA FARIAS A RUT RETIRA: 6637506-4</t>
  </si>
  <si>
    <t>Pablo Ignacio Jara Sepúlveda</t>
  </si>
  <si>
    <t>Villa Galilea Calle Roma #1918</t>
  </si>
  <si>
    <t>REL711070</t>
  </si>
  <si>
    <t>262738417</t>
  </si>
  <si>
    <t>NOMBRE RETIRA: LORENA ESPINOZA . RUT RETIRA: 11196473-4</t>
  </si>
  <si>
    <t>Juan Pablo Toutin</t>
  </si>
  <si>
    <t>Condell 385</t>
  </si>
  <si>
    <t>REL711060</t>
  </si>
  <si>
    <t>262738511</t>
  </si>
  <si>
    <t>NOMBRE RETIRA: LESET PAVEZ N RUT RETIRA: 18199548-3</t>
  </si>
  <si>
    <t>Katherine Rocha Albornoz</t>
  </si>
  <si>
    <t>Bulnes 240, Chillán, Hotel Canadá</t>
  </si>
  <si>
    <t>REL711044</t>
  </si>
  <si>
    <t>262738598</t>
  </si>
  <si>
    <t>NOMBRE RETIRA: ALEJANDRA ATAYA U RUT RETIRA: 12837517-1</t>
  </si>
  <si>
    <t>Javiera Rojas Araya</t>
  </si>
  <si>
    <t>Francia #0431</t>
  </si>
  <si>
    <t>REL710923</t>
  </si>
  <si>
    <t>262506730</t>
  </si>
  <si>
    <t>NOMBRE RETIRA: FELIPE . . RUT RETIRA: 19443855-9</t>
  </si>
  <si>
    <t>Paulina Aracena rivera</t>
  </si>
  <si>
    <t>Oficina castilla 11543, Casa</t>
  </si>
  <si>
    <t>2026-01-18 20:27</t>
  </si>
  <si>
    <t>REL711054</t>
  </si>
  <si>
    <t>262738523</t>
  </si>
  <si>
    <t>NOMBRE RETIRA: MIGUEL MADRID . RUT RETIRA: 8294875-9</t>
  </si>
  <si>
    <t>miguel angel madrid gonzalez</t>
  </si>
  <si>
    <t>5 de abril 139</t>
  </si>
  <si>
    <t>REL711059</t>
  </si>
  <si>
    <t>262738481</t>
  </si>
  <si>
    <t>Katherine Meza</t>
  </si>
  <si>
    <t>Portus 28</t>
  </si>
  <si>
    <t>REL710938</t>
  </si>
  <si>
    <t>262506695</t>
  </si>
  <si>
    <t>NOMBRE RETIRA: SAMUEL CENTENO U RUT RETIRA: 18616408-3</t>
  </si>
  <si>
    <t>Sebastian Perez Maldonado</t>
  </si>
  <si>
    <t>Capitán Roberto Pérez 2791, Dpto. 1502</t>
  </si>
  <si>
    <t>REL711024</t>
  </si>
  <si>
    <t>262665019</t>
  </si>
  <si>
    <t>NOMBRE RETIRA: CAROLINA FERREIRA . RUT RETIRA: 21800831-3</t>
  </si>
  <si>
    <t>Carolina Ferreira f</t>
  </si>
  <si>
    <t>Arturo prat 325, Casa</t>
  </si>
  <si>
    <t>REL710967</t>
  </si>
  <si>
    <t>262506523</t>
  </si>
  <si>
    <t>NOMBRE RETIRA: JOCELYN LEDEZMA . RUT RETIRA: 13644001-2</t>
  </si>
  <si>
    <t>Jocelyn Ledezma</t>
  </si>
  <si>
    <t>Río bueno 7469</t>
  </si>
  <si>
    <t>REL711034</t>
  </si>
  <si>
    <t>262664957</t>
  </si>
  <si>
    <t>NOMBRE RETIRA: GUSTAVO QUITRAL QUITRAL RUT RETIRA: 11345849-6</t>
  </si>
  <si>
    <t>Chacabuco 481 Copiapo, Oficina</t>
  </si>
  <si>
    <t>REL711010</t>
  </si>
  <si>
    <t>262665075</t>
  </si>
  <si>
    <t>NOMBRE RETIRA: ROCIO GAMONAL U RUT RETIRA: 20439615-9</t>
  </si>
  <si>
    <t>Rocío Gamonal</t>
  </si>
  <si>
    <t>Pato Real # 213</t>
  </si>
  <si>
    <t>REL710885</t>
  </si>
  <si>
    <t>262506914</t>
  </si>
  <si>
    <t>NOMBRE RETIRA: KAROL MONTECINO X RUT RETIRA: 1111111-4</t>
  </si>
  <si>
    <t>Karol Montecinos</t>
  </si>
  <si>
    <t>Poblacion Esperanza , pasaje 3, Casa 52</t>
  </si>
  <si>
    <t>REL710917</t>
  </si>
  <si>
    <t>262506771</t>
  </si>
  <si>
    <t>NOMBRE RETIRA: SILVIA CATALAN X RUT RETIRA: 1111111-4</t>
  </si>
  <si>
    <t>Sylvia Catalan</t>
  </si>
  <si>
    <t>Oficina, Calle Segundo De LÍnea 398. Oficina CONADI</t>
  </si>
  <si>
    <t>2026-01-17 11:08</t>
  </si>
  <si>
    <t>REL711019</t>
  </si>
  <si>
    <t>262665009</t>
  </si>
  <si>
    <t>NOMBRE RETIRA: CONSTANZA ARGANDONA A RUT RETIRA: 19152618-K</t>
  </si>
  <si>
    <t>Constanza Isabel Argandoña Riquelme</t>
  </si>
  <si>
    <t>Chorrillos 754, 750</t>
  </si>
  <si>
    <t>REL711006</t>
  </si>
  <si>
    <t>262665092</t>
  </si>
  <si>
    <t>NOMBRE RETIRA: GABRIELA QUEZADAA A RUT RETIRA: 18254443-4</t>
  </si>
  <si>
    <t>Gabriela Quezada Rojas</t>
  </si>
  <si>
    <t>Valles de Sta Fe. Calle 12 #2595, Casa 2595</t>
  </si>
  <si>
    <t>REL710883</t>
  </si>
  <si>
    <t>262506935</t>
  </si>
  <si>
    <t>NOMBRE RETIRA: CRISTOBAL FLORES X RUT RETIRA: 21693941-7</t>
  </si>
  <si>
    <t>Nevada 781 villa paraiso, Cada</t>
  </si>
  <si>
    <t>REL710939</t>
  </si>
  <si>
    <t>262506652</t>
  </si>
  <si>
    <t>NOMBRE RETIRA: CAMILA AQUEYE X RUT RETIRA: 12345678-5</t>
  </si>
  <si>
    <t>Camila Aqueveque</t>
  </si>
  <si>
    <t>Pasaje lorenzo arenas #8882, Casa</t>
  </si>
  <si>
    <t>REL710892</t>
  </si>
  <si>
    <t>262506889</t>
  </si>
  <si>
    <t>NOMBRE RETIRA: ROSIP KIROS . RUT RETIRA: 26620219-9</t>
  </si>
  <si>
    <t>Rocío Quiroz</t>
  </si>
  <si>
    <t>Los nogales 264, Casa 264</t>
  </si>
  <si>
    <t>REL711022</t>
  </si>
  <si>
    <t>262664985</t>
  </si>
  <si>
    <t>NOMBRE RETIRA: LUIS CORTES M RUT RETIRA: 17063939-1</t>
  </si>
  <si>
    <t>Luis Cortés Miranda</t>
  </si>
  <si>
    <t>pasaje general barbosa 943, casa</t>
  </si>
  <si>
    <t>REL711030</t>
  </si>
  <si>
    <t>262664974</t>
  </si>
  <si>
    <t>NOMBRE RETIRA: YERKO VILLALOBOS . RUT RETIRA: 8162026-1</t>
  </si>
  <si>
    <t>Pablo Olguín Sepúlveda</t>
  </si>
  <si>
    <t>1 norte 461 oficina 208, Edificio campus dejar conserjeria</t>
  </si>
  <si>
    <t>REL711014</t>
  </si>
  <si>
    <t>262665047</t>
  </si>
  <si>
    <t>NOMBRE RETIRA: EDUARDO FERNANDEZ P RUT RETIRA: 13251609-K</t>
  </si>
  <si>
    <t>Eduardo Fernandez</t>
  </si>
  <si>
    <t>Pisagua 205, Casa 22</t>
  </si>
  <si>
    <t>REL711021</t>
  </si>
  <si>
    <t>262664965</t>
  </si>
  <si>
    <t>NOMBRE RETIRA: DANIELA DIAZ P RUT RETIRA: 17891094-9</t>
  </si>
  <si>
    <t>Daniela Diaz cardenas</t>
  </si>
  <si>
    <t>Pasaje trece 1692, Jardines del mirador</t>
  </si>
  <si>
    <t>REL711017</t>
  </si>
  <si>
    <t>262665024</t>
  </si>
  <si>
    <t>NOMBRE RETIRA: NATALIA CALFCURA . RUT RETIRA: 11030286-K</t>
  </si>
  <si>
    <t>REL710902</t>
  </si>
  <si>
    <t>262506820</t>
  </si>
  <si>
    <t>NOMBRE RETIRA: ELEN PIZARRO . RUT RETIRA: 19552417-3</t>
  </si>
  <si>
    <t>Cesar Guerra Cerda</t>
  </si>
  <si>
    <t>Eloisa Poppe #1163, Casa 13, condominio los arándanos.</t>
  </si>
  <si>
    <t>2026-01-16 23:33</t>
  </si>
  <si>
    <t>REL710994</t>
  </si>
  <si>
    <t>262585908</t>
  </si>
  <si>
    <t>Gloria Ceballos</t>
  </si>
  <si>
    <t>Av. Los pablos 2740, Sitio 5</t>
  </si>
  <si>
    <t>REL710943</t>
  </si>
  <si>
    <t>262506665</t>
  </si>
  <si>
    <t>NOMBRE RETIRA: MARCO NAVARRETE H RUT RETIRA: 15822339-2</t>
  </si>
  <si>
    <t>Marco Navarrete Varas</t>
  </si>
  <si>
    <t>Pedro de Valdivia Poniente 550</t>
  </si>
  <si>
    <t>REL710960</t>
  </si>
  <si>
    <t>262506563</t>
  </si>
  <si>
    <t>NOMBRE RETIRA: ORLANDO SANDOVAL . RUT RETIRA: 23031259-1</t>
  </si>
  <si>
    <t>Sandra Delgado gonzalez</t>
  </si>
  <si>
    <t>Blanco encalada 848</t>
  </si>
  <si>
    <t>REL710886</t>
  </si>
  <si>
    <t>262506900</t>
  </si>
  <si>
    <t>NOMBRE RETIRA: JAORO JARA . RUT RETIRA: 18591641-3</t>
  </si>
  <si>
    <t>Yungay 773, 601</t>
  </si>
  <si>
    <t>REL710895</t>
  </si>
  <si>
    <t>262506860</t>
  </si>
  <si>
    <t>NOMBRE RETIRA: MARIA GUERRERO GUERRERO RUT RETIRA: 19793340-2</t>
  </si>
  <si>
    <t>María Guerrero Riquelme</t>
  </si>
  <si>
    <t>Pasaje Los Palos Colorados 2279, Casa esquina</t>
  </si>
  <si>
    <t>REL710884</t>
  </si>
  <si>
    <t>262506926</t>
  </si>
  <si>
    <t>NOMBRE RETIRA: VICTORIA MORALES . RUT RETIRA: 15223193-8</t>
  </si>
  <si>
    <t>Victoria Morales</t>
  </si>
  <si>
    <t>Calle Bulgaria 3870 Leonera Chiguayante</t>
  </si>
  <si>
    <t>REL710993</t>
  </si>
  <si>
    <t>262585889</t>
  </si>
  <si>
    <t>NOMBRE RETIRA: KARINA ARRIAGADA A RUT RETIRA: 14553821-1</t>
  </si>
  <si>
    <t>Carlos Matias Salgado Aguilera</t>
  </si>
  <si>
    <t>garcia hurtado de mendoza 877, Apt. 203</t>
  </si>
  <si>
    <t>REL710959</t>
  </si>
  <si>
    <t>262506556</t>
  </si>
  <si>
    <t>Maria Nieves Salazar</t>
  </si>
  <si>
    <t>Volcán Corcovado 5800</t>
  </si>
  <si>
    <t>REL710949</t>
  </si>
  <si>
    <t>262506616</t>
  </si>
  <si>
    <t>NOMBRE RETIRA: ISAIAS JARA .. RUT RETIRA: 53332519-K</t>
  </si>
  <si>
    <t>José Benjamin Montes gamboa</t>
  </si>
  <si>
    <t>Ex camino la viña 4387, Depto 806</t>
  </si>
  <si>
    <t>REL710882</t>
  </si>
  <si>
    <t>262506940</t>
  </si>
  <si>
    <t>NOMBRE RETIRA: CONTANZA SAZO H RUT RETIRA: 20775360-2</t>
  </si>
  <si>
    <t>Elieser Valdebenito</t>
  </si>
  <si>
    <t>12 norte 16 oriente a 2385, Casa</t>
  </si>
  <si>
    <t>REL710964</t>
  </si>
  <si>
    <t>262506552</t>
  </si>
  <si>
    <t>NOMBRE RETIRA: KARIN GUZMAN . RUT RETIRA: 18100464-9</t>
  </si>
  <si>
    <t>Erica Acuña Jara</t>
  </si>
  <si>
    <t>Caupolican 276, Oficina</t>
  </si>
  <si>
    <t>REL710915</t>
  </si>
  <si>
    <t>262506764</t>
  </si>
  <si>
    <t>NOMBRE RETIRA: LUIS MUNOZ . RUT RETIRA: 56058900-K</t>
  </si>
  <si>
    <t>Ingrid Muñoz</t>
  </si>
  <si>
    <t>Torre F condominio mesa de aragon, gomez carreño, PacÍfico 4401, Depto 302</t>
  </si>
  <si>
    <t>REL710933</t>
  </si>
  <si>
    <t>262506701</t>
  </si>
  <si>
    <t>NOMBRE RETIRA: ALEJANDRA LIZAMA H RUT RETIRA: 53331607-7</t>
  </si>
  <si>
    <t>Araceli Serrano</t>
  </si>
  <si>
    <t>Estero Maitenlahue 1100, Depto 905 Torre A</t>
  </si>
  <si>
    <t>REL710924</t>
  </si>
  <si>
    <t>262506734</t>
  </si>
  <si>
    <t>NOMBRE RETIRA: ANDREA VERA . RUT RETIRA: 15282658-3</t>
  </si>
  <si>
    <t>Lago Riesco 4892</t>
  </si>
  <si>
    <t>REL710904</t>
  </si>
  <si>
    <t>262506819</t>
  </si>
  <si>
    <t>NOMBRE RETIRA: NANCY RAMIREZ . RUT RETIRA: 19139839-4</t>
  </si>
  <si>
    <t>Los jazmines 5005</t>
  </si>
  <si>
    <t>REL710898</t>
  </si>
  <si>
    <t>262506841</t>
  </si>
  <si>
    <t>NOMBRE RETIRA: ALEJANDRA CAMPANA . RUT RETIRA: 65108875-5</t>
  </si>
  <si>
    <t>Irmina Rivero</t>
  </si>
  <si>
    <t>Camino Antiguo A Ovalle 187, Apartamento 3115, 3115</t>
  </si>
  <si>
    <t>REL710918</t>
  </si>
  <si>
    <t>262506753</t>
  </si>
  <si>
    <t>NOMBRE RETIRA: MONICA MORA . RUT RETIRA: 13164026-9</t>
  </si>
  <si>
    <t>monica mora</t>
  </si>
  <si>
    <t>Calle miraflores 1471, Casa 1471</t>
  </si>
  <si>
    <t>REL710953</t>
  </si>
  <si>
    <t>262506606</t>
  </si>
  <si>
    <t>NOMBRE RETIRA: FABIAN PIZARRO . RUT RETIRA: 12345678-5</t>
  </si>
  <si>
    <t>Susana Fuenzalida</t>
  </si>
  <si>
    <t>Avenida Belloto 812</t>
  </si>
  <si>
    <t>REL710952</t>
  </si>
  <si>
    <t>262506602</t>
  </si>
  <si>
    <t>NOMBRE RETIRA: LUISA RESTREPO GOMEZ RUT RETIRA: 25756930-6</t>
  </si>
  <si>
    <t>Felipe Fuentes</t>
  </si>
  <si>
    <t>Arturo Prat 185, Local 1, todotec, galeria madriaza</t>
  </si>
  <si>
    <t>REL710935</t>
  </si>
  <si>
    <t>262506659</t>
  </si>
  <si>
    <t>NOMBRE RETIRA: ALEXIS RUBIO A RUT RETIRA: 53130190-0</t>
  </si>
  <si>
    <t>Sergio Lizarraga</t>
  </si>
  <si>
    <t>Lesonia 463, 1202</t>
  </si>
  <si>
    <t>REL710945</t>
  </si>
  <si>
    <t>262506648</t>
  </si>
  <si>
    <t>NOMBRE RETIRA: IGNACIO I I RUT RETIRA: 13894707-6</t>
  </si>
  <si>
    <t>Rosario Lagos Calleja</t>
  </si>
  <si>
    <t>Diloma 290, Diloma 290</t>
  </si>
  <si>
    <t>REL710957</t>
  </si>
  <si>
    <t>262506568</t>
  </si>
  <si>
    <t>NOMBRE RETIRA: PATRICIO ZAPATA . RUT RETIRA: 7210931-7</t>
  </si>
  <si>
    <t>Makarena Zapata marin</t>
  </si>
  <si>
    <t>Victoria, La Concepcion 227</t>
  </si>
  <si>
    <t>REL710899</t>
  </si>
  <si>
    <t>262506825</t>
  </si>
  <si>
    <t>NOMBRE RETIRA: ELIZA VASQUEW . RUT RETIRA: 13541098-5</t>
  </si>
  <si>
    <t>Elia Adriana Vasquez Nuñez</t>
  </si>
  <si>
    <t>Calle Nueva, Parcela 7 kilómetro 106 Hijuela al poniente, Casa</t>
  </si>
  <si>
    <t>REL710916</t>
  </si>
  <si>
    <t>262506758</t>
  </si>
  <si>
    <t>NOMBRE RETIRA: ESPERANZA REYES . RUT RETIRA: 19701657-4</t>
  </si>
  <si>
    <t>david valdivia</t>
  </si>
  <si>
    <t>longitudinal sur km 191, empresa Derco Jesus pons</t>
  </si>
  <si>
    <t>REL710897</t>
  </si>
  <si>
    <t>262506873</t>
  </si>
  <si>
    <t>NOMBRE RETIRA: PASCUAL RIQUELME . RUT RETIRA: 20111485-3</t>
  </si>
  <si>
    <t>Tamara Quezada Moya</t>
  </si>
  <si>
    <t>Gacitúa 77, Departamento 124</t>
  </si>
  <si>
    <t>REL710950</t>
  </si>
  <si>
    <t>262506584</t>
  </si>
  <si>
    <t>NOMBRE RETIRA: KAREN CONTRERAS . RUT RETIRA: 26936721-0</t>
  </si>
  <si>
    <t>Karen Contreras Pulgar</t>
  </si>
  <si>
    <t>Villa Vista Cordillera 2, Alto de la puente 131</t>
  </si>
  <si>
    <t>REL710940</t>
  </si>
  <si>
    <t>262506691</t>
  </si>
  <si>
    <t>NOMBRE RETIRA: EMA AGUILERA M RUT RETIRA: 10486266-7</t>
  </si>
  <si>
    <t>Emma Aguilera</t>
  </si>
  <si>
    <t>Condominio Prat 0102, casa 15</t>
  </si>
  <si>
    <t>REL710908</t>
  </si>
  <si>
    <t>262506813</t>
  </si>
  <si>
    <t>NOMBRE RETIRA: PAULINA ZUNIHA S RUT RETIRA: 16159159-9</t>
  </si>
  <si>
    <t>Paulina Zuñiga</t>
  </si>
  <si>
    <t>Avenida Pedro Stark 100</t>
  </si>
  <si>
    <t>2026-01-16 23:34</t>
  </si>
  <si>
    <t>REL710926</t>
  </si>
  <si>
    <t>262506722</t>
  </si>
  <si>
    <t>NOMBRE RETIRA: LIDIA MORALES . RUT RETIRA: 10653153-6</t>
  </si>
  <si>
    <t>Paulina Reyes aviles</t>
  </si>
  <si>
    <t>Filippi Murato 601, el melon</t>
  </si>
  <si>
    <t>REL710983</t>
  </si>
  <si>
    <t>262585923</t>
  </si>
  <si>
    <t>NOMBRE RETIRA: ISIDORA FAETE GAETE RUT RETIRA: 21876488-6</t>
  </si>
  <si>
    <t>Isidora Gaete</t>
  </si>
  <si>
    <t>Av alto palermo 1807, Casa 2</t>
  </si>
  <si>
    <t>2026-01-19 20:24</t>
  </si>
  <si>
    <t>REL710948</t>
  </si>
  <si>
    <t>262506624</t>
  </si>
  <si>
    <t>NOMBRE RETIRA: ANDRES TORRES N RUT RETIRA: 53336988-K</t>
  </si>
  <si>
    <t>Sergio labra</t>
  </si>
  <si>
    <t>Las acasias 1441 peñablanca, Dto 502</t>
  </si>
  <si>
    <t>REL710968</t>
  </si>
  <si>
    <t>262506519</t>
  </si>
  <si>
    <t>NOMBRE RETIRA: FERNANDA POQUET POQUET RUT RETIRA: 18015629-1</t>
  </si>
  <si>
    <t>Fernanda Poque</t>
  </si>
  <si>
    <t>Flor de azahar 534, Casa</t>
  </si>
  <si>
    <t>REL710878</t>
  </si>
  <si>
    <t>262341487</t>
  </si>
  <si>
    <t>NOMBRE RETIRA: HEBERT CRUZ S RUT RETIRA: 18144910-1</t>
  </si>
  <si>
    <t>Herbert Cruz</t>
  </si>
  <si>
    <t>Colonia oriente 3491, 3491</t>
  </si>
  <si>
    <t>2026-01-15 20:08</t>
  </si>
  <si>
    <t>REL79862</t>
  </si>
  <si>
    <t>259995568</t>
  </si>
  <si>
    <t>NOMBRE RETIRA: GONZALO . . RUT RETIRA: 11111111-1</t>
  </si>
  <si>
    <t>Gonzalo Almendras Ramirez</t>
  </si>
  <si>
    <t>Simón bolivar #1486, Casa interior</t>
  </si>
  <si>
    <t>2025-12-16 11:10</t>
  </si>
  <si>
    <t>REL710683</t>
  </si>
  <si>
    <t>261319975</t>
  </si>
  <si>
    <t>NOMBRE RETIRA: ROMINA BARRIA K RUT RETIRA: 19254439-4</t>
  </si>
  <si>
    <t>Romina Fernanda Barria Galindo</t>
  </si>
  <si>
    <t>Junta de gobierno 0589, Primer departamento</t>
  </si>
  <si>
    <t>2025-12-31 16:15</t>
  </si>
  <si>
    <t>REL710773</t>
  </si>
  <si>
    <t>261498394</t>
  </si>
  <si>
    <t>NOMBRE RETIRA: EVANGELINA ARAYA . RUT RETIRA: 22647926-0</t>
  </si>
  <si>
    <t>Karina Oyarzun</t>
  </si>
  <si>
    <t>Barrio Prat, Cirujano Videla 345</t>
  </si>
  <si>
    <t>2026-01-05 11:11</t>
  </si>
  <si>
    <t>REL710583</t>
  </si>
  <si>
    <t>260896337</t>
  </si>
  <si>
    <t>NOMBRE RETIRA: WILIAMS RUISZ . RUT RETIRA: 18103884-5</t>
  </si>
  <si>
    <t>Pia Martinez</t>
  </si>
  <si>
    <t>Ejercito 567, Teleton aysen</t>
  </si>
  <si>
    <t>2025-12-25 19:12</t>
  </si>
  <si>
    <t>REL710848</t>
  </si>
  <si>
    <t>262009392</t>
  </si>
  <si>
    <t>NOMBRE RETIRA: AYKEN RODROGIEZ . RUT RETIRA: 18868550-1</t>
  </si>
  <si>
    <t>ayleen rodriguez ramirez</t>
  </si>
  <si>
    <t>Los Arándanos 5506, G 201</t>
  </si>
  <si>
    <t>REL710596</t>
  </si>
  <si>
    <t>260896268</t>
  </si>
  <si>
    <t>NOMBRE RETIRA: EMMA GARCIA L RUT RETIRA: 6687826-0</t>
  </si>
  <si>
    <t>Paola Flores garcia</t>
  </si>
  <si>
    <t>Ignacio serrano 995, Los ganaderos</t>
  </si>
  <si>
    <t>2025-12-26 11:10</t>
  </si>
  <si>
    <t>REL710539</t>
  </si>
  <si>
    <t>260896472</t>
  </si>
  <si>
    <t>NOMBRE RETIRA: VIXTOR UNVERTO ESPINOZA RUT RETIRA: 9037990-9</t>
  </si>
  <si>
    <t>Jazmin Sepulveda</t>
  </si>
  <si>
    <t>Diego de Almagro 1582</t>
  </si>
  <si>
    <t>2025-12-23 18:14</t>
  </si>
  <si>
    <t>REL710598</t>
  </si>
  <si>
    <t>260896262</t>
  </si>
  <si>
    <t>NOMBRE RETIRA: MARIETA CUCURELLA . RUT RETIRA: 12310784-5</t>
  </si>
  <si>
    <t>Carolina Palma Arce</t>
  </si>
  <si>
    <t>Cochrane 226, casilla 428, 226</t>
  </si>
  <si>
    <t>REL710858</t>
  </si>
  <si>
    <t>262009324</t>
  </si>
  <si>
    <t>NOMBRE RETIRA: NATY CANCINO . RUT RETIRA: 53309725-1</t>
  </si>
  <si>
    <t>Natalia Cancino</t>
  </si>
  <si>
    <t>Av Dos Sur 1285, 704</t>
  </si>
  <si>
    <t>REL710860</t>
  </si>
  <si>
    <t>262009285</t>
  </si>
  <si>
    <t>NOMBRE RETIRA: TERYMAR . . RUT RETIRA: 12345678-5</t>
  </si>
  <si>
    <t>Terymar Sthefanny Angulo Mora</t>
  </si>
  <si>
    <t>Jorge pino alquinta 682 los regidores vallenar, Casa</t>
  </si>
  <si>
    <t>REL710622</t>
  </si>
  <si>
    <t>261061366</t>
  </si>
  <si>
    <t>NOMBRE RETIRA: LUIS ARAYA . RUT RETIRA: 13765242-0</t>
  </si>
  <si>
    <t>Marcela Garin</t>
  </si>
  <si>
    <t>Avenida españa 1549</t>
  </si>
  <si>
    <t>2025-12-27 11:13</t>
  </si>
  <si>
    <t>REL710855</t>
  </si>
  <si>
    <t>262009350</t>
  </si>
  <si>
    <t>NOMBRE RETIRA: GALDIS TIRADO N RUT RETIRA: 10144869-K</t>
  </si>
  <si>
    <t>Robert Marchant tirado</t>
  </si>
  <si>
    <t>Hangaroa 1017 villa rapa nui</t>
  </si>
  <si>
    <t>2026-01-10 11:07</t>
  </si>
  <si>
    <t>REL710837</t>
  </si>
  <si>
    <t>261777178</t>
  </si>
  <si>
    <t>NOMBRE RETIRA: XIMENA COFRE . RUT RETIRA: 14107495-4</t>
  </si>
  <si>
    <t>Capitán Roberto Pérez 2791, Dpto 1502</t>
  </si>
  <si>
    <t>REL710833</t>
  </si>
  <si>
    <t>261777200</t>
  </si>
  <si>
    <t>NOMBRE RETIRA: PEDRO BOLADOS . RUT RETIRA: 10322359-8</t>
  </si>
  <si>
    <t>Juana Rodriguez</t>
  </si>
  <si>
    <t>Lord Cochrane 1614, Pob ohiggins</t>
  </si>
  <si>
    <t>2026-01-07 20:12</t>
  </si>
  <si>
    <t>REL710825</t>
  </si>
  <si>
    <t>261777225</t>
  </si>
  <si>
    <t>NOMBRE RETIRA: EVEYLN PEREZ A RUT RETIRA: 18237176-9</t>
  </si>
  <si>
    <t>Hector Andres</t>
  </si>
  <si>
    <t>Crispín reyes 309, Casa esquina mediterranea</t>
  </si>
  <si>
    <t>REL710843</t>
  </si>
  <si>
    <t>261853527</t>
  </si>
  <si>
    <t>NOMBRE RETIRA: MARGARITA DELGADO 0 RUT RETIRA: 12837797-2</t>
  </si>
  <si>
    <t>Margarita Delgado</t>
  </si>
  <si>
    <t>Galleguillos Lorca 284, Depto 71</t>
  </si>
  <si>
    <t>2026-01-08 20:13</t>
  </si>
  <si>
    <t>REL710829</t>
  </si>
  <si>
    <t>261777210</t>
  </si>
  <si>
    <t>NOMBRE RETIRA: ESTEBAM ARAMCIBIA H RUT RETIRA: 10720959-K</t>
  </si>
  <si>
    <t>monica araya</t>
  </si>
  <si>
    <t>blanco 1514, oficina/trabajo</t>
  </si>
  <si>
    <t>REL710845</t>
  </si>
  <si>
    <t>261853533</t>
  </si>
  <si>
    <t>NOMBRE RETIRA: GABRIELA Z Z RUT RETIRA: 20174167-K</t>
  </si>
  <si>
    <t>Gabriela Zapata Castillo</t>
  </si>
  <si>
    <t>Frodden 0284, Casa esquina</t>
  </si>
  <si>
    <t>REL710841</t>
  </si>
  <si>
    <t>261853535</t>
  </si>
  <si>
    <t>NOMBRE RETIRA: BRRNARDINO HENRIQUEZ . RUT RETIRA: 6825874-K</t>
  </si>
  <si>
    <t>Camila Soto Sepulveda</t>
  </si>
  <si>
    <t>Rio Loa 227 Villa el Recodo, 227</t>
  </si>
  <si>
    <t>REL710828</t>
  </si>
  <si>
    <t>261777204</t>
  </si>
  <si>
    <t>NOMBRE RETIRA: TAMARA PENA PENA RUT RETIRA: 18374083-0</t>
  </si>
  <si>
    <t>TAMARA PEÑA MUÑOZ</t>
  </si>
  <si>
    <t>AV PARQUE VIÑA SANTA BLANCA 0587, DEPTO 303 TORRE 1</t>
  </si>
  <si>
    <t>REL710840</t>
  </si>
  <si>
    <t>261853554</t>
  </si>
  <si>
    <t>NOMBRE RETIRA: ANGEL OYARZU . RUT RETIRA: 17077087-0</t>
  </si>
  <si>
    <t>Carol Lorena</t>
  </si>
  <si>
    <t>Calle la plaza 220</t>
  </si>
  <si>
    <t>REL710836</t>
  </si>
  <si>
    <t>261777191</t>
  </si>
  <si>
    <t>NOMBRE RETIRA: PAULINA ZUNIGA Z RUT RETIRA: 16159159-9</t>
  </si>
  <si>
    <t>REL710811</t>
  </si>
  <si>
    <t>261679492</t>
  </si>
  <si>
    <t>NOMBRE RETIRA: SEBASTIAM CARBALLO . RUT RETIRA: 10749758-7</t>
  </si>
  <si>
    <t>Aimara Corona</t>
  </si>
  <si>
    <t>Amelia solar marin, 4398</t>
  </si>
  <si>
    <t>REL710765</t>
  </si>
  <si>
    <t>261498428</t>
  </si>
  <si>
    <t>NOMBRE RETIRA: JAIME GODOY . RUT RETIRA: 10693446-0</t>
  </si>
  <si>
    <t>Guillermina Ossio Corrales</t>
  </si>
  <si>
    <t>Esquiña 102, Condominio</t>
  </si>
  <si>
    <t>2026-01-04 20:07</t>
  </si>
  <si>
    <t>REL710798</t>
  </si>
  <si>
    <t>261679554</t>
  </si>
  <si>
    <t>NOMBRE RETIRA: RODRIGO NUNEZ X RUT RETIRA: 12345678-5</t>
  </si>
  <si>
    <t>Rodrigo Nuñez</t>
  </si>
  <si>
    <t>Elias Baraqui 540, Casa</t>
  </si>
  <si>
    <t>2026-01-06 20:30</t>
  </si>
  <si>
    <t>REL710806</t>
  </si>
  <si>
    <t>261679531</t>
  </si>
  <si>
    <t>NOMBRE RETIRA: IGNACIO CATALAN . RUT RETIRA: 17422801-9</t>
  </si>
  <si>
    <t>Ignacio Catalan Donoso</t>
  </si>
  <si>
    <t>Janequeo 1761</t>
  </si>
  <si>
    <t>REL710814</t>
  </si>
  <si>
    <t>261679513</t>
  </si>
  <si>
    <t>NOMBRE RETIRA: DYLAN VERA . RUT RETIRA: 15270956-0</t>
  </si>
  <si>
    <t>Dylan Vera</t>
  </si>
  <si>
    <t>comercio 569, trabajo maicao</t>
  </si>
  <si>
    <t>REL710759</t>
  </si>
  <si>
    <t>261498479</t>
  </si>
  <si>
    <t>NOMBRE RETIRA: CAMILO GUERRERO ROJAS RUT RETIRA: 8807417-3</t>
  </si>
  <si>
    <t>Diego Alonso León Riquelme</t>
  </si>
  <si>
    <t>Linderos 1421, Block 6 depa 42</t>
  </si>
  <si>
    <t>REL710818</t>
  </si>
  <si>
    <t>261679478</t>
  </si>
  <si>
    <t>NOMBRE RETIRA: YOLIMAR HENRIQUEZ . RUT RETIRA: 15530250-K</t>
  </si>
  <si>
    <t>yolimar henriquez</t>
  </si>
  <si>
    <t>Mariquina 1150, 1150 supermercado la familia frente a la Plaza de Escudo</t>
  </si>
  <si>
    <t>REL710801</t>
  </si>
  <si>
    <t>261679580</t>
  </si>
  <si>
    <t>NOMBRE RETIRA: PAMELA BARRERA . RUT RETIRA: 11828380-5</t>
  </si>
  <si>
    <t>PAMELA BARRERA</t>
  </si>
  <si>
    <t>PABLO ORTEGA 1250</t>
  </si>
  <si>
    <t>REL710768</t>
  </si>
  <si>
    <t>261498438</t>
  </si>
  <si>
    <t>NOMBRE RETIRA: MARJORIE WANDERSLEBE TOMAN RUT RETIRA: 21370781-7</t>
  </si>
  <si>
    <t>Marjorie Wandersleben</t>
  </si>
  <si>
    <t>José Guggiana Espoz 4239</t>
  </si>
  <si>
    <t>REL710813</t>
  </si>
  <si>
    <t>261679484</t>
  </si>
  <si>
    <t>NOMBRE RETIRA: CARLOS ROJAA . RUT RETIRA: 12345678-5</t>
  </si>
  <si>
    <t>Miguel Oyarzun</t>
  </si>
  <si>
    <t>Rolando schmauck población Miramar casa blanca reja roja, 22</t>
  </si>
  <si>
    <t>REL710776</t>
  </si>
  <si>
    <t>261589651</t>
  </si>
  <si>
    <t>NOMBRE RETIRA: SANDRA CASTILLO N RUT RETIRA: 10472868-5</t>
  </si>
  <si>
    <t>Natalia Burdiles</t>
  </si>
  <si>
    <t>general yañez 440</t>
  </si>
  <si>
    <t>REL710775</t>
  </si>
  <si>
    <t>261498389</t>
  </si>
  <si>
    <t>NOMBRE RETIRA: JUAN FLORES . RUT RETIRA: 8739204-K</t>
  </si>
  <si>
    <t>Mariana Aredez</t>
  </si>
  <si>
    <t>Heroes de la concepcion 2784, Dpto 53 A</t>
  </si>
  <si>
    <t>REL710734</t>
  </si>
  <si>
    <t>261498590</t>
  </si>
  <si>
    <t>NOMBRE RETIRA: XHIU CHIU . RUT RETIRA: 65127262-9</t>
  </si>
  <si>
    <t>Ivette Tapia Castillo</t>
  </si>
  <si>
    <t>Los exploradores 14136, condominio Chiu Chiu, Casa 34</t>
  </si>
  <si>
    <t>REL710019</t>
  </si>
  <si>
    <t>260192052</t>
  </si>
  <si>
    <t>NOMBRE RETIRA: CHRISTIAN K . RUT RETIRA: 18642909-5</t>
  </si>
  <si>
    <t>Christian Rodríguez Provoste</t>
  </si>
  <si>
    <t>Laguna Margarita 1787, Casa</t>
  </si>
  <si>
    <t>2025-12-17 20:20</t>
  </si>
  <si>
    <t>REL710721</t>
  </si>
  <si>
    <t>261498639</t>
  </si>
  <si>
    <t>NOMBRE RETIRA: YOSELINE LEIVA . RUT RETIRA: 15530250-K</t>
  </si>
  <si>
    <t>Yosseline Leiva</t>
  </si>
  <si>
    <t>Cayumapu km 24 …camino real 03, Casa</t>
  </si>
  <si>
    <t>REL710807</t>
  </si>
  <si>
    <t>261679536</t>
  </si>
  <si>
    <t>NOMBRE RETIRA: ALFREDO HIDALGO H RUT RETIRA: 65200704-K</t>
  </si>
  <si>
    <t>Pamela Briones</t>
  </si>
  <si>
    <t>Calle isla de pascua 317, 2301</t>
  </si>
  <si>
    <t>REL710746</t>
  </si>
  <si>
    <t>261498530</t>
  </si>
  <si>
    <t>NOMBRE RETIRA: ANGELO REMIRES . RUT RETIRA: 17736384-7</t>
  </si>
  <si>
    <t>Alejandra ARAYa proestakis</t>
  </si>
  <si>
    <t>Rapahue 966, Depto 52, edificio mirador , sector coviefi</t>
  </si>
  <si>
    <t>REL710802</t>
  </si>
  <si>
    <t>261679576</t>
  </si>
  <si>
    <t>NOMBRE RETIRA: OSCAR LLEUFUL . RUT RETIRA: 6552202-0</t>
  </si>
  <si>
    <t>Joseline Castro</t>
  </si>
  <si>
    <t>Las enredaderas 1776, Casa</t>
  </si>
  <si>
    <t>REL710708</t>
  </si>
  <si>
    <t>261498686</t>
  </si>
  <si>
    <t>NOMBRE RETIRA: EXEQUIEL OLIVA ... RUT RETIRA: 21525395-3</t>
  </si>
  <si>
    <t>Exequiel Oliva Paredes</t>
  </si>
  <si>
    <t>General Alcerega 582</t>
  </si>
  <si>
    <t>2026-01-01 22:43</t>
  </si>
  <si>
    <t>REL710790</t>
  </si>
  <si>
    <t>261589609</t>
  </si>
  <si>
    <t>NOMBRE RETIRA: JULIO VEGA . RUT RETIRA: 9361724-K</t>
  </si>
  <si>
    <t>Patricio Collao Ocaña</t>
  </si>
  <si>
    <t>Socompa #361, Casa</t>
  </si>
  <si>
    <t>2026-01-06 11:07</t>
  </si>
  <si>
    <t>REL710702</t>
  </si>
  <si>
    <t>261498709</t>
  </si>
  <si>
    <t>NOMBRE RETIRA: OSCAR CABRERA . RUT RETIRA: 56052750-0</t>
  </si>
  <si>
    <t>Dominique Muñoz</t>
  </si>
  <si>
    <t>Isla Picton, Dpto 208</t>
  </si>
  <si>
    <t>REL710744</t>
  </si>
  <si>
    <t>261498581</t>
  </si>
  <si>
    <t>NOMBRE RETIRA: ANTONIA ULLOA . RUT RETIRA: 12345678-5</t>
  </si>
  <si>
    <t>Antonia Ulloa</t>
  </si>
  <si>
    <t>Cormoran, Quilpue, 2443</t>
  </si>
  <si>
    <t>REL710762</t>
  </si>
  <si>
    <t>261498435</t>
  </si>
  <si>
    <t>NOMBRE RETIRA: LUSINA ARAYA A RUT RETIRA: 53130190-0</t>
  </si>
  <si>
    <t>Valentina Navarrete Reyes</t>
  </si>
  <si>
    <t>Av. Gaston Hamel Nieto 579, depto 402A</t>
  </si>
  <si>
    <t>REL710749</t>
  </si>
  <si>
    <t>261498552</t>
  </si>
  <si>
    <t>NOMBRE RETIRA: CRISTIAN LUENGO C RUT RETIRA: 21751914-4</t>
  </si>
  <si>
    <t>cristian luengo</t>
  </si>
  <si>
    <t>Avenida El Palomar 2506, 2506</t>
  </si>
  <si>
    <t>REL710783</t>
  </si>
  <si>
    <t>261589639</t>
  </si>
  <si>
    <t>NOMBRE RETIRA: GERARDO RAVANAL . RUT RETIRA: 8655013-K</t>
  </si>
  <si>
    <t>Christian Caamaño</t>
  </si>
  <si>
    <t>El Peumo 453, Condominio Lago Llanquihue, Casa 18</t>
  </si>
  <si>
    <t>REL710699</t>
  </si>
  <si>
    <t>261498713</t>
  </si>
  <si>
    <t>Susana Quintana gutierrez</t>
  </si>
  <si>
    <t>Patricio lynch, 1367</t>
  </si>
  <si>
    <t>REL710786</t>
  </si>
  <si>
    <t>261589615</t>
  </si>
  <si>
    <t>NOMBRE RETIRA: ORIANA SANTANA P RUT RETIRA: 8940591-2</t>
  </si>
  <si>
    <t>Diana Macarena Sánchez Santana</t>
  </si>
  <si>
    <t>Volcán Lonquimay, 2380</t>
  </si>
  <si>
    <t>REL710748</t>
  </si>
  <si>
    <t>261498489</t>
  </si>
  <si>
    <t>NOMBRE RETIRA: RODRIGO . . RUT RETIRA: 13453998-4</t>
  </si>
  <si>
    <t>Sergio Carrasco Anabalón</t>
  </si>
  <si>
    <t>Cerro Caracol 981, Casa 47 condominio vista monte</t>
  </si>
  <si>
    <t>REL710720</t>
  </si>
  <si>
    <t>261498642</t>
  </si>
  <si>
    <t>NOMBRE RETIRA: NANCY EAPINOZA E RUT RETIRA: 18832876-8</t>
  </si>
  <si>
    <t>Nancy Espinoza</t>
  </si>
  <si>
    <t>Andres Bello Villa Emmanuel, 1592</t>
  </si>
  <si>
    <t>REL710709</t>
  </si>
  <si>
    <t>261498675</t>
  </si>
  <si>
    <t>NOMBRE RETIRA: MARCELA CERDA M RUT RETIRA: 9850457-5</t>
  </si>
  <si>
    <t>Marcela Cerda yañez</t>
  </si>
  <si>
    <t>Bellavista 1255, Cerro Recreo. Entre Baquedano y calle Nueve</t>
  </si>
  <si>
    <t>REL710697</t>
  </si>
  <si>
    <t>261498694</t>
  </si>
  <si>
    <t>NOMBRE RETIRA: LORENA VALENCIA A RUT RETIRA: 9344417-5</t>
  </si>
  <si>
    <t>Lorena Valencia Valencia Tichauer</t>
  </si>
  <si>
    <t>Galleguillos 1261</t>
  </si>
  <si>
    <t>REL710772</t>
  </si>
  <si>
    <t>261498385</t>
  </si>
  <si>
    <t>NOMBRE RETIRA: ADRIAN CASTILLO . RUT RETIRA: 5381279-1</t>
  </si>
  <si>
    <t>Los Lirios 430, Sindempart</t>
  </si>
  <si>
    <t>REL710796</t>
  </si>
  <si>
    <t>261589583</t>
  </si>
  <si>
    <t>NOMBRE RETIRA: RAFAELLA RIOS A RUT RETIRA: 16500398-5</t>
  </si>
  <si>
    <t>Rafaela Rios</t>
  </si>
  <si>
    <t>Pedro Aguirre cerda 969 quilpue</t>
  </si>
  <si>
    <t>REL710753</t>
  </si>
  <si>
    <t>261498504</t>
  </si>
  <si>
    <t>NOMBRE RETIRA: LEO MEN DEZ . RUT RETIRA: 15591943-4</t>
  </si>
  <si>
    <t>Rocio Fernandez</t>
  </si>
  <si>
    <t>AVENIDA NAHUELBUTA 1775-RILA, 62</t>
  </si>
  <si>
    <t>REL710732</t>
  </si>
  <si>
    <t>261498619</t>
  </si>
  <si>
    <t>NOMBRE RETIRA: LORENA LAGOS P RUT RETIRA: 12934363-K</t>
  </si>
  <si>
    <t>Fernanda Lagos Biewer Lagos</t>
  </si>
  <si>
    <t>Biewer, Jardines del mar, pasaje, 1000</t>
  </si>
  <si>
    <t>2026-01-03 11:08</t>
  </si>
  <si>
    <t>REL710771</t>
  </si>
  <si>
    <t>261498397</t>
  </si>
  <si>
    <t>NOMBRE RETIRA: ENRIQUE VALAGUERA 0 RUT RETIRA: 28600497-0</t>
  </si>
  <si>
    <t>Av chacabuco 882, Depto 702</t>
  </si>
  <si>
    <t>REL710769</t>
  </si>
  <si>
    <t>261498421</t>
  </si>
  <si>
    <t>NOMBRE RETIRA: JONATHAN DOMINGUEZ . RUT RETIRA: 20149325-0</t>
  </si>
  <si>
    <t>Jonathan Dominguez</t>
  </si>
  <si>
    <t>Calle Louta, Lota green, Torre 1 A</t>
  </si>
  <si>
    <t>REL710728</t>
  </si>
  <si>
    <t>261498626</t>
  </si>
  <si>
    <t>NOMBRE RETIRA: RENE LEPE M RUT RETIRA: 10121595-4</t>
  </si>
  <si>
    <t>Matias Lepe</t>
  </si>
  <si>
    <t>Regidor fernando lazo 317, Casa esquina</t>
  </si>
  <si>
    <t>REL710711</t>
  </si>
  <si>
    <t>261498672</t>
  </si>
  <si>
    <t>NOMBRE RETIRA: CAMILA CASTRO H RUT RETIRA: 18228497-1</t>
  </si>
  <si>
    <t>Virginia Ferrada</t>
  </si>
  <si>
    <t>18 oriente 2 y 3 norte 2513, Veterinaria azul costado Gimnasio Regional</t>
  </si>
  <si>
    <t>REL710781</t>
  </si>
  <si>
    <t>261589635</t>
  </si>
  <si>
    <t>NOMBRE RETIRA: RAMON PINO . RUT RETIRA: 13224011-6</t>
  </si>
  <si>
    <t>Patricia Muñoz Echeverria</t>
  </si>
  <si>
    <t>Gómez Carreño 333</t>
  </si>
  <si>
    <t>REL710727</t>
  </si>
  <si>
    <t>261498611</t>
  </si>
  <si>
    <t>NOMBRE RETIRA: PAZ GOMEZ .. RUT RETIRA: 16023486-5</t>
  </si>
  <si>
    <t>Paz Gomez</t>
  </si>
  <si>
    <t>Manuel Montt 625B, Farmacia La Botica</t>
  </si>
  <si>
    <t>REL710712</t>
  </si>
  <si>
    <t>261498654</t>
  </si>
  <si>
    <t>NOMBRE RETIRA: FLOR VALDEZ . RUT RETIRA: 22154642-3</t>
  </si>
  <si>
    <t>Flor Valdes zepeda</t>
  </si>
  <si>
    <t>Las Orquideas 5330, Casa 4</t>
  </si>
  <si>
    <t>REL710758</t>
  </si>
  <si>
    <t>261498465</t>
  </si>
  <si>
    <t>NOMBRE RETIRA: JOSE CAMPOS . RUT RETIRA: 56062150-7</t>
  </si>
  <si>
    <t>Sol y Mar 155, Depto 41-D</t>
  </si>
  <si>
    <t>REL710782</t>
  </si>
  <si>
    <t>261589643</t>
  </si>
  <si>
    <t>NOMBRE RETIRA: MARIA MUNOZ . RUT RETIRA: 9116072-2</t>
  </si>
  <si>
    <t>maricel pradenas  opazo</t>
  </si>
  <si>
    <t>Diagonal Oriente 2036</t>
  </si>
  <si>
    <t>REL710739</t>
  </si>
  <si>
    <t>261498565</t>
  </si>
  <si>
    <t>NOMBRE RETIRA: ANA MARIA ACHARDI . RUT RETIRA: 8805801-1</t>
  </si>
  <si>
    <t>ANA MARIA ACHIARDI ECHEVERRIA</t>
  </si>
  <si>
    <t>Casa Esquina Amarilla, Cumming 498</t>
  </si>
  <si>
    <t>REL710757</t>
  </si>
  <si>
    <t>261498485</t>
  </si>
  <si>
    <t>NOMBRE RETIRA: SONIA PLACENCIA JN RUT RETIRA: 16033388-K</t>
  </si>
  <si>
    <t>Karla Arteaga</t>
  </si>
  <si>
    <t>Las rosas 488, Dpto 52 torre 4</t>
  </si>
  <si>
    <t>REL710719</t>
  </si>
  <si>
    <t>261498649</t>
  </si>
  <si>
    <t>NOMBRE RETIRA: SOLEDAD GONZALEZ N RUT RETIRA: 12318457-2</t>
  </si>
  <si>
    <t>David Lepeley naranjo</t>
  </si>
  <si>
    <t>Av torreones oeste 1953 lomas de bellavista concepcion, Departamento D 401</t>
  </si>
  <si>
    <t>REL710750</t>
  </si>
  <si>
    <t>261498538</t>
  </si>
  <si>
    <t>NOMBRE RETIRA: PRISCILLA VALENZUELA . RUT RETIRA: 18798859-4</t>
  </si>
  <si>
    <t>Priscila Valenzuela torred</t>
  </si>
  <si>
    <t>Chile sur 10</t>
  </si>
  <si>
    <t>REL710725</t>
  </si>
  <si>
    <t>261498635</t>
  </si>
  <si>
    <t>NOMBRE RETIRA: MARIA SALGADO . RUT RETIRA: 19486867-7</t>
  </si>
  <si>
    <t>María Salgado Alfaro</t>
  </si>
  <si>
    <t>Calle A La Virgen 910, Calle A La Virgen 910</t>
  </si>
  <si>
    <t>REL710554</t>
  </si>
  <si>
    <t>260896462</t>
  </si>
  <si>
    <t>NOMBRE RETIRA: JAVIERA ANGEL . RUT RETIRA: 21731703-7</t>
  </si>
  <si>
    <t>Carolina Marcela Yañez Andrade</t>
  </si>
  <si>
    <t>santiago arata 4351, block M dpto 41</t>
  </si>
  <si>
    <t>REL710579</t>
  </si>
  <si>
    <t>260896378</t>
  </si>
  <si>
    <t>NOMBRE RETIRA: BETSY SABALA E RUT RETIRA: 11814653-0</t>
  </si>
  <si>
    <t>Sofía Bu-autun</t>
  </si>
  <si>
    <t>Azolas 910, Resonador</t>
  </si>
  <si>
    <t>REL710652</t>
  </si>
  <si>
    <t>261167569</t>
  </si>
  <si>
    <t>NOMBRE RETIRA: MARIA LORCA . RUT RETIRA: 10773359-0</t>
  </si>
  <si>
    <t>María soledad Lorca sau</t>
  </si>
  <si>
    <t>Ramirez, 348</t>
  </si>
  <si>
    <t>REL710439</t>
  </si>
  <si>
    <t>260610034</t>
  </si>
  <si>
    <t>NOMBRE RETIRA: ELIAS PILDORA . RUT RETIRA: 6400825-0</t>
  </si>
  <si>
    <t>Marcela Espíndola</t>
  </si>
  <si>
    <t>Juan trabuco 3668</t>
  </si>
  <si>
    <t>REL710662</t>
  </si>
  <si>
    <t>261167517</t>
  </si>
  <si>
    <t>NOMBRE RETIRA: FRANCISCA MUNOZ .. RUT RETIRA: 16589111-2</t>
  </si>
  <si>
    <t>Francisca Muñoz Aladro</t>
  </si>
  <si>
    <t>Las heras 361</t>
  </si>
  <si>
    <t>2025-12-30 11:10</t>
  </si>
  <si>
    <t>REL710691</t>
  </si>
  <si>
    <t>261319948</t>
  </si>
  <si>
    <t>NOMBRE RETIRA: ROSA VARGAS . RUT RETIRA: 28836684-5</t>
  </si>
  <si>
    <t>María  Francisca Flores Letelier</t>
  </si>
  <si>
    <t>Avenida Las Palmeras 6, 6, 6, 6</t>
  </si>
  <si>
    <t>REL710587</t>
  </si>
  <si>
    <t>260896324</t>
  </si>
  <si>
    <t>NOMBRE RETIRA: RODOLFO HERRERA . RUT RETIRA: 17736184-4</t>
  </si>
  <si>
    <t>Rodolfo Herrera Letelier</t>
  </si>
  <si>
    <t>Galvarino 1272</t>
  </si>
  <si>
    <t>REL710666</t>
  </si>
  <si>
    <t>261167510</t>
  </si>
  <si>
    <t>NOMBRE RETIRA: PEDRO PENA PENA RUT RETIRA: 13015733-5</t>
  </si>
  <si>
    <t>Emilia Valencia Zamora</t>
  </si>
  <si>
    <t>Carvallo 364, Oficina contabilidad</t>
  </si>
  <si>
    <t>REL710681</t>
  </si>
  <si>
    <t>261319998</t>
  </si>
  <si>
    <t>NOMBRE RETIRA: JOHAN KIM, , RUT RETIRA: 24000988-9</t>
  </si>
  <si>
    <t>Helena Pinto</t>
  </si>
  <si>
    <t>Rogelio salcedo 547 bellavista holanda, Casa ploma porton grande</t>
  </si>
  <si>
    <t>REL710651</t>
  </si>
  <si>
    <t>261167564</t>
  </si>
  <si>
    <t>NOMBRE RETIRA: PEDRO SOLAR . RUT RETIRA: 7359492-8</t>
  </si>
  <si>
    <t>Gonzalo Orellana</t>
  </si>
  <si>
    <t>Pasaje 37, 390</t>
  </si>
  <si>
    <t>REL79843</t>
  </si>
  <si>
    <t>259995795</t>
  </si>
  <si>
    <t>NOMBRE RETIRA: CARMEN VELAZQUE . RUT RETIRA: 20180661-5</t>
  </si>
  <si>
    <t>Esteban Fernández hermosilla</t>
  </si>
  <si>
    <t>Ejercito 567</t>
  </si>
  <si>
    <t>2025-12-15 20:16</t>
  </si>
  <si>
    <t>REL710659</t>
  </si>
  <si>
    <t>261167543</t>
  </si>
  <si>
    <t>NOMBRE RETIRA: ANA ALIAGA RIVEROS RUT RETIRA: 6697332-8</t>
  </si>
  <si>
    <t>Ana Aliaga Riveros</t>
  </si>
  <si>
    <t>Pasaje Requegua 1853. Villa Tagua Tagua, Casa amarilla sin numero</t>
  </si>
  <si>
    <t>REL710670</t>
  </si>
  <si>
    <t>261319992</t>
  </si>
  <si>
    <t>NOMBRE RETIRA: LAURA OLIVOS OLIVOS RUT RETIRA: 10812662-0</t>
  </si>
  <si>
    <t>Melhem Zeran</t>
  </si>
  <si>
    <t>Alcazar 561, Oficina</t>
  </si>
  <si>
    <t>2025-12-30 20:15</t>
  </si>
  <si>
    <t>REL710034</t>
  </si>
  <si>
    <t>260191906</t>
  </si>
  <si>
    <t>NOMBRE RETIRA: VANESSA RUIZ . RUT RETIRA: 16444867-3</t>
  </si>
  <si>
    <t>Vannessa Ruiz</t>
  </si>
  <si>
    <t>Lautaro Navarro, 1139</t>
  </si>
  <si>
    <t>REL710573</t>
  </si>
  <si>
    <t>260896395</t>
  </si>
  <si>
    <t>NOMBRE RETIRA: MARCOS . . RUT RETIRA: 18820565-8</t>
  </si>
  <si>
    <t>Marcos Romero</t>
  </si>
  <si>
    <t>Balmaceda 568, Fresia</t>
  </si>
  <si>
    <t>REL710692</t>
  </si>
  <si>
    <t>261319958</t>
  </si>
  <si>
    <t>NOMBRE RETIRA: MARIA JOSE ORRLLANA RUT RETIRA: 18437760-8</t>
  </si>
  <si>
    <t>Maria Jose Orellana Barra</t>
  </si>
  <si>
    <t>Santa Cruz 07</t>
  </si>
  <si>
    <t>REL710547</t>
  </si>
  <si>
    <t>260896470</t>
  </si>
  <si>
    <t>NOMBRE RETIRA: LUCY VEAS A RUT RETIRA: 8083868-9</t>
  </si>
  <si>
    <t>Angelo Serey</t>
  </si>
  <si>
    <t>Elenas, 1677</t>
  </si>
  <si>
    <t>REL710610</t>
  </si>
  <si>
    <t>261061406</t>
  </si>
  <si>
    <t>NOMBRE RETIRA: JUAN ROTTA . RUT RETIRA: 12345678-5</t>
  </si>
  <si>
    <t>Juan Jeria rotta</t>
  </si>
  <si>
    <t>El yodo 8170, Departamento 164</t>
  </si>
  <si>
    <t>2025-12-26 20:04</t>
  </si>
  <si>
    <t>REL710686</t>
  </si>
  <si>
    <t>261319969</t>
  </si>
  <si>
    <t>NOMBRE RETIRA: DIEGO TAMBLAI . RUT RETIRA: 18010787-8</t>
  </si>
  <si>
    <t>Diego Tamblay</t>
  </si>
  <si>
    <t>María Inés Corral Garrido 835 el portal, Casa</t>
  </si>
  <si>
    <t>REL710608</t>
  </si>
  <si>
    <t>261061434</t>
  </si>
  <si>
    <t>NOMBRE RETIRA: XIMENA SANDOVAL . RUT RETIRA: 9646618-8</t>
  </si>
  <si>
    <t>Johny Espinoza Bacian</t>
  </si>
  <si>
    <t>Sendero del sol 585, Condominio Plaza Norte lll - Dpto C-42</t>
  </si>
  <si>
    <t>REL710689</t>
  </si>
  <si>
    <t>261319964</t>
  </si>
  <si>
    <t>NOMBRE RETIRA: NATAKIA VILLALOBOS .. RUT RETIRA: 18868550-1</t>
  </si>
  <si>
    <t>Natalia Villalobos Díaz</t>
  </si>
  <si>
    <t>Juan Pablo I 1125</t>
  </si>
  <si>
    <t>REL710690</t>
  </si>
  <si>
    <t>261319951</t>
  </si>
  <si>
    <t>Jorge Vidal Larrondo</t>
  </si>
  <si>
    <t>RUTA 210 KM 4, TRANSPORTES BETANCOURT KM 4, Apt. BETA KART</t>
  </si>
  <si>
    <t>REL710668</t>
  </si>
  <si>
    <t>261319989</t>
  </si>
  <si>
    <t>NOMBRE RETIRA: HECTOR GONZALEZ . RUT RETIRA: 17047930-0</t>
  </si>
  <si>
    <t>Héctor Antonio Gonzalez Miranda</t>
  </si>
  <si>
    <t>Av. Circunvalacion Sur 4880 Dpto 408A, Condominio Errazuriz Sur I</t>
  </si>
  <si>
    <t>REL710671</t>
  </si>
  <si>
    <t>261319985</t>
  </si>
  <si>
    <t>NOMBRE RETIRA: SAIDA CABEZAS . RUT RETIRA: 5663464-9</t>
  </si>
  <si>
    <t>Felipe Rifo Cabezas</t>
  </si>
  <si>
    <t>Avenida Brasil 1191, Casa de dos pisos</t>
  </si>
  <si>
    <t>REL710654</t>
  </si>
  <si>
    <t>261167556</t>
  </si>
  <si>
    <t>NOMBRE RETIRA: FELIPE ORTIZ . RUT RETIRA: 18267669-1</t>
  </si>
  <si>
    <t>Felipe Ortiz Muñoz</t>
  </si>
  <si>
    <t>Joaquin del Pino Rozas y Negrete 321, casa</t>
  </si>
  <si>
    <t>2025-12-29 20:14</t>
  </si>
  <si>
    <t>REL710501</t>
  </si>
  <si>
    <t>260896530</t>
  </si>
  <si>
    <t>NOMBRE RETIRA: PAULINA TAPIA A RUT RETIRA: 15098949-3</t>
  </si>
  <si>
    <t>2025-12-23 11:13</t>
  </si>
  <si>
    <t>REL710625</t>
  </si>
  <si>
    <t>261061358</t>
  </si>
  <si>
    <t>NOMBRE RETIRA: JUAN FRE . RUT RETIRA: 7302016-6</t>
  </si>
  <si>
    <t>Francisco Fres</t>
  </si>
  <si>
    <t>Pasaje playa el saladero #3581, Casa, sector sur de Iquique, población los Puquios 1</t>
  </si>
  <si>
    <t>2025-12-28 20:25</t>
  </si>
  <si>
    <t>REL710558</t>
  </si>
  <si>
    <t>260896456</t>
  </si>
  <si>
    <t>NOMBRE RETIRA: IVAN IBAZETQ . RUT RETIRA: 12345678-5</t>
  </si>
  <si>
    <t>Francisco Bilbao 85, Condominio Vista Reloncaví, Depto 211A</t>
  </si>
  <si>
    <t>REL710609</t>
  </si>
  <si>
    <t>261061408</t>
  </si>
  <si>
    <t>NOMBRE RETIRA: KATHERIN VALENZUELA . RUT RETIRA: 76669508-6</t>
  </si>
  <si>
    <t>Katherin Valenzuela Carrilo</t>
  </si>
  <si>
    <t>Vil Las Araucarias, Calle Los CastaÑos 790</t>
  </si>
  <si>
    <t>REL710550</t>
  </si>
  <si>
    <t>260896464</t>
  </si>
  <si>
    <t>NOMBRE RETIRA: CESAR CATALDO . RUT RETIRA: 5252433-4</t>
  </si>
  <si>
    <t>Cesar Cataldo Madariaga</t>
  </si>
  <si>
    <t>Las Margaritas 5049, Los Cóndores, Casa</t>
  </si>
  <si>
    <t>REL710344</t>
  </si>
  <si>
    <t>260610156</t>
  </si>
  <si>
    <t>Bastian Andres Espinoza Rojas</t>
  </si>
  <si>
    <t>Av tadeo Haenke 2221, dpto 232 torre A</t>
  </si>
  <si>
    <t>2025-12-21 20:53</t>
  </si>
  <si>
    <t>REL710200</t>
  </si>
  <si>
    <t>260309226</t>
  </si>
  <si>
    <t>NOMBRE RETIRA: BRIGIDA CARDENAS . RUT RETIRA: 8260275-5</t>
  </si>
  <si>
    <t>Brigida Cardenas</t>
  </si>
  <si>
    <t>Av baquedano, 1245</t>
  </si>
  <si>
    <t>REL710620</t>
  </si>
  <si>
    <t>261061374</t>
  </si>
  <si>
    <t>NOMBRE RETIRA: VERONICA RIOS . RUT RETIRA: 13990861-9</t>
  </si>
  <si>
    <t>Veronica Rios Sallorenzo</t>
  </si>
  <si>
    <t>9 norte 4470, Viñedos del valle</t>
  </si>
  <si>
    <t>REL710644</t>
  </si>
  <si>
    <t>261061290</t>
  </si>
  <si>
    <t>NOMBRE RETIRA: DIEGO CARRENO . RUT RETIRA: 15270956-0</t>
  </si>
  <si>
    <t>Diego Carreño Gomez</t>
  </si>
  <si>
    <t>Santiago 411</t>
  </si>
  <si>
    <t>REL710643</t>
  </si>
  <si>
    <t>261061269</t>
  </si>
  <si>
    <t>NOMBRE RETIRA: MARCIA VILLAROEL . RUT RETIRA: 10036972-9</t>
  </si>
  <si>
    <t>Piero Lobos</t>
  </si>
  <si>
    <t>Las zampoñas 2352</t>
  </si>
  <si>
    <t>REL710419</t>
  </si>
  <si>
    <t>260610052</t>
  </si>
  <si>
    <t>NOMBRE RETIRA: CATALINA HIDALGO . RUT RETIRA: 17011624-0</t>
  </si>
  <si>
    <t>Vicente Zablach Zablach</t>
  </si>
  <si>
    <t>18 de septiembre 780, Casa</t>
  </si>
  <si>
    <t>REL710639</t>
  </si>
  <si>
    <t>261061320</t>
  </si>
  <si>
    <t>NOMBRE RETIRA: RODRIGO ANDRES . RUT RETIRA: 65209655-7</t>
  </si>
  <si>
    <t>Rodrigo Andrés Candia Torres</t>
  </si>
  <si>
    <t>Margot Duhalde Sotomayor 4535</t>
  </si>
  <si>
    <t>REL710624</t>
  </si>
  <si>
    <t>261061383</t>
  </si>
  <si>
    <t>NOMBRE RETIRA: FABIOLA BRITO . RUT RETIRA: 16947088-K</t>
  </si>
  <si>
    <t>Fabiola Brito</t>
  </si>
  <si>
    <t>calle camino del tranque 1939, Casa</t>
  </si>
  <si>
    <t>REL710361</t>
  </si>
  <si>
    <t>9422086752</t>
  </si>
  <si>
    <t>Yeimy Saavedra</t>
  </si>
  <si>
    <t>coquimbito 100, huertos familiares, Tiltil, Obra en construccion</t>
  </si>
  <si>
    <t>REL710246</t>
  </si>
  <si>
    <t>9421834446</t>
  </si>
  <si>
    <t>Gonzalo Troncoso</t>
  </si>
  <si>
    <t>Camino a monte grande sn sector loreto COLTAUCO, Centro de eventos Tradiciones Coltauco</t>
  </si>
  <si>
    <t>2025-12-19 19:50</t>
  </si>
  <si>
    <t>REL710261</t>
  </si>
  <si>
    <t>260610251</t>
  </si>
  <si>
    <t>NOMBRE RETIRA: PALOMA SNATANA . RUT RETIRA: 16200312-7</t>
  </si>
  <si>
    <t>Paloma Santana Chinchon</t>
  </si>
  <si>
    <t>General VelÁsquez 1775</t>
  </si>
  <si>
    <t>2025-12-19 19:51</t>
  </si>
  <si>
    <t>REL710601</t>
  </si>
  <si>
    <t>260896242</t>
  </si>
  <si>
    <t>NOMBRE RETIRA: JOSE AGUAYO . RUT RETIRA: 10550999-5</t>
  </si>
  <si>
    <t>Julieth Valenzuela</t>
  </si>
  <si>
    <t>Cerro Posada 1737, Lomas de Oriente</t>
  </si>
  <si>
    <t>REL710580</t>
  </si>
  <si>
    <t>260896399</t>
  </si>
  <si>
    <t>NOMBRE RETIRA: SORAYA DIAZ . RUT RETIRA: 10988450-2</t>
  </si>
  <si>
    <t>Soraya Diaz Cabrera</t>
  </si>
  <si>
    <t>Parinacota 2492</t>
  </si>
  <si>
    <t>REL710638</t>
  </si>
  <si>
    <t>261061308</t>
  </si>
  <si>
    <t>NOMBRE RETIRA: FRANCISCO AVENDANO AVENDANO RUT RETIRA: 53334692-8</t>
  </si>
  <si>
    <t>Manuel Zenteno</t>
  </si>
  <si>
    <t>Las Heras 1550, 1802</t>
  </si>
  <si>
    <t>REL710597</t>
  </si>
  <si>
    <t>260896250</t>
  </si>
  <si>
    <t>NOMBRE RETIRA: EDIZON MALDONADO . RUT RETIRA: 21613923-2</t>
  </si>
  <si>
    <t>Edizon Maldonado</t>
  </si>
  <si>
    <t>Cerro Hurón 1839 Alerce, Casa</t>
  </si>
  <si>
    <t>REL79830</t>
  </si>
  <si>
    <t>259995881</t>
  </si>
  <si>
    <t>NOMBRE RETIRA: FERNANDO BORQUEZ . RUT RETIRA: 17856019-0</t>
  </si>
  <si>
    <t>Fernando Borquez Foitzick</t>
  </si>
  <si>
    <t>Errazuriz 1030</t>
  </si>
  <si>
    <t>REL710329</t>
  </si>
  <si>
    <t>260610174</t>
  </si>
  <si>
    <t>NOMBRE RETIRA: FABIOLA PARDO GARCIA RUT RETIRA: 10118566-4</t>
  </si>
  <si>
    <t>Fabiola Pardo garcia</t>
  </si>
  <si>
    <t>Villa ñanku, parcela 15 ñancul SN, Casa</t>
  </si>
  <si>
    <t>2025-12-21 20:52</t>
  </si>
  <si>
    <t>REL710582</t>
  </si>
  <si>
    <t>260896348</t>
  </si>
  <si>
    <t>NOMBRE RETIRA: PATRICH VELOSO . RUT RETIRA: 17573719-7</t>
  </si>
  <si>
    <t>Patrich Veloso</t>
  </si>
  <si>
    <t>Senda peatonal 1, 625</t>
  </si>
  <si>
    <t>REL710336</t>
  </si>
  <si>
    <t>260610163</t>
  </si>
  <si>
    <t>NOMBRE RETIRA: HECTOR FLORES X RUT RETIRA: 9068725-5</t>
  </si>
  <si>
    <t>Hector Flores</t>
  </si>
  <si>
    <t>Juan Pablo II 625</t>
  </si>
  <si>
    <t>REL710386</t>
  </si>
  <si>
    <t>260610099</t>
  </si>
  <si>
    <t>NOMBRE RETIRA: OROSCO . . RUT RETIRA: 26976778-2</t>
  </si>
  <si>
    <t>Sebastian Ugas</t>
  </si>
  <si>
    <t>Los conquistadores 13825, Depto 33c</t>
  </si>
  <si>
    <t>REL710309</t>
  </si>
  <si>
    <t>260610198</t>
  </si>
  <si>
    <t>NOMBRE RETIRA: ABA OEREZ . RUT RETIRA: 20099379-9</t>
  </si>
  <si>
    <t>S.S. Juan Pablo Vl. 2220 La Cantera, Casa</t>
  </si>
  <si>
    <t>2025-12-20 11:14</t>
  </si>
  <si>
    <t>REL710385</t>
  </si>
  <si>
    <t>260610107</t>
  </si>
  <si>
    <t>NOMBRE RETIRA: JORGE CIESA 0 RUT RETIRA: 28887136-1</t>
  </si>
  <si>
    <t>Jorge Rodríguez</t>
  </si>
  <si>
    <t>Avenida República de Croacia 022 depto 22, Entre Rebeca Matte y Zapallar al lado del pub Nomade</t>
  </si>
  <si>
    <t>REL710512</t>
  </si>
  <si>
    <t>260896523</t>
  </si>
  <si>
    <t>NOMBRE RETIRA: DIEGO MARTINEZ . RUT RETIRA: 16990441-3</t>
  </si>
  <si>
    <t>Diego Martinez contreras</t>
  </si>
  <si>
    <t>Cristoforo colombo, 231</t>
  </si>
  <si>
    <t>REL710605</t>
  </si>
  <si>
    <t>260896234</t>
  </si>
  <si>
    <t>NOMBRE RETIRA: JOSE SAAVEDRA CONSERJE RUT RETIRA: 17625970-1</t>
  </si>
  <si>
    <t>Sixto Cortes Alcayaga 2560, 206A</t>
  </si>
  <si>
    <t>REL710574</t>
  </si>
  <si>
    <t>260896386</t>
  </si>
  <si>
    <t>NOMBRE RETIRA: JUAN PEREZ NN RUT RETIRA: 9355112-5</t>
  </si>
  <si>
    <t>Sebastian Saldivia</t>
  </si>
  <si>
    <t>Los sauces cancura, S/n</t>
  </si>
  <si>
    <t>REL710241</t>
  </si>
  <si>
    <t>260610309</t>
  </si>
  <si>
    <t>NOMBRE RETIRA: RICARDA COLQUE . RUT RETIRA: 28360217-6</t>
  </si>
  <si>
    <t>Niza Godoy</t>
  </si>
  <si>
    <t>Avenida La Paz 1615, Casa 16</t>
  </si>
  <si>
    <t>REL710514</t>
  </si>
  <si>
    <t>260896538</t>
  </si>
  <si>
    <t>NOMBRE RETIRA: CRISTIAM REYEA . RUT RETIRA: 7213470-2</t>
  </si>
  <si>
    <t>Cristian Reyes leyton</t>
  </si>
  <si>
    <t>san Martín 2761, Casa</t>
  </si>
  <si>
    <t>REL710559</t>
  </si>
  <si>
    <t>260896442</t>
  </si>
  <si>
    <t>NOMBRE RETIRA: VALENTINA YEVENES . RUT RETIRA: 20088616-K</t>
  </si>
  <si>
    <t>Valentina Yévenes Urrutia</t>
  </si>
  <si>
    <t>Villa el horizonte marino Arsenio Canabes 2218</t>
  </si>
  <si>
    <t>2025-12-23 21:14</t>
  </si>
  <si>
    <t>REL710325</t>
  </si>
  <si>
    <t>260610183</t>
  </si>
  <si>
    <t>NOMBRE RETIRA: JOSE SALINAS . RUT RETIRA: 12345678-5</t>
  </si>
  <si>
    <t>Gabriela Morales Briones</t>
  </si>
  <si>
    <t>Eleuterio Ramírez 1701, Depto 702</t>
  </si>
  <si>
    <t>REL710636</t>
  </si>
  <si>
    <t>261061326</t>
  </si>
  <si>
    <t>NOMBRE RETIRA: FRANCISCA YANEZ H RUT RETIRA: 19249272-6</t>
  </si>
  <si>
    <t>Jennifer Lillo</t>
  </si>
  <si>
    <t>Inés de Suárez los tulipanes 272</t>
  </si>
  <si>
    <t>REL710440</t>
  </si>
  <si>
    <t>260610032</t>
  </si>
  <si>
    <t>NOMBRE RETIRA: HECTOR CARRASCO X RUT RETIRA: 10863147-3</t>
  </si>
  <si>
    <t>Macarena Campos Sánchez</t>
  </si>
  <si>
    <t>Prat 690, 204</t>
  </si>
  <si>
    <t>REL710250</t>
  </si>
  <si>
    <t>260610301</t>
  </si>
  <si>
    <t>NOMBRE RETIRA: CARLOS VILLAGRAN . RUT RETIRA: 5486042-0</t>
  </si>
  <si>
    <t>Carlos Villagran</t>
  </si>
  <si>
    <t>Los danzantes 2912, Población las dunas 1 Bloc j 3 dpto.104</t>
  </si>
  <si>
    <t>REL710590</t>
  </si>
  <si>
    <t>260896271</t>
  </si>
  <si>
    <t>NOMBRE RETIRA: GABRIEL ABARCA A RUT RETIRA: 12470723-4</t>
  </si>
  <si>
    <t>Gabriel Abarca Saavedra</t>
  </si>
  <si>
    <t>Fortunato venegas 160, Casa</t>
  </si>
  <si>
    <t>REL710586</t>
  </si>
  <si>
    <t>260896289</t>
  </si>
  <si>
    <t>NOMBRE RETIRA: KARINA OYANEDEL . RUT RETIRA: 17140849-0</t>
  </si>
  <si>
    <t>Karina Oyanedel Vargas</t>
  </si>
  <si>
    <t>Sendero Los Eucaliptos 2109 casa 21 Placilla, Casa</t>
  </si>
  <si>
    <t>REL710576</t>
  </si>
  <si>
    <t>260896390</t>
  </si>
  <si>
    <t>NOMBRE RETIRA: MOISES MILLALAF 0 RUT RETIRA: 18068872-2</t>
  </si>
  <si>
    <t>Nicolas Casanova</t>
  </si>
  <si>
    <t>Colo colo 252, depto 1106</t>
  </si>
  <si>
    <t>REL710326</t>
  </si>
  <si>
    <t>260610177</t>
  </si>
  <si>
    <t>NOMBRE RETIRA: JHOHANA MUNOZ . RUT RETIRA: 10772818-K</t>
  </si>
  <si>
    <t>Matías Cabrera Vallejos</t>
  </si>
  <si>
    <t>Laguna Kalina 1473, F-5</t>
  </si>
  <si>
    <t>REL710301</t>
  </si>
  <si>
    <t>260610225</t>
  </si>
  <si>
    <t>NOMBRE RETIRA: KASANDRA OLAVE . RUT RETIRA: 18805117-0</t>
  </si>
  <si>
    <t>Kasandra Olave</t>
  </si>
  <si>
    <t>Paso de piedra 416 villa tres vientos, 416</t>
  </si>
  <si>
    <t>REL710584</t>
  </si>
  <si>
    <t>260896333</t>
  </si>
  <si>
    <t>NOMBRE RETIRA: SERGIO FIGUEROA . RUT RETIRA: 8385865-6</t>
  </si>
  <si>
    <t>Natalia Galleguillos</t>
  </si>
  <si>
    <t>Avenida la cantera 2245</t>
  </si>
  <si>
    <t>REL710497</t>
  </si>
  <si>
    <t>260609962</t>
  </si>
  <si>
    <t>NOMBRE RETIRA: OLGA COVACEVICH . RUT RETIRA: 10267678-5</t>
  </si>
  <si>
    <t>OLGA COVACEVICH</t>
  </si>
  <si>
    <t>PASAJE INGENIERO JULIO VELASCO 245, CASA</t>
  </si>
  <si>
    <t>2025-12-22 20:27</t>
  </si>
  <si>
    <t>REL710604</t>
  </si>
  <si>
    <t>260896212</t>
  </si>
  <si>
    <t>NOMBRE RETIRA: MARA ORTIZ . RUT RETIRA: 12180530-8</t>
  </si>
  <si>
    <t>Rodrigo Esteban Lagos Vallejos</t>
  </si>
  <si>
    <t>Itata 9090, Casa 10</t>
  </si>
  <si>
    <t>REL710494</t>
  </si>
  <si>
    <t>260609963</t>
  </si>
  <si>
    <t>Angie Ramírez González</t>
  </si>
  <si>
    <t>Alcázar 635, Local 1, frente al líder</t>
  </si>
  <si>
    <t>REL710607</t>
  </si>
  <si>
    <t>261061429</t>
  </si>
  <si>
    <t>NOMBRE RETIRA: MIRNA VERRGARA . RUT RETIRA: 5569765-5</t>
  </si>
  <si>
    <t>Ale Omar Olivares Vergara</t>
  </si>
  <si>
    <t>Carmen Laforet 282, Casa</t>
  </si>
  <si>
    <t>REL710515</t>
  </si>
  <si>
    <t>260896507</t>
  </si>
  <si>
    <t>NOMBRE RETIRA: CRISTOFER SILVA . RUT RETIRA: 18805117-0</t>
  </si>
  <si>
    <t>Cristopher Silva Abarzua</t>
  </si>
  <si>
    <t>Totoral 314</t>
  </si>
  <si>
    <t>2025-12-23 11:14</t>
  </si>
  <si>
    <t>REL710358</t>
  </si>
  <si>
    <t>260610138</t>
  </si>
  <si>
    <t>NOMBRE RETIRA: NELSON WASA 0 RUT RETIRA: 12345678-5</t>
  </si>
  <si>
    <t>RODRIGO Saavedra Burgos</t>
  </si>
  <si>
    <t>Valle Del Atardecer 03839, Depto 1404, 1404</t>
  </si>
  <si>
    <t>REL710351</t>
  </si>
  <si>
    <t>260610142</t>
  </si>
  <si>
    <t>NOMBRE RETIRA: VERONICA TORO . RUT RETIRA: 18008131-3</t>
  </si>
  <si>
    <t>Hector Erices arevalo</t>
  </si>
  <si>
    <t>Negocio, Av Ohiggins 895</t>
  </si>
  <si>
    <t>REL710635</t>
  </si>
  <si>
    <t>261061330</t>
  </si>
  <si>
    <t>Camila Cordero Cordero</t>
  </si>
  <si>
    <t>Camilo mori 60</t>
  </si>
  <si>
    <t>REL79565</t>
  </si>
  <si>
    <t>259842576</t>
  </si>
  <si>
    <t>NOMBRE RETIRA: ALFREDO NONQUE . RUT RETIRA: 18616216-1</t>
  </si>
  <si>
    <t>Alfredo Nonque</t>
  </si>
  <si>
    <t>Calle Libertad 17, Coyhaique</t>
  </si>
  <si>
    <t>2025-12-12 20:11</t>
  </si>
  <si>
    <t>REL710467</t>
  </si>
  <si>
    <t>260610005</t>
  </si>
  <si>
    <t>Andrés Correa correa</t>
  </si>
  <si>
    <t>Avenida cerro paranal 315, 161 Antigua</t>
  </si>
  <si>
    <t>REL710400</t>
  </si>
  <si>
    <t>260610072</t>
  </si>
  <si>
    <t>NOMBRE RETIRA: JAIME TABILO . . RUT RETIRA: 18450231-3</t>
  </si>
  <si>
    <t>Jaime Tabilo Meneses</t>
  </si>
  <si>
    <t>Las palmeras 701, Casa</t>
  </si>
  <si>
    <t>REL710382</t>
  </si>
  <si>
    <t>260610117</t>
  </si>
  <si>
    <t>NOMBRE RETIRA: CARMEN SALAZAR . RUT RETIRA: 7799576-5</t>
  </si>
  <si>
    <t>Silvana Contreras</t>
  </si>
  <si>
    <t>Coquimbo 1470, Casa</t>
  </si>
  <si>
    <t>REL710394</t>
  </si>
  <si>
    <t>260610081</t>
  </si>
  <si>
    <t>NOMBRE RETIRA: JACQUELIN DUQUE . RUT RETIRA: 12035952-5</t>
  </si>
  <si>
    <t>Jacqueline Duque Montenegro</t>
  </si>
  <si>
    <t>Malaquita 4236, Casa</t>
  </si>
  <si>
    <t>REL710233</t>
  </si>
  <si>
    <t>260610313</t>
  </si>
  <si>
    <t>NOMBRE RETIRA: ADOLFO MONTALBAN . RUT RETIRA: 6665278-5</t>
  </si>
  <si>
    <t>Oscar Montalván</t>
  </si>
  <si>
    <t>Alonso de ercilla 3215</t>
  </si>
  <si>
    <t>REL710581</t>
  </si>
  <si>
    <t>260896312</t>
  </si>
  <si>
    <t>NOMBRE RETIRA: FELIPE PARRA P RUT RETIRA: 16732024-4</t>
  </si>
  <si>
    <t>Felipe Parra Núñez</t>
  </si>
  <si>
    <t>2 norte, 3839</t>
  </si>
  <si>
    <t>REL710406</t>
  </si>
  <si>
    <t>260610058</t>
  </si>
  <si>
    <t>NOMBRE RETIRA: FRANCISCA PENA . RUT RETIRA: 15530250-K</t>
  </si>
  <si>
    <t>Francisca Andrea Peña Navarrete</t>
  </si>
  <si>
    <t>ARTURO PRAT, 1140</t>
  </si>
  <si>
    <t>REL710305</t>
  </si>
  <si>
    <t>260610201</t>
  </si>
  <si>
    <t>NOMBRE RETIRA: PASCUAL IMILMAQUI . RUT RETIRA: 12338253-6</t>
  </si>
  <si>
    <t>Caroline Vohs</t>
  </si>
  <si>
    <t>Pampa negron sn, Casa azul</t>
  </si>
  <si>
    <t>REL710360</t>
  </si>
  <si>
    <t>260610131</t>
  </si>
  <si>
    <t>NOMBRE RETIRA: LALY BARRA . RUT RETIRA: 15180469-1</t>
  </si>
  <si>
    <t>Avenida las margaritas 1680, Dpto 502</t>
  </si>
  <si>
    <t>REL710347</t>
  </si>
  <si>
    <t>260610149</t>
  </si>
  <si>
    <t>NOMBRE RETIRA: YOHALMA MOLINA M RUT RETIRA: 21442412-6</t>
  </si>
  <si>
    <t>REL710281</t>
  </si>
  <si>
    <t>9422016192</t>
  </si>
  <si>
    <t>Jessica Villegas</t>
  </si>
  <si>
    <t>Calle Las Rosas 241</t>
  </si>
  <si>
    <t>REL710287</t>
  </si>
  <si>
    <t>260610213</t>
  </si>
  <si>
    <t>NOMBRE RETIRA: MIRTA ARTEAGA . RUT RETIRA: 15295855-2</t>
  </si>
  <si>
    <t>Mirta Arteaga carrillo</t>
  </si>
  <si>
    <t>REL710266</t>
  </si>
  <si>
    <t>260610239</t>
  </si>
  <si>
    <t>NOMBRE RETIRA: JOAQUIN VILLAROEL . RUT RETIRA: 23798736-5</t>
  </si>
  <si>
    <t>carlos patricio villarroel ramirez</t>
  </si>
  <si>
    <t>Los maquis 346, Lado canchas salinas</t>
  </si>
  <si>
    <t>REL710486</t>
  </si>
  <si>
    <t>260609968</t>
  </si>
  <si>
    <t>NOMBRE RETIRA: VAN2SKA ARIAS N RUT RETIRA: 15180469-1</t>
  </si>
  <si>
    <t>Ignacia Ilufi Cheuque</t>
  </si>
  <si>
    <t>Avenida las rosas 1745, 411 torre b</t>
  </si>
  <si>
    <t>REL710436</t>
  </si>
  <si>
    <t>260610039</t>
  </si>
  <si>
    <t>NOMBRE RETIRA: CONTANZA CONTAZA REYES RUT RETIRA: 18399700-9</t>
  </si>
  <si>
    <t>El salado 4242, Villa los olivos I</t>
  </si>
  <si>
    <t>REL710479</t>
  </si>
  <si>
    <t>260609980</t>
  </si>
  <si>
    <t>NOMBRE RETIRA: MARCELA CONCHA . RUT RETIRA: 11682755-7</t>
  </si>
  <si>
    <t>Nicolás Silva Concha</t>
  </si>
  <si>
    <t>Palena 2017</t>
  </si>
  <si>
    <t>2025-12-22 14:05</t>
  </si>
  <si>
    <t>REL710263</t>
  </si>
  <si>
    <t>260610299</t>
  </si>
  <si>
    <t>NOMBRE RETIRA: MARCELA FLORES . RUT RETIRA: 23807074-0</t>
  </si>
  <si>
    <t>Marcela Paz Flores Larrazábal</t>
  </si>
  <si>
    <t>Pasaje los Boldos 10, Casa, sector parronales de pedehue</t>
  </si>
  <si>
    <t>REL710288</t>
  </si>
  <si>
    <t>260610212</t>
  </si>
  <si>
    <t>NOMBRE RETIRA: CLAUDIA . . RUT RETIRA: 12345678-5</t>
  </si>
  <si>
    <t>Claudia Monardes</t>
  </si>
  <si>
    <t>Los poetas del Huasco 1107</t>
  </si>
  <si>
    <t>REL710484</t>
  </si>
  <si>
    <t>260609979</t>
  </si>
  <si>
    <t>NOMBRE RETIRA: RICARDO HUENCHUL . RUT RETIRA: 18282899-8</t>
  </si>
  <si>
    <t>Ricardo Huenchual Bórquez</t>
  </si>
  <si>
    <t>Calle limache 5011 psje nro 6 el salto viña del mar</t>
  </si>
  <si>
    <t>REL710384</t>
  </si>
  <si>
    <t>260610111</t>
  </si>
  <si>
    <t>NOMBRE RETIRA: PATRICIA FIGUEROA . RUT RETIRA: 18486096-1</t>
  </si>
  <si>
    <t>Cristian Fierro Jara</t>
  </si>
  <si>
    <t>Camino Botrolhue 02483, 802 torre B</t>
  </si>
  <si>
    <t>REL710390</t>
  </si>
  <si>
    <t>260610094</t>
  </si>
  <si>
    <t>NOMBRE RETIRA: SUSAN ROSALEZ 0 RUT RETIRA: 12372831-9</t>
  </si>
  <si>
    <t>Pablo Sepulveda</t>
  </si>
  <si>
    <t>33 oriente, 2968 valles del country</t>
  </si>
  <si>
    <t>REL710256</t>
  </si>
  <si>
    <t>260610252</t>
  </si>
  <si>
    <t>NOMBRE RETIRA: ROCIO GOMEZ . RUT RETIRA: 20408060-7</t>
  </si>
  <si>
    <t>Francisco Guerrero</t>
  </si>
  <si>
    <t>San Rafael, 1529</t>
  </si>
  <si>
    <t>REL710259</t>
  </si>
  <si>
    <t>260610267</t>
  </si>
  <si>
    <t>NOMBRE RETIRA: PATRICOO NAVARRO NAVARRO RUT RETIRA: 6697332-8</t>
  </si>
  <si>
    <t>patricio Navarro Aquiles</t>
  </si>
  <si>
    <t>2970000, Casa</t>
  </si>
  <si>
    <t>REL710453</t>
  </si>
  <si>
    <t>260610008</t>
  </si>
  <si>
    <t>NOMBRE RETIRA: MARIO HALL VALENCIA RUT RETIRA: 17507515-1</t>
  </si>
  <si>
    <t>Mario Hall</t>
  </si>
  <si>
    <t>Av. Santa Teresa de los Andes 03096, Casa</t>
  </si>
  <si>
    <t>REL710280</t>
  </si>
  <si>
    <t>260610226</t>
  </si>
  <si>
    <t>NOMBRE RETIRA: CAROLINA MARTINEZ .. RUT RETIRA: 13620611-7</t>
  </si>
  <si>
    <t>Marcel Quilodrán Sanzana</t>
  </si>
  <si>
    <t>Las Lengas 400, Casa sector la arboleda</t>
  </si>
  <si>
    <t>REL710277</t>
  </si>
  <si>
    <t>260610215</t>
  </si>
  <si>
    <t>NOMBRE RETIRA: VALERIA MONTECINO . RUT RETIRA: 21076211-6</t>
  </si>
  <si>
    <t>Valeria Montecinos</t>
  </si>
  <si>
    <t>Los cardenales  469, 469</t>
  </si>
  <si>
    <t>REL710483</t>
  </si>
  <si>
    <t>260609974</t>
  </si>
  <si>
    <t>NOMBRE RETIRA: NELSON SANHUEZA . RUT RETIRA: 8053041-2</t>
  </si>
  <si>
    <t>Nelson Sanhueza</t>
  </si>
  <si>
    <t>Santa fe 1467</t>
  </si>
  <si>
    <t>REL710490</t>
  </si>
  <si>
    <t>260609967</t>
  </si>
  <si>
    <t>NOMBRE RETIRA: MATIAS MOEALEA . RUT RETIRA: 7213470-2</t>
  </si>
  <si>
    <t>Matias Morales lucero</t>
  </si>
  <si>
    <t>Parque baluarte, calle profesora Sara Gálvez Vergara #731, Casa</t>
  </si>
  <si>
    <t>REL710240</t>
  </si>
  <si>
    <t>260610305</t>
  </si>
  <si>
    <t>NOMBRE RETIRA: MARIELA ROJAS . RUT RETIRA: 12763886-1</t>
  </si>
  <si>
    <t>Benjamin Ovalle Morales</t>
  </si>
  <si>
    <t>san martin 1421, concepción, local comercial (UNIFOM)</t>
  </si>
  <si>
    <t>REL710340</t>
  </si>
  <si>
    <t>260609995</t>
  </si>
  <si>
    <t>NOMBRE RETIRA: VICTOR GUTIERRES PAVEZ RUT RETIRA: 13717725-0</t>
  </si>
  <si>
    <t>Victor Gutierrez Pavez</t>
  </si>
  <si>
    <t>Calama 727, Casa 727, Casa</t>
  </si>
  <si>
    <t>REL710395</t>
  </si>
  <si>
    <t>260610088</t>
  </si>
  <si>
    <t>NOMBRE RETIRA: SEBASTIAN LEON A RUT RETIRA: 9444505-1</t>
  </si>
  <si>
    <t>sebastian toledo</t>
  </si>
  <si>
    <t>Balmaceda 1692 Curico</t>
  </si>
  <si>
    <t>REL79753</t>
  </si>
  <si>
    <t>259996398</t>
  </si>
  <si>
    <t>NOMBRE RETIRA: FRANCISCA MOLINA . RUT RETIRA: 15304464-3</t>
  </si>
  <si>
    <t>Francisca Santana Soto</t>
  </si>
  <si>
    <t>Pasaje chaura #102, Casa café a la mitad del pasaje</t>
  </si>
  <si>
    <t>2025-12-15 11:07</t>
  </si>
  <si>
    <t>REL710264</t>
  </si>
  <si>
    <t>260610253</t>
  </si>
  <si>
    <t>María Carolina Mendoza La Mura</t>
  </si>
  <si>
    <t>Av Los Pablos 2190,, Depto 107</t>
  </si>
  <si>
    <t>REL710285</t>
  </si>
  <si>
    <t>260610210</t>
  </si>
  <si>
    <t>NOMBRE RETIRA: ELIANA ESPARZA . RUT RETIRA: 16947088-K</t>
  </si>
  <si>
    <t>Claudia Fica Esparza</t>
  </si>
  <si>
    <t>Fray Antonio de Montesinos 309, Casa</t>
  </si>
  <si>
    <t>REL710397</t>
  </si>
  <si>
    <t>260610077</t>
  </si>
  <si>
    <t>NOMBRE RETIRA: VALESKA PIZARRO . RUT RETIRA: 12241146-K</t>
  </si>
  <si>
    <t>Pa Cunazza mardones</t>
  </si>
  <si>
    <t>Isla Teja, Valdivia, Los Castaños 100</t>
  </si>
  <si>
    <t>REL710279</t>
  </si>
  <si>
    <t>260610214</t>
  </si>
  <si>
    <t>NOMBRE RETIRA: LUIS BRAVO M RUT RETIRA: 28806356-7</t>
  </si>
  <si>
    <t>Leonardo A</t>
  </si>
  <si>
    <t>Parinacota, 0322</t>
  </si>
  <si>
    <t>REL710324</t>
  </si>
  <si>
    <t>260610191</t>
  </si>
  <si>
    <t>NOMBRE RETIRA: CRISTIAN JORQUERA . RUT RETIRA: 12950486-2</t>
  </si>
  <si>
    <t>Cristian Jorquera Aguilar</t>
  </si>
  <si>
    <t>Simpson 28, Casa</t>
  </si>
  <si>
    <t>REL710289</t>
  </si>
  <si>
    <t>260610211</t>
  </si>
  <si>
    <t>NOMBRE RETIRA: GABRIEL LLANOS I RUT RETIRA: 18194820-5</t>
  </si>
  <si>
    <t>Gabriel Llanos</t>
  </si>
  <si>
    <t>Júpiter 2299</t>
  </si>
  <si>
    <t>REL710372</t>
  </si>
  <si>
    <t>260610122</t>
  </si>
  <si>
    <t>NOMBRE RETIRA: GUSTAVO SALAZAR A RUT RETIRA: 20307034-9</t>
  </si>
  <si>
    <t>gustavo salazar</t>
  </si>
  <si>
    <t>6 1/2 poniente 1171</t>
  </si>
  <si>
    <t>REL710473</t>
  </si>
  <si>
    <t>260609982</t>
  </si>
  <si>
    <t>NOMBRE RETIRA: CRECENCIO MATURANA H RUT RETIRA: 5922462-K</t>
  </si>
  <si>
    <t>Cristian MATURANA FLORES</t>
  </si>
  <si>
    <t>Calle 12 de febrero 627, Casa 627</t>
  </si>
  <si>
    <t>REL710451</t>
  </si>
  <si>
    <t>260610013</t>
  </si>
  <si>
    <t>NOMBRE RETIRA: MARCELA TORRES . RUT RETIRA: 17899291-0</t>
  </si>
  <si>
    <t>Marcelo Chamorro Torres</t>
  </si>
  <si>
    <t>Calle el Faro 225. Cerro verde bajo, Casa</t>
  </si>
  <si>
    <t>REL710298</t>
  </si>
  <si>
    <t>260610203</t>
  </si>
  <si>
    <t>NOMBRE RETIRA: TERESA DELGADO B RUT RETIRA: 8550930-6</t>
  </si>
  <si>
    <t>Manuel Fuentes Rojas</t>
  </si>
  <si>
    <t>Calle rantal 1624</t>
  </si>
  <si>
    <t>REL710403</t>
  </si>
  <si>
    <t>260610065</t>
  </si>
  <si>
    <t>NOMBRE RETIRA: NATALIE BIZCQRRA . RUT RETIRA: 15507666-6</t>
  </si>
  <si>
    <t>Jorge Cifuentes henriquez</t>
  </si>
  <si>
    <t>Yungay, 804</t>
  </si>
  <si>
    <t>REL710401</t>
  </si>
  <si>
    <t>260610069</t>
  </si>
  <si>
    <t>NOMBRE RETIRA: DIEGO FUENTES H RUT RETIRA: 18276015-3</t>
  </si>
  <si>
    <t>Diego Fuentes Tapia</t>
  </si>
  <si>
    <t>El Raleo #2682 Hacienda el boldo III</t>
  </si>
  <si>
    <t>REL710481</t>
  </si>
  <si>
    <t>260609975</t>
  </si>
  <si>
    <t>NOMBRE RETIRA: PATRICIA GONZALEZ . RUT RETIRA: 6503509-K</t>
  </si>
  <si>
    <t>Alejandra Arancibia González</t>
  </si>
  <si>
    <t>Pintor juan pereira 1998, balmaceda poniente, la serena, chile., casa cerca de jumbo y colegio inglés de la serena</t>
  </si>
  <si>
    <t>REL710303</t>
  </si>
  <si>
    <t>260610205</t>
  </si>
  <si>
    <t>NOMBRE RETIRA: FELUPE CURIMAB B RUT RETIRA: 16992259-4</t>
  </si>
  <si>
    <t>Fabian Ortega Fuentealba</t>
  </si>
  <si>
    <t>Calle G 833, Departamento 504</t>
  </si>
  <si>
    <t>REL710330</t>
  </si>
  <si>
    <t>260610170</t>
  </si>
  <si>
    <t>NOMBRE RETIRA: CRISTOPHER ZUNIGA . RUT RETIRA: 17368775-3</t>
  </si>
  <si>
    <t>Christopher Zuñiga Zuñiga</t>
  </si>
  <si>
    <t>Rio Yeli #187</t>
  </si>
  <si>
    <t>REL710349</t>
  </si>
  <si>
    <t>260610146</t>
  </si>
  <si>
    <t>NOMBRE RETIRA: MARISOL LOPEZ .##P######### RUT RETIRA: 17138208-4</t>
  </si>
  <si>
    <t>Marisol López</t>
  </si>
  <si>
    <t>Don Luis 640 condominio club de polo, 124140064</t>
  </si>
  <si>
    <t>REL710434</t>
  </si>
  <si>
    <t>260610043</t>
  </si>
  <si>
    <t>NOMBRE RETIRA: PAOLA CAVALLERO . RUT RETIRA: 9553017-6</t>
  </si>
  <si>
    <t>Patricio Melendez Rojas</t>
  </si>
  <si>
    <t>Todd Evered 350</t>
  </si>
  <si>
    <t>REL710262</t>
  </si>
  <si>
    <t>260610235</t>
  </si>
  <si>
    <t>NOMBRE RETIRA: JANET VALENCIA . RUT RETIRA: 17575914-K</t>
  </si>
  <si>
    <t>Esquina Nagalhue con Rogelio Astudillo, n°26, Forestal, Casa esquina verde oscuro</t>
  </si>
  <si>
    <t>REL710413</t>
  </si>
  <si>
    <t>260609986</t>
  </si>
  <si>
    <t>NOMBRE RETIRA: PILAR BALBOA . RUT RETIRA: 16947088-K</t>
  </si>
  <si>
    <t>johnny jara</t>
  </si>
  <si>
    <t>Avenida Argentina 75</t>
  </si>
  <si>
    <t>REL710405</t>
  </si>
  <si>
    <t>260610061</t>
  </si>
  <si>
    <t>NOMBRE RETIRA: ANGELLO VALLEJOS V RUT RETIRA: 65067074-4</t>
  </si>
  <si>
    <t>Bastian Moya Quilodran</t>
  </si>
  <si>
    <t>Santa Inés 294 bahía mirador II, Depto 82B</t>
  </si>
  <si>
    <t>REL710345</t>
  </si>
  <si>
    <t>260610153</t>
  </si>
  <si>
    <t>NOMBRE RETIRA: ELBIA MARQUEZ . RUT RETIRA: 8147109-6</t>
  </si>
  <si>
    <t>Angel alexis Cardenas Marquez</t>
  </si>
  <si>
    <t>Mirador 856, población 22 de mayo, Casa</t>
  </si>
  <si>
    <t>REL710492</t>
  </si>
  <si>
    <t>260609964</t>
  </si>
  <si>
    <t>NOMBRE RETIRA: GERARDO CORREA N RUT RETIRA: 53301181-0</t>
  </si>
  <si>
    <t>Karla Andrea Rivera Leon</t>
  </si>
  <si>
    <t>El Sendero 990 , casa 5, Condominio Las Acacias Poniente. Villa Alemana</t>
  </si>
  <si>
    <t>REL710334</t>
  </si>
  <si>
    <t>260610165</t>
  </si>
  <si>
    <t>NOMBRE RETIRA: PIETRO COSTAGUTA . RUT RETIRA: 20522215-4</t>
  </si>
  <si>
    <t>Gabriela Arancibia</t>
  </si>
  <si>
    <t>Caupolican 197, Casa</t>
  </si>
  <si>
    <t>REL710310</t>
  </si>
  <si>
    <t>260610196</t>
  </si>
  <si>
    <t>NOMBRE RETIRA: DIEGO HENRIQUEZ . RUT RETIRA: 77393481-9</t>
  </si>
  <si>
    <t>Diego Henriquez</t>
  </si>
  <si>
    <t>Jaime repullo 3620, 305 b jardín del sol poniente</t>
  </si>
  <si>
    <t>REL710108</t>
  </si>
  <si>
    <t>260309754</t>
  </si>
  <si>
    <t>NOMBRE RETIRA: JULIA GUERRERO . RUT RETIRA: 12345678-5</t>
  </si>
  <si>
    <t>Dila Ibáñez Umaña</t>
  </si>
  <si>
    <t>Arturo FernÁndez 2004, 2004, 2004, 2004</t>
  </si>
  <si>
    <t>2025-12-18 11:50</t>
  </si>
  <si>
    <t>REL710109</t>
  </si>
  <si>
    <t>260309746</t>
  </si>
  <si>
    <t>NOMBRE RETIRA: CAROLINA AVAN . RUT RETIRA: 28995710-3</t>
  </si>
  <si>
    <t>Hugo Concha González</t>
  </si>
  <si>
    <t>Ascotan norte 131, Departamento 712</t>
  </si>
  <si>
    <t>REL710320</t>
  </si>
  <si>
    <t>9421661432</t>
  </si>
  <si>
    <t>Héctor Durante Moreno</t>
  </si>
  <si>
    <t>Villa Lourdes de Malloco, PJE. Punta Arena, 0612, Peñaflor</t>
  </si>
  <si>
    <t>REL710362</t>
  </si>
  <si>
    <t>9421418860</t>
  </si>
  <si>
    <t>Susan Rodríguez</t>
  </si>
  <si>
    <t>Villa San Ramon Pirque, Emiliana Subercaseaux 349</t>
  </si>
  <si>
    <t>REL710290</t>
  </si>
  <si>
    <t>9421536736</t>
  </si>
  <si>
    <t>jacob varela</t>
  </si>
  <si>
    <t>Juan Riquelme Bravo, 1609</t>
  </si>
  <si>
    <t>REL79746</t>
  </si>
  <si>
    <t>259996457</t>
  </si>
  <si>
    <t>NOMBRE RETIRA: MARCELA MANCILLA . RUT RETIRA: 11111111-1</t>
  </si>
  <si>
    <t>Sergio Arnoldo Mariman</t>
  </si>
  <si>
    <t>Calle romulo corres 0945, casa 44, Casa 44</t>
  </si>
  <si>
    <t>REL710091</t>
  </si>
  <si>
    <t>260309888</t>
  </si>
  <si>
    <t>NOMBRE RETIRA: DIEGO MONSALVE . RUT RETIRA: 18372811-3</t>
  </si>
  <si>
    <t>Diego Montane</t>
  </si>
  <si>
    <t>Pasaje Pena Chica 2075</t>
  </si>
  <si>
    <t>REL710216</t>
  </si>
  <si>
    <t>260309146</t>
  </si>
  <si>
    <t>NOMBRE RETIRA: BRIAN GUTIERREZ . RUT RETIRA: 19779130-6</t>
  </si>
  <si>
    <t>Brian Gutiérrez Vásquez</t>
  </si>
  <si>
    <t>Ruta 5 Sur km, 1143</t>
  </si>
  <si>
    <t>REL78730</t>
  </si>
  <si>
    <t>259084826</t>
  </si>
  <si>
    <t>NOMBRE RETIRA: DANI3L GALLARDO . RUT RETIRA: 17241339-0</t>
  </si>
  <si>
    <t>Cristian Ojeda</t>
  </si>
  <si>
    <t>Regidor Floridor Sobarzo 351, 201</t>
  </si>
  <si>
    <t>2025-12-02 19:30</t>
  </si>
  <si>
    <t>REL710119</t>
  </si>
  <si>
    <t>260309671</t>
  </si>
  <si>
    <t>NOMBRE RETIRA: CAMILO CHACON . RUT RETIRA: 12345678-5</t>
  </si>
  <si>
    <t>Camilo Chacon</t>
  </si>
  <si>
    <t>Horizonte 6220, Casa</t>
  </si>
  <si>
    <t>REL710133</t>
  </si>
  <si>
    <t>260309590</t>
  </si>
  <si>
    <t>NOMBRE RETIRA: MARCEL SOTELO . RUT RETIRA: 14243607-8</t>
  </si>
  <si>
    <t>Alan González Bembow</t>
  </si>
  <si>
    <t>Limache 3061, EMPRESA DIB</t>
  </si>
  <si>
    <t>2025-12-18 20:16</t>
  </si>
  <si>
    <t>REL710106</t>
  </si>
  <si>
    <t>260309785</t>
  </si>
  <si>
    <t>NOMBRE RETIRA: NICOLAS BRAVO . RUT RETIRA: 21578792-3</t>
  </si>
  <si>
    <t>hector castillo</t>
  </si>
  <si>
    <t>Avenida las parcelas 4014 casa A4, casa A4</t>
  </si>
  <si>
    <t>REL710110</t>
  </si>
  <si>
    <t>260309758</t>
  </si>
  <si>
    <t>NOMBRE RETIRA: VICTOR GALLEGOS . RUT RETIRA: 12203182-9</t>
  </si>
  <si>
    <t>Claudio Lagos Altamirano</t>
  </si>
  <si>
    <t>Picarte 1320</t>
  </si>
  <si>
    <t>REL710101</t>
  </si>
  <si>
    <t>260309795</t>
  </si>
  <si>
    <t>NOMBRE RETIRA: LUCIANO G9NZALEZ . RUT RETIRA: 17138208-4</t>
  </si>
  <si>
    <t>Luciano Fabian Mauricio Gonzalez Yañez</t>
  </si>
  <si>
    <t>San Fernando, sector Angostura, villa Vidal #3, Villa Vidal, casa #3</t>
  </si>
  <si>
    <t>REL710067</t>
  </si>
  <si>
    <t>260191596</t>
  </si>
  <si>
    <t>NOMBRE RETIRA: LEONEL VALDEVENITO . RUT RETIRA: 13431780-9</t>
  </si>
  <si>
    <t>Marco Villena</t>
  </si>
  <si>
    <t>Limache 3405, oficina 88</t>
  </si>
  <si>
    <t>2025-12-17 20:21</t>
  </si>
  <si>
    <t>REL710044</t>
  </si>
  <si>
    <t>260191803</t>
  </si>
  <si>
    <t>NOMBRE RETIRA: CAMILO GONZALES . RUT RETIRA: 19489597-6</t>
  </si>
  <si>
    <t>Camilo Gonzalez Allende</t>
  </si>
  <si>
    <t>Neltume, Villa Independencia, 61</t>
  </si>
  <si>
    <t>REL711145</t>
  </si>
  <si>
    <t>713021487264</t>
  </si>
  <si>
    <t>Nombre: paz Gimenez - Rut: 206708581</t>
  </si>
  <si>
    <t>Daniela Fariña</t>
  </si>
  <si>
    <t>Plaza General Bonilla 24, 24, 24</t>
  </si>
  <si>
    <t>2026-01-24 20:09</t>
  </si>
  <si>
    <t>REL711230</t>
  </si>
  <si>
    <t>713021922896</t>
  </si>
  <si>
    <t>Nombre: Jose campos - Rut: 102018524</t>
  </si>
  <si>
    <t>Maria Teresa Abarca Cerda</t>
  </si>
  <si>
    <t>Las torres 33 Melipilla</t>
  </si>
  <si>
    <t>2026-01-27 10:36</t>
  </si>
  <si>
    <t>REL711178</t>
  </si>
  <si>
    <t>713021486811</t>
  </si>
  <si>
    <t>Nombre: Alan Zuniga - Rut: 187776198</t>
  </si>
  <si>
    <t>Felipe Vejar Gambi</t>
  </si>
  <si>
    <t>Felix  Mendelsson 209 villa Galilea</t>
  </si>
  <si>
    <t>2026-01-25 20:08</t>
  </si>
  <si>
    <t>REL711210</t>
  </si>
  <si>
    <t>713021923272</t>
  </si>
  <si>
    <t>Nombre: Andres Ramos - Rut: 156923540</t>
  </si>
  <si>
    <t>Josefina plata arce</t>
  </si>
  <si>
    <t>Casa Esquina Amarilla, Serrano 295</t>
  </si>
  <si>
    <t>REL711199</t>
  </si>
  <si>
    <t>713021923364</t>
  </si>
  <si>
    <t>Anyta Molina</t>
  </si>
  <si>
    <t>Tpacusi 1410</t>
  </si>
  <si>
    <t>REL711185</t>
  </si>
  <si>
    <t>713021486693</t>
  </si>
  <si>
    <t>Nombre: saul calbuqueo - Rut: 184267349</t>
  </si>
  <si>
    <t>Evelin Urrutia muttel</t>
  </si>
  <si>
    <t>Alfredo Stange ,Numero 2, Casa</t>
  </si>
  <si>
    <t>2026-01-26 11:13</t>
  </si>
  <si>
    <t>REL711171</t>
  </si>
  <si>
    <t>713021486881</t>
  </si>
  <si>
    <t>CHILE CHICO ERICKSSEN - SANTIAGO ERICKSSEN - 163 -</t>
  </si>
  <si>
    <t>Bruno Borriero Chodil</t>
  </si>
  <si>
    <t>Los lirios 2</t>
  </si>
  <si>
    <t>REL711116</t>
  </si>
  <si>
    <t>713021487986</t>
  </si>
  <si>
    <t>Nombre: cristian villacen - Rut: 194617054</t>
  </si>
  <si>
    <t>Cristian Villacen</t>
  </si>
  <si>
    <t>Pedro Aguirre cerda 1777, Casa</t>
  </si>
  <si>
    <t>2026-01-23 20:07</t>
  </si>
  <si>
    <t>REL711086</t>
  </si>
  <si>
    <t>713020101776</t>
  </si>
  <si>
    <t>Nombre: Lucia Saavedra - Rut: 198724017</t>
  </si>
  <si>
    <t>Camila Andrea Saavedra Banda</t>
  </si>
  <si>
    <t>Casa, Pasaje Matias CousiÑo # 025</t>
  </si>
  <si>
    <t>REL711026</t>
  </si>
  <si>
    <t>713019252993</t>
  </si>
  <si>
    <t>PICK UP LIBRERIA BASI - AVENIDA IRARRAZAVAL - 4633 -</t>
  </si>
  <si>
    <t>Francisco Riquelme Valdés</t>
  </si>
  <si>
    <t>Pasaje lago laja #206 polcura, piedra azul, 206</t>
  </si>
  <si>
    <t>REL711046</t>
  </si>
  <si>
    <t>713019658116</t>
  </si>
  <si>
    <t>Nombre: Jorge Douget - Rut: 115409468</t>
  </si>
  <si>
    <t>María Hernandez Toledo</t>
  </si>
  <si>
    <t>Los Gorriones 1501 Altos del Parque Melipilla</t>
  </si>
  <si>
    <t>REL711009</t>
  </si>
  <si>
    <t>713019253111</t>
  </si>
  <si>
    <t>Nombre: Juan aroon - Rut: 14111168</t>
  </si>
  <si>
    <t>Priscilla Camus gonzalez</t>
  </si>
  <si>
    <t>Casa, Pasaje Evaristo Aguirre 432</t>
  </si>
  <si>
    <t>REL711029</t>
  </si>
  <si>
    <t>713019252912</t>
  </si>
  <si>
    <t>Nombre: camila vasquez - Rut: 193245773</t>
  </si>
  <si>
    <t>Camila Vasquez ibañez</t>
  </si>
  <si>
    <t>Lautaro 275 Chile Chico, Hospital</t>
  </si>
  <si>
    <t>REL711049</t>
  </si>
  <si>
    <t>713019658050</t>
  </si>
  <si>
    <t>Nombre: uoselin riquelme - Rut: 171067960</t>
  </si>
  <si>
    <t>Camila andrea Loyola fuentes</t>
  </si>
  <si>
    <t>Casa, Av. Padre Rolando Escobar 803</t>
  </si>
  <si>
    <t>REL711061</t>
  </si>
  <si>
    <t>713019657711</t>
  </si>
  <si>
    <t>Nombre: Carolina Honores - Rut: 131780508</t>
  </si>
  <si>
    <t>Carolina Honores</t>
  </si>
  <si>
    <t>Colon 57, Entre calle Condell y Armando Araya</t>
  </si>
  <si>
    <t>REL710894</t>
  </si>
  <si>
    <t>713018405175</t>
  </si>
  <si>
    <t>Nombre: miriam aviles - Rut: 102992547</t>
  </si>
  <si>
    <t>Fernando Mallea Avilés</t>
  </si>
  <si>
    <t>Bronce 2147, Talagante</t>
  </si>
  <si>
    <t>REL710974</t>
  </si>
  <si>
    <t>713018404070</t>
  </si>
  <si>
    <t>Nombre: veronica ibarra - Rut: 95067131</t>
  </si>
  <si>
    <t>Rodrigo Fuenzalida</t>
  </si>
  <si>
    <t>Opalo 2261, 2261</t>
  </si>
  <si>
    <t>REL710930</t>
  </si>
  <si>
    <t>713018404615</t>
  </si>
  <si>
    <t>Nombre: julio munoz - Rut: 158658488</t>
  </si>
  <si>
    <t>laleska guerrero</t>
  </si>
  <si>
    <t>Av Pablo Neruda 0770</t>
  </si>
  <si>
    <t>REL710880</t>
  </si>
  <si>
    <t>713018405595</t>
  </si>
  <si>
    <t>Nombre: Nicolas fuentes - Rut: 206932449</t>
  </si>
  <si>
    <t>Juaquin Sepulveda Astudillo</t>
  </si>
  <si>
    <t>Independencia 702, Local Estrellita Moda</t>
  </si>
  <si>
    <t>REL710774</t>
  </si>
  <si>
    <t>713012072986</t>
  </si>
  <si>
    <t>Nombre: Angela parancan - Rut: 172601340</t>
  </si>
  <si>
    <t>Angela Parancan saraos</t>
  </si>
  <si>
    <t>Bernardo phillipi 392, Casa</t>
  </si>
  <si>
    <t>REL710761</t>
  </si>
  <si>
    <t>713012073303</t>
  </si>
  <si>
    <t>Nombre: Sonia Flores - Rut: 166715768</t>
  </si>
  <si>
    <t>Sonia Flores Paredes</t>
  </si>
  <si>
    <t>Pedro guerra san cristobal 1041</t>
  </si>
  <si>
    <t>REL710777</t>
  </si>
  <si>
    <t>713012682152</t>
  </si>
  <si>
    <t>Nombre: Liliana Ibanez - Rut: 198738972</t>
  </si>
  <si>
    <t>Liliana Ibáñez</t>
  </si>
  <si>
    <t>Carlos camus 2 pasaje Martin luther king, 1612</t>
  </si>
  <si>
    <t>REL710743</t>
  </si>
  <si>
    <t>713012073712</t>
  </si>
  <si>
    <t>Nombre: carla benites - Rut: 182397644</t>
  </si>
  <si>
    <t>Carla Benitez Alarcon</t>
  </si>
  <si>
    <t>Galvarino Riveros 1101, Sala de estimulación</t>
  </si>
  <si>
    <t>REL710909</t>
  </si>
  <si>
    <t>9429168442</t>
  </si>
  <si>
    <t>Avenida la villa 205 la punta, Casa</t>
  </si>
  <si>
    <t>REL710921</t>
  </si>
  <si>
    <t>9428972781</t>
  </si>
  <si>
    <t>Juan Amaya</t>
  </si>
  <si>
    <t>Gabriela Mistral #34, Casa</t>
  </si>
  <si>
    <t>REL710911</t>
  </si>
  <si>
    <t>9429034882</t>
  </si>
  <si>
    <t>Victoria Vega Moyano</t>
  </si>
  <si>
    <t>Independencia 0376, Casa</t>
  </si>
  <si>
    <t>REL710937</t>
  </si>
  <si>
    <t>9429391300</t>
  </si>
  <si>
    <t>Paulina CONTRERAS Fernández</t>
  </si>
  <si>
    <t>Victor troncoso muñoz, 356</t>
  </si>
  <si>
    <t>REL710927</t>
  </si>
  <si>
    <t>9428825151</t>
  </si>
  <si>
    <t>Verónica Muñoz</t>
  </si>
  <si>
    <t>Zunilda Sanchez Duarte, 349</t>
  </si>
  <si>
    <t>REL710941</t>
  </si>
  <si>
    <t>9429077346</t>
  </si>
  <si>
    <t>Hereiti Valantin</t>
  </si>
  <si>
    <t>Los abedules, 1804</t>
  </si>
  <si>
    <t>REL710946</t>
  </si>
  <si>
    <t>9428868131</t>
  </si>
  <si>
    <t>Marcela Cabrera</t>
  </si>
  <si>
    <t>Av DelfÍn Carvallo 419</t>
  </si>
  <si>
    <t>REL710991</t>
  </si>
  <si>
    <t>9429363414</t>
  </si>
  <si>
    <t>Camila Leiva Pinto</t>
  </si>
  <si>
    <t>Psje joel perez calderon 42, Casa</t>
  </si>
  <si>
    <t>REL710877</t>
  </si>
  <si>
    <t>9429968796</t>
  </si>
  <si>
    <t>Noelia Rozas</t>
  </si>
  <si>
    <t>Las cañas pasaje los papayos número 28, Casa azul</t>
  </si>
  <si>
    <t>REL710853</t>
  </si>
  <si>
    <t>9427126811</t>
  </si>
  <si>
    <t>Fernando Díaz Saldias</t>
  </si>
  <si>
    <t>El abra 10 Requinoa, SERVICENTRO COMBUSTIBLES DÍAZ</t>
  </si>
  <si>
    <t>REL710792</t>
  </si>
  <si>
    <t>9425201575</t>
  </si>
  <si>
    <t>Romina Ampuero Espinosa</t>
  </si>
  <si>
    <t>2 norte 354, Oficina contabilidd</t>
  </si>
  <si>
    <t>REL710838</t>
  </si>
  <si>
    <t>9427535725</t>
  </si>
  <si>
    <t>DIEGO OREGON PALMA</t>
  </si>
  <si>
    <t>SAN ANTONIO 804 BUIN</t>
  </si>
  <si>
    <t>REL710752</t>
  </si>
  <si>
    <t>9425889675</t>
  </si>
  <si>
    <t>Paulina Cornejo Galleguillos</t>
  </si>
  <si>
    <t>San Pedro s/n, Bodega Municipal</t>
  </si>
  <si>
    <t>REL710804</t>
  </si>
  <si>
    <t>9425016926</t>
  </si>
  <si>
    <t>Constanza Pinochet Retamal</t>
  </si>
  <si>
    <t>2 norte 41, Locas gas gasparin</t>
  </si>
  <si>
    <t>REL710810</t>
  </si>
  <si>
    <t>9425368772</t>
  </si>
  <si>
    <t>carolina saavedra</t>
  </si>
  <si>
    <t>avenida ambrosio ohiggins 1447</t>
  </si>
  <si>
    <t>REL710826</t>
  </si>
  <si>
    <t>9427657470</t>
  </si>
  <si>
    <t>Cristina Ortega alvarez</t>
  </si>
  <si>
    <t>Las taguitas 533 altos de cantillana, Casa</t>
  </si>
  <si>
    <t>REL710707</t>
  </si>
  <si>
    <t>9426177526</t>
  </si>
  <si>
    <t>Cecilia Valerio</t>
  </si>
  <si>
    <t>Las hortencias 2766, 2766</t>
  </si>
  <si>
    <t>REL710823</t>
  </si>
  <si>
    <t>9427603054</t>
  </si>
  <si>
    <t>Valeria Paz San Martin Perez</t>
  </si>
  <si>
    <t>Maipu 308, Casa esquina</t>
  </si>
  <si>
    <t>REL710742</t>
  </si>
  <si>
    <t>9426142191</t>
  </si>
  <si>
    <t>Maria del Carmen Castillo Saravia</t>
  </si>
  <si>
    <t>Camilo Berrios Quintanilla 220, casa 24</t>
  </si>
  <si>
    <t>REL710724</t>
  </si>
  <si>
    <t>9426303401</t>
  </si>
  <si>
    <t>Jonathan Gálvez</t>
  </si>
  <si>
    <t>Guacarhue, Las Palmas de Arriba #191</t>
  </si>
  <si>
    <t>REL710738</t>
  </si>
  <si>
    <t>9425935551</t>
  </si>
  <si>
    <t>Ledda Gaete</t>
  </si>
  <si>
    <t>Nueva florida 336 villa los paltos</t>
  </si>
  <si>
    <t>REL710588</t>
  </si>
  <si>
    <t>9422196475</t>
  </si>
  <si>
    <t>Italo Moran</t>
  </si>
  <si>
    <t>Teniente merino 670, Depto 402A</t>
  </si>
  <si>
    <t>REL710658</t>
  </si>
  <si>
    <t>9421273606</t>
  </si>
  <si>
    <t>Alejandra Vásquez González</t>
  </si>
  <si>
    <t>San fernando 46, Dpto 144</t>
  </si>
  <si>
    <t>REL710589</t>
  </si>
  <si>
    <t>9424991575</t>
  </si>
  <si>
    <t>Katerin Toro Rebolledo</t>
  </si>
  <si>
    <t>Valle De La Luna # 592, 592</t>
  </si>
  <si>
    <t>REL710429</t>
  </si>
  <si>
    <t>9421662143</t>
  </si>
  <si>
    <t>Aleyen Ferreira Romero</t>
  </si>
  <si>
    <t>Balmaceda 6475, 56</t>
  </si>
  <si>
    <t>REL710355</t>
  </si>
  <si>
    <t>9421572436</t>
  </si>
  <si>
    <t>Alexis Quiroga Araya</t>
  </si>
  <si>
    <t>Av. Salvador Allende 0522</t>
  </si>
  <si>
    <t>REL710380</t>
  </si>
  <si>
    <t>9421754134</t>
  </si>
  <si>
    <t>Edgardo Albornoz Cofre</t>
  </si>
  <si>
    <t>La Montaña Norte 3650, 159f</t>
  </si>
  <si>
    <t>REL710367</t>
  </si>
  <si>
    <t>9421940732</t>
  </si>
  <si>
    <t>Paola González Rodriguez</t>
  </si>
  <si>
    <t>Carretera longitudinal sur km 275,3</t>
  </si>
  <si>
    <t>REL710534</t>
  </si>
  <si>
    <t>9422799960</t>
  </si>
  <si>
    <t>Carlos Marin</t>
  </si>
  <si>
    <t>Damian Navarro, 12</t>
  </si>
  <si>
    <t>REL710572</t>
  </si>
  <si>
    <t>9424042493</t>
  </si>
  <si>
    <t>Mariana Carrasco</t>
  </si>
  <si>
    <t>Villa las Araucarias calle 1, Casa 12 San Diego Norte</t>
  </si>
  <si>
    <t>REL710268</t>
  </si>
  <si>
    <t>9421592740</t>
  </si>
  <si>
    <t>Ismael Escalona</t>
  </si>
  <si>
    <t>Myrian regina gallerani benatti 485, Casa 5, condominio cerro el morado</t>
  </si>
  <si>
    <t>REL710433</t>
  </si>
  <si>
    <t>9422018723</t>
  </si>
  <si>
    <t>Diego Plaza</t>
  </si>
  <si>
    <t>Mariano Casanova 755, Casa esquina</t>
  </si>
  <si>
    <t>REL710422</t>
  </si>
  <si>
    <t>9422034064</t>
  </si>
  <si>
    <t>Patricio yañez</t>
  </si>
  <si>
    <t>Miraflores 1260, oficina interior terminal de buses</t>
  </si>
  <si>
    <t>REL710475</t>
  </si>
  <si>
    <t>9422033983</t>
  </si>
  <si>
    <t>Daniel Valenzuela</t>
  </si>
  <si>
    <t>Santa luisa 549</t>
  </si>
  <si>
    <t>SER3029</t>
  </si>
  <si>
    <t>262671462</t>
  </si>
  <si>
    <t>Stocka - Logística Ecommerce</t>
  </si>
  <si>
    <t>NOMBRE RETIRA: CLAUDIO RAMIREZ LABRA RUT RETIRA: 10203113-K</t>
  </si>
  <si>
    <t>SOC. COMERCIAL PET DEL VALLE</t>
  </si>
  <si>
    <t>AV. MIGUEL RAMIREZ 1550 LOC. 15</t>
  </si>
  <si>
    <t>OPARD1465</t>
  </si>
  <si>
    <t>262661376</t>
  </si>
  <si>
    <t>NOMBRE RETIRA: CARKA ABRAHAM . RUT RETIRA: 17932661-2</t>
  </si>
  <si>
    <t>Avenida la siembra 4217, casa 211</t>
  </si>
  <si>
    <t>2026-01-21 12:09</t>
  </si>
  <si>
    <t>LAQ10686</t>
  </si>
  <si>
    <t>262518351</t>
  </si>
  <si>
    <t>NOMBRE RETIRA: DAVID MONRETO M RUT RETIRA: 65203087-4</t>
  </si>
  <si>
    <t>Jorge Ross 975, T1D77</t>
  </si>
  <si>
    <t>SAG_T0352</t>
  </si>
  <si>
    <t>262055547</t>
  </si>
  <si>
    <t>NOMBRE RETIRA: MIKAELA CANO . RUT RETIRA: 19790879-3</t>
  </si>
  <si>
    <t>Alavanguardia - Mundo Barefoot</t>
  </si>
  <si>
    <t>2 Ote. 1186, Viña del Mar, Valparaíso</t>
  </si>
  <si>
    <t>MMEDD923</t>
  </si>
  <si>
    <t>262017440</t>
  </si>
  <si>
    <t>NOMBRE RETIRA: PATRICIO ESPARZA X RUT RETIRA: 10205002-9</t>
  </si>
  <si>
    <t>Lucas Uribe</t>
  </si>
  <si>
    <t>Pedro de Valdivia, 810</t>
  </si>
  <si>
    <t>2026-01-12 13:33</t>
  </si>
  <si>
    <t>GMP1494</t>
  </si>
  <si>
    <t>261915572</t>
  </si>
  <si>
    <t>NOMBRE RETIRA: JORGE . . RUT RETIRA: 18996487-0</t>
  </si>
  <si>
    <t>Los Canelos 350, CASA 2</t>
  </si>
  <si>
    <t>2026-01-10 11:58</t>
  </si>
  <si>
    <t>MSE3188</t>
  </si>
  <si>
    <t>261915731</t>
  </si>
  <si>
    <t>NOMBRE RETIRA: KATHERINE LORCA . RUT RETIRA: 16142658-K</t>
  </si>
  <si>
    <t>Claudio Godoi Campos</t>
  </si>
  <si>
    <t>Avenida Belloto 942, belloto norte, Quilpué</t>
  </si>
  <si>
    <t>2026-01-10 12:00</t>
  </si>
  <si>
    <t>laq10654</t>
  </si>
  <si>
    <t>261693888</t>
  </si>
  <si>
    <t>NOMBRE RETIRA: GLORIA CASTANEDA . RUT RETIRA: 13831953-9</t>
  </si>
  <si>
    <t>Gloria Castañeda</t>
  </si>
  <si>
    <t>Pasaje Ninhue s/n  Casa roja con reja negra al fondo casa blanca con azul</t>
  </si>
  <si>
    <t>MSE3181</t>
  </si>
  <si>
    <t>261637314</t>
  </si>
  <si>
    <t>NOMBRE RETIRA: FRANCISCI OPAZO . RUT RETIRA: 19152188-9</t>
  </si>
  <si>
    <t>Francisco Javier Cortez Peñaloza</t>
  </si>
  <si>
    <t>Manuel Guerrero 322, Casa esquina color amarillo. , Sector Achupallas</t>
  </si>
  <si>
    <t>2026-01-06 21:22</t>
  </si>
  <si>
    <t>OPARD1452</t>
  </si>
  <si>
    <t>261504816</t>
  </si>
  <si>
    <t>NOMBRE RETIRA: DANIELA VASQUEZ ARELLANO RUT RETIRA: 18810212-3</t>
  </si>
  <si>
    <t>Daniela Vásquez Arellano</t>
  </si>
  <si>
    <t>gmp1483</t>
  </si>
  <si>
    <t>261505121</t>
  </si>
  <si>
    <t>NOMBRE RETIRA: LUZ ABBOT J RUT RETIRA: 9953752-3</t>
  </si>
  <si>
    <t>Luz María Abbott</t>
  </si>
  <si>
    <t>Camino Linderos 4985, parcela 5</t>
  </si>
  <si>
    <t>2026-01-05 14:18</t>
  </si>
  <si>
    <t>OPARD1449</t>
  </si>
  <si>
    <t>261504845</t>
  </si>
  <si>
    <t>NOMBRE RETIRA: CECILIA SANDOVAL SANDOVAL RUT RETIRA: 53319551-2</t>
  </si>
  <si>
    <t>Carmenpaz Campos luengo</t>
  </si>
  <si>
    <t>Antilhue 25, Departamento 325</t>
  </si>
  <si>
    <t>2026-01-05 14:15</t>
  </si>
  <si>
    <t>OPARD1454</t>
  </si>
  <si>
    <t>261506426</t>
  </si>
  <si>
    <t>NOMBRE RETIRA: ROBERTO BORQUEZ . RUT RETIRA: 17119471-7</t>
  </si>
  <si>
    <t>Romina Ammann</t>
  </si>
  <si>
    <t>Riveros Cruz 618</t>
  </si>
  <si>
    <t>GMP1480</t>
  </si>
  <si>
    <t>261179699</t>
  </si>
  <si>
    <t>NOMBRE RETIRA: EDNA ARMIJO . RUT RETIRA: 12030931-5</t>
  </si>
  <si>
    <t>Edna Armijo</t>
  </si>
  <si>
    <t>San Ignacio 80</t>
  </si>
  <si>
    <t>2025-12-30 13:49</t>
  </si>
  <si>
    <t>MME914</t>
  </si>
  <si>
    <t>261174687</t>
  </si>
  <si>
    <t>NOMBRE RETIRA: BORIS MAULEN . RUT RETIRA: 16510588-5</t>
  </si>
  <si>
    <t>Boris Maulen</t>
  </si>
  <si>
    <t>Avenida Francisco de Paula Ginebra 1338</t>
  </si>
  <si>
    <t>MSE3159</t>
  </si>
  <si>
    <t>260642848</t>
  </si>
  <si>
    <t>NOMBRE RETIRA: FABIAN PAVEZ CISTERNAS RUT RETIRA: 18596056-0</t>
  </si>
  <si>
    <t>Fabian Pavez Cisternas</t>
  </si>
  <si>
    <t>2025-12-23 11:46</t>
  </si>
  <si>
    <t>OPARD1441</t>
  </si>
  <si>
    <t>260860780</t>
  </si>
  <si>
    <t>NOMBRE RETIRA: NATALIA ALARCON . RUT RETIRA: 11898538-9</t>
  </si>
  <si>
    <t>Natalia Alarcon</t>
  </si>
  <si>
    <t>Canto del valle 1922, torre laja depto 504</t>
  </si>
  <si>
    <t>GMP1471</t>
  </si>
  <si>
    <t>260903335</t>
  </si>
  <si>
    <t>Los Churquis 735</t>
  </si>
  <si>
    <t>LAQ10625</t>
  </si>
  <si>
    <t>260875537</t>
  </si>
  <si>
    <t>NOMBRE RETIRA: ALEJANDRA QUINTERO QUINTERO RUT RETIRA: 65203087-4</t>
  </si>
  <si>
    <t>2025-12-26 12:08</t>
  </si>
  <si>
    <t>MME911</t>
  </si>
  <si>
    <t>260871504</t>
  </si>
  <si>
    <t>NOMBRE RETIRA: BENJAMIN REYES A RUT RETIRA: 20137133-3</t>
  </si>
  <si>
    <t>Javiera Chavalos</t>
  </si>
  <si>
    <t>Av Bernardo O’Higgins , 108, SAN ROQUE</t>
  </si>
  <si>
    <t>STG1034</t>
  </si>
  <si>
    <t>262744798</t>
  </si>
  <si>
    <t>STREETGYM</t>
  </si>
  <si>
    <t>NOMBRE RETIRA: HERNAN ITE . RUT RETIRA: 65242785-5</t>
  </si>
  <si>
    <t>Nicolás Benvenuto González</t>
  </si>
  <si>
    <t>Martín Rivas 2600, F-124</t>
  </si>
  <si>
    <t>2026-01-22 13:20</t>
  </si>
  <si>
    <t>STG1031</t>
  </si>
  <si>
    <t>262352725</t>
  </si>
  <si>
    <t>NOMBRE RETIRA: CARLOA ORTEGA . RUT RETIRA: 26790597-5</t>
  </si>
  <si>
    <t>Carlos Ortega</t>
  </si>
  <si>
    <t>Empalme a ruta 5 sur 1022, Bodega de insumosur</t>
  </si>
  <si>
    <t>STG1022</t>
  </si>
  <si>
    <t>261346326</t>
  </si>
  <si>
    <t>NOMBRE RETIRA: FABIOLA LEGUE . RUT RETIRA: 15270956-0</t>
  </si>
  <si>
    <t>Fabiola Legue Martinez</t>
  </si>
  <si>
    <t>Beaucheff 1724, Casa</t>
  </si>
  <si>
    <t>2026-01-02 16:56</t>
  </si>
  <si>
    <t>STG1033</t>
  </si>
  <si>
    <t>9428854761</t>
  </si>
  <si>
    <t>Aaron Padron</t>
  </si>
  <si>
    <t>Pasaje Chirigue 2100, Casa</t>
  </si>
  <si>
    <t>STG1025</t>
  </si>
  <si>
    <t>9425373521</t>
  </si>
  <si>
    <t>salomon Marin</t>
  </si>
  <si>
    <t>Del Carmen 171, comuna paine, Sitio</t>
  </si>
  <si>
    <t>2026-01-06 13:54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</si>
</sst>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340A]\ * #,##0_-;\-[$$-340A]\ * #,##0_-;_-[$$-340A]\ * &quot;-&quot;_-;_-@_-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4" fontId="7" fillId="0" borderId="12" xfId="0" applyNumberFormat="1" applyFont="1" applyBorder="1"/>
    <xf numFmtId="164" fontId="2" fillId="0" borderId="12" xfId="0" applyNumberFormat="1" applyFont="1" applyBorder="1"/>
    <xf numFmtId="164" fontId="4" fillId="0" borderId="12" xfId="0" applyNumberFormat="1" applyFont="1" applyBorder="1"/>
    <xf numFmtId="0" fontId="0" fillId="0" borderId="0" xfId="0" applyAlignment="1">
      <alignment horizontal="center"/>
    </xf>
    <xf numFmtId="165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5" fontId="6" fillId="0" borderId="14" xfId="42" applyNumberFormat="1" applyFont="1" applyBorder="1" applyAlignment="1">
      <alignment horizontal="center"/>
    </xf>
    <xf numFmtId="164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1079030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zoomScale="90" zoomScaleNormal="90" workbookViewId="0">
      <selection activeCell="E17" sqref="E17"/>
    </sheetView>
  </sheetViews>
  <sheetFormatPr baseColWidth="10" defaultRowHeight="14.4" x14ac:dyDescent="0.3"/>
  <cols>
    <col min="2" max="2" width="16.6640625" customWidth="1"/>
    <col min="3" max="3" width="18.6640625" customWidth="1"/>
    <col min="4" max="4" width="44.109375" style="14" bestFit="1" customWidth="1"/>
    <col min="5" max="5" width="16.44140625" customWidth="1"/>
  </cols>
  <sheetData>
    <row r="2" spans="3:5" ht="21" x14ac:dyDescent="0.4">
      <c r="C2" s="1" t="s">
        <v>4</v>
      </c>
      <c r="D2" t="str">
        <f>IF(Detalle!F2="",Detalle!E2,Detalle!F2)</f>
        <v>Stocka</v>
      </c>
      <c r="E2" s="4">
        <v>46063</v>
      </c>
    </row>
    <row r="3" spans="3:5" x14ac:dyDescent="0.3">
      <c r="C3" s="5" t="s">
        <v>5</v>
      </c>
    </row>
    <row r="4" spans="3:5" ht="15.6" x14ac:dyDescent="0.3">
      <c r="C4" s="6" t="s">
        <v>2</v>
      </c>
      <c r="D4" s="9" t="s">
        <v>3</v>
      </c>
      <c r="E4" s="10"/>
    </row>
    <row r="5" spans="3:5" ht="15.6" x14ac:dyDescent="0.3">
      <c r="C5" s="7" t="s">
        <v>30</v>
      </c>
      <c r="D5" s="8">
        <f>COUNTIF(Detalle!I:I,"connect")</f>
        <v>0</v>
      </c>
      <c r="E5" s="11">
        <f>SUMIF(Detalle!I:I,"connect",Detalle!V:V)</f>
        <v>0</v>
      </c>
    </row>
    <row r="6" spans="3:5" ht="15.6" x14ac:dyDescent="0.3">
      <c r="C6" s="7" t="s">
        <v>31</v>
      </c>
      <c r="D6" s="8">
        <f>COUNTIF(Detalle!I:I,"distribucion")</f>
        <v>1638</v>
      </c>
      <c r="E6" s="11">
        <f>SUMIF(Detalle!I:I,"distribucion",Detalle!V:V)</f>
        <v>8003551.3400000092</v>
      </c>
    </row>
    <row r="7" spans="3:5" ht="15.6" x14ac:dyDescent="0.3">
      <c r="C7" s="7" t="s">
        <v>32</v>
      </c>
      <c r="D7" s="8">
        <f>COUNTIF(Detalle!I:I,"pasarela-pro")</f>
        <v>0</v>
      </c>
      <c r="E7" s="11">
        <f>SUMIF(Detalle!I:I,"pasarela-pro",Detalle!V:V)</f>
        <v>0</v>
      </c>
    </row>
    <row r="8" spans="3:5" ht="15.6" x14ac:dyDescent="0.3">
      <c r="C8" s="7" t="s">
        <v>33</v>
      </c>
      <c r="D8" s="8">
        <f>COUNTIF(Detalle!I:I,"enviatrack")</f>
        <v>0</v>
      </c>
      <c r="E8" s="11">
        <f>SUMIF(Detalle!I:I,"enviatrack",Detalle!V:V)</f>
        <v>0</v>
      </c>
    </row>
    <row r="9" spans="3:5" ht="15.6" x14ac:dyDescent="0.3">
      <c r="C9" s="7" t="s">
        <v>23</v>
      </c>
      <c r="D9" s="8">
        <f>COUNTIF(Detalle!I:I,"Retiros S/C")</f>
        <v>0</v>
      </c>
      <c r="E9" s="11">
        <f>SUMIF(Detalle!I:I,"Retiros S/C",Detalle!V:V)</f>
        <v>0</v>
      </c>
    </row>
    <row r="10" spans="3:5" ht="15.6" x14ac:dyDescent="0.3">
      <c r="C10" s="7" t="s">
        <v>24</v>
      </c>
      <c r="D10" s="8">
        <f>COUNTIF(Detalle!I:I,"porPagar")</f>
        <v>0</v>
      </c>
      <c r="E10" s="11">
        <f>SUMIF(Detalle!I:I,"porPagar",Detalle!V:V)</f>
        <v>0</v>
      </c>
    </row>
    <row r="11" spans="3:5" ht="15.6" x14ac:dyDescent="0.3">
      <c r="C11" s="7" t="s">
        <v>25</v>
      </c>
      <c r="D11" s="8">
        <f>COUNTIF(Detalle!I:I,"marketcenter")</f>
        <v>0</v>
      </c>
      <c r="E11" s="11">
        <f>SUMIF(Detalle!I:I,"marketcenter",Detalle!V:V)</f>
        <v>0</v>
      </c>
    </row>
    <row r="12" spans="3:5" ht="15.6" x14ac:dyDescent="0.3">
      <c r="C12" s="7" t="s">
        <v>37</v>
      </c>
      <c r="D12" s="8">
        <f>COUNTIF(Detalle!I:I,"flex")</f>
        <v>0</v>
      </c>
      <c r="E12" s="11">
        <f>SUMIF(Detalle!I:I,"flex",Detalle!V:V)</f>
        <v>0</v>
      </c>
    </row>
    <row r="13" spans="3:5" ht="15.6" x14ac:dyDescent="0.3">
      <c r="C13" s="7" t="s">
        <v>26</v>
      </c>
      <c r="D13" s="8">
        <f>COUNTIF(Detalle!I:I,"mensajeria")</f>
        <v>0</v>
      </c>
      <c r="E13" s="11">
        <f>SUMIF(Detalle!I:I,"mensajeria",Detalle!V:V)</f>
        <v>0</v>
      </c>
    </row>
    <row r="14" spans="3:5" ht="15.6" x14ac:dyDescent="0.3">
      <c r="C14" s="7"/>
      <c r="D14" s="8"/>
      <c r="E14" s="20"/>
    </row>
    <row r="15" spans="3:5" ht="15.6" x14ac:dyDescent="0.3">
      <c r="C15" s="17" t="s">
        <v>6</v>
      </c>
      <c r="D15" s="18"/>
      <c r="E15" s="19">
        <v>0</v>
      </c>
    </row>
    <row r="16" spans="3:5" ht="15.6" x14ac:dyDescent="0.3">
      <c r="C16" s="2" t="s">
        <v>7</v>
      </c>
      <c r="D16" s="15"/>
      <c r="E16" s="11">
        <v>0</v>
      </c>
    </row>
    <row r="17" spans="3:5" ht="15.6" x14ac:dyDescent="0.3">
      <c r="C17" s="2" t="s">
        <v>8</v>
      </c>
      <c r="D17" s="16"/>
      <c r="E17" s="12">
        <f>SUM(E5:E16)</f>
        <v>8003551.3400000092</v>
      </c>
    </row>
    <row r="18" spans="3:5" ht="17.25" customHeight="1" x14ac:dyDescent="0.3">
      <c r="C18" s="2"/>
      <c r="D18" s="16"/>
      <c r="E18" s="12"/>
    </row>
    <row r="19" spans="3:5" ht="15.6" x14ac:dyDescent="0.3">
      <c r="C19" s="2" t="s">
        <v>0</v>
      </c>
      <c r="D19" s="16"/>
      <c r="E19" s="12">
        <f>E17*0.19</f>
        <v>1520674.7546000017</v>
      </c>
    </row>
    <row r="20" spans="3:5" ht="15.6" x14ac:dyDescent="0.3">
      <c r="C20" s="3" t="s">
        <v>1</v>
      </c>
      <c r="D20" s="16"/>
      <c r="E20" s="13">
        <f>+E17+E19</f>
        <v>9524226.0946000107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39"/>
  <sheetViews>
    <sheetView tabSelected="1" zoomScale="90" zoomScaleNormal="90" workbookViewId="0">
      <selection activeCell="F2" sqref="F2"/>
    </sheetView>
  </sheetViews>
  <sheetFormatPr baseColWidth="10" defaultColWidth="13.77734375" defaultRowHeight="14.4" x14ac:dyDescent="0.3"/>
  <sheetData>
    <row r="1" spans="1:22" x14ac:dyDescent="0.3">
      <c r="A1" t="s">
        <v>27</v>
      </c>
      <c r="B1" t="s">
        <v>22</v>
      </c>
      <c r="C1" t="s">
        <v>9</v>
      </c>
      <c r="D1" t="s">
        <v>10</v>
      </c>
      <c r="E1" t="s">
        <v>20</v>
      </c>
      <c r="F1" t="s">
        <v>38</v>
      </c>
      <c r="G1" t="s">
        <v>11</v>
      </c>
      <c r="H1" t="s">
        <v>12</v>
      </c>
      <c r="I1" t="s">
        <v>35</v>
      </c>
      <c r="J1" t="s">
        <v>39</v>
      </c>
      <c r="K1" t="s">
        <v>19</v>
      </c>
      <c r="L1" t="s">
        <v>13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36</v>
      </c>
      <c r="T1" t="s">
        <v>28</v>
      </c>
      <c r="U1" t="s">
        <v>40</v>
      </c>
      <c r="V1" t="s">
        <v>29</v>
      </c>
    </row>
    <row r="2" spans="1:22" x14ac:dyDescent="0.3">
      <c r="A2">
        <v>79452</v>
      </c>
      <c r="B2">
        <v>137289731</v>
      </c>
      <c r="C2" t="s">
        <v>511</v>
      </c>
      <c r="D2" t="s">
        <v>512</v>
      </c>
      <c r="E2" t="s">
        <v>513</v>
      </c>
      <c r="F2" t="s">
        <v>514</v>
      </c>
      <c r="G2" t="s">
        <v>43</v>
      </c>
      <c r="H2" t="s">
        <v>44</v>
      </c>
      <c r="I2" t="s">
        <v>34</v>
      </c>
      <c r="J2" t="s">
        <v>45</v>
      </c>
      <c r="K2" t="s">
        <v>54</v>
      </c>
      <c r="L2" t="s">
        <v>55</v>
      </c>
      <c r="M2" t="s">
        <v>515</v>
      </c>
      <c r="N2" t="s">
        <v>516</v>
      </c>
      <c r="O2" t="s">
        <v>64</v>
      </c>
      <c r="P2" t="s">
        <v>517</v>
      </c>
      <c r="Q2" t="s">
        <v>52</v>
      </c>
      <c r="R2" t="s">
        <v>518</v>
      </c>
      <c r="S2">
        <v>1.24</v>
      </c>
      <c r="T2">
        <v>13140.76</v>
      </c>
      <c r="U2">
        <v>0</v>
      </c>
      <c r="V2">
        <v>13140.76</v>
      </c>
    </row>
    <row r="3" spans="1:22" x14ac:dyDescent="0.3">
      <c r="A3">
        <v>79452</v>
      </c>
      <c r="B3">
        <v>138591647</v>
      </c>
      <c r="C3" t="s">
        <v>519</v>
      </c>
      <c r="D3" t="s">
        <v>520</v>
      </c>
      <c r="E3" t="s">
        <v>513</v>
      </c>
      <c r="F3" t="s">
        <v>514</v>
      </c>
      <c r="G3" t="s">
        <v>43</v>
      </c>
      <c r="H3" t="s">
        <v>44</v>
      </c>
      <c r="I3" t="s">
        <v>34</v>
      </c>
      <c r="J3" t="s">
        <v>45</v>
      </c>
      <c r="K3" t="s">
        <v>41</v>
      </c>
      <c r="L3" t="s">
        <v>521</v>
      </c>
      <c r="M3" t="s">
        <v>522</v>
      </c>
      <c r="N3" t="s">
        <v>516</v>
      </c>
      <c r="O3" t="s">
        <v>64</v>
      </c>
      <c r="P3" t="s">
        <v>523</v>
      </c>
      <c r="Q3" t="s">
        <v>62</v>
      </c>
      <c r="R3" t="s">
        <v>409</v>
      </c>
      <c r="S3">
        <v>0.93</v>
      </c>
      <c r="T3">
        <v>3936</v>
      </c>
      <c r="U3">
        <v>0</v>
      </c>
      <c r="V3">
        <v>3936</v>
      </c>
    </row>
    <row r="4" spans="1:22" x14ac:dyDescent="0.3">
      <c r="A4">
        <v>79452</v>
      </c>
      <c r="B4">
        <v>138586739</v>
      </c>
      <c r="C4" t="s">
        <v>524</v>
      </c>
      <c r="D4" t="s">
        <v>525</v>
      </c>
      <c r="E4" t="s">
        <v>513</v>
      </c>
      <c r="F4" t="s">
        <v>514</v>
      </c>
      <c r="G4" t="s">
        <v>43</v>
      </c>
      <c r="H4" t="s">
        <v>44</v>
      </c>
      <c r="I4" t="s">
        <v>34</v>
      </c>
      <c r="J4" t="s">
        <v>45</v>
      </c>
      <c r="K4" t="s">
        <v>41</v>
      </c>
      <c r="L4" t="s">
        <v>526</v>
      </c>
      <c r="M4" t="s">
        <v>527</v>
      </c>
      <c r="N4" t="s">
        <v>516</v>
      </c>
      <c r="O4" t="s">
        <v>64</v>
      </c>
      <c r="P4" t="s">
        <v>528</v>
      </c>
      <c r="Q4" t="s">
        <v>108</v>
      </c>
      <c r="R4" t="s">
        <v>420</v>
      </c>
      <c r="S4">
        <v>0.92</v>
      </c>
      <c r="T4">
        <v>3501</v>
      </c>
      <c r="U4">
        <v>0</v>
      </c>
      <c r="V4">
        <v>3501</v>
      </c>
    </row>
    <row r="5" spans="1:22" x14ac:dyDescent="0.3">
      <c r="A5">
        <v>79452</v>
      </c>
      <c r="B5">
        <v>138586744</v>
      </c>
      <c r="C5" t="s">
        <v>529</v>
      </c>
      <c r="D5" t="s">
        <v>530</v>
      </c>
      <c r="E5" t="s">
        <v>513</v>
      </c>
      <c r="F5" t="s">
        <v>514</v>
      </c>
      <c r="G5" t="s">
        <v>43</v>
      </c>
      <c r="H5" t="s">
        <v>44</v>
      </c>
      <c r="I5" t="s">
        <v>34</v>
      </c>
      <c r="J5" t="s">
        <v>45</v>
      </c>
      <c r="K5" t="s">
        <v>41</v>
      </c>
      <c r="L5" t="s">
        <v>531</v>
      </c>
      <c r="M5" t="s">
        <v>414</v>
      </c>
      <c r="N5" t="s">
        <v>516</v>
      </c>
      <c r="O5" t="s">
        <v>64</v>
      </c>
      <c r="P5" t="s">
        <v>532</v>
      </c>
      <c r="Q5" t="s">
        <v>48</v>
      </c>
      <c r="R5" t="s">
        <v>420</v>
      </c>
      <c r="S5">
        <v>0.47</v>
      </c>
      <c r="T5">
        <v>3828</v>
      </c>
      <c r="U5">
        <v>0</v>
      </c>
      <c r="V5">
        <v>3828</v>
      </c>
    </row>
    <row r="6" spans="1:22" x14ac:dyDescent="0.3">
      <c r="A6">
        <v>79452</v>
      </c>
      <c r="B6">
        <v>138211941</v>
      </c>
      <c r="C6" t="s">
        <v>533</v>
      </c>
      <c r="D6" t="s">
        <v>534</v>
      </c>
      <c r="E6" t="s">
        <v>513</v>
      </c>
      <c r="F6" t="s">
        <v>514</v>
      </c>
      <c r="G6" t="s">
        <v>43</v>
      </c>
      <c r="H6" t="s">
        <v>44</v>
      </c>
      <c r="I6" t="s">
        <v>34</v>
      </c>
      <c r="J6" t="s">
        <v>45</v>
      </c>
      <c r="K6" t="s">
        <v>41</v>
      </c>
      <c r="L6" t="s">
        <v>535</v>
      </c>
      <c r="M6" t="s">
        <v>159</v>
      </c>
      <c r="N6" t="s">
        <v>516</v>
      </c>
      <c r="O6" t="s">
        <v>64</v>
      </c>
      <c r="P6" t="s">
        <v>536</v>
      </c>
      <c r="Q6" t="s">
        <v>68</v>
      </c>
      <c r="R6" t="s">
        <v>537</v>
      </c>
      <c r="S6">
        <v>1.07</v>
      </c>
      <c r="T6">
        <v>5990</v>
      </c>
      <c r="U6">
        <v>0</v>
      </c>
      <c r="V6">
        <v>5990</v>
      </c>
    </row>
    <row r="7" spans="1:22" x14ac:dyDescent="0.3">
      <c r="A7">
        <v>79452</v>
      </c>
      <c r="B7">
        <v>138577491</v>
      </c>
      <c r="C7" t="s">
        <v>538</v>
      </c>
      <c r="D7" t="s">
        <v>539</v>
      </c>
      <c r="E7" t="s">
        <v>513</v>
      </c>
      <c r="F7" t="s">
        <v>514</v>
      </c>
      <c r="G7" t="s">
        <v>43</v>
      </c>
      <c r="H7" t="s">
        <v>44</v>
      </c>
      <c r="I7" t="s">
        <v>34</v>
      </c>
      <c r="J7" t="s">
        <v>45</v>
      </c>
      <c r="K7" t="s">
        <v>41</v>
      </c>
      <c r="L7" t="s">
        <v>540</v>
      </c>
      <c r="M7" t="s">
        <v>345</v>
      </c>
      <c r="N7" t="s">
        <v>516</v>
      </c>
      <c r="O7" t="s">
        <v>64</v>
      </c>
      <c r="P7" t="s">
        <v>541</v>
      </c>
      <c r="Q7" t="s">
        <v>118</v>
      </c>
      <c r="R7" t="s">
        <v>542</v>
      </c>
      <c r="S7">
        <v>1.56</v>
      </c>
      <c r="T7">
        <v>4230</v>
      </c>
      <c r="U7">
        <v>0</v>
      </c>
      <c r="V7">
        <v>4230</v>
      </c>
    </row>
    <row r="8" spans="1:22" x14ac:dyDescent="0.3">
      <c r="A8">
        <v>79452</v>
      </c>
      <c r="B8">
        <v>138591635</v>
      </c>
      <c r="C8" t="s">
        <v>543</v>
      </c>
      <c r="D8" t="s">
        <v>544</v>
      </c>
      <c r="E8" t="s">
        <v>513</v>
      </c>
      <c r="F8" t="s">
        <v>514</v>
      </c>
      <c r="G8" t="s">
        <v>43</v>
      </c>
      <c r="H8" t="s">
        <v>44</v>
      </c>
      <c r="I8" t="s">
        <v>34</v>
      </c>
      <c r="J8" t="s">
        <v>45</v>
      </c>
      <c r="K8" t="s">
        <v>41</v>
      </c>
      <c r="L8" t="s">
        <v>545</v>
      </c>
      <c r="M8" t="s">
        <v>546</v>
      </c>
      <c r="N8" t="s">
        <v>516</v>
      </c>
      <c r="O8" t="s">
        <v>64</v>
      </c>
      <c r="P8" t="s">
        <v>547</v>
      </c>
      <c r="Q8" t="s">
        <v>62</v>
      </c>
      <c r="R8" t="s">
        <v>409</v>
      </c>
      <c r="S8">
        <v>1.53</v>
      </c>
      <c r="T8">
        <v>3936</v>
      </c>
      <c r="U8">
        <v>0</v>
      </c>
      <c r="V8">
        <v>3936</v>
      </c>
    </row>
    <row r="9" spans="1:22" x14ac:dyDescent="0.3">
      <c r="A9">
        <v>79452</v>
      </c>
      <c r="B9">
        <v>138577492</v>
      </c>
      <c r="C9" t="s">
        <v>548</v>
      </c>
      <c r="D9" t="s">
        <v>549</v>
      </c>
      <c r="E9" t="s">
        <v>513</v>
      </c>
      <c r="F9" t="s">
        <v>514</v>
      </c>
      <c r="G9" t="s">
        <v>43</v>
      </c>
      <c r="H9" t="s">
        <v>44</v>
      </c>
      <c r="I9" t="s">
        <v>34</v>
      </c>
      <c r="J9" t="s">
        <v>45</v>
      </c>
      <c r="K9" t="s">
        <v>41</v>
      </c>
      <c r="L9" t="s">
        <v>550</v>
      </c>
      <c r="M9" t="s">
        <v>551</v>
      </c>
      <c r="N9" t="s">
        <v>516</v>
      </c>
      <c r="O9" t="s">
        <v>64</v>
      </c>
      <c r="P9" t="s">
        <v>552</v>
      </c>
      <c r="Q9" t="s">
        <v>97</v>
      </c>
      <c r="R9" t="s">
        <v>542</v>
      </c>
      <c r="S9">
        <v>0.93</v>
      </c>
      <c r="T9">
        <v>4520</v>
      </c>
      <c r="U9">
        <v>0</v>
      </c>
      <c r="V9">
        <v>4520</v>
      </c>
    </row>
    <row r="10" spans="1:22" x14ac:dyDescent="0.3">
      <c r="A10">
        <v>79452</v>
      </c>
      <c r="B10">
        <v>138538392</v>
      </c>
      <c r="C10" t="s">
        <v>553</v>
      </c>
      <c r="D10" t="s">
        <v>554</v>
      </c>
      <c r="E10" t="s">
        <v>513</v>
      </c>
      <c r="F10" t="s">
        <v>514</v>
      </c>
      <c r="G10" t="s">
        <v>43</v>
      </c>
      <c r="H10" t="s">
        <v>44</v>
      </c>
      <c r="I10" t="s">
        <v>34</v>
      </c>
      <c r="J10" t="s">
        <v>45</v>
      </c>
      <c r="K10" t="s">
        <v>41</v>
      </c>
      <c r="L10" t="s">
        <v>555</v>
      </c>
      <c r="M10" t="s">
        <v>556</v>
      </c>
      <c r="N10" t="s">
        <v>516</v>
      </c>
      <c r="O10" t="s">
        <v>64</v>
      </c>
      <c r="P10" t="s">
        <v>557</v>
      </c>
      <c r="Q10" t="s">
        <v>50</v>
      </c>
      <c r="R10" t="s">
        <v>482</v>
      </c>
      <c r="S10">
        <v>0.84</v>
      </c>
      <c r="T10">
        <v>5406</v>
      </c>
      <c r="U10">
        <v>0</v>
      </c>
      <c r="V10">
        <v>5406</v>
      </c>
    </row>
    <row r="11" spans="1:22" x14ac:dyDescent="0.3">
      <c r="A11">
        <v>79452</v>
      </c>
      <c r="B11">
        <v>138577500</v>
      </c>
      <c r="C11" t="s">
        <v>558</v>
      </c>
      <c r="D11" t="s">
        <v>559</v>
      </c>
      <c r="E11" t="s">
        <v>513</v>
      </c>
      <c r="F11" t="s">
        <v>514</v>
      </c>
      <c r="G11" t="s">
        <v>43</v>
      </c>
      <c r="H11" t="s">
        <v>44</v>
      </c>
      <c r="I11" t="s">
        <v>34</v>
      </c>
      <c r="J11" t="s">
        <v>45</v>
      </c>
      <c r="K11" t="s">
        <v>41</v>
      </c>
      <c r="L11" t="s">
        <v>560</v>
      </c>
      <c r="M11" t="s">
        <v>561</v>
      </c>
      <c r="N11" t="s">
        <v>516</v>
      </c>
      <c r="O11" t="s">
        <v>64</v>
      </c>
      <c r="P11" t="s">
        <v>562</v>
      </c>
      <c r="Q11" t="s">
        <v>61</v>
      </c>
      <c r="R11" t="s">
        <v>542</v>
      </c>
      <c r="S11">
        <v>0.91</v>
      </c>
      <c r="T11">
        <v>3501</v>
      </c>
      <c r="U11">
        <v>0</v>
      </c>
      <c r="V11">
        <v>3501</v>
      </c>
    </row>
    <row r="12" spans="1:22" x14ac:dyDescent="0.3">
      <c r="A12">
        <v>79452</v>
      </c>
      <c r="B12">
        <v>138591649</v>
      </c>
      <c r="C12" t="s">
        <v>563</v>
      </c>
      <c r="D12" t="s">
        <v>564</v>
      </c>
      <c r="E12" t="s">
        <v>513</v>
      </c>
      <c r="F12" t="s">
        <v>514</v>
      </c>
      <c r="G12" t="s">
        <v>43</v>
      </c>
      <c r="H12" t="s">
        <v>44</v>
      </c>
      <c r="I12" t="s">
        <v>34</v>
      </c>
      <c r="J12" t="s">
        <v>45</v>
      </c>
      <c r="K12" t="s">
        <v>41</v>
      </c>
      <c r="L12" t="s">
        <v>565</v>
      </c>
      <c r="M12" t="s">
        <v>566</v>
      </c>
      <c r="N12" t="s">
        <v>516</v>
      </c>
      <c r="O12" t="s">
        <v>64</v>
      </c>
      <c r="P12" t="s">
        <v>567</v>
      </c>
      <c r="Q12" t="s">
        <v>125</v>
      </c>
      <c r="R12" t="s">
        <v>409</v>
      </c>
      <c r="S12">
        <v>0.64</v>
      </c>
      <c r="T12">
        <v>4230</v>
      </c>
      <c r="U12">
        <v>0</v>
      </c>
      <c r="V12">
        <v>4230</v>
      </c>
    </row>
    <row r="13" spans="1:22" x14ac:dyDescent="0.3">
      <c r="A13">
        <v>79452</v>
      </c>
      <c r="B13">
        <v>138512389</v>
      </c>
      <c r="C13" t="s">
        <v>568</v>
      </c>
      <c r="D13" t="s">
        <v>569</v>
      </c>
      <c r="E13" t="s">
        <v>513</v>
      </c>
      <c r="F13" t="s">
        <v>514</v>
      </c>
      <c r="G13" t="s">
        <v>43</v>
      </c>
      <c r="H13" t="s">
        <v>44</v>
      </c>
      <c r="I13" t="s">
        <v>34</v>
      </c>
      <c r="J13" t="s">
        <v>45</v>
      </c>
      <c r="K13" t="s">
        <v>41</v>
      </c>
      <c r="L13" t="s">
        <v>570</v>
      </c>
      <c r="M13" t="s">
        <v>571</v>
      </c>
      <c r="N13" t="s">
        <v>516</v>
      </c>
      <c r="O13" t="s">
        <v>64</v>
      </c>
      <c r="P13" t="s">
        <v>572</v>
      </c>
      <c r="Q13" t="s">
        <v>50</v>
      </c>
      <c r="R13" t="s">
        <v>265</v>
      </c>
      <c r="S13">
        <v>1.22</v>
      </c>
      <c r="T13">
        <v>5406</v>
      </c>
      <c r="U13">
        <v>0</v>
      </c>
      <c r="V13">
        <v>5406</v>
      </c>
    </row>
    <row r="14" spans="1:22" x14ac:dyDescent="0.3">
      <c r="A14">
        <v>79452</v>
      </c>
      <c r="B14">
        <v>138512399</v>
      </c>
      <c r="C14" t="s">
        <v>573</v>
      </c>
      <c r="D14" t="s">
        <v>574</v>
      </c>
      <c r="E14" t="s">
        <v>513</v>
      </c>
      <c r="F14" t="s">
        <v>514</v>
      </c>
      <c r="G14" t="s">
        <v>43</v>
      </c>
      <c r="H14" t="s">
        <v>44</v>
      </c>
      <c r="I14" t="s">
        <v>34</v>
      </c>
      <c r="J14" t="s">
        <v>45</v>
      </c>
      <c r="K14" t="s">
        <v>41</v>
      </c>
      <c r="L14" t="s">
        <v>575</v>
      </c>
      <c r="M14" t="s">
        <v>576</v>
      </c>
      <c r="N14" t="s">
        <v>516</v>
      </c>
      <c r="O14" t="s">
        <v>64</v>
      </c>
      <c r="P14" t="s">
        <v>577</v>
      </c>
      <c r="Q14" t="s">
        <v>82</v>
      </c>
      <c r="R14" t="s">
        <v>265</v>
      </c>
      <c r="S14">
        <v>0.72</v>
      </c>
      <c r="T14">
        <v>5990</v>
      </c>
      <c r="U14">
        <v>0</v>
      </c>
      <c r="V14">
        <v>5990</v>
      </c>
    </row>
    <row r="15" spans="1:22" x14ac:dyDescent="0.3">
      <c r="A15">
        <v>79452</v>
      </c>
      <c r="B15">
        <v>138550778</v>
      </c>
      <c r="C15" t="s">
        <v>578</v>
      </c>
      <c r="D15" t="s">
        <v>579</v>
      </c>
      <c r="E15" t="s">
        <v>513</v>
      </c>
      <c r="F15" t="s">
        <v>514</v>
      </c>
      <c r="G15" t="s">
        <v>43</v>
      </c>
      <c r="H15" t="s">
        <v>44</v>
      </c>
      <c r="I15" t="s">
        <v>34</v>
      </c>
      <c r="J15" t="s">
        <v>45</v>
      </c>
      <c r="K15" t="s">
        <v>41</v>
      </c>
      <c r="L15" t="s">
        <v>580</v>
      </c>
      <c r="M15" t="s">
        <v>581</v>
      </c>
      <c r="N15" t="s">
        <v>516</v>
      </c>
      <c r="O15" t="s">
        <v>64</v>
      </c>
      <c r="P15" t="s">
        <v>582</v>
      </c>
      <c r="Q15" t="s">
        <v>82</v>
      </c>
      <c r="R15" t="s">
        <v>300</v>
      </c>
      <c r="S15">
        <v>0.62</v>
      </c>
      <c r="T15">
        <v>5990</v>
      </c>
      <c r="U15">
        <v>0</v>
      </c>
      <c r="V15">
        <v>5990</v>
      </c>
    </row>
    <row r="16" spans="1:22" x14ac:dyDescent="0.3">
      <c r="A16">
        <v>79452</v>
      </c>
      <c r="B16">
        <v>138410894</v>
      </c>
      <c r="C16" t="s">
        <v>583</v>
      </c>
      <c r="D16" t="s">
        <v>584</v>
      </c>
      <c r="E16" t="s">
        <v>513</v>
      </c>
      <c r="F16" t="s">
        <v>514</v>
      </c>
      <c r="G16" t="s">
        <v>43</v>
      </c>
      <c r="H16" t="s">
        <v>44</v>
      </c>
      <c r="I16" t="s">
        <v>34</v>
      </c>
      <c r="J16" t="s">
        <v>45</v>
      </c>
      <c r="K16" t="s">
        <v>41</v>
      </c>
      <c r="L16" t="s">
        <v>585</v>
      </c>
      <c r="M16" t="s">
        <v>586</v>
      </c>
      <c r="N16" t="s">
        <v>516</v>
      </c>
      <c r="O16" t="s">
        <v>64</v>
      </c>
      <c r="P16" t="s">
        <v>587</v>
      </c>
      <c r="Q16" t="s">
        <v>111</v>
      </c>
      <c r="R16" t="s">
        <v>442</v>
      </c>
      <c r="S16">
        <v>1</v>
      </c>
      <c r="T16">
        <v>5696</v>
      </c>
      <c r="U16">
        <v>0</v>
      </c>
      <c r="V16">
        <v>5696</v>
      </c>
    </row>
    <row r="17" spans="1:22" x14ac:dyDescent="0.3">
      <c r="A17">
        <v>79452</v>
      </c>
      <c r="B17">
        <v>138554166</v>
      </c>
      <c r="C17" t="s">
        <v>588</v>
      </c>
      <c r="D17" t="s">
        <v>589</v>
      </c>
      <c r="E17" t="s">
        <v>513</v>
      </c>
      <c r="F17" t="s">
        <v>514</v>
      </c>
      <c r="G17" t="s">
        <v>43</v>
      </c>
      <c r="H17" t="s">
        <v>44</v>
      </c>
      <c r="I17" t="s">
        <v>34</v>
      </c>
      <c r="J17" t="s">
        <v>45</v>
      </c>
      <c r="K17" t="s">
        <v>41</v>
      </c>
      <c r="L17" t="s">
        <v>590</v>
      </c>
      <c r="M17" t="s">
        <v>591</v>
      </c>
      <c r="N17" t="s">
        <v>516</v>
      </c>
      <c r="O17" t="s">
        <v>64</v>
      </c>
      <c r="P17" t="s">
        <v>592</v>
      </c>
      <c r="Q17" t="s">
        <v>82</v>
      </c>
      <c r="R17" t="s">
        <v>475</v>
      </c>
      <c r="S17">
        <v>1.06</v>
      </c>
      <c r="T17">
        <v>5990</v>
      </c>
      <c r="U17">
        <v>0</v>
      </c>
      <c r="V17">
        <v>5990</v>
      </c>
    </row>
    <row r="18" spans="1:22" x14ac:dyDescent="0.3">
      <c r="A18">
        <v>79452</v>
      </c>
      <c r="B18">
        <v>138586749</v>
      </c>
      <c r="C18" t="s">
        <v>593</v>
      </c>
      <c r="D18" t="s">
        <v>594</v>
      </c>
      <c r="E18" t="s">
        <v>513</v>
      </c>
      <c r="F18" t="s">
        <v>514</v>
      </c>
      <c r="G18" t="s">
        <v>43</v>
      </c>
      <c r="H18" t="s">
        <v>44</v>
      </c>
      <c r="I18" t="s">
        <v>34</v>
      </c>
      <c r="J18" t="s">
        <v>45</v>
      </c>
      <c r="K18" t="s">
        <v>41</v>
      </c>
      <c r="L18" t="s">
        <v>595</v>
      </c>
      <c r="M18" t="s">
        <v>596</v>
      </c>
      <c r="N18" t="s">
        <v>516</v>
      </c>
      <c r="O18" t="s">
        <v>64</v>
      </c>
      <c r="P18" t="s">
        <v>597</v>
      </c>
      <c r="Q18" t="s">
        <v>90</v>
      </c>
      <c r="R18" t="s">
        <v>420</v>
      </c>
      <c r="S18">
        <v>1.0900000000000001</v>
      </c>
      <c r="T18">
        <v>3904</v>
      </c>
      <c r="U18">
        <v>0</v>
      </c>
      <c r="V18">
        <v>3904</v>
      </c>
    </row>
    <row r="19" spans="1:22" x14ac:dyDescent="0.3">
      <c r="A19">
        <v>79452</v>
      </c>
      <c r="B19">
        <v>138550779</v>
      </c>
      <c r="C19" t="s">
        <v>598</v>
      </c>
      <c r="D19" t="s">
        <v>599</v>
      </c>
      <c r="E19" t="s">
        <v>513</v>
      </c>
      <c r="F19" t="s">
        <v>514</v>
      </c>
      <c r="G19" t="s">
        <v>43</v>
      </c>
      <c r="H19" t="s">
        <v>44</v>
      </c>
      <c r="I19" t="s">
        <v>34</v>
      </c>
      <c r="J19" t="s">
        <v>45</v>
      </c>
      <c r="K19" t="s">
        <v>41</v>
      </c>
      <c r="L19" t="s">
        <v>600</v>
      </c>
      <c r="M19" t="s">
        <v>601</v>
      </c>
      <c r="N19" t="s">
        <v>516</v>
      </c>
      <c r="O19" t="s">
        <v>64</v>
      </c>
      <c r="P19" t="s">
        <v>602</v>
      </c>
      <c r="Q19" t="s">
        <v>125</v>
      </c>
      <c r="R19" t="s">
        <v>300</v>
      </c>
      <c r="S19">
        <v>1.1599999999999999</v>
      </c>
      <c r="T19">
        <v>4230</v>
      </c>
      <c r="U19">
        <v>0</v>
      </c>
      <c r="V19">
        <v>4230</v>
      </c>
    </row>
    <row r="20" spans="1:22" x14ac:dyDescent="0.3">
      <c r="A20">
        <v>79452</v>
      </c>
      <c r="B20">
        <v>138512397</v>
      </c>
      <c r="C20" t="s">
        <v>603</v>
      </c>
      <c r="D20" t="s">
        <v>604</v>
      </c>
      <c r="E20" t="s">
        <v>513</v>
      </c>
      <c r="F20" t="s">
        <v>514</v>
      </c>
      <c r="G20" t="s">
        <v>43</v>
      </c>
      <c r="H20" t="s">
        <v>44</v>
      </c>
      <c r="I20" t="s">
        <v>34</v>
      </c>
      <c r="J20" t="s">
        <v>45</v>
      </c>
      <c r="K20" t="s">
        <v>41</v>
      </c>
      <c r="L20" t="s">
        <v>605</v>
      </c>
      <c r="M20" t="s">
        <v>606</v>
      </c>
      <c r="N20" t="s">
        <v>516</v>
      </c>
      <c r="O20" t="s">
        <v>64</v>
      </c>
      <c r="P20" t="s">
        <v>607</v>
      </c>
      <c r="Q20" t="s">
        <v>67</v>
      </c>
      <c r="R20" t="s">
        <v>265</v>
      </c>
      <c r="S20">
        <v>1.2</v>
      </c>
      <c r="T20">
        <v>3936</v>
      </c>
      <c r="U20">
        <v>0</v>
      </c>
      <c r="V20">
        <v>3936</v>
      </c>
    </row>
    <row r="21" spans="1:22" x14ac:dyDescent="0.3">
      <c r="A21">
        <v>79452</v>
      </c>
      <c r="B21">
        <v>138550794</v>
      </c>
      <c r="C21" t="s">
        <v>608</v>
      </c>
      <c r="D21" t="s">
        <v>609</v>
      </c>
      <c r="E21" t="s">
        <v>513</v>
      </c>
      <c r="F21" t="s">
        <v>514</v>
      </c>
      <c r="G21" t="s">
        <v>43</v>
      </c>
      <c r="H21" t="s">
        <v>44</v>
      </c>
      <c r="I21" t="s">
        <v>34</v>
      </c>
      <c r="J21" t="s">
        <v>45</v>
      </c>
      <c r="K21" t="s">
        <v>41</v>
      </c>
      <c r="L21" t="s">
        <v>610</v>
      </c>
      <c r="M21" t="s">
        <v>611</v>
      </c>
      <c r="N21" t="s">
        <v>516</v>
      </c>
      <c r="O21" t="s">
        <v>64</v>
      </c>
      <c r="P21" t="s">
        <v>612</v>
      </c>
      <c r="Q21" t="s">
        <v>97</v>
      </c>
      <c r="R21" t="s">
        <v>300</v>
      </c>
      <c r="S21">
        <v>0.95</v>
      </c>
      <c r="T21">
        <v>4520</v>
      </c>
      <c r="U21">
        <v>0</v>
      </c>
      <c r="V21">
        <v>4520</v>
      </c>
    </row>
    <row r="22" spans="1:22" x14ac:dyDescent="0.3">
      <c r="A22">
        <v>79452</v>
      </c>
      <c r="B22">
        <v>138512369</v>
      </c>
      <c r="C22" t="s">
        <v>613</v>
      </c>
      <c r="D22" t="s">
        <v>614</v>
      </c>
      <c r="E22" t="s">
        <v>513</v>
      </c>
      <c r="F22" t="s">
        <v>514</v>
      </c>
      <c r="G22" t="s">
        <v>43</v>
      </c>
      <c r="H22" t="s">
        <v>44</v>
      </c>
      <c r="I22" t="s">
        <v>34</v>
      </c>
      <c r="J22" t="s">
        <v>45</v>
      </c>
      <c r="K22" t="s">
        <v>41</v>
      </c>
      <c r="L22" t="s">
        <v>437</v>
      </c>
      <c r="M22" t="s">
        <v>615</v>
      </c>
      <c r="N22" t="s">
        <v>516</v>
      </c>
      <c r="O22" t="s">
        <v>64</v>
      </c>
      <c r="P22" t="s">
        <v>616</v>
      </c>
      <c r="Q22" t="s">
        <v>90</v>
      </c>
      <c r="R22" t="s">
        <v>265</v>
      </c>
      <c r="S22">
        <v>0.71</v>
      </c>
      <c r="T22">
        <v>3904</v>
      </c>
      <c r="U22">
        <v>0</v>
      </c>
      <c r="V22">
        <v>3904</v>
      </c>
    </row>
    <row r="23" spans="1:22" x14ac:dyDescent="0.3">
      <c r="A23">
        <v>79452</v>
      </c>
      <c r="B23">
        <v>138538396</v>
      </c>
      <c r="C23" t="s">
        <v>617</v>
      </c>
      <c r="D23" t="s">
        <v>618</v>
      </c>
      <c r="E23" t="s">
        <v>513</v>
      </c>
      <c r="F23" t="s">
        <v>514</v>
      </c>
      <c r="G23" t="s">
        <v>43</v>
      </c>
      <c r="H23" t="s">
        <v>44</v>
      </c>
      <c r="I23" t="s">
        <v>34</v>
      </c>
      <c r="J23" t="s">
        <v>45</v>
      </c>
      <c r="K23" t="s">
        <v>41</v>
      </c>
      <c r="L23" t="s">
        <v>619</v>
      </c>
      <c r="M23" t="s">
        <v>620</v>
      </c>
      <c r="N23" t="s">
        <v>516</v>
      </c>
      <c r="O23" t="s">
        <v>64</v>
      </c>
      <c r="P23" t="s">
        <v>621</v>
      </c>
      <c r="Q23" t="s">
        <v>90</v>
      </c>
      <c r="R23" t="s">
        <v>482</v>
      </c>
      <c r="S23">
        <v>0.76</v>
      </c>
      <c r="T23">
        <v>3904</v>
      </c>
      <c r="U23">
        <v>0</v>
      </c>
      <c r="V23">
        <v>3904</v>
      </c>
    </row>
    <row r="24" spans="1:22" x14ac:dyDescent="0.3">
      <c r="A24">
        <v>79452</v>
      </c>
      <c r="B24">
        <v>138410846</v>
      </c>
      <c r="C24" t="s">
        <v>622</v>
      </c>
      <c r="D24" t="s">
        <v>623</v>
      </c>
      <c r="E24" t="s">
        <v>513</v>
      </c>
      <c r="F24" t="s">
        <v>514</v>
      </c>
      <c r="G24" t="s">
        <v>43</v>
      </c>
      <c r="H24" t="s">
        <v>44</v>
      </c>
      <c r="I24" t="s">
        <v>34</v>
      </c>
      <c r="J24" t="s">
        <v>45</v>
      </c>
      <c r="K24" t="s">
        <v>41</v>
      </c>
      <c r="L24" t="s">
        <v>624</v>
      </c>
      <c r="M24" t="s">
        <v>625</v>
      </c>
      <c r="N24" t="s">
        <v>516</v>
      </c>
      <c r="O24" t="s">
        <v>64</v>
      </c>
      <c r="P24" t="s">
        <v>626</v>
      </c>
      <c r="Q24" t="s">
        <v>81</v>
      </c>
      <c r="R24" t="s">
        <v>442</v>
      </c>
      <c r="S24">
        <v>1.93</v>
      </c>
      <c r="T24">
        <v>3501</v>
      </c>
      <c r="U24">
        <v>0</v>
      </c>
      <c r="V24">
        <v>3501</v>
      </c>
    </row>
    <row r="25" spans="1:22" x14ac:dyDescent="0.3">
      <c r="A25">
        <v>79452</v>
      </c>
      <c r="B25">
        <v>138113019</v>
      </c>
      <c r="C25" t="s">
        <v>627</v>
      </c>
      <c r="D25" t="s">
        <v>628</v>
      </c>
      <c r="E25" t="s">
        <v>513</v>
      </c>
      <c r="F25" t="s">
        <v>514</v>
      </c>
      <c r="G25" t="s">
        <v>43</v>
      </c>
      <c r="H25" t="s">
        <v>44</v>
      </c>
      <c r="I25" t="s">
        <v>34</v>
      </c>
      <c r="J25" t="s">
        <v>45</v>
      </c>
      <c r="K25" t="s">
        <v>41</v>
      </c>
      <c r="L25" t="s">
        <v>629</v>
      </c>
      <c r="M25" t="s">
        <v>630</v>
      </c>
      <c r="N25" t="s">
        <v>516</v>
      </c>
      <c r="O25" t="s">
        <v>64</v>
      </c>
      <c r="P25" t="s">
        <v>631</v>
      </c>
      <c r="Q25" t="s">
        <v>68</v>
      </c>
      <c r="R25" t="s">
        <v>299</v>
      </c>
      <c r="S25">
        <v>1.24</v>
      </c>
      <c r="T25">
        <v>5990</v>
      </c>
      <c r="U25">
        <v>0</v>
      </c>
      <c r="V25">
        <v>5990</v>
      </c>
    </row>
    <row r="26" spans="1:22" x14ac:dyDescent="0.3">
      <c r="A26">
        <v>79452</v>
      </c>
      <c r="B26">
        <v>138458965</v>
      </c>
      <c r="C26" t="s">
        <v>632</v>
      </c>
      <c r="D26" t="s">
        <v>633</v>
      </c>
      <c r="E26" t="s">
        <v>513</v>
      </c>
      <c r="F26" t="s">
        <v>514</v>
      </c>
      <c r="G26" t="s">
        <v>43</v>
      </c>
      <c r="H26" t="s">
        <v>44</v>
      </c>
      <c r="I26" t="s">
        <v>34</v>
      </c>
      <c r="J26" t="s">
        <v>45</v>
      </c>
      <c r="K26" t="s">
        <v>41</v>
      </c>
      <c r="L26" t="s">
        <v>634</v>
      </c>
      <c r="M26" t="s">
        <v>467</v>
      </c>
      <c r="N26" t="s">
        <v>516</v>
      </c>
      <c r="O26" t="s">
        <v>64</v>
      </c>
      <c r="P26" t="s">
        <v>635</v>
      </c>
      <c r="Q26" t="s">
        <v>50</v>
      </c>
      <c r="R26" t="s">
        <v>636</v>
      </c>
      <c r="S26">
        <v>2.09</v>
      </c>
      <c r="T26">
        <v>5406</v>
      </c>
      <c r="U26">
        <v>0</v>
      </c>
      <c r="V26">
        <v>5406</v>
      </c>
    </row>
    <row r="27" spans="1:22" x14ac:dyDescent="0.3">
      <c r="A27">
        <v>79452</v>
      </c>
      <c r="B27">
        <v>138141847</v>
      </c>
      <c r="C27" t="s">
        <v>637</v>
      </c>
      <c r="D27" t="s">
        <v>638</v>
      </c>
      <c r="E27" t="s">
        <v>513</v>
      </c>
      <c r="F27" t="s">
        <v>514</v>
      </c>
      <c r="G27" t="s">
        <v>43</v>
      </c>
      <c r="H27" t="s">
        <v>44</v>
      </c>
      <c r="I27" t="s">
        <v>34</v>
      </c>
      <c r="J27" t="s">
        <v>45</v>
      </c>
      <c r="K27" t="s">
        <v>41</v>
      </c>
      <c r="L27" t="s">
        <v>639</v>
      </c>
      <c r="M27" t="s">
        <v>640</v>
      </c>
      <c r="N27" t="s">
        <v>516</v>
      </c>
      <c r="O27" t="s">
        <v>64</v>
      </c>
      <c r="P27" t="s">
        <v>641</v>
      </c>
      <c r="Q27" t="s">
        <v>68</v>
      </c>
      <c r="R27" t="s">
        <v>642</v>
      </c>
      <c r="S27">
        <v>1.29</v>
      </c>
      <c r="T27">
        <v>5990</v>
      </c>
      <c r="U27">
        <v>0</v>
      </c>
      <c r="V27">
        <v>5990</v>
      </c>
    </row>
    <row r="28" spans="1:22" x14ac:dyDescent="0.3">
      <c r="A28">
        <v>79452</v>
      </c>
      <c r="B28">
        <v>138498126</v>
      </c>
      <c r="C28" t="s">
        <v>643</v>
      </c>
      <c r="D28" t="s">
        <v>644</v>
      </c>
      <c r="E28" t="s">
        <v>513</v>
      </c>
      <c r="F28" t="s">
        <v>514</v>
      </c>
      <c r="G28" t="s">
        <v>43</v>
      </c>
      <c r="H28" t="s">
        <v>44</v>
      </c>
      <c r="I28" t="s">
        <v>34</v>
      </c>
      <c r="J28" t="s">
        <v>45</v>
      </c>
      <c r="K28" t="s">
        <v>41</v>
      </c>
      <c r="L28" t="s">
        <v>645</v>
      </c>
      <c r="M28" t="s">
        <v>646</v>
      </c>
      <c r="N28" t="s">
        <v>516</v>
      </c>
      <c r="O28" t="s">
        <v>64</v>
      </c>
      <c r="P28" t="s">
        <v>647</v>
      </c>
      <c r="Q28" t="s">
        <v>120</v>
      </c>
      <c r="R28" t="s">
        <v>502</v>
      </c>
      <c r="S28">
        <v>1.68</v>
      </c>
      <c r="T28">
        <v>3904</v>
      </c>
      <c r="U28">
        <v>0</v>
      </c>
      <c r="V28">
        <v>3904</v>
      </c>
    </row>
    <row r="29" spans="1:22" x14ac:dyDescent="0.3">
      <c r="A29">
        <v>79452</v>
      </c>
      <c r="B29">
        <v>138512376</v>
      </c>
      <c r="C29" t="s">
        <v>648</v>
      </c>
      <c r="D29" t="s">
        <v>649</v>
      </c>
      <c r="E29" t="s">
        <v>513</v>
      </c>
      <c r="F29" t="s">
        <v>514</v>
      </c>
      <c r="G29" t="s">
        <v>43</v>
      </c>
      <c r="H29" t="s">
        <v>44</v>
      </c>
      <c r="I29" t="s">
        <v>34</v>
      </c>
      <c r="J29" t="s">
        <v>45</v>
      </c>
      <c r="K29" t="s">
        <v>41</v>
      </c>
      <c r="L29" t="s">
        <v>650</v>
      </c>
      <c r="M29" t="s">
        <v>651</v>
      </c>
      <c r="N29" t="s">
        <v>516</v>
      </c>
      <c r="O29" t="s">
        <v>64</v>
      </c>
      <c r="P29" t="s">
        <v>652</v>
      </c>
      <c r="Q29" t="s">
        <v>90</v>
      </c>
      <c r="R29" t="s">
        <v>265</v>
      </c>
      <c r="S29">
        <v>1.27</v>
      </c>
      <c r="T29">
        <v>3904</v>
      </c>
      <c r="U29">
        <v>0</v>
      </c>
      <c r="V29">
        <v>3904</v>
      </c>
    </row>
    <row r="30" spans="1:22" x14ac:dyDescent="0.3">
      <c r="A30">
        <v>79452</v>
      </c>
      <c r="B30">
        <v>138550786</v>
      </c>
      <c r="C30" t="s">
        <v>653</v>
      </c>
      <c r="D30" t="s">
        <v>654</v>
      </c>
      <c r="E30" t="s">
        <v>513</v>
      </c>
      <c r="F30" t="s">
        <v>514</v>
      </c>
      <c r="G30" t="s">
        <v>43</v>
      </c>
      <c r="H30" t="s">
        <v>44</v>
      </c>
      <c r="I30" t="s">
        <v>34</v>
      </c>
      <c r="J30" t="s">
        <v>45</v>
      </c>
      <c r="K30" t="s">
        <v>41</v>
      </c>
      <c r="L30" t="s">
        <v>655</v>
      </c>
      <c r="M30" t="s">
        <v>656</v>
      </c>
      <c r="N30" t="s">
        <v>516</v>
      </c>
      <c r="O30" t="s">
        <v>64</v>
      </c>
      <c r="P30" t="s">
        <v>657</v>
      </c>
      <c r="Q30" t="s">
        <v>106</v>
      </c>
      <c r="R30" t="s">
        <v>300</v>
      </c>
      <c r="S30">
        <v>0.8</v>
      </c>
      <c r="T30">
        <v>4025</v>
      </c>
      <c r="U30">
        <v>0</v>
      </c>
      <c r="V30">
        <v>4025</v>
      </c>
    </row>
    <row r="31" spans="1:22" x14ac:dyDescent="0.3">
      <c r="A31">
        <v>79452</v>
      </c>
      <c r="B31">
        <v>138554167</v>
      </c>
      <c r="C31" t="s">
        <v>658</v>
      </c>
      <c r="D31" t="s">
        <v>659</v>
      </c>
      <c r="E31" t="s">
        <v>513</v>
      </c>
      <c r="F31" t="s">
        <v>514</v>
      </c>
      <c r="G31" t="s">
        <v>43</v>
      </c>
      <c r="H31" t="s">
        <v>44</v>
      </c>
      <c r="I31" t="s">
        <v>34</v>
      </c>
      <c r="J31" t="s">
        <v>45</v>
      </c>
      <c r="K31" t="s">
        <v>41</v>
      </c>
      <c r="L31" t="s">
        <v>660</v>
      </c>
      <c r="M31" t="s">
        <v>455</v>
      </c>
      <c r="N31" t="s">
        <v>516</v>
      </c>
      <c r="O31" t="s">
        <v>64</v>
      </c>
      <c r="P31" t="s">
        <v>661</v>
      </c>
      <c r="Q31" t="s">
        <v>61</v>
      </c>
      <c r="R31" t="s">
        <v>475</v>
      </c>
      <c r="S31">
        <v>1.23</v>
      </c>
      <c r="T31">
        <v>3501</v>
      </c>
      <c r="U31">
        <v>0</v>
      </c>
      <c r="V31">
        <v>3501</v>
      </c>
    </row>
    <row r="32" spans="1:22" x14ac:dyDescent="0.3">
      <c r="A32">
        <v>79452</v>
      </c>
      <c r="B32">
        <v>138512371</v>
      </c>
      <c r="C32" t="s">
        <v>662</v>
      </c>
      <c r="D32" t="s">
        <v>663</v>
      </c>
      <c r="E32" t="s">
        <v>513</v>
      </c>
      <c r="F32" t="s">
        <v>514</v>
      </c>
      <c r="G32" t="s">
        <v>43</v>
      </c>
      <c r="H32" t="s">
        <v>44</v>
      </c>
      <c r="I32" t="s">
        <v>34</v>
      </c>
      <c r="J32" t="s">
        <v>45</v>
      </c>
      <c r="K32" t="s">
        <v>41</v>
      </c>
      <c r="L32" t="s">
        <v>664</v>
      </c>
      <c r="M32" t="s">
        <v>665</v>
      </c>
      <c r="N32" t="s">
        <v>516</v>
      </c>
      <c r="O32" t="s">
        <v>64</v>
      </c>
      <c r="P32" t="s">
        <v>666</v>
      </c>
      <c r="Q32" t="s">
        <v>75</v>
      </c>
      <c r="R32" t="s">
        <v>265</v>
      </c>
      <c r="S32">
        <v>0.93</v>
      </c>
      <c r="T32">
        <v>3904</v>
      </c>
      <c r="U32">
        <v>0</v>
      </c>
      <c r="V32">
        <v>3904</v>
      </c>
    </row>
    <row r="33" spans="1:22" x14ac:dyDescent="0.3">
      <c r="A33">
        <v>79452</v>
      </c>
      <c r="B33">
        <v>138512367</v>
      </c>
      <c r="C33" t="s">
        <v>667</v>
      </c>
      <c r="D33" t="s">
        <v>668</v>
      </c>
      <c r="E33" t="s">
        <v>513</v>
      </c>
      <c r="F33" t="s">
        <v>514</v>
      </c>
      <c r="G33" t="s">
        <v>43</v>
      </c>
      <c r="H33" t="s">
        <v>44</v>
      </c>
      <c r="I33" t="s">
        <v>34</v>
      </c>
      <c r="J33" t="s">
        <v>45</v>
      </c>
      <c r="K33" t="s">
        <v>41</v>
      </c>
      <c r="L33" t="s">
        <v>669</v>
      </c>
      <c r="M33" t="s">
        <v>670</v>
      </c>
      <c r="N33" t="s">
        <v>516</v>
      </c>
      <c r="O33" t="s">
        <v>64</v>
      </c>
      <c r="P33" t="s">
        <v>671</v>
      </c>
      <c r="Q33" t="s">
        <v>42</v>
      </c>
      <c r="R33" t="s">
        <v>265</v>
      </c>
      <c r="S33">
        <v>1.77</v>
      </c>
      <c r="T33">
        <v>3936</v>
      </c>
      <c r="U33">
        <v>0</v>
      </c>
      <c r="V33">
        <v>3936</v>
      </c>
    </row>
    <row r="34" spans="1:22" x14ac:dyDescent="0.3">
      <c r="A34">
        <v>79452</v>
      </c>
      <c r="B34">
        <v>138538402</v>
      </c>
      <c r="C34" t="s">
        <v>672</v>
      </c>
      <c r="D34" t="s">
        <v>673</v>
      </c>
      <c r="E34" t="s">
        <v>513</v>
      </c>
      <c r="F34" t="s">
        <v>514</v>
      </c>
      <c r="G34" t="s">
        <v>43</v>
      </c>
      <c r="H34" t="s">
        <v>44</v>
      </c>
      <c r="I34" t="s">
        <v>34</v>
      </c>
      <c r="J34" t="s">
        <v>45</v>
      </c>
      <c r="K34" t="s">
        <v>41</v>
      </c>
      <c r="L34" t="s">
        <v>674</v>
      </c>
      <c r="M34" t="s">
        <v>471</v>
      </c>
      <c r="N34" t="s">
        <v>516</v>
      </c>
      <c r="O34" t="s">
        <v>64</v>
      </c>
      <c r="P34" t="s">
        <v>675</v>
      </c>
      <c r="Q34" t="s">
        <v>101</v>
      </c>
      <c r="R34" t="s">
        <v>482</v>
      </c>
      <c r="S34">
        <v>1.1499999999999999</v>
      </c>
      <c r="T34">
        <v>3501</v>
      </c>
      <c r="U34">
        <v>0</v>
      </c>
      <c r="V34">
        <v>3501</v>
      </c>
    </row>
    <row r="35" spans="1:22" x14ac:dyDescent="0.3">
      <c r="A35">
        <v>79452</v>
      </c>
      <c r="B35">
        <v>138538394</v>
      </c>
      <c r="C35" t="s">
        <v>676</v>
      </c>
      <c r="D35" t="s">
        <v>677</v>
      </c>
      <c r="E35" t="s">
        <v>513</v>
      </c>
      <c r="F35" t="s">
        <v>514</v>
      </c>
      <c r="G35" t="s">
        <v>43</v>
      </c>
      <c r="H35" t="s">
        <v>44</v>
      </c>
      <c r="I35" t="s">
        <v>34</v>
      </c>
      <c r="J35" t="s">
        <v>45</v>
      </c>
      <c r="K35" t="s">
        <v>41</v>
      </c>
      <c r="L35" t="s">
        <v>678</v>
      </c>
      <c r="M35" t="s">
        <v>679</v>
      </c>
      <c r="N35" t="s">
        <v>516</v>
      </c>
      <c r="O35" t="s">
        <v>64</v>
      </c>
      <c r="P35" t="s">
        <v>680</v>
      </c>
      <c r="Q35" t="s">
        <v>46</v>
      </c>
      <c r="R35" t="s">
        <v>482</v>
      </c>
      <c r="S35">
        <v>1.0900000000000001</v>
      </c>
      <c r="T35">
        <v>3501</v>
      </c>
      <c r="U35">
        <v>0</v>
      </c>
      <c r="V35">
        <v>3501</v>
      </c>
    </row>
    <row r="36" spans="1:22" x14ac:dyDescent="0.3">
      <c r="A36">
        <v>79452</v>
      </c>
      <c r="B36">
        <v>138498132</v>
      </c>
      <c r="C36" t="s">
        <v>681</v>
      </c>
      <c r="D36" t="s">
        <v>682</v>
      </c>
      <c r="E36" t="s">
        <v>513</v>
      </c>
      <c r="F36" t="s">
        <v>514</v>
      </c>
      <c r="G36" t="s">
        <v>43</v>
      </c>
      <c r="H36" t="s">
        <v>44</v>
      </c>
      <c r="I36" t="s">
        <v>34</v>
      </c>
      <c r="J36" t="s">
        <v>45</v>
      </c>
      <c r="K36" t="s">
        <v>41</v>
      </c>
      <c r="L36" t="s">
        <v>683</v>
      </c>
      <c r="M36" t="s">
        <v>684</v>
      </c>
      <c r="N36" t="s">
        <v>516</v>
      </c>
      <c r="O36" t="s">
        <v>64</v>
      </c>
      <c r="P36" t="s">
        <v>685</v>
      </c>
      <c r="Q36" t="s">
        <v>81</v>
      </c>
      <c r="R36" t="s">
        <v>502</v>
      </c>
      <c r="S36">
        <v>1.1499999999999999</v>
      </c>
      <c r="T36">
        <v>3501</v>
      </c>
      <c r="U36">
        <v>0</v>
      </c>
      <c r="V36">
        <v>3501</v>
      </c>
    </row>
    <row r="37" spans="1:22" x14ac:dyDescent="0.3">
      <c r="A37">
        <v>79452</v>
      </c>
      <c r="B37">
        <v>138498128</v>
      </c>
      <c r="C37" t="s">
        <v>686</v>
      </c>
      <c r="D37" t="s">
        <v>687</v>
      </c>
      <c r="E37" t="s">
        <v>513</v>
      </c>
      <c r="F37" t="s">
        <v>514</v>
      </c>
      <c r="G37" t="s">
        <v>43</v>
      </c>
      <c r="H37" t="s">
        <v>44</v>
      </c>
      <c r="I37" t="s">
        <v>34</v>
      </c>
      <c r="J37" t="s">
        <v>45</v>
      </c>
      <c r="K37" t="s">
        <v>41</v>
      </c>
      <c r="L37" t="s">
        <v>688</v>
      </c>
      <c r="M37" t="s">
        <v>689</v>
      </c>
      <c r="N37" t="s">
        <v>516</v>
      </c>
      <c r="O37" t="s">
        <v>64</v>
      </c>
      <c r="P37" t="s">
        <v>690</v>
      </c>
      <c r="Q37" t="s">
        <v>42</v>
      </c>
      <c r="R37" t="s">
        <v>502</v>
      </c>
      <c r="S37">
        <v>1.05</v>
      </c>
      <c r="T37">
        <v>3936</v>
      </c>
      <c r="U37">
        <v>0</v>
      </c>
      <c r="V37">
        <v>3936</v>
      </c>
    </row>
    <row r="38" spans="1:22" x14ac:dyDescent="0.3">
      <c r="A38">
        <v>79452</v>
      </c>
      <c r="B38">
        <v>138512365</v>
      </c>
      <c r="C38" t="s">
        <v>691</v>
      </c>
      <c r="D38" t="s">
        <v>692</v>
      </c>
      <c r="E38" t="s">
        <v>513</v>
      </c>
      <c r="F38" t="s">
        <v>514</v>
      </c>
      <c r="G38" t="s">
        <v>43</v>
      </c>
      <c r="H38" t="s">
        <v>44</v>
      </c>
      <c r="I38" t="s">
        <v>34</v>
      </c>
      <c r="J38" t="s">
        <v>45</v>
      </c>
      <c r="K38" t="s">
        <v>41</v>
      </c>
      <c r="L38" t="s">
        <v>693</v>
      </c>
      <c r="M38" t="s">
        <v>694</v>
      </c>
      <c r="N38" t="s">
        <v>516</v>
      </c>
      <c r="O38" t="s">
        <v>64</v>
      </c>
      <c r="P38" t="s">
        <v>695</v>
      </c>
      <c r="Q38" t="s">
        <v>169</v>
      </c>
      <c r="R38" t="s">
        <v>265</v>
      </c>
      <c r="S38">
        <v>1.41</v>
      </c>
      <c r="T38">
        <v>3904</v>
      </c>
      <c r="U38">
        <v>0</v>
      </c>
      <c r="V38">
        <v>3904</v>
      </c>
    </row>
    <row r="39" spans="1:22" x14ac:dyDescent="0.3">
      <c r="A39">
        <v>79452</v>
      </c>
      <c r="B39">
        <v>138475403</v>
      </c>
      <c r="C39" t="s">
        <v>696</v>
      </c>
      <c r="D39" t="s">
        <v>697</v>
      </c>
      <c r="E39" t="s">
        <v>513</v>
      </c>
      <c r="F39" t="s">
        <v>514</v>
      </c>
      <c r="G39" t="s">
        <v>43</v>
      </c>
      <c r="H39" t="s">
        <v>44</v>
      </c>
      <c r="I39" t="s">
        <v>34</v>
      </c>
      <c r="J39" t="s">
        <v>45</v>
      </c>
      <c r="K39" t="s">
        <v>41</v>
      </c>
      <c r="L39" t="s">
        <v>698</v>
      </c>
      <c r="M39" t="s">
        <v>699</v>
      </c>
      <c r="N39" t="s">
        <v>516</v>
      </c>
      <c r="O39" t="s">
        <v>64</v>
      </c>
      <c r="P39" t="s">
        <v>700</v>
      </c>
      <c r="Q39" t="s">
        <v>193</v>
      </c>
      <c r="R39" t="s">
        <v>701</v>
      </c>
      <c r="S39">
        <v>0.97</v>
      </c>
      <c r="T39">
        <v>3936</v>
      </c>
      <c r="U39">
        <v>0</v>
      </c>
      <c r="V39">
        <v>3936</v>
      </c>
    </row>
    <row r="40" spans="1:22" x14ac:dyDescent="0.3">
      <c r="A40">
        <v>79452</v>
      </c>
      <c r="B40">
        <v>138550793</v>
      </c>
      <c r="C40" t="s">
        <v>702</v>
      </c>
      <c r="D40" t="s">
        <v>703</v>
      </c>
      <c r="E40" t="s">
        <v>513</v>
      </c>
      <c r="F40" t="s">
        <v>514</v>
      </c>
      <c r="G40" t="s">
        <v>43</v>
      </c>
      <c r="H40" t="s">
        <v>44</v>
      </c>
      <c r="I40" t="s">
        <v>34</v>
      </c>
      <c r="J40" t="s">
        <v>45</v>
      </c>
      <c r="K40" t="s">
        <v>41</v>
      </c>
      <c r="L40" t="s">
        <v>704</v>
      </c>
      <c r="M40" t="s">
        <v>705</v>
      </c>
      <c r="N40" t="s">
        <v>516</v>
      </c>
      <c r="O40" t="s">
        <v>64</v>
      </c>
      <c r="P40" t="s">
        <v>706</v>
      </c>
      <c r="Q40" t="s">
        <v>112</v>
      </c>
      <c r="R40" t="s">
        <v>300</v>
      </c>
      <c r="S40">
        <v>0.91</v>
      </c>
      <c r="T40">
        <v>3501</v>
      </c>
      <c r="U40">
        <v>0</v>
      </c>
      <c r="V40">
        <v>3501</v>
      </c>
    </row>
    <row r="41" spans="1:22" x14ac:dyDescent="0.3">
      <c r="A41">
        <v>79452</v>
      </c>
      <c r="B41">
        <v>138538404</v>
      </c>
      <c r="C41" t="s">
        <v>707</v>
      </c>
      <c r="D41" t="s">
        <v>708</v>
      </c>
      <c r="E41" t="s">
        <v>513</v>
      </c>
      <c r="F41" t="s">
        <v>514</v>
      </c>
      <c r="G41" t="s">
        <v>43</v>
      </c>
      <c r="H41" t="s">
        <v>44</v>
      </c>
      <c r="I41" t="s">
        <v>34</v>
      </c>
      <c r="J41" t="s">
        <v>45</v>
      </c>
      <c r="K41" t="s">
        <v>41</v>
      </c>
      <c r="L41" t="s">
        <v>709</v>
      </c>
      <c r="M41" t="s">
        <v>710</v>
      </c>
      <c r="N41" t="s">
        <v>516</v>
      </c>
      <c r="O41" t="s">
        <v>64</v>
      </c>
      <c r="P41" t="s">
        <v>711</v>
      </c>
      <c r="Q41" t="s">
        <v>250</v>
      </c>
      <c r="R41" t="s">
        <v>482</v>
      </c>
      <c r="S41">
        <v>1.85</v>
      </c>
      <c r="T41">
        <v>3904</v>
      </c>
      <c r="U41">
        <v>0</v>
      </c>
      <c r="V41">
        <v>3904</v>
      </c>
    </row>
    <row r="42" spans="1:22" x14ac:dyDescent="0.3">
      <c r="A42">
        <v>79452</v>
      </c>
      <c r="B42">
        <v>138538403</v>
      </c>
      <c r="C42" t="s">
        <v>712</v>
      </c>
      <c r="D42" t="s">
        <v>713</v>
      </c>
      <c r="E42" t="s">
        <v>513</v>
      </c>
      <c r="F42" t="s">
        <v>514</v>
      </c>
      <c r="G42" t="s">
        <v>43</v>
      </c>
      <c r="H42" t="s">
        <v>44</v>
      </c>
      <c r="I42" t="s">
        <v>34</v>
      </c>
      <c r="J42" t="s">
        <v>45</v>
      </c>
      <c r="K42" t="s">
        <v>41</v>
      </c>
      <c r="L42" t="s">
        <v>714</v>
      </c>
      <c r="M42" t="s">
        <v>715</v>
      </c>
      <c r="N42" t="s">
        <v>516</v>
      </c>
      <c r="O42" t="s">
        <v>64</v>
      </c>
      <c r="P42" t="s">
        <v>716</v>
      </c>
      <c r="Q42" t="s">
        <v>87</v>
      </c>
      <c r="R42" t="s">
        <v>482</v>
      </c>
      <c r="S42">
        <v>1.33</v>
      </c>
      <c r="T42">
        <v>4025</v>
      </c>
      <c r="U42">
        <v>0</v>
      </c>
      <c r="V42">
        <v>4025</v>
      </c>
    </row>
    <row r="43" spans="1:22" x14ac:dyDescent="0.3">
      <c r="A43">
        <v>79452</v>
      </c>
      <c r="B43">
        <v>138373620</v>
      </c>
      <c r="C43" t="s">
        <v>717</v>
      </c>
      <c r="D43" t="s">
        <v>718</v>
      </c>
      <c r="E43" t="s">
        <v>513</v>
      </c>
      <c r="F43" t="s">
        <v>514</v>
      </c>
      <c r="G43" t="s">
        <v>43</v>
      </c>
      <c r="H43" t="s">
        <v>44</v>
      </c>
      <c r="I43" t="s">
        <v>34</v>
      </c>
      <c r="J43" t="s">
        <v>45</v>
      </c>
      <c r="K43" t="s">
        <v>41</v>
      </c>
      <c r="L43" t="s">
        <v>719</v>
      </c>
      <c r="M43" t="s">
        <v>720</v>
      </c>
      <c r="N43" t="s">
        <v>516</v>
      </c>
      <c r="O43" t="s">
        <v>64</v>
      </c>
      <c r="P43" t="s">
        <v>721</v>
      </c>
      <c r="Q43" t="s">
        <v>53</v>
      </c>
      <c r="R43" t="s">
        <v>317</v>
      </c>
      <c r="S43">
        <v>1.21</v>
      </c>
      <c r="T43">
        <v>3642</v>
      </c>
      <c r="U43">
        <v>0</v>
      </c>
      <c r="V43">
        <v>3642</v>
      </c>
    </row>
    <row r="44" spans="1:22" x14ac:dyDescent="0.3">
      <c r="A44">
        <v>79452</v>
      </c>
      <c r="B44">
        <v>138431305</v>
      </c>
      <c r="C44" t="s">
        <v>722</v>
      </c>
      <c r="D44" t="s">
        <v>723</v>
      </c>
      <c r="E44" t="s">
        <v>513</v>
      </c>
      <c r="F44" t="s">
        <v>514</v>
      </c>
      <c r="G44" t="s">
        <v>43</v>
      </c>
      <c r="H44" t="s">
        <v>44</v>
      </c>
      <c r="I44" t="s">
        <v>34</v>
      </c>
      <c r="J44" t="s">
        <v>45</v>
      </c>
      <c r="K44" t="s">
        <v>41</v>
      </c>
      <c r="L44" t="s">
        <v>724</v>
      </c>
      <c r="M44" t="s">
        <v>725</v>
      </c>
      <c r="N44" t="s">
        <v>516</v>
      </c>
      <c r="O44" t="s">
        <v>64</v>
      </c>
      <c r="P44" t="s">
        <v>726</v>
      </c>
      <c r="Q44" t="s">
        <v>59</v>
      </c>
      <c r="R44" t="s">
        <v>351</v>
      </c>
      <c r="S44">
        <v>1.3</v>
      </c>
      <c r="T44">
        <v>3501</v>
      </c>
      <c r="U44">
        <v>0</v>
      </c>
      <c r="V44">
        <v>3501</v>
      </c>
    </row>
    <row r="45" spans="1:22" x14ac:dyDescent="0.3">
      <c r="A45">
        <v>79452</v>
      </c>
      <c r="B45">
        <v>138410859</v>
      </c>
      <c r="C45" t="s">
        <v>727</v>
      </c>
      <c r="D45" t="s">
        <v>728</v>
      </c>
      <c r="E45" t="s">
        <v>513</v>
      </c>
      <c r="F45" t="s">
        <v>514</v>
      </c>
      <c r="G45" t="s">
        <v>43</v>
      </c>
      <c r="H45" t="s">
        <v>44</v>
      </c>
      <c r="I45" t="s">
        <v>34</v>
      </c>
      <c r="J45" t="s">
        <v>45</v>
      </c>
      <c r="K45" t="s">
        <v>41</v>
      </c>
      <c r="L45" t="s">
        <v>729</v>
      </c>
      <c r="M45" t="s">
        <v>730</v>
      </c>
      <c r="N45" t="s">
        <v>516</v>
      </c>
      <c r="O45" t="s">
        <v>64</v>
      </c>
      <c r="P45" t="s">
        <v>731</v>
      </c>
      <c r="Q45" t="s">
        <v>82</v>
      </c>
      <c r="R45" t="s">
        <v>442</v>
      </c>
      <c r="S45">
        <v>1.79</v>
      </c>
      <c r="T45">
        <v>5990</v>
      </c>
      <c r="U45">
        <v>0</v>
      </c>
      <c r="V45">
        <v>5990</v>
      </c>
    </row>
    <row r="46" spans="1:22" x14ac:dyDescent="0.3">
      <c r="A46">
        <v>79452</v>
      </c>
      <c r="B46">
        <v>138475414</v>
      </c>
      <c r="C46" t="s">
        <v>732</v>
      </c>
      <c r="D46" t="s">
        <v>733</v>
      </c>
      <c r="E46" t="s">
        <v>513</v>
      </c>
      <c r="F46" t="s">
        <v>514</v>
      </c>
      <c r="G46" t="s">
        <v>43</v>
      </c>
      <c r="H46" t="s">
        <v>44</v>
      </c>
      <c r="I46" t="s">
        <v>34</v>
      </c>
      <c r="J46" t="s">
        <v>45</v>
      </c>
      <c r="K46" t="s">
        <v>41</v>
      </c>
      <c r="L46" t="s">
        <v>734</v>
      </c>
      <c r="M46" t="s">
        <v>735</v>
      </c>
      <c r="N46" t="s">
        <v>516</v>
      </c>
      <c r="O46" t="s">
        <v>64</v>
      </c>
      <c r="P46" t="s">
        <v>736</v>
      </c>
      <c r="Q46" t="s">
        <v>118</v>
      </c>
      <c r="R46" t="s">
        <v>701</v>
      </c>
      <c r="S46">
        <v>0.85</v>
      </c>
      <c r="T46">
        <v>4230</v>
      </c>
      <c r="U46">
        <v>0</v>
      </c>
      <c r="V46">
        <v>4230</v>
      </c>
    </row>
    <row r="47" spans="1:22" x14ac:dyDescent="0.3">
      <c r="A47">
        <v>79452</v>
      </c>
      <c r="B47">
        <v>138458955</v>
      </c>
      <c r="C47" t="s">
        <v>737</v>
      </c>
      <c r="D47" t="s">
        <v>738</v>
      </c>
      <c r="E47" t="s">
        <v>513</v>
      </c>
      <c r="F47" t="s">
        <v>514</v>
      </c>
      <c r="G47" t="s">
        <v>43</v>
      </c>
      <c r="H47" t="s">
        <v>44</v>
      </c>
      <c r="I47" t="s">
        <v>34</v>
      </c>
      <c r="J47" t="s">
        <v>45</v>
      </c>
      <c r="K47" t="s">
        <v>41</v>
      </c>
      <c r="L47" t="s">
        <v>739</v>
      </c>
      <c r="M47" t="s">
        <v>740</v>
      </c>
      <c r="N47" t="s">
        <v>516</v>
      </c>
      <c r="O47" t="s">
        <v>64</v>
      </c>
      <c r="P47" t="s">
        <v>741</v>
      </c>
      <c r="Q47" t="s">
        <v>97</v>
      </c>
      <c r="R47" t="s">
        <v>636</v>
      </c>
      <c r="S47">
        <v>1.7</v>
      </c>
      <c r="T47">
        <v>4520</v>
      </c>
      <c r="U47">
        <v>0</v>
      </c>
      <c r="V47">
        <v>4520</v>
      </c>
    </row>
    <row r="48" spans="1:22" x14ac:dyDescent="0.3">
      <c r="A48">
        <v>79452</v>
      </c>
      <c r="B48">
        <v>138458978</v>
      </c>
      <c r="C48" t="s">
        <v>742</v>
      </c>
      <c r="D48" t="s">
        <v>743</v>
      </c>
      <c r="E48" t="s">
        <v>513</v>
      </c>
      <c r="F48" t="s">
        <v>514</v>
      </c>
      <c r="G48" t="s">
        <v>43</v>
      </c>
      <c r="H48" t="s">
        <v>44</v>
      </c>
      <c r="I48" t="s">
        <v>34</v>
      </c>
      <c r="J48" t="s">
        <v>45</v>
      </c>
      <c r="K48" t="s">
        <v>41</v>
      </c>
      <c r="L48" t="s">
        <v>744</v>
      </c>
      <c r="M48" t="s">
        <v>508</v>
      </c>
      <c r="N48" t="s">
        <v>516</v>
      </c>
      <c r="O48" t="s">
        <v>64</v>
      </c>
      <c r="P48" t="s">
        <v>745</v>
      </c>
      <c r="Q48" t="s">
        <v>74</v>
      </c>
      <c r="R48" t="s">
        <v>746</v>
      </c>
      <c r="S48">
        <v>2.04</v>
      </c>
      <c r="T48">
        <v>3501</v>
      </c>
      <c r="U48">
        <v>0</v>
      </c>
      <c r="V48">
        <v>3501</v>
      </c>
    </row>
    <row r="49" spans="1:22" x14ac:dyDescent="0.3">
      <c r="A49">
        <v>79452</v>
      </c>
      <c r="B49">
        <v>138475399</v>
      </c>
      <c r="C49" t="s">
        <v>747</v>
      </c>
      <c r="D49" t="s">
        <v>748</v>
      </c>
      <c r="E49" t="s">
        <v>513</v>
      </c>
      <c r="F49" t="s">
        <v>514</v>
      </c>
      <c r="G49" t="s">
        <v>43</v>
      </c>
      <c r="H49" t="s">
        <v>44</v>
      </c>
      <c r="I49" t="s">
        <v>34</v>
      </c>
      <c r="J49" t="s">
        <v>45</v>
      </c>
      <c r="K49" t="s">
        <v>41</v>
      </c>
      <c r="L49" t="s">
        <v>749</v>
      </c>
      <c r="M49" t="s">
        <v>750</v>
      </c>
      <c r="N49" t="s">
        <v>516</v>
      </c>
      <c r="O49" t="s">
        <v>64</v>
      </c>
      <c r="P49" t="s">
        <v>751</v>
      </c>
      <c r="Q49" t="s">
        <v>49</v>
      </c>
      <c r="R49" t="s">
        <v>701</v>
      </c>
      <c r="S49">
        <v>0.53</v>
      </c>
      <c r="T49">
        <v>3642</v>
      </c>
      <c r="U49">
        <v>0</v>
      </c>
      <c r="V49">
        <v>3642</v>
      </c>
    </row>
    <row r="50" spans="1:22" x14ac:dyDescent="0.3">
      <c r="A50">
        <v>79452</v>
      </c>
      <c r="B50">
        <v>138383294</v>
      </c>
      <c r="C50" t="s">
        <v>752</v>
      </c>
      <c r="D50" t="s">
        <v>753</v>
      </c>
      <c r="E50" t="s">
        <v>513</v>
      </c>
      <c r="F50" t="s">
        <v>514</v>
      </c>
      <c r="G50" t="s">
        <v>43</v>
      </c>
      <c r="H50" t="s">
        <v>44</v>
      </c>
      <c r="I50" t="s">
        <v>34</v>
      </c>
      <c r="J50" t="s">
        <v>45</v>
      </c>
      <c r="K50" t="s">
        <v>41</v>
      </c>
      <c r="L50" t="s">
        <v>754</v>
      </c>
      <c r="M50" t="s">
        <v>755</v>
      </c>
      <c r="N50" t="s">
        <v>516</v>
      </c>
      <c r="O50" t="s">
        <v>64</v>
      </c>
      <c r="P50" t="s">
        <v>756</v>
      </c>
      <c r="Q50" t="s">
        <v>50</v>
      </c>
      <c r="R50" t="s">
        <v>757</v>
      </c>
      <c r="S50">
        <v>0.78</v>
      </c>
      <c r="T50">
        <v>5406</v>
      </c>
      <c r="U50">
        <v>0</v>
      </c>
      <c r="V50">
        <v>5406</v>
      </c>
    </row>
    <row r="51" spans="1:22" x14ac:dyDescent="0.3">
      <c r="A51">
        <v>79452</v>
      </c>
      <c r="B51">
        <v>138410887</v>
      </c>
      <c r="C51" t="s">
        <v>758</v>
      </c>
      <c r="D51" t="s">
        <v>759</v>
      </c>
      <c r="E51" t="s">
        <v>513</v>
      </c>
      <c r="F51" t="s">
        <v>514</v>
      </c>
      <c r="G51" t="s">
        <v>43</v>
      </c>
      <c r="H51" t="s">
        <v>44</v>
      </c>
      <c r="I51" t="s">
        <v>34</v>
      </c>
      <c r="J51" t="s">
        <v>45</v>
      </c>
      <c r="K51" t="s">
        <v>41</v>
      </c>
      <c r="L51" t="s">
        <v>760</v>
      </c>
      <c r="M51" t="s">
        <v>761</v>
      </c>
      <c r="N51" t="s">
        <v>516</v>
      </c>
      <c r="O51" t="s">
        <v>64</v>
      </c>
      <c r="P51" t="s">
        <v>762</v>
      </c>
      <c r="Q51" t="s">
        <v>82</v>
      </c>
      <c r="R51" t="s">
        <v>442</v>
      </c>
      <c r="S51">
        <v>1.22</v>
      </c>
      <c r="T51">
        <v>5990</v>
      </c>
      <c r="U51">
        <v>0</v>
      </c>
      <c r="V51">
        <v>5990</v>
      </c>
    </row>
    <row r="52" spans="1:22" x14ac:dyDescent="0.3">
      <c r="A52">
        <v>79452</v>
      </c>
      <c r="B52">
        <v>138410850</v>
      </c>
      <c r="C52" t="s">
        <v>763</v>
      </c>
      <c r="D52" t="s">
        <v>764</v>
      </c>
      <c r="E52" t="s">
        <v>513</v>
      </c>
      <c r="F52" t="s">
        <v>514</v>
      </c>
      <c r="G52" t="s">
        <v>43</v>
      </c>
      <c r="H52" t="s">
        <v>44</v>
      </c>
      <c r="I52" t="s">
        <v>34</v>
      </c>
      <c r="J52" t="s">
        <v>45</v>
      </c>
      <c r="K52" t="s">
        <v>41</v>
      </c>
      <c r="L52" t="s">
        <v>765</v>
      </c>
      <c r="M52" t="s">
        <v>766</v>
      </c>
      <c r="N52" t="s">
        <v>516</v>
      </c>
      <c r="O52" t="s">
        <v>64</v>
      </c>
      <c r="P52" t="s">
        <v>767</v>
      </c>
      <c r="Q52" t="s">
        <v>50</v>
      </c>
      <c r="R52" t="s">
        <v>442</v>
      </c>
      <c r="S52">
        <v>1.3</v>
      </c>
      <c r="T52">
        <v>5406</v>
      </c>
      <c r="U52">
        <v>0</v>
      </c>
      <c r="V52">
        <v>5406</v>
      </c>
    </row>
    <row r="53" spans="1:22" x14ac:dyDescent="0.3">
      <c r="A53">
        <v>79452</v>
      </c>
      <c r="B53">
        <v>138475389</v>
      </c>
      <c r="C53" t="s">
        <v>768</v>
      </c>
      <c r="D53" t="s">
        <v>769</v>
      </c>
      <c r="E53" t="s">
        <v>513</v>
      </c>
      <c r="F53" t="s">
        <v>514</v>
      </c>
      <c r="G53" t="s">
        <v>43</v>
      </c>
      <c r="H53" t="s">
        <v>44</v>
      </c>
      <c r="I53" t="s">
        <v>34</v>
      </c>
      <c r="J53" t="s">
        <v>45</v>
      </c>
      <c r="K53" t="s">
        <v>41</v>
      </c>
      <c r="L53" t="s">
        <v>770</v>
      </c>
      <c r="M53" t="s">
        <v>771</v>
      </c>
      <c r="N53" t="s">
        <v>516</v>
      </c>
      <c r="O53" t="s">
        <v>64</v>
      </c>
      <c r="P53" t="s">
        <v>772</v>
      </c>
      <c r="Q53" t="s">
        <v>94</v>
      </c>
      <c r="R53" t="s">
        <v>701</v>
      </c>
      <c r="S53">
        <v>0.57999999999999996</v>
      </c>
      <c r="T53">
        <v>3904</v>
      </c>
      <c r="U53">
        <v>0</v>
      </c>
      <c r="V53">
        <v>3904</v>
      </c>
    </row>
    <row r="54" spans="1:22" x14ac:dyDescent="0.3">
      <c r="A54">
        <v>79452</v>
      </c>
      <c r="B54">
        <v>138475411</v>
      </c>
      <c r="C54" t="s">
        <v>773</v>
      </c>
      <c r="D54" t="s">
        <v>774</v>
      </c>
      <c r="E54" t="s">
        <v>513</v>
      </c>
      <c r="F54" t="s">
        <v>514</v>
      </c>
      <c r="G54" t="s">
        <v>43</v>
      </c>
      <c r="H54" t="s">
        <v>44</v>
      </c>
      <c r="I54" t="s">
        <v>34</v>
      </c>
      <c r="J54" t="s">
        <v>45</v>
      </c>
      <c r="K54" t="s">
        <v>41</v>
      </c>
      <c r="L54" t="s">
        <v>775</v>
      </c>
      <c r="M54" t="s">
        <v>776</v>
      </c>
      <c r="N54" t="s">
        <v>516</v>
      </c>
      <c r="O54" t="s">
        <v>64</v>
      </c>
      <c r="P54" t="s">
        <v>777</v>
      </c>
      <c r="Q54" t="s">
        <v>61</v>
      </c>
      <c r="R54" t="s">
        <v>701</v>
      </c>
      <c r="S54">
        <v>0.86</v>
      </c>
      <c r="T54">
        <v>3501</v>
      </c>
      <c r="U54">
        <v>0</v>
      </c>
      <c r="V54">
        <v>3501</v>
      </c>
    </row>
    <row r="55" spans="1:22" x14ac:dyDescent="0.3">
      <c r="A55">
        <v>79452</v>
      </c>
      <c r="B55">
        <v>138458956</v>
      </c>
      <c r="C55" t="s">
        <v>778</v>
      </c>
      <c r="D55" t="s">
        <v>779</v>
      </c>
      <c r="E55" t="s">
        <v>513</v>
      </c>
      <c r="F55" t="s">
        <v>514</v>
      </c>
      <c r="G55" t="s">
        <v>43</v>
      </c>
      <c r="H55" t="s">
        <v>44</v>
      </c>
      <c r="I55" t="s">
        <v>34</v>
      </c>
      <c r="J55" t="s">
        <v>45</v>
      </c>
      <c r="K55" t="s">
        <v>41</v>
      </c>
      <c r="L55" t="s">
        <v>780</v>
      </c>
      <c r="M55" t="s">
        <v>327</v>
      </c>
      <c r="N55" t="s">
        <v>516</v>
      </c>
      <c r="O55" t="s">
        <v>64</v>
      </c>
      <c r="P55" t="s">
        <v>781</v>
      </c>
      <c r="Q55" t="s">
        <v>108</v>
      </c>
      <c r="R55" t="s">
        <v>636</v>
      </c>
      <c r="S55">
        <v>2.87</v>
      </c>
      <c r="T55">
        <v>3501</v>
      </c>
      <c r="U55">
        <v>0</v>
      </c>
      <c r="V55">
        <v>3501</v>
      </c>
    </row>
    <row r="56" spans="1:22" x14ac:dyDescent="0.3">
      <c r="A56">
        <v>79452</v>
      </c>
      <c r="B56">
        <v>138458947</v>
      </c>
      <c r="C56" t="s">
        <v>782</v>
      </c>
      <c r="D56" t="s">
        <v>783</v>
      </c>
      <c r="E56" t="s">
        <v>513</v>
      </c>
      <c r="F56" t="s">
        <v>514</v>
      </c>
      <c r="G56" t="s">
        <v>43</v>
      </c>
      <c r="H56" t="s">
        <v>44</v>
      </c>
      <c r="I56" t="s">
        <v>34</v>
      </c>
      <c r="J56" t="s">
        <v>45</v>
      </c>
      <c r="K56" t="s">
        <v>41</v>
      </c>
      <c r="L56" t="s">
        <v>784</v>
      </c>
      <c r="M56" t="s">
        <v>785</v>
      </c>
      <c r="N56" t="s">
        <v>516</v>
      </c>
      <c r="O56" t="s">
        <v>64</v>
      </c>
      <c r="P56" t="s">
        <v>786</v>
      </c>
      <c r="Q56" t="s">
        <v>118</v>
      </c>
      <c r="R56" t="s">
        <v>636</v>
      </c>
      <c r="S56">
        <v>1.06</v>
      </c>
      <c r="T56">
        <v>4230</v>
      </c>
      <c r="U56">
        <v>0</v>
      </c>
      <c r="V56">
        <v>4230</v>
      </c>
    </row>
    <row r="57" spans="1:22" x14ac:dyDescent="0.3">
      <c r="A57">
        <v>79452</v>
      </c>
      <c r="B57">
        <v>136635038</v>
      </c>
      <c r="C57" t="s">
        <v>787</v>
      </c>
      <c r="D57" t="s">
        <v>788</v>
      </c>
      <c r="E57" t="s">
        <v>513</v>
      </c>
      <c r="F57" t="s">
        <v>514</v>
      </c>
      <c r="G57" t="s">
        <v>69</v>
      </c>
      <c r="H57" t="s">
        <v>70</v>
      </c>
      <c r="I57" t="s">
        <v>34</v>
      </c>
      <c r="J57" t="s">
        <v>139</v>
      </c>
      <c r="K57" t="s">
        <v>41</v>
      </c>
      <c r="L57" t="s">
        <v>71</v>
      </c>
      <c r="M57" t="s">
        <v>789</v>
      </c>
      <c r="N57" t="s">
        <v>516</v>
      </c>
      <c r="O57" t="s">
        <v>64</v>
      </c>
      <c r="P57" t="s">
        <v>790</v>
      </c>
      <c r="Q57" t="s">
        <v>249</v>
      </c>
      <c r="R57" t="s">
        <v>791</v>
      </c>
      <c r="S57">
        <v>0.42</v>
      </c>
      <c r="T57">
        <v>6928</v>
      </c>
      <c r="U57">
        <v>0</v>
      </c>
      <c r="V57">
        <v>6928</v>
      </c>
    </row>
    <row r="58" spans="1:22" x14ac:dyDescent="0.3">
      <c r="A58">
        <v>79452</v>
      </c>
      <c r="B58">
        <v>138410863</v>
      </c>
      <c r="C58" t="s">
        <v>792</v>
      </c>
      <c r="D58" t="s">
        <v>793</v>
      </c>
      <c r="E58" t="s">
        <v>513</v>
      </c>
      <c r="F58" t="s">
        <v>514</v>
      </c>
      <c r="G58" t="s">
        <v>43</v>
      </c>
      <c r="H58" t="s">
        <v>44</v>
      </c>
      <c r="I58" t="s">
        <v>34</v>
      </c>
      <c r="J58" t="s">
        <v>45</v>
      </c>
      <c r="K58" t="s">
        <v>41</v>
      </c>
      <c r="L58" t="s">
        <v>794</v>
      </c>
      <c r="M58" t="s">
        <v>429</v>
      </c>
      <c r="N58" t="s">
        <v>516</v>
      </c>
      <c r="O58" t="s">
        <v>64</v>
      </c>
      <c r="P58" t="s">
        <v>795</v>
      </c>
      <c r="Q58" t="s">
        <v>50</v>
      </c>
      <c r="R58" t="s">
        <v>442</v>
      </c>
      <c r="S58">
        <v>0.79</v>
      </c>
      <c r="T58">
        <v>5406</v>
      </c>
      <c r="U58">
        <v>0</v>
      </c>
      <c r="V58">
        <v>5406</v>
      </c>
    </row>
    <row r="59" spans="1:22" x14ac:dyDescent="0.3">
      <c r="A59">
        <v>79452</v>
      </c>
      <c r="B59">
        <v>138458953</v>
      </c>
      <c r="C59" t="s">
        <v>796</v>
      </c>
      <c r="D59" t="s">
        <v>797</v>
      </c>
      <c r="E59" t="s">
        <v>513</v>
      </c>
      <c r="F59" t="s">
        <v>514</v>
      </c>
      <c r="G59" t="s">
        <v>43</v>
      </c>
      <c r="H59" t="s">
        <v>44</v>
      </c>
      <c r="I59" t="s">
        <v>34</v>
      </c>
      <c r="J59" t="s">
        <v>45</v>
      </c>
      <c r="K59" t="s">
        <v>41</v>
      </c>
      <c r="L59" t="s">
        <v>798</v>
      </c>
      <c r="M59" t="s">
        <v>799</v>
      </c>
      <c r="N59" t="s">
        <v>516</v>
      </c>
      <c r="O59" t="s">
        <v>64</v>
      </c>
      <c r="P59" t="s">
        <v>800</v>
      </c>
      <c r="Q59" t="s">
        <v>106</v>
      </c>
      <c r="R59" t="s">
        <v>636</v>
      </c>
      <c r="S59">
        <v>1.1200000000000001</v>
      </c>
      <c r="T59">
        <v>4025</v>
      </c>
      <c r="U59">
        <v>0</v>
      </c>
      <c r="V59">
        <v>4025</v>
      </c>
    </row>
    <row r="60" spans="1:22" x14ac:dyDescent="0.3">
      <c r="A60">
        <v>79452</v>
      </c>
      <c r="B60">
        <v>138458959</v>
      </c>
      <c r="C60" t="s">
        <v>801</v>
      </c>
      <c r="D60" t="s">
        <v>802</v>
      </c>
      <c r="E60" t="s">
        <v>513</v>
      </c>
      <c r="F60" t="s">
        <v>514</v>
      </c>
      <c r="G60" t="s">
        <v>43</v>
      </c>
      <c r="H60" t="s">
        <v>44</v>
      </c>
      <c r="I60" t="s">
        <v>34</v>
      </c>
      <c r="J60" t="s">
        <v>45</v>
      </c>
      <c r="K60" t="s">
        <v>41</v>
      </c>
      <c r="L60" t="s">
        <v>798</v>
      </c>
      <c r="M60" t="s">
        <v>799</v>
      </c>
      <c r="N60" t="s">
        <v>516</v>
      </c>
      <c r="O60" t="s">
        <v>64</v>
      </c>
      <c r="P60" t="s">
        <v>800</v>
      </c>
      <c r="Q60" t="s">
        <v>106</v>
      </c>
      <c r="R60" t="s">
        <v>636</v>
      </c>
      <c r="S60">
        <v>1.1200000000000001</v>
      </c>
      <c r="T60">
        <v>4025</v>
      </c>
      <c r="U60">
        <v>0</v>
      </c>
      <c r="V60">
        <v>4025</v>
      </c>
    </row>
    <row r="61" spans="1:22" x14ac:dyDescent="0.3">
      <c r="A61">
        <v>79452</v>
      </c>
      <c r="B61">
        <v>138475416</v>
      </c>
      <c r="C61" t="s">
        <v>803</v>
      </c>
      <c r="D61" t="s">
        <v>804</v>
      </c>
      <c r="E61" t="s">
        <v>513</v>
      </c>
      <c r="F61" t="s">
        <v>514</v>
      </c>
      <c r="G61" t="s">
        <v>43</v>
      </c>
      <c r="H61" t="s">
        <v>44</v>
      </c>
      <c r="I61" t="s">
        <v>34</v>
      </c>
      <c r="J61" t="s">
        <v>45</v>
      </c>
      <c r="K61" t="s">
        <v>54</v>
      </c>
      <c r="L61" t="s">
        <v>55</v>
      </c>
      <c r="M61" t="s">
        <v>805</v>
      </c>
      <c r="N61" t="s">
        <v>516</v>
      </c>
      <c r="O61" t="s">
        <v>64</v>
      </c>
      <c r="P61" t="s">
        <v>806</v>
      </c>
      <c r="Q61" t="s">
        <v>73</v>
      </c>
      <c r="R61" t="s">
        <v>701</v>
      </c>
      <c r="S61">
        <v>1.01</v>
      </c>
      <c r="T61">
        <v>3904</v>
      </c>
      <c r="U61">
        <v>0</v>
      </c>
      <c r="V61">
        <v>3904</v>
      </c>
    </row>
    <row r="62" spans="1:22" x14ac:dyDescent="0.3">
      <c r="A62">
        <v>79452</v>
      </c>
      <c r="B62">
        <v>138431358</v>
      </c>
      <c r="C62" t="s">
        <v>807</v>
      </c>
      <c r="D62" t="s">
        <v>808</v>
      </c>
      <c r="E62" t="s">
        <v>513</v>
      </c>
      <c r="F62" t="s">
        <v>514</v>
      </c>
      <c r="G62" t="s">
        <v>43</v>
      </c>
      <c r="H62" t="s">
        <v>44</v>
      </c>
      <c r="I62" t="s">
        <v>34</v>
      </c>
      <c r="J62" t="s">
        <v>45</v>
      </c>
      <c r="K62" t="s">
        <v>41</v>
      </c>
      <c r="L62" t="s">
        <v>809</v>
      </c>
      <c r="M62" t="s">
        <v>810</v>
      </c>
      <c r="N62" t="s">
        <v>516</v>
      </c>
      <c r="O62" t="s">
        <v>64</v>
      </c>
      <c r="P62" t="s">
        <v>811</v>
      </c>
      <c r="Q62" t="s">
        <v>111</v>
      </c>
      <c r="R62" t="s">
        <v>812</v>
      </c>
      <c r="S62">
        <v>1.24</v>
      </c>
      <c r="T62">
        <v>5696</v>
      </c>
      <c r="U62">
        <v>0</v>
      </c>
      <c r="V62">
        <v>5696</v>
      </c>
    </row>
    <row r="63" spans="1:22" x14ac:dyDescent="0.3">
      <c r="A63">
        <v>79452</v>
      </c>
      <c r="B63">
        <v>138410879</v>
      </c>
      <c r="C63" t="s">
        <v>813</v>
      </c>
      <c r="D63" t="s">
        <v>814</v>
      </c>
      <c r="E63" t="s">
        <v>513</v>
      </c>
      <c r="F63" t="s">
        <v>514</v>
      </c>
      <c r="G63" t="s">
        <v>43</v>
      </c>
      <c r="H63" t="s">
        <v>44</v>
      </c>
      <c r="I63" t="s">
        <v>34</v>
      </c>
      <c r="J63" t="s">
        <v>45</v>
      </c>
      <c r="K63" t="s">
        <v>41</v>
      </c>
      <c r="L63" t="s">
        <v>815</v>
      </c>
      <c r="M63" t="s">
        <v>816</v>
      </c>
      <c r="N63" t="s">
        <v>516</v>
      </c>
      <c r="O63" t="s">
        <v>64</v>
      </c>
      <c r="P63" t="s">
        <v>817</v>
      </c>
      <c r="Q63" t="s">
        <v>48</v>
      </c>
      <c r="R63" t="s">
        <v>442</v>
      </c>
      <c r="S63">
        <v>1.25</v>
      </c>
      <c r="T63">
        <v>4230</v>
      </c>
      <c r="U63">
        <v>0</v>
      </c>
      <c r="V63">
        <v>4230</v>
      </c>
    </row>
    <row r="64" spans="1:22" x14ac:dyDescent="0.3">
      <c r="A64">
        <v>79452</v>
      </c>
      <c r="B64">
        <v>138410889</v>
      </c>
      <c r="C64" t="s">
        <v>818</v>
      </c>
      <c r="D64" t="s">
        <v>819</v>
      </c>
      <c r="E64" t="s">
        <v>513</v>
      </c>
      <c r="F64" t="s">
        <v>514</v>
      </c>
      <c r="G64" t="s">
        <v>43</v>
      </c>
      <c r="H64" t="s">
        <v>44</v>
      </c>
      <c r="I64" t="s">
        <v>34</v>
      </c>
      <c r="J64" t="s">
        <v>45</v>
      </c>
      <c r="K64" t="s">
        <v>41</v>
      </c>
      <c r="L64" t="s">
        <v>820</v>
      </c>
      <c r="M64" t="s">
        <v>821</v>
      </c>
      <c r="N64" t="s">
        <v>516</v>
      </c>
      <c r="O64" t="s">
        <v>64</v>
      </c>
      <c r="P64" t="s">
        <v>822</v>
      </c>
      <c r="Q64" t="s">
        <v>118</v>
      </c>
      <c r="R64" t="s">
        <v>442</v>
      </c>
      <c r="S64">
        <v>1.21</v>
      </c>
      <c r="T64">
        <v>4230</v>
      </c>
      <c r="U64">
        <v>0</v>
      </c>
      <c r="V64">
        <v>4230</v>
      </c>
    </row>
    <row r="65" spans="1:22" x14ac:dyDescent="0.3">
      <c r="A65">
        <v>79452</v>
      </c>
      <c r="B65">
        <v>138096004</v>
      </c>
      <c r="C65" t="s">
        <v>823</v>
      </c>
      <c r="D65" t="s">
        <v>824</v>
      </c>
      <c r="E65" t="s">
        <v>513</v>
      </c>
      <c r="F65" t="s">
        <v>514</v>
      </c>
      <c r="G65" t="s">
        <v>43</v>
      </c>
      <c r="H65" t="s">
        <v>44</v>
      </c>
      <c r="I65" t="s">
        <v>34</v>
      </c>
      <c r="J65" t="s">
        <v>45</v>
      </c>
      <c r="K65" t="s">
        <v>41</v>
      </c>
      <c r="L65" t="s">
        <v>825</v>
      </c>
      <c r="M65" t="s">
        <v>640</v>
      </c>
      <c r="N65" t="s">
        <v>516</v>
      </c>
      <c r="O65" t="s">
        <v>64</v>
      </c>
      <c r="P65" t="s">
        <v>826</v>
      </c>
      <c r="Q65" t="s">
        <v>68</v>
      </c>
      <c r="R65" t="s">
        <v>478</v>
      </c>
      <c r="S65">
        <v>2.16</v>
      </c>
      <c r="T65">
        <v>5990</v>
      </c>
      <c r="U65">
        <v>0</v>
      </c>
      <c r="V65">
        <v>5990</v>
      </c>
    </row>
    <row r="66" spans="1:22" x14ac:dyDescent="0.3">
      <c r="A66">
        <v>79452</v>
      </c>
      <c r="B66">
        <v>138410869</v>
      </c>
      <c r="C66" t="s">
        <v>827</v>
      </c>
      <c r="D66" t="s">
        <v>828</v>
      </c>
      <c r="E66" t="s">
        <v>513</v>
      </c>
      <c r="F66" t="s">
        <v>514</v>
      </c>
      <c r="G66" t="s">
        <v>43</v>
      </c>
      <c r="H66" t="s">
        <v>44</v>
      </c>
      <c r="I66" t="s">
        <v>34</v>
      </c>
      <c r="J66" t="s">
        <v>45</v>
      </c>
      <c r="K66" t="s">
        <v>41</v>
      </c>
      <c r="L66" t="s">
        <v>829</v>
      </c>
      <c r="M66" t="s">
        <v>830</v>
      </c>
      <c r="N66" t="s">
        <v>516</v>
      </c>
      <c r="O66" t="s">
        <v>64</v>
      </c>
      <c r="P66" t="s">
        <v>831</v>
      </c>
      <c r="Q66" t="s">
        <v>97</v>
      </c>
      <c r="R66" t="s">
        <v>442</v>
      </c>
      <c r="S66">
        <v>1.46</v>
      </c>
      <c r="T66">
        <v>4520</v>
      </c>
      <c r="U66">
        <v>0</v>
      </c>
      <c r="V66">
        <v>4520</v>
      </c>
    </row>
    <row r="67" spans="1:22" x14ac:dyDescent="0.3">
      <c r="A67">
        <v>79452</v>
      </c>
      <c r="B67">
        <v>138410860</v>
      </c>
      <c r="C67" t="s">
        <v>832</v>
      </c>
      <c r="D67" t="s">
        <v>833</v>
      </c>
      <c r="E67" t="s">
        <v>513</v>
      </c>
      <c r="F67" t="s">
        <v>514</v>
      </c>
      <c r="G67" t="s">
        <v>43</v>
      </c>
      <c r="H67" t="s">
        <v>44</v>
      </c>
      <c r="I67" t="s">
        <v>34</v>
      </c>
      <c r="J67" t="s">
        <v>45</v>
      </c>
      <c r="K67" t="s">
        <v>41</v>
      </c>
      <c r="L67" t="s">
        <v>834</v>
      </c>
      <c r="M67" t="s">
        <v>499</v>
      </c>
      <c r="N67" t="s">
        <v>516</v>
      </c>
      <c r="O67" t="s">
        <v>64</v>
      </c>
      <c r="P67" t="s">
        <v>835</v>
      </c>
      <c r="Q67" t="s">
        <v>60</v>
      </c>
      <c r="R67" t="s">
        <v>442</v>
      </c>
      <c r="S67">
        <v>0.97</v>
      </c>
      <c r="T67">
        <v>4520</v>
      </c>
      <c r="U67">
        <v>0</v>
      </c>
      <c r="V67">
        <v>4520</v>
      </c>
    </row>
    <row r="68" spans="1:22" x14ac:dyDescent="0.3">
      <c r="A68">
        <v>79452</v>
      </c>
      <c r="B68">
        <v>138410890</v>
      </c>
      <c r="C68" t="s">
        <v>836</v>
      </c>
      <c r="D68" t="s">
        <v>837</v>
      </c>
      <c r="E68" t="s">
        <v>513</v>
      </c>
      <c r="F68" t="s">
        <v>514</v>
      </c>
      <c r="G68" t="s">
        <v>43</v>
      </c>
      <c r="H68" t="s">
        <v>44</v>
      </c>
      <c r="I68" t="s">
        <v>34</v>
      </c>
      <c r="J68" t="s">
        <v>45</v>
      </c>
      <c r="K68" t="s">
        <v>41</v>
      </c>
      <c r="L68" t="s">
        <v>271</v>
      </c>
      <c r="M68" t="s">
        <v>838</v>
      </c>
      <c r="N68" t="s">
        <v>516</v>
      </c>
      <c r="O68" t="s">
        <v>64</v>
      </c>
      <c r="P68" t="s">
        <v>839</v>
      </c>
      <c r="Q68" t="s">
        <v>66</v>
      </c>
      <c r="R68" t="s">
        <v>442</v>
      </c>
      <c r="S68">
        <v>1.47</v>
      </c>
      <c r="T68">
        <v>3936</v>
      </c>
      <c r="U68">
        <v>0</v>
      </c>
      <c r="V68">
        <v>3936</v>
      </c>
    </row>
    <row r="69" spans="1:22" x14ac:dyDescent="0.3">
      <c r="A69">
        <v>79452</v>
      </c>
      <c r="B69">
        <v>138431317</v>
      </c>
      <c r="C69" t="s">
        <v>840</v>
      </c>
      <c r="D69" t="s">
        <v>841</v>
      </c>
      <c r="E69" t="s">
        <v>513</v>
      </c>
      <c r="F69" t="s">
        <v>514</v>
      </c>
      <c r="G69" t="s">
        <v>43</v>
      </c>
      <c r="H69" t="s">
        <v>44</v>
      </c>
      <c r="I69" t="s">
        <v>34</v>
      </c>
      <c r="J69" t="s">
        <v>45</v>
      </c>
      <c r="K69" t="s">
        <v>41</v>
      </c>
      <c r="L69" t="s">
        <v>842</v>
      </c>
      <c r="M69" t="s">
        <v>370</v>
      </c>
      <c r="N69" t="s">
        <v>516</v>
      </c>
      <c r="O69" t="s">
        <v>64</v>
      </c>
      <c r="P69" t="s">
        <v>371</v>
      </c>
      <c r="Q69" t="s">
        <v>62</v>
      </c>
      <c r="R69" t="s">
        <v>351</v>
      </c>
      <c r="S69">
        <v>1</v>
      </c>
      <c r="T69">
        <v>3936</v>
      </c>
      <c r="U69">
        <v>0</v>
      </c>
      <c r="V69">
        <v>3936</v>
      </c>
    </row>
    <row r="70" spans="1:22" x14ac:dyDescent="0.3">
      <c r="A70">
        <v>79452</v>
      </c>
      <c r="B70">
        <v>138431329</v>
      </c>
      <c r="C70" t="s">
        <v>843</v>
      </c>
      <c r="D70" t="s">
        <v>844</v>
      </c>
      <c r="E70" t="s">
        <v>513</v>
      </c>
      <c r="F70" t="s">
        <v>514</v>
      </c>
      <c r="G70" t="s">
        <v>43</v>
      </c>
      <c r="H70" t="s">
        <v>44</v>
      </c>
      <c r="I70" t="s">
        <v>34</v>
      </c>
      <c r="J70" t="s">
        <v>45</v>
      </c>
      <c r="K70" t="s">
        <v>41</v>
      </c>
      <c r="L70" t="s">
        <v>845</v>
      </c>
      <c r="M70" t="s">
        <v>846</v>
      </c>
      <c r="N70" t="s">
        <v>516</v>
      </c>
      <c r="O70" t="s">
        <v>64</v>
      </c>
      <c r="P70" t="s">
        <v>847</v>
      </c>
      <c r="Q70" t="s">
        <v>42</v>
      </c>
      <c r="R70" t="s">
        <v>812</v>
      </c>
      <c r="S70">
        <v>1.22</v>
      </c>
      <c r="T70">
        <v>3936</v>
      </c>
      <c r="U70">
        <v>0</v>
      </c>
      <c r="V70">
        <v>3936</v>
      </c>
    </row>
    <row r="71" spans="1:22" x14ac:dyDescent="0.3">
      <c r="A71">
        <v>79452</v>
      </c>
      <c r="B71">
        <v>138383298</v>
      </c>
      <c r="C71" t="s">
        <v>848</v>
      </c>
      <c r="D71" t="s">
        <v>849</v>
      </c>
      <c r="E71" t="s">
        <v>513</v>
      </c>
      <c r="F71" t="s">
        <v>514</v>
      </c>
      <c r="G71" t="s">
        <v>43</v>
      </c>
      <c r="H71" t="s">
        <v>44</v>
      </c>
      <c r="I71" t="s">
        <v>34</v>
      </c>
      <c r="J71" t="s">
        <v>45</v>
      </c>
      <c r="K71" t="s">
        <v>41</v>
      </c>
      <c r="L71" t="s">
        <v>473</v>
      </c>
      <c r="M71" t="s">
        <v>850</v>
      </c>
      <c r="N71" t="s">
        <v>516</v>
      </c>
      <c r="O71" t="s">
        <v>64</v>
      </c>
      <c r="P71" t="s">
        <v>851</v>
      </c>
      <c r="Q71" t="s">
        <v>90</v>
      </c>
      <c r="R71" t="s">
        <v>757</v>
      </c>
      <c r="S71">
        <v>1.29</v>
      </c>
      <c r="T71">
        <v>3904</v>
      </c>
      <c r="U71">
        <v>0</v>
      </c>
      <c r="V71">
        <v>3904</v>
      </c>
    </row>
    <row r="72" spans="1:22" x14ac:dyDescent="0.3">
      <c r="A72">
        <v>79452</v>
      </c>
      <c r="B72">
        <v>138410880</v>
      </c>
      <c r="C72" t="s">
        <v>852</v>
      </c>
      <c r="D72" t="s">
        <v>853</v>
      </c>
      <c r="E72" t="s">
        <v>513</v>
      </c>
      <c r="F72" t="s">
        <v>514</v>
      </c>
      <c r="G72" t="s">
        <v>43</v>
      </c>
      <c r="H72" t="s">
        <v>44</v>
      </c>
      <c r="I72" t="s">
        <v>34</v>
      </c>
      <c r="J72" t="s">
        <v>45</v>
      </c>
      <c r="K72" t="s">
        <v>41</v>
      </c>
      <c r="L72" t="s">
        <v>854</v>
      </c>
      <c r="M72" t="s">
        <v>855</v>
      </c>
      <c r="N72" t="s">
        <v>516</v>
      </c>
      <c r="O72" t="s">
        <v>64</v>
      </c>
      <c r="P72" t="s">
        <v>856</v>
      </c>
      <c r="Q72" t="s">
        <v>125</v>
      </c>
      <c r="R72" t="s">
        <v>442</v>
      </c>
      <c r="S72">
        <v>2.12</v>
      </c>
      <c r="T72">
        <v>4230</v>
      </c>
      <c r="U72">
        <v>0</v>
      </c>
      <c r="V72">
        <v>4230</v>
      </c>
    </row>
    <row r="73" spans="1:22" x14ac:dyDescent="0.3">
      <c r="A73">
        <v>79452</v>
      </c>
      <c r="B73">
        <v>138410864</v>
      </c>
      <c r="C73" t="s">
        <v>857</v>
      </c>
      <c r="D73" t="s">
        <v>858</v>
      </c>
      <c r="E73" t="s">
        <v>513</v>
      </c>
      <c r="F73" t="s">
        <v>514</v>
      </c>
      <c r="G73" t="s">
        <v>43</v>
      </c>
      <c r="H73" t="s">
        <v>44</v>
      </c>
      <c r="I73" t="s">
        <v>34</v>
      </c>
      <c r="J73" t="s">
        <v>45</v>
      </c>
      <c r="K73" t="s">
        <v>41</v>
      </c>
      <c r="L73" t="s">
        <v>859</v>
      </c>
      <c r="M73" t="s">
        <v>860</v>
      </c>
      <c r="N73" t="s">
        <v>516</v>
      </c>
      <c r="O73" t="s">
        <v>64</v>
      </c>
      <c r="P73" t="s">
        <v>861</v>
      </c>
      <c r="Q73" t="s">
        <v>108</v>
      </c>
      <c r="R73" t="s">
        <v>442</v>
      </c>
      <c r="S73">
        <v>1.27</v>
      </c>
      <c r="T73">
        <v>3501</v>
      </c>
      <c r="U73">
        <v>0</v>
      </c>
      <c r="V73">
        <v>3501</v>
      </c>
    </row>
    <row r="74" spans="1:22" x14ac:dyDescent="0.3">
      <c r="A74">
        <v>79452</v>
      </c>
      <c r="B74">
        <v>138410854</v>
      </c>
      <c r="C74" t="s">
        <v>862</v>
      </c>
      <c r="D74" t="s">
        <v>863</v>
      </c>
      <c r="E74" t="s">
        <v>513</v>
      </c>
      <c r="F74" t="s">
        <v>514</v>
      </c>
      <c r="G74" t="s">
        <v>43</v>
      </c>
      <c r="H74" t="s">
        <v>44</v>
      </c>
      <c r="I74" t="s">
        <v>34</v>
      </c>
      <c r="J74" t="s">
        <v>45</v>
      </c>
      <c r="K74" t="s">
        <v>41</v>
      </c>
      <c r="L74" t="s">
        <v>864</v>
      </c>
      <c r="M74" t="s">
        <v>865</v>
      </c>
      <c r="N74" t="s">
        <v>516</v>
      </c>
      <c r="O74" t="s">
        <v>64</v>
      </c>
      <c r="P74" t="s">
        <v>866</v>
      </c>
      <c r="Q74" t="s">
        <v>224</v>
      </c>
      <c r="R74" t="s">
        <v>442</v>
      </c>
      <c r="S74">
        <v>0.93</v>
      </c>
      <c r="T74">
        <v>4920</v>
      </c>
      <c r="U74">
        <v>0</v>
      </c>
      <c r="V74">
        <v>4920</v>
      </c>
    </row>
    <row r="75" spans="1:22" x14ac:dyDescent="0.3">
      <c r="A75">
        <v>79452</v>
      </c>
      <c r="B75">
        <v>138410905</v>
      </c>
      <c r="C75" t="s">
        <v>867</v>
      </c>
      <c r="D75" t="s">
        <v>868</v>
      </c>
      <c r="E75" t="s">
        <v>513</v>
      </c>
      <c r="F75" t="s">
        <v>514</v>
      </c>
      <c r="G75" t="s">
        <v>43</v>
      </c>
      <c r="H75" t="s">
        <v>44</v>
      </c>
      <c r="I75" t="s">
        <v>34</v>
      </c>
      <c r="J75" t="s">
        <v>45</v>
      </c>
      <c r="K75" t="s">
        <v>41</v>
      </c>
      <c r="L75" t="s">
        <v>869</v>
      </c>
      <c r="M75" t="s">
        <v>870</v>
      </c>
      <c r="N75" t="s">
        <v>516</v>
      </c>
      <c r="O75" t="s">
        <v>64</v>
      </c>
      <c r="P75" t="s">
        <v>871</v>
      </c>
      <c r="Q75" t="s">
        <v>97</v>
      </c>
      <c r="R75" t="s">
        <v>442</v>
      </c>
      <c r="S75">
        <v>1.1299999999999999</v>
      </c>
      <c r="T75">
        <v>4520</v>
      </c>
      <c r="U75">
        <v>0</v>
      </c>
      <c r="V75">
        <v>4520</v>
      </c>
    </row>
    <row r="76" spans="1:22" x14ac:dyDescent="0.3">
      <c r="A76">
        <v>79452</v>
      </c>
      <c r="B76">
        <v>138410870</v>
      </c>
      <c r="C76" t="s">
        <v>872</v>
      </c>
      <c r="D76" t="s">
        <v>873</v>
      </c>
      <c r="E76" t="s">
        <v>513</v>
      </c>
      <c r="F76" t="s">
        <v>514</v>
      </c>
      <c r="G76" t="s">
        <v>43</v>
      </c>
      <c r="H76" t="s">
        <v>44</v>
      </c>
      <c r="I76" t="s">
        <v>34</v>
      </c>
      <c r="J76" t="s">
        <v>45</v>
      </c>
      <c r="K76" t="s">
        <v>41</v>
      </c>
      <c r="L76" t="s">
        <v>874</v>
      </c>
      <c r="M76" t="s">
        <v>875</v>
      </c>
      <c r="N76" t="s">
        <v>516</v>
      </c>
      <c r="O76" t="s">
        <v>64</v>
      </c>
      <c r="P76" t="s">
        <v>876</v>
      </c>
      <c r="Q76" t="s">
        <v>62</v>
      </c>
      <c r="R76" t="s">
        <v>442</v>
      </c>
      <c r="S76">
        <v>2.3199999999999998</v>
      </c>
      <c r="T76">
        <v>3936</v>
      </c>
      <c r="U76">
        <v>0</v>
      </c>
      <c r="V76">
        <v>3936</v>
      </c>
    </row>
    <row r="77" spans="1:22" x14ac:dyDescent="0.3">
      <c r="A77">
        <v>79452</v>
      </c>
      <c r="B77">
        <v>138410876</v>
      </c>
      <c r="C77" t="s">
        <v>877</v>
      </c>
      <c r="D77" t="s">
        <v>878</v>
      </c>
      <c r="E77" t="s">
        <v>513</v>
      </c>
      <c r="F77" t="s">
        <v>514</v>
      </c>
      <c r="G77" t="s">
        <v>43</v>
      </c>
      <c r="H77" t="s">
        <v>44</v>
      </c>
      <c r="I77" t="s">
        <v>34</v>
      </c>
      <c r="J77" t="s">
        <v>45</v>
      </c>
      <c r="K77" t="s">
        <v>41</v>
      </c>
      <c r="L77" t="s">
        <v>879</v>
      </c>
      <c r="M77" t="s">
        <v>880</v>
      </c>
      <c r="N77" t="s">
        <v>516</v>
      </c>
      <c r="O77" t="s">
        <v>64</v>
      </c>
      <c r="P77" t="s">
        <v>881</v>
      </c>
      <c r="Q77" t="s">
        <v>61</v>
      </c>
      <c r="R77" t="s">
        <v>442</v>
      </c>
      <c r="S77">
        <v>1.6</v>
      </c>
      <c r="T77">
        <v>3501</v>
      </c>
      <c r="U77">
        <v>0</v>
      </c>
      <c r="V77">
        <v>3501</v>
      </c>
    </row>
    <row r="78" spans="1:22" x14ac:dyDescent="0.3">
      <c r="A78">
        <v>79452</v>
      </c>
      <c r="B78">
        <v>138410853</v>
      </c>
      <c r="C78" t="s">
        <v>882</v>
      </c>
      <c r="D78" t="s">
        <v>883</v>
      </c>
      <c r="E78" t="s">
        <v>513</v>
      </c>
      <c r="F78" t="s">
        <v>514</v>
      </c>
      <c r="G78" t="s">
        <v>43</v>
      </c>
      <c r="H78" t="s">
        <v>44</v>
      </c>
      <c r="I78" t="s">
        <v>34</v>
      </c>
      <c r="J78" t="s">
        <v>45</v>
      </c>
      <c r="K78" t="s">
        <v>41</v>
      </c>
      <c r="L78" t="s">
        <v>884</v>
      </c>
      <c r="M78" t="s">
        <v>885</v>
      </c>
      <c r="N78" t="s">
        <v>516</v>
      </c>
      <c r="O78" t="s">
        <v>64</v>
      </c>
      <c r="P78" t="s">
        <v>886</v>
      </c>
      <c r="Q78" t="s">
        <v>90</v>
      </c>
      <c r="R78" t="s">
        <v>442</v>
      </c>
      <c r="S78">
        <v>1.58</v>
      </c>
      <c r="T78">
        <v>3904</v>
      </c>
      <c r="U78">
        <v>0</v>
      </c>
      <c r="V78">
        <v>3904</v>
      </c>
    </row>
    <row r="79" spans="1:22" x14ac:dyDescent="0.3">
      <c r="A79">
        <v>79452</v>
      </c>
      <c r="B79">
        <v>138410902</v>
      </c>
      <c r="C79" t="s">
        <v>887</v>
      </c>
      <c r="D79" t="s">
        <v>888</v>
      </c>
      <c r="E79" t="s">
        <v>513</v>
      </c>
      <c r="F79" t="s">
        <v>514</v>
      </c>
      <c r="G79" t="s">
        <v>43</v>
      </c>
      <c r="H79" t="s">
        <v>44</v>
      </c>
      <c r="I79" t="s">
        <v>34</v>
      </c>
      <c r="J79" t="s">
        <v>45</v>
      </c>
      <c r="K79" t="s">
        <v>41</v>
      </c>
      <c r="L79" t="s">
        <v>303</v>
      </c>
      <c r="M79" t="s">
        <v>889</v>
      </c>
      <c r="N79" t="s">
        <v>516</v>
      </c>
      <c r="O79" t="s">
        <v>64</v>
      </c>
      <c r="P79" t="s">
        <v>890</v>
      </c>
      <c r="Q79" t="s">
        <v>63</v>
      </c>
      <c r="R79" t="s">
        <v>442</v>
      </c>
      <c r="S79">
        <v>0.78</v>
      </c>
      <c r="T79">
        <v>3501</v>
      </c>
      <c r="U79">
        <v>0</v>
      </c>
      <c r="V79">
        <v>3501</v>
      </c>
    </row>
    <row r="80" spans="1:22" x14ac:dyDescent="0.3">
      <c r="A80">
        <v>79452</v>
      </c>
      <c r="B80">
        <v>138410881</v>
      </c>
      <c r="C80" t="s">
        <v>891</v>
      </c>
      <c r="D80" t="s">
        <v>892</v>
      </c>
      <c r="E80" t="s">
        <v>513</v>
      </c>
      <c r="F80" t="s">
        <v>514</v>
      </c>
      <c r="G80" t="s">
        <v>43</v>
      </c>
      <c r="H80" t="s">
        <v>44</v>
      </c>
      <c r="I80" t="s">
        <v>34</v>
      </c>
      <c r="J80" t="s">
        <v>45</v>
      </c>
      <c r="K80" t="s">
        <v>41</v>
      </c>
      <c r="L80" t="s">
        <v>893</v>
      </c>
      <c r="M80" t="s">
        <v>332</v>
      </c>
      <c r="N80" t="s">
        <v>516</v>
      </c>
      <c r="O80" t="s">
        <v>64</v>
      </c>
      <c r="P80" t="s">
        <v>894</v>
      </c>
      <c r="Q80" t="s">
        <v>63</v>
      </c>
      <c r="R80" t="s">
        <v>442</v>
      </c>
      <c r="S80">
        <v>1.1100000000000001</v>
      </c>
      <c r="T80">
        <v>3501</v>
      </c>
      <c r="U80">
        <v>0</v>
      </c>
      <c r="V80">
        <v>3501</v>
      </c>
    </row>
    <row r="81" spans="1:22" x14ac:dyDescent="0.3">
      <c r="A81">
        <v>79452</v>
      </c>
      <c r="B81">
        <v>138431323</v>
      </c>
      <c r="C81" t="s">
        <v>895</v>
      </c>
      <c r="D81" t="s">
        <v>896</v>
      </c>
      <c r="E81" t="s">
        <v>513</v>
      </c>
      <c r="F81" t="s">
        <v>514</v>
      </c>
      <c r="G81" t="s">
        <v>43</v>
      </c>
      <c r="H81" t="s">
        <v>44</v>
      </c>
      <c r="I81" t="s">
        <v>34</v>
      </c>
      <c r="J81" t="s">
        <v>45</v>
      </c>
      <c r="K81" t="s">
        <v>41</v>
      </c>
      <c r="L81" t="s">
        <v>897</v>
      </c>
      <c r="M81" t="s">
        <v>898</v>
      </c>
      <c r="N81" t="s">
        <v>516</v>
      </c>
      <c r="O81" t="s">
        <v>64</v>
      </c>
      <c r="P81" t="s">
        <v>899</v>
      </c>
      <c r="Q81" t="s">
        <v>49</v>
      </c>
      <c r="R81" t="s">
        <v>812</v>
      </c>
      <c r="S81">
        <v>1.26</v>
      </c>
      <c r="T81">
        <v>3642</v>
      </c>
      <c r="U81">
        <v>0</v>
      </c>
      <c r="V81">
        <v>3642</v>
      </c>
    </row>
    <row r="82" spans="1:22" x14ac:dyDescent="0.3">
      <c r="A82">
        <v>79452</v>
      </c>
      <c r="B82">
        <v>138383304</v>
      </c>
      <c r="C82" t="s">
        <v>900</v>
      </c>
      <c r="D82" t="s">
        <v>901</v>
      </c>
      <c r="E82" t="s">
        <v>513</v>
      </c>
      <c r="F82" t="s">
        <v>514</v>
      </c>
      <c r="G82" t="s">
        <v>43</v>
      </c>
      <c r="H82" t="s">
        <v>44</v>
      </c>
      <c r="I82" t="s">
        <v>34</v>
      </c>
      <c r="J82" t="s">
        <v>45</v>
      </c>
      <c r="K82" t="s">
        <v>41</v>
      </c>
      <c r="L82" t="s">
        <v>902</v>
      </c>
      <c r="M82" t="s">
        <v>903</v>
      </c>
      <c r="N82" t="s">
        <v>516</v>
      </c>
      <c r="O82" t="s">
        <v>64</v>
      </c>
      <c r="P82" t="s">
        <v>904</v>
      </c>
      <c r="Q82" t="s">
        <v>90</v>
      </c>
      <c r="R82" t="s">
        <v>757</v>
      </c>
      <c r="S82">
        <v>0.69</v>
      </c>
      <c r="T82">
        <v>3904</v>
      </c>
      <c r="U82">
        <v>0</v>
      </c>
      <c r="V82">
        <v>3904</v>
      </c>
    </row>
    <row r="83" spans="1:22" x14ac:dyDescent="0.3">
      <c r="A83">
        <v>79452</v>
      </c>
      <c r="B83">
        <v>138410848</v>
      </c>
      <c r="C83" t="s">
        <v>905</v>
      </c>
      <c r="D83" t="s">
        <v>906</v>
      </c>
      <c r="E83" t="s">
        <v>513</v>
      </c>
      <c r="F83" t="s">
        <v>514</v>
      </c>
      <c r="G83" t="s">
        <v>43</v>
      </c>
      <c r="H83" t="s">
        <v>44</v>
      </c>
      <c r="I83" t="s">
        <v>34</v>
      </c>
      <c r="J83" t="s">
        <v>45</v>
      </c>
      <c r="K83" t="s">
        <v>41</v>
      </c>
      <c r="L83" t="s">
        <v>907</v>
      </c>
      <c r="M83" t="s">
        <v>908</v>
      </c>
      <c r="N83" t="s">
        <v>516</v>
      </c>
      <c r="O83" t="s">
        <v>64</v>
      </c>
      <c r="P83" t="s">
        <v>909</v>
      </c>
      <c r="Q83" t="s">
        <v>178</v>
      </c>
      <c r="R83" t="s">
        <v>442</v>
      </c>
      <c r="S83">
        <v>1.06</v>
      </c>
      <c r="T83">
        <v>7807</v>
      </c>
      <c r="U83">
        <v>0</v>
      </c>
      <c r="V83">
        <v>7807</v>
      </c>
    </row>
    <row r="84" spans="1:22" x14ac:dyDescent="0.3">
      <c r="A84">
        <v>79452</v>
      </c>
      <c r="B84">
        <v>138410883</v>
      </c>
      <c r="C84" t="s">
        <v>910</v>
      </c>
      <c r="D84" t="s">
        <v>911</v>
      </c>
      <c r="E84" t="s">
        <v>513</v>
      </c>
      <c r="F84" t="s">
        <v>514</v>
      </c>
      <c r="G84" t="s">
        <v>43</v>
      </c>
      <c r="H84" t="s">
        <v>44</v>
      </c>
      <c r="I84" t="s">
        <v>34</v>
      </c>
      <c r="J84" t="s">
        <v>45</v>
      </c>
      <c r="K84" t="s">
        <v>41</v>
      </c>
      <c r="L84" t="s">
        <v>912</v>
      </c>
      <c r="M84" t="s">
        <v>913</v>
      </c>
      <c r="N84" t="s">
        <v>516</v>
      </c>
      <c r="O84" t="s">
        <v>64</v>
      </c>
      <c r="P84" t="s">
        <v>914</v>
      </c>
      <c r="Q84" t="s">
        <v>144</v>
      </c>
      <c r="R84" t="s">
        <v>442</v>
      </c>
      <c r="S84">
        <v>1.28</v>
      </c>
      <c r="T84">
        <v>3904</v>
      </c>
      <c r="U84">
        <v>0</v>
      </c>
      <c r="V84">
        <v>3904</v>
      </c>
    </row>
    <row r="85" spans="1:22" x14ac:dyDescent="0.3">
      <c r="A85">
        <v>79452</v>
      </c>
      <c r="B85">
        <v>138373634</v>
      </c>
      <c r="C85" t="s">
        <v>915</v>
      </c>
      <c r="D85" t="s">
        <v>916</v>
      </c>
      <c r="E85" t="s">
        <v>513</v>
      </c>
      <c r="F85" t="s">
        <v>514</v>
      </c>
      <c r="G85" t="s">
        <v>43</v>
      </c>
      <c r="H85" t="s">
        <v>44</v>
      </c>
      <c r="I85" t="s">
        <v>34</v>
      </c>
      <c r="J85" t="s">
        <v>45</v>
      </c>
      <c r="K85" t="s">
        <v>41</v>
      </c>
      <c r="L85" t="s">
        <v>917</v>
      </c>
      <c r="M85" t="s">
        <v>918</v>
      </c>
      <c r="N85" t="s">
        <v>516</v>
      </c>
      <c r="O85" t="s">
        <v>64</v>
      </c>
      <c r="P85" t="s">
        <v>919</v>
      </c>
      <c r="Q85" t="s">
        <v>97</v>
      </c>
      <c r="R85" t="s">
        <v>317</v>
      </c>
      <c r="S85">
        <v>0.71</v>
      </c>
      <c r="T85">
        <v>4520</v>
      </c>
      <c r="U85">
        <v>0</v>
      </c>
      <c r="V85">
        <v>4520</v>
      </c>
    </row>
    <row r="86" spans="1:22" x14ac:dyDescent="0.3">
      <c r="A86">
        <v>79452</v>
      </c>
      <c r="B86">
        <v>138316599</v>
      </c>
      <c r="C86" t="s">
        <v>920</v>
      </c>
      <c r="D86" t="s">
        <v>921</v>
      </c>
      <c r="E86" t="s">
        <v>513</v>
      </c>
      <c r="F86" t="s">
        <v>514</v>
      </c>
      <c r="G86" t="s">
        <v>43</v>
      </c>
      <c r="H86" t="s">
        <v>44</v>
      </c>
      <c r="I86" t="s">
        <v>34</v>
      </c>
      <c r="J86" t="s">
        <v>45</v>
      </c>
      <c r="K86" t="s">
        <v>41</v>
      </c>
      <c r="L86" t="s">
        <v>922</v>
      </c>
      <c r="M86" t="s">
        <v>923</v>
      </c>
      <c r="N86" t="s">
        <v>516</v>
      </c>
      <c r="O86" t="s">
        <v>64</v>
      </c>
      <c r="P86" t="s">
        <v>924</v>
      </c>
      <c r="Q86" t="s">
        <v>67</v>
      </c>
      <c r="R86" t="s">
        <v>287</v>
      </c>
      <c r="S86">
        <v>0.96</v>
      </c>
      <c r="T86">
        <v>3936</v>
      </c>
      <c r="U86">
        <v>0</v>
      </c>
      <c r="V86">
        <v>3936</v>
      </c>
    </row>
    <row r="87" spans="1:22" x14ac:dyDescent="0.3">
      <c r="A87">
        <v>79452</v>
      </c>
      <c r="B87">
        <v>138377498</v>
      </c>
      <c r="C87" t="s">
        <v>925</v>
      </c>
      <c r="D87" t="s">
        <v>926</v>
      </c>
      <c r="E87" t="s">
        <v>513</v>
      </c>
      <c r="F87" t="s">
        <v>514</v>
      </c>
      <c r="G87" t="s">
        <v>43</v>
      </c>
      <c r="H87" t="s">
        <v>44</v>
      </c>
      <c r="I87" t="s">
        <v>34</v>
      </c>
      <c r="J87" t="s">
        <v>45</v>
      </c>
      <c r="K87" t="s">
        <v>41</v>
      </c>
      <c r="L87" t="s">
        <v>927</v>
      </c>
      <c r="M87" t="s">
        <v>928</v>
      </c>
      <c r="N87" t="s">
        <v>516</v>
      </c>
      <c r="O87" t="s">
        <v>64</v>
      </c>
      <c r="P87" t="s">
        <v>929</v>
      </c>
      <c r="Q87" t="s">
        <v>67</v>
      </c>
      <c r="R87" t="s">
        <v>408</v>
      </c>
      <c r="S87">
        <v>1.21</v>
      </c>
      <c r="T87">
        <v>3936</v>
      </c>
      <c r="U87">
        <v>0</v>
      </c>
      <c r="V87">
        <v>3936</v>
      </c>
    </row>
    <row r="88" spans="1:22" x14ac:dyDescent="0.3">
      <c r="A88">
        <v>79452</v>
      </c>
      <c r="B88">
        <v>138373636</v>
      </c>
      <c r="C88" t="s">
        <v>930</v>
      </c>
      <c r="D88" t="s">
        <v>931</v>
      </c>
      <c r="E88" t="s">
        <v>513</v>
      </c>
      <c r="F88" t="s">
        <v>514</v>
      </c>
      <c r="G88" t="s">
        <v>43</v>
      </c>
      <c r="H88" t="s">
        <v>44</v>
      </c>
      <c r="I88" t="s">
        <v>34</v>
      </c>
      <c r="J88" t="s">
        <v>45</v>
      </c>
      <c r="K88" t="s">
        <v>41</v>
      </c>
      <c r="L88" t="s">
        <v>932</v>
      </c>
      <c r="M88" t="s">
        <v>933</v>
      </c>
      <c r="N88" t="s">
        <v>516</v>
      </c>
      <c r="O88" t="s">
        <v>64</v>
      </c>
      <c r="P88" t="s">
        <v>934</v>
      </c>
      <c r="Q88" t="s">
        <v>61</v>
      </c>
      <c r="R88" t="s">
        <v>317</v>
      </c>
      <c r="S88">
        <v>1.22</v>
      </c>
      <c r="T88">
        <v>3501</v>
      </c>
      <c r="U88">
        <v>0</v>
      </c>
      <c r="V88">
        <v>3501</v>
      </c>
    </row>
    <row r="89" spans="1:22" x14ac:dyDescent="0.3">
      <c r="A89">
        <v>79452</v>
      </c>
      <c r="B89">
        <v>138373617</v>
      </c>
      <c r="C89" t="s">
        <v>935</v>
      </c>
      <c r="D89" t="s">
        <v>936</v>
      </c>
      <c r="E89" t="s">
        <v>513</v>
      </c>
      <c r="F89" t="s">
        <v>514</v>
      </c>
      <c r="G89" t="s">
        <v>43</v>
      </c>
      <c r="H89" t="s">
        <v>44</v>
      </c>
      <c r="I89" t="s">
        <v>34</v>
      </c>
      <c r="J89" t="s">
        <v>45</v>
      </c>
      <c r="K89" t="s">
        <v>41</v>
      </c>
      <c r="L89" t="s">
        <v>937</v>
      </c>
      <c r="M89" t="s">
        <v>938</v>
      </c>
      <c r="N89" t="s">
        <v>516</v>
      </c>
      <c r="O89" t="s">
        <v>64</v>
      </c>
      <c r="P89" t="s">
        <v>939</v>
      </c>
      <c r="Q89" t="s">
        <v>97</v>
      </c>
      <c r="R89" t="s">
        <v>317</v>
      </c>
      <c r="S89">
        <v>1.19</v>
      </c>
      <c r="T89">
        <v>4520</v>
      </c>
      <c r="U89">
        <v>0</v>
      </c>
      <c r="V89">
        <v>4520</v>
      </c>
    </row>
    <row r="90" spans="1:22" x14ac:dyDescent="0.3">
      <c r="A90">
        <v>79452</v>
      </c>
      <c r="B90">
        <v>138373616</v>
      </c>
      <c r="C90" t="s">
        <v>940</v>
      </c>
      <c r="D90" t="s">
        <v>941</v>
      </c>
      <c r="E90" t="s">
        <v>513</v>
      </c>
      <c r="F90" t="s">
        <v>514</v>
      </c>
      <c r="G90" t="s">
        <v>43</v>
      </c>
      <c r="H90" t="s">
        <v>44</v>
      </c>
      <c r="I90" t="s">
        <v>34</v>
      </c>
      <c r="J90" t="s">
        <v>45</v>
      </c>
      <c r="K90" t="s">
        <v>41</v>
      </c>
      <c r="L90" t="s">
        <v>942</v>
      </c>
      <c r="M90" t="s">
        <v>943</v>
      </c>
      <c r="N90" t="s">
        <v>516</v>
      </c>
      <c r="O90" t="s">
        <v>64</v>
      </c>
      <c r="P90" t="s">
        <v>944</v>
      </c>
      <c r="Q90" t="s">
        <v>97</v>
      </c>
      <c r="R90" t="s">
        <v>317</v>
      </c>
      <c r="S90">
        <v>0.87</v>
      </c>
      <c r="T90">
        <v>4520</v>
      </c>
      <c r="U90">
        <v>0</v>
      </c>
      <c r="V90">
        <v>4520</v>
      </c>
    </row>
    <row r="91" spans="1:22" x14ac:dyDescent="0.3">
      <c r="A91">
        <v>79452</v>
      </c>
      <c r="B91">
        <v>138377493</v>
      </c>
      <c r="C91" t="s">
        <v>945</v>
      </c>
      <c r="D91" t="s">
        <v>946</v>
      </c>
      <c r="E91" t="s">
        <v>513</v>
      </c>
      <c r="F91" t="s">
        <v>514</v>
      </c>
      <c r="G91" t="s">
        <v>43</v>
      </c>
      <c r="H91" t="s">
        <v>44</v>
      </c>
      <c r="I91" t="s">
        <v>34</v>
      </c>
      <c r="J91" t="s">
        <v>45</v>
      </c>
      <c r="K91" t="s">
        <v>54</v>
      </c>
      <c r="L91" t="s">
        <v>55</v>
      </c>
      <c r="M91" t="s">
        <v>947</v>
      </c>
      <c r="N91" t="s">
        <v>516</v>
      </c>
      <c r="O91" t="s">
        <v>64</v>
      </c>
      <c r="P91" t="s">
        <v>948</v>
      </c>
      <c r="Q91" t="s">
        <v>61</v>
      </c>
      <c r="R91" t="s">
        <v>408</v>
      </c>
      <c r="S91">
        <v>1.89</v>
      </c>
      <c r="T91">
        <v>3501</v>
      </c>
      <c r="U91">
        <v>0</v>
      </c>
      <c r="V91">
        <v>3501</v>
      </c>
    </row>
    <row r="92" spans="1:22" x14ac:dyDescent="0.3">
      <c r="A92">
        <v>79452</v>
      </c>
      <c r="B92">
        <v>138373623</v>
      </c>
      <c r="C92" t="s">
        <v>949</v>
      </c>
      <c r="D92" t="s">
        <v>950</v>
      </c>
      <c r="E92" t="s">
        <v>513</v>
      </c>
      <c r="F92" t="s">
        <v>514</v>
      </c>
      <c r="G92" t="s">
        <v>43</v>
      </c>
      <c r="H92" t="s">
        <v>44</v>
      </c>
      <c r="I92" t="s">
        <v>34</v>
      </c>
      <c r="J92" t="s">
        <v>45</v>
      </c>
      <c r="K92" t="s">
        <v>41</v>
      </c>
      <c r="L92" t="s">
        <v>951</v>
      </c>
      <c r="M92" t="s">
        <v>952</v>
      </c>
      <c r="N92" t="s">
        <v>516</v>
      </c>
      <c r="O92" t="s">
        <v>64</v>
      </c>
      <c r="P92" t="s">
        <v>953</v>
      </c>
      <c r="Q92" t="s">
        <v>73</v>
      </c>
      <c r="R92" t="s">
        <v>317</v>
      </c>
      <c r="S92">
        <v>1</v>
      </c>
      <c r="T92">
        <v>3904</v>
      </c>
      <c r="U92">
        <v>0</v>
      </c>
      <c r="V92">
        <v>3904</v>
      </c>
    </row>
    <row r="93" spans="1:22" x14ac:dyDescent="0.3">
      <c r="A93">
        <v>79452</v>
      </c>
      <c r="B93">
        <v>138377496</v>
      </c>
      <c r="C93" t="s">
        <v>954</v>
      </c>
      <c r="D93" t="s">
        <v>955</v>
      </c>
      <c r="E93" t="s">
        <v>513</v>
      </c>
      <c r="F93" t="s">
        <v>514</v>
      </c>
      <c r="G93" t="s">
        <v>43</v>
      </c>
      <c r="H93" t="s">
        <v>44</v>
      </c>
      <c r="I93" t="s">
        <v>34</v>
      </c>
      <c r="J93" t="s">
        <v>45</v>
      </c>
      <c r="K93" t="s">
        <v>41</v>
      </c>
      <c r="L93" t="s">
        <v>956</v>
      </c>
      <c r="M93" t="s">
        <v>957</v>
      </c>
      <c r="N93" t="s">
        <v>516</v>
      </c>
      <c r="O93" t="s">
        <v>64</v>
      </c>
      <c r="P93" t="s">
        <v>958</v>
      </c>
      <c r="Q93" t="s">
        <v>52</v>
      </c>
      <c r="R93" t="s">
        <v>408</v>
      </c>
      <c r="S93">
        <v>1.1599999999999999</v>
      </c>
      <c r="T93">
        <v>4230</v>
      </c>
      <c r="U93">
        <v>0</v>
      </c>
      <c r="V93">
        <v>4230</v>
      </c>
    </row>
    <row r="94" spans="1:22" x14ac:dyDescent="0.3">
      <c r="A94">
        <v>79452</v>
      </c>
      <c r="B94">
        <v>138373631</v>
      </c>
      <c r="C94" t="s">
        <v>959</v>
      </c>
      <c r="D94" t="s">
        <v>960</v>
      </c>
      <c r="E94" t="s">
        <v>513</v>
      </c>
      <c r="F94" t="s">
        <v>514</v>
      </c>
      <c r="G94" t="s">
        <v>43</v>
      </c>
      <c r="H94" t="s">
        <v>44</v>
      </c>
      <c r="I94" t="s">
        <v>34</v>
      </c>
      <c r="J94" t="s">
        <v>45</v>
      </c>
      <c r="K94" t="s">
        <v>41</v>
      </c>
      <c r="L94" t="s">
        <v>961</v>
      </c>
      <c r="M94" t="s">
        <v>962</v>
      </c>
      <c r="N94" t="s">
        <v>516</v>
      </c>
      <c r="O94" t="s">
        <v>64</v>
      </c>
      <c r="P94" t="s">
        <v>963</v>
      </c>
      <c r="Q94" t="s">
        <v>49</v>
      </c>
      <c r="R94" t="s">
        <v>317</v>
      </c>
      <c r="S94">
        <v>0.78</v>
      </c>
      <c r="T94">
        <v>3642</v>
      </c>
      <c r="U94">
        <v>0</v>
      </c>
      <c r="V94">
        <v>3642</v>
      </c>
    </row>
    <row r="95" spans="1:22" x14ac:dyDescent="0.3">
      <c r="A95">
        <v>79452</v>
      </c>
      <c r="B95">
        <v>138096016</v>
      </c>
      <c r="C95" t="s">
        <v>964</v>
      </c>
      <c r="D95" t="s">
        <v>965</v>
      </c>
      <c r="E95" t="s">
        <v>513</v>
      </c>
      <c r="F95" t="s">
        <v>514</v>
      </c>
      <c r="G95" t="s">
        <v>43</v>
      </c>
      <c r="H95" t="s">
        <v>44</v>
      </c>
      <c r="I95" t="s">
        <v>34</v>
      </c>
      <c r="J95" t="s">
        <v>45</v>
      </c>
      <c r="K95" t="s">
        <v>41</v>
      </c>
      <c r="L95" t="s">
        <v>966</v>
      </c>
      <c r="M95" t="s">
        <v>967</v>
      </c>
      <c r="N95" t="s">
        <v>516</v>
      </c>
      <c r="O95" t="s">
        <v>64</v>
      </c>
      <c r="P95" t="s">
        <v>968</v>
      </c>
      <c r="Q95" t="s">
        <v>166</v>
      </c>
      <c r="R95" t="s">
        <v>478</v>
      </c>
      <c r="S95">
        <v>1.04</v>
      </c>
      <c r="T95">
        <v>5990</v>
      </c>
      <c r="U95">
        <v>0</v>
      </c>
      <c r="V95">
        <v>5990</v>
      </c>
    </row>
    <row r="96" spans="1:22" x14ac:dyDescent="0.3">
      <c r="A96">
        <v>79452</v>
      </c>
      <c r="B96">
        <v>138338134</v>
      </c>
      <c r="C96" t="s">
        <v>969</v>
      </c>
      <c r="D96" t="s">
        <v>970</v>
      </c>
      <c r="E96" t="s">
        <v>513</v>
      </c>
      <c r="F96" t="s">
        <v>514</v>
      </c>
      <c r="G96" t="s">
        <v>43</v>
      </c>
      <c r="H96" t="s">
        <v>44</v>
      </c>
      <c r="I96" t="s">
        <v>34</v>
      </c>
      <c r="J96" t="s">
        <v>45</v>
      </c>
      <c r="K96" t="s">
        <v>41</v>
      </c>
      <c r="L96" t="s">
        <v>971</v>
      </c>
      <c r="M96" t="s">
        <v>972</v>
      </c>
      <c r="N96" t="s">
        <v>516</v>
      </c>
      <c r="O96" t="s">
        <v>64</v>
      </c>
      <c r="P96" t="s">
        <v>973</v>
      </c>
      <c r="Q96" t="s">
        <v>46</v>
      </c>
      <c r="R96" t="s">
        <v>974</v>
      </c>
      <c r="S96">
        <v>1.69</v>
      </c>
      <c r="T96">
        <v>3501</v>
      </c>
      <c r="U96">
        <v>0</v>
      </c>
      <c r="V96">
        <v>3501</v>
      </c>
    </row>
    <row r="97" spans="1:22" x14ac:dyDescent="0.3">
      <c r="A97">
        <v>79452</v>
      </c>
      <c r="B97">
        <v>138373628</v>
      </c>
      <c r="C97" t="s">
        <v>975</v>
      </c>
      <c r="D97" t="s">
        <v>976</v>
      </c>
      <c r="E97" t="s">
        <v>513</v>
      </c>
      <c r="F97" t="s">
        <v>514</v>
      </c>
      <c r="G97" t="s">
        <v>43</v>
      </c>
      <c r="H97" t="s">
        <v>44</v>
      </c>
      <c r="I97" t="s">
        <v>34</v>
      </c>
      <c r="J97" t="s">
        <v>45</v>
      </c>
      <c r="K97" t="s">
        <v>41</v>
      </c>
      <c r="L97" t="s">
        <v>977</v>
      </c>
      <c r="M97" t="s">
        <v>978</v>
      </c>
      <c r="N97" t="s">
        <v>516</v>
      </c>
      <c r="O97" t="s">
        <v>64</v>
      </c>
      <c r="P97" t="s">
        <v>979</v>
      </c>
      <c r="Q97" t="s">
        <v>87</v>
      </c>
      <c r="R97" t="s">
        <v>317</v>
      </c>
      <c r="S97">
        <v>1.28</v>
      </c>
      <c r="T97">
        <v>4025</v>
      </c>
      <c r="U97">
        <v>0</v>
      </c>
      <c r="V97">
        <v>4025</v>
      </c>
    </row>
    <row r="98" spans="1:22" x14ac:dyDescent="0.3">
      <c r="A98">
        <v>79452</v>
      </c>
      <c r="B98">
        <v>138431351</v>
      </c>
      <c r="C98" t="s">
        <v>980</v>
      </c>
      <c r="D98" t="s">
        <v>981</v>
      </c>
      <c r="E98" t="s">
        <v>513</v>
      </c>
      <c r="F98" t="s">
        <v>514</v>
      </c>
      <c r="G98" t="s">
        <v>43</v>
      </c>
      <c r="H98" t="s">
        <v>44</v>
      </c>
      <c r="I98" t="s">
        <v>34</v>
      </c>
      <c r="J98" t="s">
        <v>45</v>
      </c>
      <c r="K98" t="s">
        <v>41</v>
      </c>
      <c r="L98" t="s">
        <v>982</v>
      </c>
      <c r="M98" t="s">
        <v>394</v>
      </c>
      <c r="N98" t="s">
        <v>516</v>
      </c>
      <c r="O98" t="s">
        <v>64</v>
      </c>
      <c r="P98" t="s">
        <v>983</v>
      </c>
      <c r="Q98" t="s">
        <v>102</v>
      </c>
      <c r="R98" t="s">
        <v>812</v>
      </c>
      <c r="S98">
        <v>1.81</v>
      </c>
      <c r="T98">
        <v>3501</v>
      </c>
      <c r="U98">
        <v>0</v>
      </c>
      <c r="V98">
        <v>3501</v>
      </c>
    </row>
    <row r="99" spans="1:22" x14ac:dyDescent="0.3">
      <c r="A99">
        <v>79452</v>
      </c>
      <c r="B99">
        <v>138338158</v>
      </c>
      <c r="C99" t="s">
        <v>984</v>
      </c>
      <c r="D99" t="s">
        <v>985</v>
      </c>
      <c r="E99" t="s">
        <v>513</v>
      </c>
      <c r="F99" t="s">
        <v>514</v>
      </c>
      <c r="G99" t="s">
        <v>43</v>
      </c>
      <c r="H99" t="s">
        <v>44</v>
      </c>
      <c r="I99" t="s">
        <v>34</v>
      </c>
      <c r="J99" t="s">
        <v>45</v>
      </c>
      <c r="K99" t="s">
        <v>41</v>
      </c>
      <c r="L99" t="s">
        <v>986</v>
      </c>
      <c r="M99" t="s">
        <v>987</v>
      </c>
      <c r="N99" t="s">
        <v>516</v>
      </c>
      <c r="O99" t="s">
        <v>64</v>
      </c>
      <c r="P99" t="s">
        <v>988</v>
      </c>
      <c r="Q99" t="s">
        <v>98</v>
      </c>
      <c r="R99" t="s">
        <v>974</v>
      </c>
      <c r="S99">
        <v>1.3</v>
      </c>
      <c r="T99">
        <v>5990</v>
      </c>
      <c r="U99">
        <v>0</v>
      </c>
      <c r="V99">
        <v>5990</v>
      </c>
    </row>
    <row r="100" spans="1:22" x14ac:dyDescent="0.3">
      <c r="A100">
        <v>79452</v>
      </c>
      <c r="B100">
        <v>138354755</v>
      </c>
      <c r="C100" t="s">
        <v>989</v>
      </c>
      <c r="D100" t="s">
        <v>990</v>
      </c>
      <c r="E100" t="s">
        <v>513</v>
      </c>
      <c r="F100" t="s">
        <v>514</v>
      </c>
      <c r="G100" t="s">
        <v>43</v>
      </c>
      <c r="H100" t="s">
        <v>44</v>
      </c>
      <c r="I100" t="s">
        <v>34</v>
      </c>
      <c r="J100" t="s">
        <v>45</v>
      </c>
      <c r="K100" t="s">
        <v>41</v>
      </c>
      <c r="L100" t="s">
        <v>991</v>
      </c>
      <c r="M100" t="s">
        <v>992</v>
      </c>
      <c r="N100" t="s">
        <v>516</v>
      </c>
      <c r="O100" t="s">
        <v>64</v>
      </c>
      <c r="P100" t="s">
        <v>993</v>
      </c>
      <c r="Q100" t="s">
        <v>82</v>
      </c>
      <c r="R100" t="s">
        <v>994</v>
      </c>
      <c r="S100">
        <v>0.87</v>
      </c>
      <c r="T100">
        <v>5990</v>
      </c>
      <c r="U100">
        <v>0</v>
      </c>
      <c r="V100">
        <v>5990</v>
      </c>
    </row>
    <row r="101" spans="1:22" x14ac:dyDescent="0.3">
      <c r="A101">
        <v>79452</v>
      </c>
      <c r="B101">
        <v>137870241</v>
      </c>
      <c r="C101" t="s">
        <v>995</v>
      </c>
      <c r="D101" t="s">
        <v>996</v>
      </c>
      <c r="E101" t="s">
        <v>513</v>
      </c>
      <c r="F101" t="s">
        <v>514</v>
      </c>
      <c r="G101" t="s">
        <v>43</v>
      </c>
      <c r="H101" t="s">
        <v>44</v>
      </c>
      <c r="I101" t="s">
        <v>34</v>
      </c>
      <c r="J101" t="s">
        <v>45</v>
      </c>
      <c r="K101" t="s">
        <v>41</v>
      </c>
      <c r="L101" t="s">
        <v>997</v>
      </c>
      <c r="M101" t="s">
        <v>998</v>
      </c>
      <c r="N101" t="s">
        <v>516</v>
      </c>
      <c r="O101" t="s">
        <v>64</v>
      </c>
      <c r="P101" t="s">
        <v>999</v>
      </c>
      <c r="Q101" t="s">
        <v>201</v>
      </c>
      <c r="R101" t="s">
        <v>1000</v>
      </c>
      <c r="S101">
        <v>1.87</v>
      </c>
      <c r="T101">
        <v>5990</v>
      </c>
      <c r="U101">
        <v>0</v>
      </c>
      <c r="V101">
        <v>5990</v>
      </c>
    </row>
    <row r="102" spans="1:22" x14ac:dyDescent="0.3">
      <c r="A102">
        <v>79452</v>
      </c>
      <c r="B102">
        <v>138316581</v>
      </c>
      <c r="C102" t="s">
        <v>1001</v>
      </c>
      <c r="D102" t="s">
        <v>1002</v>
      </c>
      <c r="E102" t="s">
        <v>513</v>
      </c>
      <c r="F102" t="s">
        <v>514</v>
      </c>
      <c r="G102" t="s">
        <v>43</v>
      </c>
      <c r="H102" t="s">
        <v>44</v>
      </c>
      <c r="I102" t="s">
        <v>34</v>
      </c>
      <c r="J102" t="s">
        <v>45</v>
      </c>
      <c r="K102" t="s">
        <v>41</v>
      </c>
      <c r="L102" t="s">
        <v>1003</v>
      </c>
      <c r="M102" t="s">
        <v>1004</v>
      </c>
      <c r="N102" t="s">
        <v>516</v>
      </c>
      <c r="O102" t="s">
        <v>64</v>
      </c>
      <c r="P102" t="s">
        <v>1005</v>
      </c>
      <c r="Q102" t="s">
        <v>98</v>
      </c>
      <c r="R102" t="s">
        <v>287</v>
      </c>
      <c r="S102">
        <v>1.1200000000000001</v>
      </c>
      <c r="T102">
        <v>5990</v>
      </c>
      <c r="U102">
        <v>0</v>
      </c>
      <c r="V102">
        <v>5990</v>
      </c>
    </row>
    <row r="103" spans="1:22" x14ac:dyDescent="0.3">
      <c r="A103">
        <v>79452</v>
      </c>
      <c r="B103">
        <v>138354731</v>
      </c>
      <c r="C103" t="s">
        <v>1006</v>
      </c>
      <c r="D103" t="s">
        <v>1007</v>
      </c>
      <c r="E103" t="s">
        <v>513</v>
      </c>
      <c r="F103" t="s">
        <v>514</v>
      </c>
      <c r="G103" t="s">
        <v>43</v>
      </c>
      <c r="H103" t="s">
        <v>44</v>
      </c>
      <c r="I103" t="s">
        <v>34</v>
      </c>
      <c r="J103" t="s">
        <v>45</v>
      </c>
      <c r="K103" t="s">
        <v>41</v>
      </c>
      <c r="L103" t="s">
        <v>1008</v>
      </c>
      <c r="M103" t="s">
        <v>1009</v>
      </c>
      <c r="N103" t="s">
        <v>516</v>
      </c>
      <c r="O103" t="s">
        <v>64</v>
      </c>
      <c r="P103" t="s">
        <v>1010</v>
      </c>
      <c r="Q103" t="s">
        <v>50</v>
      </c>
      <c r="R103" t="s">
        <v>994</v>
      </c>
      <c r="S103">
        <v>0.71</v>
      </c>
      <c r="T103">
        <v>5406</v>
      </c>
      <c r="U103">
        <v>0</v>
      </c>
      <c r="V103">
        <v>5406</v>
      </c>
    </row>
    <row r="104" spans="1:22" x14ac:dyDescent="0.3">
      <c r="A104">
        <v>79452</v>
      </c>
      <c r="B104">
        <v>138338162</v>
      </c>
      <c r="C104" t="s">
        <v>1011</v>
      </c>
      <c r="D104" t="s">
        <v>1012</v>
      </c>
      <c r="E104" t="s">
        <v>513</v>
      </c>
      <c r="F104" t="s">
        <v>514</v>
      </c>
      <c r="G104" t="s">
        <v>43</v>
      </c>
      <c r="H104" t="s">
        <v>44</v>
      </c>
      <c r="I104" t="s">
        <v>34</v>
      </c>
      <c r="J104" t="s">
        <v>45</v>
      </c>
      <c r="K104" t="s">
        <v>41</v>
      </c>
      <c r="L104" t="s">
        <v>1013</v>
      </c>
      <c r="M104" t="s">
        <v>1014</v>
      </c>
      <c r="N104" t="s">
        <v>516</v>
      </c>
      <c r="O104" t="s">
        <v>64</v>
      </c>
      <c r="P104" t="s">
        <v>1015</v>
      </c>
      <c r="Q104" t="s">
        <v>50</v>
      </c>
      <c r="R104" t="s">
        <v>974</v>
      </c>
      <c r="S104">
        <v>2.1</v>
      </c>
      <c r="T104">
        <v>5406</v>
      </c>
      <c r="U104">
        <v>0</v>
      </c>
      <c r="V104">
        <v>5406</v>
      </c>
    </row>
    <row r="105" spans="1:22" x14ac:dyDescent="0.3">
      <c r="A105">
        <v>79452</v>
      </c>
      <c r="B105">
        <v>138338154</v>
      </c>
      <c r="C105" t="s">
        <v>1016</v>
      </c>
      <c r="D105" t="s">
        <v>1017</v>
      </c>
      <c r="E105" t="s">
        <v>513</v>
      </c>
      <c r="F105" t="s">
        <v>514</v>
      </c>
      <c r="G105" t="s">
        <v>43</v>
      </c>
      <c r="H105" t="s">
        <v>44</v>
      </c>
      <c r="I105" t="s">
        <v>34</v>
      </c>
      <c r="J105" t="s">
        <v>45</v>
      </c>
      <c r="K105" t="s">
        <v>41</v>
      </c>
      <c r="L105" t="s">
        <v>1018</v>
      </c>
      <c r="M105" t="s">
        <v>1019</v>
      </c>
      <c r="N105" t="s">
        <v>516</v>
      </c>
      <c r="O105" t="s">
        <v>64</v>
      </c>
      <c r="P105" t="s">
        <v>1020</v>
      </c>
      <c r="Q105" t="s">
        <v>82</v>
      </c>
      <c r="R105" t="s">
        <v>974</v>
      </c>
      <c r="S105">
        <v>1.35</v>
      </c>
      <c r="T105">
        <v>5990</v>
      </c>
      <c r="U105">
        <v>0</v>
      </c>
      <c r="V105">
        <v>5990</v>
      </c>
    </row>
    <row r="106" spans="1:22" x14ac:dyDescent="0.3">
      <c r="A106">
        <v>79452</v>
      </c>
      <c r="B106">
        <v>138354718</v>
      </c>
      <c r="C106" t="s">
        <v>1021</v>
      </c>
      <c r="D106" t="s">
        <v>1022</v>
      </c>
      <c r="E106" t="s">
        <v>513</v>
      </c>
      <c r="F106" t="s">
        <v>514</v>
      </c>
      <c r="G106" t="s">
        <v>43</v>
      </c>
      <c r="H106" t="s">
        <v>44</v>
      </c>
      <c r="I106" t="s">
        <v>34</v>
      </c>
      <c r="J106" t="s">
        <v>45</v>
      </c>
      <c r="K106" t="s">
        <v>41</v>
      </c>
      <c r="L106" t="s">
        <v>1023</v>
      </c>
      <c r="M106" t="s">
        <v>1024</v>
      </c>
      <c r="N106" t="s">
        <v>516</v>
      </c>
      <c r="O106" t="s">
        <v>64</v>
      </c>
      <c r="P106" t="s">
        <v>1025</v>
      </c>
      <c r="Q106" t="s">
        <v>193</v>
      </c>
      <c r="R106" t="s">
        <v>994</v>
      </c>
      <c r="S106">
        <v>1.0900000000000001</v>
      </c>
      <c r="T106">
        <v>3936</v>
      </c>
      <c r="U106">
        <v>0</v>
      </c>
      <c r="V106">
        <v>3936</v>
      </c>
    </row>
    <row r="107" spans="1:22" x14ac:dyDescent="0.3">
      <c r="A107">
        <v>79452</v>
      </c>
      <c r="B107">
        <v>138316586</v>
      </c>
      <c r="C107" t="s">
        <v>1026</v>
      </c>
      <c r="D107" t="s">
        <v>1027</v>
      </c>
      <c r="E107" t="s">
        <v>513</v>
      </c>
      <c r="F107" t="s">
        <v>514</v>
      </c>
      <c r="G107" t="s">
        <v>43</v>
      </c>
      <c r="H107" t="s">
        <v>44</v>
      </c>
      <c r="I107" t="s">
        <v>34</v>
      </c>
      <c r="J107" t="s">
        <v>45</v>
      </c>
      <c r="K107" t="s">
        <v>41</v>
      </c>
      <c r="L107" t="s">
        <v>1028</v>
      </c>
      <c r="M107" t="s">
        <v>1029</v>
      </c>
      <c r="N107" t="s">
        <v>516</v>
      </c>
      <c r="O107" t="s">
        <v>64</v>
      </c>
      <c r="P107" t="s">
        <v>1030</v>
      </c>
      <c r="Q107" t="s">
        <v>168</v>
      </c>
      <c r="R107" t="s">
        <v>287</v>
      </c>
      <c r="S107">
        <v>0.89</v>
      </c>
      <c r="T107">
        <v>4230</v>
      </c>
      <c r="U107">
        <v>0</v>
      </c>
      <c r="V107">
        <v>4230</v>
      </c>
    </row>
    <row r="108" spans="1:22" x14ac:dyDescent="0.3">
      <c r="A108">
        <v>79452</v>
      </c>
      <c r="B108">
        <v>138338157</v>
      </c>
      <c r="C108" t="s">
        <v>1031</v>
      </c>
      <c r="D108" t="s">
        <v>1032</v>
      </c>
      <c r="E108" t="s">
        <v>513</v>
      </c>
      <c r="F108" t="s">
        <v>514</v>
      </c>
      <c r="G108" t="s">
        <v>43</v>
      </c>
      <c r="H108" t="s">
        <v>44</v>
      </c>
      <c r="I108" t="s">
        <v>34</v>
      </c>
      <c r="J108" t="s">
        <v>45</v>
      </c>
      <c r="K108" t="s">
        <v>41</v>
      </c>
      <c r="L108" t="s">
        <v>1033</v>
      </c>
      <c r="M108" t="s">
        <v>1034</v>
      </c>
      <c r="N108" t="s">
        <v>516</v>
      </c>
      <c r="O108" t="s">
        <v>64</v>
      </c>
      <c r="P108" t="s">
        <v>1035</v>
      </c>
      <c r="Q108" t="s">
        <v>50</v>
      </c>
      <c r="R108" t="s">
        <v>974</v>
      </c>
      <c r="S108">
        <v>0.62</v>
      </c>
      <c r="T108">
        <v>5406</v>
      </c>
      <c r="U108">
        <v>0</v>
      </c>
      <c r="V108">
        <v>5406</v>
      </c>
    </row>
    <row r="109" spans="1:22" x14ac:dyDescent="0.3">
      <c r="A109">
        <v>79452</v>
      </c>
      <c r="B109">
        <v>138316582</v>
      </c>
      <c r="C109" t="s">
        <v>1036</v>
      </c>
      <c r="D109" t="s">
        <v>1037</v>
      </c>
      <c r="E109" t="s">
        <v>513</v>
      </c>
      <c r="F109" t="s">
        <v>514</v>
      </c>
      <c r="G109" t="s">
        <v>43</v>
      </c>
      <c r="H109" t="s">
        <v>44</v>
      </c>
      <c r="I109" t="s">
        <v>34</v>
      </c>
      <c r="J109" t="s">
        <v>45</v>
      </c>
      <c r="K109" t="s">
        <v>41</v>
      </c>
      <c r="L109" t="s">
        <v>1038</v>
      </c>
      <c r="M109" t="s">
        <v>1039</v>
      </c>
      <c r="N109" t="s">
        <v>516</v>
      </c>
      <c r="O109" t="s">
        <v>64</v>
      </c>
      <c r="P109" t="s">
        <v>1040</v>
      </c>
      <c r="Q109" t="s">
        <v>50</v>
      </c>
      <c r="R109" t="s">
        <v>287</v>
      </c>
      <c r="S109">
        <v>1.38</v>
      </c>
      <c r="T109">
        <v>5406</v>
      </c>
      <c r="U109">
        <v>0</v>
      </c>
      <c r="V109">
        <v>5406</v>
      </c>
    </row>
    <row r="110" spans="1:22" x14ac:dyDescent="0.3">
      <c r="A110">
        <v>79452</v>
      </c>
      <c r="B110">
        <v>138354714</v>
      </c>
      <c r="C110" t="s">
        <v>1041</v>
      </c>
      <c r="D110" t="s">
        <v>1042</v>
      </c>
      <c r="E110" t="s">
        <v>513</v>
      </c>
      <c r="F110" t="s">
        <v>514</v>
      </c>
      <c r="G110" t="s">
        <v>43</v>
      </c>
      <c r="H110" t="s">
        <v>44</v>
      </c>
      <c r="I110" t="s">
        <v>34</v>
      </c>
      <c r="J110" t="s">
        <v>45</v>
      </c>
      <c r="K110" t="s">
        <v>41</v>
      </c>
      <c r="L110" t="s">
        <v>1043</v>
      </c>
      <c r="M110" t="s">
        <v>1044</v>
      </c>
      <c r="N110" t="s">
        <v>516</v>
      </c>
      <c r="O110" t="s">
        <v>64</v>
      </c>
      <c r="P110" t="s">
        <v>1045</v>
      </c>
      <c r="Q110" t="s">
        <v>67</v>
      </c>
      <c r="R110" t="s">
        <v>994</v>
      </c>
      <c r="S110">
        <v>0.97</v>
      </c>
      <c r="T110">
        <v>3936</v>
      </c>
      <c r="U110">
        <v>0</v>
      </c>
      <c r="V110">
        <v>3936</v>
      </c>
    </row>
    <row r="111" spans="1:22" x14ac:dyDescent="0.3">
      <c r="A111">
        <v>79452</v>
      </c>
      <c r="B111">
        <v>138354751</v>
      </c>
      <c r="C111" t="s">
        <v>1046</v>
      </c>
      <c r="D111" t="s">
        <v>1047</v>
      </c>
      <c r="E111" t="s">
        <v>513</v>
      </c>
      <c r="F111" t="s">
        <v>514</v>
      </c>
      <c r="G111" t="s">
        <v>43</v>
      </c>
      <c r="H111" t="s">
        <v>44</v>
      </c>
      <c r="I111" t="s">
        <v>34</v>
      </c>
      <c r="J111" t="s">
        <v>45</v>
      </c>
      <c r="K111" t="s">
        <v>41</v>
      </c>
      <c r="L111" t="s">
        <v>1048</v>
      </c>
      <c r="M111" t="s">
        <v>1049</v>
      </c>
      <c r="N111" t="s">
        <v>516</v>
      </c>
      <c r="O111" t="s">
        <v>64</v>
      </c>
      <c r="P111" t="s">
        <v>1050</v>
      </c>
      <c r="Q111" t="s">
        <v>62</v>
      </c>
      <c r="R111" t="s">
        <v>994</v>
      </c>
      <c r="S111">
        <v>0.96</v>
      </c>
      <c r="T111">
        <v>3936</v>
      </c>
      <c r="U111">
        <v>0</v>
      </c>
      <c r="V111">
        <v>3936</v>
      </c>
    </row>
    <row r="112" spans="1:22" x14ac:dyDescent="0.3">
      <c r="A112">
        <v>79452</v>
      </c>
      <c r="B112">
        <v>138211940</v>
      </c>
      <c r="C112" t="s">
        <v>1051</v>
      </c>
      <c r="D112" t="s">
        <v>1052</v>
      </c>
      <c r="E112" t="s">
        <v>513</v>
      </c>
      <c r="F112" t="s">
        <v>514</v>
      </c>
      <c r="G112" t="s">
        <v>43</v>
      </c>
      <c r="H112" t="s">
        <v>44</v>
      </c>
      <c r="I112" t="s">
        <v>34</v>
      </c>
      <c r="J112" t="s">
        <v>45</v>
      </c>
      <c r="K112" t="s">
        <v>41</v>
      </c>
      <c r="L112" t="s">
        <v>1053</v>
      </c>
      <c r="M112" t="s">
        <v>1054</v>
      </c>
      <c r="N112" t="s">
        <v>516</v>
      </c>
      <c r="O112" t="s">
        <v>64</v>
      </c>
      <c r="P112" t="s">
        <v>1055</v>
      </c>
      <c r="Q112" t="s">
        <v>118</v>
      </c>
      <c r="R112" t="s">
        <v>537</v>
      </c>
      <c r="S112">
        <v>0.63</v>
      </c>
      <c r="T112">
        <v>4230</v>
      </c>
      <c r="U112">
        <v>0</v>
      </c>
      <c r="V112">
        <v>4230</v>
      </c>
    </row>
    <row r="113" spans="1:22" x14ac:dyDescent="0.3">
      <c r="A113">
        <v>79452</v>
      </c>
      <c r="B113">
        <v>138338161</v>
      </c>
      <c r="C113" t="s">
        <v>1056</v>
      </c>
      <c r="D113" t="s">
        <v>1057</v>
      </c>
      <c r="E113" t="s">
        <v>513</v>
      </c>
      <c r="F113" t="s">
        <v>514</v>
      </c>
      <c r="G113" t="s">
        <v>43</v>
      </c>
      <c r="H113" t="s">
        <v>44</v>
      </c>
      <c r="I113" t="s">
        <v>34</v>
      </c>
      <c r="J113" t="s">
        <v>45</v>
      </c>
      <c r="K113" t="s">
        <v>41</v>
      </c>
      <c r="L113" t="s">
        <v>1058</v>
      </c>
      <c r="M113" t="s">
        <v>1059</v>
      </c>
      <c r="N113" t="s">
        <v>516</v>
      </c>
      <c r="O113" t="s">
        <v>64</v>
      </c>
      <c r="P113" t="s">
        <v>1060</v>
      </c>
      <c r="Q113" t="s">
        <v>118</v>
      </c>
      <c r="R113" t="s">
        <v>974</v>
      </c>
      <c r="S113">
        <v>1.27</v>
      </c>
      <c r="T113">
        <v>4230</v>
      </c>
      <c r="U113">
        <v>0</v>
      </c>
      <c r="V113">
        <v>4230</v>
      </c>
    </row>
    <row r="114" spans="1:22" x14ac:dyDescent="0.3">
      <c r="A114">
        <v>79452</v>
      </c>
      <c r="B114">
        <v>138338145</v>
      </c>
      <c r="C114" t="s">
        <v>1061</v>
      </c>
      <c r="D114" t="s">
        <v>1062</v>
      </c>
      <c r="E114" t="s">
        <v>513</v>
      </c>
      <c r="F114" t="s">
        <v>514</v>
      </c>
      <c r="G114" t="s">
        <v>43</v>
      </c>
      <c r="H114" t="s">
        <v>44</v>
      </c>
      <c r="I114" t="s">
        <v>34</v>
      </c>
      <c r="J114" t="s">
        <v>45</v>
      </c>
      <c r="K114" t="s">
        <v>41</v>
      </c>
      <c r="L114" t="s">
        <v>1063</v>
      </c>
      <c r="M114" t="s">
        <v>1064</v>
      </c>
      <c r="N114" t="s">
        <v>516</v>
      </c>
      <c r="O114" t="s">
        <v>64</v>
      </c>
      <c r="P114" t="s">
        <v>1065</v>
      </c>
      <c r="Q114" t="s">
        <v>56</v>
      </c>
      <c r="R114" t="s">
        <v>974</v>
      </c>
      <c r="S114">
        <v>1.97</v>
      </c>
      <c r="T114">
        <v>3904</v>
      </c>
      <c r="U114">
        <v>0</v>
      </c>
      <c r="V114">
        <v>3904</v>
      </c>
    </row>
    <row r="115" spans="1:22" x14ac:dyDescent="0.3">
      <c r="A115">
        <v>79452</v>
      </c>
      <c r="B115">
        <v>138338124</v>
      </c>
      <c r="C115" t="s">
        <v>1066</v>
      </c>
      <c r="D115" t="s">
        <v>1067</v>
      </c>
      <c r="E115" t="s">
        <v>513</v>
      </c>
      <c r="F115" t="s">
        <v>514</v>
      </c>
      <c r="G115" t="s">
        <v>43</v>
      </c>
      <c r="H115" t="s">
        <v>44</v>
      </c>
      <c r="I115" t="s">
        <v>34</v>
      </c>
      <c r="J115" t="s">
        <v>45</v>
      </c>
      <c r="K115" t="s">
        <v>41</v>
      </c>
      <c r="L115" t="s">
        <v>1068</v>
      </c>
      <c r="M115" t="s">
        <v>452</v>
      </c>
      <c r="N115" t="s">
        <v>516</v>
      </c>
      <c r="O115" t="s">
        <v>64</v>
      </c>
      <c r="P115" t="s">
        <v>1069</v>
      </c>
      <c r="Q115" t="s">
        <v>210</v>
      </c>
      <c r="R115" t="s">
        <v>1070</v>
      </c>
      <c r="S115">
        <v>1.32</v>
      </c>
      <c r="T115">
        <v>6999</v>
      </c>
      <c r="U115">
        <v>0</v>
      </c>
      <c r="V115">
        <v>6999</v>
      </c>
    </row>
    <row r="116" spans="1:22" x14ac:dyDescent="0.3">
      <c r="A116">
        <v>79452</v>
      </c>
      <c r="B116">
        <v>138338163</v>
      </c>
      <c r="C116" t="s">
        <v>1071</v>
      </c>
      <c r="D116" t="s">
        <v>1072</v>
      </c>
      <c r="E116" t="s">
        <v>513</v>
      </c>
      <c r="F116" t="s">
        <v>514</v>
      </c>
      <c r="G116" t="s">
        <v>43</v>
      </c>
      <c r="H116" t="s">
        <v>44</v>
      </c>
      <c r="I116" t="s">
        <v>34</v>
      </c>
      <c r="J116" t="s">
        <v>45</v>
      </c>
      <c r="K116" t="s">
        <v>41</v>
      </c>
      <c r="L116" t="s">
        <v>1073</v>
      </c>
      <c r="M116" t="s">
        <v>1074</v>
      </c>
      <c r="N116" t="s">
        <v>516</v>
      </c>
      <c r="O116" t="s">
        <v>64</v>
      </c>
      <c r="P116" t="s">
        <v>1075</v>
      </c>
      <c r="Q116" t="s">
        <v>172</v>
      </c>
      <c r="R116" t="s">
        <v>974</v>
      </c>
      <c r="S116">
        <v>1.31</v>
      </c>
      <c r="T116">
        <v>4881</v>
      </c>
      <c r="U116">
        <v>0</v>
      </c>
      <c r="V116">
        <v>4881</v>
      </c>
    </row>
    <row r="117" spans="1:22" x14ac:dyDescent="0.3">
      <c r="A117">
        <v>79452</v>
      </c>
      <c r="B117">
        <v>138298655</v>
      </c>
      <c r="C117" t="s">
        <v>1076</v>
      </c>
      <c r="D117" t="s">
        <v>1077</v>
      </c>
      <c r="E117" t="s">
        <v>513</v>
      </c>
      <c r="F117" t="s">
        <v>514</v>
      </c>
      <c r="G117" t="s">
        <v>43</v>
      </c>
      <c r="H117" t="s">
        <v>44</v>
      </c>
      <c r="I117" t="s">
        <v>34</v>
      </c>
      <c r="J117" t="s">
        <v>45</v>
      </c>
      <c r="K117" t="s">
        <v>41</v>
      </c>
      <c r="L117" t="s">
        <v>1078</v>
      </c>
      <c r="M117" t="s">
        <v>1079</v>
      </c>
      <c r="N117" t="s">
        <v>516</v>
      </c>
      <c r="O117" t="s">
        <v>64</v>
      </c>
      <c r="P117" t="s">
        <v>1080</v>
      </c>
      <c r="Q117" t="s">
        <v>50</v>
      </c>
      <c r="R117" t="s">
        <v>361</v>
      </c>
      <c r="S117">
        <v>1.45</v>
      </c>
      <c r="T117">
        <v>5406</v>
      </c>
      <c r="U117">
        <v>0</v>
      </c>
      <c r="V117">
        <v>5406</v>
      </c>
    </row>
    <row r="118" spans="1:22" x14ac:dyDescent="0.3">
      <c r="A118">
        <v>79452</v>
      </c>
      <c r="B118">
        <v>138354739</v>
      </c>
      <c r="C118" t="s">
        <v>1081</v>
      </c>
      <c r="D118" t="s">
        <v>1082</v>
      </c>
      <c r="E118" t="s">
        <v>513</v>
      </c>
      <c r="F118" t="s">
        <v>514</v>
      </c>
      <c r="G118" t="s">
        <v>43</v>
      </c>
      <c r="H118" t="s">
        <v>44</v>
      </c>
      <c r="I118" t="s">
        <v>34</v>
      </c>
      <c r="J118" t="s">
        <v>45</v>
      </c>
      <c r="K118" t="s">
        <v>41</v>
      </c>
      <c r="L118" t="s">
        <v>1083</v>
      </c>
      <c r="M118" t="s">
        <v>1084</v>
      </c>
      <c r="N118" t="s">
        <v>516</v>
      </c>
      <c r="O118" t="s">
        <v>64</v>
      </c>
      <c r="P118" t="s">
        <v>1085</v>
      </c>
      <c r="Q118" t="s">
        <v>47</v>
      </c>
      <c r="R118" t="s">
        <v>994</v>
      </c>
      <c r="S118">
        <v>0.88</v>
      </c>
      <c r="T118">
        <v>4230</v>
      </c>
      <c r="U118">
        <v>0</v>
      </c>
      <c r="V118">
        <v>4230</v>
      </c>
    </row>
    <row r="119" spans="1:22" x14ac:dyDescent="0.3">
      <c r="A119">
        <v>79452</v>
      </c>
      <c r="B119">
        <v>138338140</v>
      </c>
      <c r="C119" t="s">
        <v>1086</v>
      </c>
      <c r="D119" t="s">
        <v>1087</v>
      </c>
      <c r="E119" t="s">
        <v>513</v>
      </c>
      <c r="F119" t="s">
        <v>514</v>
      </c>
      <c r="G119" t="s">
        <v>43</v>
      </c>
      <c r="H119" t="s">
        <v>44</v>
      </c>
      <c r="I119" t="s">
        <v>34</v>
      </c>
      <c r="J119" t="s">
        <v>45</v>
      </c>
      <c r="K119" t="s">
        <v>41</v>
      </c>
      <c r="L119" t="s">
        <v>1088</v>
      </c>
      <c r="M119" t="s">
        <v>1089</v>
      </c>
      <c r="N119" t="s">
        <v>516</v>
      </c>
      <c r="O119" t="s">
        <v>64</v>
      </c>
      <c r="P119" t="s">
        <v>1090</v>
      </c>
      <c r="Q119" t="s">
        <v>118</v>
      </c>
      <c r="R119" t="s">
        <v>974</v>
      </c>
      <c r="S119">
        <v>1.2</v>
      </c>
      <c r="T119">
        <v>4230</v>
      </c>
      <c r="U119">
        <v>0</v>
      </c>
      <c r="V119">
        <v>4230</v>
      </c>
    </row>
    <row r="120" spans="1:22" x14ac:dyDescent="0.3">
      <c r="A120">
        <v>79452</v>
      </c>
      <c r="B120">
        <v>138354721</v>
      </c>
      <c r="C120" t="s">
        <v>1091</v>
      </c>
      <c r="D120" t="s">
        <v>1092</v>
      </c>
      <c r="E120" t="s">
        <v>513</v>
      </c>
      <c r="F120" t="s">
        <v>514</v>
      </c>
      <c r="G120" t="s">
        <v>43</v>
      </c>
      <c r="H120" t="s">
        <v>44</v>
      </c>
      <c r="I120" t="s">
        <v>34</v>
      </c>
      <c r="J120" t="s">
        <v>45</v>
      </c>
      <c r="K120" t="s">
        <v>54</v>
      </c>
      <c r="L120" t="s">
        <v>55</v>
      </c>
      <c r="M120" t="s">
        <v>1093</v>
      </c>
      <c r="N120" t="s">
        <v>516</v>
      </c>
      <c r="O120" t="s">
        <v>64</v>
      </c>
      <c r="P120" t="s">
        <v>1094</v>
      </c>
      <c r="Q120" t="s">
        <v>62</v>
      </c>
      <c r="R120" t="s">
        <v>994</v>
      </c>
      <c r="S120">
        <v>1.25</v>
      </c>
      <c r="T120">
        <v>3936</v>
      </c>
      <c r="U120">
        <v>0</v>
      </c>
      <c r="V120">
        <v>3936</v>
      </c>
    </row>
    <row r="121" spans="1:22" x14ac:dyDescent="0.3">
      <c r="A121">
        <v>79452</v>
      </c>
      <c r="B121">
        <v>138338139</v>
      </c>
      <c r="C121" t="s">
        <v>1095</v>
      </c>
      <c r="D121" t="s">
        <v>1096</v>
      </c>
      <c r="E121" t="s">
        <v>513</v>
      </c>
      <c r="F121" t="s">
        <v>514</v>
      </c>
      <c r="G121" t="s">
        <v>43</v>
      </c>
      <c r="H121" t="s">
        <v>44</v>
      </c>
      <c r="I121" t="s">
        <v>34</v>
      </c>
      <c r="J121" t="s">
        <v>45</v>
      </c>
      <c r="K121" t="s">
        <v>41</v>
      </c>
      <c r="L121" t="s">
        <v>1097</v>
      </c>
      <c r="M121" t="s">
        <v>1098</v>
      </c>
      <c r="N121" t="s">
        <v>516</v>
      </c>
      <c r="O121" t="s">
        <v>64</v>
      </c>
      <c r="P121" t="s">
        <v>1099</v>
      </c>
      <c r="Q121" t="s">
        <v>73</v>
      </c>
      <c r="R121" t="s">
        <v>974</v>
      </c>
      <c r="S121">
        <v>2.72</v>
      </c>
      <c r="T121">
        <v>3904</v>
      </c>
      <c r="U121">
        <v>0</v>
      </c>
      <c r="V121">
        <v>3904</v>
      </c>
    </row>
    <row r="122" spans="1:22" x14ac:dyDescent="0.3">
      <c r="A122">
        <v>79452</v>
      </c>
      <c r="B122">
        <v>138338142</v>
      </c>
      <c r="C122" t="s">
        <v>1100</v>
      </c>
      <c r="D122" t="s">
        <v>1101</v>
      </c>
      <c r="E122" t="s">
        <v>513</v>
      </c>
      <c r="F122" t="s">
        <v>514</v>
      </c>
      <c r="G122" t="s">
        <v>43</v>
      </c>
      <c r="H122" t="s">
        <v>44</v>
      </c>
      <c r="I122" t="s">
        <v>34</v>
      </c>
      <c r="J122" t="s">
        <v>45</v>
      </c>
      <c r="K122" t="s">
        <v>41</v>
      </c>
      <c r="L122" t="s">
        <v>1102</v>
      </c>
      <c r="M122" t="s">
        <v>331</v>
      </c>
      <c r="N122" t="s">
        <v>516</v>
      </c>
      <c r="O122" t="s">
        <v>64</v>
      </c>
      <c r="P122" t="s">
        <v>1103</v>
      </c>
      <c r="Q122" t="s">
        <v>90</v>
      </c>
      <c r="R122" t="s">
        <v>974</v>
      </c>
      <c r="S122">
        <v>1.1299999999999999</v>
      </c>
      <c r="T122">
        <v>3904</v>
      </c>
      <c r="U122">
        <v>0</v>
      </c>
      <c r="V122">
        <v>3904</v>
      </c>
    </row>
    <row r="123" spans="1:22" x14ac:dyDescent="0.3">
      <c r="A123">
        <v>79452</v>
      </c>
      <c r="B123">
        <v>138338144</v>
      </c>
      <c r="C123" t="s">
        <v>1104</v>
      </c>
      <c r="D123" t="s">
        <v>1105</v>
      </c>
      <c r="E123" t="s">
        <v>513</v>
      </c>
      <c r="F123" t="s">
        <v>514</v>
      </c>
      <c r="G123" t="s">
        <v>43</v>
      </c>
      <c r="H123" t="s">
        <v>44</v>
      </c>
      <c r="I123" t="s">
        <v>34</v>
      </c>
      <c r="J123" t="s">
        <v>45</v>
      </c>
      <c r="K123" t="s">
        <v>41</v>
      </c>
      <c r="L123" t="s">
        <v>1106</v>
      </c>
      <c r="M123" t="s">
        <v>1107</v>
      </c>
      <c r="N123" t="s">
        <v>516</v>
      </c>
      <c r="O123" t="s">
        <v>64</v>
      </c>
      <c r="P123" t="s">
        <v>1108</v>
      </c>
      <c r="Q123" t="s">
        <v>61</v>
      </c>
      <c r="R123" t="s">
        <v>974</v>
      </c>
      <c r="S123">
        <v>0.61</v>
      </c>
      <c r="T123">
        <v>3501</v>
      </c>
      <c r="U123">
        <v>0</v>
      </c>
      <c r="V123">
        <v>3501</v>
      </c>
    </row>
    <row r="124" spans="1:22" x14ac:dyDescent="0.3">
      <c r="A124">
        <v>79452</v>
      </c>
      <c r="B124">
        <v>138316572</v>
      </c>
      <c r="C124" t="s">
        <v>1109</v>
      </c>
      <c r="D124" t="s">
        <v>1110</v>
      </c>
      <c r="E124" t="s">
        <v>513</v>
      </c>
      <c r="F124" t="s">
        <v>514</v>
      </c>
      <c r="G124" t="s">
        <v>43</v>
      </c>
      <c r="H124" t="s">
        <v>44</v>
      </c>
      <c r="I124" t="s">
        <v>34</v>
      </c>
      <c r="J124" t="s">
        <v>45</v>
      </c>
      <c r="K124" t="s">
        <v>41</v>
      </c>
      <c r="L124" t="s">
        <v>1111</v>
      </c>
      <c r="M124" t="s">
        <v>1112</v>
      </c>
      <c r="N124" t="s">
        <v>516</v>
      </c>
      <c r="O124" t="s">
        <v>64</v>
      </c>
      <c r="P124" t="s">
        <v>1113</v>
      </c>
      <c r="Q124" t="s">
        <v>50</v>
      </c>
      <c r="R124" t="s">
        <v>287</v>
      </c>
      <c r="S124">
        <v>1.27</v>
      </c>
      <c r="T124">
        <v>5406</v>
      </c>
      <c r="U124">
        <v>0</v>
      </c>
      <c r="V124">
        <v>5406</v>
      </c>
    </row>
    <row r="125" spans="1:22" x14ac:dyDescent="0.3">
      <c r="A125">
        <v>79452</v>
      </c>
      <c r="B125">
        <v>138354723</v>
      </c>
      <c r="C125" t="s">
        <v>1114</v>
      </c>
      <c r="D125" t="s">
        <v>1115</v>
      </c>
      <c r="E125" t="s">
        <v>513</v>
      </c>
      <c r="F125" t="s">
        <v>514</v>
      </c>
      <c r="G125" t="s">
        <v>43</v>
      </c>
      <c r="H125" t="s">
        <v>44</v>
      </c>
      <c r="I125" t="s">
        <v>34</v>
      </c>
      <c r="J125" t="s">
        <v>45</v>
      </c>
      <c r="K125" t="s">
        <v>41</v>
      </c>
      <c r="L125" t="s">
        <v>1116</v>
      </c>
      <c r="M125" t="s">
        <v>1117</v>
      </c>
      <c r="N125" t="s">
        <v>516</v>
      </c>
      <c r="O125" t="s">
        <v>64</v>
      </c>
      <c r="P125" t="s">
        <v>1118</v>
      </c>
      <c r="Q125" t="s">
        <v>87</v>
      </c>
      <c r="R125" t="s">
        <v>994</v>
      </c>
      <c r="S125">
        <v>1.1299999999999999</v>
      </c>
      <c r="T125">
        <v>4025</v>
      </c>
      <c r="U125">
        <v>0</v>
      </c>
      <c r="V125">
        <v>4025</v>
      </c>
    </row>
    <row r="126" spans="1:22" x14ac:dyDescent="0.3">
      <c r="A126">
        <v>79452</v>
      </c>
      <c r="B126">
        <v>138316602</v>
      </c>
      <c r="C126" t="s">
        <v>1119</v>
      </c>
      <c r="D126" t="s">
        <v>1120</v>
      </c>
      <c r="E126" t="s">
        <v>513</v>
      </c>
      <c r="F126" t="s">
        <v>514</v>
      </c>
      <c r="G126" t="s">
        <v>43</v>
      </c>
      <c r="H126" t="s">
        <v>44</v>
      </c>
      <c r="I126" t="s">
        <v>34</v>
      </c>
      <c r="J126" t="s">
        <v>45</v>
      </c>
      <c r="K126" t="s">
        <v>41</v>
      </c>
      <c r="L126" t="s">
        <v>1121</v>
      </c>
      <c r="M126" t="s">
        <v>689</v>
      </c>
      <c r="N126" t="s">
        <v>516</v>
      </c>
      <c r="O126" t="s">
        <v>64</v>
      </c>
      <c r="P126" t="s">
        <v>690</v>
      </c>
      <c r="Q126" t="s">
        <v>42</v>
      </c>
      <c r="R126" t="s">
        <v>287</v>
      </c>
      <c r="S126">
        <v>0.56999999999999995</v>
      </c>
      <c r="T126">
        <v>3936</v>
      </c>
      <c r="U126">
        <v>0</v>
      </c>
      <c r="V126">
        <v>3936</v>
      </c>
    </row>
    <row r="127" spans="1:22" x14ac:dyDescent="0.3">
      <c r="A127">
        <v>79452</v>
      </c>
      <c r="B127">
        <v>138338150</v>
      </c>
      <c r="C127" t="s">
        <v>1122</v>
      </c>
      <c r="D127" t="s">
        <v>1123</v>
      </c>
      <c r="E127" t="s">
        <v>513</v>
      </c>
      <c r="F127" t="s">
        <v>514</v>
      </c>
      <c r="G127" t="s">
        <v>43</v>
      </c>
      <c r="H127" t="s">
        <v>44</v>
      </c>
      <c r="I127" t="s">
        <v>34</v>
      </c>
      <c r="J127" t="s">
        <v>45</v>
      </c>
      <c r="K127" t="s">
        <v>41</v>
      </c>
      <c r="L127" t="s">
        <v>1124</v>
      </c>
      <c r="M127" t="s">
        <v>471</v>
      </c>
      <c r="N127" t="s">
        <v>516</v>
      </c>
      <c r="O127" t="s">
        <v>64</v>
      </c>
      <c r="P127" t="s">
        <v>1125</v>
      </c>
      <c r="Q127" t="s">
        <v>101</v>
      </c>
      <c r="R127" t="s">
        <v>974</v>
      </c>
      <c r="S127">
        <v>0.93</v>
      </c>
      <c r="T127">
        <v>3501</v>
      </c>
      <c r="U127">
        <v>0</v>
      </c>
      <c r="V127">
        <v>3501</v>
      </c>
    </row>
    <row r="128" spans="1:22" x14ac:dyDescent="0.3">
      <c r="A128">
        <v>79452</v>
      </c>
      <c r="B128">
        <v>138298649</v>
      </c>
      <c r="C128" t="s">
        <v>1126</v>
      </c>
      <c r="D128" t="s">
        <v>1127</v>
      </c>
      <c r="E128" t="s">
        <v>513</v>
      </c>
      <c r="F128" t="s">
        <v>514</v>
      </c>
      <c r="G128" t="s">
        <v>43</v>
      </c>
      <c r="H128" t="s">
        <v>44</v>
      </c>
      <c r="I128" t="s">
        <v>34</v>
      </c>
      <c r="J128" t="s">
        <v>45</v>
      </c>
      <c r="K128" t="s">
        <v>41</v>
      </c>
      <c r="L128" t="s">
        <v>1128</v>
      </c>
      <c r="M128" t="s">
        <v>1129</v>
      </c>
      <c r="N128" t="s">
        <v>516</v>
      </c>
      <c r="O128" t="s">
        <v>64</v>
      </c>
      <c r="P128" t="s">
        <v>1130</v>
      </c>
      <c r="Q128" t="s">
        <v>46</v>
      </c>
      <c r="R128" t="s">
        <v>361</v>
      </c>
      <c r="S128">
        <v>1.06</v>
      </c>
      <c r="T128">
        <v>3501</v>
      </c>
      <c r="U128">
        <v>0</v>
      </c>
      <c r="V128">
        <v>3501</v>
      </c>
    </row>
    <row r="129" spans="1:22" x14ac:dyDescent="0.3">
      <c r="A129">
        <v>79452</v>
      </c>
      <c r="B129">
        <v>138316590</v>
      </c>
      <c r="C129" t="s">
        <v>1131</v>
      </c>
      <c r="D129" t="s">
        <v>1132</v>
      </c>
      <c r="E129" t="s">
        <v>513</v>
      </c>
      <c r="F129" t="s">
        <v>514</v>
      </c>
      <c r="G129" t="s">
        <v>43</v>
      </c>
      <c r="H129" t="s">
        <v>44</v>
      </c>
      <c r="I129" t="s">
        <v>34</v>
      </c>
      <c r="J129" t="s">
        <v>45</v>
      </c>
      <c r="K129" t="s">
        <v>41</v>
      </c>
      <c r="L129" t="s">
        <v>1133</v>
      </c>
      <c r="M129" t="s">
        <v>1134</v>
      </c>
      <c r="N129" t="s">
        <v>516</v>
      </c>
      <c r="O129" t="s">
        <v>64</v>
      </c>
      <c r="P129" t="s">
        <v>1135</v>
      </c>
      <c r="Q129" t="s">
        <v>56</v>
      </c>
      <c r="R129" t="s">
        <v>287</v>
      </c>
      <c r="S129">
        <v>0.94</v>
      </c>
      <c r="T129">
        <v>3904</v>
      </c>
      <c r="U129">
        <v>0</v>
      </c>
      <c r="V129">
        <v>3904</v>
      </c>
    </row>
    <row r="130" spans="1:22" x14ac:dyDescent="0.3">
      <c r="A130">
        <v>79452</v>
      </c>
      <c r="B130">
        <v>138316601</v>
      </c>
      <c r="C130" t="s">
        <v>1136</v>
      </c>
      <c r="D130" t="s">
        <v>1137</v>
      </c>
      <c r="E130" t="s">
        <v>513</v>
      </c>
      <c r="F130" t="s">
        <v>514</v>
      </c>
      <c r="G130" t="s">
        <v>43</v>
      </c>
      <c r="H130" t="s">
        <v>44</v>
      </c>
      <c r="I130" t="s">
        <v>34</v>
      </c>
      <c r="J130" t="s">
        <v>45</v>
      </c>
      <c r="K130" t="s">
        <v>41</v>
      </c>
      <c r="L130" t="s">
        <v>1138</v>
      </c>
      <c r="M130" t="s">
        <v>307</v>
      </c>
      <c r="N130" t="s">
        <v>516</v>
      </c>
      <c r="O130" t="s">
        <v>64</v>
      </c>
      <c r="P130" t="s">
        <v>1139</v>
      </c>
      <c r="Q130" t="s">
        <v>118</v>
      </c>
      <c r="R130" t="s">
        <v>287</v>
      </c>
      <c r="S130">
        <v>0.66</v>
      </c>
      <c r="T130">
        <v>4230</v>
      </c>
      <c r="U130">
        <v>0</v>
      </c>
      <c r="V130">
        <v>4230</v>
      </c>
    </row>
    <row r="131" spans="1:22" x14ac:dyDescent="0.3">
      <c r="A131">
        <v>79452</v>
      </c>
      <c r="B131">
        <v>138298665</v>
      </c>
      <c r="C131" t="s">
        <v>1140</v>
      </c>
      <c r="D131" t="s">
        <v>1141</v>
      </c>
      <c r="E131" t="s">
        <v>513</v>
      </c>
      <c r="F131" t="s">
        <v>514</v>
      </c>
      <c r="G131" t="s">
        <v>43</v>
      </c>
      <c r="H131" t="s">
        <v>44</v>
      </c>
      <c r="I131" t="s">
        <v>34</v>
      </c>
      <c r="J131" t="s">
        <v>45</v>
      </c>
      <c r="K131" t="s">
        <v>41</v>
      </c>
      <c r="L131" t="s">
        <v>1142</v>
      </c>
      <c r="M131" t="s">
        <v>1143</v>
      </c>
      <c r="N131" t="s">
        <v>516</v>
      </c>
      <c r="O131" t="s">
        <v>64</v>
      </c>
      <c r="P131" t="s">
        <v>1144</v>
      </c>
      <c r="Q131" t="s">
        <v>48</v>
      </c>
      <c r="R131" t="s">
        <v>361</v>
      </c>
      <c r="S131">
        <v>1.7</v>
      </c>
      <c r="T131">
        <v>4230</v>
      </c>
      <c r="U131">
        <v>0</v>
      </c>
      <c r="V131">
        <v>4230</v>
      </c>
    </row>
    <row r="132" spans="1:22" x14ac:dyDescent="0.3">
      <c r="A132">
        <v>79452</v>
      </c>
      <c r="B132">
        <v>138275778</v>
      </c>
      <c r="C132" t="s">
        <v>1145</v>
      </c>
      <c r="D132" t="s">
        <v>1146</v>
      </c>
      <c r="E132" t="s">
        <v>513</v>
      </c>
      <c r="F132" t="s">
        <v>514</v>
      </c>
      <c r="G132" t="s">
        <v>43</v>
      </c>
      <c r="H132" t="s">
        <v>44</v>
      </c>
      <c r="I132" t="s">
        <v>34</v>
      </c>
      <c r="J132" t="s">
        <v>45</v>
      </c>
      <c r="K132" t="s">
        <v>41</v>
      </c>
      <c r="L132" t="s">
        <v>1147</v>
      </c>
      <c r="M132" t="s">
        <v>1148</v>
      </c>
      <c r="N132" t="s">
        <v>516</v>
      </c>
      <c r="O132" t="s">
        <v>64</v>
      </c>
      <c r="P132" t="s">
        <v>1149</v>
      </c>
      <c r="Q132" t="s">
        <v>97</v>
      </c>
      <c r="R132" t="s">
        <v>396</v>
      </c>
      <c r="S132">
        <v>2.0299999999999998</v>
      </c>
      <c r="T132">
        <v>4520</v>
      </c>
      <c r="U132">
        <v>0</v>
      </c>
      <c r="V132">
        <v>4520</v>
      </c>
    </row>
    <row r="133" spans="1:22" x14ac:dyDescent="0.3">
      <c r="A133">
        <v>79452</v>
      </c>
      <c r="B133">
        <v>138316598</v>
      </c>
      <c r="C133" t="s">
        <v>1150</v>
      </c>
      <c r="D133" t="s">
        <v>1151</v>
      </c>
      <c r="E133" t="s">
        <v>513</v>
      </c>
      <c r="F133" t="s">
        <v>514</v>
      </c>
      <c r="G133" t="s">
        <v>43</v>
      </c>
      <c r="H133" t="s">
        <v>44</v>
      </c>
      <c r="I133" t="s">
        <v>34</v>
      </c>
      <c r="J133" t="s">
        <v>45</v>
      </c>
      <c r="K133" t="s">
        <v>41</v>
      </c>
      <c r="L133" t="s">
        <v>1152</v>
      </c>
      <c r="M133" t="s">
        <v>1153</v>
      </c>
      <c r="N133" t="s">
        <v>516</v>
      </c>
      <c r="O133" t="s">
        <v>64</v>
      </c>
      <c r="P133" t="s">
        <v>1154</v>
      </c>
      <c r="Q133" t="s">
        <v>118</v>
      </c>
      <c r="R133" t="s">
        <v>287</v>
      </c>
      <c r="S133">
        <v>1.04</v>
      </c>
      <c r="T133">
        <v>4230</v>
      </c>
      <c r="U133">
        <v>0</v>
      </c>
      <c r="V133">
        <v>4230</v>
      </c>
    </row>
    <row r="134" spans="1:22" x14ac:dyDescent="0.3">
      <c r="A134">
        <v>79452</v>
      </c>
      <c r="B134">
        <v>138298650</v>
      </c>
      <c r="C134" t="s">
        <v>1155</v>
      </c>
      <c r="D134" t="s">
        <v>1156</v>
      </c>
      <c r="E134" t="s">
        <v>513</v>
      </c>
      <c r="F134" t="s">
        <v>514</v>
      </c>
      <c r="G134" t="s">
        <v>43</v>
      </c>
      <c r="H134" t="s">
        <v>44</v>
      </c>
      <c r="I134" t="s">
        <v>34</v>
      </c>
      <c r="J134" t="s">
        <v>45</v>
      </c>
      <c r="K134" t="s">
        <v>41</v>
      </c>
      <c r="L134" t="s">
        <v>1157</v>
      </c>
      <c r="M134" t="s">
        <v>1158</v>
      </c>
      <c r="N134" t="s">
        <v>516</v>
      </c>
      <c r="O134" t="s">
        <v>64</v>
      </c>
      <c r="P134" t="s">
        <v>1159</v>
      </c>
      <c r="Q134" t="s">
        <v>125</v>
      </c>
      <c r="R134" t="s">
        <v>361</v>
      </c>
      <c r="S134">
        <v>1.0900000000000001</v>
      </c>
      <c r="T134">
        <v>4230</v>
      </c>
      <c r="U134">
        <v>0</v>
      </c>
      <c r="V134">
        <v>4230</v>
      </c>
    </row>
    <row r="135" spans="1:22" x14ac:dyDescent="0.3">
      <c r="A135">
        <v>79452</v>
      </c>
      <c r="B135">
        <v>138316592</v>
      </c>
      <c r="C135" t="s">
        <v>1160</v>
      </c>
      <c r="D135" t="s">
        <v>1161</v>
      </c>
      <c r="E135" t="s">
        <v>513</v>
      </c>
      <c r="F135" t="s">
        <v>514</v>
      </c>
      <c r="G135" t="s">
        <v>43</v>
      </c>
      <c r="H135" t="s">
        <v>44</v>
      </c>
      <c r="I135" t="s">
        <v>34</v>
      </c>
      <c r="J135" t="s">
        <v>45</v>
      </c>
      <c r="K135" t="s">
        <v>41</v>
      </c>
      <c r="L135" t="s">
        <v>1162</v>
      </c>
      <c r="M135" t="s">
        <v>1163</v>
      </c>
      <c r="N135" t="s">
        <v>516</v>
      </c>
      <c r="O135" t="s">
        <v>64</v>
      </c>
      <c r="P135" t="s">
        <v>1164</v>
      </c>
      <c r="Q135" t="s">
        <v>108</v>
      </c>
      <c r="R135" t="s">
        <v>287</v>
      </c>
      <c r="S135">
        <v>0.74</v>
      </c>
      <c r="T135">
        <v>3501</v>
      </c>
      <c r="U135">
        <v>0</v>
      </c>
      <c r="V135">
        <v>3501</v>
      </c>
    </row>
    <row r="136" spans="1:22" x14ac:dyDescent="0.3">
      <c r="A136">
        <v>79452</v>
      </c>
      <c r="B136">
        <v>138275799</v>
      </c>
      <c r="C136" t="s">
        <v>1165</v>
      </c>
      <c r="D136" t="s">
        <v>1166</v>
      </c>
      <c r="E136" t="s">
        <v>513</v>
      </c>
      <c r="F136" t="s">
        <v>514</v>
      </c>
      <c r="G136" t="s">
        <v>43</v>
      </c>
      <c r="H136" t="s">
        <v>44</v>
      </c>
      <c r="I136" t="s">
        <v>34</v>
      </c>
      <c r="J136" t="s">
        <v>45</v>
      </c>
      <c r="K136" t="s">
        <v>41</v>
      </c>
      <c r="L136" t="s">
        <v>1167</v>
      </c>
      <c r="M136" t="s">
        <v>1168</v>
      </c>
      <c r="N136" t="s">
        <v>516</v>
      </c>
      <c r="O136" t="s">
        <v>64</v>
      </c>
      <c r="P136" t="s">
        <v>1169</v>
      </c>
      <c r="Q136" t="s">
        <v>50</v>
      </c>
      <c r="R136" t="s">
        <v>396</v>
      </c>
      <c r="S136">
        <v>2.4300000000000002</v>
      </c>
      <c r="T136">
        <v>5406</v>
      </c>
      <c r="U136">
        <v>0</v>
      </c>
      <c r="V136">
        <v>5406</v>
      </c>
    </row>
    <row r="137" spans="1:22" x14ac:dyDescent="0.3">
      <c r="A137">
        <v>79452</v>
      </c>
      <c r="B137">
        <v>138316593</v>
      </c>
      <c r="C137" t="s">
        <v>1170</v>
      </c>
      <c r="D137" t="s">
        <v>1171</v>
      </c>
      <c r="E137" t="s">
        <v>513</v>
      </c>
      <c r="F137" t="s">
        <v>514</v>
      </c>
      <c r="G137" t="s">
        <v>43</v>
      </c>
      <c r="H137" t="s">
        <v>44</v>
      </c>
      <c r="I137" t="s">
        <v>34</v>
      </c>
      <c r="J137" t="s">
        <v>45</v>
      </c>
      <c r="K137" t="s">
        <v>41</v>
      </c>
      <c r="L137" t="s">
        <v>1172</v>
      </c>
      <c r="M137" t="s">
        <v>1173</v>
      </c>
      <c r="N137" t="s">
        <v>516</v>
      </c>
      <c r="O137" t="s">
        <v>64</v>
      </c>
      <c r="P137" t="s">
        <v>1174</v>
      </c>
      <c r="Q137" t="s">
        <v>125</v>
      </c>
      <c r="R137" t="s">
        <v>287</v>
      </c>
      <c r="S137">
        <v>0.92</v>
      </c>
      <c r="T137">
        <v>4230</v>
      </c>
      <c r="U137">
        <v>0</v>
      </c>
      <c r="V137">
        <v>4230</v>
      </c>
    </row>
    <row r="138" spans="1:22" x14ac:dyDescent="0.3">
      <c r="A138">
        <v>79452</v>
      </c>
      <c r="B138">
        <v>138298654</v>
      </c>
      <c r="C138" t="s">
        <v>1175</v>
      </c>
      <c r="D138" t="s">
        <v>1176</v>
      </c>
      <c r="E138" t="s">
        <v>513</v>
      </c>
      <c r="F138" t="s">
        <v>514</v>
      </c>
      <c r="G138" t="s">
        <v>43</v>
      </c>
      <c r="H138" t="s">
        <v>44</v>
      </c>
      <c r="I138" t="s">
        <v>34</v>
      </c>
      <c r="J138" t="s">
        <v>45</v>
      </c>
      <c r="K138" t="s">
        <v>41</v>
      </c>
      <c r="L138" t="s">
        <v>1177</v>
      </c>
      <c r="M138" t="s">
        <v>1178</v>
      </c>
      <c r="N138" t="s">
        <v>516</v>
      </c>
      <c r="O138" t="s">
        <v>64</v>
      </c>
      <c r="P138" t="s">
        <v>1179</v>
      </c>
      <c r="Q138" t="s">
        <v>75</v>
      </c>
      <c r="R138" t="s">
        <v>361</v>
      </c>
      <c r="S138">
        <v>0.7</v>
      </c>
      <c r="T138">
        <v>3904</v>
      </c>
      <c r="U138">
        <v>0</v>
      </c>
      <c r="V138">
        <v>3904</v>
      </c>
    </row>
    <row r="139" spans="1:22" x14ac:dyDescent="0.3">
      <c r="A139">
        <v>79452</v>
      </c>
      <c r="B139">
        <v>138169003</v>
      </c>
      <c r="C139" t="s">
        <v>1180</v>
      </c>
      <c r="D139" t="s">
        <v>1181</v>
      </c>
      <c r="E139" t="s">
        <v>513</v>
      </c>
      <c r="F139" t="s">
        <v>514</v>
      </c>
      <c r="G139" t="s">
        <v>43</v>
      </c>
      <c r="H139" t="s">
        <v>44</v>
      </c>
      <c r="I139" t="s">
        <v>34</v>
      </c>
      <c r="J139" t="s">
        <v>45</v>
      </c>
      <c r="K139" t="s">
        <v>41</v>
      </c>
      <c r="L139" t="s">
        <v>1182</v>
      </c>
      <c r="M139" t="s">
        <v>1183</v>
      </c>
      <c r="N139" t="s">
        <v>516</v>
      </c>
      <c r="O139" t="s">
        <v>64</v>
      </c>
      <c r="P139" t="s">
        <v>1184</v>
      </c>
      <c r="Q139" t="s">
        <v>227</v>
      </c>
      <c r="R139" t="s">
        <v>1185</v>
      </c>
      <c r="S139">
        <v>0.93</v>
      </c>
      <c r="T139">
        <v>4920</v>
      </c>
      <c r="U139">
        <v>0</v>
      </c>
      <c r="V139">
        <v>4920</v>
      </c>
    </row>
    <row r="140" spans="1:22" x14ac:dyDescent="0.3">
      <c r="A140">
        <v>79452</v>
      </c>
      <c r="B140">
        <v>138298647</v>
      </c>
      <c r="C140" t="s">
        <v>1186</v>
      </c>
      <c r="D140" t="s">
        <v>1187</v>
      </c>
      <c r="E140" t="s">
        <v>513</v>
      </c>
      <c r="F140" t="s">
        <v>514</v>
      </c>
      <c r="G140" t="s">
        <v>43</v>
      </c>
      <c r="H140" t="s">
        <v>44</v>
      </c>
      <c r="I140" t="s">
        <v>34</v>
      </c>
      <c r="J140" t="s">
        <v>45</v>
      </c>
      <c r="K140" t="s">
        <v>41</v>
      </c>
      <c r="L140" t="s">
        <v>1188</v>
      </c>
      <c r="M140" t="s">
        <v>1189</v>
      </c>
      <c r="N140" t="s">
        <v>516</v>
      </c>
      <c r="O140" t="s">
        <v>64</v>
      </c>
      <c r="P140" t="s">
        <v>1190</v>
      </c>
      <c r="Q140" t="s">
        <v>61</v>
      </c>
      <c r="R140" t="s">
        <v>361</v>
      </c>
      <c r="S140">
        <v>1.28</v>
      </c>
      <c r="T140">
        <v>3501</v>
      </c>
      <c r="U140">
        <v>0</v>
      </c>
      <c r="V140">
        <v>3501</v>
      </c>
    </row>
    <row r="141" spans="1:22" x14ac:dyDescent="0.3">
      <c r="A141">
        <v>79452</v>
      </c>
      <c r="B141">
        <v>138298653</v>
      </c>
      <c r="C141" t="s">
        <v>1191</v>
      </c>
      <c r="D141" t="s">
        <v>1192</v>
      </c>
      <c r="E141" t="s">
        <v>513</v>
      </c>
      <c r="F141" t="s">
        <v>514</v>
      </c>
      <c r="G141" t="s">
        <v>43</v>
      </c>
      <c r="H141" t="s">
        <v>44</v>
      </c>
      <c r="I141" t="s">
        <v>34</v>
      </c>
      <c r="J141" t="s">
        <v>45</v>
      </c>
      <c r="K141" t="s">
        <v>41</v>
      </c>
      <c r="L141" t="s">
        <v>1193</v>
      </c>
      <c r="M141" t="s">
        <v>1194</v>
      </c>
      <c r="N141" t="s">
        <v>516</v>
      </c>
      <c r="O141" t="s">
        <v>64</v>
      </c>
      <c r="P141" t="s">
        <v>1195</v>
      </c>
      <c r="Q141" t="s">
        <v>79</v>
      </c>
      <c r="R141" t="s">
        <v>361</v>
      </c>
      <c r="S141">
        <v>1.59</v>
      </c>
      <c r="T141">
        <v>3501</v>
      </c>
      <c r="U141">
        <v>0</v>
      </c>
      <c r="V141">
        <v>3501</v>
      </c>
    </row>
    <row r="142" spans="1:22" x14ac:dyDescent="0.3">
      <c r="A142">
        <v>79452</v>
      </c>
      <c r="B142">
        <v>138275777</v>
      </c>
      <c r="C142" t="s">
        <v>1196</v>
      </c>
      <c r="D142" t="s">
        <v>1197</v>
      </c>
      <c r="E142" t="s">
        <v>513</v>
      </c>
      <c r="F142" t="s">
        <v>514</v>
      </c>
      <c r="G142" t="s">
        <v>43</v>
      </c>
      <c r="H142" t="s">
        <v>44</v>
      </c>
      <c r="I142" t="s">
        <v>34</v>
      </c>
      <c r="J142" t="s">
        <v>45</v>
      </c>
      <c r="K142" t="s">
        <v>41</v>
      </c>
      <c r="L142" t="s">
        <v>1198</v>
      </c>
      <c r="M142" t="s">
        <v>1199</v>
      </c>
      <c r="N142" t="s">
        <v>516</v>
      </c>
      <c r="O142" t="s">
        <v>64</v>
      </c>
      <c r="P142" t="s">
        <v>1200</v>
      </c>
      <c r="Q142" t="s">
        <v>50</v>
      </c>
      <c r="R142" t="s">
        <v>396</v>
      </c>
      <c r="S142">
        <v>1.67</v>
      </c>
      <c r="T142">
        <v>5406</v>
      </c>
      <c r="U142">
        <v>0</v>
      </c>
      <c r="V142">
        <v>5406</v>
      </c>
    </row>
    <row r="143" spans="1:22" x14ac:dyDescent="0.3">
      <c r="A143">
        <v>79452</v>
      </c>
      <c r="B143">
        <v>138275756</v>
      </c>
      <c r="C143" t="s">
        <v>1201</v>
      </c>
      <c r="D143" t="s">
        <v>1202</v>
      </c>
      <c r="E143" t="s">
        <v>513</v>
      </c>
      <c r="F143" t="s">
        <v>514</v>
      </c>
      <c r="G143" t="s">
        <v>43</v>
      </c>
      <c r="H143" t="s">
        <v>44</v>
      </c>
      <c r="I143" t="s">
        <v>34</v>
      </c>
      <c r="J143" t="s">
        <v>45</v>
      </c>
      <c r="K143" t="s">
        <v>41</v>
      </c>
      <c r="L143" t="s">
        <v>1203</v>
      </c>
      <c r="M143" t="s">
        <v>1204</v>
      </c>
      <c r="N143" t="s">
        <v>516</v>
      </c>
      <c r="O143" t="s">
        <v>64</v>
      </c>
      <c r="P143" t="s">
        <v>1205</v>
      </c>
      <c r="Q143" t="s">
        <v>209</v>
      </c>
      <c r="R143" t="s">
        <v>1206</v>
      </c>
      <c r="S143">
        <v>0.93</v>
      </c>
      <c r="T143">
        <v>5467</v>
      </c>
      <c r="U143">
        <v>0</v>
      </c>
      <c r="V143">
        <v>5467</v>
      </c>
    </row>
    <row r="144" spans="1:22" x14ac:dyDescent="0.3">
      <c r="A144">
        <v>79452</v>
      </c>
      <c r="B144">
        <v>138169049</v>
      </c>
      <c r="C144" t="s">
        <v>1207</v>
      </c>
      <c r="D144" t="s">
        <v>1208</v>
      </c>
      <c r="E144" t="s">
        <v>513</v>
      </c>
      <c r="F144" t="s">
        <v>514</v>
      </c>
      <c r="G144" t="s">
        <v>43</v>
      </c>
      <c r="H144" t="s">
        <v>44</v>
      </c>
      <c r="I144" t="s">
        <v>34</v>
      </c>
      <c r="J144" t="s">
        <v>45</v>
      </c>
      <c r="K144" t="s">
        <v>41</v>
      </c>
      <c r="L144" t="s">
        <v>271</v>
      </c>
      <c r="M144" t="s">
        <v>1209</v>
      </c>
      <c r="N144" t="s">
        <v>516</v>
      </c>
      <c r="O144" t="s">
        <v>64</v>
      </c>
      <c r="P144" t="s">
        <v>1210</v>
      </c>
      <c r="Q144" t="s">
        <v>63</v>
      </c>
      <c r="R144" t="s">
        <v>1211</v>
      </c>
      <c r="S144">
        <v>1.46</v>
      </c>
      <c r="T144">
        <v>3501</v>
      </c>
      <c r="U144">
        <v>0</v>
      </c>
      <c r="V144">
        <v>3501</v>
      </c>
    </row>
    <row r="145" spans="1:22" x14ac:dyDescent="0.3">
      <c r="A145">
        <v>79452</v>
      </c>
      <c r="B145">
        <v>137909809</v>
      </c>
      <c r="C145" t="s">
        <v>1212</v>
      </c>
      <c r="D145" t="s">
        <v>1213</v>
      </c>
      <c r="E145" t="s">
        <v>513</v>
      </c>
      <c r="F145" t="s">
        <v>514</v>
      </c>
      <c r="G145" t="s">
        <v>43</v>
      </c>
      <c r="H145" t="s">
        <v>44</v>
      </c>
      <c r="I145" t="s">
        <v>34</v>
      </c>
      <c r="J145" t="s">
        <v>45</v>
      </c>
      <c r="K145" t="s">
        <v>41</v>
      </c>
      <c r="L145" t="s">
        <v>1214</v>
      </c>
      <c r="M145" t="s">
        <v>1215</v>
      </c>
      <c r="N145" t="s">
        <v>516</v>
      </c>
      <c r="O145" t="s">
        <v>64</v>
      </c>
      <c r="P145" t="s">
        <v>1216</v>
      </c>
      <c r="Q145" t="s">
        <v>68</v>
      </c>
      <c r="R145" t="s">
        <v>1217</v>
      </c>
      <c r="S145">
        <v>0.82</v>
      </c>
      <c r="T145">
        <v>5990</v>
      </c>
      <c r="U145">
        <v>0</v>
      </c>
      <c r="V145">
        <v>5990</v>
      </c>
    </row>
    <row r="146" spans="1:22" x14ac:dyDescent="0.3">
      <c r="A146">
        <v>79452</v>
      </c>
      <c r="B146">
        <v>138257286</v>
      </c>
      <c r="C146" t="s">
        <v>1218</v>
      </c>
      <c r="D146" t="s">
        <v>1219</v>
      </c>
      <c r="E146" t="s">
        <v>513</v>
      </c>
      <c r="F146" t="s">
        <v>514</v>
      </c>
      <c r="G146" t="s">
        <v>43</v>
      </c>
      <c r="H146" t="s">
        <v>44</v>
      </c>
      <c r="I146" t="s">
        <v>34</v>
      </c>
      <c r="J146" t="s">
        <v>45</v>
      </c>
      <c r="K146" t="s">
        <v>41</v>
      </c>
      <c r="L146" t="s">
        <v>1220</v>
      </c>
      <c r="M146" t="s">
        <v>1221</v>
      </c>
      <c r="N146" t="s">
        <v>516</v>
      </c>
      <c r="O146" t="s">
        <v>64</v>
      </c>
      <c r="P146" t="s">
        <v>1222</v>
      </c>
      <c r="Q146" t="s">
        <v>62</v>
      </c>
      <c r="R146" t="s">
        <v>1223</v>
      </c>
      <c r="S146">
        <v>1</v>
      </c>
      <c r="T146">
        <v>3936</v>
      </c>
      <c r="U146">
        <v>0</v>
      </c>
      <c r="V146">
        <v>3936</v>
      </c>
    </row>
    <row r="147" spans="1:22" x14ac:dyDescent="0.3">
      <c r="A147">
        <v>79452</v>
      </c>
      <c r="B147">
        <v>138257282</v>
      </c>
      <c r="C147" t="s">
        <v>1224</v>
      </c>
      <c r="D147" t="s">
        <v>1225</v>
      </c>
      <c r="E147" t="s">
        <v>513</v>
      </c>
      <c r="F147" t="s">
        <v>514</v>
      </c>
      <c r="G147" t="s">
        <v>43</v>
      </c>
      <c r="H147" t="s">
        <v>44</v>
      </c>
      <c r="I147" t="s">
        <v>34</v>
      </c>
      <c r="J147" t="s">
        <v>45</v>
      </c>
      <c r="K147" t="s">
        <v>41</v>
      </c>
      <c r="L147" t="s">
        <v>1226</v>
      </c>
      <c r="M147" t="s">
        <v>522</v>
      </c>
      <c r="N147" t="s">
        <v>516</v>
      </c>
      <c r="O147" t="s">
        <v>64</v>
      </c>
      <c r="P147" t="s">
        <v>523</v>
      </c>
      <c r="Q147" t="s">
        <v>62</v>
      </c>
      <c r="R147" t="s">
        <v>1223</v>
      </c>
      <c r="S147">
        <v>1</v>
      </c>
      <c r="T147">
        <v>3936</v>
      </c>
      <c r="U147">
        <v>0</v>
      </c>
      <c r="V147">
        <v>3936</v>
      </c>
    </row>
    <row r="148" spans="1:22" x14ac:dyDescent="0.3">
      <c r="A148">
        <v>79452</v>
      </c>
      <c r="B148">
        <v>138169011</v>
      </c>
      <c r="C148" t="s">
        <v>1227</v>
      </c>
      <c r="D148" t="s">
        <v>1228</v>
      </c>
      <c r="E148" t="s">
        <v>513</v>
      </c>
      <c r="F148" t="s">
        <v>514</v>
      </c>
      <c r="G148" t="s">
        <v>43</v>
      </c>
      <c r="H148" t="s">
        <v>44</v>
      </c>
      <c r="I148" t="s">
        <v>34</v>
      </c>
      <c r="J148" t="s">
        <v>45</v>
      </c>
      <c r="K148" t="s">
        <v>41</v>
      </c>
      <c r="L148" t="s">
        <v>1229</v>
      </c>
      <c r="M148" t="s">
        <v>1230</v>
      </c>
      <c r="N148" t="s">
        <v>516</v>
      </c>
      <c r="O148" t="s">
        <v>64</v>
      </c>
      <c r="P148" t="s">
        <v>1231</v>
      </c>
      <c r="Q148" t="s">
        <v>50</v>
      </c>
      <c r="R148" t="s">
        <v>1185</v>
      </c>
      <c r="S148">
        <v>1.26</v>
      </c>
      <c r="T148">
        <v>5406</v>
      </c>
      <c r="U148">
        <v>0</v>
      </c>
      <c r="V148">
        <v>5406</v>
      </c>
    </row>
    <row r="149" spans="1:22" x14ac:dyDescent="0.3">
      <c r="A149">
        <v>79452</v>
      </c>
      <c r="B149">
        <v>138232521</v>
      </c>
      <c r="C149" t="s">
        <v>1232</v>
      </c>
      <c r="D149" t="s">
        <v>1233</v>
      </c>
      <c r="E149" t="s">
        <v>513</v>
      </c>
      <c r="F149" t="s">
        <v>514</v>
      </c>
      <c r="G149" t="s">
        <v>43</v>
      </c>
      <c r="H149" t="s">
        <v>44</v>
      </c>
      <c r="I149" t="s">
        <v>34</v>
      </c>
      <c r="J149" t="s">
        <v>45</v>
      </c>
      <c r="K149" t="s">
        <v>41</v>
      </c>
      <c r="L149" t="s">
        <v>1234</v>
      </c>
      <c r="M149" t="s">
        <v>1235</v>
      </c>
      <c r="N149" t="s">
        <v>516</v>
      </c>
      <c r="O149" t="s">
        <v>64</v>
      </c>
      <c r="P149" t="s">
        <v>1236</v>
      </c>
      <c r="Q149" t="s">
        <v>111</v>
      </c>
      <c r="R149" t="s">
        <v>476</v>
      </c>
      <c r="S149">
        <v>0.93</v>
      </c>
      <c r="T149">
        <v>5696</v>
      </c>
      <c r="U149">
        <v>0</v>
      </c>
      <c r="V149">
        <v>5696</v>
      </c>
    </row>
    <row r="150" spans="1:22" x14ac:dyDescent="0.3">
      <c r="A150">
        <v>79452</v>
      </c>
      <c r="B150">
        <v>138275750</v>
      </c>
      <c r="C150" t="s">
        <v>1237</v>
      </c>
      <c r="D150" t="s">
        <v>1238</v>
      </c>
      <c r="E150" t="s">
        <v>513</v>
      </c>
      <c r="F150" t="s">
        <v>514</v>
      </c>
      <c r="G150" t="s">
        <v>43</v>
      </c>
      <c r="H150" t="s">
        <v>44</v>
      </c>
      <c r="I150" t="s">
        <v>34</v>
      </c>
      <c r="J150" t="s">
        <v>45</v>
      </c>
      <c r="K150" t="s">
        <v>41</v>
      </c>
      <c r="L150" t="s">
        <v>1239</v>
      </c>
      <c r="M150" t="s">
        <v>1240</v>
      </c>
      <c r="N150" t="s">
        <v>516</v>
      </c>
      <c r="O150" t="s">
        <v>64</v>
      </c>
      <c r="P150" t="s">
        <v>1241</v>
      </c>
      <c r="Q150" t="s">
        <v>48</v>
      </c>
      <c r="R150" t="s">
        <v>1206</v>
      </c>
      <c r="S150">
        <v>1</v>
      </c>
      <c r="T150">
        <v>4230</v>
      </c>
      <c r="U150">
        <v>0</v>
      </c>
      <c r="V150">
        <v>4230</v>
      </c>
    </row>
    <row r="151" spans="1:22" x14ac:dyDescent="0.3">
      <c r="A151">
        <v>79452</v>
      </c>
      <c r="B151">
        <v>138257264</v>
      </c>
      <c r="C151" t="s">
        <v>1242</v>
      </c>
      <c r="D151" t="s">
        <v>1243</v>
      </c>
      <c r="E151" t="s">
        <v>513</v>
      </c>
      <c r="F151" t="s">
        <v>514</v>
      </c>
      <c r="G151" t="s">
        <v>43</v>
      </c>
      <c r="H151" t="s">
        <v>44</v>
      </c>
      <c r="I151" t="s">
        <v>34</v>
      </c>
      <c r="J151" t="s">
        <v>45</v>
      </c>
      <c r="K151" t="s">
        <v>41</v>
      </c>
      <c r="L151" t="s">
        <v>1244</v>
      </c>
      <c r="M151" t="s">
        <v>1245</v>
      </c>
      <c r="N151" t="s">
        <v>516</v>
      </c>
      <c r="O151" t="s">
        <v>64</v>
      </c>
      <c r="P151" t="s">
        <v>1246</v>
      </c>
      <c r="Q151" t="s">
        <v>73</v>
      </c>
      <c r="R151" t="s">
        <v>1223</v>
      </c>
      <c r="S151">
        <v>1</v>
      </c>
      <c r="T151">
        <v>3904</v>
      </c>
      <c r="U151">
        <v>0</v>
      </c>
      <c r="V151">
        <v>3904</v>
      </c>
    </row>
    <row r="152" spans="1:22" x14ac:dyDescent="0.3">
      <c r="A152">
        <v>79452</v>
      </c>
      <c r="B152">
        <v>138275751</v>
      </c>
      <c r="C152" t="s">
        <v>1247</v>
      </c>
      <c r="D152" t="s">
        <v>1248</v>
      </c>
      <c r="E152" t="s">
        <v>513</v>
      </c>
      <c r="F152" t="s">
        <v>514</v>
      </c>
      <c r="G152" t="s">
        <v>43</v>
      </c>
      <c r="H152" t="s">
        <v>44</v>
      </c>
      <c r="I152" t="s">
        <v>34</v>
      </c>
      <c r="J152" t="s">
        <v>45</v>
      </c>
      <c r="K152" t="s">
        <v>41</v>
      </c>
      <c r="L152" t="s">
        <v>1249</v>
      </c>
      <c r="M152" t="s">
        <v>1250</v>
      </c>
      <c r="N152" t="s">
        <v>516</v>
      </c>
      <c r="O152" t="s">
        <v>64</v>
      </c>
      <c r="P152" t="s">
        <v>1251</v>
      </c>
      <c r="Q152" t="s">
        <v>200</v>
      </c>
      <c r="R152" t="s">
        <v>1206</v>
      </c>
      <c r="S152">
        <v>1</v>
      </c>
      <c r="T152">
        <v>7807</v>
      </c>
      <c r="U152">
        <v>0</v>
      </c>
      <c r="V152">
        <v>7807</v>
      </c>
    </row>
    <row r="153" spans="1:22" x14ac:dyDescent="0.3">
      <c r="A153">
        <v>79452</v>
      </c>
      <c r="B153">
        <v>138275770</v>
      </c>
      <c r="C153" t="s">
        <v>1252</v>
      </c>
      <c r="D153" t="s">
        <v>1253</v>
      </c>
      <c r="E153" t="s">
        <v>513</v>
      </c>
      <c r="F153" t="s">
        <v>514</v>
      </c>
      <c r="G153" t="s">
        <v>43</v>
      </c>
      <c r="H153" t="s">
        <v>44</v>
      </c>
      <c r="I153" t="s">
        <v>34</v>
      </c>
      <c r="J153" t="s">
        <v>45</v>
      </c>
      <c r="K153" t="s">
        <v>41</v>
      </c>
      <c r="L153" t="s">
        <v>1254</v>
      </c>
      <c r="M153" t="s">
        <v>1255</v>
      </c>
      <c r="N153" t="s">
        <v>516</v>
      </c>
      <c r="O153" t="s">
        <v>64</v>
      </c>
      <c r="P153" t="s">
        <v>1256</v>
      </c>
      <c r="Q153" t="s">
        <v>118</v>
      </c>
      <c r="R153" t="s">
        <v>396</v>
      </c>
      <c r="S153">
        <v>1.52</v>
      </c>
      <c r="T153">
        <v>4230</v>
      </c>
      <c r="U153">
        <v>0</v>
      </c>
      <c r="V153">
        <v>4230</v>
      </c>
    </row>
    <row r="154" spans="1:22" x14ac:dyDescent="0.3">
      <c r="A154">
        <v>79452</v>
      </c>
      <c r="B154">
        <v>138257263</v>
      </c>
      <c r="C154" t="s">
        <v>1257</v>
      </c>
      <c r="D154" t="s">
        <v>1258</v>
      </c>
      <c r="E154" t="s">
        <v>513</v>
      </c>
      <c r="F154" t="s">
        <v>514</v>
      </c>
      <c r="G154" t="s">
        <v>43</v>
      </c>
      <c r="H154" t="s">
        <v>44</v>
      </c>
      <c r="I154" t="s">
        <v>34</v>
      </c>
      <c r="J154" t="s">
        <v>45</v>
      </c>
      <c r="K154" t="s">
        <v>41</v>
      </c>
      <c r="L154" t="s">
        <v>1259</v>
      </c>
      <c r="M154" t="s">
        <v>1260</v>
      </c>
      <c r="N154" t="s">
        <v>516</v>
      </c>
      <c r="O154" t="s">
        <v>64</v>
      </c>
      <c r="P154" t="s">
        <v>1261</v>
      </c>
      <c r="Q154" t="s">
        <v>42</v>
      </c>
      <c r="R154" t="s">
        <v>1223</v>
      </c>
      <c r="S154">
        <v>1</v>
      </c>
      <c r="T154">
        <v>3936</v>
      </c>
      <c r="U154">
        <v>0</v>
      </c>
      <c r="V154">
        <v>3936</v>
      </c>
    </row>
    <row r="155" spans="1:22" x14ac:dyDescent="0.3">
      <c r="A155">
        <v>79452</v>
      </c>
      <c r="B155">
        <v>138275763</v>
      </c>
      <c r="C155" t="s">
        <v>1262</v>
      </c>
      <c r="D155" t="s">
        <v>1263</v>
      </c>
      <c r="E155" t="s">
        <v>513</v>
      </c>
      <c r="F155" t="s">
        <v>514</v>
      </c>
      <c r="G155" t="s">
        <v>43</v>
      </c>
      <c r="H155" t="s">
        <v>44</v>
      </c>
      <c r="I155" t="s">
        <v>34</v>
      </c>
      <c r="J155" t="s">
        <v>45</v>
      </c>
      <c r="K155" t="s">
        <v>41</v>
      </c>
      <c r="L155" t="s">
        <v>1264</v>
      </c>
      <c r="M155" t="s">
        <v>343</v>
      </c>
      <c r="N155" t="s">
        <v>516</v>
      </c>
      <c r="O155" t="s">
        <v>64</v>
      </c>
      <c r="P155" t="s">
        <v>1265</v>
      </c>
      <c r="Q155" t="s">
        <v>46</v>
      </c>
      <c r="R155" t="s">
        <v>396</v>
      </c>
      <c r="S155">
        <v>1</v>
      </c>
      <c r="T155">
        <v>3501</v>
      </c>
      <c r="U155">
        <v>0</v>
      </c>
      <c r="V155">
        <v>3501</v>
      </c>
    </row>
    <row r="156" spans="1:22" x14ac:dyDescent="0.3">
      <c r="A156">
        <v>79452</v>
      </c>
      <c r="B156">
        <v>138275800</v>
      </c>
      <c r="C156" t="s">
        <v>1266</v>
      </c>
      <c r="D156" t="s">
        <v>1267</v>
      </c>
      <c r="E156" t="s">
        <v>513</v>
      </c>
      <c r="F156" t="s">
        <v>514</v>
      </c>
      <c r="G156" t="s">
        <v>43</v>
      </c>
      <c r="H156" t="s">
        <v>44</v>
      </c>
      <c r="I156" t="s">
        <v>34</v>
      </c>
      <c r="J156" t="s">
        <v>45</v>
      </c>
      <c r="K156" t="s">
        <v>41</v>
      </c>
      <c r="L156" t="s">
        <v>1268</v>
      </c>
      <c r="M156" t="s">
        <v>1269</v>
      </c>
      <c r="N156" t="s">
        <v>516</v>
      </c>
      <c r="O156" t="s">
        <v>64</v>
      </c>
      <c r="P156" t="s">
        <v>1270</v>
      </c>
      <c r="Q156" t="s">
        <v>90</v>
      </c>
      <c r="R156" t="s">
        <v>396</v>
      </c>
      <c r="S156">
        <v>1</v>
      </c>
      <c r="T156">
        <v>3904</v>
      </c>
      <c r="U156">
        <v>0</v>
      </c>
      <c r="V156">
        <v>3904</v>
      </c>
    </row>
    <row r="157" spans="1:22" x14ac:dyDescent="0.3">
      <c r="A157">
        <v>79452</v>
      </c>
      <c r="B157">
        <v>138275749</v>
      </c>
      <c r="C157" t="s">
        <v>1271</v>
      </c>
      <c r="D157" t="s">
        <v>1272</v>
      </c>
      <c r="E157" t="s">
        <v>513</v>
      </c>
      <c r="F157" t="s">
        <v>514</v>
      </c>
      <c r="G157" t="s">
        <v>43</v>
      </c>
      <c r="H157" t="s">
        <v>44</v>
      </c>
      <c r="I157" t="s">
        <v>34</v>
      </c>
      <c r="J157" t="s">
        <v>45</v>
      </c>
      <c r="K157" t="s">
        <v>41</v>
      </c>
      <c r="L157" t="s">
        <v>1273</v>
      </c>
      <c r="M157" t="s">
        <v>1274</v>
      </c>
      <c r="N157" t="s">
        <v>516</v>
      </c>
      <c r="O157" t="s">
        <v>64</v>
      </c>
      <c r="P157" t="s">
        <v>1275</v>
      </c>
      <c r="Q157" t="s">
        <v>125</v>
      </c>
      <c r="R157" t="s">
        <v>1206</v>
      </c>
      <c r="S157">
        <v>0.55000000000000004</v>
      </c>
      <c r="T157">
        <v>4230</v>
      </c>
      <c r="U157">
        <v>0</v>
      </c>
      <c r="V157">
        <v>4230</v>
      </c>
    </row>
    <row r="158" spans="1:22" x14ac:dyDescent="0.3">
      <c r="A158">
        <v>79452</v>
      </c>
      <c r="B158">
        <v>138257278</v>
      </c>
      <c r="C158" t="s">
        <v>1276</v>
      </c>
      <c r="D158" t="s">
        <v>1277</v>
      </c>
      <c r="E158" t="s">
        <v>513</v>
      </c>
      <c r="F158" t="s">
        <v>514</v>
      </c>
      <c r="G158" t="s">
        <v>43</v>
      </c>
      <c r="H158" t="s">
        <v>44</v>
      </c>
      <c r="I158" t="s">
        <v>34</v>
      </c>
      <c r="J158" t="s">
        <v>45</v>
      </c>
      <c r="K158" t="s">
        <v>41</v>
      </c>
      <c r="L158" t="s">
        <v>428</v>
      </c>
      <c r="M158" t="s">
        <v>1093</v>
      </c>
      <c r="N158" t="s">
        <v>516</v>
      </c>
      <c r="O158" t="s">
        <v>64</v>
      </c>
      <c r="P158" t="s">
        <v>1278</v>
      </c>
      <c r="Q158" t="s">
        <v>62</v>
      </c>
      <c r="R158" t="s">
        <v>1223</v>
      </c>
      <c r="S158">
        <v>1</v>
      </c>
      <c r="T158">
        <v>3936</v>
      </c>
      <c r="U158">
        <v>0</v>
      </c>
      <c r="V158">
        <v>3936</v>
      </c>
    </row>
    <row r="159" spans="1:22" x14ac:dyDescent="0.3">
      <c r="A159">
        <v>79452</v>
      </c>
      <c r="B159">
        <v>138211912</v>
      </c>
      <c r="C159" t="s">
        <v>1279</v>
      </c>
      <c r="D159" t="s">
        <v>1280</v>
      </c>
      <c r="E159" t="s">
        <v>513</v>
      </c>
      <c r="F159" t="s">
        <v>514</v>
      </c>
      <c r="G159" t="s">
        <v>43</v>
      </c>
      <c r="H159" t="s">
        <v>44</v>
      </c>
      <c r="I159" t="s">
        <v>34</v>
      </c>
      <c r="J159" t="s">
        <v>45</v>
      </c>
      <c r="K159" t="s">
        <v>41</v>
      </c>
      <c r="L159" t="s">
        <v>1281</v>
      </c>
      <c r="M159" t="s">
        <v>1282</v>
      </c>
      <c r="N159" t="s">
        <v>516</v>
      </c>
      <c r="O159" t="s">
        <v>64</v>
      </c>
      <c r="P159" t="s">
        <v>1283</v>
      </c>
      <c r="Q159" t="s">
        <v>82</v>
      </c>
      <c r="R159" t="s">
        <v>537</v>
      </c>
      <c r="S159">
        <v>0.96</v>
      </c>
      <c r="T159">
        <v>5990</v>
      </c>
      <c r="U159">
        <v>0</v>
      </c>
      <c r="V159">
        <v>5990</v>
      </c>
    </row>
    <row r="160" spans="1:22" x14ac:dyDescent="0.3">
      <c r="A160">
        <v>79452</v>
      </c>
      <c r="B160">
        <v>138169044</v>
      </c>
      <c r="C160" t="s">
        <v>1284</v>
      </c>
      <c r="D160" t="s">
        <v>1285</v>
      </c>
      <c r="E160" t="s">
        <v>513</v>
      </c>
      <c r="F160" t="s">
        <v>514</v>
      </c>
      <c r="G160" t="s">
        <v>43</v>
      </c>
      <c r="H160" t="s">
        <v>44</v>
      </c>
      <c r="I160" t="s">
        <v>34</v>
      </c>
      <c r="J160" t="s">
        <v>45</v>
      </c>
      <c r="K160" t="s">
        <v>41</v>
      </c>
      <c r="L160" t="s">
        <v>1286</v>
      </c>
      <c r="M160" t="s">
        <v>1287</v>
      </c>
      <c r="N160" t="s">
        <v>516</v>
      </c>
      <c r="O160" t="s">
        <v>64</v>
      </c>
      <c r="P160" t="s">
        <v>1288</v>
      </c>
      <c r="Q160" t="s">
        <v>50</v>
      </c>
      <c r="R160" t="s">
        <v>1211</v>
      </c>
      <c r="S160">
        <v>0.83</v>
      </c>
      <c r="T160">
        <v>5406</v>
      </c>
      <c r="U160">
        <v>0</v>
      </c>
      <c r="V160">
        <v>5406</v>
      </c>
    </row>
    <row r="161" spans="1:22" x14ac:dyDescent="0.3">
      <c r="A161">
        <v>79452</v>
      </c>
      <c r="B161">
        <v>138257276</v>
      </c>
      <c r="C161" t="s">
        <v>1289</v>
      </c>
      <c r="D161" t="s">
        <v>1290</v>
      </c>
      <c r="E161" t="s">
        <v>513</v>
      </c>
      <c r="F161" t="s">
        <v>514</v>
      </c>
      <c r="G161" t="s">
        <v>43</v>
      </c>
      <c r="H161" t="s">
        <v>44</v>
      </c>
      <c r="I161" t="s">
        <v>34</v>
      </c>
      <c r="J161" t="s">
        <v>45</v>
      </c>
      <c r="K161" t="s">
        <v>54</v>
      </c>
      <c r="L161" t="s">
        <v>55</v>
      </c>
      <c r="M161" t="s">
        <v>1291</v>
      </c>
      <c r="N161" t="s">
        <v>516</v>
      </c>
      <c r="O161" t="s">
        <v>64</v>
      </c>
      <c r="P161" t="s">
        <v>1292</v>
      </c>
      <c r="Q161" t="s">
        <v>112</v>
      </c>
      <c r="R161" t="s">
        <v>1223</v>
      </c>
      <c r="S161">
        <v>1</v>
      </c>
      <c r="T161">
        <v>3501</v>
      </c>
      <c r="U161">
        <v>0</v>
      </c>
      <c r="V161">
        <v>3501</v>
      </c>
    </row>
    <row r="162" spans="1:22" x14ac:dyDescent="0.3">
      <c r="A162">
        <v>79452</v>
      </c>
      <c r="B162">
        <v>138232519</v>
      </c>
      <c r="C162" t="s">
        <v>1293</v>
      </c>
      <c r="D162" t="s">
        <v>1294</v>
      </c>
      <c r="E162" t="s">
        <v>513</v>
      </c>
      <c r="F162" t="s">
        <v>514</v>
      </c>
      <c r="G162" t="s">
        <v>43</v>
      </c>
      <c r="H162" t="s">
        <v>44</v>
      </c>
      <c r="I162" t="s">
        <v>34</v>
      </c>
      <c r="J162" t="s">
        <v>45</v>
      </c>
      <c r="K162" t="s">
        <v>41</v>
      </c>
      <c r="L162" t="s">
        <v>1295</v>
      </c>
      <c r="M162" t="s">
        <v>449</v>
      </c>
      <c r="N162" t="s">
        <v>516</v>
      </c>
      <c r="O162" t="s">
        <v>64</v>
      </c>
      <c r="P162" t="s">
        <v>1296</v>
      </c>
      <c r="Q162" t="s">
        <v>50</v>
      </c>
      <c r="R162" t="s">
        <v>476</v>
      </c>
      <c r="S162">
        <v>1.89</v>
      </c>
      <c r="T162">
        <v>5406</v>
      </c>
      <c r="U162">
        <v>0</v>
      </c>
      <c r="V162">
        <v>5406</v>
      </c>
    </row>
    <row r="163" spans="1:22" x14ac:dyDescent="0.3">
      <c r="A163">
        <v>79452</v>
      </c>
      <c r="B163">
        <v>138141845</v>
      </c>
      <c r="C163" t="s">
        <v>1297</v>
      </c>
      <c r="D163" t="s">
        <v>1298</v>
      </c>
      <c r="E163" t="s">
        <v>513</v>
      </c>
      <c r="F163" t="s">
        <v>514</v>
      </c>
      <c r="G163" t="s">
        <v>43</v>
      </c>
      <c r="H163" t="s">
        <v>44</v>
      </c>
      <c r="I163" t="s">
        <v>34</v>
      </c>
      <c r="J163" t="s">
        <v>45</v>
      </c>
      <c r="K163" t="s">
        <v>41</v>
      </c>
      <c r="L163" t="s">
        <v>1299</v>
      </c>
      <c r="M163" t="s">
        <v>359</v>
      </c>
      <c r="N163" t="s">
        <v>516</v>
      </c>
      <c r="O163" t="s">
        <v>64</v>
      </c>
      <c r="P163" t="s">
        <v>1300</v>
      </c>
      <c r="Q163" t="s">
        <v>98</v>
      </c>
      <c r="R163" t="s">
        <v>642</v>
      </c>
      <c r="S163">
        <v>1.99</v>
      </c>
      <c r="T163">
        <v>5990</v>
      </c>
      <c r="U163">
        <v>0</v>
      </c>
      <c r="V163">
        <v>5990</v>
      </c>
    </row>
    <row r="164" spans="1:22" x14ac:dyDescent="0.3">
      <c r="A164">
        <v>79452</v>
      </c>
      <c r="B164">
        <v>138275767</v>
      </c>
      <c r="C164" t="s">
        <v>1301</v>
      </c>
      <c r="D164" t="s">
        <v>1302</v>
      </c>
      <c r="E164" t="s">
        <v>513</v>
      </c>
      <c r="F164" t="s">
        <v>514</v>
      </c>
      <c r="G164" t="s">
        <v>43</v>
      </c>
      <c r="H164" t="s">
        <v>44</v>
      </c>
      <c r="I164" t="s">
        <v>34</v>
      </c>
      <c r="J164" t="s">
        <v>45</v>
      </c>
      <c r="K164" t="s">
        <v>41</v>
      </c>
      <c r="L164" t="s">
        <v>1303</v>
      </c>
      <c r="M164" t="s">
        <v>1304</v>
      </c>
      <c r="N164" t="s">
        <v>516</v>
      </c>
      <c r="O164" t="s">
        <v>64</v>
      </c>
      <c r="P164" t="s">
        <v>1305</v>
      </c>
      <c r="Q164" t="s">
        <v>42</v>
      </c>
      <c r="R164" t="s">
        <v>396</v>
      </c>
      <c r="S164">
        <v>1</v>
      </c>
      <c r="T164">
        <v>3936</v>
      </c>
      <c r="U164">
        <v>0</v>
      </c>
      <c r="V164">
        <v>3936</v>
      </c>
    </row>
    <row r="165" spans="1:22" x14ac:dyDescent="0.3">
      <c r="A165">
        <v>79452</v>
      </c>
      <c r="B165">
        <v>138133073</v>
      </c>
      <c r="C165" t="s">
        <v>1306</v>
      </c>
      <c r="D165" t="s">
        <v>1307</v>
      </c>
      <c r="E165" t="s">
        <v>513</v>
      </c>
      <c r="F165" t="s">
        <v>514</v>
      </c>
      <c r="G165" t="s">
        <v>43</v>
      </c>
      <c r="H165" t="s">
        <v>44</v>
      </c>
      <c r="I165" t="s">
        <v>34</v>
      </c>
      <c r="J165" t="s">
        <v>45</v>
      </c>
      <c r="K165" t="s">
        <v>41</v>
      </c>
      <c r="L165" t="s">
        <v>1308</v>
      </c>
      <c r="M165" t="s">
        <v>1309</v>
      </c>
      <c r="N165" t="s">
        <v>516</v>
      </c>
      <c r="O165" t="s">
        <v>64</v>
      </c>
      <c r="P165" t="s">
        <v>1310</v>
      </c>
      <c r="Q165" t="s">
        <v>60</v>
      </c>
      <c r="R165" t="s">
        <v>1311</v>
      </c>
      <c r="S165">
        <v>1</v>
      </c>
      <c r="T165">
        <v>4520</v>
      </c>
      <c r="U165">
        <v>0</v>
      </c>
      <c r="V165">
        <v>4520</v>
      </c>
    </row>
    <row r="166" spans="1:22" x14ac:dyDescent="0.3">
      <c r="A166">
        <v>79452</v>
      </c>
      <c r="B166">
        <v>138211916</v>
      </c>
      <c r="C166" t="s">
        <v>1312</v>
      </c>
      <c r="D166" t="s">
        <v>1313</v>
      </c>
      <c r="E166" t="s">
        <v>513</v>
      </c>
      <c r="F166" t="s">
        <v>514</v>
      </c>
      <c r="G166" t="s">
        <v>43</v>
      </c>
      <c r="H166" t="s">
        <v>44</v>
      </c>
      <c r="I166" t="s">
        <v>34</v>
      </c>
      <c r="J166" t="s">
        <v>45</v>
      </c>
      <c r="K166" t="s">
        <v>41</v>
      </c>
      <c r="L166" t="s">
        <v>263</v>
      </c>
      <c r="M166" t="s">
        <v>1314</v>
      </c>
      <c r="N166" t="s">
        <v>516</v>
      </c>
      <c r="O166" t="s">
        <v>64</v>
      </c>
      <c r="P166" t="s">
        <v>1315</v>
      </c>
      <c r="Q166" t="s">
        <v>118</v>
      </c>
      <c r="R166" t="s">
        <v>537</v>
      </c>
      <c r="S166">
        <v>0.89</v>
      </c>
      <c r="T166">
        <v>4230</v>
      </c>
      <c r="U166">
        <v>0</v>
      </c>
      <c r="V166">
        <v>4230</v>
      </c>
    </row>
    <row r="167" spans="1:22" x14ac:dyDescent="0.3">
      <c r="A167">
        <v>79452</v>
      </c>
      <c r="B167">
        <v>138188676</v>
      </c>
      <c r="C167" t="s">
        <v>1316</v>
      </c>
      <c r="D167" t="s">
        <v>1317</v>
      </c>
      <c r="E167" t="s">
        <v>513</v>
      </c>
      <c r="F167" t="s">
        <v>514</v>
      </c>
      <c r="G167" t="s">
        <v>43</v>
      </c>
      <c r="H167" t="s">
        <v>44</v>
      </c>
      <c r="I167" t="s">
        <v>34</v>
      </c>
      <c r="J167" t="s">
        <v>45</v>
      </c>
      <c r="K167" t="s">
        <v>41</v>
      </c>
      <c r="L167" t="s">
        <v>1318</v>
      </c>
      <c r="M167" t="s">
        <v>1319</v>
      </c>
      <c r="N167" t="s">
        <v>516</v>
      </c>
      <c r="O167" t="s">
        <v>64</v>
      </c>
      <c r="P167" t="s">
        <v>1320</v>
      </c>
      <c r="Q167" t="s">
        <v>111</v>
      </c>
      <c r="R167" t="s">
        <v>280</v>
      </c>
      <c r="S167">
        <v>1.34</v>
      </c>
      <c r="T167">
        <v>5696</v>
      </c>
      <c r="U167">
        <v>0</v>
      </c>
      <c r="V167">
        <v>5696</v>
      </c>
    </row>
    <row r="168" spans="1:22" x14ac:dyDescent="0.3">
      <c r="A168">
        <v>79452</v>
      </c>
      <c r="B168">
        <v>138232516</v>
      </c>
      <c r="C168" t="s">
        <v>1321</v>
      </c>
      <c r="D168" t="s">
        <v>1322</v>
      </c>
      <c r="E168" t="s">
        <v>513</v>
      </c>
      <c r="F168" t="s">
        <v>514</v>
      </c>
      <c r="G168" t="s">
        <v>43</v>
      </c>
      <c r="H168" t="s">
        <v>44</v>
      </c>
      <c r="I168" t="s">
        <v>34</v>
      </c>
      <c r="J168" t="s">
        <v>45</v>
      </c>
      <c r="K168" t="s">
        <v>41</v>
      </c>
      <c r="L168" t="s">
        <v>1323</v>
      </c>
      <c r="M168" t="s">
        <v>1324</v>
      </c>
      <c r="N168" t="s">
        <v>516</v>
      </c>
      <c r="O168" t="s">
        <v>64</v>
      </c>
      <c r="P168" t="s">
        <v>1325</v>
      </c>
      <c r="Q168" t="s">
        <v>48</v>
      </c>
      <c r="R168" t="s">
        <v>476</v>
      </c>
      <c r="S168">
        <v>1.1599999999999999</v>
      </c>
      <c r="T168">
        <v>4230</v>
      </c>
      <c r="U168">
        <v>0</v>
      </c>
      <c r="V168">
        <v>4230</v>
      </c>
    </row>
    <row r="169" spans="1:22" x14ac:dyDescent="0.3">
      <c r="A169">
        <v>79452</v>
      </c>
      <c r="B169">
        <v>138168993</v>
      </c>
      <c r="C169" t="s">
        <v>1326</v>
      </c>
      <c r="D169" t="s">
        <v>1327</v>
      </c>
      <c r="E169" t="s">
        <v>513</v>
      </c>
      <c r="F169" t="s">
        <v>514</v>
      </c>
      <c r="G169" t="s">
        <v>43</v>
      </c>
      <c r="H169" t="s">
        <v>44</v>
      </c>
      <c r="I169" t="s">
        <v>34</v>
      </c>
      <c r="J169" t="s">
        <v>45</v>
      </c>
      <c r="K169" t="s">
        <v>41</v>
      </c>
      <c r="L169" t="s">
        <v>1328</v>
      </c>
      <c r="M169" t="s">
        <v>1329</v>
      </c>
      <c r="N169" t="s">
        <v>516</v>
      </c>
      <c r="O169" t="s">
        <v>64</v>
      </c>
      <c r="P169" t="s">
        <v>1330</v>
      </c>
      <c r="Q169" t="s">
        <v>118</v>
      </c>
      <c r="R169" t="s">
        <v>1185</v>
      </c>
      <c r="S169">
        <v>1.1499999999999999</v>
      </c>
      <c r="T169">
        <v>4230</v>
      </c>
      <c r="U169">
        <v>0</v>
      </c>
      <c r="V169">
        <v>4230</v>
      </c>
    </row>
    <row r="170" spans="1:22" x14ac:dyDescent="0.3">
      <c r="A170">
        <v>79452</v>
      </c>
      <c r="B170">
        <v>138133082</v>
      </c>
      <c r="C170" t="s">
        <v>1331</v>
      </c>
      <c r="D170" t="s">
        <v>1332</v>
      </c>
      <c r="E170" t="s">
        <v>513</v>
      </c>
      <c r="F170" t="s">
        <v>514</v>
      </c>
      <c r="G170" t="s">
        <v>43</v>
      </c>
      <c r="H170" t="s">
        <v>44</v>
      </c>
      <c r="I170" t="s">
        <v>34</v>
      </c>
      <c r="J170" t="s">
        <v>45</v>
      </c>
      <c r="K170" t="s">
        <v>41</v>
      </c>
      <c r="L170" t="s">
        <v>1333</v>
      </c>
      <c r="M170" t="s">
        <v>1334</v>
      </c>
      <c r="N170" t="s">
        <v>516</v>
      </c>
      <c r="O170" t="s">
        <v>64</v>
      </c>
      <c r="P170" t="s">
        <v>1335</v>
      </c>
      <c r="Q170" t="s">
        <v>50</v>
      </c>
      <c r="R170" t="s">
        <v>1311</v>
      </c>
      <c r="S170">
        <v>1.44</v>
      </c>
      <c r="T170">
        <v>5406</v>
      </c>
      <c r="U170">
        <v>0</v>
      </c>
      <c r="V170">
        <v>5406</v>
      </c>
    </row>
    <row r="171" spans="1:22" x14ac:dyDescent="0.3">
      <c r="A171">
        <v>79452</v>
      </c>
      <c r="B171">
        <v>138232509</v>
      </c>
      <c r="C171" t="s">
        <v>1336</v>
      </c>
      <c r="D171" t="s">
        <v>1337</v>
      </c>
      <c r="E171" t="s">
        <v>513</v>
      </c>
      <c r="F171" t="s">
        <v>514</v>
      </c>
      <c r="G171" t="s">
        <v>43</v>
      </c>
      <c r="H171" t="s">
        <v>44</v>
      </c>
      <c r="I171" t="s">
        <v>34</v>
      </c>
      <c r="J171" t="s">
        <v>45</v>
      </c>
      <c r="K171" t="s">
        <v>41</v>
      </c>
      <c r="L171" t="s">
        <v>1338</v>
      </c>
      <c r="M171" t="s">
        <v>1339</v>
      </c>
      <c r="N171" t="s">
        <v>516</v>
      </c>
      <c r="O171" t="s">
        <v>64</v>
      </c>
      <c r="P171" t="s">
        <v>1340</v>
      </c>
      <c r="Q171" t="s">
        <v>61</v>
      </c>
      <c r="R171" t="s">
        <v>476</v>
      </c>
      <c r="S171">
        <v>1.44</v>
      </c>
      <c r="T171">
        <v>3501</v>
      </c>
      <c r="U171">
        <v>0</v>
      </c>
      <c r="V171">
        <v>3501</v>
      </c>
    </row>
    <row r="172" spans="1:22" x14ac:dyDescent="0.3">
      <c r="A172">
        <v>79452</v>
      </c>
      <c r="B172">
        <v>138232530</v>
      </c>
      <c r="C172" t="s">
        <v>1341</v>
      </c>
      <c r="D172" t="s">
        <v>1342</v>
      </c>
      <c r="E172" t="s">
        <v>513</v>
      </c>
      <c r="F172" t="s">
        <v>514</v>
      </c>
      <c r="G172" t="s">
        <v>43</v>
      </c>
      <c r="H172" t="s">
        <v>44</v>
      </c>
      <c r="I172" t="s">
        <v>34</v>
      </c>
      <c r="J172" t="s">
        <v>45</v>
      </c>
      <c r="K172" t="s">
        <v>41</v>
      </c>
      <c r="L172" t="s">
        <v>1343</v>
      </c>
      <c r="M172" t="s">
        <v>1344</v>
      </c>
      <c r="N172" t="s">
        <v>516</v>
      </c>
      <c r="O172" t="s">
        <v>64</v>
      </c>
      <c r="P172" t="s">
        <v>1345</v>
      </c>
      <c r="Q172" t="s">
        <v>61</v>
      </c>
      <c r="R172" t="s">
        <v>476</v>
      </c>
      <c r="S172">
        <v>1.22</v>
      </c>
      <c r="T172">
        <v>3501</v>
      </c>
      <c r="U172">
        <v>0</v>
      </c>
      <c r="V172">
        <v>3501</v>
      </c>
    </row>
    <row r="173" spans="1:22" x14ac:dyDescent="0.3">
      <c r="A173">
        <v>79452</v>
      </c>
      <c r="B173">
        <v>138169058</v>
      </c>
      <c r="C173" t="s">
        <v>1346</v>
      </c>
      <c r="D173" t="s">
        <v>1347</v>
      </c>
      <c r="E173" t="s">
        <v>513</v>
      </c>
      <c r="F173" t="s">
        <v>514</v>
      </c>
      <c r="G173" t="s">
        <v>43</v>
      </c>
      <c r="H173" t="s">
        <v>44</v>
      </c>
      <c r="I173" t="s">
        <v>34</v>
      </c>
      <c r="J173" t="s">
        <v>45</v>
      </c>
      <c r="K173" t="s">
        <v>41</v>
      </c>
      <c r="L173" t="s">
        <v>1348</v>
      </c>
      <c r="M173" t="s">
        <v>1349</v>
      </c>
      <c r="N173" t="s">
        <v>516</v>
      </c>
      <c r="O173" t="s">
        <v>64</v>
      </c>
      <c r="P173" t="s">
        <v>1350</v>
      </c>
      <c r="Q173" t="s">
        <v>58</v>
      </c>
      <c r="R173" t="s">
        <v>1211</v>
      </c>
      <c r="S173">
        <v>0.71</v>
      </c>
      <c r="T173">
        <v>3501</v>
      </c>
      <c r="U173">
        <v>0</v>
      </c>
      <c r="V173">
        <v>3501</v>
      </c>
    </row>
    <row r="174" spans="1:22" x14ac:dyDescent="0.3">
      <c r="A174">
        <v>79452</v>
      </c>
      <c r="B174">
        <v>138169040</v>
      </c>
      <c r="C174" t="s">
        <v>1351</v>
      </c>
      <c r="D174" t="s">
        <v>1352</v>
      </c>
      <c r="E174" t="s">
        <v>513</v>
      </c>
      <c r="F174" t="s">
        <v>514</v>
      </c>
      <c r="G174" t="s">
        <v>43</v>
      </c>
      <c r="H174" t="s">
        <v>44</v>
      </c>
      <c r="I174" t="s">
        <v>34</v>
      </c>
      <c r="J174" t="s">
        <v>45</v>
      </c>
      <c r="K174" t="s">
        <v>41</v>
      </c>
      <c r="L174" t="s">
        <v>1353</v>
      </c>
      <c r="M174" t="s">
        <v>1354</v>
      </c>
      <c r="N174" t="s">
        <v>516</v>
      </c>
      <c r="O174" t="s">
        <v>64</v>
      </c>
      <c r="P174" t="s">
        <v>1355</v>
      </c>
      <c r="Q174" t="s">
        <v>87</v>
      </c>
      <c r="R174" t="s">
        <v>1211</v>
      </c>
      <c r="S174">
        <v>1.25</v>
      </c>
      <c r="T174">
        <v>4025</v>
      </c>
      <c r="U174">
        <v>0</v>
      </c>
      <c r="V174">
        <v>4025</v>
      </c>
    </row>
    <row r="175" spans="1:22" x14ac:dyDescent="0.3">
      <c r="A175">
        <v>79452</v>
      </c>
      <c r="B175">
        <v>138188693</v>
      </c>
      <c r="C175" t="s">
        <v>1356</v>
      </c>
      <c r="D175" t="s">
        <v>1357</v>
      </c>
      <c r="E175" t="s">
        <v>513</v>
      </c>
      <c r="F175" t="s">
        <v>514</v>
      </c>
      <c r="G175" t="s">
        <v>43</v>
      </c>
      <c r="H175" t="s">
        <v>44</v>
      </c>
      <c r="I175" t="s">
        <v>34</v>
      </c>
      <c r="J175" t="s">
        <v>45</v>
      </c>
      <c r="K175" t="s">
        <v>41</v>
      </c>
      <c r="L175" t="s">
        <v>1358</v>
      </c>
      <c r="M175" t="s">
        <v>776</v>
      </c>
      <c r="N175" t="s">
        <v>516</v>
      </c>
      <c r="O175" t="s">
        <v>64</v>
      </c>
      <c r="P175" t="s">
        <v>777</v>
      </c>
      <c r="Q175" t="s">
        <v>61</v>
      </c>
      <c r="R175" t="s">
        <v>283</v>
      </c>
      <c r="S175">
        <v>0.98</v>
      </c>
      <c r="T175">
        <v>3501</v>
      </c>
      <c r="U175">
        <v>0</v>
      </c>
      <c r="V175">
        <v>3501</v>
      </c>
    </row>
    <row r="176" spans="1:22" x14ac:dyDescent="0.3">
      <c r="A176">
        <v>79452</v>
      </c>
      <c r="B176">
        <v>138168979</v>
      </c>
      <c r="C176" t="s">
        <v>1359</v>
      </c>
      <c r="D176" t="s">
        <v>1360</v>
      </c>
      <c r="E176" t="s">
        <v>513</v>
      </c>
      <c r="F176" t="s">
        <v>514</v>
      </c>
      <c r="G176" t="s">
        <v>43</v>
      </c>
      <c r="H176" t="s">
        <v>44</v>
      </c>
      <c r="I176" t="s">
        <v>34</v>
      </c>
      <c r="J176" t="s">
        <v>45</v>
      </c>
      <c r="K176" t="s">
        <v>41</v>
      </c>
      <c r="L176" t="s">
        <v>1361</v>
      </c>
      <c r="M176" t="s">
        <v>1362</v>
      </c>
      <c r="N176" t="s">
        <v>516</v>
      </c>
      <c r="O176" t="s">
        <v>64</v>
      </c>
      <c r="P176" t="s">
        <v>1363</v>
      </c>
      <c r="Q176" t="s">
        <v>48</v>
      </c>
      <c r="R176" t="s">
        <v>1185</v>
      </c>
      <c r="S176">
        <v>1.61</v>
      </c>
      <c r="T176">
        <v>4230</v>
      </c>
      <c r="U176">
        <v>0</v>
      </c>
      <c r="V176">
        <v>4230</v>
      </c>
    </row>
    <row r="177" spans="1:22" x14ac:dyDescent="0.3">
      <c r="A177">
        <v>79452</v>
      </c>
      <c r="B177">
        <v>138211923</v>
      </c>
      <c r="C177" t="s">
        <v>1364</v>
      </c>
      <c r="D177" t="s">
        <v>1365</v>
      </c>
      <c r="E177" t="s">
        <v>513</v>
      </c>
      <c r="F177" t="s">
        <v>514</v>
      </c>
      <c r="G177" t="s">
        <v>43</v>
      </c>
      <c r="H177" t="s">
        <v>44</v>
      </c>
      <c r="I177" t="s">
        <v>34</v>
      </c>
      <c r="J177" t="s">
        <v>45</v>
      </c>
      <c r="K177" t="s">
        <v>41</v>
      </c>
      <c r="L177" t="s">
        <v>1366</v>
      </c>
      <c r="M177" t="s">
        <v>1367</v>
      </c>
      <c r="N177" t="s">
        <v>516</v>
      </c>
      <c r="O177" t="s">
        <v>64</v>
      </c>
      <c r="P177" t="s">
        <v>1368</v>
      </c>
      <c r="Q177" t="s">
        <v>90</v>
      </c>
      <c r="R177" t="s">
        <v>537</v>
      </c>
      <c r="S177">
        <v>1.27</v>
      </c>
      <c r="T177">
        <v>3904</v>
      </c>
      <c r="U177">
        <v>0</v>
      </c>
      <c r="V177">
        <v>3904</v>
      </c>
    </row>
    <row r="178" spans="1:22" x14ac:dyDescent="0.3">
      <c r="A178">
        <v>79452</v>
      </c>
      <c r="B178">
        <v>138211932</v>
      </c>
      <c r="C178" t="s">
        <v>1369</v>
      </c>
      <c r="D178" t="s">
        <v>1370</v>
      </c>
      <c r="E178" t="s">
        <v>513</v>
      </c>
      <c r="F178" t="s">
        <v>514</v>
      </c>
      <c r="G178" t="s">
        <v>43</v>
      </c>
      <c r="H178" t="s">
        <v>44</v>
      </c>
      <c r="I178" t="s">
        <v>34</v>
      </c>
      <c r="J178" t="s">
        <v>45</v>
      </c>
      <c r="K178" t="s">
        <v>41</v>
      </c>
      <c r="L178" t="s">
        <v>1371</v>
      </c>
      <c r="M178" t="s">
        <v>1372</v>
      </c>
      <c r="N178" t="s">
        <v>516</v>
      </c>
      <c r="O178" t="s">
        <v>64</v>
      </c>
      <c r="P178" t="s">
        <v>1373</v>
      </c>
      <c r="Q178" t="s">
        <v>97</v>
      </c>
      <c r="R178" t="s">
        <v>537</v>
      </c>
      <c r="S178">
        <v>0.86</v>
      </c>
      <c r="T178">
        <v>4520</v>
      </c>
      <c r="U178">
        <v>0</v>
      </c>
      <c r="V178">
        <v>4520</v>
      </c>
    </row>
    <row r="179" spans="1:22" x14ac:dyDescent="0.3">
      <c r="A179">
        <v>79452</v>
      </c>
      <c r="B179">
        <v>138168990</v>
      </c>
      <c r="C179" t="s">
        <v>1374</v>
      </c>
      <c r="D179" t="s">
        <v>1375</v>
      </c>
      <c r="E179" t="s">
        <v>513</v>
      </c>
      <c r="F179" t="s">
        <v>514</v>
      </c>
      <c r="G179" t="s">
        <v>43</v>
      </c>
      <c r="H179" t="s">
        <v>44</v>
      </c>
      <c r="I179" t="s">
        <v>34</v>
      </c>
      <c r="J179" t="s">
        <v>45</v>
      </c>
      <c r="K179" t="s">
        <v>41</v>
      </c>
      <c r="L179" t="s">
        <v>1376</v>
      </c>
      <c r="M179" t="s">
        <v>1377</v>
      </c>
      <c r="N179" t="s">
        <v>516</v>
      </c>
      <c r="O179" t="s">
        <v>64</v>
      </c>
      <c r="P179" t="s">
        <v>1378</v>
      </c>
      <c r="Q179" t="s">
        <v>75</v>
      </c>
      <c r="R179" t="s">
        <v>1185</v>
      </c>
      <c r="S179">
        <v>1</v>
      </c>
      <c r="T179">
        <v>3904</v>
      </c>
      <c r="U179">
        <v>0</v>
      </c>
      <c r="V179">
        <v>3904</v>
      </c>
    </row>
    <row r="180" spans="1:22" x14ac:dyDescent="0.3">
      <c r="A180">
        <v>79452</v>
      </c>
      <c r="B180">
        <v>138141823</v>
      </c>
      <c r="C180" t="s">
        <v>1379</v>
      </c>
      <c r="D180" t="s">
        <v>1380</v>
      </c>
      <c r="E180" t="s">
        <v>513</v>
      </c>
      <c r="F180" t="s">
        <v>514</v>
      </c>
      <c r="G180" t="s">
        <v>43</v>
      </c>
      <c r="H180" t="s">
        <v>44</v>
      </c>
      <c r="I180" t="s">
        <v>34</v>
      </c>
      <c r="J180" t="s">
        <v>45</v>
      </c>
      <c r="K180" t="s">
        <v>41</v>
      </c>
      <c r="L180" t="s">
        <v>1381</v>
      </c>
      <c r="M180" t="s">
        <v>1382</v>
      </c>
      <c r="N180" t="s">
        <v>516</v>
      </c>
      <c r="O180" t="s">
        <v>64</v>
      </c>
      <c r="P180" t="s">
        <v>1383</v>
      </c>
      <c r="Q180" t="s">
        <v>50</v>
      </c>
      <c r="R180" t="s">
        <v>642</v>
      </c>
      <c r="S180">
        <v>0.78</v>
      </c>
      <c r="T180">
        <v>5406</v>
      </c>
      <c r="U180">
        <v>0</v>
      </c>
      <c r="V180">
        <v>5406</v>
      </c>
    </row>
    <row r="181" spans="1:22" x14ac:dyDescent="0.3">
      <c r="A181">
        <v>79452</v>
      </c>
      <c r="B181">
        <v>138211937</v>
      </c>
      <c r="C181" t="s">
        <v>1384</v>
      </c>
      <c r="D181" t="s">
        <v>1385</v>
      </c>
      <c r="E181" t="s">
        <v>513</v>
      </c>
      <c r="F181" t="s">
        <v>514</v>
      </c>
      <c r="G181" t="s">
        <v>43</v>
      </c>
      <c r="H181" t="s">
        <v>44</v>
      </c>
      <c r="I181" t="s">
        <v>34</v>
      </c>
      <c r="J181" t="s">
        <v>45</v>
      </c>
      <c r="K181" t="s">
        <v>41</v>
      </c>
      <c r="L181" t="s">
        <v>1386</v>
      </c>
      <c r="M181" t="s">
        <v>1387</v>
      </c>
      <c r="N181" t="s">
        <v>516</v>
      </c>
      <c r="O181" t="s">
        <v>64</v>
      </c>
      <c r="P181" t="s">
        <v>1388</v>
      </c>
      <c r="Q181" t="s">
        <v>62</v>
      </c>
      <c r="R181" t="s">
        <v>537</v>
      </c>
      <c r="S181">
        <v>0.62</v>
      </c>
      <c r="T181">
        <v>3936</v>
      </c>
      <c r="U181">
        <v>0</v>
      </c>
      <c r="V181">
        <v>3936</v>
      </c>
    </row>
    <row r="182" spans="1:22" x14ac:dyDescent="0.3">
      <c r="A182">
        <v>79452</v>
      </c>
      <c r="B182">
        <v>138168994</v>
      </c>
      <c r="C182" t="s">
        <v>1389</v>
      </c>
      <c r="D182" t="s">
        <v>1390</v>
      </c>
      <c r="E182" t="s">
        <v>513</v>
      </c>
      <c r="F182" t="s">
        <v>514</v>
      </c>
      <c r="G182" t="s">
        <v>43</v>
      </c>
      <c r="H182" t="s">
        <v>44</v>
      </c>
      <c r="I182" t="s">
        <v>34</v>
      </c>
      <c r="J182" t="s">
        <v>45</v>
      </c>
      <c r="K182" t="s">
        <v>41</v>
      </c>
      <c r="L182" t="s">
        <v>1391</v>
      </c>
      <c r="M182" t="s">
        <v>1392</v>
      </c>
      <c r="N182" t="s">
        <v>516</v>
      </c>
      <c r="O182" t="s">
        <v>64</v>
      </c>
      <c r="P182" t="s">
        <v>1393</v>
      </c>
      <c r="Q182" t="s">
        <v>108</v>
      </c>
      <c r="R182" t="s">
        <v>1185</v>
      </c>
      <c r="S182">
        <v>1.64</v>
      </c>
      <c r="T182">
        <v>3501</v>
      </c>
      <c r="U182">
        <v>0</v>
      </c>
      <c r="V182">
        <v>3501</v>
      </c>
    </row>
    <row r="183" spans="1:22" x14ac:dyDescent="0.3">
      <c r="A183">
        <v>79452</v>
      </c>
      <c r="B183">
        <v>138169036</v>
      </c>
      <c r="C183" t="s">
        <v>1394</v>
      </c>
      <c r="D183" t="s">
        <v>1395</v>
      </c>
      <c r="E183" t="s">
        <v>513</v>
      </c>
      <c r="F183" t="s">
        <v>514</v>
      </c>
      <c r="G183" t="s">
        <v>43</v>
      </c>
      <c r="H183" t="s">
        <v>44</v>
      </c>
      <c r="I183" t="s">
        <v>34</v>
      </c>
      <c r="J183" t="s">
        <v>45</v>
      </c>
      <c r="K183" t="s">
        <v>41</v>
      </c>
      <c r="L183" t="s">
        <v>1396</v>
      </c>
      <c r="M183" t="s">
        <v>1397</v>
      </c>
      <c r="N183" t="s">
        <v>516</v>
      </c>
      <c r="O183" t="s">
        <v>64</v>
      </c>
      <c r="P183" t="s">
        <v>1398</v>
      </c>
      <c r="Q183" t="s">
        <v>98</v>
      </c>
      <c r="R183" t="s">
        <v>1185</v>
      </c>
      <c r="S183">
        <v>1.36</v>
      </c>
      <c r="T183">
        <v>5990</v>
      </c>
      <c r="U183">
        <v>0</v>
      </c>
      <c r="V183">
        <v>5990</v>
      </c>
    </row>
    <row r="184" spans="1:22" x14ac:dyDescent="0.3">
      <c r="A184">
        <v>79452</v>
      </c>
      <c r="B184">
        <v>138211928</v>
      </c>
      <c r="C184" t="s">
        <v>1399</v>
      </c>
      <c r="D184" t="s">
        <v>1400</v>
      </c>
      <c r="E184" t="s">
        <v>513</v>
      </c>
      <c r="F184" t="s">
        <v>514</v>
      </c>
      <c r="G184" t="s">
        <v>43</v>
      </c>
      <c r="H184" t="s">
        <v>44</v>
      </c>
      <c r="I184" t="s">
        <v>34</v>
      </c>
      <c r="J184" t="s">
        <v>45</v>
      </c>
      <c r="K184" t="s">
        <v>41</v>
      </c>
      <c r="L184" t="s">
        <v>1401</v>
      </c>
      <c r="M184" t="s">
        <v>1402</v>
      </c>
      <c r="N184" t="s">
        <v>516</v>
      </c>
      <c r="O184" t="s">
        <v>64</v>
      </c>
      <c r="P184" t="s">
        <v>1403</v>
      </c>
      <c r="Q184" t="s">
        <v>49</v>
      </c>
      <c r="R184" t="s">
        <v>537</v>
      </c>
      <c r="S184">
        <v>1.26</v>
      </c>
      <c r="T184">
        <v>3642</v>
      </c>
      <c r="U184">
        <v>0</v>
      </c>
      <c r="V184">
        <v>3642</v>
      </c>
    </row>
    <row r="185" spans="1:22" x14ac:dyDescent="0.3">
      <c r="A185">
        <v>79452</v>
      </c>
      <c r="B185">
        <v>138232510</v>
      </c>
      <c r="C185" t="s">
        <v>1404</v>
      </c>
      <c r="D185" t="s">
        <v>1405</v>
      </c>
      <c r="E185" t="s">
        <v>513</v>
      </c>
      <c r="F185" t="s">
        <v>514</v>
      </c>
      <c r="G185" t="s">
        <v>43</v>
      </c>
      <c r="H185" t="s">
        <v>44</v>
      </c>
      <c r="I185" t="s">
        <v>34</v>
      </c>
      <c r="J185" t="s">
        <v>45</v>
      </c>
      <c r="K185" t="s">
        <v>41</v>
      </c>
      <c r="L185" t="s">
        <v>1406</v>
      </c>
      <c r="M185" t="s">
        <v>1407</v>
      </c>
      <c r="N185" t="s">
        <v>516</v>
      </c>
      <c r="O185" t="s">
        <v>64</v>
      </c>
      <c r="P185" t="s">
        <v>1408</v>
      </c>
      <c r="Q185" t="s">
        <v>67</v>
      </c>
      <c r="R185" t="s">
        <v>476</v>
      </c>
      <c r="S185">
        <v>0.72</v>
      </c>
      <c r="T185">
        <v>3936</v>
      </c>
      <c r="U185">
        <v>0</v>
      </c>
      <c r="V185">
        <v>3936</v>
      </c>
    </row>
    <row r="186" spans="1:22" x14ac:dyDescent="0.3">
      <c r="A186">
        <v>79452</v>
      </c>
      <c r="B186">
        <v>138169045</v>
      </c>
      <c r="C186" t="s">
        <v>1409</v>
      </c>
      <c r="D186" t="s">
        <v>1410</v>
      </c>
      <c r="E186" t="s">
        <v>513</v>
      </c>
      <c r="F186" t="s">
        <v>514</v>
      </c>
      <c r="G186" t="s">
        <v>43</v>
      </c>
      <c r="H186" t="s">
        <v>44</v>
      </c>
      <c r="I186" t="s">
        <v>34</v>
      </c>
      <c r="J186" t="s">
        <v>45</v>
      </c>
      <c r="K186" t="s">
        <v>41</v>
      </c>
      <c r="L186" t="s">
        <v>1411</v>
      </c>
      <c r="M186" t="s">
        <v>1412</v>
      </c>
      <c r="N186" t="s">
        <v>516</v>
      </c>
      <c r="O186" t="s">
        <v>64</v>
      </c>
      <c r="P186" t="s">
        <v>1413</v>
      </c>
      <c r="Q186" t="s">
        <v>118</v>
      </c>
      <c r="R186" t="s">
        <v>1211</v>
      </c>
      <c r="S186">
        <v>1.47</v>
      </c>
      <c r="T186">
        <v>4230</v>
      </c>
      <c r="U186">
        <v>0</v>
      </c>
      <c r="V186">
        <v>4230</v>
      </c>
    </row>
    <row r="187" spans="1:22" x14ac:dyDescent="0.3">
      <c r="A187">
        <v>79452</v>
      </c>
      <c r="B187">
        <v>138211931</v>
      </c>
      <c r="C187" t="s">
        <v>1414</v>
      </c>
      <c r="D187" t="s">
        <v>1415</v>
      </c>
      <c r="E187" t="s">
        <v>513</v>
      </c>
      <c r="F187" t="s">
        <v>514</v>
      </c>
      <c r="G187" t="s">
        <v>43</v>
      </c>
      <c r="H187" t="s">
        <v>44</v>
      </c>
      <c r="I187" t="s">
        <v>34</v>
      </c>
      <c r="J187" t="s">
        <v>45</v>
      </c>
      <c r="K187" t="s">
        <v>41</v>
      </c>
      <c r="L187" t="s">
        <v>1416</v>
      </c>
      <c r="M187" t="s">
        <v>1417</v>
      </c>
      <c r="N187" t="s">
        <v>516</v>
      </c>
      <c r="O187" t="s">
        <v>64</v>
      </c>
      <c r="P187" t="s">
        <v>1418</v>
      </c>
      <c r="Q187" t="s">
        <v>46</v>
      </c>
      <c r="R187" t="s">
        <v>537</v>
      </c>
      <c r="S187">
        <v>1.06</v>
      </c>
      <c r="T187">
        <v>3501</v>
      </c>
      <c r="U187">
        <v>0</v>
      </c>
      <c r="V187">
        <v>3501</v>
      </c>
    </row>
    <row r="188" spans="1:22" x14ac:dyDescent="0.3">
      <c r="A188">
        <v>79452</v>
      </c>
      <c r="B188">
        <v>138169033</v>
      </c>
      <c r="C188" t="s">
        <v>1419</v>
      </c>
      <c r="D188" t="s">
        <v>1420</v>
      </c>
      <c r="E188" t="s">
        <v>513</v>
      </c>
      <c r="F188" t="s">
        <v>514</v>
      </c>
      <c r="G188" t="s">
        <v>43</v>
      </c>
      <c r="H188" t="s">
        <v>44</v>
      </c>
      <c r="I188" t="s">
        <v>34</v>
      </c>
      <c r="J188" t="s">
        <v>45</v>
      </c>
      <c r="K188" t="s">
        <v>41</v>
      </c>
      <c r="L188" t="s">
        <v>1421</v>
      </c>
      <c r="M188" t="s">
        <v>1422</v>
      </c>
      <c r="N188" t="s">
        <v>516</v>
      </c>
      <c r="O188" t="s">
        <v>64</v>
      </c>
      <c r="P188" t="s">
        <v>1423</v>
      </c>
      <c r="Q188" t="s">
        <v>50</v>
      </c>
      <c r="R188" t="s">
        <v>1185</v>
      </c>
      <c r="S188">
        <v>1.35</v>
      </c>
      <c r="T188">
        <v>5406</v>
      </c>
      <c r="U188">
        <v>0</v>
      </c>
      <c r="V188">
        <v>5406</v>
      </c>
    </row>
    <row r="189" spans="1:22" x14ac:dyDescent="0.3">
      <c r="A189">
        <v>79452</v>
      </c>
      <c r="B189">
        <v>138141829</v>
      </c>
      <c r="C189" t="s">
        <v>1424</v>
      </c>
      <c r="D189" t="s">
        <v>1425</v>
      </c>
      <c r="E189" t="s">
        <v>513</v>
      </c>
      <c r="F189" t="s">
        <v>514</v>
      </c>
      <c r="G189" t="s">
        <v>43</v>
      </c>
      <c r="H189" t="s">
        <v>44</v>
      </c>
      <c r="I189" t="s">
        <v>34</v>
      </c>
      <c r="J189" t="s">
        <v>45</v>
      </c>
      <c r="K189" t="s">
        <v>41</v>
      </c>
      <c r="L189" t="s">
        <v>1426</v>
      </c>
      <c r="M189" t="s">
        <v>1427</v>
      </c>
      <c r="N189" t="s">
        <v>516</v>
      </c>
      <c r="O189" t="s">
        <v>64</v>
      </c>
      <c r="P189" t="s">
        <v>1428</v>
      </c>
      <c r="Q189" t="s">
        <v>82</v>
      </c>
      <c r="R189" t="s">
        <v>642</v>
      </c>
      <c r="S189">
        <v>1.22</v>
      </c>
      <c r="T189">
        <v>5990</v>
      </c>
      <c r="U189">
        <v>0</v>
      </c>
      <c r="V189">
        <v>5990</v>
      </c>
    </row>
    <row r="190" spans="1:22" x14ac:dyDescent="0.3">
      <c r="A190">
        <v>79452</v>
      </c>
      <c r="B190">
        <v>138169056</v>
      </c>
      <c r="C190" t="s">
        <v>1429</v>
      </c>
      <c r="D190" t="s">
        <v>1430</v>
      </c>
      <c r="E190" t="s">
        <v>513</v>
      </c>
      <c r="F190" t="s">
        <v>514</v>
      </c>
      <c r="G190" t="s">
        <v>43</v>
      </c>
      <c r="H190" t="s">
        <v>44</v>
      </c>
      <c r="I190" t="s">
        <v>34</v>
      </c>
      <c r="J190" t="s">
        <v>45</v>
      </c>
      <c r="K190" t="s">
        <v>41</v>
      </c>
      <c r="L190" t="s">
        <v>1431</v>
      </c>
      <c r="M190" t="s">
        <v>1432</v>
      </c>
      <c r="N190" t="s">
        <v>516</v>
      </c>
      <c r="O190" t="s">
        <v>64</v>
      </c>
      <c r="P190" t="s">
        <v>1433</v>
      </c>
      <c r="Q190" t="s">
        <v>118</v>
      </c>
      <c r="R190" t="s">
        <v>1211</v>
      </c>
      <c r="S190">
        <v>1.3</v>
      </c>
      <c r="T190">
        <v>4230</v>
      </c>
      <c r="U190">
        <v>0</v>
      </c>
      <c r="V190">
        <v>4230</v>
      </c>
    </row>
    <row r="191" spans="1:22" x14ac:dyDescent="0.3">
      <c r="A191">
        <v>79452</v>
      </c>
      <c r="B191">
        <v>138169002</v>
      </c>
      <c r="C191" t="s">
        <v>1434</v>
      </c>
      <c r="D191" t="s">
        <v>1435</v>
      </c>
      <c r="E191" t="s">
        <v>513</v>
      </c>
      <c r="F191" t="s">
        <v>514</v>
      </c>
      <c r="G191" t="s">
        <v>43</v>
      </c>
      <c r="H191" t="s">
        <v>44</v>
      </c>
      <c r="I191" t="s">
        <v>34</v>
      </c>
      <c r="J191" t="s">
        <v>45</v>
      </c>
      <c r="K191" t="s">
        <v>41</v>
      </c>
      <c r="L191" t="s">
        <v>1436</v>
      </c>
      <c r="M191" t="s">
        <v>1437</v>
      </c>
      <c r="N191" t="s">
        <v>516</v>
      </c>
      <c r="O191" t="s">
        <v>64</v>
      </c>
      <c r="P191" t="s">
        <v>1438</v>
      </c>
      <c r="Q191" t="s">
        <v>118</v>
      </c>
      <c r="R191" t="s">
        <v>1185</v>
      </c>
      <c r="S191">
        <v>1.1599999999999999</v>
      </c>
      <c r="T191">
        <v>4230</v>
      </c>
      <c r="U191">
        <v>0</v>
      </c>
      <c r="V191">
        <v>4230</v>
      </c>
    </row>
    <row r="192" spans="1:22" x14ac:dyDescent="0.3">
      <c r="A192">
        <v>79452</v>
      </c>
      <c r="B192">
        <v>138211942</v>
      </c>
      <c r="C192" t="s">
        <v>1439</v>
      </c>
      <c r="D192" t="s">
        <v>1440</v>
      </c>
      <c r="E192" t="s">
        <v>513</v>
      </c>
      <c r="F192" t="s">
        <v>514</v>
      </c>
      <c r="G192" t="s">
        <v>43</v>
      </c>
      <c r="H192" t="s">
        <v>44</v>
      </c>
      <c r="I192" t="s">
        <v>34</v>
      </c>
      <c r="J192" t="s">
        <v>45</v>
      </c>
      <c r="K192" t="s">
        <v>41</v>
      </c>
      <c r="L192" t="s">
        <v>1441</v>
      </c>
      <c r="M192" t="s">
        <v>1442</v>
      </c>
      <c r="N192" t="s">
        <v>516</v>
      </c>
      <c r="O192" t="s">
        <v>64</v>
      </c>
      <c r="P192" t="s">
        <v>1443</v>
      </c>
      <c r="Q192" t="s">
        <v>73</v>
      </c>
      <c r="R192" t="s">
        <v>537</v>
      </c>
      <c r="S192">
        <v>1.31</v>
      </c>
      <c r="T192">
        <v>3904</v>
      </c>
      <c r="U192">
        <v>0</v>
      </c>
      <c r="V192">
        <v>3904</v>
      </c>
    </row>
    <row r="193" spans="1:22" x14ac:dyDescent="0.3">
      <c r="A193">
        <v>79452</v>
      </c>
      <c r="B193">
        <v>138169055</v>
      </c>
      <c r="C193" t="s">
        <v>1444</v>
      </c>
      <c r="D193" t="s">
        <v>1445</v>
      </c>
      <c r="E193" t="s">
        <v>513</v>
      </c>
      <c r="F193" t="s">
        <v>514</v>
      </c>
      <c r="G193" t="s">
        <v>43</v>
      </c>
      <c r="H193" t="s">
        <v>44</v>
      </c>
      <c r="I193" t="s">
        <v>34</v>
      </c>
      <c r="J193" t="s">
        <v>45</v>
      </c>
      <c r="K193" t="s">
        <v>41</v>
      </c>
      <c r="L193" t="s">
        <v>1446</v>
      </c>
      <c r="M193" t="s">
        <v>1447</v>
      </c>
      <c r="N193" t="s">
        <v>516</v>
      </c>
      <c r="O193" t="s">
        <v>64</v>
      </c>
      <c r="P193" t="s">
        <v>1448</v>
      </c>
      <c r="Q193" t="s">
        <v>120</v>
      </c>
      <c r="R193" t="s">
        <v>1211</v>
      </c>
      <c r="S193">
        <v>1.04</v>
      </c>
      <c r="T193">
        <v>3904</v>
      </c>
      <c r="U193">
        <v>0</v>
      </c>
      <c r="V193">
        <v>3904</v>
      </c>
    </row>
    <row r="194" spans="1:22" x14ac:dyDescent="0.3">
      <c r="A194">
        <v>79452</v>
      </c>
      <c r="B194">
        <v>138211939</v>
      </c>
      <c r="C194" t="s">
        <v>1449</v>
      </c>
      <c r="D194" t="s">
        <v>1450</v>
      </c>
      <c r="E194" t="s">
        <v>513</v>
      </c>
      <c r="F194" t="s">
        <v>514</v>
      </c>
      <c r="G194" t="s">
        <v>43</v>
      </c>
      <c r="H194" t="s">
        <v>44</v>
      </c>
      <c r="I194" t="s">
        <v>34</v>
      </c>
      <c r="J194" t="s">
        <v>45</v>
      </c>
      <c r="K194" t="s">
        <v>41</v>
      </c>
      <c r="L194" t="s">
        <v>1451</v>
      </c>
      <c r="M194" t="s">
        <v>1452</v>
      </c>
      <c r="N194" t="s">
        <v>516</v>
      </c>
      <c r="O194" t="s">
        <v>64</v>
      </c>
      <c r="P194" t="s">
        <v>1453</v>
      </c>
      <c r="Q194" t="s">
        <v>61</v>
      </c>
      <c r="R194" t="s">
        <v>537</v>
      </c>
      <c r="S194">
        <v>1.1599999999999999</v>
      </c>
      <c r="T194">
        <v>3501</v>
      </c>
      <c r="U194">
        <v>0</v>
      </c>
      <c r="V194">
        <v>3501</v>
      </c>
    </row>
    <row r="195" spans="1:22" x14ac:dyDescent="0.3">
      <c r="A195">
        <v>79452</v>
      </c>
      <c r="B195">
        <v>138169015</v>
      </c>
      <c r="C195" t="s">
        <v>1454</v>
      </c>
      <c r="D195" t="s">
        <v>1455</v>
      </c>
      <c r="E195" t="s">
        <v>513</v>
      </c>
      <c r="F195" t="s">
        <v>514</v>
      </c>
      <c r="G195" t="s">
        <v>43</v>
      </c>
      <c r="H195" t="s">
        <v>44</v>
      </c>
      <c r="I195" t="s">
        <v>34</v>
      </c>
      <c r="J195" t="s">
        <v>45</v>
      </c>
      <c r="K195" t="s">
        <v>41</v>
      </c>
      <c r="L195" t="s">
        <v>1456</v>
      </c>
      <c r="M195" t="s">
        <v>1457</v>
      </c>
      <c r="N195" t="s">
        <v>516</v>
      </c>
      <c r="O195" t="s">
        <v>64</v>
      </c>
      <c r="P195" t="s">
        <v>1040</v>
      </c>
      <c r="Q195" t="s">
        <v>50</v>
      </c>
      <c r="R195" t="s">
        <v>1185</v>
      </c>
      <c r="S195">
        <v>1.41</v>
      </c>
      <c r="T195">
        <v>5406</v>
      </c>
      <c r="U195">
        <v>0</v>
      </c>
      <c r="V195">
        <v>5406</v>
      </c>
    </row>
    <row r="196" spans="1:22" x14ac:dyDescent="0.3">
      <c r="A196">
        <v>79452</v>
      </c>
      <c r="B196">
        <v>138168982</v>
      </c>
      <c r="C196" t="s">
        <v>1458</v>
      </c>
      <c r="D196" t="s">
        <v>1459</v>
      </c>
      <c r="E196" t="s">
        <v>513</v>
      </c>
      <c r="F196" t="s">
        <v>514</v>
      </c>
      <c r="G196" t="s">
        <v>43</v>
      </c>
      <c r="H196" t="s">
        <v>44</v>
      </c>
      <c r="I196" t="s">
        <v>34</v>
      </c>
      <c r="J196" t="s">
        <v>45</v>
      </c>
      <c r="K196" t="s">
        <v>41</v>
      </c>
      <c r="L196" t="s">
        <v>1460</v>
      </c>
      <c r="M196" t="s">
        <v>1461</v>
      </c>
      <c r="N196" t="s">
        <v>516</v>
      </c>
      <c r="O196" t="s">
        <v>64</v>
      </c>
      <c r="P196" t="s">
        <v>1462</v>
      </c>
      <c r="Q196" t="s">
        <v>87</v>
      </c>
      <c r="R196" t="s">
        <v>1185</v>
      </c>
      <c r="S196">
        <v>2.1800000000000002</v>
      </c>
      <c r="T196">
        <v>4025</v>
      </c>
      <c r="U196">
        <v>0</v>
      </c>
      <c r="V196">
        <v>4025</v>
      </c>
    </row>
    <row r="197" spans="1:22" x14ac:dyDescent="0.3">
      <c r="A197">
        <v>79452</v>
      </c>
      <c r="B197">
        <v>138141842</v>
      </c>
      <c r="C197" t="s">
        <v>1463</v>
      </c>
      <c r="D197" t="s">
        <v>1464</v>
      </c>
      <c r="E197" t="s">
        <v>513</v>
      </c>
      <c r="F197" t="s">
        <v>514</v>
      </c>
      <c r="G197" t="s">
        <v>43</v>
      </c>
      <c r="H197" t="s">
        <v>44</v>
      </c>
      <c r="I197" t="s">
        <v>34</v>
      </c>
      <c r="J197" t="s">
        <v>45</v>
      </c>
      <c r="K197" t="s">
        <v>41</v>
      </c>
      <c r="L197" t="s">
        <v>1465</v>
      </c>
      <c r="M197" t="s">
        <v>1466</v>
      </c>
      <c r="N197" t="s">
        <v>516</v>
      </c>
      <c r="O197" t="s">
        <v>64</v>
      </c>
      <c r="P197" t="s">
        <v>1467</v>
      </c>
      <c r="Q197" t="s">
        <v>50</v>
      </c>
      <c r="R197" t="s">
        <v>642</v>
      </c>
      <c r="S197">
        <v>0.66</v>
      </c>
      <c r="T197">
        <v>5406</v>
      </c>
      <c r="U197">
        <v>0</v>
      </c>
      <c r="V197">
        <v>5406</v>
      </c>
    </row>
    <row r="198" spans="1:22" x14ac:dyDescent="0.3">
      <c r="A198">
        <v>79452</v>
      </c>
      <c r="B198">
        <v>138141849</v>
      </c>
      <c r="C198" t="s">
        <v>1468</v>
      </c>
      <c r="D198" t="s">
        <v>1469</v>
      </c>
      <c r="E198" t="s">
        <v>513</v>
      </c>
      <c r="F198" t="s">
        <v>514</v>
      </c>
      <c r="G198" t="s">
        <v>43</v>
      </c>
      <c r="H198" t="s">
        <v>44</v>
      </c>
      <c r="I198" t="s">
        <v>34</v>
      </c>
      <c r="J198" t="s">
        <v>45</v>
      </c>
      <c r="K198" t="s">
        <v>41</v>
      </c>
      <c r="L198" t="s">
        <v>1470</v>
      </c>
      <c r="M198" t="s">
        <v>440</v>
      </c>
      <c r="N198" t="s">
        <v>516</v>
      </c>
      <c r="O198" t="s">
        <v>64</v>
      </c>
      <c r="P198" t="s">
        <v>1471</v>
      </c>
      <c r="Q198" t="s">
        <v>90</v>
      </c>
      <c r="R198" t="s">
        <v>642</v>
      </c>
      <c r="S198">
        <v>0.84</v>
      </c>
      <c r="T198">
        <v>3904</v>
      </c>
      <c r="U198">
        <v>0</v>
      </c>
      <c r="V198">
        <v>3904</v>
      </c>
    </row>
    <row r="199" spans="1:22" x14ac:dyDescent="0.3">
      <c r="A199">
        <v>79452</v>
      </c>
      <c r="B199">
        <v>138188684</v>
      </c>
      <c r="C199" t="s">
        <v>1472</v>
      </c>
      <c r="D199" t="s">
        <v>1473</v>
      </c>
      <c r="E199" t="s">
        <v>513</v>
      </c>
      <c r="F199" t="s">
        <v>514</v>
      </c>
      <c r="G199" t="s">
        <v>43</v>
      </c>
      <c r="H199" t="s">
        <v>44</v>
      </c>
      <c r="I199" t="s">
        <v>34</v>
      </c>
      <c r="J199" t="s">
        <v>45</v>
      </c>
      <c r="K199" t="s">
        <v>41</v>
      </c>
      <c r="L199" t="s">
        <v>1474</v>
      </c>
      <c r="M199" t="s">
        <v>386</v>
      </c>
      <c r="N199" t="s">
        <v>516</v>
      </c>
      <c r="O199" t="s">
        <v>64</v>
      </c>
      <c r="P199" t="s">
        <v>1475</v>
      </c>
      <c r="Q199" t="s">
        <v>50</v>
      </c>
      <c r="R199" t="s">
        <v>283</v>
      </c>
      <c r="S199">
        <v>1</v>
      </c>
      <c r="T199">
        <v>5406</v>
      </c>
      <c r="U199">
        <v>0</v>
      </c>
      <c r="V199">
        <v>5406</v>
      </c>
    </row>
    <row r="200" spans="1:22" x14ac:dyDescent="0.3">
      <c r="A200">
        <v>79452</v>
      </c>
      <c r="B200">
        <v>137870262</v>
      </c>
      <c r="C200" t="s">
        <v>1476</v>
      </c>
      <c r="D200" t="s">
        <v>1477</v>
      </c>
      <c r="E200" t="s">
        <v>513</v>
      </c>
      <c r="F200" t="s">
        <v>514</v>
      </c>
      <c r="G200" t="s">
        <v>43</v>
      </c>
      <c r="H200" t="s">
        <v>44</v>
      </c>
      <c r="I200" t="s">
        <v>34</v>
      </c>
      <c r="J200" t="s">
        <v>45</v>
      </c>
      <c r="K200" t="s">
        <v>41</v>
      </c>
      <c r="L200" t="s">
        <v>1478</v>
      </c>
      <c r="M200" t="s">
        <v>1479</v>
      </c>
      <c r="N200" t="s">
        <v>516</v>
      </c>
      <c r="O200" t="s">
        <v>64</v>
      </c>
      <c r="P200" t="s">
        <v>1480</v>
      </c>
      <c r="Q200" t="s">
        <v>68</v>
      </c>
      <c r="R200" t="s">
        <v>1000</v>
      </c>
      <c r="S200">
        <v>1.1299999999999999</v>
      </c>
      <c r="T200">
        <v>5990</v>
      </c>
      <c r="U200">
        <v>0</v>
      </c>
      <c r="V200">
        <v>5990</v>
      </c>
    </row>
    <row r="201" spans="1:22" x14ac:dyDescent="0.3">
      <c r="A201">
        <v>79452</v>
      </c>
      <c r="B201">
        <v>138211914</v>
      </c>
      <c r="C201" t="s">
        <v>1481</v>
      </c>
      <c r="D201" t="s">
        <v>1482</v>
      </c>
      <c r="E201" t="s">
        <v>513</v>
      </c>
      <c r="F201" t="s">
        <v>514</v>
      </c>
      <c r="G201" t="s">
        <v>43</v>
      </c>
      <c r="H201" t="s">
        <v>44</v>
      </c>
      <c r="I201" t="s">
        <v>34</v>
      </c>
      <c r="J201" t="s">
        <v>45</v>
      </c>
      <c r="K201" t="s">
        <v>41</v>
      </c>
      <c r="L201" t="s">
        <v>1483</v>
      </c>
      <c r="M201" t="s">
        <v>1484</v>
      </c>
      <c r="N201" t="s">
        <v>516</v>
      </c>
      <c r="O201" t="s">
        <v>64</v>
      </c>
      <c r="P201" t="s">
        <v>1485</v>
      </c>
      <c r="Q201" t="s">
        <v>73</v>
      </c>
      <c r="R201" t="s">
        <v>537</v>
      </c>
      <c r="S201">
        <v>1.05</v>
      </c>
      <c r="T201">
        <v>3904</v>
      </c>
      <c r="U201">
        <v>0</v>
      </c>
      <c r="V201">
        <v>3904</v>
      </c>
    </row>
    <row r="202" spans="1:22" x14ac:dyDescent="0.3">
      <c r="A202">
        <v>79452</v>
      </c>
      <c r="B202">
        <v>138169062</v>
      </c>
      <c r="C202" t="s">
        <v>1486</v>
      </c>
      <c r="D202" t="s">
        <v>1487</v>
      </c>
      <c r="E202" t="s">
        <v>513</v>
      </c>
      <c r="F202" t="s">
        <v>514</v>
      </c>
      <c r="G202" t="s">
        <v>43</v>
      </c>
      <c r="H202" t="s">
        <v>44</v>
      </c>
      <c r="I202" t="s">
        <v>34</v>
      </c>
      <c r="J202" t="s">
        <v>45</v>
      </c>
      <c r="K202" t="s">
        <v>41</v>
      </c>
      <c r="L202" t="s">
        <v>1488</v>
      </c>
      <c r="M202" t="s">
        <v>1489</v>
      </c>
      <c r="N202" t="s">
        <v>516</v>
      </c>
      <c r="O202" t="s">
        <v>64</v>
      </c>
      <c r="P202" t="s">
        <v>1490</v>
      </c>
      <c r="Q202" t="s">
        <v>108</v>
      </c>
      <c r="R202" t="s">
        <v>1211</v>
      </c>
      <c r="S202">
        <v>1.52</v>
      </c>
      <c r="T202">
        <v>3501</v>
      </c>
      <c r="U202">
        <v>0</v>
      </c>
      <c r="V202">
        <v>3501</v>
      </c>
    </row>
    <row r="203" spans="1:22" x14ac:dyDescent="0.3">
      <c r="A203">
        <v>79452</v>
      </c>
      <c r="B203">
        <v>138169032</v>
      </c>
      <c r="C203" t="s">
        <v>1491</v>
      </c>
      <c r="D203" t="s">
        <v>1492</v>
      </c>
      <c r="E203" t="s">
        <v>513</v>
      </c>
      <c r="F203" t="s">
        <v>514</v>
      </c>
      <c r="G203" t="s">
        <v>43</v>
      </c>
      <c r="H203" t="s">
        <v>44</v>
      </c>
      <c r="I203" t="s">
        <v>34</v>
      </c>
      <c r="J203" t="s">
        <v>45</v>
      </c>
      <c r="K203" t="s">
        <v>41</v>
      </c>
      <c r="L203" t="s">
        <v>1493</v>
      </c>
      <c r="M203" t="s">
        <v>1494</v>
      </c>
      <c r="N203" t="s">
        <v>516</v>
      </c>
      <c r="O203" t="s">
        <v>64</v>
      </c>
      <c r="P203" t="s">
        <v>1495</v>
      </c>
      <c r="Q203" t="s">
        <v>217</v>
      </c>
      <c r="R203" t="s">
        <v>1185</v>
      </c>
      <c r="S203">
        <v>1.4</v>
      </c>
      <c r="T203">
        <v>4230</v>
      </c>
      <c r="U203">
        <v>0</v>
      </c>
      <c r="V203">
        <v>4230</v>
      </c>
    </row>
    <row r="204" spans="1:22" x14ac:dyDescent="0.3">
      <c r="A204">
        <v>79452</v>
      </c>
      <c r="B204">
        <v>137798282</v>
      </c>
      <c r="C204" t="s">
        <v>1496</v>
      </c>
      <c r="D204" t="s">
        <v>1497</v>
      </c>
      <c r="E204" t="s">
        <v>513</v>
      </c>
      <c r="F204" t="s">
        <v>514</v>
      </c>
      <c r="G204" t="s">
        <v>43</v>
      </c>
      <c r="H204" t="s">
        <v>44</v>
      </c>
      <c r="I204" t="s">
        <v>34</v>
      </c>
      <c r="J204" t="s">
        <v>45</v>
      </c>
      <c r="K204" t="s">
        <v>41</v>
      </c>
      <c r="L204" t="s">
        <v>1498</v>
      </c>
      <c r="M204" t="s">
        <v>1499</v>
      </c>
      <c r="N204" t="s">
        <v>516</v>
      </c>
      <c r="O204" t="s">
        <v>64</v>
      </c>
      <c r="P204" t="s">
        <v>1500</v>
      </c>
      <c r="Q204" t="s">
        <v>166</v>
      </c>
      <c r="R204" t="s">
        <v>1501</v>
      </c>
      <c r="S204">
        <v>1</v>
      </c>
      <c r="T204">
        <v>5990</v>
      </c>
      <c r="U204">
        <v>0</v>
      </c>
      <c r="V204">
        <v>5990</v>
      </c>
    </row>
    <row r="205" spans="1:22" x14ac:dyDescent="0.3">
      <c r="A205">
        <v>79452</v>
      </c>
      <c r="B205">
        <v>138141832</v>
      </c>
      <c r="C205" t="s">
        <v>1502</v>
      </c>
      <c r="D205" t="s">
        <v>1503</v>
      </c>
      <c r="E205" t="s">
        <v>513</v>
      </c>
      <c r="F205" t="s">
        <v>514</v>
      </c>
      <c r="G205" t="s">
        <v>43</v>
      </c>
      <c r="H205" t="s">
        <v>44</v>
      </c>
      <c r="I205" t="s">
        <v>34</v>
      </c>
      <c r="J205" t="s">
        <v>45</v>
      </c>
      <c r="K205" t="s">
        <v>41</v>
      </c>
      <c r="L205" t="s">
        <v>1504</v>
      </c>
      <c r="M205" t="s">
        <v>1505</v>
      </c>
      <c r="N205" t="s">
        <v>516</v>
      </c>
      <c r="O205" t="s">
        <v>64</v>
      </c>
      <c r="P205" t="s">
        <v>1506</v>
      </c>
      <c r="Q205" t="s">
        <v>125</v>
      </c>
      <c r="R205" t="s">
        <v>642</v>
      </c>
      <c r="S205">
        <v>0.91</v>
      </c>
      <c r="T205">
        <v>4230</v>
      </c>
      <c r="U205">
        <v>0</v>
      </c>
      <c r="V205">
        <v>4230</v>
      </c>
    </row>
    <row r="206" spans="1:22" x14ac:dyDescent="0.3">
      <c r="A206">
        <v>79452</v>
      </c>
      <c r="B206">
        <v>138141856</v>
      </c>
      <c r="C206" t="s">
        <v>1507</v>
      </c>
      <c r="D206" t="s">
        <v>1508</v>
      </c>
      <c r="E206" t="s">
        <v>513</v>
      </c>
      <c r="F206" t="s">
        <v>514</v>
      </c>
      <c r="G206" t="s">
        <v>43</v>
      </c>
      <c r="H206" t="s">
        <v>44</v>
      </c>
      <c r="I206" t="s">
        <v>34</v>
      </c>
      <c r="J206" t="s">
        <v>45</v>
      </c>
      <c r="K206" t="s">
        <v>41</v>
      </c>
      <c r="L206" t="s">
        <v>1509</v>
      </c>
      <c r="M206" t="s">
        <v>1510</v>
      </c>
      <c r="N206" t="s">
        <v>516</v>
      </c>
      <c r="O206" t="s">
        <v>64</v>
      </c>
      <c r="P206" t="s">
        <v>1511</v>
      </c>
      <c r="Q206" t="s">
        <v>172</v>
      </c>
      <c r="R206" t="s">
        <v>642</v>
      </c>
      <c r="S206">
        <v>1.1599999999999999</v>
      </c>
      <c r="T206">
        <v>4881</v>
      </c>
      <c r="U206">
        <v>0</v>
      </c>
      <c r="V206">
        <v>4881</v>
      </c>
    </row>
    <row r="207" spans="1:22" x14ac:dyDescent="0.3">
      <c r="A207">
        <v>79452</v>
      </c>
      <c r="B207">
        <v>137757030</v>
      </c>
      <c r="C207" t="s">
        <v>1512</v>
      </c>
      <c r="D207" t="s">
        <v>1513</v>
      </c>
      <c r="E207" t="s">
        <v>513</v>
      </c>
      <c r="F207" t="s">
        <v>514</v>
      </c>
      <c r="G207" t="s">
        <v>43</v>
      </c>
      <c r="H207" t="s">
        <v>44</v>
      </c>
      <c r="I207" t="s">
        <v>34</v>
      </c>
      <c r="J207" t="s">
        <v>45</v>
      </c>
      <c r="K207" t="s">
        <v>41</v>
      </c>
      <c r="L207" t="s">
        <v>1514</v>
      </c>
      <c r="M207" t="s">
        <v>1515</v>
      </c>
      <c r="N207" t="s">
        <v>516</v>
      </c>
      <c r="O207" t="s">
        <v>64</v>
      </c>
      <c r="P207" t="s">
        <v>1516</v>
      </c>
      <c r="Q207" t="s">
        <v>166</v>
      </c>
      <c r="R207" t="s">
        <v>1517</v>
      </c>
      <c r="S207">
        <v>1.46</v>
      </c>
      <c r="T207">
        <v>5759</v>
      </c>
      <c r="U207">
        <v>0</v>
      </c>
      <c r="V207">
        <v>5759</v>
      </c>
    </row>
    <row r="208" spans="1:22" x14ac:dyDescent="0.3">
      <c r="A208">
        <v>79452</v>
      </c>
      <c r="B208">
        <v>138141838</v>
      </c>
      <c r="C208" t="s">
        <v>1518</v>
      </c>
      <c r="D208" t="s">
        <v>1519</v>
      </c>
      <c r="E208" t="s">
        <v>513</v>
      </c>
      <c r="F208" t="s">
        <v>514</v>
      </c>
      <c r="G208" t="s">
        <v>43</v>
      </c>
      <c r="H208" t="s">
        <v>44</v>
      </c>
      <c r="I208" t="s">
        <v>34</v>
      </c>
      <c r="J208" t="s">
        <v>45</v>
      </c>
      <c r="K208" t="s">
        <v>41</v>
      </c>
      <c r="L208" t="s">
        <v>1520</v>
      </c>
      <c r="M208" t="s">
        <v>1521</v>
      </c>
      <c r="N208" t="s">
        <v>516</v>
      </c>
      <c r="O208" t="s">
        <v>64</v>
      </c>
      <c r="P208" t="s">
        <v>1522</v>
      </c>
      <c r="Q208" t="s">
        <v>58</v>
      </c>
      <c r="R208" t="s">
        <v>642</v>
      </c>
      <c r="S208">
        <v>1.46</v>
      </c>
      <c r="T208">
        <v>3501</v>
      </c>
      <c r="U208">
        <v>0</v>
      </c>
      <c r="V208">
        <v>3501</v>
      </c>
    </row>
    <row r="209" spans="1:22" x14ac:dyDescent="0.3">
      <c r="A209">
        <v>79452</v>
      </c>
      <c r="B209">
        <v>138133084</v>
      </c>
      <c r="C209" t="s">
        <v>1523</v>
      </c>
      <c r="D209" t="s">
        <v>1524</v>
      </c>
      <c r="E209" t="s">
        <v>513</v>
      </c>
      <c r="F209" t="s">
        <v>514</v>
      </c>
      <c r="G209" t="s">
        <v>43</v>
      </c>
      <c r="H209" t="s">
        <v>44</v>
      </c>
      <c r="I209" t="s">
        <v>34</v>
      </c>
      <c r="J209" t="s">
        <v>45</v>
      </c>
      <c r="K209" t="s">
        <v>41</v>
      </c>
      <c r="L209" t="s">
        <v>1525</v>
      </c>
      <c r="M209" t="s">
        <v>1526</v>
      </c>
      <c r="N209" t="s">
        <v>516</v>
      </c>
      <c r="O209" t="s">
        <v>64</v>
      </c>
      <c r="P209" t="s">
        <v>1527</v>
      </c>
      <c r="Q209" t="s">
        <v>66</v>
      </c>
      <c r="R209" t="s">
        <v>1311</v>
      </c>
      <c r="S209">
        <v>2.42</v>
      </c>
      <c r="T209">
        <v>3936</v>
      </c>
      <c r="U209">
        <v>0</v>
      </c>
      <c r="V209">
        <v>3936</v>
      </c>
    </row>
    <row r="210" spans="1:22" x14ac:dyDescent="0.3">
      <c r="A210">
        <v>79452</v>
      </c>
      <c r="B210">
        <v>138169010</v>
      </c>
      <c r="C210" t="s">
        <v>1528</v>
      </c>
      <c r="D210" t="s">
        <v>1529</v>
      </c>
      <c r="E210" t="s">
        <v>513</v>
      </c>
      <c r="F210" t="s">
        <v>514</v>
      </c>
      <c r="G210" t="s">
        <v>43</v>
      </c>
      <c r="H210" t="s">
        <v>44</v>
      </c>
      <c r="I210" t="s">
        <v>34</v>
      </c>
      <c r="J210" t="s">
        <v>45</v>
      </c>
      <c r="K210" t="s">
        <v>41</v>
      </c>
      <c r="L210" t="s">
        <v>1530</v>
      </c>
      <c r="M210" t="s">
        <v>1531</v>
      </c>
      <c r="N210" t="s">
        <v>516</v>
      </c>
      <c r="O210" t="s">
        <v>64</v>
      </c>
      <c r="P210" t="s">
        <v>1532</v>
      </c>
      <c r="Q210" t="s">
        <v>62</v>
      </c>
      <c r="R210" t="s">
        <v>1185</v>
      </c>
      <c r="S210">
        <v>0.86</v>
      </c>
      <c r="T210">
        <v>3936</v>
      </c>
      <c r="U210">
        <v>0</v>
      </c>
      <c r="V210">
        <v>3936</v>
      </c>
    </row>
    <row r="211" spans="1:22" x14ac:dyDescent="0.3">
      <c r="A211">
        <v>79452</v>
      </c>
      <c r="B211">
        <v>138141834</v>
      </c>
      <c r="C211" t="s">
        <v>1533</v>
      </c>
      <c r="D211" t="s">
        <v>1534</v>
      </c>
      <c r="E211" t="s">
        <v>513</v>
      </c>
      <c r="F211" t="s">
        <v>514</v>
      </c>
      <c r="G211" t="s">
        <v>43</v>
      </c>
      <c r="H211" t="s">
        <v>44</v>
      </c>
      <c r="I211" t="s">
        <v>34</v>
      </c>
      <c r="J211" t="s">
        <v>45</v>
      </c>
      <c r="K211" t="s">
        <v>41</v>
      </c>
      <c r="L211" t="s">
        <v>1535</v>
      </c>
      <c r="M211" t="s">
        <v>1536</v>
      </c>
      <c r="N211" t="s">
        <v>516</v>
      </c>
      <c r="O211" t="s">
        <v>64</v>
      </c>
      <c r="P211" t="s">
        <v>1537</v>
      </c>
      <c r="Q211" t="s">
        <v>58</v>
      </c>
      <c r="R211" t="s">
        <v>642</v>
      </c>
      <c r="S211">
        <v>0.78</v>
      </c>
      <c r="T211">
        <v>3501</v>
      </c>
      <c r="U211">
        <v>0</v>
      </c>
      <c r="V211">
        <v>3501</v>
      </c>
    </row>
    <row r="212" spans="1:22" x14ac:dyDescent="0.3">
      <c r="A212">
        <v>79452</v>
      </c>
      <c r="B212">
        <v>138141831</v>
      </c>
      <c r="C212" t="s">
        <v>1538</v>
      </c>
      <c r="D212" t="s">
        <v>1539</v>
      </c>
      <c r="E212" t="s">
        <v>513</v>
      </c>
      <c r="F212" t="s">
        <v>514</v>
      </c>
      <c r="G212" t="s">
        <v>43</v>
      </c>
      <c r="H212" t="s">
        <v>44</v>
      </c>
      <c r="I212" t="s">
        <v>34</v>
      </c>
      <c r="J212" t="s">
        <v>45</v>
      </c>
      <c r="K212" t="s">
        <v>41</v>
      </c>
      <c r="L212" t="s">
        <v>1540</v>
      </c>
      <c r="M212" t="s">
        <v>1541</v>
      </c>
      <c r="N212" t="s">
        <v>516</v>
      </c>
      <c r="O212" t="s">
        <v>64</v>
      </c>
      <c r="P212" t="s">
        <v>1542</v>
      </c>
      <c r="Q212" t="s">
        <v>125</v>
      </c>
      <c r="R212" t="s">
        <v>642</v>
      </c>
      <c r="S212">
        <v>1.22</v>
      </c>
      <c r="T212">
        <v>4230</v>
      </c>
      <c r="U212">
        <v>0</v>
      </c>
      <c r="V212">
        <v>4230</v>
      </c>
    </row>
    <row r="213" spans="1:22" x14ac:dyDescent="0.3">
      <c r="A213">
        <v>79452</v>
      </c>
      <c r="B213">
        <v>138133086</v>
      </c>
      <c r="C213" t="s">
        <v>1543</v>
      </c>
      <c r="D213" t="s">
        <v>1544</v>
      </c>
      <c r="E213" t="s">
        <v>513</v>
      </c>
      <c r="F213" t="s">
        <v>514</v>
      </c>
      <c r="G213" t="s">
        <v>43</v>
      </c>
      <c r="H213" t="s">
        <v>44</v>
      </c>
      <c r="I213" t="s">
        <v>34</v>
      </c>
      <c r="J213" t="s">
        <v>45</v>
      </c>
      <c r="K213" t="s">
        <v>41</v>
      </c>
      <c r="L213" t="s">
        <v>1545</v>
      </c>
      <c r="M213" t="s">
        <v>1546</v>
      </c>
      <c r="N213" t="s">
        <v>516</v>
      </c>
      <c r="O213" t="s">
        <v>64</v>
      </c>
      <c r="P213" t="s">
        <v>1547</v>
      </c>
      <c r="Q213" t="s">
        <v>61</v>
      </c>
      <c r="R213" t="s">
        <v>1311</v>
      </c>
      <c r="S213">
        <v>1</v>
      </c>
      <c r="T213">
        <v>3501</v>
      </c>
      <c r="U213">
        <v>0</v>
      </c>
      <c r="V213">
        <v>3501</v>
      </c>
    </row>
    <row r="214" spans="1:22" x14ac:dyDescent="0.3">
      <c r="A214">
        <v>79452</v>
      </c>
      <c r="B214">
        <v>138141833</v>
      </c>
      <c r="C214" t="s">
        <v>1548</v>
      </c>
      <c r="D214" t="s">
        <v>1549</v>
      </c>
      <c r="E214" t="s">
        <v>513</v>
      </c>
      <c r="F214" t="s">
        <v>514</v>
      </c>
      <c r="G214" t="s">
        <v>43</v>
      </c>
      <c r="H214" t="s">
        <v>44</v>
      </c>
      <c r="I214" t="s">
        <v>34</v>
      </c>
      <c r="J214" t="s">
        <v>45</v>
      </c>
      <c r="K214" t="s">
        <v>41</v>
      </c>
      <c r="L214" t="s">
        <v>1550</v>
      </c>
      <c r="M214" t="s">
        <v>1204</v>
      </c>
      <c r="N214" t="s">
        <v>516</v>
      </c>
      <c r="O214" t="s">
        <v>64</v>
      </c>
      <c r="P214" t="s">
        <v>1205</v>
      </c>
      <c r="Q214" t="s">
        <v>209</v>
      </c>
      <c r="R214" t="s">
        <v>642</v>
      </c>
      <c r="S214">
        <v>0.9</v>
      </c>
      <c r="T214">
        <v>5467</v>
      </c>
      <c r="U214">
        <v>0</v>
      </c>
      <c r="V214">
        <v>5467</v>
      </c>
    </row>
    <row r="215" spans="1:22" x14ac:dyDescent="0.3">
      <c r="A215">
        <v>79452</v>
      </c>
      <c r="B215">
        <v>138141854</v>
      </c>
      <c r="C215" t="s">
        <v>1551</v>
      </c>
      <c r="D215" t="s">
        <v>1552</v>
      </c>
      <c r="E215" t="s">
        <v>513</v>
      </c>
      <c r="F215" t="s">
        <v>514</v>
      </c>
      <c r="G215" t="s">
        <v>43</v>
      </c>
      <c r="H215" t="s">
        <v>44</v>
      </c>
      <c r="I215" t="s">
        <v>34</v>
      </c>
      <c r="J215" t="s">
        <v>45</v>
      </c>
      <c r="K215" t="s">
        <v>41</v>
      </c>
      <c r="L215" t="s">
        <v>1553</v>
      </c>
      <c r="M215" t="s">
        <v>1554</v>
      </c>
      <c r="N215" t="s">
        <v>516</v>
      </c>
      <c r="O215" t="s">
        <v>64</v>
      </c>
      <c r="P215" t="s">
        <v>1555</v>
      </c>
      <c r="Q215" t="s">
        <v>49</v>
      </c>
      <c r="R215" t="s">
        <v>642</v>
      </c>
      <c r="S215">
        <v>2.69</v>
      </c>
      <c r="T215">
        <v>3642</v>
      </c>
      <c r="U215">
        <v>0</v>
      </c>
      <c r="V215">
        <v>3642</v>
      </c>
    </row>
    <row r="216" spans="1:22" x14ac:dyDescent="0.3">
      <c r="A216">
        <v>79452</v>
      </c>
      <c r="B216">
        <v>138141824</v>
      </c>
      <c r="C216" t="s">
        <v>1556</v>
      </c>
      <c r="D216" t="s">
        <v>1557</v>
      </c>
      <c r="E216" t="s">
        <v>513</v>
      </c>
      <c r="F216" t="s">
        <v>514</v>
      </c>
      <c r="G216" t="s">
        <v>43</v>
      </c>
      <c r="H216" t="s">
        <v>44</v>
      </c>
      <c r="I216" t="s">
        <v>34</v>
      </c>
      <c r="J216" t="s">
        <v>45</v>
      </c>
      <c r="K216" t="s">
        <v>41</v>
      </c>
      <c r="L216" t="s">
        <v>1558</v>
      </c>
      <c r="M216" t="s">
        <v>471</v>
      </c>
      <c r="N216" t="s">
        <v>516</v>
      </c>
      <c r="O216" t="s">
        <v>64</v>
      </c>
      <c r="P216" t="s">
        <v>675</v>
      </c>
      <c r="Q216" t="s">
        <v>101</v>
      </c>
      <c r="R216" t="s">
        <v>642</v>
      </c>
      <c r="S216">
        <v>0.66</v>
      </c>
      <c r="T216">
        <v>3501</v>
      </c>
      <c r="U216">
        <v>0</v>
      </c>
      <c r="V216">
        <v>3501</v>
      </c>
    </row>
    <row r="217" spans="1:22" x14ac:dyDescent="0.3">
      <c r="A217">
        <v>79452</v>
      </c>
      <c r="B217">
        <v>138141825</v>
      </c>
      <c r="C217" t="s">
        <v>1559</v>
      </c>
      <c r="D217" t="s">
        <v>1560</v>
      </c>
      <c r="E217" t="s">
        <v>513</v>
      </c>
      <c r="F217" t="s">
        <v>514</v>
      </c>
      <c r="G217" t="s">
        <v>43</v>
      </c>
      <c r="H217" t="s">
        <v>44</v>
      </c>
      <c r="I217" t="s">
        <v>34</v>
      </c>
      <c r="J217" t="s">
        <v>45</v>
      </c>
      <c r="K217" t="s">
        <v>41</v>
      </c>
      <c r="L217" t="s">
        <v>1561</v>
      </c>
      <c r="M217" t="s">
        <v>1562</v>
      </c>
      <c r="N217" t="s">
        <v>516</v>
      </c>
      <c r="O217" t="s">
        <v>64</v>
      </c>
      <c r="P217" t="s">
        <v>1563</v>
      </c>
      <c r="Q217" t="s">
        <v>90</v>
      </c>
      <c r="R217" t="s">
        <v>642</v>
      </c>
      <c r="S217">
        <v>1.06</v>
      </c>
      <c r="T217">
        <v>3904</v>
      </c>
      <c r="U217">
        <v>0</v>
      </c>
      <c r="V217">
        <v>3904</v>
      </c>
    </row>
    <row r="218" spans="1:22" x14ac:dyDescent="0.3">
      <c r="A218">
        <v>79452</v>
      </c>
      <c r="B218">
        <v>138141844</v>
      </c>
      <c r="C218" t="s">
        <v>1564</v>
      </c>
      <c r="D218" t="s">
        <v>1565</v>
      </c>
      <c r="E218" t="s">
        <v>513</v>
      </c>
      <c r="F218" t="s">
        <v>514</v>
      </c>
      <c r="G218" t="s">
        <v>43</v>
      </c>
      <c r="H218" t="s">
        <v>44</v>
      </c>
      <c r="I218" t="s">
        <v>34</v>
      </c>
      <c r="J218" t="s">
        <v>45</v>
      </c>
      <c r="K218" t="s">
        <v>54</v>
      </c>
      <c r="L218" t="s">
        <v>55</v>
      </c>
      <c r="M218" t="s">
        <v>1566</v>
      </c>
      <c r="N218" t="s">
        <v>516</v>
      </c>
      <c r="O218" t="s">
        <v>64</v>
      </c>
      <c r="P218" t="s">
        <v>1567</v>
      </c>
      <c r="Q218" t="s">
        <v>108</v>
      </c>
      <c r="R218" t="s">
        <v>642</v>
      </c>
      <c r="S218">
        <v>1.28</v>
      </c>
      <c r="T218">
        <v>3501</v>
      </c>
      <c r="U218">
        <v>0</v>
      </c>
      <c r="V218">
        <v>3501</v>
      </c>
    </row>
    <row r="219" spans="1:22" x14ac:dyDescent="0.3">
      <c r="A219">
        <v>79452</v>
      </c>
      <c r="B219">
        <v>138133074</v>
      </c>
      <c r="C219" t="s">
        <v>1568</v>
      </c>
      <c r="D219" t="s">
        <v>1569</v>
      </c>
      <c r="E219" t="s">
        <v>513</v>
      </c>
      <c r="F219" t="s">
        <v>514</v>
      </c>
      <c r="G219" t="s">
        <v>43</v>
      </c>
      <c r="H219" t="s">
        <v>44</v>
      </c>
      <c r="I219" t="s">
        <v>34</v>
      </c>
      <c r="J219" t="s">
        <v>45</v>
      </c>
      <c r="K219" t="s">
        <v>41</v>
      </c>
      <c r="L219" t="s">
        <v>1570</v>
      </c>
      <c r="M219" t="s">
        <v>1571</v>
      </c>
      <c r="N219" t="s">
        <v>516</v>
      </c>
      <c r="O219" t="s">
        <v>64</v>
      </c>
      <c r="P219" t="s">
        <v>1572</v>
      </c>
      <c r="Q219" t="s">
        <v>53</v>
      </c>
      <c r="R219" t="s">
        <v>1311</v>
      </c>
      <c r="S219">
        <v>0.66</v>
      </c>
      <c r="T219">
        <v>3642</v>
      </c>
      <c r="U219">
        <v>0</v>
      </c>
      <c r="V219">
        <v>3642</v>
      </c>
    </row>
    <row r="220" spans="1:22" x14ac:dyDescent="0.3">
      <c r="A220">
        <v>79452</v>
      </c>
      <c r="B220">
        <v>138141846</v>
      </c>
      <c r="C220" t="s">
        <v>1573</v>
      </c>
      <c r="D220" t="s">
        <v>1574</v>
      </c>
      <c r="E220" t="s">
        <v>513</v>
      </c>
      <c r="F220" t="s">
        <v>514</v>
      </c>
      <c r="G220" t="s">
        <v>43</v>
      </c>
      <c r="H220" t="s">
        <v>44</v>
      </c>
      <c r="I220" t="s">
        <v>34</v>
      </c>
      <c r="J220" t="s">
        <v>45</v>
      </c>
      <c r="K220" t="s">
        <v>41</v>
      </c>
      <c r="L220" t="s">
        <v>1575</v>
      </c>
      <c r="M220" t="s">
        <v>1576</v>
      </c>
      <c r="N220" t="s">
        <v>516</v>
      </c>
      <c r="O220" t="s">
        <v>64</v>
      </c>
      <c r="P220" t="s">
        <v>1577</v>
      </c>
      <c r="Q220" t="s">
        <v>102</v>
      </c>
      <c r="R220" t="s">
        <v>642</v>
      </c>
      <c r="S220">
        <v>1.1000000000000001</v>
      </c>
      <c r="T220">
        <v>3501</v>
      </c>
      <c r="U220">
        <v>0</v>
      </c>
      <c r="V220">
        <v>3501</v>
      </c>
    </row>
    <row r="221" spans="1:22" x14ac:dyDescent="0.3">
      <c r="A221">
        <v>79452</v>
      </c>
      <c r="B221">
        <v>138169017</v>
      </c>
      <c r="C221" t="s">
        <v>1578</v>
      </c>
      <c r="D221" t="s">
        <v>1579</v>
      </c>
      <c r="E221" t="s">
        <v>513</v>
      </c>
      <c r="F221" t="s">
        <v>514</v>
      </c>
      <c r="G221" t="s">
        <v>43</v>
      </c>
      <c r="H221" t="s">
        <v>44</v>
      </c>
      <c r="I221" t="s">
        <v>34</v>
      </c>
      <c r="J221" t="s">
        <v>45</v>
      </c>
      <c r="K221" t="s">
        <v>41</v>
      </c>
      <c r="L221" t="s">
        <v>1580</v>
      </c>
      <c r="M221" t="s">
        <v>1581</v>
      </c>
      <c r="N221" t="s">
        <v>516</v>
      </c>
      <c r="O221" t="s">
        <v>64</v>
      </c>
      <c r="P221" t="s">
        <v>1582</v>
      </c>
      <c r="Q221" t="s">
        <v>112</v>
      </c>
      <c r="R221" t="s">
        <v>1185</v>
      </c>
      <c r="S221">
        <v>1.43</v>
      </c>
      <c r="T221">
        <v>3501</v>
      </c>
      <c r="U221">
        <v>0</v>
      </c>
      <c r="V221">
        <v>3501</v>
      </c>
    </row>
    <row r="222" spans="1:22" x14ac:dyDescent="0.3">
      <c r="A222">
        <v>79452</v>
      </c>
      <c r="B222">
        <v>138188677</v>
      </c>
      <c r="C222" t="s">
        <v>1583</v>
      </c>
      <c r="D222" t="s">
        <v>1584</v>
      </c>
      <c r="E222" t="s">
        <v>513</v>
      </c>
      <c r="F222" t="s">
        <v>514</v>
      </c>
      <c r="G222" t="s">
        <v>43</v>
      </c>
      <c r="H222" t="s">
        <v>44</v>
      </c>
      <c r="I222" t="s">
        <v>34</v>
      </c>
      <c r="J222" t="s">
        <v>45</v>
      </c>
      <c r="K222" t="s">
        <v>41</v>
      </c>
      <c r="L222" t="s">
        <v>1585</v>
      </c>
      <c r="M222" t="s">
        <v>1586</v>
      </c>
      <c r="N222" t="s">
        <v>516</v>
      </c>
      <c r="O222" t="s">
        <v>64</v>
      </c>
      <c r="P222" t="s">
        <v>1587</v>
      </c>
      <c r="Q222" t="s">
        <v>73</v>
      </c>
      <c r="R222" t="s">
        <v>280</v>
      </c>
      <c r="S222">
        <v>1.36</v>
      </c>
      <c r="T222">
        <v>3904</v>
      </c>
      <c r="U222">
        <v>0</v>
      </c>
      <c r="V222">
        <v>3904</v>
      </c>
    </row>
    <row r="223" spans="1:22" x14ac:dyDescent="0.3">
      <c r="A223">
        <v>79452</v>
      </c>
      <c r="B223">
        <v>138169038</v>
      </c>
      <c r="C223" t="s">
        <v>1588</v>
      </c>
      <c r="D223" t="s">
        <v>1589</v>
      </c>
      <c r="E223" t="s">
        <v>513</v>
      </c>
      <c r="F223" t="s">
        <v>514</v>
      </c>
      <c r="G223" t="s">
        <v>43</v>
      </c>
      <c r="H223" t="s">
        <v>44</v>
      </c>
      <c r="I223" t="s">
        <v>34</v>
      </c>
      <c r="J223" t="s">
        <v>45</v>
      </c>
      <c r="K223" t="s">
        <v>41</v>
      </c>
      <c r="L223" t="s">
        <v>1590</v>
      </c>
      <c r="M223" t="s">
        <v>1591</v>
      </c>
      <c r="N223" t="s">
        <v>516</v>
      </c>
      <c r="O223" t="s">
        <v>64</v>
      </c>
      <c r="P223" t="s">
        <v>1592</v>
      </c>
      <c r="Q223" t="s">
        <v>102</v>
      </c>
      <c r="R223" t="s">
        <v>1185</v>
      </c>
      <c r="S223">
        <v>1.0900000000000001</v>
      </c>
      <c r="T223">
        <v>3501</v>
      </c>
      <c r="U223">
        <v>0</v>
      </c>
      <c r="V223">
        <v>3501</v>
      </c>
    </row>
    <row r="224" spans="1:22" x14ac:dyDescent="0.3">
      <c r="A224">
        <v>79452</v>
      </c>
      <c r="B224">
        <v>138169039</v>
      </c>
      <c r="C224" t="s">
        <v>1593</v>
      </c>
      <c r="D224" t="s">
        <v>1594</v>
      </c>
      <c r="E224" t="s">
        <v>513</v>
      </c>
      <c r="F224" t="s">
        <v>514</v>
      </c>
      <c r="G224" t="s">
        <v>43</v>
      </c>
      <c r="H224" t="s">
        <v>44</v>
      </c>
      <c r="I224" t="s">
        <v>34</v>
      </c>
      <c r="J224" t="s">
        <v>45</v>
      </c>
      <c r="K224" t="s">
        <v>41</v>
      </c>
      <c r="L224" t="s">
        <v>1595</v>
      </c>
      <c r="M224" t="s">
        <v>1596</v>
      </c>
      <c r="N224" t="s">
        <v>516</v>
      </c>
      <c r="O224" t="s">
        <v>64</v>
      </c>
      <c r="P224" t="s">
        <v>1597</v>
      </c>
      <c r="Q224" t="s">
        <v>108</v>
      </c>
      <c r="R224" t="s">
        <v>1211</v>
      </c>
      <c r="S224">
        <v>1.32</v>
      </c>
      <c r="T224">
        <v>3501</v>
      </c>
      <c r="U224">
        <v>0</v>
      </c>
      <c r="V224">
        <v>3501</v>
      </c>
    </row>
    <row r="225" spans="1:22" x14ac:dyDescent="0.3">
      <c r="A225">
        <v>79452</v>
      </c>
      <c r="B225">
        <v>138169004</v>
      </c>
      <c r="C225" t="s">
        <v>1598</v>
      </c>
      <c r="D225" t="s">
        <v>1599</v>
      </c>
      <c r="E225" t="s">
        <v>513</v>
      </c>
      <c r="F225" t="s">
        <v>514</v>
      </c>
      <c r="G225" t="s">
        <v>43</v>
      </c>
      <c r="H225" t="s">
        <v>44</v>
      </c>
      <c r="I225" t="s">
        <v>34</v>
      </c>
      <c r="J225" t="s">
        <v>45</v>
      </c>
      <c r="K225" t="s">
        <v>41</v>
      </c>
      <c r="L225" t="s">
        <v>1600</v>
      </c>
      <c r="M225" t="s">
        <v>1601</v>
      </c>
      <c r="N225" t="s">
        <v>516</v>
      </c>
      <c r="O225" t="s">
        <v>64</v>
      </c>
      <c r="P225" t="s">
        <v>1602</v>
      </c>
      <c r="Q225" t="s">
        <v>87</v>
      </c>
      <c r="R225" t="s">
        <v>1185</v>
      </c>
      <c r="S225">
        <v>1.1200000000000001</v>
      </c>
      <c r="T225">
        <v>4025</v>
      </c>
      <c r="U225">
        <v>0</v>
      </c>
      <c r="V225">
        <v>4025</v>
      </c>
    </row>
    <row r="226" spans="1:22" x14ac:dyDescent="0.3">
      <c r="A226">
        <v>79452</v>
      </c>
      <c r="B226">
        <v>138051661</v>
      </c>
      <c r="C226" t="s">
        <v>1603</v>
      </c>
      <c r="D226" t="s">
        <v>1604</v>
      </c>
      <c r="E226" t="s">
        <v>513</v>
      </c>
      <c r="F226" t="s">
        <v>514</v>
      </c>
      <c r="G226" t="s">
        <v>43</v>
      </c>
      <c r="H226" t="s">
        <v>44</v>
      </c>
      <c r="I226" t="s">
        <v>34</v>
      </c>
      <c r="J226" t="s">
        <v>45</v>
      </c>
      <c r="K226" t="s">
        <v>41</v>
      </c>
      <c r="L226" t="s">
        <v>1605</v>
      </c>
      <c r="M226" t="s">
        <v>413</v>
      </c>
      <c r="N226" t="s">
        <v>516</v>
      </c>
      <c r="O226" t="s">
        <v>64</v>
      </c>
      <c r="P226" t="s">
        <v>1606</v>
      </c>
      <c r="Q226" t="s">
        <v>98</v>
      </c>
      <c r="R226" t="s">
        <v>1607</v>
      </c>
      <c r="S226">
        <v>1.34</v>
      </c>
      <c r="T226">
        <v>5990</v>
      </c>
      <c r="U226">
        <v>0</v>
      </c>
      <c r="V226">
        <v>5990</v>
      </c>
    </row>
    <row r="227" spans="1:22" x14ac:dyDescent="0.3">
      <c r="A227">
        <v>79452</v>
      </c>
      <c r="B227">
        <v>137616550</v>
      </c>
      <c r="C227" t="s">
        <v>1608</v>
      </c>
      <c r="D227" t="s">
        <v>1609</v>
      </c>
      <c r="E227" t="s">
        <v>513</v>
      </c>
      <c r="F227" t="s">
        <v>514</v>
      </c>
      <c r="G227" t="s">
        <v>43</v>
      </c>
      <c r="H227" t="s">
        <v>44</v>
      </c>
      <c r="I227" t="s">
        <v>34</v>
      </c>
      <c r="J227" t="s">
        <v>45</v>
      </c>
      <c r="K227" t="s">
        <v>41</v>
      </c>
      <c r="L227" t="s">
        <v>1610</v>
      </c>
      <c r="M227" t="s">
        <v>1611</v>
      </c>
      <c r="N227" t="s">
        <v>516</v>
      </c>
      <c r="O227" t="s">
        <v>64</v>
      </c>
      <c r="P227" t="s">
        <v>1612</v>
      </c>
      <c r="Q227" t="s">
        <v>68</v>
      </c>
      <c r="R227" t="s">
        <v>1613</v>
      </c>
      <c r="S227">
        <v>1.21</v>
      </c>
      <c r="T227">
        <v>5759</v>
      </c>
      <c r="U227">
        <v>0</v>
      </c>
      <c r="V227">
        <v>5759</v>
      </c>
    </row>
    <row r="228" spans="1:22" x14ac:dyDescent="0.3">
      <c r="A228">
        <v>79452</v>
      </c>
      <c r="B228">
        <v>138070576</v>
      </c>
      <c r="C228" t="s">
        <v>1614</v>
      </c>
      <c r="D228" t="s">
        <v>1615</v>
      </c>
      <c r="E228" t="s">
        <v>513</v>
      </c>
      <c r="F228" t="s">
        <v>514</v>
      </c>
      <c r="G228" t="s">
        <v>43</v>
      </c>
      <c r="H228" t="s">
        <v>44</v>
      </c>
      <c r="I228" t="s">
        <v>34</v>
      </c>
      <c r="J228" t="s">
        <v>45</v>
      </c>
      <c r="K228" t="s">
        <v>41</v>
      </c>
      <c r="L228" t="s">
        <v>1616</v>
      </c>
      <c r="M228" t="s">
        <v>1617</v>
      </c>
      <c r="N228" t="s">
        <v>516</v>
      </c>
      <c r="O228" t="s">
        <v>64</v>
      </c>
      <c r="P228" t="s">
        <v>1618</v>
      </c>
      <c r="Q228" t="s">
        <v>125</v>
      </c>
      <c r="R228" t="s">
        <v>1619</v>
      </c>
      <c r="S228">
        <v>1.82</v>
      </c>
      <c r="T228">
        <v>4230</v>
      </c>
      <c r="U228">
        <v>0</v>
      </c>
      <c r="V228">
        <v>4230</v>
      </c>
    </row>
    <row r="229" spans="1:22" x14ac:dyDescent="0.3">
      <c r="A229">
        <v>79452</v>
      </c>
      <c r="B229">
        <v>138112999</v>
      </c>
      <c r="C229" t="s">
        <v>1620</v>
      </c>
      <c r="D229" t="s">
        <v>1621</v>
      </c>
      <c r="E229" t="s">
        <v>513</v>
      </c>
      <c r="F229" t="s">
        <v>514</v>
      </c>
      <c r="G229" t="s">
        <v>43</v>
      </c>
      <c r="H229" t="s">
        <v>44</v>
      </c>
      <c r="I229" t="s">
        <v>34</v>
      </c>
      <c r="J229" t="s">
        <v>45</v>
      </c>
      <c r="K229" t="s">
        <v>41</v>
      </c>
      <c r="L229" t="s">
        <v>1622</v>
      </c>
      <c r="M229" t="s">
        <v>1623</v>
      </c>
      <c r="N229" t="s">
        <v>516</v>
      </c>
      <c r="O229" t="s">
        <v>64</v>
      </c>
      <c r="P229" t="s">
        <v>1624</v>
      </c>
      <c r="Q229" t="s">
        <v>50</v>
      </c>
      <c r="R229" t="s">
        <v>299</v>
      </c>
      <c r="S229">
        <v>1.28</v>
      </c>
      <c r="T229">
        <v>5406</v>
      </c>
      <c r="U229">
        <v>0</v>
      </c>
      <c r="V229">
        <v>5406</v>
      </c>
    </row>
    <row r="230" spans="1:22" x14ac:dyDescent="0.3">
      <c r="A230">
        <v>79452</v>
      </c>
      <c r="B230">
        <v>138070626</v>
      </c>
      <c r="C230" t="s">
        <v>1625</v>
      </c>
      <c r="D230" t="s">
        <v>1626</v>
      </c>
      <c r="E230" t="s">
        <v>513</v>
      </c>
      <c r="F230" t="s">
        <v>514</v>
      </c>
      <c r="G230" t="s">
        <v>43</v>
      </c>
      <c r="H230" t="s">
        <v>44</v>
      </c>
      <c r="I230" t="s">
        <v>34</v>
      </c>
      <c r="J230" t="s">
        <v>45</v>
      </c>
      <c r="K230" t="s">
        <v>41</v>
      </c>
      <c r="L230" t="s">
        <v>1627</v>
      </c>
      <c r="M230" t="s">
        <v>1628</v>
      </c>
      <c r="N230" t="s">
        <v>516</v>
      </c>
      <c r="O230" t="s">
        <v>64</v>
      </c>
      <c r="P230" t="s">
        <v>1629</v>
      </c>
      <c r="Q230" t="s">
        <v>50</v>
      </c>
      <c r="R230" t="s">
        <v>320</v>
      </c>
      <c r="S230">
        <v>1.04</v>
      </c>
      <c r="T230">
        <v>5406</v>
      </c>
      <c r="U230">
        <v>0</v>
      </c>
      <c r="V230">
        <v>5406</v>
      </c>
    </row>
    <row r="231" spans="1:22" x14ac:dyDescent="0.3">
      <c r="A231">
        <v>79452</v>
      </c>
      <c r="B231">
        <v>138096010</v>
      </c>
      <c r="C231" t="s">
        <v>1630</v>
      </c>
      <c r="D231" t="s">
        <v>1631</v>
      </c>
      <c r="E231" t="s">
        <v>513</v>
      </c>
      <c r="F231" t="s">
        <v>514</v>
      </c>
      <c r="G231" t="s">
        <v>43</v>
      </c>
      <c r="H231" t="s">
        <v>44</v>
      </c>
      <c r="I231" t="s">
        <v>34</v>
      </c>
      <c r="J231" t="s">
        <v>45</v>
      </c>
      <c r="K231" t="s">
        <v>41</v>
      </c>
      <c r="L231" t="s">
        <v>1632</v>
      </c>
      <c r="M231" t="s">
        <v>1633</v>
      </c>
      <c r="N231" t="s">
        <v>516</v>
      </c>
      <c r="O231" t="s">
        <v>64</v>
      </c>
      <c r="P231" t="s">
        <v>1634</v>
      </c>
      <c r="Q231" t="s">
        <v>106</v>
      </c>
      <c r="R231" t="s">
        <v>478</v>
      </c>
      <c r="S231">
        <v>1.04</v>
      </c>
      <c r="T231">
        <v>4025</v>
      </c>
      <c r="U231">
        <v>0</v>
      </c>
      <c r="V231">
        <v>4025</v>
      </c>
    </row>
    <row r="232" spans="1:22" x14ac:dyDescent="0.3">
      <c r="A232">
        <v>79452</v>
      </c>
      <c r="B232">
        <v>138027974</v>
      </c>
      <c r="C232" t="s">
        <v>1635</v>
      </c>
      <c r="D232" t="s">
        <v>1636</v>
      </c>
      <c r="E232" t="s">
        <v>513</v>
      </c>
      <c r="F232" t="s">
        <v>514</v>
      </c>
      <c r="G232" t="s">
        <v>43</v>
      </c>
      <c r="H232" t="s">
        <v>44</v>
      </c>
      <c r="I232" t="s">
        <v>34</v>
      </c>
      <c r="J232" t="s">
        <v>45</v>
      </c>
      <c r="K232" t="s">
        <v>41</v>
      </c>
      <c r="L232" t="s">
        <v>1637</v>
      </c>
      <c r="M232" t="s">
        <v>1638</v>
      </c>
      <c r="N232" t="s">
        <v>516</v>
      </c>
      <c r="O232" t="s">
        <v>64</v>
      </c>
      <c r="P232" t="s">
        <v>1639</v>
      </c>
      <c r="Q232" t="s">
        <v>193</v>
      </c>
      <c r="R232" t="s">
        <v>277</v>
      </c>
      <c r="S232">
        <v>1.29</v>
      </c>
      <c r="T232">
        <v>3936</v>
      </c>
      <c r="U232">
        <v>0</v>
      </c>
      <c r="V232">
        <v>3936</v>
      </c>
    </row>
    <row r="233" spans="1:22" x14ac:dyDescent="0.3">
      <c r="A233">
        <v>79452</v>
      </c>
      <c r="B233">
        <v>138008937</v>
      </c>
      <c r="C233" t="s">
        <v>1640</v>
      </c>
      <c r="D233" t="s">
        <v>1641</v>
      </c>
      <c r="E233" t="s">
        <v>513</v>
      </c>
      <c r="F233" t="s">
        <v>514</v>
      </c>
      <c r="G233" t="s">
        <v>43</v>
      </c>
      <c r="H233" t="s">
        <v>44</v>
      </c>
      <c r="I233" t="s">
        <v>34</v>
      </c>
      <c r="J233" t="s">
        <v>45</v>
      </c>
      <c r="K233" t="s">
        <v>41</v>
      </c>
      <c r="L233" t="s">
        <v>1642</v>
      </c>
      <c r="M233" t="s">
        <v>1643</v>
      </c>
      <c r="N233" t="s">
        <v>516</v>
      </c>
      <c r="O233" t="s">
        <v>64</v>
      </c>
      <c r="P233" t="s">
        <v>1644</v>
      </c>
      <c r="Q233" t="s">
        <v>50</v>
      </c>
      <c r="R233" t="s">
        <v>1645</v>
      </c>
      <c r="S233">
        <v>1.19</v>
      </c>
      <c r="T233">
        <v>5406</v>
      </c>
      <c r="U233">
        <v>0</v>
      </c>
      <c r="V233">
        <v>5406</v>
      </c>
    </row>
    <row r="234" spans="1:22" x14ac:dyDescent="0.3">
      <c r="A234">
        <v>79452</v>
      </c>
      <c r="B234">
        <v>138112991</v>
      </c>
      <c r="C234" t="s">
        <v>1646</v>
      </c>
      <c r="D234" t="s">
        <v>1647</v>
      </c>
      <c r="E234" t="s">
        <v>513</v>
      </c>
      <c r="F234" t="s">
        <v>514</v>
      </c>
      <c r="G234" t="s">
        <v>43</v>
      </c>
      <c r="H234" t="s">
        <v>44</v>
      </c>
      <c r="I234" t="s">
        <v>34</v>
      </c>
      <c r="J234" t="s">
        <v>45</v>
      </c>
      <c r="K234" t="s">
        <v>41</v>
      </c>
      <c r="L234" t="s">
        <v>1648</v>
      </c>
      <c r="M234" t="s">
        <v>1649</v>
      </c>
      <c r="N234" t="s">
        <v>516</v>
      </c>
      <c r="O234" t="s">
        <v>64</v>
      </c>
      <c r="P234" t="s">
        <v>1650</v>
      </c>
      <c r="Q234" t="s">
        <v>90</v>
      </c>
      <c r="R234" t="s">
        <v>299</v>
      </c>
      <c r="S234">
        <v>1.27</v>
      </c>
      <c r="T234">
        <v>3904</v>
      </c>
      <c r="U234">
        <v>0</v>
      </c>
      <c r="V234">
        <v>3904</v>
      </c>
    </row>
    <row r="235" spans="1:22" x14ac:dyDescent="0.3">
      <c r="A235">
        <v>79452</v>
      </c>
      <c r="B235">
        <v>138113018</v>
      </c>
      <c r="C235" t="s">
        <v>1651</v>
      </c>
      <c r="D235" t="s">
        <v>1652</v>
      </c>
      <c r="E235" t="s">
        <v>513</v>
      </c>
      <c r="F235" t="s">
        <v>514</v>
      </c>
      <c r="G235" t="s">
        <v>43</v>
      </c>
      <c r="H235" t="s">
        <v>44</v>
      </c>
      <c r="I235" t="s">
        <v>34</v>
      </c>
      <c r="J235" t="s">
        <v>45</v>
      </c>
      <c r="K235" t="s">
        <v>41</v>
      </c>
      <c r="L235" t="s">
        <v>1653</v>
      </c>
      <c r="M235" t="s">
        <v>1654</v>
      </c>
      <c r="N235" t="s">
        <v>516</v>
      </c>
      <c r="O235" t="s">
        <v>64</v>
      </c>
      <c r="P235" t="s">
        <v>1655</v>
      </c>
      <c r="Q235" t="s">
        <v>46</v>
      </c>
      <c r="R235" t="s">
        <v>299</v>
      </c>
      <c r="S235">
        <v>0.88</v>
      </c>
      <c r="T235">
        <v>3501</v>
      </c>
      <c r="U235">
        <v>0</v>
      </c>
      <c r="V235">
        <v>3501</v>
      </c>
    </row>
    <row r="236" spans="1:22" x14ac:dyDescent="0.3">
      <c r="A236">
        <v>79452</v>
      </c>
      <c r="B236">
        <v>138096023</v>
      </c>
      <c r="C236" t="s">
        <v>1656</v>
      </c>
      <c r="D236" t="s">
        <v>1657</v>
      </c>
      <c r="E236" t="s">
        <v>513</v>
      </c>
      <c r="F236" t="s">
        <v>514</v>
      </c>
      <c r="G236" t="s">
        <v>43</v>
      </c>
      <c r="H236" t="s">
        <v>44</v>
      </c>
      <c r="I236" t="s">
        <v>34</v>
      </c>
      <c r="J236" t="s">
        <v>45</v>
      </c>
      <c r="K236" t="s">
        <v>41</v>
      </c>
      <c r="L236" t="s">
        <v>1658</v>
      </c>
      <c r="M236" t="s">
        <v>1659</v>
      </c>
      <c r="N236" t="s">
        <v>516</v>
      </c>
      <c r="O236" t="s">
        <v>64</v>
      </c>
      <c r="P236" t="s">
        <v>1660</v>
      </c>
      <c r="Q236" t="s">
        <v>42</v>
      </c>
      <c r="R236" t="s">
        <v>478</v>
      </c>
      <c r="S236">
        <v>0.86</v>
      </c>
      <c r="T236">
        <v>3936</v>
      </c>
      <c r="U236">
        <v>0</v>
      </c>
      <c r="V236">
        <v>3936</v>
      </c>
    </row>
    <row r="237" spans="1:22" x14ac:dyDescent="0.3">
      <c r="A237">
        <v>79452</v>
      </c>
      <c r="B237">
        <v>138122939</v>
      </c>
      <c r="C237" t="s">
        <v>1661</v>
      </c>
      <c r="D237" t="s">
        <v>1662</v>
      </c>
      <c r="E237" t="s">
        <v>513</v>
      </c>
      <c r="F237" t="s">
        <v>514</v>
      </c>
      <c r="G237" t="s">
        <v>43</v>
      </c>
      <c r="H237" t="s">
        <v>44</v>
      </c>
      <c r="I237" t="s">
        <v>34</v>
      </c>
      <c r="J237" t="s">
        <v>45</v>
      </c>
      <c r="K237" t="s">
        <v>41</v>
      </c>
      <c r="L237" t="s">
        <v>1663</v>
      </c>
      <c r="M237" t="s">
        <v>1664</v>
      </c>
      <c r="N237" t="s">
        <v>516</v>
      </c>
      <c r="O237" t="s">
        <v>64</v>
      </c>
      <c r="P237" t="s">
        <v>1665</v>
      </c>
      <c r="Q237" t="s">
        <v>58</v>
      </c>
      <c r="R237" t="s">
        <v>1666</v>
      </c>
      <c r="S237">
        <v>1.18</v>
      </c>
      <c r="T237">
        <v>3501</v>
      </c>
      <c r="U237">
        <v>0</v>
      </c>
      <c r="V237">
        <v>3501</v>
      </c>
    </row>
    <row r="238" spans="1:22" x14ac:dyDescent="0.3">
      <c r="A238">
        <v>79452</v>
      </c>
      <c r="B238">
        <v>138027958</v>
      </c>
      <c r="C238" t="s">
        <v>1667</v>
      </c>
      <c r="D238" t="s">
        <v>1668</v>
      </c>
      <c r="E238" t="s">
        <v>513</v>
      </c>
      <c r="F238" t="s">
        <v>514</v>
      </c>
      <c r="G238" t="s">
        <v>43</v>
      </c>
      <c r="H238" t="s">
        <v>44</v>
      </c>
      <c r="I238" t="s">
        <v>34</v>
      </c>
      <c r="J238" t="s">
        <v>45</v>
      </c>
      <c r="K238" t="s">
        <v>41</v>
      </c>
      <c r="L238" t="s">
        <v>1669</v>
      </c>
      <c r="M238" t="s">
        <v>1670</v>
      </c>
      <c r="N238" t="s">
        <v>516</v>
      </c>
      <c r="O238" t="s">
        <v>64</v>
      </c>
      <c r="P238" t="s">
        <v>1671</v>
      </c>
      <c r="Q238" t="s">
        <v>111</v>
      </c>
      <c r="R238" t="s">
        <v>277</v>
      </c>
      <c r="S238">
        <v>0.95</v>
      </c>
      <c r="T238">
        <v>5696</v>
      </c>
      <c r="U238">
        <v>0</v>
      </c>
      <c r="V238">
        <v>5696</v>
      </c>
    </row>
    <row r="239" spans="1:22" x14ac:dyDescent="0.3">
      <c r="A239">
        <v>79452</v>
      </c>
      <c r="B239">
        <v>138112983</v>
      </c>
      <c r="C239" t="s">
        <v>1672</v>
      </c>
      <c r="D239" t="s">
        <v>1673</v>
      </c>
      <c r="E239" t="s">
        <v>513</v>
      </c>
      <c r="F239" t="s">
        <v>514</v>
      </c>
      <c r="G239" t="s">
        <v>43</v>
      </c>
      <c r="H239" t="s">
        <v>44</v>
      </c>
      <c r="I239" t="s">
        <v>34</v>
      </c>
      <c r="J239" t="s">
        <v>45</v>
      </c>
      <c r="K239" t="s">
        <v>41</v>
      </c>
      <c r="L239" t="s">
        <v>1674</v>
      </c>
      <c r="M239" t="s">
        <v>1163</v>
      </c>
      <c r="N239" t="s">
        <v>516</v>
      </c>
      <c r="O239" t="s">
        <v>64</v>
      </c>
      <c r="P239" t="s">
        <v>1164</v>
      </c>
      <c r="Q239" t="s">
        <v>108</v>
      </c>
      <c r="R239" t="s">
        <v>299</v>
      </c>
      <c r="S239">
        <v>0.69</v>
      </c>
      <c r="T239">
        <v>3501</v>
      </c>
      <c r="U239">
        <v>0</v>
      </c>
      <c r="V239">
        <v>3501</v>
      </c>
    </row>
    <row r="240" spans="1:22" x14ac:dyDescent="0.3">
      <c r="A240">
        <v>79452</v>
      </c>
      <c r="B240">
        <v>138096003</v>
      </c>
      <c r="C240" t="s">
        <v>1675</v>
      </c>
      <c r="D240" t="s">
        <v>1676</v>
      </c>
      <c r="E240" t="s">
        <v>513</v>
      </c>
      <c r="F240" t="s">
        <v>514</v>
      </c>
      <c r="G240" t="s">
        <v>43</v>
      </c>
      <c r="H240" t="s">
        <v>44</v>
      </c>
      <c r="I240" t="s">
        <v>34</v>
      </c>
      <c r="J240" t="s">
        <v>45</v>
      </c>
      <c r="K240" t="s">
        <v>41</v>
      </c>
      <c r="L240" t="s">
        <v>1677</v>
      </c>
      <c r="M240" t="s">
        <v>1678</v>
      </c>
      <c r="N240" t="s">
        <v>516</v>
      </c>
      <c r="O240" t="s">
        <v>64</v>
      </c>
      <c r="P240" t="s">
        <v>1679</v>
      </c>
      <c r="Q240" t="s">
        <v>90</v>
      </c>
      <c r="R240" t="s">
        <v>478</v>
      </c>
      <c r="S240">
        <v>1.29</v>
      </c>
      <c r="T240">
        <v>3904</v>
      </c>
      <c r="U240">
        <v>0</v>
      </c>
      <c r="V240">
        <v>3904</v>
      </c>
    </row>
    <row r="241" spans="1:22" x14ac:dyDescent="0.3">
      <c r="A241">
        <v>79452</v>
      </c>
      <c r="B241">
        <v>138070571</v>
      </c>
      <c r="C241" t="s">
        <v>1680</v>
      </c>
      <c r="D241" t="s">
        <v>1681</v>
      </c>
      <c r="E241" t="s">
        <v>513</v>
      </c>
      <c r="F241" t="s">
        <v>514</v>
      </c>
      <c r="G241" t="s">
        <v>43</v>
      </c>
      <c r="H241" t="s">
        <v>44</v>
      </c>
      <c r="I241" t="s">
        <v>34</v>
      </c>
      <c r="J241" t="s">
        <v>45</v>
      </c>
      <c r="K241" t="s">
        <v>41</v>
      </c>
      <c r="L241" t="s">
        <v>1682</v>
      </c>
      <c r="M241" t="s">
        <v>1683</v>
      </c>
      <c r="N241" t="s">
        <v>516</v>
      </c>
      <c r="O241" t="s">
        <v>64</v>
      </c>
      <c r="P241" t="s">
        <v>1684</v>
      </c>
      <c r="Q241" t="s">
        <v>111</v>
      </c>
      <c r="R241" t="s">
        <v>1619</v>
      </c>
      <c r="S241">
        <v>1</v>
      </c>
      <c r="T241">
        <v>5696</v>
      </c>
      <c r="U241">
        <v>0</v>
      </c>
      <c r="V241">
        <v>5696</v>
      </c>
    </row>
    <row r="242" spans="1:22" x14ac:dyDescent="0.3">
      <c r="A242">
        <v>79452</v>
      </c>
      <c r="B242">
        <v>138112984</v>
      </c>
      <c r="C242" t="s">
        <v>1685</v>
      </c>
      <c r="D242" t="s">
        <v>1686</v>
      </c>
      <c r="E242" t="s">
        <v>513</v>
      </c>
      <c r="F242" t="s">
        <v>514</v>
      </c>
      <c r="G242" t="s">
        <v>43</v>
      </c>
      <c r="H242" t="s">
        <v>44</v>
      </c>
      <c r="I242" t="s">
        <v>34</v>
      </c>
      <c r="J242" t="s">
        <v>45</v>
      </c>
      <c r="K242" t="s">
        <v>41</v>
      </c>
      <c r="L242" t="s">
        <v>1687</v>
      </c>
      <c r="M242" t="s">
        <v>1688</v>
      </c>
      <c r="N242" t="s">
        <v>516</v>
      </c>
      <c r="O242" t="s">
        <v>64</v>
      </c>
      <c r="P242" t="s">
        <v>1689</v>
      </c>
      <c r="Q242" t="s">
        <v>62</v>
      </c>
      <c r="R242" t="s">
        <v>299</v>
      </c>
      <c r="S242">
        <v>1.23</v>
      </c>
      <c r="T242">
        <v>3936</v>
      </c>
      <c r="U242">
        <v>0</v>
      </c>
      <c r="V242">
        <v>3936</v>
      </c>
    </row>
    <row r="243" spans="1:22" x14ac:dyDescent="0.3">
      <c r="A243">
        <v>79452</v>
      </c>
      <c r="B243">
        <v>138051649</v>
      </c>
      <c r="C243" t="s">
        <v>1690</v>
      </c>
      <c r="D243" t="s">
        <v>1691</v>
      </c>
      <c r="E243" t="s">
        <v>513</v>
      </c>
      <c r="F243" t="s">
        <v>514</v>
      </c>
      <c r="G243" t="s">
        <v>43</v>
      </c>
      <c r="H243" t="s">
        <v>44</v>
      </c>
      <c r="I243" t="s">
        <v>34</v>
      </c>
      <c r="J243" t="s">
        <v>45</v>
      </c>
      <c r="K243" t="s">
        <v>41</v>
      </c>
      <c r="L243" t="s">
        <v>1692</v>
      </c>
      <c r="M243" t="s">
        <v>1693</v>
      </c>
      <c r="N243" t="s">
        <v>516</v>
      </c>
      <c r="O243" t="s">
        <v>64</v>
      </c>
      <c r="P243" t="s">
        <v>1694</v>
      </c>
      <c r="Q243" t="s">
        <v>50</v>
      </c>
      <c r="R243" t="s">
        <v>1695</v>
      </c>
      <c r="S243">
        <v>1.19</v>
      </c>
      <c r="T243">
        <v>5406</v>
      </c>
      <c r="U243">
        <v>0</v>
      </c>
      <c r="V243">
        <v>5406</v>
      </c>
    </row>
    <row r="244" spans="1:22" x14ac:dyDescent="0.3">
      <c r="A244">
        <v>79452</v>
      </c>
      <c r="B244">
        <v>138096019</v>
      </c>
      <c r="C244" t="s">
        <v>1696</v>
      </c>
      <c r="D244" t="s">
        <v>1697</v>
      </c>
      <c r="E244" t="s">
        <v>513</v>
      </c>
      <c r="F244" t="s">
        <v>514</v>
      </c>
      <c r="G244" t="s">
        <v>43</v>
      </c>
      <c r="H244" t="s">
        <v>44</v>
      </c>
      <c r="I244" t="s">
        <v>34</v>
      </c>
      <c r="J244" t="s">
        <v>45</v>
      </c>
      <c r="K244" t="s">
        <v>41</v>
      </c>
      <c r="L244" t="s">
        <v>1698</v>
      </c>
      <c r="M244" t="s">
        <v>1699</v>
      </c>
      <c r="N244" t="s">
        <v>516</v>
      </c>
      <c r="O244" t="s">
        <v>64</v>
      </c>
      <c r="P244" t="s">
        <v>1700</v>
      </c>
      <c r="Q244" t="s">
        <v>46</v>
      </c>
      <c r="R244" t="s">
        <v>478</v>
      </c>
      <c r="S244">
        <v>1.1299999999999999</v>
      </c>
      <c r="T244">
        <v>3501</v>
      </c>
      <c r="U244">
        <v>0</v>
      </c>
      <c r="V244">
        <v>3501</v>
      </c>
    </row>
    <row r="245" spans="1:22" x14ac:dyDescent="0.3">
      <c r="A245">
        <v>79452</v>
      </c>
      <c r="B245">
        <v>138070618</v>
      </c>
      <c r="C245" t="s">
        <v>1701</v>
      </c>
      <c r="D245" t="s">
        <v>1702</v>
      </c>
      <c r="E245" t="s">
        <v>513</v>
      </c>
      <c r="F245" t="s">
        <v>514</v>
      </c>
      <c r="G245" t="s">
        <v>43</v>
      </c>
      <c r="H245" t="s">
        <v>44</v>
      </c>
      <c r="I245" t="s">
        <v>34</v>
      </c>
      <c r="J245" t="s">
        <v>45</v>
      </c>
      <c r="K245" t="s">
        <v>41</v>
      </c>
      <c r="L245" t="s">
        <v>1703</v>
      </c>
      <c r="M245" t="s">
        <v>1704</v>
      </c>
      <c r="N245" t="s">
        <v>516</v>
      </c>
      <c r="O245" t="s">
        <v>64</v>
      </c>
      <c r="P245" t="s">
        <v>1705</v>
      </c>
      <c r="Q245" t="s">
        <v>62</v>
      </c>
      <c r="R245" t="s">
        <v>320</v>
      </c>
      <c r="S245">
        <v>1.57</v>
      </c>
      <c r="T245">
        <v>3936</v>
      </c>
      <c r="U245">
        <v>0</v>
      </c>
      <c r="V245">
        <v>3936</v>
      </c>
    </row>
    <row r="246" spans="1:22" x14ac:dyDescent="0.3">
      <c r="A246">
        <v>79452</v>
      </c>
      <c r="B246">
        <v>138028002</v>
      </c>
      <c r="C246" t="s">
        <v>1706</v>
      </c>
      <c r="D246" t="s">
        <v>1707</v>
      </c>
      <c r="E246" t="s">
        <v>513</v>
      </c>
      <c r="F246" t="s">
        <v>514</v>
      </c>
      <c r="G246" t="s">
        <v>43</v>
      </c>
      <c r="H246" t="s">
        <v>44</v>
      </c>
      <c r="I246" t="s">
        <v>34</v>
      </c>
      <c r="J246" t="s">
        <v>45</v>
      </c>
      <c r="K246" t="s">
        <v>41</v>
      </c>
      <c r="L246" t="s">
        <v>1708</v>
      </c>
      <c r="M246" t="s">
        <v>1709</v>
      </c>
      <c r="N246" t="s">
        <v>516</v>
      </c>
      <c r="O246" t="s">
        <v>64</v>
      </c>
      <c r="P246" t="s">
        <v>1710</v>
      </c>
      <c r="Q246" t="s">
        <v>90</v>
      </c>
      <c r="R246" t="s">
        <v>377</v>
      </c>
      <c r="S246">
        <v>2.84</v>
      </c>
      <c r="T246">
        <v>3904</v>
      </c>
      <c r="U246">
        <v>0</v>
      </c>
      <c r="V246">
        <v>3904</v>
      </c>
    </row>
    <row r="247" spans="1:22" x14ac:dyDescent="0.3">
      <c r="A247">
        <v>79452</v>
      </c>
      <c r="B247">
        <v>138027955</v>
      </c>
      <c r="C247" t="s">
        <v>1711</v>
      </c>
      <c r="D247" t="s">
        <v>1712</v>
      </c>
      <c r="E247" t="s">
        <v>513</v>
      </c>
      <c r="F247" t="s">
        <v>514</v>
      </c>
      <c r="G247" t="s">
        <v>43</v>
      </c>
      <c r="H247" t="s">
        <v>44</v>
      </c>
      <c r="I247" t="s">
        <v>34</v>
      </c>
      <c r="J247" t="s">
        <v>45</v>
      </c>
      <c r="K247" t="s">
        <v>41</v>
      </c>
      <c r="L247" t="s">
        <v>1713</v>
      </c>
      <c r="M247" t="s">
        <v>447</v>
      </c>
      <c r="N247" t="s">
        <v>516</v>
      </c>
      <c r="O247" t="s">
        <v>64</v>
      </c>
      <c r="P247" t="s">
        <v>1714</v>
      </c>
      <c r="Q247" t="s">
        <v>61</v>
      </c>
      <c r="R247" t="s">
        <v>277</v>
      </c>
      <c r="S247">
        <v>1</v>
      </c>
      <c r="T247">
        <v>3501</v>
      </c>
      <c r="U247">
        <v>0</v>
      </c>
      <c r="V247">
        <v>3501</v>
      </c>
    </row>
    <row r="248" spans="1:22" x14ac:dyDescent="0.3">
      <c r="A248">
        <v>79452</v>
      </c>
      <c r="B248">
        <v>138070619</v>
      </c>
      <c r="C248" t="s">
        <v>1715</v>
      </c>
      <c r="D248" t="s">
        <v>1716</v>
      </c>
      <c r="E248" t="s">
        <v>513</v>
      </c>
      <c r="F248" t="s">
        <v>514</v>
      </c>
      <c r="G248" t="s">
        <v>43</v>
      </c>
      <c r="H248" t="s">
        <v>44</v>
      </c>
      <c r="I248" t="s">
        <v>34</v>
      </c>
      <c r="J248" t="s">
        <v>45</v>
      </c>
      <c r="K248" t="s">
        <v>41</v>
      </c>
      <c r="L248" t="s">
        <v>1717</v>
      </c>
      <c r="M248" t="s">
        <v>1718</v>
      </c>
      <c r="N248" t="s">
        <v>516</v>
      </c>
      <c r="O248" t="s">
        <v>64</v>
      </c>
      <c r="P248" t="s">
        <v>1719</v>
      </c>
      <c r="Q248" t="s">
        <v>62</v>
      </c>
      <c r="R248" t="s">
        <v>320</v>
      </c>
      <c r="S248">
        <v>0.81</v>
      </c>
      <c r="T248">
        <v>3936</v>
      </c>
      <c r="U248">
        <v>0</v>
      </c>
      <c r="V248">
        <v>3936</v>
      </c>
    </row>
    <row r="249" spans="1:22" x14ac:dyDescent="0.3">
      <c r="A249">
        <v>79452</v>
      </c>
      <c r="B249">
        <v>138070629</v>
      </c>
      <c r="C249" t="s">
        <v>1720</v>
      </c>
      <c r="D249" t="s">
        <v>1721</v>
      </c>
      <c r="E249" t="s">
        <v>513</v>
      </c>
      <c r="F249" t="s">
        <v>514</v>
      </c>
      <c r="G249" t="s">
        <v>43</v>
      </c>
      <c r="H249" t="s">
        <v>44</v>
      </c>
      <c r="I249" t="s">
        <v>34</v>
      </c>
      <c r="J249" t="s">
        <v>45</v>
      </c>
      <c r="K249" t="s">
        <v>41</v>
      </c>
      <c r="L249" t="s">
        <v>1722</v>
      </c>
      <c r="M249" t="s">
        <v>1723</v>
      </c>
      <c r="N249" t="s">
        <v>516</v>
      </c>
      <c r="O249" t="s">
        <v>64</v>
      </c>
      <c r="P249" t="s">
        <v>1724</v>
      </c>
      <c r="Q249" t="s">
        <v>125</v>
      </c>
      <c r="R249" t="s">
        <v>320</v>
      </c>
      <c r="S249">
        <v>0.99</v>
      </c>
      <c r="T249">
        <v>4230</v>
      </c>
      <c r="U249">
        <v>0</v>
      </c>
      <c r="V249">
        <v>4230</v>
      </c>
    </row>
    <row r="250" spans="1:22" x14ac:dyDescent="0.3">
      <c r="A250">
        <v>79452</v>
      </c>
      <c r="B250">
        <v>138008936</v>
      </c>
      <c r="C250" t="s">
        <v>1725</v>
      </c>
      <c r="D250" t="s">
        <v>1726</v>
      </c>
      <c r="E250" t="s">
        <v>513</v>
      </c>
      <c r="F250" t="s">
        <v>514</v>
      </c>
      <c r="G250" t="s">
        <v>43</v>
      </c>
      <c r="H250" t="s">
        <v>44</v>
      </c>
      <c r="I250" t="s">
        <v>34</v>
      </c>
      <c r="J250" t="s">
        <v>45</v>
      </c>
      <c r="K250" t="s">
        <v>41</v>
      </c>
      <c r="L250" t="s">
        <v>1727</v>
      </c>
      <c r="M250" t="s">
        <v>1728</v>
      </c>
      <c r="N250" t="s">
        <v>516</v>
      </c>
      <c r="O250" t="s">
        <v>64</v>
      </c>
      <c r="P250" t="s">
        <v>1729</v>
      </c>
      <c r="Q250" t="s">
        <v>108</v>
      </c>
      <c r="R250" t="s">
        <v>1645</v>
      </c>
      <c r="S250">
        <v>2.4300000000000002</v>
      </c>
      <c r="T250">
        <v>3501</v>
      </c>
      <c r="U250">
        <v>0</v>
      </c>
      <c r="V250">
        <v>3501</v>
      </c>
    </row>
    <row r="251" spans="1:22" x14ac:dyDescent="0.3">
      <c r="A251">
        <v>79452</v>
      </c>
      <c r="B251">
        <v>138070627</v>
      </c>
      <c r="C251" t="s">
        <v>1730</v>
      </c>
      <c r="D251" t="s">
        <v>1731</v>
      </c>
      <c r="E251" t="s">
        <v>513</v>
      </c>
      <c r="F251" t="s">
        <v>514</v>
      </c>
      <c r="G251" t="s">
        <v>43</v>
      </c>
      <c r="H251" t="s">
        <v>44</v>
      </c>
      <c r="I251" t="s">
        <v>34</v>
      </c>
      <c r="J251" t="s">
        <v>45</v>
      </c>
      <c r="K251" t="s">
        <v>41</v>
      </c>
      <c r="L251" t="s">
        <v>1732</v>
      </c>
      <c r="M251" t="s">
        <v>1733</v>
      </c>
      <c r="N251" t="s">
        <v>516</v>
      </c>
      <c r="O251" t="s">
        <v>64</v>
      </c>
      <c r="P251" t="s">
        <v>1734</v>
      </c>
      <c r="Q251" t="s">
        <v>97</v>
      </c>
      <c r="R251" t="s">
        <v>320</v>
      </c>
      <c r="S251">
        <v>0.75</v>
      </c>
      <c r="T251">
        <v>4520</v>
      </c>
      <c r="U251">
        <v>0</v>
      </c>
      <c r="V251">
        <v>4520</v>
      </c>
    </row>
    <row r="252" spans="1:22" x14ac:dyDescent="0.3">
      <c r="A252">
        <v>79452</v>
      </c>
      <c r="B252">
        <v>138051656</v>
      </c>
      <c r="C252" t="s">
        <v>1735</v>
      </c>
      <c r="D252" t="s">
        <v>1736</v>
      </c>
      <c r="E252" t="s">
        <v>513</v>
      </c>
      <c r="F252" t="s">
        <v>514</v>
      </c>
      <c r="G252" t="s">
        <v>43</v>
      </c>
      <c r="H252" t="s">
        <v>44</v>
      </c>
      <c r="I252" t="s">
        <v>34</v>
      </c>
      <c r="J252" t="s">
        <v>45</v>
      </c>
      <c r="K252" t="s">
        <v>41</v>
      </c>
      <c r="L252" t="s">
        <v>1737</v>
      </c>
      <c r="M252" t="s">
        <v>1738</v>
      </c>
      <c r="N252" t="s">
        <v>516</v>
      </c>
      <c r="O252" t="s">
        <v>64</v>
      </c>
      <c r="P252" t="s">
        <v>1739</v>
      </c>
      <c r="Q252" t="s">
        <v>97</v>
      </c>
      <c r="R252" t="s">
        <v>1607</v>
      </c>
      <c r="S252">
        <v>0.93</v>
      </c>
      <c r="T252">
        <v>4520</v>
      </c>
      <c r="U252">
        <v>0</v>
      </c>
      <c r="V252">
        <v>4520</v>
      </c>
    </row>
    <row r="253" spans="1:22" x14ac:dyDescent="0.3">
      <c r="A253">
        <v>79452</v>
      </c>
      <c r="B253">
        <v>138070582</v>
      </c>
      <c r="C253" t="s">
        <v>1740</v>
      </c>
      <c r="D253" t="s">
        <v>1741</v>
      </c>
      <c r="E253" t="s">
        <v>513</v>
      </c>
      <c r="F253" t="s">
        <v>514</v>
      </c>
      <c r="G253" t="s">
        <v>43</v>
      </c>
      <c r="H253" t="s">
        <v>44</v>
      </c>
      <c r="I253" t="s">
        <v>34</v>
      </c>
      <c r="J253" t="s">
        <v>45</v>
      </c>
      <c r="K253" t="s">
        <v>41</v>
      </c>
      <c r="L253" t="s">
        <v>1742</v>
      </c>
      <c r="M253" t="s">
        <v>1743</v>
      </c>
      <c r="N253" t="s">
        <v>516</v>
      </c>
      <c r="O253" t="s">
        <v>64</v>
      </c>
      <c r="P253" t="s">
        <v>1744</v>
      </c>
      <c r="Q253" t="s">
        <v>48</v>
      </c>
      <c r="R253" t="s">
        <v>320</v>
      </c>
      <c r="S253">
        <v>0.78</v>
      </c>
      <c r="T253">
        <v>4230</v>
      </c>
      <c r="U253">
        <v>0</v>
      </c>
      <c r="V253">
        <v>4230</v>
      </c>
    </row>
    <row r="254" spans="1:22" x14ac:dyDescent="0.3">
      <c r="A254">
        <v>79452</v>
      </c>
      <c r="B254">
        <v>138027984</v>
      </c>
      <c r="C254" t="s">
        <v>1745</v>
      </c>
      <c r="D254" t="s">
        <v>1746</v>
      </c>
      <c r="E254" t="s">
        <v>513</v>
      </c>
      <c r="F254" t="s">
        <v>514</v>
      </c>
      <c r="G254" t="s">
        <v>43</v>
      </c>
      <c r="H254" t="s">
        <v>44</v>
      </c>
      <c r="I254" t="s">
        <v>34</v>
      </c>
      <c r="J254" t="s">
        <v>45</v>
      </c>
      <c r="K254" t="s">
        <v>41</v>
      </c>
      <c r="L254" t="s">
        <v>1747</v>
      </c>
      <c r="M254" t="s">
        <v>1748</v>
      </c>
      <c r="N254" t="s">
        <v>516</v>
      </c>
      <c r="O254" t="s">
        <v>64</v>
      </c>
      <c r="P254" t="s">
        <v>1749</v>
      </c>
      <c r="Q254" t="s">
        <v>108</v>
      </c>
      <c r="R254" t="s">
        <v>277</v>
      </c>
      <c r="S254">
        <v>0.76</v>
      </c>
      <c r="T254">
        <v>3501</v>
      </c>
      <c r="U254">
        <v>0</v>
      </c>
      <c r="V254">
        <v>3501</v>
      </c>
    </row>
    <row r="255" spans="1:22" x14ac:dyDescent="0.3">
      <c r="A255">
        <v>79452</v>
      </c>
      <c r="B255">
        <v>138027951</v>
      </c>
      <c r="C255" t="s">
        <v>1750</v>
      </c>
      <c r="D255" t="s">
        <v>1751</v>
      </c>
      <c r="E255" t="s">
        <v>513</v>
      </c>
      <c r="F255" t="s">
        <v>514</v>
      </c>
      <c r="G255" t="s">
        <v>43</v>
      </c>
      <c r="H255" t="s">
        <v>44</v>
      </c>
      <c r="I255" t="s">
        <v>34</v>
      </c>
      <c r="J255" t="s">
        <v>45</v>
      </c>
      <c r="K255" t="s">
        <v>41</v>
      </c>
      <c r="L255" t="s">
        <v>1752</v>
      </c>
      <c r="M255" t="s">
        <v>1753</v>
      </c>
      <c r="N255" t="s">
        <v>516</v>
      </c>
      <c r="O255" t="s">
        <v>64</v>
      </c>
      <c r="P255" t="s">
        <v>1754</v>
      </c>
      <c r="Q255" t="s">
        <v>108</v>
      </c>
      <c r="R255" t="s">
        <v>277</v>
      </c>
      <c r="S255">
        <v>0.89</v>
      </c>
      <c r="T255">
        <v>3501</v>
      </c>
      <c r="U255">
        <v>0</v>
      </c>
      <c r="V255">
        <v>3501</v>
      </c>
    </row>
    <row r="256" spans="1:22" x14ac:dyDescent="0.3">
      <c r="A256">
        <v>79452</v>
      </c>
      <c r="B256">
        <v>138027968</v>
      </c>
      <c r="C256" t="s">
        <v>1755</v>
      </c>
      <c r="D256" t="s">
        <v>1756</v>
      </c>
      <c r="E256" t="s">
        <v>513</v>
      </c>
      <c r="F256" t="s">
        <v>514</v>
      </c>
      <c r="G256" t="s">
        <v>43</v>
      </c>
      <c r="H256" t="s">
        <v>44</v>
      </c>
      <c r="I256" t="s">
        <v>34</v>
      </c>
      <c r="J256" t="s">
        <v>45</v>
      </c>
      <c r="K256" t="s">
        <v>41</v>
      </c>
      <c r="L256" t="s">
        <v>1757</v>
      </c>
      <c r="M256" t="s">
        <v>561</v>
      </c>
      <c r="N256" t="s">
        <v>516</v>
      </c>
      <c r="O256" t="s">
        <v>64</v>
      </c>
      <c r="P256" t="s">
        <v>562</v>
      </c>
      <c r="Q256" t="s">
        <v>61</v>
      </c>
      <c r="R256" t="s">
        <v>277</v>
      </c>
      <c r="S256">
        <v>1.05</v>
      </c>
      <c r="T256">
        <v>3501</v>
      </c>
      <c r="U256">
        <v>0</v>
      </c>
      <c r="V256">
        <v>3501</v>
      </c>
    </row>
    <row r="257" spans="1:22" x14ac:dyDescent="0.3">
      <c r="A257">
        <v>79452</v>
      </c>
      <c r="B257">
        <v>138070587</v>
      </c>
      <c r="C257" t="s">
        <v>1758</v>
      </c>
      <c r="D257" t="s">
        <v>1759</v>
      </c>
      <c r="E257" t="s">
        <v>513</v>
      </c>
      <c r="F257" t="s">
        <v>514</v>
      </c>
      <c r="G257" t="s">
        <v>43</v>
      </c>
      <c r="H257" t="s">
        <v>44</v>
      </c>
      <c r="I257" t="s">
        <v>34</v>
      </c>
      <c r="J257" t="s">
        <v>45</v>
      </c>
      <c r="K257" t="s">
        <v>54</v>
      </c>
      <c r="L257" t="s">
        <v>55</v>
      </c>
      <c r="M257" t="s">
        <v>1760</v>
      </c>
      <c r="N257" t="s">
        <v>516</v>
      </c>
      <c r="O257" t="s">
        <v>64</v>
      </c>
      <c r="P257" t="s">
        <v>1761</v>
      </c>
      <c r="Q257" t="s">
        <v>48</v>
      </c>
      <c r="R257" t="s">
        <v>320</v>
      </c>
      <c r="S257">
        <v>0.64</v>
      </c>
      <c r="T257">
        <v>4230</v>
      </c>
      <c r="U257">
        <v>0</v>
      </c>
      <c r="V257">
        <v>4230</v>
      </c>
    </row>
    <row r="258" spans="1:22" x14ac:dyDescent="0.3">
      <c r="A258">
        <v>79452</v>
      </c>
      <c r="B258">
        <v>138028012</v>
      </c>
      <c r="C258" t="s">
        <v>1762</v>
      </c>
      <c r="D258" t="s">
        <v>1763</v>
      </c>
      <c r="E258" t="s">
        <v>513</v>
      </c>
      <c r="F258" t="s">
        <v>514</v>
      </c>
      <c r="G258" t="s">
        <v>43</v>
      </c>
      <c r="H258" t="s">
        <v>44</v>
      </c>
      <c r="I258" t="s">
        <v>34</v>
      </c>
      <c r="J258" t="s">
        <v>45</v>
      </c>
      <c r="K258" t="s">
        <v>41</v>
      </c>
      <c r="L258" t="s">
        <v>1764</v>
      </c>
      <c r="M258" t="s">
        <v>1153</v>
      </c>
      <c r="N258" t="s">
        <v>516</v>
      </c>
      <c r="O258" t="s">
        <v>64</v>
      </c>
      <c r="P258" t="s">
        <v>1765</v>
      </c>
      <c r="Q258" t="s">
        <v>118</v>
      </c>
      <c r="R258" t="s">
        <v>377</v>
      </c>
      <c r="S258">
        <v>1.35</v>
      </c>
      <c r="T258">
        <v>4230</v>
      </c>
      <c r="U258">
        <v>0</v>
      </c>
      <c r="V258">
        <v>4230</v>
      </c>
    </row>
    <row r="259" spans="1:22" x14ac:dyDescent="0.3">
      <c r="A259">
        <v>79452</v>
      </c>
      <c r="B259">
        <v>138070581</v>
      </c>
      <c r="C259" t="s">
        <v>1766</v>
      </c>
      <c r="D259" t="s">
        <v>1767</v>
      </c>
      <c r="E259" t="s">
        <v>513</v>
      </c>
      <c r="F259" t="s">
        <v>514</v>
      </c>
      <c r="G259" t="s">
        <v>43</v>
      </c>
      <c r="H259" t="s">
        <v>44</v>
      </c>
      <c r="I259" t="s">
        <v>34</v>
      </c>
      <c r="J259" t="s">
        <v>45</v>
      </c>
      <c r="K259" t="s">
        <v>41</v>
      </c>
      <c r="L259" t="s">
        <v>1768</v>
      </c>
      <c r="M259" t="s">
        <v>1769</v>
      </c>
      <c r="N259" t="s">
        <v>516</v>
      </c>
      <c r="O259" t="s">
        <v>64</v>
      </c>
      <c r="P259" t="s">
        <v>1770</v>
      </c>
      <c r="Q259" t="s">
        <v>90</v>
      </c>
      <c r="R259" t="s">
        <v>320</v>
      </c>
      <c r="S259">
        <v>1</v>
      </c>
      <c r="T259">
        <v>3904</v>
      </c>
      <c r="U259">
        <v>0</v>
      </c>
      <c r="V259">
        <v>3904</v>
      </c>
    </row>
    <row r="260" spans="1:22" x14ac:dyDescent="0.3">
      <c r="A260">
        <v>79452</v>
      </c>
      <c r="B260">
        <v>138051643</v>
      </c>
      <c r="C260" t="s">
        <v>1771</v>
      </c>
      <c r="D260" t="s">
        <v>1772</v>
      </c>
      <c r="E260" t="s">
        <v>513</v>
      </c>
      <c r="F260" t="s">
        <v>514</v>
      </c>
      <c r="G260" t="s">
        <v>43</v>
      </c>
      <c r="H260" t="s">
        <v>44</v>
      </c>
      <c r="I260" t="s">
        <v>34</v>
      </c>
      <c r="J260" t="s">
        <v>45</v>
      </c>
      <c r="K260" t="s">
        <v>41</v>
      </c>
      <c r="L260" t="s">
        <v>1773</v>
      </c>
      <c r="M260" t="s">
        <v>1774</v>
      </c>
      <c r="N260" t="s">
        <v>516</v>
      </c>
      <c r="O260" t="s">
        <v>64</v>
      </c>
      <c r="P260" t="s">
        <v>1775</v>
      </c>
      <c r="Q260" t="s">
        <v>56</v>
      </c>
      <c r="R260" t="s">
        <v>1695</v>
      </c>
      <c r="S260">
        <v>0.92</v>
      </c>
      <c r="T260">
        <v>3904</v>
      </c>
      <c r="U260">
        <v>0</v>
      </c>
      <c r="V260">
        <v>3904</v>
      </c>
    </row>
    <row r="261" spans="1:22" x14ac:dyDescent="0.3">
      <c r="A261">
        <v>79452</v>
      </c>
      <c r="B261">
        <v>138070562</v>
      </c>
      <c r="C261" t="s">
        <v>1776</v>
      </c>
      <c r="D261" t="s">
        <v>1777</v>
      </c>
      <c r="E261" t="s">
        <v>513</v>
      </c>
      <c r="F261" t="s">
        <v>514</v>
      </c>
      <c r="G261" t="s">
        <v>43</v>
      </c>
      <c r="H261" t="s">
        <v>44</v>
      </c>
      <c r="I261" t="s">
        <v>34</v>
      </c>
      <c r="J261" t="s">
        <v>45</v>
      </c>
      <c r="K261" t="s">
        <v>41</v>
      </c>
      <c r="L261" t="s">
        <v>1778</v>
      </c>
      <c r="M261" t="s">
        <v>1779</v>
      </c>
      <c r="N261" t="s">
        <v>516</v>
      </c>
      <c r="O261" t="s">
        <v>64</v>
      </c>
      <c r="P261" t="s">
        <v>1780</v>
      </c>
      <c r="Q261" t="s">
        <v>103</v>
      </c>
      <c r="R261" t="s">
        <v>1619</v>
      </c>
      <c r="S261">
        <v>1.24</v>
      </c>
      <c r="T261">
        <v>3501</v>
      </c>
      <c r="U261">
        <v>0</v>
      </c>
      <c r="V261">
        <v>3501</v>
      </c>
    </row>
    <row r="262" spans="1:22" x14ac:dyDescent="0.3">
      <c r="A262">
        <v>79452</v>
      </c>
      <c r="B262">
        <v>137837199</v>
      </c>
      <c r="C262" t="s">
        <v>1781</v>
      </c>
      <c r="D262" t="s">
        <v>1782</v>
      </c>
      <c r="E262" t="s">
        <v>513</v>
      </c>
      <c r="F262" t="s">
        <v>514</v>
      </c>
      <c r="G262" t="s">
        <v>43</v>
      </c>
      <c r="H262" t="s">
        <v>44</v>
      </c>
      <c r="I262" t="s">
        <v>34</v>
      </c>
      <c r="J262" t="s">
        <v>45</v>
      </c>
      <c r="K262" t="s">
        <v>41</v>
      </c>
      <c r="L262" t="s">
        <v>1783</v>
      </c>
      <c r="M262" t="s">
        <v>665</v>
      </c>
      <c r="N262" t="s">
        <v>516</v>
      </c>
      <c r="O262" t="s">
        <v>64</v>
      </c>
      <c r="P262" t="s">
        <v>666</v>
      </c>
      <c r="Q262" t="s">
        <v>75</v>
      </c>
      <c r="R262" t="s">
        <v>1784</v>
      </c>
      <c r="S262">
        <v>0.56999999999999995</v>
      </c>
      <c r="T262">
        <v>3904</v>
      </c>
      <c r="U262">
        <v>0</v>
      </c>
      <c r="V262">
        <v>3904</v>
      </c>
    </row>
    <row r="263" spans="1:22" x14ac:dyDescent="0.3">
      <c r="A263">
        <v>79452</v>
      </c>
      <c r="B263">
        <v>138070609</v>
      </c>
      <c r="C263" t="s">
        <v>1785</v>
      </c>
      <c r="D263" t="s">
        <v>1786</v>
      </c>
      <c r="E263" t="s">
        <v>513</v>
      </c>
      <c r="F263" t="s">
        <v>514</v>
      </c>
      <c r="G263" t="s">
        <v>43</v>
      </c>
      <c r="H263" t="s">
        <v>44</v>
      </c>
      <c r="I263" t="s">
        <v>34</v>
      </c>
      <c r="J263" t="s">
        <v>45</v>
      </c>
      <c r="K263" t="s">
        <v>41</v>
      </c>
      <c r="L263" t="s">
        <v>1787</v>
      </c>
      <c r="M263" t="s">
        <v>1788</v>
      </c>
      <c r="N263" t="s">
        <v>516</v>
      </c>
      <c r="O263" t="s">
        <v>64</v>
      </c>
      <c r="P263" t="s">
        <v>1789</v>
      </c>
      <c r="Q263" t="s">
        <v>90</v>
      </c>
      <c r="R263" t="s">
        <v>320</v>
      </c>
      <c r="S263">
        <v>0.92</v>
      </c>
      <c r="T263">
        <v>3904</v>
      </c>
      <c r="U263">
        <v>0</v>
      </c>
      <c r="V263">
        <v>3904</v>
      </c>
    </row>
    <row r="264" spans="1:22" x14ac:dyDescent="0.3">
      <c r="A264">
        <v>79452</v>
      </c>
      <c r="B264">
        <v>138051640</v>
      </c>
      <c r="C264" t="s">
        <v>1790</v>
      </c>
      <c r="D264" t="s">
        <v>1791</v>
      </c>
      <c r="E264" t="s">
        <v>513</v>
      </c>
      <c r="F264" t="s">
        <v>514</v>
      </c>
      <c r="G264" t="s">
        <v>43</v>
      </c>
      <c r="H264" t="s">
        <v>44</v>
      </c>
      <c r="I264" t="s">
        <v>34</v>
      </c>
      <c r="J264" t="s">
        <v>45</v>
      </c>
      <c r="K264" t="s">
        <v>41</v>
      </c>
      <c r="L264" t="s">
        <v>1792</v>
      </c>
      <c r="M264" t="s">
        <v>1793</v>
      </c>
      <c r="N264" t="s">
        <v>516</v>
      </c>
      <c r="O264" t="s">
        <v>64</v>
      </c>
      <c r="P264" t="s">
        <v>1794</v>
      </c>
      <c r="Q264" t="s">
        <v>67</v>
      </c>
      <c r="R264" t="s">
        <v>1695</v>
      </c>
      <c r="S264">
        <v>1.22</v>
      </c>
      <c r="T264">
        <v>3936</v>
      </c>
      <c r="U264">
        <v>0</v>
      </c>
      <c r="V264">
        <v>3936</v>
      </c>
    </row>
    <row r="265" spans="1:22" x14ac:dyDescent="0.3">
      <c r="A265">
        <v>79452</v>
      </c>
      <c r="B265">
        <v>138008959</v>
      </c>
      <c r="C265" t="s">
        <v>1795</v>
      </c>
      <c r="D265" t="s">
        <v>1796</v>
      </c>
      <c r="E265" t="s">
        <v>513</v>
      </c>
      <c r="F265" t="s">
        <v>514</v>
      </c>
      <c r="G265" t="s">
        <v>43</v>
      </c>
      <c r="H265" t="s">
        <v>44</v>
      </c>
      <c r="I265" t="s">
        <v>34</v>
      </c>
      <c r="J265" t="s">
        <v>45</v>
      </c>
      <c r="K265" t="s">
        <v>41</v>
      </c>
      <c r="L265" t="s">
        <v>1797</v>
      </c>
      <c r="M265" t="s">
        <v>1798</v>
      </c>
      <c r="N265" t="s">
        <v>516</v>
      </c>
      <c r="O265" t="s">
        <v>64</v>
      </c>
      <c r="P265" t="s">
        <v>1799</v>
      </c>
      <c r="Q265" t="s">
        <v>67</v>
      </c>
      <c r="R265" t="s">
        <v>1800</v>
      </c>
      <c r="S265">
        <v>0.83</v>
      </c>
      <c r="T265">
        <v>3936</v>
      </c>
      <c r="U265">
        <v>0</v>
      </c>
      <c r="V265">
        <v>3936</v>
      </c>
    </row>
    <row r="266" spans="1:22" x14ac:dyDescent="0.3">
      <c r="A266">
        <v>79452</v>
      </c>
      <c r="B266">
        <v>138051665</v>
      </c>
      <c r="C266" t="s">
        <v>1801</v>
      </c>
      <c r="D266" t="s">
        <v>1802</v>
      </c>
      <c r="E266" t="s">
        <v>513</v>
      </c>
      <c r="F266" t="s">
        <v>514</v>
      </c>
      <c r="G266" t="s">
        <v>43</v>
      </c>
      <c r="H266" t="s">
        <v>44</v>
      </c>
      <c r="I266" t="s">
        <v>34</v>
      </c>
      <c r="J266" t="s">
        <v>45</v>
      </c>
      <c r="K266" t="s">
        <v>41</v>
      </c>
      <c r="L266" t="s">
        <v>1803</v>
      </c>
      <c r="M266" t="s">
        <v>1804</v>
      </c>
      <c r="N266" t="s">
        <v>516</v>
      </c>
      <c r="O266" t="s">
        <v>64</v>
      </c>
      <c r="P266" t="s">
        <v>1805</v>
      </c>
      <c r="Q266" t="s">
        <v>209</v>
      </c>
      <c r="R266" t="s">
        <v>1607</v>
      </c>
      <c r="S266">
        <v>1.28</v>
      </c>
      <c r="T266">
        <v>5467</v>
      </c>
      <c r="U266">
        <v>0</v>
      </c>
      <c r="V266">
        <v>5467</v>
      </c>
    </row>
    <row r="267" spans="1:22" x14ac:dyDescent="0.3">
      <c r="A267">
        <v>79452</v>
      </c>
      <c r="B267">
        <v>138051660</v>
      </c>
      <c r="C267" t="s">
        <v>1806</v>
      </c>
      <c r="D267" t="s">
        <v>1807</v>
      </c>
      <c r="E267" t="s">
        <v>513</v>
      </c>
      <c r="F267" t="s">
        <v>514</v>
      </c>
      <c r="G267" t="s">
        <v>43</v>
      </c>
      <c r="H267" t="s">
        <v>44</v>
      </c>
      <c r="I267" t="s">
        <v>34</v>
      </c>
      <c r="J267" t="s">
        <v>45</v>
      </c>
      <c r="K267" t="s">
        <v>41</v>
      </c>
      <c r="L267" t="s">
        <v>1808</v>
      </c>
      <c r="M267" t="s">
        <v>1809</v>
      </c>
      <c r="N267" t="s">
        <v>516</v>
      </c>
      <c r="O267" t="s">
        <v>64</v>
      </c>
      <c r="P267" t="s">
        <v>1810</v>
      </c>
      <c r="Q267" t="s">
        <v>90</v>
      </c>
      <c r="R267" t="s">
        <v>1607</v>
      </c>
      <c r="S267">
        <v>1</v>
      </c>
      <c r="T267">
        <v>3904</v>
      </c>
      <c r="U267">
        <v>0</v>
      </c>
      <c r="V267">
        <v>3904</v>
      </c>
    </row>
    <row r="268" spans="1:22" x14ac:dyDescent="0.3">
      <c r="A268">
        <v>79452</v>
      </c>
      <c r="B268">
        <v>138008935</v>
      </c>
      <c r="C268" t="s">
        <v>1811</v>
      </c>
      <c r="D268" t="s">
        <v>1812</v>
      </c>
      <c r="E268" t="s">
        <v>513</v>
      </c>
      <c r="F268" t="s">
        <v>514</v>
      </c>
      <c r="G268" t="s">
        <v>43</v>
      </c>
      <c r="H268" t="s">
        <v>44</v>
      </c>
      <c r="I268" t="s">
        <v>34</v>
      </c>
      <c r="J268" t="s">
        <v>45</v>
      </c>
      <c r="K268" t="s">
        <v>41</v>
      </c>
      <c r="L268" t="s">
        <v>1813</v>
      </c>
      <c r="M268" t="s">
        <v>326</v>
      </c>
      <c r="N268" t="s">
        <v>516</v>
      </c>
      <c r="O268" t="s">
        <v>64</v>
      </c>
      <c r="P268" t="s">
        <v>1814</v>
      </c>
      <c r="Q268" t="s">
        <v>61</v>
      </c>
      <c r="R268" t="s">
        <v>1645</v>
      </c>
      <c r="S268">
        <v>1</v>
      </c>
      <c r="T268">
        <v>3501</v>
      </c>
      <c r="U268">
        <v>0</v>
      </c>
      <c r="V268">
        <v>3501</v>
      </c>
    </row>
    <row r="269" spans="1:22" x14ac:dyDescent="0.3">
      <c r="A269">
        <v>79452</v>
      </c>
      <c r="B269">
        <v>138051631</v>
      </c>
      <c r="C269" t="s">
        <v>1815</v>
      </c>
      <c r="D269" t="s">
        <v>1816</v>
      </c>
      <c r="E269" t="s">
        <v>513</v>
      </c>
      <c r="F269" t="s">
        <v>514</v>
      </c>
      <c r="G269" t="s">
        <v>43</v>
      </c>
      <c r="H269" t="s">
        <v>44</v>
      </c>
      <c r="I269" t="s">
        <v>34</v>
      </c>
      <c r="J269" t="s">
        <v>45</v>
      </c>
      <c r="K269" t="s">
        <v>41</v>
      </c>
      <c r="L269" t="s">
        <v>1817</v>
      </c>
      <c r="M269" t="s">
        <v>1818</v>
      </c>
      <c r="N269" t="s">
        <v>516</v>
      </c>
      <c r="O269" t="s">
        <v>64</v>
      </c>
      <c r="P269" t="s">
        <v>1819</v>
      </c>
      <c r="Q269" t="s">
        <v>53</v>
      </c>
      <c r="R269" t="s">
        <v>1695</v>
      </c>
      <c r="S269">
        <v>1.18</v>
      </c>
      <c r="T269">
        <v>3642</v>
      </c>
      <c r="U269">
        <v>0</v>
      </c>
      <c r="V269">
        <v>3642</v>
      </c>
    </row>
    <row r="270" spans="1:22" x14ac:dyDescent="0.3">
      <c r="A270">
        <v>79452</v>
      </c>
      <c r="B270">
        <v>138008944</v>
      </c>
      <c r="C270" t="s">
        <v>1820</v>
      </c>
      <c r="D270" t="s">
        <v>1821</v>
      </c>
      <c r="E270" t="s">
        <v>513</v>
      </c>
      <c r="F270" t="s">
        <v>514</v>
      </c>
      <c r="G270" t="s">
        <v>43</v>
      </c>
      <c r="H270" t="s">
        <v>44</v>
      </c>
      <c r="I270" t="s">
        <v>34</v>
      </c>
      <c r="J270" t="s">
        <v>45</v>
      </c>
      <c r="K270" t="s">
        <v>41</v>
      </c>
      <c r="L270" t="s">
        <v>1822</v>
      </c>
      <c r="M270" t="s">
        <v>1823</v>
      </c>
      <c r="N270" t="s">
        <v>516</v>
      </c>
      <c r="O270" t="s">
        <v>64</v>
      </c>
      <c r="P270" t="s">
        <v>1824</v>
      </c>
      <c r="Q270" t="s">
        <v>75</v>
      </c>
      <c r="R270" t="s">
        <v>1645</v>
      </c>
      <c r="S270">
        <v>0.75</v>
      </c>
      <c r="T270">
        <v>3904</v>
      </c>
      <c r="U270">
        <v>0</v>
      </c>
      <c r="V270">
        <v>3904</v>
      </c>
    </row>
    <row r="271" spans="1:22" x14ac:dyDescent="0.3">
      <c r="A271">
        <v>79452</v>
      </c>
      <c r="B271">
        <v>138070614</v>
      </c>
      <c r="C271" t="s">
        <v>1825</v>
      </c>
      <c r="D271" t="s">
        <v>1826</v>
      </c>
      <c r="E271" t="s">
        <v>513</v>
      </c>
      <c r="F271" t="s">
        <v>514</v>
      </c>
      <c r="G271" t="s">
        <v>43</v>
      </c>
      <c r="H271" t="s">
        <v>44</v>
      </c>
      <c r="I271" t="s">
        <v>34</v>
      </c>
      <c r="J271" t="s">
        <v>45</v>
      </c>
      <c r="K271" t="s">
        <v>41</v>
      </c>
      <c r="L271" t="s">
        <v>1827</v>
      </c>
      <c r="M271" t="s">
        <v>1828</v>
      </c>
      <c r="N271" t="s">
        <v>516</v>
      </c>
      <c r="O271" t="s">
        <v>64</v>
      </c>
      <c r="P271" t="s">
        <v>1829</v>
      </c>
      <c r="Q271" t="s">
        <v>58</v>
      </c>
      <c r="R271" t="s">
        <v>320</v>
      </c>
      <c r="S271">
        <v>0.97</v>
      </c>
      <c r="T271">
        <v>3501</v>
      </c>
      <c r="U271">
        <v>0</v>
      </c>
      <c r="V271">
        <v>3501</v>
      </c>
    </row>
    <row r="272" spans="1:22" x14ac:dyDescent="0.3">
      <c r="A272">
        <v>79452</v>
      </c>
      <c r="B272">
        <v>137576096</v>
      </c>
      <c r="C272" t="s">
        <v>1830</v>
      </c>
      <c r="D272" t="s">
        <v>1831</v>
      </c>
      <c r="E272" t="s">
        <v>513</v>
      </c>
      <c r="F272" t="s">
        <v>514</v>
      </c>
      <c r="G272" t="s">
        <v>43</v>
      </c>
      <c r="H272" t="s">
        <v>44</v>
      </c>
      <c r="I272" t="s">
        <v>34</v>
      </c>
      <c r="J272" t="s">
        <v>45</v>
      </c>
      <c r="K272" t="s">
        <v>41</v>
      </c>
      <c r="L272" t="s">
        <v>1832</v>
      </c>
      <c r="M272" t="s">
        <v>1833</v>
      </c>
      <c r="N272" t="s">
        <v>516</v>
      </c>
      <c r="O272" t="s">
        <v>64</v>
      </c>
      <c r="P272" t="s">
        <v>1834</v>
      </c>
      <c r="Q272" t="s">
        <v>166</v>
      </c>
      <c r="R272" t="s">
        <v>1835</v>
      </c>
      <c r="S272">
        <v>1.4</v>
      </c>
      <c r="T272">
        <v>5759</v>
      </c>
      <c r="U272">
        <v>0</v>
      </c>
      <c r="V272">
        <v>5759</v>
      </c>
    </row>
    <row r="273" spans="1:22" x14ac:dyDescent="0.3">
      <c r="A273">
        <v>79452</v>
      </c>
      <c r="B273">
        <v>138008962</v>
      </c>
      <c r="C273" t="s">
        <v>1836</v>
      </c>
      <c r="D273" t="s">
        <v>1837</v>
      </c>
      <c r="E273" t="s">
        <v>513</v>
      </c>
      <c r="F273" t="s">
        <v>514</v>
      </c>
      <c r="G273" t="s">
        <v>43</v>
      </c>
      <c r="H273" t="s">
        <v>44</v>
      </c>
      <c r="I273" t="s">
        <v>34</v>
      </c>
      <c r="J273" t="s">
        <v>45</v>
      </c>
      <c r="K273" t="s">
        <v>41</v>
      </c>
      <c r="L273" t="s">
        <v>1838</v>
      </c>
      <c r="M273" t="s">
        <v>1839</v>
      </c>
      <c r="N273" t="s">
        <v>516</v>
      </c>
      <c r="O273" t="s">
        <v>64</v>
      </c>
      <c r="P273" t="s">
        <v>1840</v>
      </c>
      <c r="Q273" t="s">
        <v>102</v>
      </c>
      <c r="R273" t="s">
        <v>1800</v>
      </c>
      <c r="S273">
        <v>0.81</v>
      </c>
      <c r="T273">
        <v>3501</v>
      </c>
      <c r="U273">
        <v>0</v>
      </c>
      <c r="V273">
        <v>3501</v>
      </c>
    </row>
    <row r="274" spans="1:22" x14ac:dyDescent="0.3">
      <c r="A274">
        <v>79452</v>
      </c>
      <c r="B274">
        <v>138051662</v>
      </c>
      <c r="C274" t="s">
        <v>1841</v>
      </c>
      <c r="D274" t="s">
        <v>1842</v>
      </c>
      <c r="E274" t="s">
        <v>513</v>
      </c>
      <c r="F274" t="s">
        <v>514</v>
      </c>
      <c r="G274" t="s">
        <v>43</v>
      </c>
      <c r="H274" t="s">
        <v>44</v>
      </c>
      <c r="I274" t="s">
        <v>34</v>
      </c>
      <c r="J274" t="s">
        <v>45</v>
      </c>
      <c r="K274" t="s">
        <v>41</v>
      </c>
      <c r="L274" t="s">
        <v>1843</v>
      </c>
      <c r="M274" t="s">
        <v>705</v>
      </c>
      <c r="N274" t="s">
        <v>516</v>
      </c>
      <c r="O274" t="s">
        <v>64</v>
      </c>
      <c r="P274" t="s">
        <v>706</v>
      </c>
      <c r="Q274" t="s">
        <v>112</v>
      </c>
      <c r="R274" t="s">
        <v>1607</v>
      </c>
      <c r="S274">
        <v>1.34</v>
      </c>
      <c r="T274">
        <v>3501</v>
      </c>
      <c r="U274">
        <v>0</v>
      </c>
      <c r="V274">
        <v>3501</v>
      </c>
    </row>
    <row r="275" spans="1:22" x14ac:dyDescent="0.3">
      <c r="A275">
        <v>79452</v>
      </c>
      <c r="B275">
        <v>137963521</v>
      </c>
      <c r="C275" t="s">
        <v>1844</v>
      </c>
      <c r="D275" t="s">
        <v>1845</v>
      </c>
      <c r="E275" t="s">
        <v>513</v>
      </c>
      <c r="F275" t="s">
        <v>514</v>
      </c>
      <c r="G275" t="s">
        <v>43</v>
      </c>
      <c r="H275" t="s">
        <v>44</v>
      </c>
      <c r="I275" t="s">
        <v>34</v>
      </c>
      <c r="J275" t="s">
        <v>45</v>
      </c>
      <c r="K275" t="s">
        <v>41</v>
      </c>
      <c r="L275" t="s">
        <v>1846</v>
      </c>
      <c r="M275" t="s">
        <v>1847</v>
      </c>
      <c r="N275" t="s">
        <v>516</v>
      </c>
      <c r="O275" t="s">
        <v>64</v>
      </c>
      <c r="P275" t="s">
        <v>1848</v>
      </c>
      <c r="Q275" t="s">
        <v>60</v>
      </c>
      <c r="R275" t="s">
        <v>1849</v>
      </c>
      <c r="S275">
        <v>1</v>
      </c>
      <c r="T275">
        <v>4520</v>
      </c>
      <c r="U275">
        <v>0</v>
      </c>
      <c r="V275">
        <v>4520</v>
      </c>
    </row>
    <row r="276" spans="1:22" x14ac:dyDescent="0.3">
      <c r="A276">
        <v>79452</v>
      </c>
      <c r="B276">
        <v>137909789</v>
      </c>
      <c r="C276" t="s">
        <v>1850</v>
      </c>
      <c r="D276" t="s">
        <v>1851</v>
      </c>
      <c r="E276" t="s">
        <v>513</v>
      </c>
      <c r="F276" t="s">
        <v>514</v>
      </c>
      <c r="G276" t="s">
        <v>43</v>
      </c>
      <c r="H276" t="s">
        <v>44</v>
      </c>
      <c r="I276" t="s">
        <v>34</v>
      </c>
      <c r="J276" t="s">
        <v>45</v>
      </c>
      <c r="K276" t="s">
        <v>41</v>
      </c>
      <c r="L276" t="s">
        <v>1852</v>
      </c>
      <c r="M276" t="s">
        <v>1853</v>
      </c>
      <c r="N276" t="s">
        <v>516</v>
      </c>
      <c r="O276" t="s">
        <v>64</v>
      </c>
      <c r="P276" t="s">
        <v>1854</v>
      </c>
      <c r="Q276" t="s">
        <v>50</v>
      </c>
      <c r="R276" t="s">
        <v>1217</v>
      </c>
      <c r="S276">
        <v>2.25</v>
      </c>
      <c r="T276">
        <v>5406</v>
      </c>
      <c r="U276">
        <v>0</v>
      </c>
      <c r="V276">
        <v>5406</v>
      </c>
    </row>
    <row r="277" spans="1:22" x14ac:dyDescent="0.3">
      <c r="A277">
        <v>79452</v>
      </c>
      <c r="B277">
        <v>137909781</v>
      </c>
      <c r="C277" t="s">
        <v>1855</v>
      </c>
      <c r="D277" t="s">
        <v>1856</v>
      </c>
      <c r="E277" t="s">
        <v>513</v>
      </c>
      <c r="F277" t="s">
        <v>514</v>
      </c>
      <c r="G277" t="s">
        <v>43</v>
      </c>
      <c r="H277" t="s">
        <v>44</v>
      </c>
      <c r="I277" t="s">
        <v>34</v>
      </c>
      <c r="J277" t="s">
        <v>45</v>
      </c>
      <c r="K277" t="s">
        <v>41</v>
      </c>
      <c r="L277" t="s">
        <v>1857</v>
      </c>
      <c r="M277" t="s">
        <v>1858</v>
      </c>
      <c r="N277" t="s">
        <v>516</v>
      </c>
      <c r="O277" t="s">
        <v>64</v>
      </c>
      <c r="P277" t="s">
        <v>1859</v>
      </c>
      <c r="Q277" t="s">
        <v>50</v>
      </c>
      <c r="R277" t="s">
        <v>1217</v>
      </c>
      <c r="S277">
        <v>0.81</v>
      </c>
      <c r="T277">
        <v>5406</v>
      </c>
      <c r="U277">
        <v>0</v>
      </c>
      <c r="V277">
        <v>5406</v>
      </c>
    </row>
    <row r="278" spans="1:22" x14ac:dyDescent="0.3">
      <c r="A278">
        <v>79452</v>
      </c>
      <c r="B278">
        <v>137837193</v>
      </c>
      <c r="C278" t="s">
        <v>1860</v>
      </c>
      <c r="D278" t="s">
        <v>1861</v>
      </c>
      <c r="E278" t="s">
        <v>513</v>
      </c>
      <c r="F278" t="s">
        <v>514</v>
      </c>
      <c r="G278" t="s">
        <v>43</v>
      </c>
      <c r="H278" t="s">
        <v>44</v>
      </c>
      <c r="I278" t="s">
        <v>34</v>
      </c>
      <c r="J278" t="s">
        <v>45</v>
      </c>
      <c r="K278" t="s">
        <v>41</v>
      </c>
      <c r="L278" t="s">
        <v>1862</v>
      </c>
      <c r="M278" t="s">
        <v>1863</v>
      </c>
      <c r="N278" t="s">
        <v>516</v>
      </c>
      <c r="O278" t="s">
        <v>64</v>
      </c>
      <c r="P278" t="s">
        <v>1864</v>
      </c>
      <c r="Q278" t="s">
        <v>98</v>
      </c>
      <c r="R278" t="s">
        <v>1784</v>
      </c>
      <c r="S278">
        <v>0.87</v>
      </c>
      <c r="T278">
        <v>5990</v>
      </c>
      <c r="U278">
        <v>0</v>
      </c>
      <c r="V278">
        <v>5990</v>
      </c>
    </row>
    <row r="279" spans="1:22" x14ac:dyDescent="0.3">
      <c r="A279">
        <v>79452</v>
      </c>
      <c r="B279">
        <v>137909808</v>
      </c>
      <c r="C279" t="s">
        <v>1865</v>
      </c>
      <c r="D279" t="s">
        <v>1866</v>
      </c>
      <c r="E279" t="s">
        <v>513</v>
      </c>
      <c r="F279" t="s">
        <v>514</v>
      </c>
      <c r="G279" t="s">
        <v>43</v>
      </c>
      <c r="H279" t="s">
        <v>44</v>
      </c>
      <c r="I279" t="s">
        <v>34</v>
      </c>
      <c r="J279" t="s">
        <v>45</v>
      </c>
      <c r="K279" t="s">
        <v>41</v>
      </c>
      <c r="L279" t="s">
        <v>1867</v>
      </c>
      <c r="M279" t="s">
        <v>1868</v>
      </c>
      <c r="N279" t="s">
        <v>516</v>
      </c>
      <c r="O279" t="s">
        <v>64</v>
      </c>
      <c r="P279" t="s">
        <v>1869</v>
      </c>
      <c r="Q279" t="s">
        <v>124</v>
      </c>
      <c r="R279" t="s">
        <v>1217</v>
      </c>
      <c r="S279">
        <v>1.1399999999999999</v>
      </c>
      <c r="T279">
        <v>3904</v>
      </c>
      <c r="U279">
        <v>0</v>
      </c>
      <c r="V279">
        <v>3904</v>
      </c>
    </row>
    <row r="280" spans="1:22" x14ac:dyDescent="0.3">
      <c r="A280">
        <v>79452</v>
      </c>
      <c r="B280">
        <v>137909835</v>
      </c>
      <c r="C280" t="s">
        <v>1870</v>
      </c>
      <c r="D280" t="s">
        <v>1871</v>
      </c>
      <c r="E280" t="s">
        <v>513</v>
      </c>
      <c r="F280" t="s">
        <v>514</v>
      </c>
      <c r="G280" t="s">
        <v>43</v>
      </c>
      <c r="H280" t="s">
        <v>44</v>
      </c>
      <c r="I280" t="s">
        <v>34</v>
      </c>
      <c r="J280" t="s">
        <v>45</v>
      </c>
      <c r="K280" t="s">
        <v>41</v>
      </c>
      <c r="L280" t="s">
        <v>1872</v>
      </c>
      <c r="M280" t="s">
        <v>1873</v>
      </c>
      <c r="N280" t="s">
        <v>516</v>
      </c>
      <c r="O280" t="s">
        <v>64</v>
      </c>
      <c r="P280" t="s">
        <v>1874</v>
      </c>
      <c r="Q280" t="s">
        <v>98</v>
      </c>
      <c r="R280" t="s">
        <v>1875</v>
      </c>
      <c r="S280">
        <v>0.91</v>
      </c>
      <c r="T280">
        <v>5990</v>
      </c>
      <c r="U280">
        <v>0</v>
      </c>
      <c r="V280">
        <v>5990</v>
      </c>
    </row>
    <row r="281" spans="1:22" x14ac:dyDescent="0.3">
      <c r="A281">
        <v>79452</v>
      </c>
      <c r="B281">
        <v>137408460</v>
      </c>
      <c r="C281" t="s">
        <v>1876</v>
      </c>
      <c r="D281" t="s">
        <v>1877</v>
      </c>
      <c r="E281" t="s">
        <v>513</v>
      </c>
      <c r="F281" t="s">
        <v>514</v>
      </c>
      <c r="G281" t="s">
        <v>43</v>
      </c>
      <c r="H281" t="s">
        <v>44</v>
      </c>
      <c r="I281" t="s">
        <v>34</v>
      </c>
      <c r="J281" t="s">
        <v>45</v>
      </c>
      <c r="K281" t="s">
        <v>41</v>
      </c>
      <c r="L281" t="s">
        <v>1878</v>
      </c>
      <c r="M281" t="s">
        <v>1879</v>
      </c>
      <c r="N281" t="s">
        <v>516</v>
      </c>
      <c r="O281" t="s">
        <v>64</v>
      </c>
      <c r="P281" t="s">
        <v>1880</v>
      </c>
      <c r="Q281" t="s">
        <v>166</v>
      </c>
      <c r="R281" t="s">
        <v>1881</v>
      </c>
      <c r="S281">
        <v>1.18</v>
      </c>
      <c r="T281">
        <v>5759</v>
      </c>
      <c r="U281">
        <v>0</v>
      </c>
      <c r="V281">
        <v>5759</v>
      </c>
    </row>
    <row r="282" spans="1:22" x14ac:dyDescent="0.3">
      <c r="A282">
        <v>79452</v>
      </c>
      <c r="B282">
        <v>137983055</v>
      </c>
      <c r="C282" t="s">
        <v>1882</v>
      </c>
      <c r="D282" t="s">
        <v>1883</v>
      </c>
      <c r="E282" t="s">
        <v>513</v>
      </c>
      <c r="F282" t="s">
        <v>514</v>
      </c>
      <c r="G282" t="s">
        <v>43</v>
      </c>
      <c r="H282" t="s">
        <v>44</v>
      </c>
      <c r="I282" t="s">
        <v>34</v>
      </c>
      <c r="J282" t="s">
        <v>45</v>
      </c>
      <c r="K282" t="s">
        <v>41</v>
      </c>
      <c r="L282" t="s">
        <v>1884</v>
      </c>
      <c r="M282" t="s">
        <v>1885</v>
      </c>
      <c r="N282" t="s">
        <v>516</v>
      </c>
      <c r="O282" t="s">
        <v>64</v>
      </c>
      <c r="P282" t="s">
        <v>1886</v>
      </c>
      <c r="Q282" t="s">
        <v>82</v>
      </c>
      <c r="R282" t="s">
        <v>416</v>
      </c>
      <c r="S282">
        <v>1</v>
      </c>
      <c r="T282">
        <v>5990</v>
      </c>
      <c r="U282">
        <v>0</v>
      </c>
      <c r="V282">
        <v>5990</v>
      </c>
    </row>
    <row r="283" spans="1:22" x14ac:dyDescent="0.3">
      <c r="A283">
        <v>79452</v>
      </c>
      <c r="B283">
        <v>137963561</v>
      </c>
      <c r="C283" t="s">
        <v>1887</v>
      </c>
      <c r="D283" t="s">
        <v>1888</v>
      </c>
      <c r="E283" t="s">
        <v>513</v>
      </c>
      <c r="F283" t="s">
        <v>514</v>
      </c>
      <c r="G283" t="s">
        <v>43</v>
      </c>
      <c r="H283" t="s">
        <v>44</v>
      </c>
      <c r="I283" t="s">
        <v>34</v>
      </c>
      <c r="J283" t="s">
        <v>45</v>
      </c>
      <c r="K283" t="s">
        <v>41</v>
      </c>
      <c r="L283" t="s">
        <v>1889</v>
      </c>
      <c r="M283" t="s">
        <v>1890</v>
      </c>
      <c r="N283" t="s">
        <v>516</v>
      </c>
      <c r="O283" t="s">
        <v>64</v>
      </c>
      <c r="P283" t="s">
        <v>1891</v>
      </c>
      <c r="Q283" t="s">
        <v>61</v>
      </c>
      <c r="R283" t="s">
        <v>1849</v>
      </c>
      <c r="S283">
        <v>1</v>
      </c>
      <c r="T283">
        <v>3501</v>
      </c>
      <c r="U283">
        <v>0</v>
      </c>
      <c r="V283">
        <v>3501</v>
      </c>
    </row>
    <row r="284" spans="1:22" x14ac:dyDescent="0.3">
      <c r="A284">
        <v>79452</v>
      </c>
      <c r="B284">
        <v>137963529</v>
      </c>
      <c r="C284" t="s">
        <v>1892</v>
      </c>
      <c r="D284" t="s">
        <v>1893</v>
      </c>
      <c r="E284" t="s">
        <v>513</v>
      </c>
      <c r="F284" t="s">
        <v>514</v>
      </c>
      <c r="G284" t="s">
        <v>43</v>
      </c>
      <c r="H284" t="s">
        <v>44</v>
      </c>
      <c r="I284" t="s">
        <v>34</v>
      </c>
      <c r="J284" t="s">
        <v>45</v>
      </c>
      <c r="K284" t="s">
        <v>41</v>
      </c>
      <c r="L284" t="s">
        <v>1894</v>
      </c>
      <c r="M284" t="s">
        <v>1895</v>
      </c>
      <c r="N284" t="s">
        <v>516</v>
      </c>
      <c r="O284" t="s">
        <v>64</v>
      </c>
      <c r="P284" t="s">
        <v>1896</v>
      </c>
      <c r="Q284" t="s">
        <v>82</v>
      </c>
      <c r="R284" t="s">
        <v>1849</v>
      </c>
      <c r="S284">
        <v>1</v>
      </c>
      <c r="T284">
        <v>5990</v>
      </c>
      <c r="U284">
        <v>0</v>
      </c>
      <c r="V284">
        <v>5990</v>
      </c>
    </row>
    <row r="285" spans="1:22" x14ac:dyDescent="0.3">
      <c r="A285">
        <v>79452</v>
      </c>
      <c r="B285">
        <v>137633611</v>
      </c>
      <c r="C285" t="s">
        <v>1897</v>
      </c>
      <c r="D285" t="s">
        <v>1898</v>
      </c>
      <c r="E285" t="s">
        <v>513</v>
      </c>
      <c r="F285" t="s">
        <v>514</v>
      </c>
      <c r="G285" t="s">
        <v>43</v>
      </c>
      <c r="H285" t="s">
        <v>44</v>
      </c>
      <c r="I285" t="s">
        <v>34</v>
      </c>
      <c r="J285" t="s">
        <v>45</v>
      </c>
      <c r="K285" t="s">
        <v>41</v>
      </c>
      <c r="L285" t="s">
        <v>1899</v>
      </c>
      <c r="M285" t="s">
        <v>165</v>
      </c>
      <c r="N285" t="s">
        <v>516</v>
      </c>
      <c r="O285" t="s">
        <v>64</v>
      </c>
      <c r="P285" t="s">
        <v>1900</v>
      </c>
      <c r="Q285" t="s">
        <v>68</v>
      </c>
      <c r="R285" t="s">
        <v>1901</v>
      </c>
      <c r="S285">
        <v>0.72</v>
      </c>
      <c r="T285">
        <v>5759</v>
      </c>
      <c r="U285">
        <v>0</v>
      </c>
      <c r="V285">
        <v>5759</v>
      </c>
    </row>
    <row r="286" spans="1:22" x14ac:dyDescent="0.3">
      <c r="A286">
        <v>79452</v>
      </c>
      <c r="B286">
        <v>137933701</v>
      </c>
      <c r="C286" t="s">
        <v>1902</v>
      </c>
      <c r="D286" t="s">
        <v>1903</v>
      </c>
      <c r="E286" t="s">
        <v>513</v>
      </c>
      <c r="F286" t="s">
        <v>514</v>
      </c>
      <c r="G286" t="s">
        <v>43</v>
      </c>
      <c r="H286" t="s">
        <v>44</v>
      </c>
      <c r="I286" t="s">
        <v>34</v>
      </c>
      <c r="J286" t="s">
        <v>45</v>
      </c>
      <c r="K286" t="s">
        <v>41</v>
      </c>
      <c r="L286" t="s">
        <v>1904</v>
      </c>
      <c r="M286" t="s">
        <v>1905</v>
      </c>
      <c r="N286" t="s">
        <v>516</v>
      </c>
      <c r="O286" t="s">
        <v>64</v>
      </c>
      <c r="P286" t="s">
        <v>1906</v>
      </c>
      <c r="Q286" t="s">
        <v>114</v>
      </c>
      <c r="R286" t="s">
        <v>448</v>
      </c>
      <c r="S286">
        <v>0.91</v>
      </c>
      <c r="T286">
        <v>5696</v>
      </c>
      <c r="U286">
        <v>0</v>
      </c>
      <c r="V286">
        <v>5696</v>
      </c>
    </row>
    <row r="287" spans="1:22" x14ac:dyDescent="0.3">
      <c r="A287">
        <v>79452</v>
      </c>
      <c r="B287">
        <v>137983058</v>
      </c>
      <c r="C287" t="s">
        <v>1907</v>
      </c>
      <c r="D287" t="s">
        <v>1908</v>
      </c>
      <c r="E287" t="s">
        <v>513</v>
      </c>
      <c r="F287" t="s">
        <v>514</v>
      </c>
      <c r="G287" t="s">
        <v>43</v>
      </c>
      <c r="H287" t="s">
        <v>44</v>
      </c>
      <c r="I287" t="s">
        <v>34</v>
      </c>
      <c r="J287" t="s">
        <v>45</v>
      </c>
      <c r="K287" t="s">
        <v>41</v>
      </c>
      <c r="L287" t="s">
        <v>1909</v>
      </c>
      <c r="M287" t="s">
        <v>461</v>
      </c>
      <c r="N287" t="s">
        <v>516</v>
      </c>
      <c r="O287" t="s">
        <v>64</v>
      </c>
      <c r="P287" t="s">
        <v>1910</v>
      </c>
      <c r="Q287" t="s">
        <v>61</v>
      </c>
      <c r="R287" t="s">
        <v>416</v>
      </c>
      <c r="S287">
        <v>1</v>
      </c>
      <c r="T287">
        <v>3501</v>
      </c>
      <c r="U287">
        <v>0</v>
      </c>
      <c r="V287">
        <v>3501</v>
      </c>
    </row>
    <row r="288" spans="1:22" x14ac:dyDescent="0.3">
      <c r="A288">
        <v>79452</v>
      </c>
      <c r="B288">
        <v>137909821</v>
      </c>
      <c r="C288" t="s">
        <v>1911</v>
      </c>
      <c r="D288" t="s">
        <v>1912</v>
      </c>
      <c r="E288" t="s">
        <v>513</v>
      </c>
      <c r="F288" t="s">
        <v>514</v>
      </c>
      <c r="G288" t="s">
        <v>43</v>
      </c>
      <c r="H288" t="s">
        <v>44</v>
      </c>
      <c r="I288" t="s">
        <v>34</v>
      </c>
      <c r="J288" t="s">
        <v>45</v>
      </c>
      <c r="K288" t="s">
        <v>41</v>
      </c>
      <c r="L288" t="s">
        <v>1913</v>
      </c>
      <c r="M288" t="s">
        <v>1914</v>
      </c>
      <c r="N288" t="s">
        <v>516</v>
      </c>
      <c r="O288" t="s">
        <v>64</v>
      </c>
      <c r="P288" t="s">
        <v>1915</v>
      </c>
      <c r="Q288" t="s">
        <v>53</v>
      </c>
      <c r="R288" t="s">
        <v>1875</v>
      </c>
      <c r="S288">
        <v>0.79</v>
      </c>
      <c r="T288">
        <v>3642</v>
      </c>
      <c r="U288">
        <v>0</v>
      </c>
      <c r="V288">
        <v>3642</v>
      </c>
    </row>
    <row r="289" spans="1:22" x14ac:dyDescent="0.3">
      <c r="A289">
        <v>79452</v>
      </c>
      <c r="B289">
        <v>137879367</v>
      </c>
      <c r="C289" t="s">
        <v>1916</v>
      </c>
      <c r="D289" t="s">
        <v>1917</v>
      </c>
      <c r="E289" t="s">
        <v>513</v>
      </c>
      <c r="F289" t="s">
        <v>514</v>
      </c>
      <c r="G289" t="s">
        <v>43</v>
      </c>
      <c r="H289" t="s">
        <v>44</v>
      </c>
      <c r="I289" t="s">
        <v>34</v>
      </c>
      <c r="J289" t="s">
        <v>45</v>
      </c>
      <c r="K289" t="s">
        <v>41</v>
      </c>
      <c r="L289" t="s">
        <v>1918</v>
      </c>
      <c r="M289" t="s">
        <v>586</v>
      </c>
      <c r="N289" t="s">
        <v>516</v>
      </c>
      <c r="O289" t="s">
        <v>64</v>
      </c>
      <c r="P289" t="s">
        <v>587</v>
      </c>
      <c r="Q289" t="s">
        <v>111</v>
      </c>
      <c r="R289" t="s">
        <v>1919</v>
      </c>
      <c r="S289">
        <v>2.79</v>
      </c>
      <c r="T289">
        <v>5696</v>
      </c>
      <c r="U289">
        <v>0</v>
      </c>
      <c r="V289">
        <v>5696</v>
      </c>
    </row>
    <row r="290" spans="1:22" x14ac:dyDescent="0.3">
      <c r="A290">
        <v>79452</v>
      </c>
      <c r="B290">
        <v>137554389</v>
      </c>
      <c r="C290" t="s">
        <v>1920</v>
      </c>
      <c r="D290" t="s">
        <v>1921</v>
      </c>
      <c r="E290" t="s">
        <v>513</v>
      </c>
      <c r="F290" t="s">
        <v>514</v>
      </c>
      <c r="G290" t="s">
        <v>43</v>
      </c>
      <c r="H290" t="s">
        <v>44</v>
      </c>
      <c r="I290" t="s">
        <v>34</v>
      </c>
      <c r="J290" t="s">
        <v>45</v>
      </c>
      <c r="K290" t="s">
        <v>41</v>
      </c>
      <c r="L290" t="s">
        <v>1922</v>
      </c>
      <c r="M290" t="s">
        <v>334</v>
      </c>
      <c r="N290" t="s">
        <v>516</v>
      </c>
      <c r="O290" t="s">
        <v>64</v>
      </c>
      <c r="P290" t="s">
        <v>1923</v>
      </c>
      <c r="Q290" t="s">
        <v>50</v>
      </c>
      <c r="R290" t="s">
        <v>366</v>
      </c>
      <c r="S290">
        <v>1</v>
      </c>
      <c r="T290">
        <v>5198</v>
      </c>
      <c r="U290">
        <v>0</v>
      </c>
      <c r="V290">
        <v>5198</v>
      </c>
    </row>
    <row r="291" spans="1:22" x14ac:dyDescent="0.3">
      <c r="A291">
        <v>79452</v>
      </c>
      <c r="B291">
        <v>137963552</v>
      </c>
      <c r="C291" t="s">
        <v>1924</v>
      </c>
      <c r="D291" t="s">
        <v>1925</v>
      </c>
      <c r="E291" t="s">
        <v>513</v>
      </c>
      <c r="F291" t="s">
        <v>514</v>
      </c>
      <c r="G291" t="s">
        <v>43</v>
      </c>
      <c r="H291" t="s">
        <v>44</v>
      </c>
      <c r="I291" t="s">
        <v>34</v>
      </c>
      <c r="J291" t="s">
        <v>45</v>
      </c>
      <c r="K291" t="s">
        <v>41</v>
      </c>
      <c r="L291" t="s">
        <v>1926</v>
      </c>
      <c r="M291" t="s">
        <v>1927</v>
      </c>
      <c r="N291" t="s">
        <v>516</v>
      </c>
      <c r="O291" t="s">
        <v>64</v>
      </c>
      <c r="P291" t="s">
        <v>1928</v>
      </c>
      <c r="Q291" t="s">
        <v>118</v>
      </c>
      <c r="R291" t="s">
        <v>1849</v>
      </c>
      <c r="S291">
        <v>1</v>
      </c>
      <c r="T291">
        <v>4230</v>
      </c>
      <c r="U291">
        <v>0</v>
      </c>
      <c r="V291">
        <v>4230</v>
      </c>
    </row>
    <row r="292" spans="1:22" x14ac:dyDescent="0.3">
      <c r="A292">
        <v>79452</v>
      </c>
      <c r="B292">
        <v>137963542</v>
      </c>
      <c r="C292" t="s">
        <v>1929</v>
      </c>
      <c r="D292" t="s">
        <v>1930</v>
      </c>
      <c r="E292" t="s">
        <v>513</v>
      </c>
      <c r="F292" t="s">
        <v>514</v>
      </c>
      <c r="G292" t="s">
        <v>43</v>
      </c>
      <c r="H292" t="s">
        <v>44</v>
      </c>
      <c r="I292" t="s">
        <v>34</v>
      </c>
      <c r="J292" t="s">
        <v>45</v>
      </c>
      <c r="K292" t="s">
        <v>41</v>
      </c>
      <c r="L292" t="s">
        <v>1931</v>
      </c>
      <c r="M292" t="s">
        <v>1932</v>
      </c>
      <c r="N292" t="s">
        <v>516</v>
      </c>
      <c r="O292" t="s">
        <v>64</v>
      </c>
      <c r="P292" t="s">
        <v>1933</v>
      </c>
      <c r="Q292" t="s">
        <v>106</v>
      </c>
      <c r="R292" t="s">
        <v>1849</v>
      </c>
      <c r="S292">
        <v>1</v>
      </c>
      <c r="T292">
        <v>4025</v>
      </c>
      <c r="U292">
        <v>0</v>
      </c>
      <c r="V292">
        <v>4025</v>
      </c>
    </row>
    <row r="293" spans="1:22" x14ac:dyDescent="0.3">
      <c r="A293">
        <v>79452</v>
      </c>
      <c r="B293">
        <v>137963538</v>
      </c>
      <c r="C293" t="s">
        <v>1934</v>
      </c>
      <c r="D293" t="s">
        <v>1935</v>
      </c>
      <c r="E293" t="s">
        <v>513</v>
      </c>
      <c r="F293" t="s">
        <v>514</v>
      </c>
      <c r="G293" t="s">
        <v>43</v>
      </c>
      <c r="H293" t="s">
        <v>44</v>
      </c>
      <c r="I293" t="s">
        <v>34</v>
      </c>
      <c r="J293" t="s">
        <v>45</v>
      </c>
      <c r="K293" t="s">
        <v>41</v>
      </c>
      <c r="L293" t="s">
        <v>1936</v>
      </c>
      <c r="M293" t="s">
        <v>1937</v>
      </c>
      <c r="N293" t="s">
        <v>516</v>
      </c>
      <c r="O293" t="s">
        <v>64</v>
      </c>
      <c r="P293" t="s">
        <v>1938</v>
      </c>
      <c r="Q293" t="s">
        <v>102</v>
      </c>
      <c r="R293" t="s">
        <v>1849</v>
      </c>
      <c r="S293">
        <v>1</v>
      </c>
      <c r="T293">
        <v>3501</v>
      </c>
      <c r="U293">
        <v>0</v>
      </c>
      <c r="V293">
        <v>3501</v>
      </c>
    </row>
    <row r="294" spans="1:22" x14ac:dyDescent="0.3">
      <c r="A294">
        <v>79452</v>
      </c>
      <c r="B294">
        <v>137909791</v>
      </c>
      <c r="C294" t="s">
        <v>1939</v>
      </c>
      <c r="D294" t="s">
        <v>1940</v>
      </c>
      <c r="E294" t="s">
        <v>513</v>
      </c>
      <c r="F294" t="s">
        <v>514</v>
      </c>
      <c r="G294" t="s">
        <v>43</v>
      </c>
      <c r="H294" t="s">
        <v>44</v>
      </c>
      <c r="I294" t="s">
        <v>34</v>
      </c>
      <c r="J294" t="s">
        <v>45</v>
      </c>
      <c r="K294" t="s">
        <v>41</v>
      </c>
      <c r="L294" t="s">
        <v>1941</v>
      </c>
      <c r="M294" t="s">
        <v>1942</v>
      </c>
      <c r="N294" t="s">
        <v>516</v>
      </c>
      <c r="O294" t="s">
        <v>64</v>
      </c>
      <c r="P294" t="s">
        <v>1943</v>
      </c>
      <c r="Q294" t="s">
        <v>118</v>
      </c>
      <c r="R294" t="s">
        <v>1217</v>
      </c>
      <c r="S294">
        <v>0.92</v>
      </c>
      <c r="T294">
        <v>4230</v>
      </c>
      <c r="U294">
        <v>0</v>
      </c>
      <c r="V294">
        <v>4230</v>
      </c>
    </row>
    <row r="295" spans="1:22" x14ac:dyDescent="0.3">
      <c r="A295">
        <v>79452</v>
      </c>
      <c r="B295">
        <v>137870249</v>
      </c>
      <c r="C295" t="s">
        <v>1944</v>
      </c>
      <c r="D295" t="s">
        <v>1945</v>
      </c>
      <c r="E295" t="s">
        <v>513</v>
      </c>
      <c r="F295" t="s">
        <v>514</v>
      </c>
      <c r="G295" t="s">
        <v>43</v>
      </c>
      <c r="H295" t="s">
        <v>44</v>
      </c>
      <c r="I295" t="s">
        <v>34</v>
      </c>
      <c r="J295" t="s">
        <v>45</v>
      </c>
      <c r="K295" t="s">
        <v>41</v>
      </c>
      <c r="L295" t="s">
        <v>1946</v>
      </c>
      <c r="M295" t="s">
        <v>1947</v>
      </c>
      <c r="N295" t="s">
        <v>516</v>
      </c>
      <c r="O295" t="s">
        <v>64</v>
      </c>
      <c r="P295" t="s">
        <v>1948</v>
      </c>
      <c r="Q295" t="s">
        <v>82</v>
      </c>
      <c r="R295" t="s">
        <v>1000</v>
      </c>
      <c r="S295">
        <v>1.42</v>
      </c>
      <c r="T295">
        <v>5990</v>
      </c>
      <c r="U295">
        <v>0</v>
      </c>
      <c r="V295">
        <v>5990</v>
      </c>
    </row>
    <row r="296" spans="1:22" x14ac:dyDescent="0.3">
      <c r="A296">
        <v>79452</v>
      </c>
      <c r="B296">
        <v>137983035</v>
      </c>
      <c r="C296" t="s">
        <v>1949</v>
      </c>
      <c r="D296" t="s">
        <v>1950</v>
      </c>
      <c r="E296" t="s">
        <v>513</v>
      </c>
      <c r="F296" t="s">
        <v>514</v>
      </c>
      <c r="G296" t="s">
        <v>43</v>
      </c>
      <c r="H296" t="s">
        <v>44</v>
      </c>
      <c r="I296" t="s">
        <v>34</v>
      </c>
      <c r="J296" t="s">
        <v>45</v>
      </c>
      <c r="K296" t="s">
        <v>41</v>
      </c>
      <c r="L296" t="s">
        <v>1951</v>
      </c>
      <c r="M296" t="s">
        <v>496</v>
      </c>
      <c r="N296" t="s">
        <v>516</v>
      </c>
      <c r="O296" t="s">
        <v>64</v>
      </c>
      <c r="P296" t="s">
        <v>1952</v>
      </c>
      <c r="Q296" t="s">
        <v>125</v>
      </c>
      <c r="R296" t="s">
        <v>416</v>
      </c>
      <c r="S296">
        <v>1</v>
      </c>
      <c r="T296">
        <v>4230</v>
      </c>
      <c r="U296">
        <v>0</v>
      </c>
      <c r="V296">
        <v>4230</v>
      </c>
    </row>
    <row r="297" spans="1:22" x14ac:dyDescent="0.3">
      <c r="A297">
        <v>79452</v>
      </c>
      <c r="B297">
        <v>137658993</v>
      </c>
      <c r="C297" t="s">
        <v>1953</v>
      </c>
      <c r="D297" t="s">
        <v>1954</v>
      </c>
      <c r="E297" t="s">
        <v>513</v>
      </c>
      <c r="F297" t="s">
        <v>514</v>
      </c>
      <c r="G297" t="s">
        <v>43</v>
      </c>
      <c r="H297" t="s">
        <v>44</v>
      </c>
      <c r="I297" t="s">
        <v>34</v>
      </c>
      <c r="J297" t="s">
        <v>45</v>
      </c>
      <c r="K297" t="s">
        <v>41</v>
      </c>
      <c r="L297" t="s">
        <v>1955</v>
      </c>
      <c r="M297" t="s">
        <v>1956</v>
      </c>
      <c r="N297" t="s">
        <v>516</v>
      </c>
      <c r="O297" t="s">
        <v>64</v>
      </c>
      <c r="P297" t="s">
        <v>1957</v>
      </c>
      <c r="Q297" t="s">
        <v>50</v>
      </c>
      <c r="R297" t="s">
        <v>1958</v>
      </c>
      <c r="S297">
        <v>1.19</v>
      </c>
      <c r="T297">
        <v>5198</v>
      </c>
      <c r="U297">
        <v>0</v>
      </c>
      <c r="V297">
        <v>5198</v>
      </c>
    </row>
    <row r="298" spans="1:22" x14ac:dyDescent="0.3">
      <c r="A298">
        <v>79452</v>
      </c>
      <c r="B298">
        <v>137408463</v>
      </c>
      <c r="C298" t="s">
        <v>1959</v>
      </c>
      <c r="D298" t="s">
        <v>1960</v>
      </c>
      <c r="E298" t="s">
        <v>513</v>
      </c>
      <c r="F298" t="s">
        <v>514</v>
      </c>
      <c r="G298" t="s">
        <v>43</v>
      </c>
      <c r="H298" t="s">
        <v>44</v>
      </c>
      <c r="I298" t="s">
        <v>34</v>
      </c>
      <c r="J298" t="s">
        <v>45</v>
      </c>
      <c r="K298" t="s">
        <v>41</v>
      </c>
      <c r="L298" t="s">
        <v>1961</v>
      </c>
      <c r="M298" t="s">
        <v>1962</v>
      </c>
      <c r="N298" t="s">
        <v>516</v>
      </c>
      <c r="O298" t="s">
        <v>64</v>
      </c>
      <c r="P298" t="s">
        <v>1963</v>
      </c>
      <c r="Q298" t="s">
        <v>68</v>
      </c>
      <c r="R298" t="s">
        <v>1881</v>
      </c>
      <c r="S298">
        <v>1.06</v>
      </c>
      <c r="T298">
        <v>5759</v>
      </c>
      <c r="U298">
        <v>0</v>
      </c>
      <c r="V298">
        <v>5759</v>
      </c>
    </row>
    <row r="299" spans="1:22" x14ac:dyDescent="0.3">
      <c r="A299">
        <v>79452</v>
      </c>
      <c r="B299">
        <v>137848746</v>
      </c>
      <c r="C299" t="s">
        <v>1964</v>
      </c>
      <c r="D299" t="s">
        <v>1965</v>
      </c>
      <c r="E299" t="s">
        <v>513</v>
      </c>
      <c r="F299" t="s">
        <v>514</v>
      </c>
      <c r="G299" t="s">
        <v>43</v>
      </c>
      <c r="H299" t="s">
        <v>44</v>
      </c>
      <c r="I299" t="s">
        <v>34</v>
      </c>
      <c r="J299" t="s">
        <v>45</v>
      </c>
      <c r="K299" t="s">
        <v>41</v>
      </c>
      <c r="L299" t="s">
        <v>1966</v>
      </c>
      <c r="M299" t="s">
        <v>1967</v>
      </c>
      <c r="N299" t="s">
        <v>516</v>
      </c>
      <c r="O299" t="s">
        <v>64</v>
      </c>
      <c r="P299" t="s">
        <v>1968</v>
      </c>
      <c r="Q299" t="s">
        <v>125</v>
      </c>
      <c r="R299" t="s">
        <v>1969</v>
      </c>
      <c r="S299">
        <v>0.75</v>
      </c>
      <c r="T299">
        <v>4230</v>
      </c>
      <c r="U299">
        <v>0</v>
      </c>
      <c r="V299">
        <v>4230</v>
      </c>
    </row>
    <row r="300" spans="1:22" x14ac:dyDescent="0.3">
      <c r="A300">
        <v>79452</v>
      </c>
      <c r="B300">
        <v>137963566</v>
      </c>
      <c r="C300" t="s">
        <v>1970</v>
      </c>
      <c r="D300" t="s">
        <v>1971</v>
      </c>
      <c r="E300" t="s">
        <v>513</v>
      </c>
      <c r="F300" t="s">
        <v>514</v>
      </c>
      <c r="G300" t="s">
        <v>43</v>
      </c>
      <c r="H300" t="s">
        <v>44</v>
      </c>
      <c r="I300" t="s">
        <v>34</v>
      </c>
      <c r="J300" t="s">
        <v>45</v>
      </c>
      <c r="K300" t="s">
        <v>41</v>
      </c>
      <c r="L300" t="s">
        <v>1972</v>
      </c>
      <c r="M300" t="s">
        <v>1973</v>
      </c>
      <c r="N300" t="s">
        <v>516</v>
      </c>
      <c r="O300" t="s">
        <v>64</v>
      </c>
      <c r="P300" t="s">
        <v>1974</v>
      </c>
      <c r="Q300" t="s">
        <v>62</v>
      </c>
      <c r="R300" t="s">
        <v>1849</v>
      </c>
      <c r="S300">
        <v>1.93</v>
      </c>
      <c r="T300">
        <v>3936</v>
      </c>
      <c r="U300">
        <v>0</v>
      </c>
      <c r="V300">
        <v>3936</v>
      </c>
    </row>
    <row r="301" spans="1:22" x14ac:dyDescent="0.3">
      <c r="A301">
        <v>79452</v>
      </c>
      <c r="B301">
        <v>137983031</v>
      </c>
      <c r="C301" t="s">
        <v>1975</v>
      </c>
      <c r="D301" t="s">
        <v>1976</v>
      </c>
      <c r="E301" t="s">
        <v>513</v>
      </c>
      <c r="F301" t="s">
        <v>514</v>
      </c>
      <c r="G301" t="s">
        <v>43</v>
      </c>
      <c r="H301" t="s">
        <v>44</v>
      </c>
      <c r="I301" t="s">
        <v>34</v>
      </c>
      <c r="J301" t="s">
        <v>45</v>
      </c>
      <c r="K301" t="s">
        <v>41</v>
      </c>
      <c r="L301" t="s">
        <v>1977</v>
      </c>
      <c r="M301" t="s">
        <v>1978</v>
      </c>
      <c r="N301" t="s">
        <v>516</v>
      </c>
      <c r="O301" t="s">
        <v>64</v>
      </c>
      <c r="P301" t="s">
        <v>1979</v>
      </c>
      <c r="Q301" t="s">
        <v>108</v>
      </c>
      <c r="R301" t="s">
        <v>416</v>
      </c>
      <c r="S301">
        <v>1</v>
      </c>
      <c r="T301">
        <v>3501</v>
      </c>
      <c r="U301">
        <v>0</v>
      </c>
      <c r="V301">
        <v>3501</v>
      </c>
    </row>
    <row r="302" spans="1:22" x14ac:dyDescent="0.3">
      <c r="A302">
        <v>79452</v>
      </c>
      <c r="B302">
        <v>137963526</v>
      </c>
      <c r="C302" t="s">
        <v>1980</v>
      </c>
      <c r="D302" t="s">
        <v>1981</v>
      </c>
      <c r="E302" t="s">
        <v>513</v>
      </c>
      <c r="F302" t="s">
        <v>514</v>
      </c>
      <c r="G302" t="s">
        <v>43</v>
      </c>
      <c r="H302" t="s">
        <v>44</v>
      </c>
      <c r="I302" t="s">
        <v>34</v>
      </c>
      <c r="J302" t="s">
        <v>45</v>
      </c>
      <c r="K302" t="s">
        <v>41</v>
      </c>
      <c r="L302" t="s">
        <v>1982</v>
      </c>
      <c r="M302" t="s">
        <v>1983</v>
      </c>
      <c r="N302" t="s">
        <v>516</v>
      </c>
      <c r="O302" t="s">
        <v>64</v>
      </c>
      <c r="P302" t="s">
        <v>1984</v>
      </c>
      <c r="Q302" t="s">
        <v>112</v>
      </c>
      <c r="R302" t="s">
        <v>1849</v>
      </c>
      <c r="S302">
        <v>2.0699999999999998</v>
      </c>
      <c r="T302">
        <v>3501</v>
      </c>
      <c r="U302">
        <v>0</v>
      </c>
      <c r="V302">
        <v>3501</v>
      </c>
    </row>
    <row r="303" spans="1:22" x14ac:dyDescent="0.3">
      <c r="A303">
        <v>79452</v>
      </c>
      <c r="B303">
        <v>137837188</v>
      </c>
      <c r="C303" t="s">
        <v>1985</v>
      </c>
      <c r="D303" t="s">
        <v>1986</v>
      </c>
      <c r="E303" t="s">
        <v>513</v>
      </c>
      <c r="F303" t="s">
        <v>514</v>
      </c>
      <c r="G303" t="s">
        <v>43</v>
      </c>
      <c r="H303" t="s">
        <v>44</v>
      </c>
      <c r="I303" t="s">
        <v>34</v>
      </c>
      <c r="J303" t="s">
        <v>45</v>
      </c>
      <c r="K303" t="s">
        <v>41</v>
      </c>
      <c r="L303" t="s">
        <v>1987</v>
      </c>
      <c r="M303" t="s">
        <v>1988</v>
      </c>
      <c r="N303" t="s">
        <v>516</v>
      </c>
      <c r="O303" t="s">
        <v>64</v>
      </c>
      <c r="P303" t="s">
        <v>1989</v>
      </c>
      <c r="Q303" t="s">
        <v>61</v>
      </c>
      <c r="R303" t="s">
        <v>403</v>
      </c>
      <c r="S303">
        <v>0.27</v>
      </c>
      <c r="T303">
        <v>3431</v>
      </c>
      <c r="U303">
        <v>0</v>
      </c>
      <c r="V303">
        <v>3431</v>
      </c>
    </row>
    <row r="304" spans="1:22" x14ac:dyDescent="0.3">
      <c r="A304">
        <v>79452</v>
      </c>
      <c r="B304">
        <v>137909771</v>
      </c>
      <c r="C304" t="s">
        <v>1990</v>
      </c>
      <c r="D304" t="s">
        <v>1991</v>
      </c>
      <c r="E304" t="s">
        <v>513</v>
      </c>
      <c r="F304" t="s">
        <v>514</v>
      </c>
      <c r="G304" t="s">
        <v>43</v>
      </c>
      <c r="H304" t="s">
        <v>44</v>
      </c>
      <c r="I304" t="s">
        <v>34</v>
      </c>
      <c r="J304" t="s">
        <v>45</v>
      </c>
      <c r="K304" t="s">
        <v>41</v>
      </c>
      <c r="L304" t="s">
        <v>1992</v>
      </c>
      <c r="M304" t="s">
        <v>1993</v>
      </c>
      <c r="N304" t="s">
        <v>516</v>
      </c>
      <c r="O304" t="s">
        <v>64</v>
      </c>
      <c r="P304" t="s">
        <v>1994</v>
      </c>
      <c r="Q304" t="s">
        <v>50</v>
      </c>
      <c r="R304" t="s">
        <v>1217</v>
      </c>
      <c r="S304">
        <v>1</v>
      </c>
      <c r="T304">
        <v>5406</v>
      </c>
      <c r="U304">
        <v>0</v>
      </c>
      <c r="V304">
        <v>5406</v>
      </c>
    </row>
    <row r="305" spans="1:22" x14ac:dyDescent="0.3">
      <c r="A305">
        <v>79452</v>
      </c>
      <c r="B305">
        <v>137837168</v>
      </c>
      <c r="C305" t="s">
        <v>1995</v>
      </c>
      <c r="D305" t="s">
        <v>1996</v>
      </c>
      <c r="E305" t="s">
        <v>513</v>
      </c>
      <c r="F305" t="s">
        <v>514</v>
      </c>
      <c r="G305" t="s">
        <v>43</v>
      </c>
      <c r="H305" t="s">
        <v>44</v>
      </c>
      <c r="I305" t="s">
        <v>34</v>
      </c>
      <c r="J305" t="s">
        <v>45</v>
      </c>
      <c r="K305" t="s">
        <v>41</v>
      </c>
      <c r="L305" t="s">
        <v>1997</v>
      </c>
      <c r="M305" t="s">
        <v>1998</v>
      </c>
      <c r="N305" t="s">
        <v>516</v>
      </c>
      <c r="O305" t="s">
        <v>64</v>
      </c>
      <c r="P305" t="s">
        <v>1999</v>
      </c>
      <c r="Q305" t="s">
        <v>175</v>
      </c>
      <c r="R305" t="s">
        <v>403</v>
      </c>
      <c r="S305">
        <v>2.2200000000000002</v>
      </c>
      <c r="T305">
        <v>4230</v>
      </c>
      <c r="U305">
        <v>0</v>
      </c>
      <c r="V305">
        <v>4230</v>
      </c>
    </row>
    <row r="306" spans="1:22" x14ac:dyDescent="0.3">
      <c r="A306">
        <v>79452</v>
      </c>
      <c r="B306">
        <v>137983037</v>
      </c>
      <c r="C306" t="s">
        <v>2000</v>
      </c>
      <c r="D306" t="s">
        <v>2001</v>
      </c>
      <c r="E306" t="s">
        <v>513</v>
      </c>
      <c r="F306" t="s">
        <v>514</v>
      </c>
      <c r="G306" t="s">
        <v>43</v>
      </c>
      <c r="H306" t="s">
        <v>44</v>
      </c>
      <c r="I306" t="s">
        <v>34</v>
      </c>
      <c r="J306" t="s">
        <v>45</v>
      </c>
      <c r="K306" t="s">
        <v>41</v>
      </c>
      <c r="L306" t="s">
        <v>2002</v>
      </c>
      <c r="M306" t="s">
        <v>2003</v>
      </c>
      <c r="N306" t="s">
        <v>516</v>
      </c>
      <c r="O306" t="s">
        <v>64</v>
      </c>
      <c r="P306" t="s">
        <v>2004</v>
      </c>
      <c r="Q306" t="s">
        <v>125</v>
      </c>
      <c r="R306" t="s">
        <v>416</v>
      </c>
      <c r="S306">
        <v>0.86</v>
      </c>
      <c r="T306">
        <v>4230</v>
      </c>
      <c r="U306">
        <v>0</v>
      </c>
      <c r="V306">
        <v>4230</v>
      </c>
    </row>
    <row r="307" spans="1:22" x14ac:dyDescent="0.3">
      <c r="A307">
        <v>79452</v>
      </c>
      <c r="B307">
        <v>137848760</v>
      </c>
      <c r="C307" t="s">
        <v>2005</v>
      </c>
      <c r="D307" t="s">
        <v>2006</v>
      </c>
      <c r="E307" t="s">
        <v>513</v>
      </c>
      <c r="F307" t="s">
        <v>514</v>
      </c>
      <c r="G307" t="s">
        <v>43</v>
      </c>
      <c r="H307" t="s">
        <v>44</v>
      </c>
      <c r="I307" t="s">
        <v>34</v>
      </c>
      <c r="J307" t="s">
        <v>45</v>
      </c>
      <c r="K307" t="s">
        <v>41</v>
      </c>
      <c r="L307" t="s">
        <v>2007</v>
      </c>
      <c r="M307" t="s">
        <v>2008</v>
      </c>
      <c r="N307" t="s">
        <v>516</v>
      </c>
      <c r="O307" t="s">
        <v>64</v>
      </c>
      <c r="P307" t="s">
        <v>2009</v>
      </c>
      <c r="Q307" t="s">
        <v>193</v>
      </c>
      <c r="R307" t="s">
        <v>1969</v>
      </c>
      <c r="S307">
        <v>1.08</v>
      </c>
      <c r="T307">
        <v>3936</v>
      </c>
      <c r="U307">
        <v>0</v>
      </c>
      <c r="V307">
        <v>3936</v>
      </c>
    </row>
    <row r="308" spans="1:22" x14ac:dyDescent="0.3">
      <c r="A308">
        <v>79452</v>
      </c>
      <c r="B308">
        <v>137963535</v>
      </c>
      <c r="C308" t="s">
        <v>2010</v>
      </c>
      <c r="D308" t="s">
        <v>2011</v>
      </c>
      <c r="E308" t="s">
        <v>513</v>
      </c>
      <c r="F308" t="s">
        <v>514</v>
      </c>
      <c r="G308" t="s">
        <v>43</v>
      </c>
      <c r="H308" t="s">
        <v>44</v>
      </c>
      <c r="I308" t="s">
        <v>34</v>
      </c>
      <c r="J308" t="s">
        <v>45</v>
      </c>
      <c r="K308" t="s">
        <v>41</v>
      </c>
      <c r="L308" t="s">
        <v>2012</v>
      </c>
      <c r="M308" t="s">
        <v>2013</v>
      </c>
      <c r="N308" t="s">
        <v>516</v>
      </c>
      <c r="O308" t="s">
        <v>64</v>
      </c>
      <c r="P308" t="s">
        <v>2014</v>
      </c>
      <c r="Q308" t="s">
        <v>172</v>
      </c>
      <c r="R308" t="s">
        <v>1849</v>
      </c>
      <c r="S308">
        <v>1</v>
      </c>
      <c r="T308">
        <v>4881</v>
      </c>
      <c r="U308">
        <v>0</v>
      </c>
      <c r="V308">
        <v>4881</v>
      </c>
    </row>
    <row r="309" spans="1:22" x14ac:dyDescent="0.3">
      <c r="A309">
        <v>79452</v>
      </c>
      <c r="B309">
        <v>137837162</v>
      </c>
      <c r="C309" t="s">
        <v>2015</v>
      </c>
      <c r="D309" t="s">
        <v>2016</v>
      </c>
      <c r="E309" t="s">
        <v>513</v>
      </c>
      <c r="F309" t="s">
        <v>514</v>
      </c>
      <c r="G309" t="s">
        <v>43</v>
      </c>
      <c r="H309" t="s">
        <v>44</v>
      </c>
      <c r="I309" t="s">
        <v>34</v>
      </c>
      <c r="J309" t="s">
        <v>45</v>
      </c>
      <c r="K309" t="s">
        <v>41</v>
      </c>
      <c r="L309" t="s">
        <v>2017</v>
      </c>
      <c r="M309" t="s">
        <v>2018</v>
      </c>
      <c r="N309" t="s">
        <v>516</v>
      </c>
      <c r="O309" t="s">
        <v>64</v>
      </c>
      <c r="P309" t="s">
        <v>2019</v>
      </c>
      <c r="Q309" t="s">
        <v>61</v>
      </c>
      <c r="R309" t="s">
        <v>403</v>
      </c>
      <c r="S309">
        <v>0.56999999999999995</v>
      </c>
      <c r="T309">
        <v>3501</v>
      </c>
      <c r="U309">
        <v>0</v>
      </c>
      <c r="V309">
        <v>3501</v>
      </c>
    </row>
    <row r="310" spans="1:22" x14ac:dyDescent="0.3">
      <c r="A310">
        <v>79452</v>
      </c>
      <c r="B310">
        <v>137983034</v>
      </c>
      <c r="C310" t="s">
        <v>2020</v>
      </c>
      <c r="D310" t="s">
        <v>2021</v>
      </c>
      <c r="E310" t="s">
        <v>513</v>
      </c>
      <c r="F310" t="s">
        <v>514</v>
      </c>
      <c r="G310" t="s">
        <v>43</v>
      </c>
      <c r="H310" t="s">
        <v>44</v>
      </c>
      <c r="I310" t="s">
        <v>34</v>
      </c>
      <c r="J310" t="s">
        <v>45</v>
      </c>
      <c r="K310" t="s">
        <v>41</v>
      </c>
      <c r="L310" t="s">
        <v>2022</v>
      </c>
      <c r="M310" t="s">
        <v>2023</v>
      </c>
      <c r="N310" t="s">
        <v>516</v>
      </c>
      <c r="O310" t="s">
        <v>64</v>
      </c>
      <c r="P310" t="s">
        <v>2024</v>
      </c>
      <c r="Q310" t="s">
        <v>90</v>
      </c>
      <c r="R310" t="s">
        <v>416</v>
      </c>
      <c r="S310">
        <v>1</v>
      </c>
      <c r="T310">
        <v>3904</v>
      </c>
      <c r="U310">
        <v>0</v>
      </c>
      <c r="V310">
        <v>3904</v>
      </c>
    </row>
    <row r="311" spans="1:22" x14ac:dyDescent="0.3">
      <c r="A311">
        <v>79452</v>
      </c>
      <c r="B311">
        <v>137870251</v>
      </c>
      <c r="C311" t="s">
        <v>2025</v>
      </c>
      <c r="D311" t="s">
        <v>2026</v>
      </c>
      <c r="E311" t="s">
        <v>513</v>
      </c>
      <c r="F311" t="s">
        <v>514</v>
      </c>
      <c r="G311" t="s">
        <v>43</v>
      </c>
      <c r="H311" t="s">
        <v>44</v>
      </c>
      <c r="I311" t="s">
        <v>34</v>
      </c>
      <c r="J311" t="s">
        <v>45</v>
      </c>
      <c r="K311" t="s">
        <v>41</v>
      </c>
      <c r="L311" t="s">
        <v>2027</v>
      </c>
      <c r="M311" t="s">
        <v>2028</v>
      </c>
      <c r="N311" t="s">
        <v>516</v>
      </c>
      <c r="O311" t="s">
        <v>64</v>
      </c>
      <c r="P311" t="s">
        <v>2029</v>
      </c>
      <c r="Q311" t="s">
        <v>188</v>
      </c>
      <c r="R311" t="s">
        <v>1000</v>
      </c>
      <c r="S311">
        <v>1.1000000000000001</v>
      </c>
      <c r="T311">
        <v>3501</v>
      </c>
      <c r="U311">
        <v>0</v>
      </c>
      <c r="V311">
        <v>3501</v>
      </c>
    </row>
    <row r="312" spans="1:22" x14ac:dyDescent="0.3">
      <c r="A312">
        <v>79452</v>
      </c>
      <c r="B312">
        <v>137870258</v>
      </c>
      <c r="C312" t="s">
        <v>2030</v>
      </c>
      <c r="D312" t="s">
        <v>2031</v>
      </c>
      <c r="E312" t="s">
        <v>513</v>
      </c>
      <c r="F312" t="s">
        <v>514</v>
      </c>
      <c r="G312" t="s">
        <v>43</v>
      </c>
      <c r="H312" t="s">
        <v>44</v>
      </c>
      <c r="I312" t="s">
        <v>34</v>
      </c>
      <c r="J312" t="s">
        <v>45</v>
      </c>
      <c r="K312" t="s">
        <v>41</v>
      </c>
      <c r="L312" t="s">
        <v>2032</v>
      </c>
      <c r="M312" t="s">
        <v>2033</v>
      </c>
      <c r="N312" t="s">
        <v>516</v>
      </c>
      <c r="O312" t="s">
        <v>64</v>
      </c>
      <c r="P312" t="s">
        <v>2034</v>
      </c>
      <c r="Q312" t="s">
        <v>46</v>
      </c>
      <c r="R312" t="s">
        <v>1000</v>
      </c>
      <c r="S312">
        <v>0.88</v>
      </c>
      <c r="T312">
        <v>3501</v>
      </c>
      <c r="U312">
        <v>0</v>
      </c>
      <c r="V312">
        <v>3501</v>
      </c>
    </row>
    <row r="313" spans="1:22" x14ac:dyDescent="0.3">
      <c r="A313">
        <v>79452</v>
      </c>
      <c r="B313">
        <v>137963563</v>
      </c>
      <c r="C313" t="s">
        <v>2035</v>
      </c>
      <c r="D313" t="s">
        <v>2036</v>
      </c>
      <c r="E313" t="s">
        <v>513</v>
      </c>
      <c r="F313" t="s">
        <v>514</v>
      </c>
      <c r="G313" t="s">
        <v>43</v>
      </c>
      <c r="H313" t="s">
        <v>44</v>
      </c>
      <c r="I313" t="s">
        <v>34</v>
      </c>
      <c r="J313" t="s">
        <v>45</v>
      </c>
      <c r="K313" t="s">
        <v>41</v>
      </c>
      <c r="L313" t="s">
        <v>2037</v>
      </c>
      <c r="M313" t="s">
        <v>453</v>
      </c>
      <c r="N313" t="s">
        <v>516</v>
      </c>
      <c r="O313" t="s">
        <v>64</v>
      </c>
      <c r="P313" t="s">
        <v>2038</v>
      </c>
      <c r="Q313" t="s">
        <v>90</v>
      </c>
      <c r="R313" t="s">
        <v>1849</v>
      </c>
      <c r="S313">
        <v>1</v>
      </c>
      <c r="T313">
        <v>3904</v>
      </c>
      <c r="U313">
        <v>0</v>
      </c>
      <c r="V313">
        <v>3904</v>
      </c>
    </row>
    <row r="314" spans="1:22" x14ac:dyDescent="0.3">
      <c r="A314">
        <v>79452</v>
      </c>
      <c r="B314">
        <v>137983036</v>
      </c>
      <c r="C314" t="s">
        <v>2039</v>
      </c>
      <c r="D314" t="s">
        <v>2040</v>
      </c>
      <c r="E314" t="s">
        <v>513</v>
      </c>
      <c r="F314" t="s">
        <v>514</v>
      </c>
      <c r="G314" t="s">
        <v>43</v>
      </c>
      <c r="H314" t="s">
        <v>44</v>
      </c>
      <c r="I314" t="s">
        <v>34</v>
      </c>
      <c r="J314" t="s">
        <v>45</v>
      </c>
      <c r="K314" t="s">
        <v>41</v>
      </c>
      <c r="L314" t="s">
        <v>2041</v>
      </c>
      <c r="M314" t="s">
        <v>2042</v>
      </c>
      <c r="N314" t="s">
        <v>516</v>
      </c>
      <c r="O314" t="s">
        <v>64</v>
      </c>
      <c r="P314" t="s">
        <v>2043</v>
      </c>
      <c r="Q314" t="s">
        <v>63</v>
      </c>
      <c r="R314" t="s">
        <v>416</v>
      </c>
      <c r="S314">
        <v>1</v>
      </c>
      <c r="T314">
        <v>3501</v>
      </c>
      <c r="U314">
        <v>0</v>
      </c>
      <c r="V314">
        <v>3501</v>
      </c>
    </row>
    <row r="315" spans="1:22" x14ac:dyDescent="0.3">
      <c r="A315">
        <v>79452</v>
      </c>
      <c r="B315">
        <v>137909837</v>
      </c>
      <c r="C315" t="s">
        <v>2044</v>
      </c>
      <c r="D315" t="s">
        <v>2045</v>
      </c>
      <c r="E315" t="s">
        <v>513</v>
      </c>
      <c r="F315" t="s">
        <v>514</v>
      </c>
      <c r="G315" t="s">
        <v>43</v>
      </c>
      <c r="H315" t="s">
        <v>44</v>
      </c>
      <c r="I315" t="s">
        <v>34</v>
      </c>
      <c r="J315" t="s">
        <v>45</v>
      </c>
      <c r="K315" t="s">
        <v>41</v>
      </c>
      <c r="L315" t="s">
        <v>2046</v>
      </c>
      <c r="M315" t="s">
        <v>2047</v>
      </c>
      <c r="N315" t="s">
        <v>516</v>
      </c>
      <c r="O315" t="s">
        <v>64</v>
      </c>
      <c r="P315" t="s">
        <v>2048</v>
      </c>
      <c r="Q315" t="s">
        <v>145</v>
      </c>
      <c r="R315" t="s">
        <v>1875</v>
      </c>
      <c r="S315">
        <v>1</v>
      </c>
      <c r="T315">
        <v>3904</v>
      </c>
      <c r="U315">
        <v>0</v>
      </c>
      <c r="V315">
        <v>3904</v>
      </c>
    </row>
    <row r="316" spans="1:22" x14ac:dyDescent="0.3">
      <c r="A316">
        <v>79452</v>
      </c>
      <c r="B316">
        <v>137870230</v>
      </c>
      <c r="C316" t="s">
        <v>2049</v>
      </c>
      <c r="D316" t="s">
        <v>2050</v>
      </c>
      <c r="E316" t="s">
        <v>513</v>
      </c>
      <c r="F316" t="s">
        <v>514</v>
      </c>
      <c r="G316" t="s">
        <v>43</v>
      </c>
      <c r="H316" t="s">
        <v>44</v>
      </c>
      <c r="I316" t="s">
        <v>34</v>
      </c>
      <c r="J316" t="s">
        <v>45</v>
      </c>
      <c r="K316" t="s">
        <v>41</v>
      </c>
      <c r="L316" t="s">
        <v>2051</v>
      </c>
      <c r="M316" t="s">
        <v>2052</v>
      </c>
      <c r="N316" t="s">
        <v>516</v>
      </c>
      <c r="O316" t="s">
        <v>64</v>
      </c>
      <c r="P316" t="s">
        <v>2053</v>
      </c>
      <c r="Q316" t="s">
        <v>125</v>
      </c>
      <c r="R316" t="s">
        <v>1000</v>
      </c>
      <c r="S316">
        <v>1.17</v>
      </c>
      <c r="T316">
        <v>4230</v>
      </c>
      <c r="U316">
        <v>0</v>
      </c>
      <c r="V316">
        <v>4230</v>
      </c>
    </row>
    <row r="317" spans="1:22" x14ac:dyDescent="0.3">
      <c r="A317">
        <v>79452</v>
      </c>
      <c r="B317">
        <v>137963556</v>
      </c>
      <c r="C317" t="s">
        <v>2054</v>
      </c>
      <c r="D317" t="s">
        <v>2055</v>
      </c>
      <c r="E317" t="s">
        <v>513</v>
      </c>
      <c r="F317" t="s">
        <v>514</v>
      </c>
      <c r="G317" t="s">
        <v>43</v>
      </c>
      <c r="H317" t="s">
        <v>44</v>
      </c>
      <c r="I317" t="s">
        <v>34</v>
      </c>
      <c r="J317" t="s">
        <v>45</v>
      </c>
      <c r="K317" t="s">
        <v>41</v>
      </c>
      <c r="L317" t="s">
        <v>2056</v>
      </c>
      <c r="M317" t="s">
        <v>310</v>
      </c>
      <c r="N317" t="s">
        <v>516</v>
      </c>
      <c r="O317" t="s">
        <v>64</v>
      </c>
      <c r="P317" t="s">
        <v>2057</v>
      </c>
      <c r="Q317" t="s">
        <v>90</v>
      </c>
      <c r="R317" t="s">
        <v>1849</v>
      </c>
      <c r="S317">
        <v>1</v>
      </c>
      <c r="T317">
        <v>3904</v>
      </c>
      <c r="U317">
        <v>0</v>
      </c>
      <c r="V317">
        <v>3904</v>
      </c>
    </row>
    <row r="318" spans="1:22" x14ac:dyDescent="0.3">
      <c r="A318">
        <v>79452</v>
      </c>
      <c r="B318">
        <v>137963525</v>
      </c>
      <c r="C318" t="s">
        <v>2058</v>
      </c>
      <c r="D318" t="s">
        <v>2059</v>
      </c>
      <c r="E318" t="s">
        <v>513</v>
      </c>
      <c r="F318" t="s">
        <v>514</v>
      </c>
      <c r="G318" t="s">
        <v>43</v>
      </c>
      <c r="H318" t="s">
        <v>44</v>
      </c>
      <c r="I318" t="s">
        <v>34</v>
      </c>
      <c r="J318" t="s">
        <v>45</v>
      </c>
      <c r="K318" t="s">
        <v>41</v>
      </c>
      <c r="L318" t="s">
        <v>2060</v>
      </c>
      <c r="M318" t="s">
        <v>2061</v>
      </c>
      <c r="N318" t="s">
        <v>516</v>
      </c>
      <c r="O318" t="s">
        <v>64</v>
      </c>
      <c r="P318" t="s">
        <v>2062</v>
      </c>
      <c r="Q318" t="s">
        <v>46</v>
      </c>
      <c r="R318" t="s">
        <v>1849</v>
      </c>
      <c r="S318">
        <v>1</v>
      </c>
      <c r="T318">
        <v>3501</v>
      </c>
      <c r="U318">
        <v>0</v>
      </c>
      <c r="V318">
        <v>3501</v>
      </c>
    </row>
    <row r="319" spans="1:22" x14ac:dyDescent="0.3">
      <c r="A319">
        <v>79452</v>
      </c>
      <c r="B319">
        <v>137879374</v>
      </c>
      <c r="C319" t="s">
        <v>2063</v>
      </c>
      <c r="D319" t="s">
        <v>2064</v>
      </c>
      <c r="E319" t="s">
        <v>513</v>
      </c>
      <c r="F319" t="s">
        <v>514</v>
      </c>
      <c r="G319" t="s">
        <v>43</v>
      </c>
      <c r="H319" t="s">
        <v>44</v>
      </c>
      <c r="I319" t="s">
        <v>34</v>
      </c>
      <c r="J319" t="s">
        <v>45</v>
      </c>
      <c r="K319" t="s">
        <v>41</v>
      </c>
      <c r="L319" t="s">
        <v>2065</v>
      </c>
      <c r="M319" t="s">
        <v>2066</v>
      </c>
      <c r="N319" t="s">
        <v>516</v>
      </c>
      <c r="O319" t="s">
        <v>64</v>
      </c>
      <c r="P319" t="s">
        <v>2067</v>
      </c>
      <c r="Q319" t="s">
        <v>111</v>
      </c>
      <c r="R319" t="s">
        <v>1919</v>
      </c>
      <c r="S319">
        <v>2.2599999999999998</v>
      </c>
      <c r="T319">
        <v>5696</v>
      </c>
      <c r="U319">
        <v>0</v>
      </c>
      <c r="V319">
        <v>5696</v>
      </c>
    </row>
    <row r="320" spans="1:22" x14ac:dyDescent="0.3">
      <c r="A320">
        <v>79452</v>
      </c>
      <c r="B320">
        <v>137870259</v>
      </c>
      <c r="C320" t="s">
        <v>2068</v>
      </c>
      <c r="D320" t="s">
        <v>2069</v>
      </c>
      <c r="E320" t="s">
        <v>513</v>
      </c>
      <c r="F320" t="s">
        <v>514</v>
      </c>
      <c r="G320" t="s">
        <v>43</v>
      </c>
      <c r="H320" t="s">
        <v>44</v>
      </c>
      <c r="I320" t="s">
        <v>34</v>
      </c>
      <c r="J320" t="s">
        <v>45</v>
      </c>
      <c r="K320" t="s">
        <v>41</v>
      </c>
      <c r="L320" t="s">
        <v>2070</v>
      </c>
      <c r="M320" t="s">
        <v>2071</v>
      </c>
      <c r="N320" t="s">
        <v>516</v>
      </c>
      <c r="O320" t="s">
        <v>64</v>
      </c>
      <c r="P320" t="s">
        <v>2072</v>
      </c>
      <c r="Q320" t="s">
        <v>205</v>
      </c>
      <c r="R320" t="s">
        <v>1000</v>
      </c>
      <c r="S320">
        <v>0.84</v>
      </c>
      <c r="T320">
        <v>4230</v>
      </c>
      <c r="U320">
        <v>0</v>
      </c>
      <c r="V320">
        <v>4230</v>
      </c>
    </row>
    <row r="321" spans="1:22" x14ac:dyDescent="0.3">
      <c r="A321">
        <v>79452</v>
      </c>
      <c r="B321">
        <v>137870246</v>
      </c>
      <c r="C321" t="s">
        <v>2073</v>
      </c>
      <c r="D321" t="s">
        <v>2074</v>
      </c>
      <c r="E321" t="s">
        <v>513</v>
      </c>
      <c r="F321" t="s">
        <v>514</v>
      </c>
      <c r="G321" t="s">
        <v>43</v>
      </c>
      <c r="H321" t="s">
        <v>44</v>
      </c>
      <c r="I321" t="s">
        <v>34</v>
      </c>
      <c r="J321" t="s">
        <v>45</v>
      </c>
      <c r="K321" t="s">
        <v>41</v>
      </c>
      <c r="L321" t="s">
        <v>2075</v>
      </c>
      <c r="M321" t="s">
        <v>469</v>
      </c>
      <c r="N321" t="s">
        <v>516</v>
      </c>
      <c r="O321" t="s">
        <v>64</v>
      </c>
      <c r="P321" t="s">
        <v>2076</v>
      </c>
      <c r="Q321" t="s">
        <v>123</v>
      </c>
      <c r="R321" t="s">
        <v>1000</v>
      </c>
      <c r="S321">
        <v>0.68</v>
      </c>
      <c r="T321">
        <v>4340</v>
      </c>
      <c r="U321">
        <v>0</v>
      </c>
      <c r="V321">
        <v>4340</v>
      </c>
    </row>
    <row r="322" spans="1:22" x14ac:dyDescent="0.3">
      <c r="A322">
        <v>79452</v>
      </c>
      <c r="B322">
        <v>137933740</v>
      </c>
      <c r="C322" t="s">
        <v>2077</v>
      </c>
      <c r="D322" t="s">
        <v>2078</v>
      </c>
      <c r="E322" t="s">
        <v>513</v>
      </c>
      <c r="F322" t="s">
        <v>514</v>
      </c>
      <c r="G322" t="s">
        <v>43</v>
      </c>
      <c r="H322" t="s">
        <v>44</v>
      </c>
      <c r="I322" t="s">
        <v>34</v>
      </c>
      <c r="J322" t="s">
        <v>45</v>
      </c>
      <c r="K322" t="s">
        <v>41</v>
      </c>
      <c r="L322" t="s">
        <v>2079</v>
      </c>
      <c r="M322" t="s">
        <v>2080</v>
      </c>
      <c r="N322" t="s">
        <v>516</v>
      </c>
      <c r="O322" t="s">
        <v>64</v>
      </c>
      <c r="P322" t="s">
        <v>2081</v>
      </c>
      <c r="Q322" t="s">
        <v>46</v>
      </c>
      <c r="R322" t="s">
        <v>448</v>
      </c>
      <c r="S322">
        <v>1.88</v>
      </c>
      <c r="T322">
        <v>3501</v>
      </c>
      <c r="U322">
        <v>0</v>
      </c>
      <c r="V322">
        <v>3501</v>
      </c>
    </row>
    <row r="323" spans="1:22" x14ac:dyDescent="0.3">
      <c r="A323">
        <v>79452</v>
      </c>
      <c r="B323">
        <v>137963565</v>
      </c>
      <c r="C323" t="s">
        <v>2082</v>
      </c>
      <c r="D323" t="s">
        <v>2083</v>
      </c>
      <c r="E323" t="s">
        <v>513</v>
      </c>
      <c r="F323" t="s">
        <v>514</v>
      </c>
      <c r="G323" t="s">
        <v>43</v>
      </c>
      <c r="H323" t="s">
        <v>44</v>
      </c>
      <c r="I323" t="s">
        <v>34</v>
      </c>
      <c r="J323" t="s">
        <v>45</v>
      </c>
      <c r="K323" t="s">
        <v>41</v>
      </c>
      <c r="L323" t="s">
        <v>2084</v>
      </c>
      <c r="M323" t="s">
        <v>2085</v>
      </c>
      <c r="N323" t="s">
        <v>516</v>
      </c>
      <c r="O323" t="s">
        <v>64</v>
      </c>
      <c r="P323" t="s">
        <v>2086</v>
      </c>
      <c r="Q323" t="s">
        <v>102</v>
      </c>
      <c r="R323" t="s">
        <v>1849</v>
      </c>
      <c r="S323">
        <v>1.6</v>
      </c>
      <c r="T323">
        <v>3501</v>
      </c>
      <c r="U323">
        <v>0</v>
      </c>
      <c r="V323">
        <v>3501</v>
      </c>
    </row>
    <row r="324" spans="1:22" x14ac:dyDescent="0.3">
      <c r="A324">
        <v>79452</v>
      </c>
      <c r="B324">
        <v>137933737</v>
      </c>
      <c r="C324" t="s">
        <v>2087</v>
      </c>
      <c r="D324" t="s">
        <v>2088</v>
      </c>
      <c r="E324" t="s">
        <v>513</v>
      </c>
      <c r="F324" t="s">
        <v>514</v>
      </c>
      <c r="G324" t="s">
        <v>43</v>
      </c>
      <c r="H324" t="s">
        <v>44</v>
      </c>
      <c r="I324" t="s">
        <v>34</v>
      </c>
      <c r="J324" t="s">
        <v>45</v>
      </c>
      <c r="K324" t="s">
        <v>41</v>
      </c>
      <c r="L324" t="s">
        <v>2089</v>
      </c>
      <c r="M324" t="s">
        <v>2090</v>
      </c>
      <c r="N324" t="s">
        <v>516</v>
      </c>
      <c r="O324" t="s">
        <v>64</v>
      </c>
      <c r="P324" t="s">
        <v>2091</v>
      </c>
      <c r="Q324" t="s">
        <v>46</v>
      </c>
      <c r="R324" t="s">
        <v>448</v>
      </c>
      <c r="S324">
        <v>0.88</v>
      </c>
      <c r="T324">
        <v>3501</v>
      </c>
      <c r="U324">
        <v>0</v>
      </c>
      <c r="V324">
        <v>3501</v>
      </c>
    </row>
    <row r="325" spans="1:22" x14ac:dyDescent="0.3">
      <c r="A325">
        <v>79452</v>
      </c>
      <c r="B325">
        <v>137837184</v>
      </c>
      <c r="C325" t="s">
        <v>2092</v>
      </c>
      <c r="D325" t="s">
        <v>2093</v>
      </c>
      <c r="E325" t="s">
        <v>513</v>
      </c>
      <c r="F325" t="s">
        <v>514</v>
      </c>
      <c r="G325" t="s">
        <v>43</v>
      </c>
      <c r="H325" t="s">
        <v>44</v>
      </c>
      <c r="I325" t="s">
        <v>34</v>
      </c>
      <c r="J325" t="s">
        <v>45</v>
      </c>
      <c r="K325" t="s">
        <v>41</v>
      </c>
      <c r="L325" t="s">
        <v>2094</v>
      </c>
      <c r="M325" t="s">
        <v>2095</v>
      </c>
      <c r="N325" t="s">
        <v>516</v>
      </c>
      <c r="O325" t="s">
        <v>64</v>
      </c>
      <c r="P325" t="s">
        <v>2096</v>
      </c>
      <c r="Q325" t="s">
        <v>111</v>
      </c>
      <c r="R325" t="s">
        <v>403</v>
      </c>
      <c r="S325">
        <v>1.91</v>
      </c>
      <c r="T325">
        <v>5696</v>
      </c>
      <c r="U325">
        <v>0</v>
      </c>
      <c r="V325">
        <v>5696</v>
      </c>
    </row>
    <row r="326" spans="1:22" x14ac:dyDescent="0.3">
      <c r="A326">
        <v>79452</v>
      </c>
      <c r="B326">
        <v>137909851</v>
      </c>
      <c r="C326" t="s">
        <v>2097</v>
      </c>
      <c r="D326" t="s">
        <v>2098</v>
      </c>
      <c r="E326" t="s">
        <v>513</v>
      </c>
      <c r="F326" t="s">
        <v>514</v>
      </c>
      <c r="G326" t="s">
        <v>43</v>
      </c>
      <c r="H326" t="s">
        <v>44</v>
      </c>
      <c r="I326" t="s">
        <v>34</v>
      </c>
      <c r="J326" t="s">
        <v>45</v>
      </c>
      <c r="K326" t="s">
        <v>41</v>
      </c>
      <c r="L326" t="s">
        <v>2099</v>
      </c>
      <c r="M326" t="s">
        <v>2100</v>
      </c>
      <c r="N326" t="s">
        <v>516</v>
      </c>
      <c r="O326" t="s">
        <v>64</v>
      </c>
      <c r="P326" t="s">
        <v>2101</v>
      </c>
      <c r="Q326" t="s">
        <v>111</v>
      </c>
      <c r="R326" t="s">
        <v>1875</v>
      </c>
      <c r="S326">
        <v>1.63</v>
      </c>
      <c r="T326">
        <v>5696</v>
      </c>
      <c r="U326">
        <v>0</v>
      </c>
      <c r="V326">
        <v>5696</v>
      </c>
    </row>
    <row r="327" spans="1:22" x14ac:dyDescent="0.3">
      <c r="A327">
        <v>79452</v>
      </c>
      <c r="B327">
        <v>137497936</v>
      </c>
      <c r="C327" t="s">
        <v>2102</v>
      </c>
      <c r="D327" t="s">
        <v>2103</v>
      </c>
      <c r="E327" t="s">
        <v>513</v>
      </c>
      <c r="F327" t="s">
        <v>514</v>
      </c>
      <c r="G327" t="s">
        <v>43</v>
      </c>
      <c r="H327" t="s">
        <v>44</v>
      </c>
      <c r="I327" t="s">
        <v>34</v>
      </c>
      <c r="J327" t="s">
        <v>45</v>
      </c>
      <c r="K327" t="s">
        <v>41</v>
      </c>
      <c r="L327" t="s">
        <v>2104</v>
      </c>
      <c r="M327" t="s">
        <v>164</v>
      </c>
      <c r="N327" t="s">
        <v>516</v>
      </c>
      <c r="O327" t="s">
        <v>64</v>
      </c>
      <c r="P327" t="s">
        <v>2105</v>
      </c>
      <c r="Q327" t="s">
        <v>50</v>
      </c>
      <c r="R327" t="s">
        <v>470</v>
      </c>
      <c r="S327">
        <v>1.1599999999999999</v>
      </c>
      <c r="T327">
        <v>5198</v>
      </c>
      <c r="U327">
        <v>0</v>
      </c>
      <c r="V327">
        <v>5198</v>
      </c>
    </row>
    <row r="328" spans="1:22" x14ac:dyDescent="0.3">
      <c r="A328">
        <v>79452</v>
      </c>
      <c r="B328">
        <v>137963531</v>
      </c>
      <c r="C328" t="s">
        <v>2106</v>
      </c>
      <c r="D328" t="s">
        <v>2107</v>
      </c>
      <c r="E328" t="s">
        <v>513</v>
      </c>
      <c r="F328" t="s">
        <v>514</v>
      </c>
      <c r="G328" t="s">
        <v>43</v>
      </c>
      <c r="H328" t="s">
        <v>44</v>
      </c>
      <c r="I328" t="s">
        <v>34</v>
      </c>
      <c r="J328" t="s">
        <v>45</v>
      </c>
      <c r="K328" t="s">
        <v>41</v>
      </c>
      <c r="L328" t="s">
        <v>709</v>
      </c>
      <c r="M328" t="s">
        <v>710</v>
      </c>
      <c r="N328" t="s">
        <v>516</v>
      </c>
      <c r="O328" t="s">
        <v>64</v>
      </c>
      <c r="P328" t="s">
        <v>711</v>
      </c>
      <c r="Q328" t="s">
        <v>250</v>
      </c>
      <c r="R328" t="s">
        <v>1849</v>
      </c>
      <c r="S328">
        <v>1</v>
      </c>
      <c r="T328">
        <v>3904</v>
      </c>
      <c r="U328">
        <v>0</v>
      </c>
      <c r="V328">
        <v>3904</v>
      </c>
    </row>
    <row r="329" spans="1:22" x14ac:dyDescent="0.3">
      <c r="A329">
        <v>79452</v>
      </c>
      <c r="B329">
        <v>137909810</v>
      </c>
      <c r="C329" t="s">
        <v>2108</v>
      </c>
      <c r="D329" t="s">
        <v>2109</v>
      </c>
      <c r="E329" t="s">
        <v>513</v>
      </c>
      <c r="F329" t="s">
        <v>514</v>
      </c>
      <c r="G329" t="s">
        <v>43</v>
      </c>
      <c r="H329" t="s">
        <v>44</v>
      </c>
      <c r="I329" t="s">
        <v>34</v>
      </c>
      <c r="J329" t="s">
        <v>45</v>
      </c>
      <c r="K329" t="s">
        <v>41</v>
      </c>
      <c r="L329" t="s">
        <v>2110</v>
      </c>
      <c r="M329" t="s">
        <v>2111</v>
      </c>
      <c r="N329" t="s">
        <v>516</v>
      </c>
      <c r="O329" t="s">
        <v>64</v>
      </c>
      <c r="P329" t="s">
        <v>2112</v>
      </c>
      <c r="Q329" t="s">
        <v>60</v>
      </c>
      <c r="R329" t="s">
        <v>1217</v>
      </c>
      <c r="S329">
        <v>1.21</v>
      </c>
      <c r="T329">
        <v>4520</v>
      </c>
      <c r="U329">
        <v>0</v>
      </c>
      <c r="V329">
        <v>4520</v>
      </c>
    </row>
    <row r="330" spans="1:22" x14ac:dyDescent="0.3">
      <c r="A330">
        <v>79452</v>
      </c>
      <c r="B330">
        <v>137909815</v>
      </c>
      <c r="C330" t="s">
        <v>2113</v>
      </c>
      <c r="D330" t="s">
        <v>2114</v>
      </c>
      <c r="E330" t="s">
        <v>513</v>
      </c>
      <c r="F330" t="s">
        <v>514</v>
      </c>
      <c r="G330" t="s">
        <v>43</v>
      </c>
      <c r="H330" t="s">
        <v>44</v>
      </c>
      <c r="I330" t="s">
        <v>34</v>
      </c>
      <c r="J330" t="s">
        <v>45</v>
      </c>
      <c r="K330" t="s">
        <v>41</v>
      </c>
      <c r="L330" t="s">
        <v>2115</v>
      </c>
      <c r="M330" t="s">
        <v>2116</v>
      </c>
      <c r="N330" t="s">
        <v>516</v>
      </c>
      <c r="O330" t="s">
        <v>64</v>
      </c>
      <c r="P330" t="s">
        <v>2117</v>
      </c>
      <c r="Q330" t="s">
        <v>97</v>
      </c>
      <c r="R330" t="s">
        <v>1217</v>
      </c>
      <c r="S330">
        <v>1.28</v>
      </c>
      <c r="T330">
        <v>4520</v>
      </c>
      <c r="U330">
        <v>0</v>
      </c>
      <c r="V330">
        <v>4520</v>
      </c>
    </row>
    <row r="331" spans="1:22" x14ac:dyDescent="0.3">
      <c r="A331">
        <v>79452</v>
      </c>
      <c r="B331">
        <v>137909845</v>
      </c>
      <c r="C331" t="s">
        <v>2118</v>
      </c>
      <c r="D331" t="s">
        <v>2119</v>
      </c>
      <c r="E331" t="s">
        <v>513</v>
      </c>
      <c r="F331" t="s">
        <v>514</v>
      </c>
      <c r="G331" t="s">
        <v>43</v>
      </c>
      <c r="H331" t="s">
        <v>44</v>
      </c>
      <c r="I331" t="s">
        <v>34</v>
      </c>
      <c r="J331" t="s">
        <v>45</v>
      </c>
      <c r="K331" t="s">
        <v>41</v>
      </c>
      <c r="L331" t="s">
        <v>2120</v>
      </c>
      <c r="M331" t="s">
        <v>2121</v>
      </c>
      <c r="N331" t="s">
        <v>516</v>
      </c>
      <c r="O331" t="s">
        <v>64</v>
      </c>
      <c r="P331" t="s">
        <v>2122</v>
      </c>
      <c r="Q331" t="s">
        <v>63</v>
      </c>
      <c r="R331" t="s">
        <v>1875</v>
      </c>
      <c r="S331">
        <v>1.07</v>
      </c>
      <c r="T331">
        <v>3501</v>
      </c>
      <c r="U331">
        <v>0</v>
      </c>
      <c r="V331">
        <v>3501</v>
      </c>
    </row>
    <row r="332" spans="1:22" x14ac:dyDescent="0.3">
      <c r="A332">
        <v>79452</v>
      </c>
      <c r="B332">
        <v>137909800</v>
      </c>
      <c r="C332" t="s">
        <v>2123</v>
      </c>
      <c r="D332" t="s">
        <v>2124</v>
      </c>
      <c r="E332" t="s">
        <v>513</v>
      </c>
      <c r="F332" t="s">
        <v>514</v>
      </c>
      <c r="G332" t="s">
        <v>43</v>
      </c>
      <c r="H332" t="s">
        <v>44</v>
      </c>
      <c r="I332" t="s">
        <v>34</v>
      </c>
      <c r="J332" t="s">
        <v>45</v>
      </c>
      <c r="K332" t="s">
        <v>41</v>
      </c>
      <c r="L332" t="s">
        <v>2125</v>
      </c>
      <c r="M332" t="s">
        <v>2126</v>
      </c>
      <c r="N332" t="s">
        <v>516</v>
      </c>
      <c r="O332" t="s">
        <v>64</v>
      </c>
      <c r="P332" t="s">
        <v>2127</v>
      </c>
      <c r="Q332" t="s">
        <v>118</v>
      </c>
      <c r="R332" t="s">
        <v>1217</v>
      </c>
      <c r="S332">
        <v>2.52</v>
      </c>
      <c r="T332">
        <v>4230</v>
      </c>
      <c r="U332">
        <v>0</v>
      </c>
      <c r="V332">
        <v>4230</v>
      </c>
    </row>
    <row r="333" spans="1:22" x14ac:dyDescent="0.3">
      <c r="A333">
        <v>79452</v>
      </c>
      <c r="B333">
        <v>137909799</v>
      </c>
      <c r="C333" t="s">
        <v>2128</v>
      </c>
      <c r="D333" t="s">
        <v>2129</v>
      </c>
      <c r="E333" t="s">
        <v>513</v>
      </c>
      <c r="F333" t="s">
        <v>514</v>
      </c>
      <c r="G333" t="s">
        <v>43</v>
      </c>
      <c r="H333" t="s">
        <v>44</v>
      </c>
      <c r="I333" t="s">
        <v>34</v>
      </c>
      <c r="J333" t="s">
        <v>45</v>
      </c>
      <c r="K333" t="s">
        <v>41</v>
      </c>
      <c r="L333" t="s">
        <v>2130</v>
      </c>
      <c r="M333" t="s">
        <v>2131</v>
      </c>
      <c r="N333" t="s">
        <v>516</v>
      </c>
      <c r="O333" t="s">
        <v>64</v>
      </c>
      <c r="P333" t="s">
        <v>2132</v>
      </c>
      <c r="Q333" t="s">
        <v>79</v>
      </c>
      <c r="R333" t="s">
        <v>1217</v>
      </c>
      <c r="S333">
        <v>1.33</v>
      </c>
      <c r="T333">
        <v>3501</v>
      </c>
      <c r="U333">
        <v>0</v>
      </c>
      <c r="V333">
        <v>3501</v>
      </c>
    </row>
    <row r="334" spans="1:22" x14ac:dyDescent="0.3">
      <c r="A334">
        <v>79452</v>
      </c>
      <c r="B334">
        <v>137909817</v>
      </c>
      <c r="C334" t="s">
        <v>2133</v>
      </c>
      <c r="D334" t="s">
        <v>2134</v>
      </c>
      <c r="E334" t="s">
        <v>513</v>
      </c>
      <c r="F334" t="s">
        <v>514</v>
      </c>
      <c r="G334" t="s">
        <v>43</v>
      </c>
      <c r="H334" t="s">
        <v>44</v>
      </c>
      <c r="I334" t="s">
        <v>34</v>
      </c>
      <c r="J334" t="s">
        <v>45</v>
      </c>
      <c r="K334" t="s">
        <v>41</v>
      </c>
      <c r="L334" t="s">
        <v>2135</v>
      </c>
      <c r="M334" t="s">
        <v>2136</v>
      </c>
      <c r="N334" t="s">
        <v>516</v>
      </c>
      <c r="O334" t="s">
        <v>64</v>
      </c>
      <c r="P334" t="s">
        <v>2137</v>
      </c>
      <c r="Q334" t="s">
        <v>90</v>
      </c>
      <c r="R334" t="s">
        <v>1217</v>
      </c>
      <c r="S334">
        <v>1</v>
      </c>
      <c r="T334">
        <v>3904</v>
      </c>
      <c r="U334">
        <v>0</v>
      </c>
      <c r="V334">
        <v>3904</v>
      </c>
    </row>
    <row r="335" spans="1:22" x14ac:dyDescent="0.3">
      <c r="A335">
        <v>79452</v>
      </c>
      <c r="B335">
        <v>137909790</v>
      </c>
      <c r="C335" t="s">
        <v>2138</v>
      </c>
      <c r="D335" t="s">
        <v>2139</v>
      </c>
      <c r="E335" t="s">
        <v>513</v>
      </c>
      <c r="F335" t="s">
        <v>514</v>
      </c>
      <c r="G335" t="s">
        <v>43</v>
      </c>
      <c r="H335" t="s">
        <v>44</v>
      </c>
      <c r="I335" t="s">
        <v>34</v>
      </c>
      <c r="J335" t="s">
        <v>45</v>
      </c>
      <c r="K335" t="s">
        <v>41</v>
      </c>
      <c r="L335" t="s">
        <v>2140</v>
      </c>
      <c r="M335" t="s">
        <v>2141</v>
      </c>
      <c r="N335" t="s">
        <v>516</v>
      </c>
      <c r="O335" t="s">
        <v>64</v>
      </c>
      <c r="P335" t="s">
        <v>2142</v>
      </c>
      <c r="Q335" t="s">
        <v>90</v>
      </c>
      <c r="R335" t="s">
        <v>1217</v>
      </c>
      <c r="S335">
        <v>1.53</v>
      </c>
      <c r="T335">
        <v>3904</v>
      </c>
      <c r="U335">
        <v>0</v>
      </c>
      <c r="V335">
        <v>3904</v>
      </c>
    </row>
    <row r="336" spans="1:22" x14ac:dyDescent="0.3">
      <c r="A336">
        <v>79452</v>
      </c>
      <c r="B336">
        <v>137848748</v>
      </c>
      <c r="C336" t="s">
        <v>2143</v>
      </c>
      <c r="D336" t="s">
        <v>2144</v>
      </c>
      <c r="E336" t="s">
        <v>513</v>
      </c>
      <c r="F336" t="s">
        <v>514</v>
      </c>
      <c r="G336" t="s">
        <v>43</v>
      </c>
      <c r="H336" t="s">
        <v>44</v>
      </c>
      <c r="I336" t="s">
        <v>34</v>
      </c>
      <c r="J336" t="s">
        <v>45</v>
      </c>
      <c r="K336" t="s">
        <v>41</v>
      </c>
      <c r="L336" t="s">
        <v>2145</v>
      </c>
      <c r="M336" t="s">
        <v>2146</v>
      </c>
      <c r="N336" t="s">
        <v>516</v>
      </c>
      <c r="O336" t="s">
        <v>64</v>
      </c>
      <c r="P336" t="s">
        <v>2147</v>
      </c>
      <c r="Q336" t="s">
        <v>67</v>
      </c>
      <c r="R336" t="s">
        <v>1969</v>
      </c>
      <c r="S336">
        <v>1.22</v>
      </c>
      <c r="T336">
        <v>3936</v>
      </c>
      <c r="U336">
        <v>0</v>
      </c>
      <c r="V336">
        <v>3936</v>
      </c>
    </row>
    <row r="337" spans="1:22" x14ac:dyDescent="0.3">
      <c r="A337">
        <v>79452</v>
      </c>
      <c r="B337">
        <v>137870250</v>
      </c>
      <c r="C337" t="s">
        <v>2148</v>
      </c>
      <c r="D337" t="s">
        <v>2149</v>
      </c>
      <c r="E337" t="s">
        <v>513</v>
      </c>
      <c r="F337" t="s">
        <v>514</v>
      </c>
      <c r="G337" t="s">
        <v>43</v>
      </c>
      <c r="H337" t="s">
        <v>44</v>
      </c>
      <c r="I337" t="s">
        <v>34</v>
      </c>
      <c r="J337" t="s">
        <v>45</v>
      </c>
      <c r="K337" t="s">
        <v>41</v>
      </c>
      <c r="L337" t="s">
        <v>2150</v>
      </c>
      <c r="M337" t="s">
        <v>2151</v>
      </c>
      <c r="N337" t="s">
        <v>516</v>
      </c>
      <c r="O337" t="s">
        <v>64</v>
      </c>
      <c r="P337" t="s">
        <v>2152</v>
      </c>
      <c r="Q337" t="s">
        <v>90</v>
      </c>
      <c r="R337" t="s">
        <v>1000</v>
      </c>
      <c r="S337">
        <v>0.74</v>
      </c>
      <c r="T337">
        <v>3904</v>
      </c>
      <c r="U337">
        <v>0</v>
      </c>
      <c r="V337">
        <v>3904</v>
      </c>
    </row>
    <row r="338" spans="1:22" x14ac:dyDescent="0.3">
      <c r="A338">
        <v>79452</v>
      </c>
      <c r="B338">
        <v>137837170</v>
      </c>
      <c r="C338" t="s">
        <v>2153</v>
      </c>
      <c r="D338" t="s">
        <v>2154</v>
      </c>
      <c r="E338" t="s">
        <v>513</v>
      </c>
      <c r="F338" t="s">
        <v>514</v>
      </c>
      <c r="G338" t="s">
        <v>43</v>
      </c>
      <c r="H338" t="s">
        <v>44</v>
      </c>
      <c r="I338" t="s">
        <v>34</v>
      </c>
      <c r="J338" t="s">
        <v>45</v>
      </c>
      <c r="K338" t="s">
        <v>41</v>
      </c>
      <c r="L338" t="s">
        <v>2155</v>
      </c>
      <c r="M338" t="s">
        <v>2156</v>
      </c>
      <c r="N338" t="s">
        <v>516</v>
      </c>
      <c r="O338" t="s">
        <v>64</v>
      </c>
      <c r="P338" t="s">
        <v>2157</v>
      </c>
      <c r="Q338" t="s">
        <v>47</v>
      </c>
      <c r="R338" t="s">
        <v>403</v>
      </c>
      <c r="S338">
        <v>1.3</v>
      </c>
      <c r="T338">
        <v>4230</v>
      </c>
      <c r="U338">
        <v>0</v>
      </c>
      <c r="V338">
        <v>4230</v>
      </c>
    </row>
    <row r="339" spans="1:22" x14ac:dyDescent="0.3">
      <c r="A339">
        <v>79452</v>
      </c>
      <c r="B339">
        <v>137909778</v>
      </c>
      <c r="C339" t="s">
        <v>2158</v>
      </c>
      <c r="D339" t="s">
        <v>2159</v>
      </c>
      <c r="E339" t="s">
        <v>513</v>
      </c>
      <c r="F339" t="s">
        <v>514</v>
      </c>
      <c r="G339" t="s">
        <v>43</v>
      </c>
      <c r="H339" t="s">
        <v>44</v>
      </c>
      <c r="I339" t="s">
        <v>34</v>
      </c>
      <c r="J339" t="s">
        <v>45</v>
      </c>
      <c r="K339" t="s">
        <v>41</v>
      </c>
      <c r="L339" t="s">
        <v>2160</v>
      </c>
      <c r="M339" t="s">
        <v>2161</v>
      </c>
      <c r="N339" t="s">
        <v>516</v>
      </c>
      <c r="O339" t="s">
        <v>64</v>
      </c>
      <c r="P339" t="s">
        <v>2162</v>
      </c>
      <c r="Q339" t="s">
        <v>90</v>
      </c>
      <c r="R339" t="s">
        <v>1217</v>
      </c>
      <c r="S339">
        <v>1.4</v>
      </c>
      <c r="T339">
        <v>3904</v>
      </c>
      <c r="U339">
        <v>0</v>
      </c>
      <c r="V339">
        <v>3904</v>
      </c>
    </row>
    <row r="340" spans="1:22" x14ac:dyDescent="0.3">
      <c r="A340">
        <v>79452</v>
      </c>
      <c r="B340">
        <v>137909844</v>
      </c>
      <c r="C340" t="s">
        <v>2163</v>
      </c>
      <c r="D340" t="s">
        <v>2164</v>
      </c>
      <c r="E340" t="s">
        <v>513</v>
      </c>
      <c r="F340" t="s">
        <v>514</v>
      </c>
      <c r="G340" t="s">
        <v>43</v>
      </c>
      <c r="H340" t="s">
        <v>44</v>
      </c>
      <c r="I340" t="s">
        <v>34</v>
      </c>
      <c r="J340" t="s">
        <v>45</v>
      </c>
      <c r="K340" t="s">
        <v>41</v>
      </c>
      <c r="L340" t="s">
        <v>2165</v>
      </c>
      <c r="M340" t="s">
        <v>870</v>
      </c>
      <c r="N340" t="s">
        <v>516</v>
      </c>
      <c r="O340" t="s">
        <v>64</v>
      </c>
      <c r="P340" t="s">
        <v>871</v>
      </c>
      <c r="Q340" t="s">
        <v>97</v>
      </c>
      <c r="R340" t="s">
        <v>1875</v>
      </c>
      <c r="S340">
        <v>1.17</v>
      </c>
      <c r="T340">
        <v>4520</v>
      </c>
      <c r="U340">
        <v>0</v>
      </c>
      <c r="V340">
        <v>4520</v>
      </c>
    </row>
    <row r="341" spans="1:22" x14ac:dyDescent="0.3">
      <c r="A341">
        <v>79452</v>
      </c>
      <c r="B341">
        <v>137879364</v>
      </c>
      <c r="C341" t="s">
        <v>2166</v>
      </c>
      <c r="D341" t="s">
        <v>2167</v>
      </c>
      <c r="E341" t="s">
        <v>513</v>
      </c>
      <c r="F341" t="s">
        <v>514</v>
      </c>
      <c r="G341" t="s">
        <v>43</v>
      </c>
      <c r="H341" t="s">
        <v>44</v>
      </c>
      <c r="I341" t="s">
        <v>34</v>
      </c>
      <c r="J341" t="s">
        <v>45</v>
      </c>
      <c r="K341" t="s">
        <v>41</v>
      </c>
      <c r="L341" t="s">
        <v>2168</v>
      </c>
      <c r="M341" t="s">
        <v>2169</v>
      </c>
      <c r="N341" t="s">
        <v>516</v>
      </c>
      <c r="O341" t="s">
        <v>64</v>
      </c>
      <c r="P341" t="s">
        <v>2170</v>
      </c>
      <c r="Q341" t="s">
        <v>58</v>
      </c>
      <c r="R341" t="s">
        <v>1919</v>
      </c>
      <c r="S341">
        <v>0.92</v>
      </c>
      <c r="T341">
        <v>3501</v>
      </c>
      <c r="U341">
        <v>0</v>
      </c>
      <c r="V341">
        <v>3501</v>
      </c>
    </row>
    <row r="342" spans="1:22" x14ac:dyDescent="0.3">
      <c r="A342">
        <v>79452</v>
      </c>
      <c r="B342">
        <v>137909803</v>
      </c>
      <c r="C342" t="s">
        <v>2171</v>
      </c>
      <c r="D342" t="s">
        <v>2172</v>
      </c>
      <c r="E342" t="s">
        <v>513</v>
      </c>
      <c r="F342" t="s">
        <v>514</v>
      </c>
      <c r="G342" t="s">
        <v>43</v>
      </c>
      <c r="H342" t="s">
        <v>44</v>
      </c>
      <c r="I342" t="s">
        <v>34</v>
      </c>
      <c r="J342" t="s">
        <v>45</v>
      </c>
      <c r="K342" t="s">
        <v>41</v>
      </c>
      <c r="L342" t="s">
        <v>2173</v>
      </c>
      <c r="M342" t="s">
        <v>2174</v>
      </c>
      <c r="N342" t="s">
        <v>516</v>
      </c>
      <c r="O342" t="s">
        <v>64</v>
      </c>
      <c r="P342" t="s">
        <v>2175</v>
      </c>
      <c r="Q342" t="s">
        <v>62</v>
      </c>
      <c r="R342" t="s">
        <v>1217</v>
      </c>
      <c r="S342">
        <v>2.42</v>
      </c>
      <c r="T342">
        <v>3936</v>
      </c>
      <c r="U342">
        <v>0</v>
      </c>
      <c r="V342">
        <v>3936</v>
      </c>
    </row>
    <row r="343" spans="1:22" x14ac:dyDescent="0.3">
      <c r="A343">
        <v>79452</v>
      </c>
      <c r="B343">
        <v>137798274</v>
      </c>
      <c r="C343" t="s">
        <v>2176</v>
      </c>
      <c r="D343" t="s">
        <v>2177</v>
      </c>
      <c r="E343" t="s">
        <v>513</v>
      </c>
      <c r="F343" t="s">
        <v>514</v>
      </c>
      <c r="G343" t="s">
        <v>43</v>
      </c>
      <c r="H343" t="s">
        <v>44</v>
      </c>
      <c r="I343" t="s">
        <v>34</v>
      </c>
      <c r="J343" t="s">
        <v>45</v>
      </c>
      <c r="K343" t="s">
        <v>41</v>
      </c>
      <c r="L343" t="s">
        <v>2178</v>
      </c>
      <c r="M343" t="s">
        <v>2179</v>
      </c>
      <c r="N343" t="s">
        <v>516</v>
      </c>
      <c r="O343" t="s">
        <v>64</v>
      </c>
      <c r="P343" t="s">
        <v>2180</v>
      </c>
      <c r="Q343" t="s">
        <v>82</v>
      </c>
      <c r="R343" t="s">
        <v>1501</v>
      </c>
      <c r="S343">
        <v>1</v>
      </c>
      <c r="T343">
        <v>5990</v>
      </c>
      <c r="U343">
        <v>0</v>
      </c>
      <c r="V343">
        <v>5990</v>
      </c>
    </row>
    <row r="344" spans="1:22" x14ac:dyDescent="0.3">
      <c r="A344">
        <v>79452</v>
      </c>
      <c r="B344">
        <v>137909858</v>
      </c>
      <c r="C344" t="s">
        <v>2181</v>
      </c>
      <c r="D344" t="s">
        <v>2182</v>
      </c>
      <c r="E344" t="s">
        <v>513</v>
      </c>
      <c r="F344" t="s">
        <v>514</v>
      </c>
      <c r="G344" t="s">
        <v>43</v>
      </c>
      <c r="H344" t="s">
        <v>44</v>
      </c>
      <c r="I344" t="s">
        <v>34</v>
      </c>
      <c r="J344" t="s">
        <v>45</v>
      </c>
      <c r="K344" t="s">
        <v>41</v>
      </c>
      <c r="L344" t="s">
        <v>2183</v>
      </c>
      <c r="M344" t="s">
        <v>2184</v>
      </c>
      <c r="N344" t="s">
        <v>516</v>
      </c>
      <c r="O344" t="s">
        <v>64</v>
      </c>
      <c r="P344" t="s">
        <v>2185</v>
      </c>
      <c r="Q344" t="s">
        <v>67</v>
      </c>
      <c r="R344" t="s">
        <v>1875</v>
      </c>
      <c r="S344">
        <v>1.29</v>
      </c>
      <c r="T344">
        <v>3936</v>
      </c>
      <c r="U344">
        <v>0</v>
      </c>
      <c r="V344">
        <v>3936</v>
      </c>
    </row>
    <row r="345" spans="1:22" x14ac:dyDescent="0.3">
      <c r="A345">
        <v>79452</v>
      </c>
      <c r="B345">
        <v>137848757</v>
      </c>
      <c r="C345" t="s">
        <v>2186</v>
      </c>
      <c r="D345" t="s">
        <v>2187</v>
      </c>
      <c r="E345" t="s">
        <v>513</v>
      </c>
      <c r="F345" t="s">
        <v>514</v>
      </c>
      <c r="G345" t="s">
        <v>43</v>
      </c>
      <c r="H345" t="s">
        <v>44</v>
      </c>
      <c r="I345" t="s">
        <v>34</v>
      </c>
      <c r="J345" t="s">
        <v>45</v>
      </c>
      <c r="K345" t="s">
        <v>41</v>
      </c>
      <c r="L345" t="s">
        <v>477</v>
      </c>
      <c r="M345" t="s">
        <v>1489</v>
      </c>
      <c r="N345" t="s">
        <v>516</v>
      </c>
      <c r="O345" t="s">
        <v>64</v>
      </c>
      <c r="P345" t="s">
        <v>1490</v>
      </c>
      <c r="Q345" t="s">
        <v>108</v>
      </c>
      <c r="R345" t="s">
        <v>1969</v>
      </c>
      <c r="S345">
        <v>1.01</v>
      </c>
      <c r="T345">
        <v>3501</v>
      </c>
      <c r="U345">
        <v>0</v>
      </c>
      <c r="V345">
        <v>3501</v>
      </c>
    </row>
    <row r="346" spans="1:22" x14ac:dyDescent="0.3">
      <c r="A346">
        <v>79452</v>
      </c>
      <c r="B346">
        <v>137879391</v>
      </c>
      <c r="C346" t="s">
        <v>2188</v>
      </c>
      <c r="D346" t="s">
        <v>2189</v>
      </c>
      <c r="E346" t="s">
        <v>513</v>
      </c>
      <c r="F346" t="s">
        <v>514</v>
      </c>
      <c r="G346" t="s">
        <v>43</v>
      </c>
      <c r="H346" t="s">
        <v>44</v>
      </c>
      <c r="I346" t="s">
        <v>34</v>
      </c>
      <c r="J346" t="s">
        <v>45</v>
      </c>
      <c r="K346" t="s">
        <v>41</v>
      </c>
      <c r="L346" t="s">
        <v>2190</v>
      </c>
      <c r="M346" t="s">
        <v>2191</v>
      </c>
      <c r="N346" t="s">
        <v>516</v>
      </c>
      <c r="O346" t="s">
        <v>64</v>
      </c>
      <c r="P346" t="s">
        <v>2192</v>
      </c>
      <c r="Q346" t="s">
        <v>108</v>
      </c>
      <c r="R346" t="s">
        <v>2193</v>
      </c>
      <c r="S346">
        <v>1.07</v>
      </c>
      <c r="T346">
        <v>3501</v>
      </c>
      <c r="U346">
        <v>0</v>
      </c>
      <c r="V346">
        <v>3501</v>
      </c>
    </row>
    <row r="347" spans="1:22" x14ac:dyDescent="0.3">
      <c r="A347">
        <v>79452</v>
      </c>
      <c r="B347">
        <v>137870234</v>
      </c>
      <c r="C347" t="s">
        <v>2194</v>
      </c>
      <c r="D347" t="s">
        <v>2195</v>
      </c>
      <c r="E347" t="s">
        <v>513</v>
      </c>
      <c r="F347" t="s">
        <v>514</v>
      </c>
      <c r="G347" t="s">
        <v>43</v>
      </c>
      <c r="H347" t="s">
        <v>44</v>
      </c>
      <c r="I347" t="s">
        <v>34</v>
      </c>
      <c r="J347" t="s">
        <v>45</v>
      </c>
      <c r="K347" t="s">
        <v>41</v>
      </c>
      <c r="L347" t="s">
        <v>2196</v>
      </c>
      <c r="M347" t="s">
        <v>2197</v>
      </c>
      <c r="N347" t="s">
        <v>516</v>
      </c>
      <c r="O347" t="s">
        <v>64</v>
      </c>
      <c r="P347" t="s">
        <v>2198</v>
      </c>
      <c r="Q347" t="s">
        <v>90</v>
      </c>
      <c r="R347" t="s">
        <v>1000</v>
      </c>
      <c r="S347">
        <v>1.01</v>
      </c>
      <c r="T347">
        <v>3904</v>
      </c>
      <c r="U347">
        <v>0</v>
      </c>
      <c r="V347">
        <v>3904</v>
      </c>
    </row>
    <row r="348" spans="1:22" x14ac:dyDescent="0.3">
      <c r="A348">
        <v>79452</v>
      </c>
      <c r="B348">
        <v>137870239</v>
      </c>
      <c r="C348" t="s">
        <v>2199</v>
      </c>
      <c r="D348" t="s">
        <v>2200</v>
      </c>
      <c r="E348" t="s">
        <v>513</v>
      </c>
      <c r="F348" t="s">
        <v>514</v>
      </c>
      <c r="G348" t="s">
        <v>43</v>
      </c>
      <c r="H348" t="s">
        <v>44</v>
      </c>
      <c r="I348" t="s">
        <v>34</v>
      </c>
      <c r="J348" t="s">
        <v>45</v>
      </c>
      <c r="K348" t="s">
        <v>41</v>
      </c>
      <c r="L348" t="s">
        <v>2201</v>
      </c>
      <c r="M348" t="s">
        <v>266</v>
      </c>
      <c r="N348" t="s">
        <v>516</v>
      </c>
      <c r="O348" t="s">
        <v>64</v>
      </c>
      <c r="P348" t="s">
        <v>2202</v>
      </c>
      <c r="Q348" t="s">
        <v>212</v>
      </c>
      <c r="R348" t="s">
        <v>1000</v>
      </c>
      <c r="S348">
        <v>0.72</v>
      </c>
      <c r="T348">
        <v>4025</v>
      </c>
      <c r="U348">
        <v>0</v>
      </c>
      <c r="V348">
        <v>4025</v>
      </c>
    </row>
    <row r="349" spans="1:22" x14ac:dyDescent="0.3">
      <c r="A349">
        <v>79452</v>
      </c>
      <c r="B349">
        <v>137870235</v>
      </c>
      <c r="C349" t="s">
        <v>2203</v>
      </c>
      <c r="D349" t="s">
        <v>2204</v>
      </c>
      <c r="E349" t="s">
        <v>513</v>
      </c>
      <c r="F349" t="s">
        <v>514</v>
      </c>
      <c r="G349" t="s">
        <v>43</v>
      </c>
      <c r="H349" t="s">
        <v>44</v>
      </c>
      <c r="I349" t="s">
        <v>34</v>
      </c>
      <c r="J349" t="s">
        <v>45</v>
      </c>
      <c r="K349" t="s">
        <v>41</v>
      </c>
      <c r="L349" t="s">
        <v>2205</v>
      </c>
      <c r="M349" t="s">
        <v>2206</v>
      </c>
      <c r="N349" t="s">
        <v>516</v>
      </c>
      <c r="O349" t="s">
        <v>64</v>
      </c>
      <c r="P349" t="s">
        <v>2207</v>
      </c>
      <c r="Q349" t="s">
        <v>108</v>
      </c>
      <c r="R349" t="s">
        <v>1000</v>
      </c>
      <c r="S349">
        <v>1.06</v>
      </c>
      <c r="T349">
        <v>3501</v>
      </c>
      <c r="U349">
        <v>0</v>
      </c>
      <c r="V349">
        <v>3501</v>
      </c>
    </row>
    <row r="350" spans="1:22" x14ac:dyDescent="0.3">
      <c r="A350">
        <v>79452</v>
      </c>
      <c r="B350">
        <v>137837160</v>
      </c>
      <c r="C350" t="s">
        <v>2208</v>
      </c>
      <c r="D350" t="s">
        <v>2209</v>
      </c>
      <c r="E350" t="s">
        <v>513</v>
      </c>
      <c r="F350" t="s">
        <v>514</v>
      </c>
      <c r="G350" t="s">
        <v>43</v>
      </c>
      <c r="H350" t="s">
        <v>44</v>
      </c>
      <c r="I350" t="s">
        <v>34</v>
      </c>
      <c r="J350" t="s">
        <v>45</v>
      </c>
      <c r="K350" t="s">
        <v>41</v>
      </c>
      <c r="L350" t="s">
        <v>2210</v>
      </c>
      <c r="M350" t="s">
        <v>2211</v>
      </c>
      <c r="N350" t="s">
        <v>516</v>
      </c>
      <c r="O350" t="s">
        <v>64</v>
      </c>
      <c r="P350" t="s">
        <v>2212</v>
      </c>
      <c r="Q350" t="s">
        <v>58</v>
      </c>
      <c r="R350" t="s">
        <v>403</v>
      </c>
      <c r="S350">
        <v>1.59</v>
      </c>
      <c r="T350">
        <v>3501</v>
      </c>
      <c r="U350">
        <v>0</v>
      </c>
      <c r="V350">
        <v>3501</v>
      </c>
    </row>
    <row r="351" spans="1:22" x14ac:dyDescent="0.3">
      <c r="A351">
        <v>79452</v>
      </c>
      <c r="B351">
        <v>137870228</v>
      </c>
      <c r="C351" t="s">
        <v>2213</v>
      </c>
      <c r="D351" t="s">
        <v>2214</v>
      </c>
      <c r="E351" t="s">
        <v>513</v>
      </c>
      <c r="F351" t="s">
        <v>514</v>
      </c>
      <c r="G351" t="s">
        <v>43</v>
      </c>
      <c r="H351" t="s">
        <v>44</v>
      </c>
      <c r="I351" t="s">
        <v>34</v>
      </c>
      <c r="J351" t="s">
        <v>45</v>
      </c>
      <c r="K351" t="s">
        <v>41</v>
      </c>
      <c r="L351" t="s">
        <v>2215</v>
      </c>
      <c r="M351" t="s">
        <v>2216</v>
      </c>
      <c r="N351" t="s">
        <v>516</v>
      </c>
      <c r="O351" t="s">
        <v>64</v>
      </c>
      <c r="P351" t="s">
        <v>2217</v>
      </c>
      <c r="Q351" t="s">
        <v>42</v>
      </c>
      <c r="R351" t="s">
        <v>2218</v>
      </c>
      <c r="S351">
        <v>0.98</v>
      </c>
      <c r="T351">
        <v>3936</v>
      </c>
      <c r="U351">
        <v>0</v>
      </c>
      <c r="V351">
        <v>3936</v>
      </c>
    </row>
    <row r="352" spans="1:22" x14ac:dyDescent="0.3">
      <c r="A352">
        <v>79452</v>
      </c>
      <c r="B352">
        <v>137837204</v>
      </c>
      <c r="C352" t="s">
        <v>2219</v>
      </c>
      <c r="D352" t="s">
        <v>2220</v>
      </c>
      <c r="E352" t="s">
        <v>513</v>
      </c>
      <c r="F352" t="s">
        <v>514</v>
      </c>
      <c r="G352" t="s">
        <v>43</v>
      </c>
      <c r="H352" t="s">
        <v>44</v>
      </c>
      <c r="I352" t="s">
        <v>34</v>
      </c>
      <c r="J352" t="s">
        <v>45</v>
      </c>
      <c r="K352" t="s">
        <v>41</v>
      </c>
      <c r="L352" t="s">
        <v>2221</v>
      </c>
      <c r="M352" t="s">
        <v>2222</v>
      </c>
      <c r="N352" t="s">
        <v>516</v>
      </c>
      <c r="O352" t="s">
        <v>64</v>
      </c>
      <c r="P352" t="s">
        <v>2223</v>
      </c>
      <c r="Q352" t="s">
        <v>62</v>
      </c>
      <c r="R352" t="s">
        <v>1784</v>
      </c>
      <c r="S352">
        <v>0.97</v>
      </c>
      <c r="T352">
        <v>3936</v>
      </c>
      <c r="U352">
        <v>0</v>
      </c>
      <c r="V352">
        <v>3936</v>
      </c>
    </row>
    <row r="353" spans="1:22" x14ac:dyDescent="0.3">
      <c r="A353">
        <v>79452</v>
      </c>
      <c r="B353">
        <v>137848735</v>
      </c>
      <c r="C353" t="s">
        <v>2224</v>
      </c>
      <c r="D353" t="s">
        <v>2225</v>
      </c>
      <c r="E353" t="s">
        <v>513</v>
      </c>
      <c r="F353" t="s">
        <v>514</v>
      </c>
      <c r="G353" t="s">
        <v>43</v>
      </c>
      <c r="H353" t="s">
        <v>44</v>
      </c>
      <c r="I353" t="s">
        <v>34</v>
      </c>
      <c r="J353" t="s">
        <v>45</v>
      </c>
      <c r="K353" t="s">
        <v>41</v>
      </c>
      <c r="L353" t="s">
        <v>2226</v>
      </c>
      <c r="M353" t="s">
        <v>2227</v>
      </c>
      <c r="N353" t="s">
        <v>516</v>
      </c>
      <c r="O353" t="s">
        <v>64</v>
      </c>
      <c r="P353" t="s">
        <v>2228</v>
      </c>
      <c r="Q353" t="s">
        <v>48</v>
      </c>
      <c r="R353" t="s">
        <v>1969</v>
      </c>
      <c r="S353">
        <v>1.1200000000000001</v>
      </c>
      <c r="T353">
        <v>4230</v>
      </c>
      <c r="U353">
        <v>0</v>
      </c>
      <c r="V353">
        <v>4230</v>
      </c>
    </row>
    <row r="354" spans="1:22" x14ac:dyDescent="0.3">
      <c r="A354">
        <v>79452</v>
      </c>
      <c r="B354">
        <v>137848752</v>
      </c>
      <c r="C354" t="s">
        <v>2229</v>
      </c>
      <c r="D354" t="s">
        <v>2230</v>
      </c>
      <c r="E354" t="s">
        <v>513</v>
      </c>
      <c r="F354" t="s">
        <v>514</v>
      </c>
      <c r="G354" t="s">
        <v>43</v>
      </c>
      <c r="H354" t="s">
        <v>44</v>
      </c>
      <c r="I354" t="s">
        <v>34</v>
      </c>
      <c r="J354" t="s">
        <v>45</v>
      </c>
      <c r="K354" t="s">
        <v>41</v>
      </c>
      <c r="L354" t="s">
        <v>2231</v>
      </c>
      <c r="M354" t="s">
        <v>2232</v>
      </c>
      <c r="N354" t="s">
        <v>516</v>
      </c>
      <c r="O354" t="s">
        <v>64</v>
      </c>
      <c r="P354" t="s">
        <v>2233</v>
      </c>
      <c r="Q354" t="s">
        <v>200</v>
      </c>
      <c r="R354" t="s">
        <v>1969</v>
      </c>
      <c r="S354">
        <v>1.54</v>
      </c>
      <c r="T354">
        <v>7807</v>
      </c>
      <c r="U354">
        <v>0</v>
      </c>
      <c r="V354">
        <v>7807</v>
      </c>
    </row>
    <row r="355" spans="1:22" x14ac:dyDescent="0.3">
      <c r="A355">
        <v>79452</v>
      </c>
      <c r="B355">
        <v>137909813</v>
      </c>
      <c r="C355" t="s">
        <v>2234</v>
      </c>
      <c r="D355" t="s">
        <v>2235</v>
      </c>
      <c r="E355" t="s">
        <v>513</v>
      </c>
      <c r="F355" t="s">
        <v>514</v>
      </c>
      <c r="G355" t="s">
        <v>43</v>
      </c>
      <c r="H355" t="s">
        <v>44</v>
      </c>
      <c r="I355" t="s">
        <v>34</v>
      </c>
      <c r="J355" t="s">
        <v>45</v>
      </c>
      <c r="K355" t="s">
        <v>41</v>
      </c>
      <c r="L355" t="s">
        <v>2236</v>
      </c>
      <c r="M355" t="s">
        <v>2237</v>
      </c>
      <c r="N355" t="s">
        <v>516</v>
      </c>
      <c r="O355" t="s">
        <v>64</v>
      </c>
      <c r="P355" t="s">
        <v>2238</v>
      </c>
      <c r="Q355" t="s">
        <v>144</v>
      </c>
      <c r="R355" t="s">
        <v>1217</v>
      </c>
      <c r="S355">
        <v>1.1499999999999999</v>
      </c>
      <c r="T355">
        <v>3904</v>
      </c>
      <c r="U355">
        <v>0</v>
      </c>
      <c r="V355">
        <v>3904</v>
      </c>
    </row>
    <row r="356" spans="1:22" x14ac:dyDescent="0.3">
      <c r="A356">
        <v>79452</v>
      </c>
      <c r="B356">
        <v>137933662</v>
      </c>
      <c r="C356" t="s">
        <v>2239</v>
      </c>
      <c r="D356" t="s">
        <v>2240</v>
      </c>
      <c r="E356" t="s">
        <v>513</v>
      </c>
      <c r="F356" t="s">
        <v>514</v>
      </c>
      <c r="G356" t="s">
        <v>43</v>
      </c>
      <c r="H356" t="s">
        <v>44</v>
      </c>
      <c r="I356" t="s">
        <v>34</v>
      </c>
      <c r="J356" t="s">
        <v>45</v>
      </c>
      <c r="K356" t="s">
        <v>41</v>
      </c>
      <c r="L356" t="s">
        <v>2241</v>
      </c>
      <c r="M356" t="s">
        <v>2242</v>
      </c>
      <c r="N356" t="s">
        <v>516</v>
      </c>
      <c r="O356" t="s">
        <v>64</v>
      </c>
      <c r="P356" t="s">
        <v>2243</v>
      </c>
      <c r="Q356" t="s">
        <v>73</v>
      </c>
      <c r="R356" t="s">
        <v>448</v>
      </c>
      <c r="S356">
        <v>0.92</v>
      </c>
      <c r="T356">
        <v>3904</v>
      </c>
      <c r="U356">
        <v>0</v>
      </c>
      <c r="V356">
        <v>3904</v>
      </c>
    </row>
    <row r="357" spans="1:22" x14ac:dyDescent="0.3">
      <c r="A357">
        <v>79452</v>
      </c>
      <c r="B357">
        <v>137798276</v>
      </c>
      <c r="C357" t="s">
        <v>2244</v>
      </c>
      <c r="D357" t="s">
        <v>2245</v>
      </c>
      <c r="E357" t="s">
        <v>513</v>
      </c>
      <c r="F357" t="s">
        <v>514</v>
      </c>
      <c r="G357" t="s">
        <v>43</v>
      </c>
      <c r="H357" t="s">
        <v>44</v>
      </c>
      <c r="I357" t="s">
        <v>34</v>
      </c>
      <c r="J357" t="s">
        <v>45</v>
      </c>
      <c r="K357" t="s">
        <v>41</v>
      </c>
      <c r="L357" t="s">
        <v>2246</v>
      </c>
      <c r="M357" t="s">
        <v>2247</v>
      </c>
      <c r="N357" t="s">
        <v>516</v>
      </c>
      <c r="O357" t="s">
        <v>64</v>
      </c>
      <c r="P357" t="s">
        <v>2248</v>
      </c>
      <c r="Q357" t="s">
        <v>50</v>
      </c>
      <c r="R357" t="s">
        <v>1501</v>
      </c>
      <c r="S357">
        <v>0.83</v>
      </c>
      <c r="T357">
        <v>5406</v>
      </c>
      <c r="U357">
        <v>0</v>
      </c>
      <c r="V357">
        <v>5406</v>
      </c>
    </row>
    <row r="358" spans="1:22" x14ac:dyDescent="0.3">
      <c r="A358">
        <v>79452</v>
      </c>
      <c r="B358">
        <v>137870231</v>
      </c>
      <c r="C358" t="s">
        <v>2249</v>
      </c>
      <c r="D358" t="s">
        <v>2250</v>
      </c>
      <c r="E358" t="s">
        <v>513</v>
      </c>
      <c r="F358" t="s">
        <v>514</v>
      </c>
      <c r="G358" t="s">
        <v>43</v>
      </c>
      <c r="H358" t="s">
        <v>44</v>
      </c>
      <c r="I358" t="s">
        <v>34</v>
      </c>
      <c r="J358" t="s">
        <v>45</v>
      </c>
      <c r="K358" t="s">
        <v>41</v>
      </c>
      <c r="L358" t="s">
        <v>2251</v>
      </c>
      <c r="M358" t="s">
        <v>2252</v>
      </c>
      <c r="N358" t="s">
        <v>516</v>
      </c>
      <c r="O358" t="s">
        <v>64</v>
      </c>
      <c r="P358" t="s">
        <v>2253</v>
      </c>
      <c r="Q358" t="s">
        <v>90</v>
      </c>
      <c r="R358" t="s">
        <v>1000</v>
      </c>
      <c r="S358">
        <v>0.64</v>
      </c>
      <c r="T358">
        <v>3904</v>
      </c>
      <c r="U358">
        <v>0</v>
      </c>
      <c r="V358">
        <v>3904</v>
      </c>
    </row>
    <row r="359" spans="1:22" x14ac:dyDescent="0.3">
      <c r="A359">
        <v>79452</v>
      </c>
      <c r="B359">
        <v>137879387</v>
      </c>
      <c r="C359" t="s">
        <v>2254</v>
      </c>
      <c r="D359" t="s">
        <v>2255</v>
      </c>
      <c r="E359" t="s">
        <v>513</v>
      </c>
      <c r="F359" t="s">
        <v>514</v>
      </c>
      <c r="G359" t="s">
        <v>43</v>
      </c>
      <c r="H359" t="s">
        <v>44</v>
      </c>
      <c r="I359" t="s">
        <v>34</v>
      </c>
      <c r="J359" t="s">
        <v>45</v>
      </c>
      <c r="K359" t="s">
        <v>41</v>
      </c>
      <c r="L359" t="s">
        <v>2256</v>
      </c>
      <c r="M359" t="s">
        <v>923</v>
      </c>
      <c r="N359" t="s">
        <v>516</v>
      </c>
      <c r="O359" t="s">
        <v>64</v>
      </c>
      <c r="P359" t="s">
        <v>2257</v>
      </c>
      <c r="Q359" t="s">
        <v>67</v>
      </c>
      <c r="R359" t="s">
        <v>1919</v>
      </c>
      <c r="S359">
        <v>1.17</v>
      </c>
      <c r="T359">
        <v>3936</v>
      </c>
      <c r="U359">
        <v>0</v>
      </c>
      <c r="V359">
        <v>3936</v>
      </c>
    </row>
    <row r="360" spans="1:22" x14ac:dyDescent="0.3">
      <c r="A360">
        <v>79452</v>
      </c>
      <c r="B360">
        <v>137909788</v>
      </c>
      <c r="C360" t="s">
        <v>2258</v>
      </c>
      <c r="D360" t="s">
        <v>2259</v>
      </c>
      <c r="E360" t="s">
        <v>513</v>
      </c>
      <c r="F360" t="s">
        <v>514</v>
      </c>
      <c r="G360" t="s">
        <v>43</v>
      </c>
      <c r="H360" t="s">
        <v>44</v>
      </c>
      <c r="I360" t="s">
        <v>34</v>
      </c>
      <c r="J360" t="s">
        <v>45</v>
      </c>
      <c r="K360" t="s">
        <v>41</v>
      </c>
      <c r="L360" t="s">
        <v>2260</v>
      </c>
      <c r="M360" t="s">
        <v>2261</v>
      </c>
      <c r="N360" t="s">
        <v>516</v>
      </c>
      <c r="O360" t="s">
        <v>64</v>
      </c>
      <c r="P360" t="s">
        <v>2262</v>
      </c>
      <c r="Q360" t="s">
        <v>172</v>
      </c>
      <c r="R360" t="s">
        <v>1217</v>
      </c>
      <c r="S360">
        <v>0.74</v>
      </c>
      <c r="T360">
        <v>4881</v>
      </c>
      <c r="U360">
        <v>0</v>
      </c>
      <c r="V360">
        <v>4881</v>
      </c>
    </row>
    <row r="361" spans="1:22" x14ac:dyDescent="0.3">
      <c r="A361">
        <v>79452</v>
      </c>
      <c r="B361">
        <v>137848745</v>
      </c>
      <c r="C361" t="s">
        <v>2263</v>
      </c>
      <c r="D361" t="s">
        <v>2264</v>
      </c>
      <c r="E361" t="s">
        <v>513</v>
      </c>
      <c r="F361" t="s">
        <v>514</v>
      </c>
      <c r="G361" t="s">
        <v>43</v>
      </c>
      <c r="H361" t="s">
        <v>44</v>
      </c>
      <c r="I361" t="s">
        <v>34</v>
      </c>
      <c r="J361" t="s">
        <v>45</v>
      </c>
      <c r="K361" t="s">
        <v>41</v>
      </c>
      <c r="L361" t="s">
        <v>2265</v>
      </c>
      <c r="M361" t="s">
        <v>2266</v>
      </c>
      <c r="N361" t="s">
        <v>516</v>
      </c>
      <c r="O361" t="s">
        <v>64</v>
      </c>
      <c r="P361" t="s">
        <v>2267</v>
      </c>
      <c r="Q361" t="s">
        <v>141</v>
      </c>
      <c r="R361" t="s">
        <v>1969</v>
      </c>
      <c r="S361">
        <v>0.97</v>
      </c>
      <c r="T361">
        <v>6999</v>
      </c>
      <c r="U361">
        <v>0</v>
      </c>
      <c r="V361">
        <v>6999</v>
      </c>
    </row>
    <row r="362" spans="1:22" x14ac:dyDescent="0.3">
      <c r="A362">
        <v>79452</v>
      </c>
      <c r="B362">
        <v>137933664</v>
      </c>
      <c r="C362" t="s">
        <v>2268</v>
      </c>
      <c r="D362" t="s">
        <v>2269</v>
      </c>
      <c r="E362" t="s">
        <v>513</v>
      </c>
      <c r="F362" t="s">
        <v>514</v>
      </c>
      <c r="G362" t="s">
        <v>43</v>
      </c>
      <c r="H362" t="s">
        <v>44</v>
      </c>
      <c r="I362" t="s">
        <v>34</v>
      </c>
      <c r="J362" t="s">
        <v>45</v>
      </c>
      <c r="K362" t="s">
        <v>41</v>
      </c>
      <c r="L362" t="s">
        <v>2270</v>
      </c>
      <c r="M362" t="s">
        <v>2271</v>
      </c>
      <c r="N362" t="s">
        <v>516</v>
      </c>
      <c r="O362" t="s">
        <v>64</v>
      </c>
      <c r="P362" t="s">
        <v>2272</v>
      </c>
      <c r="Q362" t="s">
        <v>75</v>
      </c>
      <c r="R362" t="s">
        <v>448</v>
      </c>
      <c r="S362">
        <v>0.99</v>
      </c>
      <c r="T362">
        <v>3904</v>
      </c>
      <c r="U362">
        <v>0</v>
      </c>
      <c r="V362">
        <v>3904</v>
      </c>
    </row>
    <row r="363" spans="1:22" x14ac:dyDescent="0.3">
      <c r="A363">
        <v>79452</v>
      </c>
      <c r="B363">
        <v>137837171</v>
      </c>
      <c r="C363" t="s">
        <v>2273</v>
      </c>
      <c r="D363" t="s">
        <v>2274</v>
      </c>
      <c r="E363" t="s">
        <v>513</v>
      </c>
      <c r="F363" t="s">
        <v>514</v>
      </c>
      <c r="G363" t="s">
        <v>43</v>
      </c>
      <c r="H363" t="s">
        <v>44</v>
      </c>
      <c r="I363" t="s">
        <v>34</v>
      </c>
      <c r="J363" t="s">
        <v>45</v>
      </c>
      <c r="K363" t="s">
        <v>41</v>
      </c>
      <c r="L363" t="s">
        <v>2270</v>
      </c>
      <c r="M363" t="s">
        <v>2271</v>
      </c>
      <c r="N363" t="s">
        <v>516</v>
      </c>
      <c r="O363" t="s">
        <v>64</v>
      </c>
      <c r="P363" t="s">
        <v>2272</v>
      </c>
      <c r="Q363" t="s">
        <v>75</v>
      </c>
      <c r="R363" t="s">
        <v>403</v>
      </c>
      <c r="S363">
        <v>1.04</v>
      </c>
      <c r="T363">
        <v>3904</v>
      </c>
      <c r="U363">
        <v>0</v>
      </c>
      <c r="V363">
        <v>3904</v>
      </c>
    </row>
    <row r="364" spans="1:22" x14ac:dyDescent="0.3">
      <c r="A364">
        <v>79452</v>
      </c>
      <c r="B364">
        <v>137870244</v>
      </c>
      <c r="C364" t="s">
        <v>2275</v>
      </c>
      <c r="D364" t="s">
        <v>2276</v>
      </c>
      <c r="E364" t="s">
        <v>513</v>
      </c>
      <c r="F364" t="s">
        <v>514</v>
      </c>
      <c r="G364" t="s">
        <v>43</v>
      </c>
      <c r="H364" t="s">
        <v>44</v>
      </c>
      <c r="I364" t="s">
        <v>34</v>
      </c>
      <c r="J364" t="s">
        <v>45</v>
      </c>
      <c r="K364" t="s">
        <v>41</v>
      </c>
      <c r="L364" t="s">
        <v>2277</v>
      </c>
      <c r="M364" t="s">
        <v>2278</v>
      </c>
      <c r="N364" t="s">
        <v>516</v>
      </c>
      <c r="O364" t="s">
        <v>64</v>
      </c>
      <c r="P364" t="s">
        <v>2279</v>
      </c>
      <c r="Q364" t="s">
        <v>118</v>
      </c>
      <c r="R364" t="s">
        <v>1000</v>
      </c>
      <c r="S364">
        <v>1.1200000000000001</v>
      </c>
      <c r="T364">
        <v>4230</v>
      </c>
      <c r="U364">
        <v>0</v>
      </c>
      <c r="V364">
        <v>4230</v>
      </c>
    </row>
    <row r="365" spans="1:22" x14ac:dyDescent="0.3">
      <c r="A365">
        <v>79452</v>
      </c>
      <c r="B365">
        <v>137837181</v>
      </c>
      <c r="C365" t="s">
        <v>2280</v>
      </c>
      <c r="D365" t="s">
        <v>2281</v>
      </c>
      <c r="E365" t="s">
        <v>513</v>
      </c>
      <c r="F365" t="s">
        <v>514</v>
      </c>
      <c r="G365" t="s">
        <v>43</v>
      </c>
      <c r="H365" t="s">
        <v>44</v>
      </c>
      <c r="I365" t="s">
        <v>34</v>
      </c>
      <c r="J365" t="s">
        <v>45</v>
      </c>
      <c r="K365" t="s">
        <v>41</v>
      </c>
      <c r="L365" t="s">
        <v>2282</v>
      </c>
      <c r="M365" t="s">
        <v>2283</v>
      </c>
      <c r="N365" t="s">
        <v>516</v>
      </c>
      <c r="O365" t="s">
        <v>64</v>
      </c>
      <c r="P365" t="s">
        <v>2284</v>
      </c>
      <c r="Q365" t="s">
        <v>75</v>
      </c>
      <c r="R365" t="s">
        <v>403</v>
      </c>
      <c r="S365">
        <v>0.81</v>
      </c>
      <c r="T365">
        <v>3904</v>
      </c>
      <c r="U365">
        <v>0</v>
      </c>
      <c r="V365">
        <v>3904</v>
      </c>
    </row>
    <row r="366" spans="1:22" x14ac:dyDescent="0.3">
      <c r="A366">
        <v>79452</v>
      </c>
      <c r="B366">
        <v>137909785</v>
      </c>
      <c r="C366" t="s">
        <v>2285</v>
      </c>
      <c r="D366" t="s">
        <v>2286</v>
      </c>
      <c r="E366" t="s">
        <v>513</v>
      </c>
      <c r="F366" t="s">
        <v>514</v>
      </c>
      <c r="G366" t="s">
        <v>43</v>
      </c>
      <c r="H366" t="s">
        <v>44</v>
      </c>
      <c r="I366" t="s">
        <v>34</v>
      </c>
      <c r="J366" t="s">
        <v>45</v>
      </c>
      <c r="K366" t="s">
        <v>41</v>
      </c>
      <c r="L366" t="s">
        <v>2287</v>
      </c>
      <c r="M366" t="s">
        <v>2288</v>
      </c>
      <c r="N366" t="s">
        <v>516</v>
      </c>
      <c r="O366" t="s">
        <v>64</v>
      </c>
      <c r="P366" t="s">
        <v>2289</v>
      </c>
      <c r="Q366" t="s">
        <v>144</v>
      </c>
      <c r="R366" t="s">
        <v>1217</v>
      </c>
      <c r="S366">
        <v>1.37</v>
      </c>
      <c r="T366">
        <v>3904</v>
      </c>
      <c r="U366">
        <v>0</v>
      </c>
      <c r="V366">
        <v>3904</v>
      </c>
    </row>
    <row r="367" spans="1:22" x14ac:dyDescent="0.3">
      <c r="A367">
        <v>79452</v>
      </c>
      <c r="B367">
        <v>137909842</v>
      </c>
      <c r="C367" t="s">
        <v>2290</v>
      </c>
      <c r="D367" t="s">
        <v>2291</v>
      </c>
      <c r="E367" t="s">
        <v>513</v>
      </c>
      <c r="F367" t="s">
        <v>514</v>
      </c>
      <c r="G367" t="s">
        <v>43</v>
      </c>
      <c r="H367" t="s">
        <v>44</v>
      </c>
      <c r="I367" t="s">
        <v>34</v>
      </c>
      <c r="J367" t="s">
        <v>45</v>
      </c>
      <c r="K367" t="s">
        <v>41</v>
      </c>
      <c r="L367" t="s">
        <v>2292</v>
      </c>
      <c r="M367" t="s">
        <v>2293</v>
      </c>
      <c r="N367" t="s">
        <v>516</v>
      </c>
      <c r="O367" t="s">
        <v>64</v>
      </c>
      <c r="P367" t="s">
        <v>2294</v>
      </c>
      <c r="Q367" t="s">
        <v>49</v>
      </c>
      <c r="R367" t="s">
        <v>1875</v>
      </c>
      <c r="S367">
        <v>1.0900000000000001</v>
      </c>
      <c r="T367">
        <v>3642</v>
      </c>
      <c r="U367">
        <v>0</v>
      </c>
      <c r="V367">
        <v>3642</v>
      </c>
    </row>
    <row r="368" spans="1:22" x14ac:dyDescent="0.3">
      <c r="A368">
        <v>79452</v>
      </c>
      <c r="B368">
        <v>137837189</v>
      </c>
      <c r="C368" t="s">
        <v>2295</v>
      </c>
      <c r="D368" t="s">
        <v>2296</v>
      </c>
      <c r="E368" t="s">
        <v>513</v>
      </c>
      <c r="F368" t="s">
        <v>514</v>
      </c>
      <c r="G368" t="s">
        <v>43</v>
      </c>
      <c r="H368" t="s">
        <v>44</v>
      </c>
      <c r="I368" t="s">
        <v>34</v>
      </c>
      <c r="J368" t="s">
        <v>45</v>
      </c>
      <c r="K368" t="s">
        <v>41</v>
      </c>
      <c r="L368" t="s">
        <v>2297</v>
      </c>
      <c r="M368" t="s">
        <v>2298</v>
      </c>
      <c r="N368" t="s">
        <v>516</v>
      </c>
      <c r="O368" t="s">
        <v>64</v>
      </c>
      <c r="P368" t="s">
        <v>2299</v>
      </c>
      <c r="Q368" t="s">
        <v>47</v>
      </c>
      <c r="R368" t="s">
        <v>403</v>
      </c>
      <c r="S368">
        <v>1.2</v>
      </c>
      <c r="T368">
        <v>4230</v>
      </c>
      <c r="U368">
        <v>0</v>
      </c>
      <c r="V368">
        <v>4230</v>
      </c>
    </row>
    <row r="369" spans="1:22" x14ac:dyDescent="0.3">
      <c r="A369">
        <v>79452</v>
      </c>
      <c r="B369">
        <v>137870260</v>
      </c>
      <c r="C369" t="s">
        <v>2300</v>
      </c>
      <c r="D369" t="s">
        <v>2301</v>
      </c>
      <c r="E369" t="s">
        <v>513</v>
      </c>
      <c r="F369" t="s">
        <v>514</v>
      </c>
      <c r="G369" t="s">
        <v>43</v>
      </c>
      <c r="H369" t="s">
        <v>44</v>
      </c>
      <c r="I369" t="s">
        <v>34</v>
      </c>
      <c r="J369" t="s">
        <v>45</v>
      </c>
      <c r="K369" t="s">
        <v>41</v>
      </c>
      <c r="L369" t="s">
        <v>2302</v>
      </c>
      <c r="M369" t="s">
        <v>2303</v>
      </c>
      <c r="N369" t="s">
        <v>516</v>
      </c>
      <c r="O369" t="s">
        <v>64</v>
      </c>
      <c r="P369" t="s">
        <v>2304</v>
      </c>
      <c r="Q369" t="s">
        <v>75</v>
      </c>
      <c r="R369" t="s">
        <v>1000</v>
      </c>
      <c r="S369">
        <v>1.02</v>
      </c>
      <c r="T369">
        <v>3904</v>
      </c>
      <c r="U369">
        <v>0</v>
      </c>
      <c r="V369">
        <v>3904</v>
      </c>
    </row>
    <row r="370" spans="1:22" x14ac:dyDescent="0.3">
      <c r="A370">
        <v>79452</v>
      </c>
      <c r="B370">
        <v>137870223</v>
      </c>
      <c r="C370" t="s">
        <v>2305</v>
      </c>
      <c r="D370" t="s">
        <v>2306</v>
      </c>
      <c r="E370" t="s">
        <v>513</v>
      </c>
      <c r="F370" t="s">
        <v>514</v>
      </c>
      <c r="G370" t="s">
        <v>43</v>
      </c>
      <c r="H370" t="s">
        <v>44</v>
      </c>
      <c r="I370" t="s">
        <v>34</v>
      </c>
      <c r="J370" t="s">
        <v>45</v>
      </c>
      <c r="K370" t="s">
        <v>41</v>
      </c>
      <c r="L370" t="s">
        <v>2307</v>
      </c>
      <c r="M370" t="s">
        <v>2308</v>
      </c>
      <c r="N370" t="s">
        <v>516</v>
      </c>
      <c r="O370" t="s">
        <v>64</v>
      </c>
      <c r="P370" t="s">
        <v>2309</v>
      </c>
      <c r="Q370" t="s">
        <v>90</v>
      </c>
      <c r="R370" t="s">
        <v>2218</v>
      </c>
      <c r="S370">
        <v>0.74</v>
      </c>
      <c r="T370">
        <v>3904</v>
      </c>
      <c r="U370">
        <v>0</v>
      </c>
      <c r="V370">
        <v>3904</v>
      </c>
    </row>
    <row r="371" spans="1:22" x14ac:dyDescent="0.3">
      <c r="A371">
        <v>79452</v>
      </c>
      <c r="B371">
        <v>137909804</v>
      </c>
      <c r="C371" t="s">
        <v>2310</v>
      </c>
      <c r="D371" t="s">
        <v>2311</v>
      </c>
      <c r="E371" t="s">
        <v>513</v>
      </c>
      <c r="F371" t="s">
        <v>514</v>
      </c>
      <c r="G371" t="s">
        <v>43</v>
      </c>
      <c r="H371" t="s">
        <v>44</v>
      </c>
      <c r="I371" t="s">
        <v>34</v>
      </c>
      <c r="J371" t="s">
        <v>45</v>
      </c>
      <c r="K371" t="s">
        <v>41</v>
      </c>
      <c r="L371" t="s">
        <v>2312</v>
      </c>
      <c r="M371" t="s">
        <v>2313</v>
      </c>
      <c r="N371" t="s">
        <v>516</v>
      </c>
      <c r="O371" t="s">
        <v>64</v>
      </c>
      <c r="P371" t="s">
        <v>2314</v>
      </c>
      <c r="Q371" t="s">
        <v>66</v>
      </c>
      <c r="R371" t="s">
        <v>1217</v>
      </c>
      <c r="S371">
        <v>1.34</v>
      </c>
      <c r="T371">
        <v>3936</v>
      </c>
      <c r="U371">
        <v>0</v>
      </c>
      <c r="V371">
        <v>3936</v>
      </c>
    </row>
    <row r="372" spans="1:22" x14ac:dyDescent="0.3">
      <c r="A372">
        <v>79452</v>
      </c>
      <c r="B372">
        <v>137879375</v>
      </c>
      <c r="C372" t="s">
        <v>2315</v>
      </c>
      <c r="D372" t="s">
        <v>2316</v>
      </c>
      <c r="E372" t="s">
        <v>513</v>
      </c>
      <c r="F372" t="s">
        <v>514</v>
      </c>
      <c r="G372" t="s">
        <v>43</v>
      </c>
      <c r="H372" t="s">
        <v>44</v>
      </c>
      <c r="I372" t="s">
        <v>34</v>
      </c>
      <c r="J372" t="s">
        <v>45</v>
      </c>
      <c r="K372" t="s">
        <v>41</v>
      </c>
      <c r="L372" t="s">
        <v>2317</v>
      </c>
      <c r="M372" t="s">
        <v>2318</v>
      </c>
      <c r="N372" t="s">
        <v>516</v>
      </c>
      <c r="O372" t="s">
        <v>64</v>
      </c>
      <c r="P372" t="s">
        <v>2319</v>
      </c>
      <c r="Q372" t="s">
        <v>53</v>
      </c>
      <c r="R372" t="s">
        <v>1919</v>
      </c>
      <c r="S372">
        <v>0.83</v>
      </c>
      <c r="T372">
        <v>3642</v>
      </c>
      <c r="U372">
        <v>0</v>
      </c>
      <c r="V372">
        <v>3642</v>
      </c>
    </row>
    <row r="373" spans="1:22" x14ac:dyDescent="0.3">
      <c r="A373">
        <v>79452</v>
      </c>
      <c r="B373">
        <v>137837201</v>
      </c>
      <c r="C373" t="s">
        <v>2320</v>
      </c>
      <c r="D373" t="s">
        <v>2321</v>
      </c>
      <c r="E373" t="s">
        <v>513</v>
      </c>
      <c r="F373" t="s">
        <v>514</v>
      </c>
      <c r="G373" t="s">
        <v>43</v>
      </c>
      <c r="H373" t="s">
        <v>44</v>
      </c>
      <c r="I373" t="s">
        <v>34</v>
      </c>
      <c r="J373" t="s">
        <v>45</v>
      </c>
      <c r="K373" t="s">
        <v>41</v>
      </c>
      <c r="L373" t="s">
        <v>365</v>
      </c>
      <c r="M373" t="s">
        <v>933</v>
      </c>
      <c r="N373" t="s">
        <v>516</v>
      </c>
      <c r="O373" t="s">
        <v>64</v>
      </c>
      <c r="P373" t="s">
        <v>2322</v>
      </c>
      <c r="Q373" t="s">
        <v>61</v>
      </c>
      <c r="R373" t="s">
        <v>1784</v>
      </c>
      <c r="S373">
        <v>1.06</v>
      </c>
      <c r="T373">
        <v>3501</v>
      </c>
      <c r="U373">
        <v>0</v>
      </c>
      <c r="V373">
        <v>3501</v>
      </c>
    </row>
    <row r="374" spans="1:22" x14ac:dyDescent="0.3">
      <c r="A374">
        <v>79452</v>
      </c>
      <c r="B374">
        <v>137837169</v>
      </c>
      <c r="C374" t="s">
        <v>2323</v>
      </c>
      <c r="D374" t="s">
        <v>2324</v>
      </c>
      <c r="E374" t="s">
        <v>513</v>
      </c>
      <c r="F374" t="s">
        <v>514</v>
      </c>
      <c r="G374" t="s">
        <v>43</v>
      </c>
      <c r="H374" t="s">
        <v>44</v>
      </c>
      <c r="I374" t="s">
        <v>34</v>
      </c>
      <c r="J374" t="s">
        <v>45</v>
      </c>
      <c r="K374" t="s">
        <v>41</v>
      </c>
      <c r="L374" t="s">
        <v>2325</v>
      </c>
      <c r="M374" t="s">
        <v>2326</v>
      </c>
      <c r="N374" t="s">
        <v>516</v>
      </c>
      <c r="O374" t="s">
        <v>64</v>
      </c>
      <c r="P374" t="s">
        <v>2327</v>
      </c>
      <c r="Q374" t="s">
        <v>61</v>
      </c>
      <c r="R374" t="s">
        <v>403</v>
      </c>
      <c r="S374">
        <v>1.19</v>
      </c>
      <c r="T374">
        <v>3501</v>
      </c>
      <c r="U374">
        <v>0</v>
      </c>
      <c r="V374">
        <v>3501</v>
      </c>
    </row>
    <row r="375" spans="1:22" x14ac:dyDescent="0.3">
      <c r="A375">
        <v>79452</v>
      </c>
      <c r="B375">
        <v>137870252</v>
      </c>
      <c r="C375" t="s">
        <v>2328</v>
      </c>
      <c r="D375" t="s">
        <v>2329</v>
      </c>
      <c r="E375" t="s">
        <v>513</v>
      </c>
      <c r="F375" t="s">
        <v>514</v>
      </c>
      <c r="G375" t="s">
        <v>43</v>
      </c>
      <c r="H375" t="s">
        <v>44</v>
      </c>
      <c r="I375" t="s">
        <v>34</v>
      </c>
      <c r="J375" t="s">
        <v>45</v>
      </c>
      <c r="K375" t="s">
        <v>41</v>
      </c>
      <c r="L375" t="s">
        <v>2330</v>
      </c>
      <c r="M375" t="s">
        <v>2331</v>
      </c>
      <c r="N375" t="s">
        <v>516</v>
      </c>
      <c r="O375" t="s">
        <v>64</v>
      </c>
      <c r="P375" t="s">
        <v>2332</v>
      </c>
      <c r="Q375" t="s">
        <v>81</v>
      </c>
      <c r="R375" t="s">
        <v>1000</v>
      </c>
      <c r="S375">
        <v>0.68</v>
      </c>
      <c r="T375">
        <v>3501</v>
      </c>
      <c r="U375">
        <v>0</v>
      </c>
      <c r="V375">
        <v>3501</v>
      </c>
    </row>
    <row r="376" spans="1:22" x14ac:dyDescent="0.3">
      <c r="A376">
        <v>79452</v>
      </c>
      <c r="B376">
        <v>137909819</v>
      </c>
      <c r="C376" t="s">
        <v>2333</v>
      </c>
      <c r="D376" t="s">
        <v>2334</v>
      </c>
      <c r="E376" t="s">
        <v>513</v>
      </c>
      <c r="F376" t="s">
        <v>514</v>
      </c>
      <c r="G376" t="s">
        <v>43</v>
      </c>
      <c r="H376" t="s">
        <v>44</v>
      </c>
      <c r="I376" t="s">
        <v>34</v>
      </c>
      <c r="J376" t="s">
        <v>45</v>
      </c>
      <c r="K376" t="s">
        <v>41</v>
      </c>
      <c r="L376" t="s">
        <v>2335</v>
      </c>
      <c r="M376" t="s">
        <v>2336</v>
      </c>
      <c r="N376" t="s">
        <v>516</v>
      </c>
      <c r="O376" t="s">
        <v>64</v>
      </c>
      <c r="P376" t="s">
        <v>2337</v>
      </c>
      <c r="Q376" t="s">
        <v>79</v>
      </c>
      <c r="R376" t="s">
        <v>1875</v>
      </c>
      <c r="S376">
        <v>1.38</v>
      </c>
      <c r="T376">
        <v>3501</v>
      </c>
      <c r="U376">
        <v>0</v>
      </c>
      <c r="V376">
        <v>3501</v>
      </c>
    </row>
    <row r="377" spans="1:22" x14ac:dyDescent="0.3">
      <c r="A377">
        <v>79452</v>
      </c>
      <c r="B377">
        <v>137879363</v>
      </c>
      <c r="C377" t="s">
        <v>2338</v>
      </c>
      <c r="D377" t="s">
        <v>2339</v>
      </c>
      <c r="E377" t="s">
        <v>513</v>
      </c>
      <c r="F377" t="s">
        <v>514</v>
      </c>
      <c r="G377" t="s">
        <v>43</v>
      </c>
      <c r="H377" t="s">
        <v>44</v>
      </c>
      <c r="I377" t="s">
        <v>34</v>
      </c>
      <c r="J377" t="s">
        <v>45</v>
      </c>
      <c r="K377" t="s">
        <v>41</v>
      </c>
      <c r="L377" t="s">
        <v>2340</v>
      </c>
      <c r="M377" t="s">
        <v>2341</v>
      </c>
      <c r="N377" t="s">
        <v>516</v>
      </c>
      <c r="O377" t="s">
        <v>64</v>
      </c>
      <c r="P377" t="s">
        <v>2342</v>
      </c>
      <c r="Q377" t="s">
        <v>61</v>
      </c>
      <c r="R377" t="s">
        <v>1919</v>
      </c>
      <c r="S377">
        <v>1.91</v>
      </c>
      <c r="T377">
        <v>3501</v>
      </c>
      <c r="U377">
        <v>0</v>
      </c>
      <c r="V377">
        <v>3501</v>
      </c>
    </row>
    <row r="378" spans="1:22" x14ac:dyDescent="0.3">
      <c r="A378">
        <v>79452</v>
      </c>
      <c r="B378">
        <v>137933735</v>
      </c>
      <c r="C378" t="s">
        <v>2343</v>
      </c>
      <c r="D378" t="s">
        <v>2344</v>
      </c>
      <c r="E378" t="s">
        <v>513</v>
      </c>
      <c r="F378" t="s">
        <v>514</v>
      </c>
      <c r="G378" t="s">
        <v>43</v>
      </c>
      <c r="H378" t="s">
        <v>44</v>
      </c>
      <c r="I378" t="s">
        <v>34</v>
      </c>
      <c r="J378" t="s">
        <v>45</v>
      </c>
      <c r="K378" t="s">
        <v>41</v>
      </c>
      <c r="L378" t="s">
        <v>2345</v>
      </c>
      <c r="M378" t="s">
        <v>2346</v>
      </c>
      <c r="N378" t="s">
        <v>516</v>
      </c>
      <c r="O378" t="s">
        <v>64</v>
      </c>
      <c r="P378" t="s">
        <v>2347</v>
      </c>
      <c r="Q378" t="s">
        <v>106</v>
      </c>
      <c r="R378" t="s">
        <v>448</v>
      </c>
      <c r="S378">
        <v>1.47</v>
      </c>
      <c r="T378">
        <v>4025</v>
      </c>
      <c r="U378">
        <v>0</v>
      </c>
      <c r="V378">
        <v>4025</v>
      </c>
    </row>
    <row r="379" spans="1:22" x14ac:dyDescent="0.3">
      <c r="A379">
        <v>79452</v>
      </c>
      <c r="B379">
        <v>137701414</v>
      </c>
      <c r="C379" t="s">
        <v>2348</v>
      </c>
      <c r="D379" t="s">
        <v>2349</v>
      </c>
      <c r="E379" t="s">
        <v>513</v>
      </c>
      <c r="F379" t="s">
        <v>514</v>
      </c>
      <c r="G379" t="s">
        <v>43</v>
      </c>
      <c r="H379" t="s">
        <v>44</v>
      </c>
      <c r="I379" t="s">
        <v>34</v>
      </c>
      <c r="J379" t="s">
        <v>45</v>
      </c>
      <c r="K379" t="s">
        <v>41</v>
      </c>
      <c r="L379" t="s">
        <v>2350</v>
      </c>
      <c r="M379" t="s">
        <v>2351</v>
      </c>
      <c r="N379" t="s">
        <v>516</v>
      </c>
      <c r="O379" t="s">
        <v>64</v>
      </c>
      <c r="P379" t="s">
        <v>2352</v>
      </c>
      <c r="Q379" t="s">
        <v>111</v>
      </c>
      <c r="R379" t="s">
        <v>2353</v>
      </c>
      <c r="S379">
        <v>1.1000000000000001</v>
      </c>
      <c r="T379">
        <v>5476</v>
      </c>
      <c r="U379">
        <v>0</v>
      </c>
      <c r="V379">
        <v>5476</v>
      </c>
    </row>
    <row r="380" spans="1:22" x14ac:dyDescent="0.3">
      <c r="A380">
        <v>79452</v>
      </c>
      <c r="B380">
        <v>137554432</v>
      </c>
      <c r="C380" t="s">
        <v>2354</v>
      </c>
      <c r="D380" t="s">
        <v>2355</v>
      </c>
      <c r="E380" t="s">
        <v>513</v>
      </c>
      <c r="F380" t="s">
        <v>514</v>
      </c>
      <c r="G380" t="s">
        <v>69</v>
      </c>
      <c r="H380" t="s">
        <v>70</v>
      </c>
      <c r="I380" t="s">
        <v>34</v>
      </c>
      <c r="J380" t="s">
        <v>139</v>
      </c>
      <c r="K380" t="s">
        <v>41</v>
      </c>
      <c r="L380" t="s">
        <v>71</v>
      </c>
      <c r="M380" t="s">
        <v>2356</v>
      </c>
      <c r="N380" t="s">
        <v>516</v>
      </c>
      <c r="O380" t="s">
        <v>64</v>
      </c>
      <c r="P380" t="s">
        <v>2357</v>
      </c>
      <c r="Q380" t="s">
        <v>51</v>
      </c>
      <c r="R380" t="s">
        <v>366</v>
      </c>
      <c r="S380">
        <v>0.52</v>
      </c>
      <c r="T380">
        <v>6125</v>
      </c>
      <c r="U380">
        <v>0</v>
      </c>
      <c r="V380">
        <v>6125</v>
      </c>
    </row>
    <row r="381" spans="1:22" x14ac:dyDescent="0.3">
      <c r="A381">
        <v>79452</v>
      </c>
      <c r="B381">
        <v>137579230</v>
      </c>
      <c r="C381" t="s">
        <v>2358</v>
      </c>
      <c r="D381" t="s">
        <v>2359</v>
      </c>
      <c r="E381" t="s">
        <v>513</v>
      </c>
      <c r="F381" t="s">
        <v>514</v>
      </c>
      <c r="G381" t="s">
        <v>69</v>
      </c>
      <c r="H381" t="s">
        <v>70</v>
      </c>
      <c r="I381" t="s">
        <v>34</v>
      </c>
      <c r="J381" t="s">
        <v>139</v>
      </c>
      <c r="K381" t="s">
        <v>41</v>
      </c>
      <c r="L381" t="s">
        <v>71</v>
      </c>
      <c r="M381" t="s">
        <v>2360</v>
      </c>
      <c r="N381" t="s">
        <v>516</v>
      </c>
      <c r="O381" t="s">
        <v>64</v>
      </c>
      <c r="P381" t="s">
        <v>2361</v>
      </c>
      <c r="Q381" t="s">
        <v>220</v>
      </c>
      <c r="R381" t="s">
        <v>2362</v>
      </c>
      <c r="S381">
        <v>0.26</v>
      </c>
      <c r="T381">
        <v>11337</v>
      </c>
      <c r="U381">
        <v>0</v>
      </c>
      <c r="V381">
        <v>11337</v>
      </c>
    </row>
    <row r="382" spans="1:22" x14ac:dyDescent="0.3">
      <c r="A382">
        <v>79452</v>
      </c>
      <c r="B382">
        <v>137757031</v>
      </c>
      <c r="C382" t="s">
        <v>2363</v>
      </c>
      <c r="D382" t="s">
        <v>2364</v>
      </c>
      <c r="E382" t="s">
        <v>513</v>
      </c>
      <c r="F382" t="s">
        <v>514</v>
      </c>
      <c r="G382" t="s">
        <v>43</v>
      </c>
      <c r="H382" t="s">
        <v>44</v>
      </c>
      <c r="I382" t="s">
        <v>34</v>
      </c>
      <c r="J382" t="s">
        <v>45</v>
      </c>
      <c r="K382" t="s">
        <v>41</v>
      </c>
      <c r="L382" t="s">
        <v>2365</v>
      </c>
      <c r="M382" t="s">
        <v>2366</v>
      </c>
      <c r="N382" t="s">
        <v>516</v>
      </c>
      <c r="O382" t="s">
        <v>64</v>
      </c>
      <c r="P382" t="s">
        <v>2367</v>
      </c>
      <c r="Q382" t="s">
        <v>98</v>
      </c>
      <c r="R382" t="s">
        <v>1517</v>
      </c>
      <c r="S382">
        <v>1.0900000000000001</v>
      </c>
      <c r="T382">
        <v>5759</v>
      </c>
      <c r="U382">
        <v>0</v>
      </c>
      <c r="V382">
        <v>5759</v>
      </c>
    </row>
    <row r="383" spans="1:22" x14ac:dyDescent="0.3">
      <c r="A383">
        <v>79452</v>
      </c>
      <c r="B383">
        <v>137774932</v>
      </c>
      <c r="C383" t="s">
        <v>2368</v>
      </c>
      <c r="D383" t="s">
        <v>2369</v>
      </c>
      <c r="E383" t="s">
        <v>513</v>
      </c>
      <c r="F383" t="s">
        <v>514</v>
      </c>
      <c r="G383" t="s">
        <v>43</v>
      </c>
      <c r="H383" t="s">
        <v>44</v>
      </c>
      <c r="I383" t="s">
        <v>34</v>
      </c>
      <c r="J383" t="s">
        <v>45</v>
      </c>
      <c r="K383" t="s">
        <v>41</v>
      </c>
      <c r="L383" t="s">
        <v>2370</v>
      </c>
      <c r="M383" t="s">
        <v>2371</v>
      </c>
      <c r="N383" t="s">
        <v>516</v>
      </c>
      <c r="O383" t="s">
        <v>64</v>
      </c>
      <c r="P383" t="s">
        <v>2372</v>
      </c>
      <c r="Q383" t="s">
        <v>98</v>
      </c>
      <c r="R383" t="s">
        <v>2373</v>
      </c>
      <c r="S383">
        <v>1</v>
      </c>
      <c r="T383">
        <v>5759</v>
      </c>
      <c r="U383">
        <v>0</v>
      </c>
      <c r="V383">
        <v>5759</v>
      </c>
    </row>
    <row r="384" spans="1:22" x14ac:dyDescent="0.3">
      <c r="A384">
        <v>79452</v>
      </c>
      <c r="B384">
        <v>137798270</v>
      </c>
      <c r="C384" t="s">
        <v>2374</v>
      </c>
      <c r="D384" t="s">
        <v>2375</v>
      </c>
      <c r="E384" t="s">
        <v>513</v>
      </c>
      <c r="F384" t="s">
        <v>514</v>
      </c>
      <c r="G384" t="s">
        <v>43</v>
      </c>
      <c r="H384" t="s">
        <v>44</v>
      </c>
      <c r="I384" t="s">
        <v>34</v>
      </c>
      <c r="J384" t="s">
        <v>45</v>
      </c>
      <c r="K384" t="s">
        <v>41</v>
      </c>
      <c r="L384" t="s">
        <v>2376</v>
      </c>
      <c r="M384" t="s">
        <v>2377</v>
      </c>
      <c r="N384" t="s">
        <v>516</v>
      </c>
      <c r="O384" t="s">
        <v>64</v>
      </c>
      <c r="P384" t="s">
        <v>2378</v>
      </c>
      <c r="Q384" t="s">
        <v>118</v>
      </c>
      <c r="R384" t="s">
        <v>1501</v>
      </c>
      <c r="S384">
        <v>0.67</v>
      </c>
      <c r="T384">
        <v>4230</v>
      </c>
      <c r="U384">
        <v>0</v>
      </c>
      <c r="V384">
        <v>4230</v>
      </c>
    </row>
    <row r="385" spans="1:22" x14ac:dyDescent="0.3">
      <c r="A385">
        <v>79452</v>
      </c>
      <c r="B385">
        <v>137798238</v>
      </c>
      <c r="C385" t="s">
        <v>2379</v>
      </c>
      <c r="D385" t="s">
        <v>2380</v>
      </c>
      <c r="E385" t="s">
        <v>513</v>
      </c>
      <c r="F385" t="s">
        <v>514</v>
      </c>
      <c r="G385" t="s">
        <v>43</v>
      </c>
      <c r="H385" t="s">
        <v>44</v>
      </c>
      <c r="I385" t="s">
        <v>34</v>
      </c>
      <c r="J385" t="s">
        <v>45</v>
      </c>
      <c r="K385" t="s">
        <v>41</v>
      </c>
      <c r="L385" t="s">
        <v>2381</v>
      </c>
      <c r="M385" t="s">
        <v>2382</v>
      </c>
      <c r="N385" t="s">
        <v>516</v>
      </c>
      <c r="O385" t="s">
        <v>64</v>
      </c>
      <c r="P385" t="s">
        <v>2383</v>
      </c>
      <c r="Q385" t="s">
        <v>193</v>
      </c>
      <c r="R385" t="s">
        <v>2384</v>
      </c>
      <c r="S385">
        <v>0.57999999999999996</v>
      </c>
      <c r="T385">
        <v>3936</v>
      </c>
      <c r="U385">
        <v>0</v>
      </c>
      <c r="V385">
        <v>3936</v>
      </c>
    </row>
    <row r="386" spans="1:22" x14ac:dyDescent="0.3">
      <c r="A386">
        <v>79452</v>
      </c>
      <c r="B386">
        <v>137798275</v>
      </c>
      <c r="C386" t="s">
        <v>2385</v>
      </c>
      <c r="D386" t="s">
        <v>2386</v>
      </c>
      <c r="E386" t="s">
        <v>513</v>
      </c>
      <c r="F386" t="s">
        <v>514</v>
      </c>
      <c r="G386" t="s">
        <v>43</v>
      </c>
      <c r="H386" t="s">
        <v>44</v>
      </c>
      <c r="I386" t="s">
        <v>34</v>
      </c>
      <c r="J386" t="s">
        <v>45</v>
      </c>
      <c r="K386" t="s">
        <v>41</v>
      </c>
      <c r="L386" t="s">
        <v>2387</v>
      </c>
      <c r="M386" t="s">
        <v>2388</v>
      </c>
      <c r="N386" t="s">
        <v>516</v>
      </c>
      <c r="O386" t="s">
        <v>64</v>
      </c>
      <c r="P386" t="s">
        <v>2389</v>
      </c>
      <c r="Q386" t="s">
        <v>90</v>
      </c>
      <c r="R386" t="s">
        <v>1501</v>
      </c>
      <c r="S386">
        <v>0.71</v>
      </c>
      <c r="T386">
        <v>3904</v>
      </c>
      <c r="U386">
        <v>0</v>
      </c>
      <c r="V386">
        <v>3904</v>
      </c>
    </row>
    <row r="387" spans="1:22" x14ac:dyDescent="0.3">
      <c r="A387">
        <v>79452</v>
      </c>
      <c r="B387">
        <v>137554337</v>
      </c>
      <c r="C387" t="s">
        <v>2390</v>
      </c>
      <c r="D387" t="s">
        <v>2391</v>
      </c>
      <c r="E387" t="s">
        <v>513</v>
      </c>
      <c r="F387" t="s">
        <v>514</v>
      </c>
      <c r="G387" t="s">
        <v>69</v>
      </c>
      <c r="H387" t="s">
        <v>70</v>
      </c>
      <c r="I387" t="s">
        <v>34</v>
      </c>
      <c r="J387" t="s">
        <v>139</v>
      </c>
      <c r="K387" t="s">
        <v>41</v>
      </c>
      <c r="L387" t="s">
        <v>71</v>
      </c>
      <c r="M387" t="s">
        <v>2392</v>
      </c>
      <c r="N387" t="s">
        <v>516</v>
      </c>
      <c r="O387" t="s">
        <v>64</v>
      </c>
      <c r="P387" t="s">
        <v>2393</v>
      </c>
      <c r="Q387" t="s">
        <v>207</v>
      </c>
      <c r="R387" t="s">
        <v>2394</v>
      </c>
      <c r="S387">
        <v>0.93</v>
      </c>
      <c r="T387">
        <v>6064</v>
      </c>
      <c r="U387">
        <v>0</v>
      </c>
      <c r="V387">
        <v>6064</v>
      </c>
    </row>
    <row r="388" spans="1:22" x14ac:dyDescent="0.3">
      <c r="A388">
        <v>79452</v>
      </c>
      <c r="B388">
        <v>137701407</v>
      </c>
      <c r="C388" t="s">
        <v>2395</v>
      </c>
      <c r="D388" t="s">
        <v>2396</v>
      </c>
      <c r="E388" t="s">
        <v>513</v>
      </c>
      <c r="F388" t="s">
        <v>514</v>
      </c>
      <c r="G388" t="s">
        <v>43</v>
      </c>
      <c r="H388" t="s">
        <v>44</v>
      </c>
      <c r="I388" t="s">
        <v>34</v>
      </c>
      <c r="J388" t="s">
        <v>45</v>
      </c>
      <c r="K388" t="s">
        <v>41</v>
      </c>
      <c r="L388" t="s">
        <v>2397</v>
      </c>
      <c r="M388" t="s">
        <v>2398</v>
      </c>
      <c r="N388" t="s">
        <v>516</v>
      </c>
      <c r="O388" t="s">
        <v>64</v>
      </c>
      <c r="P388" t="s">
        <v>2399</v>
      </c>
      <c r="Q388" t="s">
        <v>50</v>
      </c>
      <c r="R388" t="s">
        <v>2353</v>
      </c>
      <c r="S388">
        <v>1.05</v>
      </c>
      <c r="T388">
        <v>5198</v>
      </c>
      <c r="U388">
        <v>0</v>
      </c>
      <c r="V388">
        <v>5198</v>
      </c>
    </row>
    <row r="389" spans="1:22" x14ac:dyDescent="0.3">
      <c r="A389">
        <v>79452</v>
      </c>
      <c r="B389">
        <v>137701449</v>
      </c>
      <c r="C389" t="s">
        <v>2400</v>
      </c>
      <c r="D389" t="s">
        <v>2401</v>
      </c>
      <c r="E389" t="s">
        <v>513</v>
      </c>
      <c r="F389" t="s">
        <v>514</v>
      </c>
      <c r="G389" t="s">
        <v>43</v>
      </c>
      <c r="H389" t="s">
        <v>44</v>
      </c>
      <c r="I389" t="s">
        <v>34</v>
      </c>
      <c r="J389" t="s">
        <v>45</v>
      </c>
      <c r="K389" t="s">
        <v>41</v>
      </c>
      <c r="L389" t="s">
        <v>2402</v>
      </c>
      <c r="M389" t="s">
        <v>1623</v>
      </c>
      <c r="N389" t="s">
        <v>516</v>
      </c>
      <c r="O389" t="s">
        <v>64</v>
      </c>
      <c r="P389" t="s">
        <v>1624</v>
      </c>
      <c r="Q389" t="s">
        <v>50</v>
      </c>
      <c r="R389" t="s">
        <v>2353</v>
      </c>
      <c r="S389">
        <v>1</v>
      </c>
      <c r="T389">
        <v>5198</v>
      </c>
      <c r="U389">
        <v>0</v>
      </c>
      <c r="V389">
        <v>5198</v>
      </c>
    </row>
    <row r="390" spans="1:22" x14ac:dyDescent="0.3">
      <c r="A390">
        <v>79452</v>
      </c>
      <c r="B390">
        <v>137554352</v>
      </c>
      <c r="C390" t="s">
        <v>2403</v>
      </c>
      <c r="D390" t="s">
        <v>2404</v>
      </c>
      <c r="E390" t="s">
        <v>513</v>
      </c>
      <c r="F390" t="s">
        <v>514</v>
      </c>
      <c r="G390" t="s">
        <v>69</v>
      </c>
      <c r="H390" t="s">
        <v>70</v>
      </c>
      <c r="I390" t="s">
        <v>34</v>
      </c>
      <c r="J390" t="s">
        <v>139</v>
      </c>
      <c r="K390" t="s">
        <v>41</v>
      </c>
      <c r="L390" t="s">
        <v>71</v>
      </c>
      <c r="M390" t="s">
        <v>158</v>
      </c>
      <c r="N390" t="s">
        <v>516</v>
      </c>
      <c r="O390" t="s">
        <v>64</v>
      </c>
      <c r="P390" t="s">
        <v>2405</v>
      </c>
      <c r="Q390" t="s">
        <v>77</v>
      </c>
      <c r="R390" t="s">
        <v>2394</v>
      </c>
      <c r="S390">
        <v>0.62</v>
      </c>
      <c r="T390">
        <v>3915</v>
      </c>
      <c r="U390">
        <v>0</v>
      </c>
      <c r="V390">
        <v>3915</v>
      </c>
    </row>
    <row r="391" spans="1:22" x14ac:dyDescent="0.3">
      <c r="A391">
        <v>79452</v>
      </c>
      <c r="B391">
        <v>137726024</v>
      </c>
      <c r="C391" t="s">
        <v>2406</v>
      </c>
      <c r="D391" t="s">
        <v>2407</v>
      </c>
      <c r="E391" t="s">
        <v>513</v>
      </c>
      <c r="F391" t="s">
        <v>514</v>
      </c>
      <c r="G391" t="s">
        <v>43</v>
      </c>
      <c r="H391" t="s">
        <v>44</v>
      </c>
      <c r="I391" t="s">
        <v>34</v>
      </c>
      <c r="J391" t="s">
        <v>45</v>
      </c>
      <c r="K391" t="s">
        <v>41</v>
      </c>
      <c r="L391" t="s">
        <v>2408</v>
      </c>
      <c r="M391" t="s">
        <v>2409</v>
      </c>
      <c r="N391" t="s">
        <v>516</v>
      </c>
      <c r="O391" t="s">
        <v>64</v>
      </c>
      <c r="P391" t="s">
        <v>2410</v>
      </c>
      <c r="Q391" t="s">
        <v>82</v>
      </c>
      <c r="R391" t="s">
        <v>289</v>
      </c>
      <c r="S391">
        <v>0.99</v>
      </c>
      <c r="T391">
        <v>5759</v>
      </c>
      <c r="U391">
        <v>0</v>
      </c>
      <c r="V391">
        <v>5759</v>
      </c>
    </row>
    <row r="392" spans="1:22" x14ac:dyDescent="0.3">
      <c r="A392">
        <v>79452</v>
      </c>
      <c r="B392">
        <v>137774950</v>
      </c>
      <c r="C392" t="s">
        <v>2411</v>
      </c>
      <c r="D392" t="s">
        <v>2412</v>
      </c>
      <c r="E392" t="s">
        <v>513</v>
      </c>
      <c r="F392" t="s">
        <v>514</v>
      </c>
      <c r="G392" t="s">
        <v>43</v>
      </c>
      <c r="H392" t="s">
        <v>44</v>
      </c>
      <c r="I392" t="s">
        <v>34</v>
      </c>
      <c r="J392" t="s">
        <v>45</v>
      </c>
      <c r="K392" t="s">
        <v>41</v>
      </c>
      <c r="L392" t="s">
        <v>2413</v>
      </c>
      <c r="M392" t="s">
        <v>2414</v>
      </c>
      <c r="N392" t="s">
        <v>516</v>
      </c>
      <c r="O392" t="s">
        <v>64</v>
      </c>
      <c r="P392" t="s">
        <v>2415</v>
      </c>
      <c r="Q392" t="s">
        <v>50</v>
      </c>
      <c r="R392" t="s">
        <v>2373</v>
      </c>
      <c r="S392">
        <v>0.95</v>
      </c>
      <c r="T392">
        <v>5198</v>
      </c>
      <c r="U392">
        <v>0</v>
      </c>
      <c r="V392">
        <v>5198</v>
      </c>
    </row>
    <row r="393" spans="1:22" x14ac:dyDescent="0.3">
      <c r="A393">
        <v>79452</v>
      </c>
      <c r="B393">
        <v>137798231</v>
      </c>
      <c r="C393" t="s">
        <v>2416</v>
      </c>
      <c r="D393" t="s">
        <v>2417</v>
      </c>
      <c r="E393" t="s">
        <v>513</v>
      </c>
      <c r="F393" t="s">
        <v>514</v>
      </c>
      <c r="G393" t="s">
        <v>43</v>
      </c>
      <c r="H393" t="s">
        <v>44</v>
      </c>
      <c r="I393" t="s">
        <v>34</v>
      </c>
      <c r="J393" t="s">
        <v>45</v>
      </c>
      <c r="K393" t="s">
        <v>41</v>
      </c>
      <c r="L393" t="s">
        <v>2418</v>
      </c>
      <c r="M393" t="s">
        <v>2419</v>
      </c>
      <c r="N393" t="s">
        <v>516</v>
      </c>
      <c r="O393" t="s">
        <v>64</v>
      </c>
      <c r="P393" t="s">
        <v>2420</v>
      </c>
      <c r="Q393" t="s">
        <v>62</v>
      </c>
      <c r="R393" t="s">
        <v>2384</v>
      </c>
      <c r="S393">
        <v>1.63</v>
      </c>
      <c r="T393">
        <v>3936</v>
      </c>
      <c r="U393">
        <v>0</v>
      </c>
      <c r="V393">
        <v>3936</v>
      </c>
    </row>
    <row r="394" spans="1:22" x14ac:dyDescent="0.3">
      <c r="A394">
        <v>79452</v>
      </c>
      <c r="B394">
        <v>137820699</v>
      </c>
      <c r="C394" t="s">
        <v>2421</v>
      </c>
      <c r="D394" t="s">
        <v>2422</v>
      </c>
      <c r="E394" t="s">
        <v>513</v>
      </c>
      <c r="F394" t="s">
        <v>514</v>
      </c>
      <c r="G394" t="s">
        <v>43</v>
      </c>
      <c r="H394" t="s">
        <v>44</v>
      </c>
      <c r="I394" t="s">
        <v>34</v>
      </c>
      <c r="J394" t="s">
        <v>45</v>
      </c>
      <c r="K394" t="s">
        <v>41</v>
      </c>
      <c r="L394" t="s">
        <v>2423</v>
      </c>
      <c r="M394" t="s">
        <v>2424</v>
      </c>
      <c r="N394" t="s">
        <v>516</v>
      </c>
      <c r="O394" t="s">
        <v>64</v>
      </c>
      <c r="P394" t="s">
        <v>2425</v>
      </c>
      <c r="Q394" t="s">
        <v>67</v>
      </c>
      <c r="R394" t="s">
        <v>404</v>
      </c>
      <c r="S394">
        <v>1.33</v>
      </c>
      <c r="T394">
        <v>3936</v>
      </c>
      <c r="U394">
        <v>0</v>
      </c>
      <c r="V394">
        <v>3936</v>
      </c>
    </row>
    <row r="395" spans="1:22" x14ac:dyDescent="0.3">
      <c r="A395">
        <v>79452</v>
      </c>
      <c r="B395">
        <v>137820714</v>
      </c>
      <c r="C395" t="s">
        <v>2426</v>
      </c>
      <c r="D395" t="s">
        <v>2427</v>
      </c>
      <c r="E395" t="s">
        <v>513</v>
      </c>
      <c r="F395" t="s">
        <v>514</v>
      </c>
      <c r="G395" t="s">
        <v>43</v>
      </c>
      <c r="H395" t="s">
        <v>44</v>
      </c>
      <c r="I395" t="s">
        <v>34</v>
      </c>
      <c r="J395" t="s">
        <v>45</v>
      </c>
      <c r="K395" t="s">
        <v>41</v>
      </c>
      <c r="L395" t="s">
        <v>2428</v>
      </c>
      <c r="M395" t="s">
        <v>2429</v>
      </c>
      <c r="N395" t="s">
        <v>516</v>
      </c>
      <c r="O395" t="s">
        <v>64</v>
      </c>
      <c r="P395" t="s">
        <v>2430</v>
      </c>
      <c r="Q395" t="s">
        <v>62</v>
      </c>
      <c r="R395" t="s">
        <v>404</v>
      </c>
      <c r="S395">
        <v>1.24</v>
      </c>
      <c r="T395">
        <v>3936</v>
      </c>
      <c r="U395">
        <v>0</v>
      </c>
      <c r="V395">
        <v>3936</v>
      </c>
    </row>
    <row r="396" spans="1:22" x14ac:dyDescent="0.3">
      <c r="A396">
        <v>79452</v>
      </c>
      <c r="B396">
        <v>137798273</v>
      </c>
      <c r="C396" t="s">
        <v>2431</v>
      </c>
      <c r="D396" t="s">
        <v>2432</v>
      </c>
      <c r="E396" t="s">
        <v>513</v>
      </c>
      <c r="F396" t="s">
        <v>514</v>
      </c>
      <c r="G396" t="s">
        <v>43</v>
      </c>
      <c r="H396" t="s">
        <v>44</v>
      </c>
      <c r="I396" t="s">
        <v>34</v>
      </c>
      <c r="J396" t="s">
        <v>45</v>
      </c>
      <c r="K396" t="s">
        <v>41</v>
      </c>
      <c r="L396" t="s">
        <v>2433</v>
      </c>
      <c r="M396" t="s">
        <v>2434</v>
      </c>
      <c r="N396" t="s">
        <v>516</v>
      </c>
      <c r="O396" t="s">
        <v>64</v>
      </c>
      <c r="P396" t="s">
        <v>2435</v>
      </c>
      <c r="Q396" t="s">
        <v>106</v>
      </c>
      <c r="R396" t="s">
        <v>1501</v>
      </c>
      <c r="S396">
        <v>0.62</v>
      </c>
      <c r="T396">
        <v>4025</v>
      </c>
      <c r="U396">
        <v>0</v>
      </c>
      <c r="V396">
        <v>4025</v>
      </c>
    </row>
    <row r="397" spans="1:22" x14ac:dyDescent="0.3">
      <c r="A397">
        <v>79452</v>
      </c>
      <c r="B397">
        <v>137798251</v>
      </c>
      <c r="C397" t="s">
        <v>2436</v>
      </c>
      <c r="D397" t="s">
        <v>2437</v>
      </c>
      <c r="E397" t="s">
        <v>513</v>
      </c>
      <c r="F397" t="s">
        <v>514</v>
      </c>
      <c r="G397" t="s">
        <v>43</v>
      </c>
      <c r="H397" t="s">
        <v>44</v>
      </c>
      <c r="I397" t="s">
        <v>34</v>
      </c>
      <c r="J397" t="s">
        <v>45</v>
      </c>
      <c r="K397" t="s">
        <v>41</v>
      </c>
      <c r="L397" t="s">
        <v>2438</v>
      </c>
      <c r="M397" t="s">
        <v>2439</v>
      </c>
      <c r="N397" t="s">
        <v>516</v>
      </c>
      <c r="O397" t="s">
        <v>64</v>
      </c>
      <c r="P397" t="s">
        <v>2440</v>
      </c>
      <c r="Q397" t="s">
        <v>56</v>
      </c>
      <c r="R397" t="s">
        <v>1501</v>
      </c>
      <c r="S397">
        <v>0.83</v>
      </c>
      <c r="T397">
        <v>3904</v>
      </c>
      <c r="U397">
        <v>0</v>
      </c>
      <c r="V397">
        <v>3904</v>
      </c>
    </row>
    <row r="398" spans="1:22" x14ac:dyDescent="0.3">
      <c r="A398">
        <v>79452</v>
      </c>
      <c r="B398">
        <v>137798263</v>
      </c>
      <c r="C398" t="s">
        <v>2441</v>
      </c>
      <c r="D398" t="s">
        <v>2442</v>
      </c>
      <c r="E398" t="s">
        <v>513</v>
      </c>
      <c r="F398" t="s">
        <v>514</v>
      </c>
      <c r="G398" t="s">
        <v>43</v>
      </c>
      <c r="H398" t="s">
        <v>44</v>
      </c>
      <c r="I398" t="s">
        <v>34</v>
      </c>
      <c r="J398" t="s">
        <v>45</v>
      </c>
      <c r="K398" t="s">
        <v>41</v>
      </c>
      <c r="L398" t="s">
        <v>2443</v>
      </c>
      <c r="M398" t="s">
        <v>2444</v>
      </c>
      <c r="N398" t="s">
        <v>516</v>
      </c>
      <c r="O398" t="s">
        <v>64</v>
      </c>
      <c r="P398" t="s">
        <v>2445</v>
      </c>
      <c r="Q398" t="s">
        <v>67</v>
      </c>
      <c r="R398" t="s">
        <v>1501</v>
      </c>
      <c r="S398">
        <v>1.1299999999999999</v>
      </c>
      <c r="T398">
        <v>3936</v>
      </c>
      <c r="U398">
        <v>0</v>
      </c>
      <c r="V398">
        <v>3936</v>
      </c>
    </row>
    <row r="399" spans="1:22" x14ac:dyDescent="0.3">
      <c r="A399">
        <v>79452</v>
      </c>
      <c r="B399">
        <v>137798278</v>
      </c>
      <c r="C399" t="s">
        <v>2446</v>
      </c>
      <c r="D399" t="s">
        <v>2447</v>
      </c>
      <c r="E399" t="s">
        <v>513</v>
      </c>
      <c r="F399" t="s">
        <v>514</v>
      </c>
      <c r="G399" t="s">
        <v>43</v>
      </c>
      <c r="H399" t="s">
        <v>44</v>
      </c>
      <c r="I399" t="s">
        <v>34</v>
      </c>
      <c r="J399" t="s">
        <v>45</v>
      </c>
      <c r="K399" t="s">
        <v>41</v>
      </c>
      <c r="L399" t="s">
        <v>2448</v>
      </c>
      <c r="M399" t="s">
        <v>2449</v>
      </c>
      <c r="N399" t="s">
        <v>516</v>
      </c>
      <c r="O399" t="s">
        <v>64</v>
      </c>
      <c r="P399" t="s">
        <v>2450</v>
      </c>
      <c r="Q399" t="s">
        <v>118</v>
      </c>
      <c r="R399" t="s">
        <v>1501</v>
      </c>
      <c r="S399">
        <v>0.63</v>
      </c>
      <c r="T399">
        <v>4230</v>
      </c>
      <c r="U399">
        <v>0</v>
      </c>
      <c r="V399">
        <v>4230</v>
      </c>
    </row>
    <row r="400" spans="1:22" x14ac:dyDescent="0.3">
      <c r="A400">
        <v>79452</v>
      </c>
      <c r="B400">
        <v>137633596</v>
      </c>
      <c r="C400" t="s">
        <v>2451</v>
      </c>
      <c r="D400" t="s">
        <v>2452</v>
      </c>
      <c r="E400" t="s">
        <v>513</v>
      </c>
      <c r="F400" t="s">
        <v>514</v>
      </c>
      <c r="G400" t="s">
        <v>43</v>
      </c>
      <c r="H400" t="s">
        <v>44</v>
      </c>
      <c r="I400" t="s">
        <v>34</v>
      </c>
      <c r="J400" t="s">
        <v>45</v>
      </c>
      <c r="K400" t="s">
        <v>41</v>
      </c>
      <c r="L400" t="s">
        <v>2453</v>
      </c>
      <c r="M400" t="s">
        <v>755</v>
      </c>
      <c r="N400" t="s">
        <v>516</v>
      </c>
      <c r="O400" t="s">
        <v>64</v>
      </c>
      <c r="P400" t="s">
        <v>2454</v>
      </c>
      <c r="Q400" t="s">
        <v>50</v>
      </c>
      <c r="R400" t="s">
        <v>1901</v>
      </c>
      <c r="S400">
        <v>0.72</v>
      </c>
      <c r="T400">
        <v>5198</v>
      </c>
      <c r="U400">
        <v>0</v>
      </c>
      <c r="V400">
        <v>5198</v>
      </c>
    </row>
    <row r="401" spans="1:22" x14ac:dyDescent="0.3">
      <c r="A401">
        <v>79452</v>
      </c>
      <c r="B401">
        <v>137701410</v>
      </c>
      <c r="C401" t="s">
        <v>2455</v>
      </c>
      <c r="D401" t="s">
        <v>2456</v>
      </c>
      <c r="E401" t="s">
        <v>513</v>
      </c>
      <c r="F401" t="s">
        <v>514</v>
      </c>
      <c r="G401" t="s">
        <v>43</v>
      </c>
      <c r="H401" t="s">
        <v>44</v>
      </c>
      <c r="I401" t="s">
        <v>34</v>
      </c>
      <c r="J401" t="s">
        <v>45</v>
      </c>
      <c r="K401" t="s">
        <v>41</v>
      </c>
      <c r="L401" t="s">
        <v>2457</v>
      </c>
      <c r="M401" t="s">
        <v>2458</v>
      </c>
      <c r="N401" t="s">
        <v>516</v>
      </c>
      <c r="O401" t="s">
        <v>64</v>
      </c>
      <c r="P401" t="s">
        <v>2459</v>
      </c>
      <c r="Q401" t="s">
        <v>184</v>
      </c>
      <c r="R401" t="s">
        <v>2353</v>
      </c>
      <c r="S401">
        <v>1.1100000000000001</v>
      </c>
      <c r="T401">
        <v>3501</v>
      </c>
      <c r="U401">
        <v>0</v>
      </c>
      <c r="V401">
        <v>3501</v>
      </c>
    </row>
    <row r="402" spans="1:22" x14ac:dyDescent="0.3">
      <c r="A402">
        <v>79452</v>
      </c>
      <c r="B402">
        <v>137798279</v>
      </c>
      <c r="C402" t="s">
        <v>2460</v>
      </c>
      <c r="D402" t="s">
        <v>2461</v>
      </c>
      <c r="E402" t="s">
        <v>513</v>
      </c>
      <c r="F402" t="s">
        <v>514</v>
      </c>
      <c r="G402" t="s">
        <v>43</v>
      </c>
      <c r="H402" t="s">
        <v>44</v>
      </c>
      <c r="I402" t="s">
        <v>34</v>
      </c>
      <c r="J402" t="s">
        <v>45</v>
      </c>
      <c r="K402" t="s">
        <v>41</v>
      </c>
      <c r="L402" t="s">
        <v>2462</v>
      </c>
      <c r="M402" t="s">
        <v>2463</v>
      </c>
      <c r="N402" t="s">
        <v>516</v>
      </c>
      <c r="O402" t="s">
        <v>64</v>
      </c>
      <c r="P402" t="s">
        <v>2464</v>
      </c>
      <c r="Q402" t="s">
        <v>75</v>
      </c>
      <c r="R402" t="s">
        <v>1501</v>
      </c>
      <c r="S402">
        <v>1</v>
      </c>
      <c r="T402">
        <v>3904</v>
      </c>
      <c r="U402">
        <v>0</v>
      </c>
      <c r="V402">
        <v>3904</v>
      </c>
    </row>
    <row r="403" spans="1:22" x14ac:dyDescent="0.3">
      <c r="A403">
        <v>79452</v>
      </c>
      <c r="B403">
        <v>137798250</v>
      </c>
      <c r="C403" t="s">
        <v>2465</v>
      </c>
      <c r="D403" t="s">
        <v>2466</v>
      </c>
      <c r="E403" t="s">
        <v>513</v>
      </c>
      <c r="F403" t="s">
        <v>514</v>
      </c>
      <c r="G403" t="s">
        <v>43</v>
      </c>
      <c r="H403" t="s">
        <v>44</v>
      </c>
      <c r="I403" t="s">
        <v>34</v>
      </c>
      <c r="J403" t="s">
        <v>45</v>
      </c>
      <c r="K403" t="s">
        <v>41</v>
      </c>
      <c r="L403" t="s">
        <v>2467</v>
      </c>
      <c r="M403" t="s">
        <v>1452</v>
      </c>
      <c r="N403" t="s">
        <v>516</v>
      </c>
      <c r="O403" t="s">
        <v>64</v>
      </c>
      <c r="P403" t="s">
        <v>2468</v>
      </c>
      <c r="Q403" t="s">
        <v>61</v>
      </c>
      <c r="R403" t="s">
        <v>1501</v>
      </c>
      <c r="S403">
        <v>1</v>
      </c>
      <c r="T403">
        <v>3501</v>
      </c>
      <c r="U403">
        <v>0</v>
      </c>
      <c r="V403">
        <v>3501</v>
      </c>
    </row>
    <row r="404" spans="1:22" x14ac:dyDescent="0.3">
      <c r="A404">
        <v>79452</v>
      </c>
      <c r="B404">
        <v>137774946</v>
      </c>
      <c r="C404" t="s">
        <v>2469</v>
      </c>
      <c r="D404" t="s">
        <v>2470</v>
      </c>
      <c r="E404" t="s">
        <v>513</v>
      </c>
      <c r="F404" t="s">
        <v>514</v>
      </c>
      <c r="G404" t="s">
        <v>43</v>
      </c>
      <c r="H404" t="s">
        <v>44</v>
      </c>
      <c r="I404" t="s">
        <v>34</v>
      </c>
      <c r="J404" t="s">
        <v>45</v>
      </c>
      <c r="K404" t="s">
        <v>41</v>
      </c>
      <c r="L404" t="s">
        <v>2471</v>
      </c>
      <c r="M404" t="s">
        <v>1466</v>
      </c>
      <c r="N404" t="s">
        <v>516</v>
      </c>
      <c r="O404" t="s">
        <v>64</v>
      </c>
      <c r="P404" t="s">
        <v>1467</v>
      </c>
      <c r="Q404" t="s">
        <v>50</v>
      </c>
      <c r="R404" t="s">
        <v>2373</v>
      </c>
      <c r="S404">
        <v>0.57999999999999996</v>
      </c>
      <c r="T404">
        <v>5198</v>
      </c>
      <c r="U404">
        <v>0</v>
      </c>
      <c r="V404">
        <v>5198</v>
      </c>
    </row>
    <row r="405" spans="1:22" x14ac:dyDescent="0.3">
      <c r="A405">
        <v>79452</v>
      </c>
      <c r="B405">
        <v>137756997</v>
      </c>
      <c r="C405" t="s">
        <v>2472</v>
      </c>
      <c r="D405" t="s">
        <v>2473</v>
      </c>
      <c r="E405" t="s">
        <v>513</v>
      </c>
      <c r="F405" t="s">
        <v>514</v>
      </c>
      <c r="G405" t="s">
        <v>43</v>
      </c>
      <c r="H405" t="s">
        <v>44</v>
      </c>
      <c r="I405" t="s">
        <v>34</v>
      </c>
      <c r="J405" t="s">
        <v>45</v>
      </c>
      <c r="K405" t="s">
        <v>41</v>
      </c>
      <c r="L405" t="s">
        <v>2474</v>
      </c>
      <c r="M405" t="s">
        <v>2475</v>
      </c>
      <c r="N405" t="s">
        <v>516</v>
      </c>
      <c r="O405" t="s">
        <v>64</v>
      </c>
      <c r="P405" t="s">
        <v>2476</v>
      </c>
      <c r="Q405" t="s">
        <v>108</v>
      </c>
      <c r="R405" t="s">
        <v>1517</v>
      </c>
      <c r="S405">
        <v>0.73</v>
      </c>
      <c r="T405">
        <v>3366</v>
      </c>
      <c r="U405">
        <v>0</v>
      </c>
      <c r="V405">
        <v>3366</v>
      </c>
    </row>
    <row r="406" spans="1:22" x14ac:dyDescent="0.3">
      <c r="A406">
        <v>79452</v>
      </c>
      <c r="B406">
        <v>137820705</v>
      </c>
      <c r="C406" t="s">
        <v>2477</v>
      </c>
      <c r="D406" t="s">
        <v>2478</v>
      </c>
      <c r="E406" t="s">
        <v>513</v>
      </c>
      <c r="F406" t="s">
        <v>514</v>
      </c>
      <c r="G406" t="s">
        <v>43</v>
      </c>
      <c r="H406" t="s">
        <v>44</v>
      </c>
      <c r="I406" t="s">
        <v>34</v>
      </c>
      <c r="J406" t="s">
        <v>45</v>
      </c>
      <c r="K406" t="s">
        <v>41</v>
      </c>
      <c r="L406" t="s">
        <v>308</v>
      </c>
      <c r="M406" t="s">
        <v>889</v>
      </c>
      <c r="N406" t="s">
        <v>516</v>
      </c>
      <c r="O406" t="s">
        <v>64</v>
      </c>
      <c r="P406" t="s">
        <v>890</v>
      </c>
      <c r="Q406" t="s">
        <v>63</v>
      </c>
      <c r="R406" t="s">
        <v>404</v>
      </c>
      <c r="S406">
        <v>0.71</v>
      </c>
      <c r="T406">
        <v>3501</v>
      </c>
      <c r="U406">
        <v>0</v>
      </c>
      <c r="V406">
        <v>3501</v>
      </c>
    </row>
    <row r="407" spans="1:22" x14ac:dyDescent="0.3">
      <c r="A407">
        <v>79452</v>
      </c>
      <c r="B407">
        <v>137798266</v>
      </c>
      <c r="C407" t="s">
        <v>2479</v>
      </c>
      <c r="D407" t="s">
        <v>2480</v>
      </c>
      <c r="E407" t="s">
        <v>513</v>
      </c>
      <c r="F407" t="s">
        <v>514</v>
      </c>
      <c r="G407" t="s">
        <v>43</v>
      </c>
      <c r="H407" t="s">
        <v>44</v>
      </c>
      <c r="I407" t="s">
        <v>34</v>
      </c>
      <c r="J407" t="s">
        <v>45</v>
      </c>
      <c r="K407" t="s">
        <v>41</v>
      </c>
      <c r="L407" t="s">
        <v>2481</v>
      </c>
      <c r="M407" t="s">
        <v>2482</v>
      </c>
      <c r="N407" t="s">
        <v>516</v>
      </c>
      <c r="O407" t="s">
        <v>64</v>
      </c>
      <c r="P407" t="s">
        <v>2483</v>
      </c>
      <c r="Q407" t="s">
        <v>90</v>
      </c>
      <c r="R407" t="s">
        <v>1501</v>
      </c>
      <c r="S407">
        <v>1</v>
      </c>
      <c r="T407">
        <v>3904</v>
      </c>
      <c r="U407">
        <v>0</v>
      </c>
      <c r="V407">
        <v>3904</v>
      </c>
    </row>
    <row r="408" spans="1:22" x14ac:dyDescent="0.3">
      <c r="A408">
        <v>79452</v>
      </c>
      <c r="B408">
        <v>137774941</v>
      </c>
      <c r="C408" t="s">
        <v>2484</v>
      </c>
      <c r="D408" t="s">
        <v>2485</v>
      </c>
      <c r="E408" t="s">
        <v>513</v>
      </c>
      <c r="F408" t="s">
        <v>514</v>
      </c>
      <c r="G408" t="s">
        <v>43</v>
      </c>
      <c r="H408" t="s">
        <v>44</v>
      </c>
      <c r="I408" t="s">
        <v>34</v>
      </c>
      <c r="J408" t="s">
        <v>45</v>
      </c>
      <c r="K408" t="s">
        <v>41</v>
      </c>
      <c r="L408" t="s">
        <v>2486</v>
      </c>
      <c r="M408" t="s">
        <v>2487</v>
      </c>
      <c r="N408" t="s">
        <v>516</v>
      </c>
      <c r="O408" t="s">
        <v>64</v>
      </c>
      <c r="P408" t="s">
        <v>2488</v>
      </c>
      <c r="Q408" t="s">
        <v>184</v>
      </c>
      <c r="R408" t="s">
        <v>2373</v>
      </c>
      <c r="S408">
        <v>2.36</v>
      </c>
      <c r="T408">
        <v>3501</v>
      </c>
      <c r="U408">
        <v>0</v>
      </c>
      <c r="V408">
        <v>3501</v>
      </c>
    </row>
    <row r="409" spans="1:22" x14ac:dyDescent="0.3">
      <c r="A409">
        <v>79452</v>
      </c>
      <c r="B409">
        <v>137701471</v>
      </c>
      <c r="C409" t="s">
        <v>2489</v>
      </c>
      <c r="D409" t="s">
        <v>2490</v>
      </c>
      <c r="E409" t="s">
        <v>513</v>
      </c>
      <c r="F409" t="s">
        <v>514</v>
      </c>
      <c r="G409" t="s">
        <v>43</v>
      </c>
      <c r="H409" t="s">
        <v>44</v>
      </c>
      <c r="I409" t="s">
        <v>34</v>
      </c>
      <c r="J409" t="s">
        <v>45</v>
      </c>
      <c r="K409" t="s">
        <v>41</v>
      </c>
      <c r="L409" t="s">
        <v>2491</v>
      </c>
      <c r="M409" t="s">
        <v>1914</v>
      </c>
      <c r="N409" t="s">
        <v>516</v>
      </c>
      <c r="O409" t="s">
        <v>64</v>
      </c>
      <c r="P409" t="s">
        <v>1915</v>
      </c>
      <c r="Q409" t="s">
        <v>53</v>
      </c>
      <c r="R409" t="s">
        <v>382</v>
      </c>
      <c r="S409">
        <v>0.8</v>
      </c>
      <c r="T409">
        <v>3501</v>
      </c>
      <c r="U409">
        <v>0</v>
      </c>
      <c r="V409">
        <v>3501</v>
      </c>
    </row>
    <row r="410" spans="1:22" x14ac:dyDescent="0.3">
      <c r="A410">
        <v>79452</v>
      </c>
      <c r="B410">
        <v>137757029</v>
      </c>
      <c r="C410" t="s">
        <v>2492</v>
      </c>
      <c r="D410" t="s">
        <v>2493</v>
      </c>
      <c r="E410" t="s">
        <v>513</v>
      </c>
      <c r="F410" t="s">
        <v>514</v>
      </c>
      <c r="G410" t="s">
        <v>43</v>
      </c>
      <c r="H410" t="s">
        <v>44</v>
      </c>
      <c r="I410" t="s">
        <v>34</v>
      </c>
      <c r="J410" t="s">
        <v>45</v>
      </c>
      <c r="K410" t="s">
        <v>41</v>
      </c>
      <c r="L410" t="s">
        <v>2494</v>
      </c>
      <c r="M410" t="s">
        <v>2495</v>
      </c>
      <c r="N410" t="s">
        <v>516</v>
      </c>
      <c r="O410" t="s">
        <v>64</v>
      </c>
      <c r="P410" t="s">
        <v>2496</v>
      </c>
      <c r="Q410" t="s">
        <v>111</v>
      </c>
      <c r="R410" t="s">
        <v>1517</v>
      </c>
      <c r="S410">
        <v>0.79</v>
      </c>
      <c r="T410">
        <v>5476</v>
      </c>
      <c r="U410">
        <v>0</v>
      </c>
      <c r="V410">
        <v>5476</v>
      </c>
    </row>
    <row r="411" spans="1:22" x14ac:dyDescent="0.3">
      <c r="A411">
        <v>79452</v>
      </c>
      <c r="B411">
        <v>137820704</v>
      </c>
      <c r="C411" t="s">
        <v>2497</v>
      </c>
      <c r="D411" t="s">
        <v>2498</v>
      </c>
      <c r="E411" t="s">
        <v>513</v>
      </c>
      <c r="F411" t="s">
        <v>514</v>
      </c>
      <c r="G411" t="s">
        <v>43</v>
      </c>
      <c r="H411" t="s">
        <v>44</v>
      </c>
      <c r="I411" t="s">
        <v>34</v>
      </c>
      <c r="J411" t="s">
        <v>45</v>
      </c>
      <c r="K411" t="s">
        <v>41</v>
      </c>
      <c r="L411" t="s">
        <v>2499</v>
      </c>
      <c r="M411" t="s">
        <v>490</v>
      </c>
      <c r="N411" t="s">
        <v>516</v>
      </c>
      <c r="O411" t="s">
        <v>64</v>
      </c>
      <c r="P411" t="s">
        <v>2500</v>
      </c>
      <c r="Q411" t="s">
        <v>56</v>
      </c>
      <c r="R411" t="s">
        <v>404</v>
      </c>
      <c r="S411">
        <v>0.78</v>
      </c>
      <c r="T411">
        <v>3904</v>
      </c>
      <c r="U411">
        <v>0</v>
      </c>
      <c r="V411">
        <v>3904</v>
      </c>
    </row>
    <row r="412" spans="1:22" x14ac:dyDescent="0.3">
      <c r="A412">
        <v>79452</v>
      </c>
      <c r="B412">
        <v>137659002</v>
      </c>
      <c r="C412" t="s">
        <v>2501</v>
      </c>
      <c r="D412" t="s">
        <v>2502</v>
      </c>
      <c r="E412" t="s">
        <v>513</v>
      </c>
      <c r="F412" t="s">
        <v>514</v>
      </c>
      <c r="G412" t="s">
        <v>43</v>
      </c>
      <c r="H412" t="s">
        <v>44</v>
      </c>
      <c r="I412" t="s">
        <v>34</v>
      </c>
      <c r="J412" t="s">
        <v>45</v>
      </c>
      <c r="K412" t="s">
        <v>41</v>
      </c>
      <c r="L412" t="s">
        <v>2503</v>
      </c>
      <c r="M412" t="s">
        <v>2504</v>
      </c>
      <c r="N412" t="s">
        <v>516</v>
      </c>
      <c r="O412" t="s">
        <v>64</v>
      </c>
      <c r="P412" t="s">
        <v>2505</v>
      </c>
      <c r="Q412" t="s">
        <v>82</v>
      </c>
      <c r="R412" t="s">
        <v>1958</v>
      </c>
      <c r="S412">
        <v>1</v>
      </c>
      <c r="T412">
        <v>5759</v>
      </c>
      <c r="U412">
        <v>0</v>
      </c>
      <c r="V412">
        <v>5759</v>
      </c>
    </row>
    <row r="413" spans="1:22" x14ac:dyDescent="0.3">
      <c r="A413">
        <v>79452</v>
      </c>
      <c r="B413">
        <v>137774952</v>
      </c>
      <c r="C413" t="s">
        <v>2506</v>
      </c>
      <c r="D413" t="s">
        <v>2507</v>
      </c>
      <c r="E413" t="s">
        <v>513</v>
      </c>
      <c r="F413" t="s">
        <v>514</v>
      </c>
      <c r="G413" t="s">
        <v>43</v>
      </c>
      <c r="H413" t="s">
        <v>44</v>
      </c>
      <c r="I413" t="s">
        <v>34</v>
      </c>
      <c r="J413" t="s">
        <v>45</v>
      </c>
      <c r="K413" t="s">
        <v>41</v>
      </c>
      <c r="L413" t="s">
        <v>2508</v>
      </c>
      <c r="M413" t="s">
        <v>2509</v>
      </c>
      <c r="N413" t="s">
        <v>516</v>
      </c>
      <c r="O413" t="s">
        <v>64</v>
      </c>
      <c r="P413" t="s">
        <v>2510</v>
      </c>
      <c r="Q413" t="s">
        <v>60</v>
      </c>
      <c r="R413" t="s">
        <v>2373</v>
      </c>
      <c r="S413">
        <v>0.92</v>
      </c>
      <c r="T413">
        <v>4346</v>
      </c>
      <c r="U413">
        <v>0</v>
      </c>
      <c r="V413">
        <v>4346</v>
      </c>
    </row>
    <row r="414" spans="1:22" x14ac:dyDescent="0.3">
      <c r="A414">
        <v>79452</v>
      </c>
      <c r="B414">
        <v>137658981</v>
      </c>
      <c r="C414" t="s">
        <v>2511</v>
      </c>
      <c r="D414" t="s">
        <v>2512</v>
      </c>
      <c r="E414" t="s">
        <v>513</v>
      </c>
      <c r="F414" t="s">
        <v>514</v>
      </c>
      <c r="G414" t="s">
        <v>43</v>
      </c>
      <c r="H414" t="s">
        <v>44</v>
      </c>
      <c r="I414" t="s">
        <v>34</v>
      </c>
      <c r="J414" t="s">
        <v>45</v>
      </c>
      <c r="K414" t="s">
        <v>41</v>
      </c>
      <c r="L414" t="s">
        <v>2513</v>
      </c>
      <c r="M414" t="s">
        <v>2514</v>
      </c>
      <c r="N414" t="s">
        <v>516</v>
      </c>
      <c r="O414" t="s">
        <v>64</v>
      </c>
      <c r="P414" t="s">
        <v>2515</v>
      </c>
      <c r="Q414" t="s">
        <v>111</v>
      </c>
      <c r="R414" t="s">
        <v>2516</v>
      </c>
      <c r="S414">
        <v>1.22</v>
      </c>
      <c r="T414">
        <v>5476</v>
      </c>
      <c r="U414">
        <v>0</v>
      </c>
      <c r="V414">
        <v>5476</v>
      </c>
    </row>
    <row r="415" spans="1:22" x14ac:dyDescent="0.3">
      <c r="A415">
        <v>79452</v>
      </c>
      <c r="B415">
        <v>137616509</v>
      </c>
      <c r="C415" t="s">
        <v>2517</v>
      </c>
      <c r="D415" t="s">
        <v>2518</v>
      </c>
      <c r="E415" t="s">
        <v>513</v>
      </c>
      <c r="F415" t="s">
        <v>514</v>
      </c>
      <c r="G415" t="s">
        <v>43</v>
      </c>
      <c r="H415" t="s">
        <v>44</v>
      </c>
      <c r="I415" t="s">
        <v>34</v>
      </c>
      <c r="J415" t="s">
        <v>45</v>
      </c>
      <c r="K415" t="s">
        <v>41</v>
      </c>
      <c r="L415" t="s">
        <v>2519</v>
      </c>
      <c r="M415" t="s">
        <v>272</v>
      </c>
      <c r="N415" t="s">
        <v>516</v>
      </c>
      <c r="O415" t="s">
        <v>64</v>
      </c>
      <c r="P415" t="s">
        <v>2520</v>
      </c>
      <c r="Q415" t="s">
        <v>50</v>
      </c>
      <c r="R415" t="s">
        <v>1613</v>
      </c>
      <c r="S415">
        <v>0.83</v>
      </c>
      <c r="T415">
        <v>5198</v>
      </c>
      <c r="U415">
        <v>0</v>
      </c>
      <c r="V415">
        <v>5198</v>
      </c>
    </row>
    <row r="416" spans="1:22" x14ac:dyDescent="0.3">
      <c r="A416">
        <v>79452</v>
      </c>
      <c r="B416">
        <v>137726048</v>
      </c>
      <c r="C416" t="s">
        <v>2521</v>
      </c>
      <c r="D416" t="s">
        <v>2522</v>
      </c>
      <c r="E416" t="s">
        <v>513</v>
      </c>
      <c r="F416" t="s">
        <v>514</v>
      </c>
      <c r="G416" t="s">
        <v>43</v>
      </c>
      <c r="H416" t="s">
        <v>44</v>
      </c>
      <c r="I416" t="s">
        <v>34</v>
      </c>
      <c r="J416" t="s">
        <v>45</v>
      </c>
      <c r="K416" t="s">
        <v>41</v>
      </c>
      <c r="L416" t="s">
        <v>2523</v>
      </c>
      <c r="M416" t="s">
        <v>2524</v>
      </c>
      <c r="N416" t="s">
        <v>516</v>
      </c>
      <c r="O416" t="s">
        <v>64</v>
      </c>
      <c r="P416" t="s">
        <v>2525</v>
      </c>
      <c r="Q416" t="s">
        <v>111</v>
      </c>
      <c r="R416" t="s">
        <v>289</v>
      </c>
      <c r="S416">
        <v>1.03</v>
      </c>
      <c r="T416">
        <v>5476</v>
      </c>
      <c r="U416">
        <v>0</v>
      </c>
      <c r="V416">
        <v>5476</v>
      </c>
    </row>
    <row r="417" spans="1:22" x14ac:dyDescent="0.3">
      <c r="A417">
        <v>79452</v>
      </c>
      <c r="B417">
        <v>137328285</v>
      </c>
      <c r="C417" t="s">
        <v>2526</v>
      </c>
      <c r="D417" t="s">
        <v>2527</v>
      </c>
      <c r="E417" t="s">
        <v>513</v>
      </c>
      <c r="F417" t="s">
        <v>514</v>
      </c>
      <c r="G417" t="s">
        <v>43</v>
      </c>
      <c r="H417" t="s">
        <v>44</v>
      </c>
      <c r="I417" t="s">
        <v>34</v>
      </c>
      <c r="J417" t="s">
        <v>45</v>
      </c>
      <c r="K417" t="s">
        <v>41</v>
      </c>
      <c r="L417" t="s">
        <v>2528</v>
      </c>
      <c r="M417" t="s">
        <v>2529</v>
      </c>
      <c r="N417" t="s">
        <v>516</v>
      </c>
      <c r="O417" t="s">
        <v>64</v>
      </c>
      <c r="P417" t="s">
        <v>2530</v>
      </c>
      <c r="Q417" t="s">
        <v>201</v>
      </c>
      <c r="R417" t="s">
        <v>2531</v>
      </c>
      <c r="S417">
        <v>1.1299999999999999</v>
      </c>
      <c r="T417">
        <v>5759</v>
      </c>
      <c r="U417">
        <v>0</v>
      </c>
      <c r="V417">
        <v>5759</v>
      </c>
    </row>
    <row r="418" spans="1:22" x14ac:dyDescent="0.3">
      <c r="A418">
        <v>79452</v>
      </c>
      <c r="B418">
        <v>137757008</v>
      </c>
      <c r="C418" t="s">
        <v>2532</v>
      </c>
      <c r="D418" t="s">
        <v>2533</v>
      </c>
      <c r="E418" t="s">
        <v>513</v>
      </c>
      <c r="F418" t="s">
        <v>514</v>
      </c>
      <c r="G418" t="s">
        <v>43</v>
      </c>
      <c r="H418" t="s">
        <v>44</v>
      </c>
      <c r="I418" t="s">
        <v>34</v>
      </c>
      <c r="J418" t="s">
        <v>45</v>
      </c>
      <c r="K418" t="s">
        <v>41</v>
      </c>
      <c r="L418" t="s">
        <v>2534</v>
      </c>
      <c r="M418" t="s">
        <v>1823</v>
      </c>
      <c r="N418" t="s">
        <v>516</v>
      </c>
      <c r="O418" t="s">
        <v>64</v>
      </c>
      <c r="P418" t="s">
        <v>1824</v>
      </c>
      <c r="Q418" t="s">
        <v>75</v>
      </c>
      <c r="R418" t="s">
        <v>1517</v>
      </c>
      <c r="S418">
        <v>0.65</v>
      </c>
      <c r="T418">
        <v>3753</v>
      </c>
      <c r="U418">
        <v>0</v>
      </c>
      <c r="V418">
        <v>3753</v>
      </c>
    </row>
    <row r="419" spans="1:22" x14ac:dyDescent="0.3">
      <c r="A419">
        <v>79452</v>
      </c>
      <c r="B419">
        <v>137757038</v>
      </c>
      <c r="C419" t="s">
        <v>2535</v>
      </c>
      <c r="D419" t="s">
        <v>2536</v>
      </c>
      <c r="E419" t="s">
        <v>513</v>
      </c>
      <c r="F419" t="s">
        <v>514</v>
      </c>
      <c r="G419" t="s">
        <v>43</v>
      </c>
      <c r="H419" t="s">
        <v>44</v>
      </c>
      <c r="I419" t="s">
        <v>34</v>
      </c>
      <c r="J419" t="s">
        <v>45</v>
      </c>
      <c r="K419" t="s">
        <v>41</v>
      </c>
      <c r="L419" t="s">
        <v>2537</v>
      </c>
      <c r="M419" t="s">
        <v>2538</v>
      </c>
      <c r="N419" t="s">
        <v>516</v>
      </c>
      <c r="O419" t="s">
        <v>64</v>
      </c>
      <c r="P419" t="s">
        <v>2539</v>
      </c>
      <c r="Q419" t="s">
        <v>118</v>
      </c>
      <c r="R419" t="s">
        <v>1517</v>
      </c>
      <c r="S419">
        <v>2.7</v>
      </c>
      <c r="T419">
        <v>4067</v>
      </c>
      <c r="U419">
        <v>0</v>
      </c>
      <c r="V419">
        <v>4067</v>
      </c>
    </row>
    <row r="420" spans="1:22" x14ac:dyDescent="0.3">
      <c r="A420">
        <v>79452</v>
      </c>
      <c r="B420">
        <v>137701468</v>
      </c>
      <c r="C420" t="s">
        <v>2540</v>
      </c>
      <c r="D420" t="s">
        <v>2541</v>
      </c>
      <c r="E420" t="s">
        <v>513</v>
      </c>
      <c r="F420" t="s">
        <v>514</v>
      </c>
      <c r="G420" t="s">
        <v>43</v>
      </c>
      <c r="H420" t="s">
        <v>44</v>
      </c>
      <c r="I420" t="s">
        <v>34</v>
      </c>
      <c r="J420" t="s">
        <v>45</v>
      </c>
      <c r="K420" t="s">
        <v>41</v>
      </c>
      <c r="L420" t="s">
        <v>2542</v>
      </c>
      <c r="M420" t="s">
        <v>2543</v>
      </c>
      <c r="N420" t="s">
        <v>516</v>
      </c>
      <c r="O420" t="s">
        <v>64</v>
      </c>
      <c r="P420" t="s">
        <v>2544</v>
      </c>
      <c r="Q420" t="s">
        <v>48</v>
      </c>
      <c r="R420" t="s">
        <v>382</v>
      </c>
      <c r="S420">
        <v>0.88</v>
      </c>
      <c r="T420">
        <v>4067</v>
      </c>
      <c r="U420">
        <v>0</v>
      </c>
      <c r="V420">
        <v>4067</v>
      </c>
    </row>
    <row r="421" spans="1:22" x14ac:dyDescent="0.3">
      <c r="A421">
        <v>79452</v>
      </c>
      <c r="B421">
        <v>137701435</v>
      </c>
      <c r="C421" t="s">
        <v>2545</v>
      </c>
      <c r="D421" t="s">
        <v>2546</v>
      </c>
      <c r="E421" t="s">
        <v>513</v>
      </c>
      <c r="F421" t="s">
        <v>514</v>
      </c>
      <c r="G421" t="s">
        <v>43</v>
      </c>
      <c r="H421" t="s">
        <v>44</v>
      </c>
      <c r="I421" t="s">
        <v>34</v>
      </c>
      <c r="J421" t="s">
        <v>45</v>
      </c>
      <c r="K421" t="s">
        <v>41</v>
      </c>
      <c r="L421" t="s">
        <v>2547</v>
      </c>
      <c r="M421" t="s">
        <v>2548</v>
      </c>
      <c r="N421" t="s">
        <v>516</v>
      </c>
      <c r="O421" t="s">
        <v>64</v>
      </c>
      <c r="P421" t="s">
        <v>2549</v>
      </c>
      <c r="Q421" t="s">
        <v>90</v>
      </c>
      <c r="R421" t="s">
        <v>2353</v>
      </c>
      <c r="S421">
        <v>0.75</v>
      </c>
      <c r="T421">
        <v>3753</v>
      </c>
      <c r="U421">
        <v>0</v>
      </c>
      <c r="V421">
        <v>3753</v>
      </c>
    </row>
    <row r="422" spans="1:22" x14ac:dyDescent="0.3">
      <c r="A422">
        <v>79452</v>
      </c>
      <c r="B422">
        <v>137701472</v>
      </c>
      <c r="C422" t="s">
        <v>2550</v>
      </c>
      <c r="D422" t="s">
        <v>2551</v>
      </c>
      <c r="E422" t="s">
        <v>513</v>
      </c>
      <c r="F422" t="s">
        <v>514</v>
      </c>
      <c r="G422" t="s">
        <v>43</v>
      </c>
      <c r="H422" t="s">
        <v>44</v>
      </c>
      <c r="I422" t="s">
        <v>34</v>
      </c>
      <c r="J422" t="s">
        <v>45</v>
      </c>
      <c r="K422" t="s">
        <v>41</v>
      </c>
      <c r="L422" t="s">
        <v>2552</v>
      </c>
      <c r="M422" t="s">
        <v>1779</v>
      </c>
      <c r="N422" t="s">
        <v>516</v>
      </c>
      <c r="O422" t="s">
        <v>64</v>
      </c>
      <c r="P422" t="s">
        <v>1780</v>
      </c>
      <c r="Q422" t="s">
        <v>103</v>
      </c>
      <c r="R422" t="s">
        <v>382</v>
      </c>
      <c r="S422">
        <v>1.98</v>
      </c>
      <c r="T422">
        <v>3366</v>
      </c>
      <c r="U422">
        <v>0</v>
      </c>
      <c r="V422">
        <v>3366</v>
      </c>
    </row>
    <row r="423" spans="1:22" x14ac:dyDescent="0.3">
      <c r="A423">
        <v>79452</v>
      </c>
      <c r="B423">
        <v>137757022</v>
      </c>
      <c r="C423" t="s">
        <v>2553</v>
      </c>
      <c r="D423" t="s">
        <v>2554</v>
      </c>
      <c r="E423" t="s">
        <v>513</v>
      </c>
      <c r="F423" t="s">
        <v>514</v>
      </c>
      <c r="G423" t="s">
        <v>43</v>
      </c>
      <c r="H423" t="s">
        <v>44</v>
      </c>
      <c r="I423" t="s">
        <v>34</v>
      </c>
      <c r="J423" t="s">
        <v>45</v>
      </c>
      <c r="K423" t="s">
        <v>41</v>
      </c>
      <c r="L423" t="s">
        <v>2555</v>
      </c>
      <c r="M423" t="s">
        <v>2237</v>
      </c>
      <c r="N423" t="s">
        <v>516</v>
      </c>
      <c r="O423" t="s">
        <v>64</v>
      </c>
      <c r="P423" t="s">
        <v>2238</v>
      </c>
      <c r="Q423" t="s">
        <v>144</v>
      </c>
      <c r="R423" t="s">
        <v>1517</v>
      </c>
      <c r="S423">
        <v>1</v>
      </c>
      <c r="T423">
        <v>3753</v>
      </c>
      <c r="U423">
        <v>0</v>
      </c>
      <c r="V423">
        <v>3753</v>
      </c>
    </row>
    <row r="424" spans="1:22" x14ac:dyDescent="0.3">
      <c r="A424">
        <v>79452</v>
      </c>
      <c r="B424">
        <v>137467599</v>
      </c>
      <c r="C424" t="s">
        <v>2556</v>
      </c>
      <c r="D424" t="s">
        <v>2557</v>
      </c>
      <c r="E424" t="s">
        <v>513</v>
      </c>
      <c r="F424" t="s">
        <v>514</v>
      </c>
      <c r="G424" t="s">
        <v>43</v>
      </c>
      <c r="H424" t="s">
        <v>44</v>
      </c>
      <c r="I424" t="s">
        <v>34</v>
      </c>
      <c r="J424" t="s">
        <v>45</v>
      </c>
      <c r="K424" t="s">
        <v>41</v>
      </c>
      <c r="L424" t="s">
        <v>2558</v>
      </c>
      <c r="M424" t="s">
        <v>2559</v>
      </c>
      <c r="N424" t="s">
        <v>516</v>
      </c>
      <c r="O424" t="s">
        <v>64</v>
      </c>
      <c r="P424" t="s">
        <v>2560</v>
      </c>
      <c r="Q424" t="s">
        <v>75</v>
      </c>
      <c r="R424" t="s">
        <v>2561</v>
      </c>
      <c r="S424">
        <v>1.08</v>
      </c>
      <c r="T424">
        <v>3753</v>
      </c>
      <c r="U424">
        <v>0</v>
      </c>
      <c r="V424">
        <v>3753</v>
      </c>
    </row>
    <row r="425" spans="1:22" x14ac:dyDescent="0.3">
      <c r="A425">
        <v>79452</v>
      </c>
      <c r="B425">
        <v>137616542</v>
      </c>
      <c r="C425" t="s">
        <v>2562</v>
      </c>
      <c r="D425" t="s">
        <v>2563</v>
      </c>
      <c r="E425" t="s">
        <v>513</v>
      </c>
      <c r="F425" t="s">
        <v>514</v>
      </c>
      <c r="G425" t="s">
        <v>43</v>
      </c>
      <c r="H425" t="s">
        <v>44</v>
      </c>
      <c r="I425" t="s">
        <v>34</v>
      </c>
      <c r="J425" t="s">
        <v>45</v>
      </c>
      <c r="K425" t="s">
        <v>41</v>
      </c>
      <c r="L425" t="s">
        <v>2564</v>
      </c>
      <c r="M425" t="s">
        <v>2565</v>
      </c>
      <c r="N425" t="s">
        <v>516</v>
      </c>
      <c r="O425" t="s">
        <v>64</v>
      </c>
      <c r="P425" t="s">
        <v>2566</v>
      </c>
      <c r="Q425" t="s">
        <v>61</v>
      </c>
      <c r="R425" t="s">
        <v>1613</v>
      </c>
      <c r="S425">
        <v>0.72</v>
      </c>
      <c r="T425">
        <v>3366</v>
      </c>
      <c r="U425">
        <v>0</v>
      </c>
      <c r="V425">
        <v>3366</v>
      </c>
    </row>
    <row r="426" spans="1:22" x14ac:dyDescent="0.3">
      <c r="A426">
        <v>79452</v>
      </c>
      <c r="B426">
        <v>137616545</v>
      </c>
      <c r="C426" t="s">
        <v>2567</v>
      </c>
      <c r="D426" t="s">
        <v>2568</v>
      </c>
      <c r="E426" t="s">
        <v>513</v>
      </c>
      <c r="F426" t="s">
        <v>514</v>
      </c>
      <c r="G426" t="s">
        <v>43</v>
      </c>
      <c r="H426" t="s">
        <v>44</v>
      </c>
      <c r="I426" t="s">
        <v>34</v>
      </c>
      <c r="J426" t="s">
        <v>45</v>
      </c>
      <c r="K426" t="s">
        <v>54</v>
      </c>
      <c r="L426" t="s">
        <v>55</v>
      </c>
      <c r="M426" t="s">
        <v>2569</v>
      </c>
      <c r="N426" t="s">
        <v>516</v>
      </c>
      <c r="O426" t="s">
        <v>64</v>
      </c>
      <c r="P426" t="s">
        <v>2570</v>
      </c>
      <c r="Q426" t="s">
        <v>118</v>
      </c>
      <c r="R426" t="s">
        <v>1613</v>
      </c>
      <c r="S426">
        <v>1.33</v>
      </c>
      <c r="T426">
        <v>4067</v>
      </c>
      <c r="U426">
        <v>0</v>
      </c>
      <c r="V426">
        <v>4067</v>
      </c>
    </row>
    <row r="427" spans="1:22" x14ac:dyDescent="0.3">
      <c r="A427">
        <v>79452</v>
      </c>
      <c r="B427">
        <v>137032343</v>
      </c>
      <c r="C427" t="s">
        <v>2571</v>
      </c>
      <c r="D427" t="s">
        <v>2572</v>
      </c>
      <c r="E427" t="s">
        <v>513</v>
      </c>
      <c r="F427" t="s">
        <v>514</v>
      </c>
      <c r="G427" t="s">
        <v>43</v>
      </c>
      <c r="H427" t="s">
        <v>44</v>
      </c>
      <c r="I427" t="s">
        <v>34</v>
      </c>
      <c r="J427" t="s">
        <v>45</v>
      </c>
      <c r="K427" t="s">
        <v>41</v>
      </c>
      <c r="L427" t="s">
        <v>2573</v>
      </c>
      <c r="M427" t="s">
        <v>2574</v>
      </c>
      <c r="N427" t="s">
        <v>516</v>
      </c>
      <c r="O427" t="s">
        <v>64</v>
      </c>
      <c r="P427" t="s">
        <v>2575</v>
      </c>
      <c r="Q427" t="s">
        <v>201</v>
      </c>
      <c r="R427" t="s">
        <v>2576</v>
      </c>
      <c r="S427">
        <v>1</v>
      </c>
      <c r="T427">
        <v>5759</v>
      </c>
      <c r="U427">
        <v>0</v>
      </c>
      <c r="V427">
        <v>5759</v>
      </c>
    </row>
    <row r="428" spans="1:22" x14ac:dyDescent="0.3">
      <c r="A428">
        <v>79452</v>
      </c>
      <c r="B428">
        <v>137726010</v>
      </c>
      <c r="C428" t="s">
        <v>2577</v>
      </c>
      <c r="D428" t="s">
        <v>2578</v>
      </c>
      <c r="E428" t="s">
        <v>513</v>
      </c>
      <c r="F428" t="s">
        <v>514</v>
      </c>
      <c r="G428" t="s">
        <v>43</v>
      </c>
      <c r="H428" t="s">
        <v>44</v>
      </c>
      <c r="I428" t="s">
        <v>34</v>
      </c>
      <c r="J428" t="s">
        <v>45</v>
      </c>
      <c r="K428" t="s">
        <v>41</v>
      </c>
      <c r="L428" t="s">
        <v>2579</v>
      </c>
      <c r="M428" t="s">
        <v>2580</v>
      </c>
      <c r="N428" t="s">
        <v>516</v>
      </c>
      <c r="O428" t="s">
        <v>64</v>
      </c>
      <c r="P428" t="s">
        <v>2581</v>
      </c>
      <c r="Q428" t="s">
        <v>90</v>
      </c>
      <c r="R428" t="s">
        <v>289</v>
      </c>
      <c r="S428">
        <v>0.63</v>
      </c>
      <c r="T428">
        <v>3753</v>
      </c>
      <c r="U428">
        <v>0</v>
      </c>
      <c r="V428">
        <v>3753</v>
      </c>
    </row>
    <row r="429" spans="1:22" x14ac:dyDescent="0.3">
      <c r="A429">
        <v>79452</v>
      </c>
      <c r="B429">
        <v>137726051</v>
      </c>
      <c r="C429" t="s">
        <v>2582</v>
      </c>
      <c r="D429" t="s">
        <v>2583</v>
      </c>
      <c r="E429" t="s">
        <v>513</v>
      </c>
      <c r="F429" t="s">
        <v>514</v>
      </c>
      <c r="G429" t="s">
        <v>43</v>
      </c>
      <c r="H429" t="s">
        <v>44</v>
      </c>
      <c r="I429" t="s">
        <v>34</v>
      </c>
      <c r="J429" t="s">
        <v>45</v>
      </c>
      <c r="K429" t="s">
        <v>41</v>
      </c>
      <c r="L429" t="s">
        <v>2584</v>
      </c>
      <c r="M429" t="s">
        <v>2585</v>
      </c>
      <c r="N429" t="s">
        <v>516</v>
      </c>
      <c r="O429" t="s">
        <v>64</v>
      </c>
      <c r="P429" t="s">
        <v>2586</v>
      </c>
      <c r="Q429" t="s">
        <v>73</v>
      </c>
      <c r="R429" t="s">
        <v>289</v>
      </c>
      <c r="S429">
        <v>1.45</v>
      </c>
      <c r="T429">
        <v>3753</v>
      </c>
      <c r="U429">
        <v>0</v>
      </c>
      <c r="V429">
        <v>3753</v>
      </c>
    </row>
    <row r="430" spans="1:22" x14ac:dyDescent="0.3">
      <c r="A430">
        <v>79452</v>
      </c>
      <c r="B430">
        <v>137467632</v>
      </c>
      <c r="C430" t="s">
        <v>2587</v>
      </c>
      <c r="D430" t="s">
        <v>2588</v>
      </c>
      <c r="E430" t="s">
        <v>513</v>
      </c>
      <c r="F430" t="s">
        <v>514</v>
      </c>
      <c r="G430" t="s">
        <v>43</v>
      </c>
      <c r="H430" t="s">
        <v>44</v>
      </c>
      <c r="I430" t="s">
        <v>34</v>
      </c>
      <c r="J430" t="s">
        <v>45</v>
      </c>
      <c r="K430" t="s">
        <v>41</v>
      </c>
      <c r="L430" t="s">
        <v>2589</v>
      </c>
      <c r="M430" t="s">
        <v>2590</v>
      </c>
      <c r="N430" t="s">
        <v>516</v>
      </c>
      <c r="O430" t="s">
        <v>64</v>
      </c>
      <c r="P430" t="s">
        <v>2591</v>
      </c>
      <c r="Q430" t="s">
        <v>56</v>
      </c>
      <c r="R430" t="s">
        <v>2561</v>
      </c>
      <c r="S430">
        <v>1.68</v>
      </c>
      <c r="T430">
        <v>3753</v>
      </c>
      <c r="U430">
        <v>0</v>
      </c>
      <c r="V430">
        <v>3753</v>
      </c>
    </row>
    <row r="431" spans="1:22" x14ac:dyDescent="0.3">
      <c r="A431">
        <v>79452</v>
      </c>
      <c r="B431">
        <v>137669589</v>
      </c>
      <c r="C431" t="s">
        <v>2592</v>
      </c>
      <c r="D431" t="s">
        <v>2593</v>
      </c>
      <c r="E431" t="s">
        <v>513</v>
      </c>
      <c r="F431" t="s">
        <v>514</v>
      </c>
      <c r="G431" t="s">
        <v>43</v>
      </c>
      <c r="H431" t="s">
        <v>44</v>
      </c>
      <c r="I431" t="s">
        <v>34</v>
      </c>
      <c r="J431" t="s">
        <v>45</v>
      </c>
      <c r="K431" t="s">
        <v>41</v>
      </c>
      <c r="L431" t="s">
        <v>2594</v>
      </c>
      <c r="M431" t="s">
        <v>2595</v>
      </c>
      <c r="N431" t="s">
        <v>516</v>
      </c>
      <c r="O431" t="s">
        <v>64</v>
      </c>
      <c r="P431" t="s">
        <v>2596</v>
      </c>
      <c r="Q431" t="s">
        <v>48</v>
      </c>
      <c r="R431" t="s">
        <v>2597</v>
      </c>
      <c r="S431">
        <v>0.79</v>
      </c>
      <c r="T431">
        <v>4067</v>
      </c>
      <c r="U431">
        <v>0</v>
      </c>
      <c r="V431">
        <v>4067</v>
      </c>
    </row>
    <row r="432" spans="1:22" x14ac:dyDescent="0.3">
      <c r="A432">
        <v>79452</v>
      </c>
      <c r="B432">
        <v>137554355</v>
      </c>
      <c r="C432" t="s">
        <v>2598</v>
      </c>
      <c r="D432" t="s">
        <v>2599</v>
      </c>
      <c r="E432" t="s">
        <v>513</v>
      </c>
      <c r="F432" t="s">
        <v>514</v>
      </c>
      <c r="G432" t="s">
        <v>43</v>
      </c>
      <c r="H432" t="s">
        <v>44</v>
      </c>
      <c r="I432" t="s">
        <v>34</v>
      </c>
      <c r="J432" t="s">
        <v>45</v>
      </c>
      <c r="K432" t="s">
        <v>41</v>
      </c>
      <c r="L432" t="s">
        <v>2600</v>
      </c>
      <c r="M432" t="s">
        <v>2601</v>
      </c>
      <c r="N432" t="s">
        <v>516</v>
      </c>
      <c r="O432" t="s">
        <v>64</v>
      </c>
      <c r="P432" t="s">
        <v>2602</v>
      </c>
      <c r="Q432" t="s">
        <v>118</v>
      </c>
      <c r="R432" t="s">
        <v>2394</v>
      </c>
      <c r="S432">
        <v>0.78</v>
      </c>
      <c r="T432">
        <v>4067</v>
      </c>
      <c r="U432">
        <v>0</v>
      </c>
      <c r="V432">
        <v>4067</v>
      </c>
    </row>
    <row r="433" spans="1:22" x14ac:dyDescent="0.3">
      <c r="A433">
        <v>79452</v>
      </c>
      <c r="B433">
        <v>137658982</v>
      </c>
      <c r="C433" t="s">
        <v>2603</v>
      </c>
      <c r="D433" t="s">
        <v>2604</v>
      </c>
      <c r="E433" t="s">
        <v>513</v>
      </c>
      <c r="F433" t="s">
        <v>514</v>
      </c>
      <c r="G433" t="s">
        <v>43</v>
      </c>
      <c r="H433" t="s">
        <v>44</v>
      </c>
      <c r="I433" t="s">
        <v>34</v>
      </c>
      <c r="J433" t="s">
        <v>45</v>
      </c>
      <c r="K433" t="s">
        <v>41</v>
      </c>
      <c r="L433" t="s">
        <v>2605</v>
      </c>
      <c r="M433" t="s">
        <v>2606</v>
      </c>
      <c r="N433" t="s">
        <v>516</v>
      </c>
      <c r="O433" t="s">
        <v>64</v>
      </c>
      <c r="P433" t="s">
        <v>2607</v>
      </c>
      <c r="Q433" t="s">
        <v>52</v>
      </c>
      <c r="R433" t="s">
        <v>2516</v>
      </c>
      <c r="S433">
        <v>1.69</v>
      </c>
      <c r="T433">
        <v>4067</v>
      </c>
      <c r="U433">
        <v>0</v>
      </c>
      <c r="V433">
        <v>4067</v>
      </c>
    </row>
    <row r="434" spans="1:22" x14ac:dyDescent="0.3">
      <c r="A434">
        <v>79452</v>
      </c>
      <c r="B434">
        <v>137633647</v>
      </c>
      <c r="C434" t="s">
        <v>2608</v>
      </c>
      <c r="D434" t="s">
        <v>2609</v>
      </c>
      <c r="E434" t="s">
        <v>513</v>
      </c>
      <c r="F434" t="s">
        <v>514</v>
      </c>
      <c r="G434" t="s">
        <v>43</v>
      </c>
      <c r="H434" t="s">
        <v>44</v>
      </c>
      <c r="I434" t="s">
        <v>34</v>
      </c>
      <c r="J434" t="s">
        <v>45</v>
      </c>
      <c r="K434" t="s">
        <v>41</v>
      </c>
      <c r="L434" t="s">
        <v>2610</v>
      </c>
      <c r="M434" t="s">
        <v>2611</v>
      </c>
      <c r="N434" t="s">
        <v>516</v>
      </c>
      <c r="O434" t="s">
        <v>64</v>
      </c>
      <c r="P434" t="s">
        <v>2612</v>
      </c>
      <c r="Q434" t="s">
        <v>67</v>
      </c>
      <c r="R434" t="s">
        <v>2613</v>
      </c>
      <c r="S434">
        <v>0.85</v>
      </c>
      <c r="T434">
        <v>3784</v>
      </c>
      <c r="U434">
        <v>0</v>
      </c>
      <c r="V434">
        <v>3784</v>
      </c>
    </row>
    <row r="435" spans="1:22" x14ac:dyDescent="0.3">
      <c r="A435">
        <v>79452</v>
      </c>
      <c r="B435">
        <v>137726058</v>
      </c>
      <c r="C435" t="s">
        <v>2614</v>
      </c>
      <c r="D435" t="s">
        <v>2615</v>
      </c>
      <c r="E435" t="s">
        <v>513</v>
      </c>
      <c r="F435" t="s">
        <v>514</v>
      </c>
      <c r="G435" t="s">
        <v>43</v>
      </c>
      <c r="H435" t="s">
        <v>44</v>
      </c>
      <c r="I435" t="s">
        <v>34</v>
      </c>
      <c r="J435" t="s">
        <v>45</v>
      </c>
      <c r="K435" t="s">
        <v>41</v>
      </c>
      <c r="L435" t="s">
        <v>2616</v>
      </c>
      <c r="M435" t="s">
        <v>2617</v>
      </c>
      <c r="N435" t="s">
        <v>516</v>
      </c>
      <c r="O435" t="s">
        <v>64</v>
      </c>
      <c r="P435" t="s">
        <v>2618</v>
      </c>
      <c r="Q435" t="s">
        <v>112</v>
      </c>
      <c r="R435" t="s">
        <v>289</v>
      </c>
      <c r="S435">
        <v>0.98</v>
      </c>
      <c r="T435">
        <v>3366</v>
      </c>
      <c r="U435">
        <v>0</v>
      </c>
      <c r="V435">
        <v>3366</v>
      </c>
    </row>
    <row r="436" spans="1:22" x14ac:dyDescent="0.3">
      <c r="A436">
        <v>79452</v>
      </c>
      <c r="B436">
        <v>137757018</v>
      </c>
      <c r="C436" t="s">
        <v>2619</v>
      </c>
      <c r="D436" t="s">
        <v>2620</v>
      </c>
      <c r="E436" t="s">
        <v>513</v>
      </c>
      <c r="F436" t="s">
        <v>514</v>
      </c>
      <c r="G436" t="s">
        <v>43</v>
      </c>
      <c r="H436" t="s">
        <v>44</v>
      </c>
      <c r="I436" t="s">
        <v>34</v>
      </c>
      <c r="J436" t="s">
        <v>45</v>
      </c>
      <c r="K436" t="s">
        <v>41</v>
      </c>
      <c r="L436" t="s">
        <v>2621</v>
      </c>
      <c r="M436" t="s">
        <v>2622</v>
      </c>
      <c r="N436" t="s">
        <v>516</v>
      </c>
      <c r="O436" t="s">
        <v>64</v>
      </c>
      <c r="P436" t="s">
        <v>2623</v>
      </c>
      <c r="Q436" t="s">
        <v>73</v>
      </c>
      <c r="R436" t="s">
        <v>1517</v>
      </c>
      <c r="S436">
        <v>1.28</v>
      </c>
      <c r="T436">
        <v>3753</v>
      </c>
      <c r="U436">
        <v>0</v>
      </c>
      <c r="V436">
        <v>3753</v>
      </c>
    </row>
    <row r="437" spans="1:22" x14ac:dyDescent="0.3">
      <c r="A437">
        <v>79452</v>
      </c>
      <c r="B437">
        <v>137669588</v>
      </c>
      <c r="C437" t="s">
        <v>2624</v>
      </c>
      <c r="D437" t="s">
        <v>2625</v>
      </c>
      <c r="E437" t="s">
        <v>513</v>
      </c>
      <c r="F437" t="s">
        <v>514</v>
      </c>
      <c r="G437" t="s">
        <v>43</v>
      </c>
      <c r="H437" t="s">
        <v>44</v>
      </c>
      <c r="I437" t="s">
        <v>34</v>
      </c>
      <c r="J437" t="s">
        <v>45</v>
      </c>
      <c r="K437" t="s">
        <v>41</v>
      </c>
      <c r="L437" t="s">
        <v>2626</v>
      </c>
      <c r="M437" t="s">
        <v>2627</v>
      </c>
      <c r="N437" t="s">
        <v>516</v>
      </c>
      <c r="O437" t="s">
        <v>64</v>
      </c>
      <c r="P437" t="s">
        <v>2628</v>
      </c>
      <c r="Q437" t="s">
        <v>111</v>
      </c>
      <c r="R437" t="s">
        <v>2597</v>
      </c>
      <c r="S437">
        <v>2.13</v>
      </c>
      <c r="T437">
        <v>5476</v>
      </c>
      <c r="U437">
        <v>0</v>
      </c>
      <c r="V437">
        <v>5476</v>
      </c>
    </row>
    <row r="438" spans="1:22" x14ac:dyDescent="0.3">
      <c r="A438">
        <v>79452</v>
      </c>
      <c r="B438">
        <v>137121429</v>
      </c>
      <c r="C438" t="s">
        <v>2629</v>
      </c>
      <c r="D438" t="s">
        <v>2630</v>
      </c>
      <c r="E438" t="s">
        <v>513</v>
      </c>
      <c r="F438" t="s">
        <v>514</v>
      </c>
      <c r="G438" t="s">
        <v>43</v>
      </c>
      <c r="H438" t="s">
        <v>44</v>
      </c>
      <c r="I438" t="s">
        <v>34</v>
      </c>
      <c r="J438" t="s">
        <v>45</v>
      </c>
      <c r="K438" t="s">
        <v>41</v>
      </c>
      <c r="L438" t="s">
        <v>2631</v>
      </c>
      <c r="M438" t="s">
        <v>2632</v>
      </c>
      <c r="N438" t="s">
        <v>516</v>
      </c>
      <c r="O438" t="s">
        <v>64</v>
      </c>
      <c r="P438" t="s">
        <v>2633</v>
      </c>
      <c r="Q438" t="s">
        <v>166</v>
      </c>
      <c r="R438" t="s">
        <v>2634</v>
      </c>
      <c r="S438">
        <v>1</v>
      </c>
      <c r="T438">
        <v>5759</v>
      </c>
      <c r="U438">
        <v>0</v>
      </c>
      <c r="V438">
        <v>5759</v>
      </c>
    </row>
    <row r="439" spans="1:22" x14ac:dyDescent="0.3">
      <c r="A439">
        <v>79452</v>
      </c>
      <c r="B439">
        <v>137701418</v>
      </c>
      <c r="C439" t="s">
        <v>2635</v>
      </c>
      <c r="D439" t="s">
        <v>2636</v>
      </c>
      <c r="E439" t="s">
        <v>513</v>
      </c>
      <c r="F439" t="s">
        <v>514</v>
      </c>
      <c r="G439" t="s">
        <v>43</v>
      </c>
      <c r="H439" t="s">
        <v>44</v>
      </c>
      <c r="I439" t="s">
        <v>34</v>
      </c>
      <c r="J439" t="s">
        <v>45</v>
      </c>
      <c r="K439" t="s">
        <v>41</v>
      </c>
      <c r="L439" t="s">
        <v>2637</v>
      </c>
      <c r="M439" t="s">
        <v>2638</v>
      </c>
      <c r="N439" t="s">
        <v>516</v>
      </c>
      <c r="O439" t="s">
        <v>64</v>
      </c>
      <c r="P439" t="s">
        <v>2639</v>
      </c>
      <c r="Q439" t="s">
        <v>62</v>
      </c>
      <c r="R439" t="s">
        <v>2353</v>
      </c>
      <c r="S439">
        <v>0.9</v>
      </c>
      <c r="T439">
        <v>3784</v>
      </c>
      <c r="U439">
        <v>0</v>
      </c>
      <c r="V439">
        <v>3784</v>
      </c>
    </row>
    <row r="440" spans="1:22" x14ac:dyDescent="0.3">
      <c r="A440">
        <v>79452</v>
      </c>
      <c r="B440">
        <v>137669572</v>
      </c>
      <c r="C440" t="s">
        <v>2640</v>
      </c>
      <c r="D440" t="s">
        <v>2641</v>
      </c>
      <c r="E440" t="s">
        <v>513</v>
      </c>
      <c r="F440" t="s">
        <v>514</v>
      </c>
      <c r="G440" t="s">
        <v>43</v>
      </c>
      <c r="H440" t="s">
        <v>44</v>
      </c>
      <c r="I440" t="s">
        <v>34</v>
      </c>
      <c r="J440" t="s">
        <v>45</v>
      </c>
      <c r="K440" t="s">
        <v>41</v>
      </c>
      <c r="L440" t="s">
        <v>2642</v>
      </c>
      <c r="M440" t="s">
        <v>2643</v>
      </c>
      <c r="N440" t="s">
        <v>516</v>
      </c>
      <c r="O440" t="s">
        <v>64</v>
      </c>
      <c r="P440" t="s">
        <v>2644</v>
      </c>
      <c r="Q440" t="s">
        <v>62</v>
      </c>
      <c r="R440" t="s">
        <v>2597</v>
      </c>
      <c r="S440">
        <v>0.95</v>
      </c>
      <c r="T440">
        <v>3784</v>
      </c>
      <c r="U440">
        <v>0</v>
      </c>
      <c r="V440">
        <v>3784</v>
      </c>
    </row>
    <row r="441" spans="1:22" x14ac:dyDescent="0.3">
      <c r="A441">
        <v>79452</v>
      </c>
      <c r="B441">
        <v>137616543</v>
      </c>
      <c r="C441" t="s">
        <v>2645</v>
      </c>
      <c r="D441" t="s">
        <v>2646</v>
      </c>
      <c r="E441" t="s">
        <v>513</v>
      </c>
      <c r="F441" t="s">
        <v>514</v>
      </c>
      <c r="G441" t="s">
        <v>43</v>
      </c>
      <c r="H441" t="s">
        <v>44</v>
      </c>
      <c r="I441" t="s">
        <v>34</v>
      </c>
      <c r="J441" t="s">
        <v>45</v>
      </c>
      <c r="K441" t="s">
        <v>41</v>
      </c>
      <c r="L441" t="s">
        <v>2647</v>
      </c>
      <c r="M441" t="s">
        <v>2648</v>
      </c>
      <c r="N441" t="s">
        <v>516</v>
      </c>
      <c r="O441" t="s">
        <v>64</v>
      </c>
      <c r="P441" t="s">
        <v>2649</v>
      </c>
      <c r="Q441" t="s">
        <v>42</v>
      </c>
      <c r="R441" t="s">
        <v>1613</v>
      </c>
      <c r="S441">
        <v>0.72</v>
      </c>
      <c r="T441">
        <v>3784</v>
      </c>
      <c r="U441">
        <v>0</v>
      </c>
      <c r="V441">
        <v>3784</v>
      </c>
    </row>
    <row r="442" spans="1:22" x14ac:dyDescent="0.3">
      <c r="A442">
        <v>79452</v>
      </c>
      <c r="B442">
        <v>137576059</v>
      </c>
      <c r="C442" t="s">
        <v>2650</v>
      </c>
      <c r="D442" t="s">
        <v>2651</v>
      </c>
      <c r="E442" t="s">
        <v>513</v>
      </c>
      <c r="F442" t="s">
        <v>514</v>
      </c>
      <c r="G442" t="s">
        <v>69</v>
      </c>
      <c r="H442" t="s">
        <v>70</v>
      </c>
      <c r="I442" t="s">
        <v>34</v>
      </c>
      <c r="J442" t="s">
        <v>139</v>
      </c>
      <c r="K442" t="s">
        <v>41</v>
      </c>
      <c r="L442" t="s">
        <v>71</v>
      </c>
      <c r="M442" t="s">
        <v>2652</v>
      </c>
      <c r="N442" t="s">
        <v>516</v>
      </c>
      <c r="O442" t="s">
        <v>64</v>
      </c>
      <c r="P442" t="s">
        <v>2653</v>
      </c>
      <c r="Q442" t="s">
        <v>249</v>
      </c>
      <c r="R442" t="s">
        <v>1835</v>
      </c>
      <c r="S442">
        <v>0.37</v>
      </c>
      <c r="T442">
        <v>5601</v>
      </c>
      <c r="U442">
        <v>0</v>
      </c>
      <c r="V442">
        <v>5601</v>
      </c>
    </row>
    <row r="443" spans="1:22" x14ac:dyDescent="0.3">
      <c r="A443">
        <v>79452</v>
      </c>
      <c r="B443">
        <v>137658985</v>
      </c>
      <c r="C443" t="s">
        <v>2654</v>
      </c>
      <c r="D443" t="s">
        <v>2655</v>
      </c>
      <c r="E443" t="s">
        <v>513</v>
      </c>
      <c r="F443" t="s">
        <v>514</v>
      </c>
      <c r="G443" t="s">
        <v>43</v>
      </c>
      <c r="H443" t="s">
        <v>44</v>
      </c>
      <c r="I443" t="s">
        <v>34</v>
      </c>
      <c r="J443" t="s">
        <v>45</v>
      </c>
      <c r="K443" t="s">
        <v>41</v>
      </c>
      <c r="L443" t="s">
        <v>2656</v>
      </c>
      <c r="M443" t="s">
        <v>2657</v>
      </c>
      <c r="N443" t="s">
        <v>516</v>
      </c>
      <c r="O443" t="s">
        <v>64</v>
      </c>
      <c r="P443" t="s">
        <v>2658</v>
      </c>
      <c r="Q443" t="s">
        <v>61</v>
      </c>
      <c r="R443" t="s">
        <v>2516</v>
      </c>
      <c r="S443">
        <v>0.85</v>
      </c>
      <c r="T443">
        <v>3366</v>
      </c>
      <c r="U443">
        <v>0</v>
      </c>
      <c r="V443">
        <v>3366</v>
      </c>
    </row>
    <row r="444" spans="1:22" x14ac:dyDescent="0.3">
      <c r="A444">
        <v>79452</v>
      </c>
      <c r="B444">
        <v>137701437</v>
      </c>
      <c r="C444" t="s">
        <v>2659</v>
      </c>
      <c r="D444" t="s">
        <v>2660</v>
      </c>
      <c r="E444" t="s">
        <v>513</v>
      </c>
      <c r="F444" t="s">
        <v>514</v>
      </c>
      <c r="G444" t="s">
        <v>43</v>
      </c>
      <c r="H444" t="s">
        <v>44</v>
      </c>
      <c r="I444" t="s">
        <v>34</v>
      </c>
      <c r="J444" t="s">
        <v>45</v>
      </c>
      <c r="K444" t="s">
        <v>41</v>
      </c>
      <c r="L444" t="s">
        <v>2661</v>
      </c>
      <c r="M444" t="s">
        <v>2662</v>
      </c>
      <c r="N444" t="s">
        <v>516</v>
      </c>
      <c r="O444" t="s">
        <v>64</v>
      </c>
      <c r="P444" t="s">
        <v>2663</v>
      </c>
      <c r="Q444" t="s">
        <v>144</v>
      </c>
      <c r="R444" t="s">
        <v>2353</v>
      </c>
      <c r="S444">
        <v>2.16</v>
      </c>
      <c r="T444">
        <v>3753</v>
      </c>
      <c r="U444">
        <v>0</v>
      </c>
      <c r="V444">
        <v>3753</v>
      </c>
    </row>
    <row r="445" spans="1:22" x14ac:dyDescent="0.3">
      <c r="A445">
        <v>79452</v>
      </c>
      <c r="B445">
        <v>137554371</v>
      </c>
      <c r="C445" t="s">
        <v>2664</v>
      </c>
      <c r="D445" t="s">
        <v>2665</v>
      </c>
      <c r="E445" t="s">
        <v>513</v>
      </c>
      <c r="F445" t="s">
        <v>514</v>
      </c>
      <c r="G445" t="s">
        <v>43</v>
      </c>
      <c r="H445" t="s">
        <v>44</v>
      </c>
      <c r="I445" t="s">
        <v>34</v>
      </c>
      <c r="J445" t="s">
        <v>45</v>
      </c>
      <c r="K445" t="s">
        <v>41</v>
      </c>
      <c r="L445" t="s">
        <v>2666</v>
      </c>
      <c r="M445" t="s">
        <v>2667</v>
      </c>
      <c r="N445" t="s">
        <v>516</v>
      </c>
      <c r="O445" t="s">
        <v>64</v>
      </c>
      <c r="P445" t="s">
        <v>2668</v>
      </c>
      <c r="Q445" t="s">
        <v>90</v>
      </c>
      <c r="R445" t="s">
        <v>366</v>
      </c>
      <c r="S445">
        <v>2.19</v>
      </c>
      <c r="T445">
        <v>3753</v>
      </c>
      <c r="U445">
        <v>0</v>
      </c>
      <c r="V445">
        <v>3753</v>
      </c>
    </row>
    <row r="446" spans="1:22" x14ac:dyDescent="0.3">
      <c r="A446">
        <v>79452</v>
      </c>
      <c r="B446">
        <v>137554327</v>
      </c>
      <c r="C446" t="s">
        <v>2669</v>
      </c>
      <c r="D446" t="s">
        <v>2670</v>
      </c>
      <c r="E446" t="s">
        <v>513</v>
      </c>
      <c r="F446" t="s">
        <v>514</v>
      </c>
      <c r="G446" t="s">
        <v>43</v>
      </c>
      <c r="H446" t="s">
        <v>44</v>
      </c>
      <c r="I446" t="s">
        <v>34</v>
      </c>
      <c r="J446" t="s">
        <v>45</v>
      </c>
      <c r="K446" t="s">
        <v>41</v>
      </c>
      <c r="L446" t="s">
        <v>2671</v>
      </c>
      <c r="M446" t="s">
        <v>2672</v>
      </c>
      <c r="N446" t="s">
        <v>516</v>
      </c>
      <c r="O446" t="s">
        <v>64</v>
      </c>
      <c r="P446" t="s">
        <v>2673</v>
      </c>
      <c r="Q446" t="s">
        <v>98</v>
      </c>
      <c r="R446" t="s">
        <v>2394</v>
      </c>
      <c r="S446">
        <v>1.17</v>
      </c>
      <c r="T446">
        <v>5759</v>
      </c>
      <c r="U446">
        <v>0</v>
      </c>
      <c r="V446">
        <v>5759</v>
      </c>
    </row>
    <row r="447" spans="1:22" x14ac:dyDescent="0.3">
      <c r="A447">
        <v>79452</v>
      </c>
      <c r="B447">
        <v>137659000</v>
      </c>
      <c r="C447" t="s">
        <v>2674</v>
      </c>
      <c r="D447" t="s">
        <v>2675</v>
      </c>
      <c r="E447" t="s">
        <v>513</v>
      </c>
      <c r="F447" t="s">
        <v>514</v>
      </c>
      <c r="G447" t="s">
        <v>43</v>
      </c>
      <c r="H447" t="s">
        <v>44</v>
      </c>
      <c r="I447" t="s">
        <v>34</v>
      </c>
      <c r="J447" t="s">
        <v>45</v>
      </c>
      <c r="K447" t="s">
        <v>41</v>
      </c>
      <c r="L447" t="s">
        <v>2676</v>
      </c>
      <c r="M447" t="s">
        <v>1074</v>
      </c>
      <c r="N447" t="s">
        <v>516</v>
      </c>
      <c r="O447" t="s">
        <v>64</v>
      </c>
      <c r="P447" t="s">
        <v>1075</v>
      </c>
      <c r="Q447" t="s">
        <v>172</v>
      </c>
      <c r="R447" t="s">
        <v>1958</v>
      </c>
      <c r="S447">
        <v>2.0699999999999998</v>
      </c>
      <c r="T447">
        <v>4693</v>
      </c>
      <c r="U447">
        <v>0</v>
      </c>
      <c r="V447">
        <v>4693</v>
      </c>
    </row>
    <row r="448" spans="1:22" x14ac:dyDescent="0.3">
      <c r="A448">
        <v>79452</v>
      </c>
      <c r="B448">
        <v>137121340</v>
      </c>
      <c r="C448" t="s">
        <v>2677</v>
      </c>
      <c r="D448" t="s">
        <v>2678</v>
      </c>
      <c r="E448" t="s">
        <v>513</v>
      </c>
      <c r="F448" t="s">
        <v>514</v>
      </c>
      <c r="G448" t="s">
        <v>43</v>
      </c>
      <c r="H448" t="s">
        <v>44</v>
      </c>
      <c r="I448" t="s">
        <v>34</v>
      </c>
      <c r="J448" t="s">
        <v>45</v>
      </c>
      <c r="K448" t="s">
        <v>41</v>
      </c>
      <c r="L448" t="s">
        <v>2679</v>
      </c>
      <c r="M448" t="s">
        <v>2680</v>
      </c>
      <c r="N448" t="s">
        <v>516</v>
      </c>
      <c r="O448" t="s">
        <v>64</v>
      </c>
      <c r="P448" t="s">
        <v>2681</v>
      </c>
      <c r="Q448" t="s">
        <v>166</v>
      </c>
      <c r="R448" t="s">
        <v>2634</v>
      </c>
      <c r="S448">
        <v>1</v>
      </c>
      <c r="T448">
        <v>5759</v>
      </c>
      <c r="U448">
        <v>0</v>
      </c>
      <c r="V448">
        <v>5759</v>
      </c>
    </row>
    <row r="449" spans="1:22" x14ac:dyDescent="0.3">
      <c r="A449">
        <v>79452</v>
      </c>
      <c r="B449">
        <v>137592408</v>
      </c>
      <c r="C449" t="s">
        <v>2682</v>
      </c>
      <c r="D449" t="s">
        <v>2683</v>
      </c>
      <c r="E449" t="s">
        <v>513</v>
      </c>
      <c r="F449" t="s">
        <v>514</v>
      </c>
      <c r="G449" t="s">
        <v>43</v>
      </c>
      <c r="H449" t="s">
        <v>44</v>
      </c>
      <c r="I449" t="s">
        <v>34</v>
      </c>
      <c r="J449" t="s">
        <v>45</v>
      </c>
      <c r="K449" t="s">
        <v>41</v>
      </c>
      <c r="L449" t="s">
        <v>2684</v>
      </c>
      <c r="M449" t="s">
        <v>2685</v>
      </c>
      <c r="N449" t="s">
        <v>516</v>
      </c>
      <c r="O449" t="s">
        <v>64</v>
      </c>
      <c r="P449" t="s">
        <v>2686</v>
      </c>
      <c r="Q449" t="s">
        <v>98</v>
      </c>
      <c r="R449" t="s">
        <v>433</v>
      </c>
      <c r="S449">
        <v>0.99</v>
      </c>
      <c r="T449">
        <v>5759</v>
      </c>
      <c r="U449">
        <v>0</v>
      </c>
      <c r="V449">
        <v>5759</v>
      </c>
    </row>
    <row r="450" spans="1:22" x14ac:dyDescent="0.3">
      <c r="A450">
        <v>79452</v>
      </c>
      <c r="B450">
        <v>137616554</v>
      </c>
      <c r="C450" t="s">
        <v>2687</v>
      </c>
      <c r="D450" t="s">
        <v>2688</v>
      </c>
      <c r="E450" t="s">
        <v>513</v>
      </c>
      <c r="F450" t="s">
        <v>514</v>
      </c>
      <c r="G450" t="s">
        <v>43</v>
      </c>
      <c r="H450" t="s">
        <v>44</v>
      </c>
      <c r="I450" t="s">
        <v>34</v>
      </c>
      <c r="J450" t="s">
        <v>45</v>
      </c>
      <c r="K450" t="s">
        <v>41</v>
      </c>
      <c r="L450" t="s">
        <v>2689</v>
      </c>
      <c r="M450" t="s">
        <v>454</v>
      </c>
      <c r="N450" t="s">
        <v>516</v>
      </c>
      <c r="O450" t="s">
        <v>64</v>
      </c>
      <c r="P450" t="s">
        <v>2690</v>
      </c>
      <c r="Q450" t="s">
        <v>46</v>
      </c>
      <c r="R450" t="s">
        <v>1613</v>
      </c>
      <c r="S450">
        <v>0.71</v>
      </c>
      <c r="T450">
        <v>3366</v>
      </c>
      <c r="U450">
        <v>0</v>
      </c>
      <c r="V450">
        <v>3366</v>
      </c>
    </row>
    <row r="451" spans="1:22" x14ac:dyDescent="0.3">
      <c r="A451">
        <v>79452</v>
      </c>
      <c r="B451">
        <v>137616537</v>
      </c>
      <c r="C451" t="s">
        <v>2691</v>
      </c>
      <c r="D451" t="s">
        <v>2692</v>
      </c>
      <c r="E451" t="s">
        <v>513</v>
      </c>
      <c r="F451" t="s">
        <v>514</v>
      </c>
      <c r="G451" t="s">
        <v>43</v>
      </c>
      <c r="H451" t="s">
        <v>44</v>
      </c>
      <c r="I451" t="s">
        <v>34</v>
      </c>
      <c r="J451" t="s">
        <v>45</v>
      </c>
      <c r="K451" t="s">
        <v>41</v>
      </c>
      <c r="L451" t="s">
        <v>2693</v>
      </c>
      <c r="M451" t="s">
        <v>2694</v>
      </c>
      <c r="N451" t="s">
        <v>516</v>
      </c>
      <c r="O451" t="s">
        <v>64</v>
      </c>
      <c r="P451" t="s">
        <v>2695</v>
      </c>
      <c r="Q451" t="s">
        <v>47</v>
      </c>
      <c r="R451" t="s">
        <v>1613</v>
      </c>
      <c r="S451">
        <v>1.33</v>
      </c>
      <c r="T451">
        <v>4067</v>
      </c>
      <c r="U451">
        <v>0</v>
      </c>
      <c r="V451">
        <v>4067</v>
      </c>
    </row>
    <row r="452" spans="1:22" x14ac:dyDescent="0.3">
      <c r="A452">
        <v>79452</v>
      </c>
      <c r="B452">
        <v>137616546</v>
      </c>
      <c r="C452" t="s">
        <v>2696</v>
      </c>
      <c r="D452" t="s">
        <v>2697</v>
      </c>
      <c r="E452" t="s">
        <v>513</v>
      </c>
      <c r="F452" t="s">
        <v>514</v>
      </c>
      <c r="G452" t="s">
        <v>43</v>
      </c>
      <c r="H452" t="s">
        <v>44</v>
      </c>
      <c r="I452" t="s">
        <v>34</v>
      </c>
      <c r="J452" t="s">
        <v>45</v>
      </c>
      <c r="K452" t="s">
        <v>41</v>
      </c>
      <c r="L452" t="s">
        <v>2698</v>
      </c>
      <c r="M452" t="s">
        <v>2699</v>
      </c>
      <c r="N452" t="s">
        <v>516</v>
      </c>
      <c r="O452" t="s">
        <v>64</v>
      </c>
      <c r="P452" t="s">
        <v>2700</v>
      </c>
      <c r="Q452" t="s">
        <v>120</v>
      </c>
      <c r="R452" t="s">
        <v>1613</v>
      </c>
      <c r="S452">
        <v>1.1399999999999999</v>
      </c>
      <c r="T452">
        <v>3753</v>
      </c>
      <c r="U452">
        <v>0</v>
      </c>
      <c r="V452">
        <v>3753</v>
      </c>
    </row>
    <row r="453" spans="1:22" x14ac:dyDescent="0.3">
      <c r="A453">
        <v>79452</v>
      </c>
      <c r="B453">
        <v>137616540</v>
      </c>
      <c r="C453" t="s">
        <v>2701</v>
      </c>
      <c r="D453" t="s">
        <v>2702</v>
      </c>
      <c r="E453" t="s">
        <v>513</v>
      </c>
      <c r="F453" t="s">
        <v>514</v>
      </c>
      <c r="G453" t="s">
        <v>43</v>
      </c>
      <c r="H453" t="s">
        <v>44</v>
      </c>
      <c r="I453" t="s">
        <v>34</v>
      </c>
      <c r="J453" t="s">
        <v>45</v>
      </c>
      <c r="K453" t="s">
        <v>41</v>
      </c>
      <c r="L453" t="s">
        <v>2703</v>
      </c>
      <c r="M453" t="s">
        <v>2704</v>
      </c>
      <c r="N453" t="s">
        <v>516</v>
      </c>
      <c r="O453" t="s">
        <v>64</v>
      </c>
      <c r="P453" t="s">
        <v>2705</v>
      </c>
      <c r="Q453" t="s">
        <v>67</v>
      </c>
      <c r="R453" t="s">
        <v>1613</v>
      </c>
      <c r="S453">
        <v>1.83</v>
      </c>
      <c r="T453">
        <v>3784</v>
      </c>
      <c r="U453">
        <v>0</v>
      </c>
      <c r="V453">
        <v>3784</v>
      </c>
    </row>
    <row r="454" spans="1:22" x14ac:dyDescent="0.3">
      <c r="A454">
        <v>79452</v>
      </c>
      <c r="B454">
        <v>137658988</v>
      </c>
      <c r="C454" t="s">
        <v>2706</v>
      </c>
      <c r="D454" t="s">
        <v>2707</v>
      </c>
      <c r="E454" t="s">
        <v>513</v>
      </c>
      <c r="F454" t="s">
        <v>514</v>
      </c>
      <c r="G454" t="s">
        <v>43</v>
      </c>
      <c r="H454" t="s">
        <v>44</v>
      </c>
      <c r="I454" t="s">
        <v>34</v>
      </c>
      <c r="J454" t="s">
        <v>45</v>
      </c>
      <c r="K454" t="s">
        <v>41</v>
      </c>
      <c r="L454" t="s">
        <v>2708</v>
      </c>
      <c r="M454" t="s">
        <v>2709</v>
      </c>
      <c r="N454" t="s">
        <v>516</v>
      </c>
      <c r="O454" t="s">
        <v>64</v>
      </c>
      <c r="P454" t="s">
        <v>2710</v>
      </c>
      <c r="Q454" t="s">
        <v>53</v>
      </c>
      <c r="R454" t="s">
        <v>1958</v>
      </c>
      <c r="S454">
        <v>1</v>
      </c>
      <c r="T454">
        <v>3501</v>
      </c>
      <c r="U454">
        <v>0</v>
      </c>
      <c r="V454">
        <v>3501</v>
      </c>
    </row>
    <row r="455" spans="1:22" x14ac:dyDescent="0.3">
      <c r="A455">
        <v>79452</v>
      </c>
      <c r="B455">
        <v>137616539</v>
      </c>
      <c r="C455" t="s">
        <v>2711</v>
      </c>
      <c r="D455" t="s">
        <v>2712</v>
      </c>
      <c r="E455" t="s">
        <v>513</v>
      </c>
      <c r="F455" t="s">
        <v>514</v>
      </c>
      <c r="G455" t="s">
        <v>43</v>
      </c>
      <c r="H455" t="s">
        <v>44</v>
      </c>
      <c r="I455" t="s">
        <v>34</v>
      </c>
      <c r="J455" t="s">
        <v>45</v>
      </c>
      <c r="K455" t="s">
        <v>41</v>
      </c>
      <c r="L455" t="s">
        <v>2713</v>
      </c>
      <c r="M455" t="s">
        <v>2714</v>
      </c>
      <c r="N455" t="s">
        <v>516</v>
      </c>
      <c r="O455" t="s">
        <v>64</v>
      </c>
      <c r="P455" t="s">
        <v>2715</v>
      </c>
      <c r="Q455" t="s">
        <v>73</v>
      </c>
      <c r="R455" t="s">
        <v>1613</v>
      </c>
      <c r="S455">
        <v>1</v>
      </c>
      <c r="T455">
        <v>3753</v>
      </c>
      <c r="U455">
        <v>0</v>
      </c>
      <c r="V455">
        <v>3753</v>
      </c>
    </row>
    <row r="456" spans="1:22" x14ac:dyDescent="0.3">
      <c r="A456">
        <v>79452</v>
      </c>
      <c r="B456">
        <v>137757021</v>
      </c>
      <c r="C456" t="s">
        <v>2716</v>
      </c>
      <c r="D456" t="s">
        <v>2717</v>
      </c>
      <c r="E456" t="s">
        <v>513</v>
      </c>
      <c r="F456" t="s">
        <v>514</v>
      </c>
      <c r="G456" t="s">
        <v>43</v>
      </c>
      <c r="H456" t="s">
        <v>44</v>
      </c>
      <c r="I456" t="s">
        <v>34</v>
      </c>
      <c r="J456" t="s">
        <v>45</v>
      </c>
      <c r="K456" t="s">
        <v>41</v>
      </c>
      <c r="L456" t="s">
        <v>2718</v>
      </c>
      <c r="M456" t="s">
        <v>2719</v>
      </c>
      <c r="N456" t="s">
        <v>516</v>
      </c>
      <c r="O456" t="s">
        <v>64</v>
      </c>
      <c r="P456" t="s">
        <v>2720</v>
      </c>
      <c r="Q456" t="s">
        <v>87</v>
      </c>
      <c r="R456" t="s">
        <v>1517</v>
      </c>
      <c r="S456">
        <v>1</v>
      </c>
      <c r="T456">
        <v>3870</v>
      </c>
      <c r="U456">
        <v>0</v>
      </c>
      <c r="V456">
        <v>3870</v>
      </c>
    </row>
    <row r="457" spans="1:22" x14ac:dyDescent="0.3">
      <c r="A457">
        <v>79452</v>
      </c>
      <c r="B457">
        <v>137701434</v>
      </c>
      <c r="C457" t="s">
        <v>2721</v>
      </c>
      <c r="D457" t="s">
        <v>2722</v>
      </c>
      <c r="E457" t="s">
        <v>513</v>
      </c>
      <c r="F457" t="s">
        <v>514</v>
      </c>
      <c r="G457" t="s">
        <v>43</v>
      </c>
      <c r="H457" t="s">
        <v>44</v>
      </c>
      <c r="I457" t="s">
        <v>34</v>
      </c>
      <c r="J457" t="s">
        <v>45</v>
      </c>
      <c r="K457" t="s">
        <v>41</v>
      </c>
      <c r="L457" t="s">
        <v>2723</v>
      </c>
      <c r="M457" t="s">
        <v>1566</v>
      </c>
      <c r="N457" t="s">
        <v>516</v>
      </c>
      <c r="O457" t="s">
        <v>64</v>
      </c>
      <c r="P457" t="s">
        <v>1567</v>
      </c>
      <c r="Q457" t="s">
        <v>108</v>
      </c>
      <c r="R457" t="s">
        <v>2353</v>
      </c>
      <c r="S457">
        <v>1.1200000000000001</v>
      </c>
      <c r="T457">
        <v>3366</v>
      </c>
      <c r="U457">
        <v>0</v>
      </c>
      <c r="V457">
        <v>3366</v>
      </c>
    </row>
    <row r="458" spans="1:22" x14ac:dyDescent="0.3">
      <c r="A458">
        <v>79452</v>
      </c>
      <c r="B458">
        <v>137701484</v>
      </c>
      <c r="C458" t="s">
        <v>2724</v>
      </c>
      <c r="D458" t="s">
        <v>2725</v>
      </c>
      <c r="E458" t="s">
        <v>513</v>
      </c>
      <c r="F458" t="s">
        <v>514</v>
      </c>
      <c r="G458" t="s">
        <v>43</v>
      </c>
      <c r="H458" t="s">
        <v>44</v>
      </c>
      <c r="I458" t="s">
        <v>34</v>
      </c>
      <c r="J458" t="s">
        <v>45</v>
      </c>
      <c r="K458" t="s">
        <v>41</v>
      </c>
      <c r="L458" t="s">
        <v>2726</v>
      </c>
      <c r="M458" t="s">
        <v>2727</v>
      </c>
      <c r="N458" t="s">
        <v>516</v>
      </c>
      <c r="O458" t="s">
        <v>64</v>
      </c>
      <c r="P458" t="s">
        <v>2728</v>
      </c>
      <c r="Q458" t="s">
        <v>67</v>
      </c>
      <c r="R458" t="s">
        <v>382</v>
      </c>
      <c r="S458">
        <v>1.52</v>
      </c>
      <c r="T458">
        <v>3784</v>
      </c>
      <c r="U458">
        <v>0</v>
      </c>
      <c r="V458">
        <v>3784</v>
      </c>
    </row>
    <row r="459" spans="1:22" x14ac:dyDescent="0.3">
      <c r="A459">
        <v>79452</v>
      </c>
      <c r="B459">
        <v>137701491</v>
      </c>
      <c r="C459" t="s">
        <v>2729</v>
      </c>
      <c r="D459" t="s">
        <v>2730</v>
      </c>
      <c r="E459" t="s">
        <v>513</v>
      </c>
      <c r="F459" t="s">
        <v>514</v>
      </c>
      <c r="G459" t="s">
        <v>43</v>
      </c>
      <c r="H459" t="s">
        <v>44</v>
      </c>
      <c r="I459" t="s">
        <v>34</v>
      </c>
      <c r="J459" t="s">
        <v>45</v>
      </c>
      <c r="K459" t="s">
        <v>41</v>
      </c>
      <c r="L459" t="s">
        <v>2718</v>
      </c>
      <c r="M459" t="s">
        <v>2719</v>
      </c>
      <c r="N459" t="s">
        <v>516</v>
      </c>
      <c r="O459" t="s">
        <v>64</v>
      </c>
      <c r="P459" t="s">
        <v>2720</v>
      </c>
      <c r="Q459" t="s">
        <v>87</v>
      </c>
      <c r="R459" t="s">
        <v>382</v>
      </c>
      <c r="S459">
        <v>1</v>
      </c>
      <c r="T459">
        <v>3870</v>
      </c>
      <c r="U459">
        <v>0</v>
      </c>
      <c r="V459">
        <v>3870</v>
      </c>
    </row>
    <row r="460" spans="1:22" x14ac:dyDescent="0.3">
      <c r="A460">
        <v>79452</v>
      </c>
      <c r="B460">
        <v>137757025</v>
      </c>
      <c r="C460" t="s">
        <v>2731</v>
      </c>
      <c r="D460" t="s">
        <v>2732</v>
      </c>
      <c r="E460" t="s">
        <v>513</v>
      </c>
      <c r="F460" t="s">
        <v>514</v>
      </c>
      <c r="G460" t="s">
        <v>43</v>
      </c>
      <c r="H460" t="s">
        <v>44</v>
      </c>
      <c r="I460" t="s">
        <v>34</v>
      </c>
      <c r="J460" t="s">
        <v>45</v>
      </c>
      <c r="K460" t="s">
        <v>41</v>
      </c>
      <c r="L460" t="s">
        <v>2733</v>
      </c>
      <c r="M460" t="s">
        <v>2734</v>
      </c>
      <c r="N460" t="s">
        <v>516</v>
      </c>
      <c r="O460" t="s">
        <v>64</v>
      </c>
      <c r="P460" t="s">
        <v>2735</v>
      </c>
      <c r="Q460" t="s">
        <v>90</v>
      </c>
      <c r="R460" t="s">
        <v>1517</v>
      </c>
      <c r="S460">
        <v>0.8</v>
      </c>
      <c r="T460">
        <v>3753</v>
      </c>
      <c r="U460">
        <v>0</v>
      </c>
      <c r="V460">
        <v>3753</v>
      </c>
    </row>
    <row r="461" spans="1:22" x14ac:dyDescent="0.3">
      <c r="A461">
        <v>79452</v>
      </c>
      <c r="B461">
        <v>137757015</v>
      </c>
      <c r="C461" t="s">
        <v>2736</v>
      </c>
      <c r="D461" t="s">
        <v>2737</v>
      </c>
      <c r="E461" t="s">
        <v>513</v>
      </c>
      <c r="F461" t="s">
        <v>514</v>
      </c>
      <c r="G461" t="s">
        <v>43</v>
      </c>
      <c r="H461" t="s">
        <v>44</v>
      </c>
      <c r="I461" t="s">
        <v>34</v>
      </c>
      <c r="J461" t="s">
        <v>45</v>
      </c>
      <c r="K461" t="s">
        <v>41</v>
      </c>
      <c r="L461" t="s">
        <v>2738</v>
      </c>
      <c r="M461" t="s">
        <v>2739</v>
      </c>
      <c r="N461" t="s">
        <v>516</v>
      </c>
      <c r="O461" t="s">
        <v>64</v>
      </c>
      <c r="P461" t="s">
        <v>2740</v>
      </c>
      <c r="Q461" t="s">
        <v>87</v>
      </c>
      <c r="R461" t="s">
        <v>1517</v>
      </c>
      <c r="S461">
        <v>0.96</v>
      </c>
      <c r="T461">
        <v>3870</v>
      </c>
      <c r="U461">
        <v>0</v>
      </c>
      <c r="V461">
        <v>3870</v>
      </c>
    </row>
    <row r="462" spans="1:22" x14ac:dyDescent="0.3">
      <c r="A462">
        <v>79452</v>
      </c>
      <c r="B462">
        <v>137658999</v>
      </c>
      <c r="C462" t="s">
        <v>2741</v>
      </c>
      <c r="D462" t="s">
        <v>2742</v>
      </c>
      <c r="E462" t="s">
        <v>513</v>
      </c>
      <c r="F462" t="s">
        <v>514</v>
      </c>
      <c r="G462" t="s">
        <v>43</v>
      </c>
      <c r="H462" t="s">
        <v>44</v>
      </c>
      <c r="I462" t="s">
        <v>34</v>
      </c>
      <c r="J462" t="s">
        <v>45</v>
      </c>
      <c r="K462" t="s">
        <v>41</v>
      </c>
      <c r="L462" t="s">
        <v>2743</v>
      </c>
      <c r="M462" t="s">
        <v>1084</v>
      </c>
      <c r="N462" t="s">
        <v>516</v>
      </c>
      <c r="O462" t="s">
        <v>64</v>
      </c>
      <c r="P462" t="s">
        <v>1085</v>
      </c>
      <c r="Q462" t="s">
        <v>47</v>
      </c>
      <c r="R462" t="s">
        <v>1958</v>
      </c>
      <c r="S462">
        <v>1.51</v>
      </c>
      <c r="T462">
        <v>4067</v>
      </c>
      <c r="U462">
        <v>0</v>
      </c>
      <c r="V462">
        <v>4067</v>
      </c>
    </row>
    <row r="463" spans="1:22" x14ac:dyDescent="0.3">
      <c r="A463">
        <v>79452</v>
      </c>
      <c r="B463">
        <v>137358402</v>
      </c>
      <c r="C463" t="s">
        <v>2744</v>
      </c>
      <c r="D463" t="s">
        <v>2745</v>
      </c>
      <c r="E463" t="s">
        <v>513</v>
      </c>
      <c r="F463" t="s">
        <v>514</v>
      </c>
      <c r="G463" t="s">
        <v>43</v>
      </c>
      <c r="H463" t="s">
        <v>44</v>
      </c>
      <c r="I463" t="s">
        <v>34</v>
      </c>
      <c r="J463" t="s">
        <v>45</v>
      </c>
      <c r="K463" t="s">
        <v>41</v>
      </c>
      <c r="L463" t="s">
        <v>2746</v>
      </c>
      <c r="M463" t="s">
        <v>2747</v>
      </c>
      <c r="N463" t="s">
        <v>516</v>
      </c>
      <c r="O463" t="s">
        <v>64</v>
      </c>
      <c r="P463" t="s">
        <v>2748</v>
      </c>
      <c r="Q463" t="s">
        <v>166</v>
      </c>
      <c r="R463" t="s">
        <v>2749</v>
      </c>
      <c r="S463">
        <v>1.96</v>
      </c>
      <c r="T463">
        <v>5759</v>
      </c>
      <c r="U463">
        <v>0</v>
      </c>
      <c r="V463">
        <v>5759</v>
      </c>
    </row>
    <row r="464" spans="1:22" x14ac:dyDescent="0.3">
      <c r="A464">
        <v>79452</v>
      </c>
      <c r="B464">
        <v>137616527</v>
      </c>
      <c r="C464" t="s">
        <v>2750</v>
      </c>
      <c r="D464" t="s">
        <v>2751</v>
      </c>
      <c r="E464" t="s">
        <v>513</v>
      </c>
      <c r="F464" t="s">
        <v>514</v>
      </c>
      <c r="G464" t="s">
        <v>43</v>
      </c>
      <c r="H464" t="s">
        <v>44</v>
      </c>
      <c r="I464" t="s">
        <v>34</v>
      </c>
      <c r="J464" t="s">
        <v>45</v>
      </c>
      <c r="K464" t="s">
        <v>41</v>
      </c>
      <c r="L464" t="s">
        <v>2752</v>
      </c>
      <c r="M464" t="s">
        <v>2753</v>
      </c>
      <c r="N464" t="s">
        <v>516</v>
      </c>
      <c r="O464" t="s">
        <v>64</v>
      </c>
      <c r="P464" t="s">
        <v>2754</v>
      </c>
      <c r="Q464" t="s">
        <v>87</v>
      </c>
      <c r="R464" t="s">
        <v>1613</v>
      </c>
      <c r="S464">
        <v>2.5</v>
      </c>
      <c r="T464">
        <v>3870</v>
      </c>
      <c r="U464">
        <v>0</v>
      </c>
      <c r="V464">
        <v>3870</v>
      </c>
    </row>
    <row r="465" spans="1:22" x14ac:dyDescent="0.3">
      <c r="A465">
        <v>79452</v>
      </c>
      <c r="B465">
        <v>137616504</v>
      </c>
      <c r="C465" t="s">
        <v>2755</v>
      </c>
      <c r="D465" t="s">
        <v>2756</v>
      </c>
      <c r="E465" t="s">
        <v>513</v>
      </c>
      <c r="F465" t="s">
        <v>514</v>
      </c>
      <c r="G465" t="s">
        <v>43</v>
      </c>
      <c r="H465" t="s">
        <v>44</v>
      </c>
      <c r="I465" t="s">
        <v>34</v>
      </c>
      <c r="J465" t="s">
        <v>45</v>
      </c>
      <c r="K465" t="s">
        <v>41</v>
      </c>
      <c r="L465" t="s">
        <v>2757</v>
      </c>
      <c r="M465" t="s">
        <v>304</v>
      </c>
      <c r="N465" t="s">
        <v>516</v>
      </c>
      <c r="O465" t="s">
        <v>64</v>
      </c>
      <c r="P465" t="s">
        <v>2758</v>
      </c>
      <c r="Q465" t="s">
        <v>103</v>
      </c>
      <c r="R465" t="s">
        <v>1613</v>
      </c>
      <c r="S465">
        <v>1</v>
      </c>
      <c r="T465">
        <v>3366</v>
      </c>
      <c r="U465">
        <v>0</v>
      </c>
      <c r="V465">
        <v>3366</v>
      </c>
    </row>
    <row r="466" spans="1:22" x14ac:dyDescent="0.3">
      <c r="A466">
        <v>79452</v>
      </c>
      <c r="B466">
        <v>137358374</v>
      </c>
      <c r="C466" t="s">
        <v>2759</v>
      </c>
      <c r="D466" t="s">
        <v>2760</v>
      </c>
      <c r="E466" t="s">
        <v>513</v>
      </c>
      <c r="F466" t="s">
        <v>514</v>
      </c>
      <c r="G466" t="s">
        <v>43</v>
      </c>
      <c r="H466" t="s">
        <v>44</v>
      </c>
      <c r="I466" t="s">
        <v>34</v>
      </c>
      <c r="J466" t="s">
        <v>45</v>
      </c>
      <c r="K466" t="s">
        <v>41</v>
      </c>
      <c r="L466" t="s">
        <v>2761</v>
      </c>
      <c r="M466" t="s">
        <v>2762</v>
      </c>
      <c r="N466" t="s">
        <v>516</v>
      </c>
      <c r="O466" t="s">
        <v>64</v>
      </c>
      <c r="P466" t="s">
        <v>2763</v>
      </c>
      <c r="Q466" t="s">
        <v>61</v>
      </c>
      <c r="R466" t="s">
        <v>2764</v>
      </c>
      <c r="S466">
        <v>1.1299999999999999</v>
      </c>
      <c r="T466">
        <v>3366</v>
      </c>
      <c r="U466">
        <v>0</v>
      </c>
      <c r="V466">
        <v>3366</v>
      </c>
    </row>
    <row r="467" spans="1:22" x14ac:dyDescent="0.3">
      <c r="A467">
        <v>79452</v>
      </c>
      <c r="B467">
        <v>137669602</v>
      </c>
      <c r="C467" t="s">
        <v>2765</v>
      </c>
      <c r="D467" t="s">
        <v>2766</v>
      </c>
      <c r="E467" t="s">
        <v>513</v>
      </c>
      <c r="F467" t="s">
        <v>514</v>
      </c>
      <c r="G467" t="s">
        <v>43</v>
      </c>
      <c r="H467" t="s">
        <v>44</v>
      </c>
      <c r="I467" t="s">
        <v>34</v>
      </c>
      <c r="J467" t="s">
        <v>45</v>
      </c>
      <c r="K467" t="s">
        <v>41</v>
      </c>
      <c r="L467" t="s">
        <v>2767</v>
      </c>
      <c r="M467" t="s">
        <v>2768</v>
      </c>
      <c r="N467" t="s">
        <v>516</v>
      </c>
      <c r="O467" t="s">
        <v>64</v>
      </c>
      <c r="P467" t="s">
        <v>2769</v>
      </c>
      <c r="Q467" t="s">
        <v>118</v>
      </c>
      <c r="R467" t="s">
        <v>2597</v>
      </c>
      <c r="S467">
        <v>1.35</v>
      </c>
      <c r="T467">
        <v>4067</v>
      </c>
      <c r="U467">
        <v>0</v>
      </c>
      <c r="V467">
        <v>4067</v>
      </c>
    </row>
    <row r="468" spans="1:22" x14ac:dyDescent="0.3">
      <c r="A468">
        <v>79452</v>
      </c>
      <c r="B468">
        <v>137701415</v>
      </c>
      <c r="C468" t="s">
        <v>2770</v>
      </c>
      <c r="D468" t="s">
        <v>2771</v>
      </c>
      <c r="E468" t="s">
        <v>513</v>
      </c>
      <c r="F468" t="s">
        <v>514</v>
      </c>
      <c r="G468" t="s">
        <v>43</v>
      </c>
      <c r="H468" t="s">
        <v>44</v>
      </c>
      <c r="I468" t="s">
        <v>34</v>
      </c>
      <c r="J468" t="s">
        <v>45</v>
      </c>
      <c r="K468" t="s">
        <v>41</v>
      </c>
      <c r="L468" t="s">
        <v>2772</v>
      </c>
      <c r="M468" t="s">
        <v>2773</v>
      </c>
      <c r="N468" t="s">
        <v>516</v>
      </c>
      <c r="O468" t="s">
        <v>64</v>
      </c>
      <c r="P468" t="s">
        <v>2774</v>
      </c>
      <c r="Q468" t="s">
        <v>56</v>
      </c>
      <c r="R468" t="s">
        <v>2353</v>
      </c>
      <c r="S468">
        <v>1.32</v>
      </c>
      <c r="T468">
        <v>3753</v>
      </c>
      <c r="U468">
        <v>0</v>
      </c>
      <c r="V468">
        <v>3753</v>
      </c>
    </row>
    <row r="469" spans="1:22" x14ac:dyDescent="0.3">
      <c r="A469">
        <v>79452</v>
      </c>
      <c r="B469">
        <v>137389658</v>
      </c>
      <c r="C469" t="s">
        <v>2775</v>
      </c>
      <c r="D469" t="s">
        <v>2776</v>
      </c>
      <c r="E469" t="s">
        <v>513</v>
      </c>
      <c r="F469" t="s">
        <v>514</v>
      </c>
      <c r="G469" t="s">
        <v>43</v>
      </c>
      <c r="H469" t="s">
        <v>44</v>
      </c>
      <c r="I469" t="s">
        <v>34</v>
      </c>
      <c r="J469" t="s">
        <v>45</v>
      </c>
      <c r="K469" t="s">
        <v>41</v>
      </c>
      <c r="L469" t="s">
        <v>2777</v>
      </c>
      <c r="M469" t="s">
        <v>324</v>
      </c>
      <c r="N469" t="s">
        <v>516</v>
      </c>
      <c r="O469" t="s">
        <v>64</v>
      </c>
      <c r="P469" t="s">
        <v>2778</v>
      </c>
      <c r="Q469" t="s">
        <v>50</v>
      </c>
      <c r="R469" t="s">
        <v>2779</v>
      </c>
      <c r="S469">
        <v>1.08</v>
      </c>
      <c r="T469">
        <v>5198</v>
      </c>
      <c r="U469">
        <v>0</v>
      </c>
      <c r="V469">
        <v>5198</v>
      </c>
    </row>
    <row r="470" spans="1:22" x14ac:dyDescent="0.3">
      <c r="A470">
        <v>79452</v>
      </c>
      <c r="B470">
        <v>137701469</v>
      </c>
      <c r="C470" t="s">
        <v>2780</v>
      </c>
      <c r="D470" t="s">
        <v>2781</v>
      </c>
      <c r="E470" t="s">
        <v>513</v>
      </c>
      <c r="F470" t="s">
        <v>514</v>
      </c>
      <c r="G470" t="s">
        <v>43</v>
      </c>
      <c r="H470" t="s">
        <v>44</v>
      </c>
      <c r="I470" t="s">
        <v>34</v>
      </c>
      <c r="J470" t="s">
        <v>45</v>
      </c>
      <c r="K470" t="s">
        <v>41</v>
      </c>
      <c r="L470" t="s">
        <v>2782</v>
      </c>
      <c r="M470" t="s">
        <v>2783</v>
      </c>
      <c r="N470" t="s">
        <v>516</v>
      </c>
      <c r="O470" t="s">
        <v>64</v>
      </c>
      <c r="P470" t="s">
        <v>2784</v>
      </c>
      <c r="Q470" t="s">
        <v>61</v>
      </c>
      <c r="R470" t="s">
        <v>382</v>
      </c>
      <c r="S470">
        <v>1</v>
      </c>
      <c r="T470">
        <v>3366</v>
      </c>
      <c r="U470">
        <v>0</v>
      </c>
      <c r="V470">
        <v>3366</v>
      </c>
    </row>
    <row r="471" spans="1:22" x14ac:dyDescent="0.3">
      <c r="A471">
        <v>79452</v>
      </c>
      <c r="B471">
        <v>137616515</v>
      </c>
      <c r="C471" t="s">
        <v>2785</v>
      </c>
      <c r="D471" t="s">
        <v>2786</v>
      </c>
      <c r="E471" t="s">
        <v>513</v>
      </c>
      <c r="F471" t="s">
        <v>514</v>
      </c>
      <c r="G471" t="s">
        <v>43</v>
      </c>
      <c r="H471" t="s">
        <v>44</v>
      </c>
      <c r="I471" t="s">
        <v>34</v>
      </c>
      <c r="J471" t="s">
        <v>45</v>
      </c>
      <c r="K471" t="s">
        <v>41</v>
      </c>
      <c r="L471" t="s">
        <v>2787</v>
      </c>
      <c r="M471" t="s">
        <v>2206</v>
      </c>
      <c r="N471" t="s">
        <v>516</v>
      </c>
      <c r="O471" t="s">
        <v>64</v>
      </c>
      <c r="P471" t="s">
        <v>2207</v>
      </c>
      <c r="Q471" t="s">
        <v>108</v>
      </c>
      <c r="R471" t="s">
        <v>1613</v>
      </c>
      <c r="S471">
        <v>1.65</v>
      </c>
      <c r="T471">
        <v>3366</v>
      </c>
      <c r="U471">
        <v>0</v>
      </c>
      <c r="V471">
        <v>3366</v>
      </c>
    </row>
    <row r="472" spans="1:22" x14ac:dyDescent="0.3">
      <c r="A472">
        <v>79452</v>
      </c>
      <c r="B472">
        <v>137616496</v>
      </c>
      <c r="C472" t="s">
        <v>2788</v>
      </c>
      <c r="D472" t="s">
        <v>2789</v>
      </c>
      <c r="E472" t="s">
        <v>513</v>
      </c>
      <c r="F472" t="s">
        <v>514</v>
      </c>
      <c r="G472" t="s">
        <v>43</v>
      </c>
      <c r="H472" t="s">
        <v>44</v>
      </c>
      <c r="I472" t="s">
        <v>34</v>
      </c>
      <c r="J472" t="s">
        <v>45</v>
      </c>
      <c r="K472" t="s">
        <v>41</v>
      </c>
      <c r="L472" t="s">
        <v>2790</v>
      </c>
      <c r="M472" t="s">
        <v>2791</v>
      </c>
      <c r="N472" t="s">
        <v>516</v>
      </c>
      <c r="O472" t="s">
        <v>64</v>
      </c>
      <c r="P472" t="s">
        <v>2792</v>
      </c>
      <c r="Q472" t="s">
        <v>50</v>
      </c>
      <c r="R472" t="s">
        <v>1613</v>
      </c>
      <c r="S472">
        <v>1.66</v>
      </c>
      <c r="T472">
        <v>5198</v>
      </c>
      <c r="U472">
        <v>0</v>
      </c>
      <c r="V472">
        <v>5198</v>
      </c>
    </row>
    <row r="473" spans="1:22" x14ac:dyDescent="0.3">
      <c r="A473">
        <v>79452</v>
      </c>
      <c r="B473">
        <v>137658996</v>
      </c>
      <c r="C473" t="s">
        <v>2793</v>
      </c>
      <c r="D473" t="s">
        <v>2794</v>
      </c>
      <c r="E473" t="s">
        <v>513</v>
      </c>
      <c r="F473" t="s">
        <v>514</v>
      </c>
      <c r="G473" t="s">
        <v>43</v>
      </c>
      <c r="H473" t="s">
        <v>44</v>
      </c>
      <c r="I473" t="s">
        <v>34</v>
      </c>
      <c r="J473" t="s">
        <v>45</v>
      </c>
      <c r="K473" t="s">
        <v>41</v>
      </c>
      <c r="L473" t="s">
        <v>2795</v>
      </c>
      <c r="M473" t="s">
        <v>2796</v>
      </c>
      <c r="N473" t="s">
        <v>516</v>
      </c>
      <c r="O473" t="s">
        <v>64</v>
      </c>
      <c r="P473" t="s">
        <v>2797</v>
      </c>
      <c r="Q473" t="s">
        <v>79</v>
      </c>
      <c r="R473" t="s">
        <v>1958</v>
      </c>
      <c r="S473">
        <v>0.9</v>
      </c>
      <c r="T473">
        <v>3366</v>
      </c>
      <c r="U473">
        <v>0</v>
      </c>
      <c r="V473">
        <v>3366</v>
      </c>
    </row>
    <row r="474" spans="1:22" x14ac:dyDescent="0.3">
      <c r="A474">
        <v>79452</v>
      </c>
      <c r="B474">
        <v>137554354</v>
      </c>
      <c r="C474" t="s">
        <v>2798</v>
      </c>
      <c r="D474" t="s">
        <v>2799</v>
      </c>
      <c r="E474" t="s">
        <v>513</v>
      </c>
      <c r="F474" t="s">
        <v>514</v>
      </c>
      <c r="G474" t="s">
        <v>43</v>
      </c>
      <c r="H474" t="s">
        <v>44</v>
      </c>
      <c r="I474" t="s">
        <v>34</v>
      </c>
      <c r="J474" t="s">
        <v>45</v>
      </c>
      <c r="K474" t="s">
        <v>41</v>
      </c>
      <c r="L474" t="s">
        <v>2800</v>
      </c>
      <c r="M474" t="s">
        <v>2801</v>
      </c>
      <c r="N474" t="s">
        <v>516</v>
      </c>
      <c r="O474" t="s">
        <v>64</v>
      </c>
      <c r="P474" t="s">
        <v>2802</v>
      </c>
      <c r="Q474" t="s">
        <v>98</v>
      </c>
      <c r="R474" t="s">
        <v>2394</v>
      </c>
      <c r="S474">
        <v>1.27</v>
      </c>
      <c r="T474">
        <v>5759</v>
      </c>
      <c r="U474">
        <v>0</v>
      </c>
      <c r="V474">
        <v>5759</v>
      </c>
    </row>
    <row r="475" spans="1:22" x14ac:dyDescent="0.3">
      <c r="A475">
        <v>79452</v>
      </c>
      <c r="B475">
        <v>137467423</v>
      </c>
      <c r="C475" t="s">
        <v>2803</v>
      </c>
      <c r="D475" t="s">
        <v>2804</v>
      </c>
      <c r="E475" t="s">
        <v>513</v>
      </c>
      <c r="F475" t="s">
        <v>514</v>
      </c>
      <c r="G475" t="s">
        <v>43</v>
      </c>
      <c r="H475" t="s">
        <v>44</v>
      </c>
      <c r="I475" t="s">
        <v>34</v>
      </c>
      <c r="J475" t="s">
        <v>45</v>
      </c>
      <c r="K475" t="s">
        <v>41</v>
      </c>
      <c r="L475" t="s">
        <v>2805</v>
      </c>
      <c r="M475" t="s">
        <v>2806</v>
      </c>
      <c r="N475" t="s">
        <v>516</v>
      </c>
      <c r="O475" t="s">
        <v>64</v>
      </c>
      <c r="P475" t="s">
        <v>2807</v>
      </c>
      <c r="Q475" t="s">
        <v>111</v>
      </c>
      <c r="R475" t="s">
        <v>2808</v>
      </c>
      <c r="S475">
        <v>0.8</v>
      </c>
      <c r="T475">
        <v>5476</v>
      </c>
      <c r="U475">
        <v>0</v>
      </c>
      <c r="V475">
        <v>5476</v>
      </c>
    </row>
    <row r="476" spans="1:22" x14ac:dyDescent="0.3">
      <c r="A476">
        <v>79452</v>
      </c>
      <c r="B476">
        <v>137580379</v>
      </c>
      <c r="C476" t="s">
        <v>2809</v>
      </c>
      <c r="D476" t="s">
        <v>2810</v>
      </c>
      <c r="E476" t="s">
        <v>513</v>
      </c>
      <c r="F476" t="s">
        <v>514</v>
      </c>
      <c r="G476" t="s">
        <v>69</v>
      </c>
      <c r="H476" t="s">
        <v>70</v>
      </c>
      <c r="I476" t="s">
        <v>34</v>
      </c>
      <c r="J476" t="s">
        <v>139</v>
      </c>
      <c r="K476" t="s">
        <v>41</v>
      </c>
      <c r="L476" t="s">
        <v>71</v>
      </c>
      <c r="M476" t="s">
        <v>2811</v>
      </c>
      <c r="N476" t="s">
        <v>516</v>
      </c>
      <c r="O476" t="s">
        <v>64</v>
      </c>
      <c r="P476" t="s">
        <v>2812</v>
      </c>
      <c r="Q476" t="s">
        <v>116</v>
      </c>
      <c r="R476" t="s">
        <v>2813</v>
      </c>
      <c r="S476">
        <v>0.91</v>
      </c>
      <c r="T476">
        <v>6064</v>
      </c>
      <c r="U476">
        <v>0</v>
      </c>
      <c r="V476">
        <v>6064</v>
      </c>
    </row>
    <row r="477" spans="1:22" x14ac:dyDescent="0.3">
      <c r="A477">
        <v>79452</v>
      </c>
      <c r="B477">
        <v>137554341</v>
      </c>
      <c r="C477" t="s">
        <v>2814</v>
      </c>
      <c r="D477" t="s">
        <v>2815</v>
      </c>
      <c r="E477" t="s">
        <v>513</v>
      </c>
      <c r="F477" t="s">
        <v>514</v>
      </c>
      <c r="G477" t="s">
        <v>43</v>
      </c>
      <c r="H477" t="s">
        <v>44</v>
      </c>
      <c r="I477" t="s">
        <v>34</v>
      </c>
      <c r="J477" t="s">
        <v>45</v>
      </c>
      <c r="K477" t="s">
        <v>41</v>
      </c>
      <c r="L477" t="s">
        <v>2816</v>
      </c>
      <c r="M477" t="s">
        <v>2817</v>
      </c>
      <c r="N477" t="s">
        <v>516</v>
      </c>
      <c r="O477" t="s">
        <v>64</v>
      </c>
      <c r="P477" t="s">
        <v>2818</v>
      </c>
      <c r="Q477" t="s">
        <v>50</v>
      </c>
      <c r="R477" t="s">
        <v>2394</v>
      </c>
      <c r="S477">
        <v>1.48</v>
      </c>
      <c r="T477">
        <v>5198</v>
      </c>
      <c r="U477">
        <v>0</v>
      </c>
      <c r="V477">
        <v>5198</v>
      </c>
    </row>
    <row r="478" spans="1:22" x14ac:dyDescent="0.3">
      <c r="A478">
        <v>79452</v>
      </c>
      <c r="B478">
        <v>137512681</v>
      </c>
      <c r="C478" t="s">
        <v>2819</v>
      </c>
      <c r="D478" t="s">
        <v>2820</v>
      </c>
      <c r="E478" t="s">
        <v>513</v>
      </c>
      <c r="F478" t="s">
        <v>514</v>
      </c>
      <c r="G478" t="s">
        <v>69</v>
      </c>
      <c r="H478" t="s">
        <v>70</v>
      </c>
      <c r="I478" t="s">
        <v>34</v>
      </c>
      <c r="J478" t="s">
        <v>139</v>
      </c>
      <c r="K478" t="s">
        <v>41</v>
      </c>
      <c r="L478" t="s">
        <v>71</v>
      </c>
      <c r="M478" t="s">
        <v>2821</v>
      </c>
      <c r="N478" t="s">
        <v>516</v>
      </c>
      <c r="O478" t="s">
        <v>64</v>
      </c>
      <c r="P478" t="s">
        <v>2822</v>
      </c>
      <c r="Q478" t="s">
        <v>77</v>
      </c>
      <c r="R478" t="s">
        <v>2823</v>
      </c>
      <c r="S478">
        <v>0.38</v>
      </c>
      <c r="T478">
        <v>3776</v>
      </c>
      <c r="U478">
        <v>0</v>
      </c>
      <c r="V478">
        <v>3776</v>
      </c>
    </row>
    <row r="479" spans="1:22" x14ac:dyDescent="0.3">
      <c r="A479">
        <v>79452</v>
      </c>
      <c r="B479">
        <v>137554379</v>
      </c>
      <c r="C479" t="s">
        <v>2824</v>
      </c>
      <c r="D479" t="s">
        <v>2825</v>
      </c>
      <c r="E479" t="s">
        <v>513</v>
      </c>
      <c r="F479" t="s">
        <v>514</v>
      </c>
      <c r="G479" t="s">
        <v>69</v>
      </c>
      <c r="H479" t="s">
        <v>70</v>
      </c>
      <c r="I479" t="s">
        <v>34</v>
      </c>
      <c r="J479" t="s">
        <v>139</v>
      </c>
      <c r="K479" t="s">
        <v>41</v>
      </c>
      <c r="L479" t="s">
        <v>71</v>
      </c>
      <c r="M479" t="s">
        <v>294</v>
      </c>
      <c r="N479" t="s">
        <v>516</v>
      </c>
      <c r="O479" t="s">
        <v>64</v>
      </c>
      <c r="P479" t="s">
        <v>2826</v>
      </c>
      <c r="Q479" t="s">
        <v>77</v>
      </c>
      <c r="R479" t="s">
        <v>366</v>
      </c>
      <c r="S479">
        <v>0.34</v>
      </c>
      <c r="T479">
        <v>3776</v>
      </c>
      <c r="U479">
        <v>0</v>
      </c>
      <c r="V479">
        <v>3776</v>
      </c>
    </row>
    <row r="480" spans="1:22" x14ac:dyDescent="0.3">
      <c r="A480">
        <v>79452</v>
      </c>
      <c r="B480">
        <v>137554340</v>
      </c>
      <c r="C480" t="s">
        <v>2827</v>
      </c>
      <c r="D480" t="s">
        <v>2828</v>
      </c>
      <c r="E480" t="s">
        <v>513</v>
      </c>
      <c r="F480" t="s">
        <v>514</v>
      </c>
      <c r="G480" t="s">
        <v>69</v>
      </c>
      <c r="H480" t="s">
        <v>70</v>
      </c>
      <c r="I480" t="s">
        <v>34</v>
      </c>
      <c r="J480" t="s">
        <v>139</v>
      </c>
      <c r="K480" t="s">
        <v>41</v>
      </c>
      <c r="L480" t="s">
        <v>71</v>
      </c>
      <c r="M480" t="s">
        <v>2829</v>
      </c>
      <c r="N480" t="s">
        <v>516</v>
      </c>
      <c r="O480" t="s">
        <v>64</v>
      </c>
      <c r="P480" t="s">
        <v>2830</v>
      </c>
      <c r="Q480" t="s">
        <v>77</v>
      </c>
      <c r="R480" t="s">
        <v>2394</v>
      </c>
      <c r="S480">
        <v>1.49</v>
      </c>
      <c r="T480">
        <v>3915</v>
      </c>
      <c r="U480">
        <v>0</v>
      </c>
      <c r="V480">
        <v>3915</v>
      </c>
    </row>
    <row r="481" spans="1:22" x14ac:dyDescent="0.3">
      <c r="A481">
        <v>79452</v>
      </c>
      <c r="B481">
        <v>137701457</v>
      </c>
      <c r="C481" t="s">
        <v>2831</v>
      </c>
      <c r="D481" t="s">
        <v>2832</v>
      </c>
      <c r="E481" t="s">
        <v>513</v>
      </c>
      <c r="F481" t="s">
        <v>514</v>
      </c>
      <c r="G481" t="s">
        <v>43</v>
      </c>
      <c r="H481" t="s">
        <v>44</v>
      </c>
      <c r="I481" t="s">
        <v>34</v>
      </c>
      <c r="J481" t="s">
        <v>45</v>
      </c>
      <c r="K481" t="s">
        <v>41</v>
      </c>
      <c r="L481" t="s">
        <v>506</v>
      </c>
      <c r="M481" t="s">
        <v>2833</v>
      </c>
      <c r="N481" t="s">
        <v>516</v>
      </c>
      <c r="O481" t="s">
        <v>64</v>
      </c>
      <c r="P481" t="s">
        <v>2834</v>
      </c>
      <c r="Q481" t="s">
        <v>118</v>
      </c>
      <c r="R481" t="s">
        <v>2353</v>
      </c>
      <c r="S481">
        <v>1.1100000000000001</v>
      </c>
      <c r="T481">
        <v>4067</v>
      </c>
      <c r="U481">
        <v>0</v>
      </c>
      <c r="V481">
        <v>4067</v>
      </c>
    </row>
    <row r="482" spans="1:22" x14ac:dyDescent="0.3">
      <c r="A482">
        <v>79452</v>
      </c>
      <c r="B482">
        <v>137554323</v>
      </c>
      <c r="C482" t="s">
        <v>2835</v>
      </c>
      <c r="D482" t="s">
        <v>2836</v>
      </c>
      <c r="E482" t="s">
        <v>513</v>
      </c>
      <c r="F482" t="s">
        <v>514</v>
      </c>
      <c r="G482" t="s">
        <v>69</v>
      </c>
      <c r="H482" t="s">
        <v>70</v>
      </c>
      <c r="I482" t="s">
        <v>34</v>
      </c>
      <c r="J482" t="s">
        <v>139</v>
      </c>
      <c r="K482" t="s">
        <v>41</v>
      </c>
      <c r="L482" t="s">
        <v>71</v>
      </c>
      <c r="M482" t="s">
        <v>2837</v>
      </c>
      <c r="N482" t="s">
        <v>516</v>
      </c>
      <c r="O482" t="s">
        <v>64</v>
      </c>
      <c r="P482" t="s">
        <v>2838</v>
      </c>
      <c r="Q482" t="s">
        <v>113</v>
      </c>
      <c r="R482" t="s">
        <v>2394</v>
      </c>
      <c r="S482">
        <v>0.31</v>
      </c>
      <c r="T482">
        <v>5964</v>
      </c>
      <c r="U482">
        <v>0</v>
      </c>
      <c r="V482">
        <v>5964</v>
      </c>
    </row>
    <row r="483" spans="1:22" x14ac:dyDescent="0.3">
      <c r="A483">
        <v>79452</v>
      </c>
      <c r="B483">
        <v>137701439</v>
      </c>
      <c r="C483" t="s">
        <v>2839</v>
      </c>
      <c r="D483" t="s">
        <v>2840</v>
      </c>
      <c r="E483" t="s">
        <v>513</v>
      </c>
      <c r="F483" t="s">
        <v>514</v>
      </c>
      <c r="G483" t="s">
        <v>43</v>
      </c>
      <c r="H483" t="s">
        <v>44</v>
      </c>
      <c r="I483" t="s">
        <v>34</v>
      </c>
      <c r="J483" t="s">
        <v>45</v>
      </c>
      <c r="K483" t="s">
        <v>41</v>
      </c>
      <c r="L483" t="s">
        <v>2841</v>
      </c>
      <c r="M483" t="s">
        <v>2842</v>
      </c>
      <c r="N483" t="s">
        <v>516</v>
      </c>
      <c r="O483" t="s">
        <v>64</v>
      </c>
      <c r="P483" t="s">
        <v>2843</v>
      </c>
      <c r="Q483" t="s">
        <v>144</v>
      </c>
      <c r="R483" t="s">
        <v>2353</v>
      </c>
      <c r="S483">
        <v>0.81</v>
      </c>
      <c r="T483">
        <v>3753</v>
      </c>
      <c r="U483">
        <v>0</v>
      </c>
      <c r="V483">
        <v>3753</v>
      </c>
    </row>
    <row r="484" spans="1:22" x14ac:dyDescent="0.3">
      <c r="A484">
        <v>79452</v>
      </c>
      <c r="B484">
        <v>137701489</v>
      </c>
      <c r="C484" t="s">
        <v>2844</v>
      </c>
      <c r="D484" t="s">
        <v>2845</v>
      </c>
      <c r="E484" t="s">
        <v>513</v>
      </c>
      <c r="F484" t="s">
        <v>514</v>
      </c>
      <c r="G484" t="s">
        <v>43</v>
      </c>
      <c r="H484" t="s">
        <v>44</v>
      </c>
      <c r="I484" t="s">
        <v>34</v>
      </c>
      <c r="J484" t="s">
        <v>45</v>
      </c>
      <c r="K484" t="s">
        <v>41</v>
      </c>
      <c r="L484" t="s">
        <v>2846</v>
      </c>
      <c r="M484" t="s">
        <v>2847</v>
      </c>
      <c r="N484" t="s">
        <v>516</v>
      </c>
      <c r="O484" t="s">
        <v>64</v>
      </c>
      <c r="P484" t="s">
        <v>2848</v>
      </c>
      <c r="Q484" t="s">
        <v>90</v>
      </c>
      <c r="R484" t="s">
        <v>382</v>
      </c>
      <c r="S484">
        <v>1.87</v>
      </c>
      <c r="T484">
        <v>3753</v>
      </c>
      <c r="U484">
        <v>0</v>
      </c>
      <c r="V484">
        <v>3753</v>
      </c>
    </row>
    <row r="485" spans="1:22" x14ac:dyDescent="0.3">
      <c r="A485">
        <v>79452</v>
      </c>
      <c r="B485">
        <v>137701431</v>
      </c>
      <c r="C485" t="s">
        <v>2849</v>
      </c>
      <c r="D485" t="s">
        <v>2850</v>
      </c>
      <c r="E485" t="s">
        <v>513</v>
      </c>
      <c r="F485" t="s">
        <v>514</v>
      </c>
      <c r="G485" t="s">
        <v>43</v>
      </c>
      <c r="H485" t="s">
        <v>44</v>
      </c>
      <c r="I485" t="s">
        <v>34</v>
      </c>
      <c r="J485" t="s">
        <v>45</v>
      </c>
      <c r="K485" t="s">
        <v>41</v>
      </c>
      <c r="L485" t="s">
        <v>2851</v>
      </c>
      <c r="M485" t="s">
        <v>2852</v>
      </c>
      <c r="N485" t="s">
        <v>516</v>
      </c>
      <c r="O485" t="s">
        <v>64</v>
      </c>
      <c r="P485" t="s">
        <v>2853</v>
      </c>
      <c r="Q485" t="s">
        <v>125</v>
      </c>
      <c r="R485" t="s">
        <v>2353</v>
      </c>
      <c r="S485">
        <v>1.1299999999999999</v>
      </c>
      <c r="T485">
        <v>4067</v>
      </c>
      <c r="U485">
        <v>0</v>
      </c>
      <c r="V485">
        <v>4067</v>
      </c>
    </row>
    <row r="486" spans="1:22" x14ac:dyDescent="0.3">
      <c r="A486">
        <v>79452</v>
      </c>
      <c r="B486">
        <v>137497876</v>
      </c>
      <c r="C486" t="s">
        <v>2854</v>
      </c>
      <c r="D486" t="s">
        <v>2855</v>
      </c>
      <c r="E486" t="s">
        <v>513</v>
      </c>
      <c r="F486" t="s">
        <v>514</v>
      </c>
      <c r="G486" t="s">
        <v>43</v>
      </c>
      <c r="H486" t="s">
        <v>44</v>
      </c>
      <c r="I486" t="s">
        <v>34</v>
      </c>
      <c r="J486" t="s">
        <v>45</v>
      </c>
      <c r="K486" t="s">
        <v>41</v>
      </c>
      <c r="L486" t="s">
        <v>2856</v>
      </c>
      <c r="M486" t="s">
        <v>2857</v>
      </c>
      <c r="N486" t="s">
        <v>516</v>
      </c>
      <c r="O486" t="s">
        <v>64</v>
      </c>
      <c r="P486" t="s">
        <v>2858</v>
      </c>
      <c r="Q486" t="s">
        <v>92</v>
      </c>
      <c r="R486" t="s">
        <v>2859</v>
      </c>
      <c r="S486">
        <v>1</v>
      </c>
      <c r="T486">
        <v>5759</v>
      </c>
      <c r="U486">
        <v>0</v>
      </c>
      <c r="V486">
        <v>5759</v>
      </c>
    </row>
    <row r="487" spans="1:22" x14ac:dyDescent="0.3">
      <c r="A487">
        <v>79452</v>
      </c>
      <c r="B487">
        <v>137084223</v>
      </c>
      <c r="C487" t="s">
        <v>2860</v>
      </c>
      <c r="D487" t="s">
        <v>2861</v>
      </c>
      <c r="E487" t="s">
        <v>513</v>
      </c>
      <c r="F487" t="s">
        <v>514</v>
      </c>
      <c r="G487" t="s">
        <v>43</v>
      </c>
      <c r="H487" t="s">
        <v>44</v>
      </c>
      <c r="I487" t="s">
        <v>34</v>
      </c>
      <c r="J487" t="s">
        <v>45</v>
      </c>
      <c r="K487" t="s">
        <v>41</v>
      </c>
      <c r="L487" t="s">
        <v>2862</v>
      </c>
      <c r="M487" t="s">
        <v>2863</v>
      </c>
      <c r="N487" t="s">
        <v>516</v>
      </c>
      <c r="O487" t="s">
        <v>64</v>
      </c>
      <c r="P487" t="s">
        <v>2864</v>
      </c>
      <c r="Q487" t="s">
        <v>166</v>
      </c>
      <c r="R487" t="s">
        <v>2865</v>
      </c>
      <c r="S487">
        <v>0.84</v>
      </c>
      <c r="T487">
        <v>5759</v>
      </c>
      <c r="U487">
        <v>0</v>
      </c>
      <c r="V487">
        <v>5759</v>
      </c>
    </row>
    <row r="488" spans="1:22" x14ac:dyDescent="0.3">
      <c r="A488">
        <v>79452</v>
      </c>
      <c r="B488">
        <v>137592386</v>
      </c>
      <c r="C488" t="s">
        <v>2866</v>
      </c>
      <c r="D488" t="s">
        <v>2867</v>
      </c>
      <c r="E488" t="s">
        <v>513</v>
      </c>
      <c r="F488" t="s">
        <v>514</v>
      </c>
      <c r="G488" t="s">
        <v>43</v>
      </c>
      <c r="H488" t="s">
        <v>44</v>
      </c>
      <c r="I488" t="s">
        <v>34</v>
      </c>
      <c r="J488" t="s">
        <v>45</v>
      </c>
      <c r="K488" t="s">
        <v>41</v>
      </c>
      <c r="L488" t="s">
        <v>2868</v>
      </c>
      <c r="M488" t="s">
        <v>2869</v>
      </c>
      <c r="N488" t="s">
        <v>516</v>
      </c>
      <c r="O488" t="s">
        <v>64</v>
      </c>
      <c r="P488" t="s">
        <v>2870</v>
      </c>
      <c r="Q488" t="s">
        <v>184</v>
      </c>
      <c r="R488" t="s">
        <v>433</v>
      </c>
      <c r="S488">
        <v>1.0900000000000001</v>
      </c>
      <c r="T488">
        <v>3501</v>
      </c>
      <c r="U488">
        <v>0</v>
      </c>
      <c r="V488">
        <v>3501</v>
      </c>
    </row>
    <row r="489" spans="1:22" x14ac:dyDescent="0.3">
      <c r="A489">
        <v>79452</v>
      </c>
      <c r="B489">
        <v>137616553</v>
      </c>
      <c r="C489" t="s">
        <v>2871</v>
      </c>
      <c r="D489" t="s">
        <v>2872</v>
      </c>
      <c r="E489" t="s">
        <v>513</v>
      </c>
      <c r="F489" t="s">
        <v>514</v>
      </c>
      <c r="G489" t="s">
        <v>43</v>
      </c>
      <c r="H489" t="s">
        <v>44</v>
      </c>
      <c r="I489" t="s">
        <v>34</v>
      </c>
      <c r="J489" t="s">
        <v>45</v>
      </c>
      <c r="K489" t="s">
        <v>41</v>
      </c>
      <c r="L489" t="s">
        <v>2873</v>
      </c>
      <c r="M489" t="s">
        <v>2874</v>
      </c>
      <c r="N489" t="s">
        <v>516</v>
      </c>
      <c r="O489" t="s">
        <v>64</v>
      </c>
      <c r="P489" t="s">
        <v>2875</v>
      </c>
      <c r="Q489" t="s">
        <v>118</v>
      </c>
      <c r="R489" t="s">
        <v>1613</v>
      </c>
      <c r="S489">
        <v>0.81</v>
      </c>
      <c r="T489">
        <v>4067</v>
      </c>
      <c r="U489">
        <v>0</v>
      </c>
      <c r="V489">
        <v>4067</v>
      </c>
    </row>
    <row r="490" spans="1:22" x14ac:dyDescent="0.3">
      <c r="A490">
        <v>79452</v>
      </c>
      <c r="B490">
        <v>137658973</v>
      </c>
      <c r="C490" t="s">
        <v>2876</v>
      </c>
      <c r="D490" t="s">
        <v>2877</v>
      </c>
      <c r="E490" t="s">
        <v>513</v>
      </c>
      <c r="F490" t="s">
        <v>514</v>
      </c>
      <c r="G490" t="s">
        <v>43</v>
      </c>
      <c r="H490" t="s">
        <v>44</v>
      </c>
      <c r="I490" t="s">
        <v>34</v>
      </c>
      <c r="J490" t="s">
        <v>45</v>
      </c>
      <c r="K490" t="s">
        <v>41</v>
      </c>
      <c r="L490" t="s">
        <v>2878</v>
      </c>
      <c r="M490" t="s">
        <v>2879</v>
      </c>
      <c r="N490" t="s">
        <v>516</v>
      </c>
      <c r="O490" t="s">
        <v>64</v>
      </c>
      <c r="P490" t="s">
        <v>2880</v>
      </c>
      <c r="Q490" t="s">
        <v>62</v>
      </c>
      <c r="R490" t="s">
        <v>2516</v>
      </c>
      <c r="S490">
        <v>2</v>
      </c>
      <c r="T490">
        <v>3784</v>
      </c>
      <c r="U490">
        <v>0</v>
      </c>
      <c r="V490">
        <v>3784</v>
      </c>
    </row>
    <row r="491" spans="1:22" x14ac:dyDescent="0.3">
      <c r="A491">
        <v>79452</v>
      </c>
      <c r="B491">
        <v>137701462</v>
      </c>
      <c r="C491" t="s">
        <v>2881</v>
      </c>
      <c r="D491" t="s">
        <v>2882</v>
      </c>
      <c r="E491" t="s">
        <v>513</v>
      </c>
      <c r="F491" t="s">
        <v>514</v>
      </c>
      <c r="G491" t="s">
        <v>43</v>
      </c>
      <c r="H491" t="s">
        <v>44</v>
      </c>
      <c r="I491" t="s">
        <v>34</v>
      </c>
      <c r="J491" t="s">
        <v>45</v>
      </c>
      <c r="K491" t="s">
        <v>41</v>
      </c>
      <c r="L491" t="s">
        <v>2883</v>
      </c>
      <c r="M491" t="s">
        <v>2216</v>
      </c>
      <c r="N491" t="s">
        <v>516</v>
      </c>
      <c r="O491" t="s">
        <v>64</v>
      </c>
      <c r="P491" t="s">
        <v>2217</v>
      </c>
      <c r="Q491" t="s">
        <v>42</v>
      </c>
      <c r="R491" t="s">
        <v>2353</v>
      </c>
      <c r="S491">
        <v>1.55</v>
      </c>
      <c r="T491">
        <v>3784</v>
      </c>
      <c r="U491">
        <v>0</v>
      </c>
      <c r="V491">
        <v>3784</v>
      </c>
    </row>
    <row r="492" spans="1:22" x14ac:dyDescent="0.3">
      <c r="A492">
        <v>79452</v>
      </c>
      <c r="B492">
        <v>137616519</v>
      </c>
      <c r="C492" t="s">
        <v>2884</v>
      </c>
      <c r="D492" t="s">
        <v>2885</v>
      </c>
      <c r="E492" t="s">
        <v>513</v>
      </c>
      <c r="F492" t="s">
        <v>514</v>
      </c>
      <c r="G492" t="s">
        <v>43</v>
      </c>
      <c r="H492" t="s">
        <v>44</v>
      </c>
      <c r="I492" t="s">
        <v>34</v>
      </c>
      <c r="J492" t="s">
        <v>45</v>
      </c>
      <c r="K492" t="s">
        <v>41</v>
      </c>
      <c r="L492" t="s">
        <v>2886</v>
      </c>
      <c r="M492" t="s">
        <v>2887</v>
      </c>
      <c r="N492" t="s">
        <v>516</v>
      </c>
      <c r="O492" t="s">
        <v>64</v>
      </c>
      <c r="P492" t="s">
        <v>2888</v>
      </c>
      <c r="Q492" t="s">
        <v>50</v>
      </c>
      <c r="R492" t="s">
        <v>1613</v>
      </c>
      <c r="S492">
        <v>0.84</v>
      </c>
      <c r="T492">
        <v>5198</v>
      </c>
      <c r="U492">
        <v>0</v>
      </c>
      <c r="V492">
        <v>5198</v>
      </c>
    </row>
    <row r="493" spans="1:22" x14ac:dyDescent="0.3">
      <c r="A493">
        <v>79452</v>
      </c>
      <c r="B493">
        <v>137467506</v>
      </c>
      <c r="C493" t="s">
        <v>2889</v>
      </c>
      <c r="D493" t="s">
        <v>2890</v>
      </c>
      <c r="E493" t="s">
        <v>513</v>
      </c>
      <c r="F493" t="s">
        <v>514</v>
      </c>
      <c r="G493" t="s">
        <v>43</v>
      </c>
      <c r="H493" t="s">
        <v>44</v>
      </c>
      <c r="I493" t="s">
        <v>34</v>
      </c>
      <c r="J493" t="s">
        <v>45</v>
      </c>
      <c r="K493" t="s">
        <v>41</v>
      </c>
      <c r="L493" t="s">
        <v>2891</v>
      </c>
      <c r="M493" t="s">
        <v>2892</v>
      </c>
      <c r="N493" t="s">
        <v>516</v>
      </c>
      <c r="O493" t="s">
        <v>64</v>
      </c>
      <c r="P493" t="s">
        <v>2893</v>
      </c>
      <c r="Q493" t="s">
        <v>50</v>
      </c>
      <c r="R493" t="s">
        <v>2808</v>
      </c>
      <c r="S493">
        <v>1</v>
      </c>
      <c r="T493">
        <v>5198</v>
      </c>
      <c r="U493">
        <v>0</v>
      </c>
      <c r="V493">
        <v>5198</v>
      </c>
    </row>
    <row r="494" spans="1:22" x14ac:dyDescent="0.3">
      <c r="A494">
        <v>79452</v>
      </c>
      <c r="B494">
        <v>137633599</v>
      </c>
      <c r="C494" t="s">
        <v>2894</v>
      </c>
      <c r="D494" t="s">
        <v>2895</v>
      </c>
      <c r="E494" t="s">
        <v>513</v>
      </c>
      <c r="F494" t="s">
        <v>514</v>
      </c>
      <c r="G494" t="s">
        <v>43</v>
      </c>
      <c r="H494" t="s">
        <v>44</v>
      </c>
      <c r="I494" t="s">
        <v>34</v>
      </c>
      <c r="J494" t="s">
        <v>45</v>
      </c>
      <c r="K494" t="s">
        <v>41</v>
      </c>
      <c r="L494" t="s">
        <v>2896</v>
      </c>
      <c r="M494" t="s">
        <v>2897</v>
      </c>
      <c r="N494" t="s">
        <v>516</v>
      </c>
      <c r="O494" t="s">
        <v>64</v>
      </c>
      <c r="P494" t="s">
        <v>2898</v>
      </c>
      <c r="Q494" t="s">
        <v>52</v>
      </c>
      <c r="R494" t="s">
        <v>1901</v>
      </c>
      <c r="S494">
        <v>0.72</v>
      </c>
      <c r="T494">
        <v>4067</v>
      </c>
      <c r="U494">
        <v>0</v>
      </c>
      <c r="V494">
        <v>4067</v>
      </c>
    </row>
    <row r="495" spans="1:22" x14ac:dyDescent="0.3">
      <c r="A495">
        <v>79452</v>
      </c>
      <c r="B495">
        <v>137554384</v>
      </c>
      <c r="C495" t="s">
        <v>2899</v>
      </c>
      <c r="D495" t="s">
        <v>2900</v>
      </c>
      <c r="E495" t="s">
        <v>513</v>
      </c>
      <c r="F495" t="s">
        <v>514</v>
      </c>
      <c r="G495" t="s">
        <v>43</v>
      </c>
      <c r="H495" t="s">
        <v>44</v>
      </c>
      <c r="I495" t="s">
        <v>34</v>
      </c>
      <c r="J495" t="s">
        <v>45</v>
      </c>
      <c r="K495" t="s">
        <v>41</v>
      </c>
      <c r="L495" t="s">
        <v>2901</v>
      </c>
      <c r="M495" t="s">
        <v>2509</v>
      </c>
      <c r="N495" t="s">
        <v>516</v>
      </c>
      <c r="O495" t="s">
        <v>64</v>
      </c>
      <c r="P495" t="s">
        <v>2510</v>
      </c>
      <c r="Q495" t="s">
        <v>60</v>
      </c>
      <c r="R495" t="s">
        <v>366</v>
      </c>
      <c r="S495">
        <v>1.31</v>
      </c>
      <c r="T495">
        <v>4346</v>
      </c>
      <c r="U495">
        <v>0</v>
      </c>
      <c r="V495">
        <v>4346</v>
      </c>
    </row>
    <row r="496" spans="1:22" x14ac:dyDescent="0.3">
      <c r="A496">
        <v>79452</v>
      </c>
      <c r="B496">
        <v>137467515</v>
      </c>
      <c r="C496" t="s">
        <v>2902</v>
      </c>
      <c r="D496" t="s">
        <v>2903</v>
      </c>
      <c r="E496" t="s">
        <v>513</v>
      </c>
      <c r="F496" t="s">
        <v>514</v>
      </c>
      <c r="G496" t="s">
        <v>43</v>
      </c>
      <c r="H496" t="s">
        <v>44</v>
      </c>
      <c r="I496" t="s">
        <v>34</v>
      </c>
      <c r="J496" t="s">
        <v>45</v>
      </c>
      <c r="K496" t="s">
        <v>41</v>
      </c>
      <c r="L496" t="s">
        <v>2904</v>
      </c>
      <c r="M496" t="s">
        <v>2905</v>
      </c>
      <c r="N496" t="s">
        <v>516</v>
      </c>
      <c r="O496" t="s">
        <v>64</v>
      </c>
      <c r="P496" t="s">
        <v>2906</v>
      </c>
      <c r="Q496" t="s">
        <v>82</v>
      </c>
      <c r="R496" t="s">
        <v>2808</v>
      </c>
      <c r="S496">
        <v>1</v>
      </c>
      <c r="T496">
        <v>5759</v>
      </c>
      <c r="U496">
        <v>0</v>
      </c>
      <c r="V496">
        <v>5759</v>
      </c>
    </row>
    <row r="497" spans="1:22" x14ac:dyDescent="0.3">
      <c r="A497">
        <v>79452</v>
      </c>
      <c r="B497">
        <v>137467510</v>
      </c>
      <c r="C497" t="s">
        <v>2907</v>
      </c>
      <c r="D497" t="s">
        <v>2908</v>
      </c>
      <c r="E497" t="s">
        <v>513</v>
      </c>
      <c r="F497" t="s">
        <v>514</v>
      </c>
      <c r="G497" t="s">
        <v>43</v>
      </c>
      <c r="H497" t="s">
        <v>44</v>
      </c>
      <c r="I497" t="s">
        <v>34</v>
      </c>
      <c r="J497" t="s">
        <v>45</v>
      </c>
      <c r="K497" t="s">
        <v>41</v>
      </c>
      <c r="L497" t="s">
        <v>2909</v>
      </c>
      <c r="M497" t="s">
        <v>2910</v>
      </c>
      <c r="N497" t="s">
        <v>516</v>
      </c>
      <c r="O497" t="s">
        <v>64</v>
      </c>
      <c r="P497" t="s">
        <v>2911</v>
      </c>
      <c r="Q497" t="s">
        <v>62</v>
      </c>
      <c r="R497" t="s">
        <v>2808</v>
      </c>
      <c r="S497">
        <v>1</v>
      </c>
      <c r="T497">
        <v>3784</v>
      </c>
      <c r="U497">
        <v>0</v>
      </c>
      <c r="V497">
        <v>3784</v>
      </c>
    </row>
    <row r="498" spans="1:22" x14ac:dyDescent="0.3">
      <c r="A498">
        <v>79452</v>
      </c>
      <c r="B498">
        <v>137576090</v>
      </c>
      <c r="C498" t="s">
        <v>2912</v>
      </c>
      <c r="D498" t="s">
        <v>2913</v>
      </c>
      <c r="E498" t="s">
        <v>513</v>
      </c>
      <c r="F498" t="s">
        <v>514</v>
      </c>
      <c r="G498" t="s">
        <v>43</v>
      </c>
      <c r="H498" t="s">
        <v>44</v>
      </c>
      <c r="I498" t="s">
        <v>34</v>
      </c>
      <c r="J498" t="s">
        <v>45</v>
      </c>
      <c r="K498" t="s">
        <v>41</v>
      </c>
      <c r="L498" t="s">
        <v>2914</v>
      </c>
      <c r="M498" t="s">
        <v>2915</v>
      </c>
      <c r="N498" t="s">
        <v>516</v>
      </c>
      <c r="O498" t="s">
        <v>64</v>
      </c>
      <c r="P498" t="s">
        <v>2916</v>
      </c>
      <c r="Q498" t="s">
        <v>118</v>
      </c>
      <c r="R498" t="s">
        <v>1835</v>
      </c>
      <c r="S498">
        <v>0.94</v>
      </c>
      <c r="T498">
        <v>4067</v>
      </c>
      <c r="U498">
        <v>0</v>
      </c>
      <c r="V498">
        <v>4067</v>
      </c>
    </row>
    <row r="499" spans="1:22" x14ac:dyDescent="0.3">
      <c r="A499">
        <v>79452</v>
      </c>
      <c r="B499">
        <v>137467517</v>
      </c>
      <c r="C499" t="s">
        <v>2917</v>
      </c>
      <c r="D499" t="s">
        <v>2918</v>
      </c>
      <c r="E499" t="s">
        <v>513</v>
      </c>
      <c r="F499" t="s">
        <v>514</v>
      </c>
      <c r="G499" t="s">
        <v>43</v>
      </c>
      <c r="H499" t="s">
        <v>44</v>
      </c>
      <c r="I499" t="s">
        <v>34</v>
      </c>
      <c r="J499" t="s">
        <v>45</v>
      </c>
      <c r="K499" t="s">
        <v>41</v>
      </c>
      <c r="L499" t="s">
        <v>2919</v>
      </c>
      <c r="M499" t="s">
        <v>2920</v>
      </c>
      <c r="N499" t="s">
        <v>516</v>
      </c>
      <c r="O499" t="s">
        <v>64</v>
      </c>
      <c r="P499" t="s">
        <v>2921</v>
      </c>
      <c r="Q499" t="s">
        <v>168</v>
      </c>
      <c r="R499" t="s">
        <v>2808</v>
      </c>
      <c r="S499">
        <v>1</v>
      </c>
      <c r="T499">
        <v>4067</v>
      </c>
      <c r="U499">
        <v>0</v>
      </c>
      <c r="V499">
        <v>4067</v>
      </c>
    </row>
    <row r="500" spans="1:22" x14ac:dyDescent="0.3">
      <c r="A500">
        <v>79452</v>
      </c>
      <c r="B500">
        <v>137497898</v>
      </c>
      <c r="C500" t="s">
        <v>2922</v>
      </c>
      <c r="D500" t="s">
        <v>2923</v>
      </c>
      <c r="E500" t="s">
        <v>513</v>
      </c>
      <c r="F500" t="s">
        <v>514</v>
      </c>
      <c r="G500" t="s">
        <v>43</v>
      </c>
      <c r="H500" t="s">
        <v>44</v>
      </c>
      <c r="I500" t="s">
        <v>34</v>
      </c>
      <c r="J500" t="s">
        <v>45</v>
      </c>
      <c r="K500" t="s">
        <v>41</v>
      </c>
      <c r="L500" t="s">
        <v>2924</v>
      </c>
      <c r="M500" t="s">
        <v>2925</v>
      </c>
      <c r="N500" t="s">
        <v>516</v>
      </c>
      <c r="O500" t="s">
        <v>64</v>
      </c>
      <c r="P500" t="s">
        <v>2926</v>
      </c>
      <c r="Q500" t="s">
        <v>98</v>
      </c>
      <c r="R500" t="s">
        <v>470</v>
      </c>
      <c r="S500">
        <v>1</v>
      </c>
      <c r="T500">
        <v>5759</v>
      </c>
      <c r="U500">
        <v>0</v>
      </c>
      <c r="V500">
        <v>5759</v>
      </c>
    </row>
    <row r="501" spans="1:22" x14ac:dyDescent="0.3">
      <c r="A501">
        <v>79452</v>
      </c>
      <c r="B501">
        <v>137467417</v>
      </c>
      <c r="C501" t="s">
        <v>2927</v>
      </c>
      <c r="D501" t="s">
        <v>2928</v>
      </c>
      <c r="E501" t="s">
        <v>513</v>
      </c>
      <c r="F501" t="s">
        <v>514</v>
      </c>
      <c r="G501" t="s">
        <v>43</v>
      </c>
      <c r="H501" t="s">
        <v>44</v>
      </c>
      <c r="I501" t="s">
        <v>34</v>
      </c>
      <c r="J501" t="s">
        <v>45</v>
      </c>
      <c r="K501" t="s">
        <v>41</v>
      </c>
      <c r="L501" t="s">
        <v>2929</v>
      </c>
      <c r="M501" t="s">
        <v>494</v>
      </c>
      <c r="N501" t="s">
        <v>516</v>
      </c>
      <c r="O501" t="s">
        <v>64</v>
      </c>
      <c r="P501" t="s">
        <v>495</v>
      </c>
      <c r="Q501" t="s">
        <v>50</v>
      </c>
      <c r="R501" t="s">
        <v>2930</v>
      </c>
      <c r="S501">
        <v>1</v>
      </c>
      <c r="T501">
        <v>5198</v>
      </c>
      <c r="U501">
        <v>0</v>
      </c>
      <c r="V501">
        <v>5198</v>
      </c>
    </row>
    <row r="502" spans="1:22" x14ac:dyDescent="0.3">
      <c r="A502">
        <v>79452</v>
      </c>
      <c r="B502">
        <v>137554426</v>
      </c>
      <c r="C502" t="s">
        <v>2931</v>
      </c>
      <c r="D502" t="s">
        <v>2932</v>
      </c>
      <c r="E502" t="s">
        <v>513</v>
      </c>
      <c r="F502" t="s">
        <v>514</v>
      </c>
      <c r="G502" t="s">
        <v>43</v>
      </c>
      <c r="H502" t="s">
        <v>44</v>
      </c>
      <c r="I502" t="s">
        <v>34</v>
      </c>
      <c r="J502" t="s">
        <v>45</v>
      </c>
      <c r="K502" t="s">
        <v>41</v>
      </c>
      <c r="L502" t="s">
        <v>2933</v>
      </c>
      <c r="M502" t="s">
        <v>2934</v>
      </c>
      <c r="N502" t="s">
        <v>516</v>
      </c>
      <c r="O502" t="s">
        <v>64</v>
      </c>
      <c r="P502" t="s">
        <v>2935</v>
      </c>
      <c r="Q502" t="s">
        <v>82</v>
      </c>
      <c r="R502" t="s">
        <v>366</v>
      </c>
      <c r="S502">
        <v>0.82</v>
      </c>
      <c r="T502">
        <v>5759</v>
      </c>
      <c r="U502">
        <v>0</v>
      </c>
      <c r="V502">
        <v>5759</v>
      </c>
    </row>
    <row r="503" spans="1:22" x14ac:dyDescent="0.3">
      <c r="A503">
        <v>79452</v>
      </c>
      <c r="B503">
        <v>137592410</v>
      </c>
      <c r="C503" t="s">
        <v>2936</v>
      </c>
      <c r="D503" t="s">
        <v>2937</v>
      </c>
      <c r="E503" t="s">
        <v>513</v>
      </c>
      <c r="F503" t="s">
        <v>514</v>
      </c>
      <c r="G503" t="s">
        <v>43</v>
      </c>
      <c r="H503" t="s">
        <v>44</v>
      </c>
      <c r="I503" t="s">
        <v>34</v>
      </c>
      <c r="J503" t="s">
        <v>45</v>
      </c>
      <c r="K503" t="s">
        <v>41</v>
      </c>
      <c r="L503" t="s">
        <v>2938</v>
      </c>
      <c r="M503" t="s">
        <v>2939</v>
      </c>
      <c r="N503" t="s">
        <v>516</v>
      </c>
      <c r="O503" t="s">
        <v>64</v>
      </c>
      <c r="P503" t="s">
        <v>2940</v>
      </c>
      <c r="Q503" t="s">
        <v>50</v>
      </c>
      <c r="R503" t="s">
        <v>433</v>
      </c>
      <c r="S503">
        <v>1.81</v>
      </c>
      <c r="T503">
        <v>5198</v>
      </c>
      <c r="U503">
        <v>0</v>
      </c>
      <c r="V503">
        <v>5198</v>
      </c>
    </row>
    <row r="504" spans="1:22" x14ac:dyDescent="0.3">
      <c r="A504">
        <v>79452</v>
      </c>
      <c r="B504">
        <v>137616500</v>
      </c>
      <c r="C504" t="s">
        <v>2941</v>
      </c>
      <c r="D504" t="s">
        <v>2942</v>
      </c>
      <c r="E504" t="s">
        <v>513</v>
      </c>
      <c r="F504" t="s">
        <v>514</v>
      </c>
      <c r="G504" t="s">
        <v>43</v>
      </c>
      <c r="H504" t="s">
        <v>44</v>
      </c>
      <c r="I504" t="s">
        <v>34</v>
      </c>
      <c r="J504" t="s">
        <v>45</v>
      </c>
      <c r="K504" t="s">
        <v>41</v>
      </c>
      <c r="L504" t="s">
        <v>2943</v>
      </c>
      <c r="M504" t="s">
        <v>586</v>
      </c>
      <c r="N504" t="s">
        <v>516</v>
      </c>
      <c r="O504" t="s">
        <v>64</v>
      </c>
      <c r="P504" t="s">
        <v>587</v>
      </c>
      <c r="Q504" t="s">
        <v>111</v>
      </c>
      <c r="R504" t="s">
        <v>1613</v>
      </c>
      <c r="S504">
        <v>1.05</v>
      </c>
      <c r="T504">
        <v>5476</v>
      </c>
      <c r="U504">
        <v>0</v>
      </c>
      <c r="V504">
        <v>5476</v>
      </c>
    </row>
    <row r="505" spans="1:22" x14ac:dyDescent="0.3">
      <c r="A505">
        <v>79452</v>
      </c>
      <c r="B505">
        <v>137633648</v>
      </c>
      <c r="C505" t="s">
        <v>2944</v>
      </c>
      <c r="D505" t="s">
        <v>2945</v>
      </c>
      <c r="E505" t="s">
        <v>513</v>
      </c>
      <c r="F505" t="s">
        <v>514</v>
      </c>
      <c r="G505" t="s">
        <v>43</v>
      </c>
      <c r="H505" t="s">
        <v>44</v>
      </c>
      <c r="I505" t="s">
        <v>34</v>
      </c>
      <c r="J505" t="s">
        <v>45</v>
      </c>
      <c r="K505" t="s">
        <v>41</v>
      </c>
      <c r="L505" t="s">
        <v>2946</v>
      </c>
      <c r="M505" t="s">
        <v>2947</v>
      </c>
      <c r="N505" t="s">
        <v>516</v>
      </c>
      <c r="O505" t="s">
        <v>64</v>
      </c>
      <c r="P505" t="s">
        <v>2948</v>
      </c>
      <c r="Q505" t="s">
        <v>50</v>
      </c>
      <c r="R505" t="s">
        <v>2613</v>
      </c>
      <c r="S505">
        <v>1.45</v>
      </c>
      <c r="T505">
        <v>5198</v>
      </c>
      <c r="U505">
        <v>0</v>
      </c>
      <c r="V505">
        <v>5198</v>
      </c>
    </row>
    <row r="506" spans="1:22" x14ac:dyDescent="0.3">
      <c r="A506">
        <v>79452</v>
      </c>
      <c r="B506">
        <v>137633601</v>
      </c>
      <c r="C506" t="s">
        <v>2949</v>
      </c>
      <c r="D506" t="s">
        <v>2950</v>
      </c>
      <c r="E506" t="s">
        <v>513</v>
      </c>
      <c r="F506" t="s">
        <v>514</v>
      </c>
      <c r="G506" t="s">
        <v>43</v>
      </c>
      <c r="H506" t="s">
        <v>44</v>
      </c>
      <c r="I506" t="s">
        <v>34</v>
      </c>
      <c r="J506" t="s">
        <v>45</v>
      </c>
      <c r="K506" t="s">
        <v>41</v>
      </c>
      <c r="L506" t="s">
        <v>2951</v>
      </c>
      <c r="M506" t="s">
        <v>2952</v>
      </c>
      <c r="N506" t="s">
        <v>516</v>
      </c>
      <c r="O506" t="s">
        <v>64</v>
      </c>
      <c r="P506" t="s">
        <v>2953</v>
      </c>
      <c r="Q506" t="s">
        <v>66</v>
      </c>
      <c r="R506" t="s">
        <v>1901</v>
      </c>
      <c r="S506">
        <v>1.26</v>
      </c>
      <c r="T506">
        <v>3784</v>
      </c>
      <c r="U506">
        <v>0</v>
      </c>
      <c r="V506">
        <v>3784</v>
      </c>
    </row>
    <row r="507" spans="1:22" x14ac:dyDescent="0.3">
      <c r="A507">
        <v>79452</v>
      </c>
      <c r="B507">
        <v>137467548</v>
      </c>
      <c r="C507" t="s">
        <v>2954</v>
      </c>
      <c r="D507" t="s">
        <v>2955</v>
      </c>
      <c r="E507" t="s">
        <v>513</v>
      </c>
      <c r="F507" t="s">
        <v>514</v>
      </c>
      <c r="G507" t="s">
        <v>43</v>
      </c>
      <c r="H507" t="s">
        <v>44</v>
      </c>
      <c r="I507" t="s">
        <v>34</v>
      </c>
      <c r="J507" t="s">
        <v>45</v>
      </c>
      <c r="K507" t="s">
        <v>41</v>
      </c>
      <c r="L507" t="s">
        <v>2956</v>
      </c>
      <c r="M507" t="s">
        <v>2957</v>
      </c>
      <c r="N507" t="s">
        <v>516</v>
      </c>
      <c r="O507" t="s">
        <v>64</v>
      </c>
      <c r="P507" t="s">
        <v>2958</v>
      </c>
      <c r="Q507" t="s">
        <v>118</v>
      </c>
      <c r="R507" t="s">
        <v>2561</v>
      </c>
      <c r="S507">
        <v>1.52</v>
      </c>
      <c r="T507">
        <v>4067</v>
      </c>
      <c r="U507">
        <v>0</v>
      </c>
      <c r="V507">
        <v>4067</v>
      </c>
    </row>
    <row r="508" spans="1:22" x14ac:dyDescent="0.3">
      <c r="A508">
        <v>79452</v>
      </c>
      <c r="B508">
        <v>137358411</v>
      </c>
      <c r="C508" t="s">
        <v>2959</v>
      </c>
      <c r="D508" t="s">
        <v>2960</v>
      </c>
      <c r="E508" t="s">
        <v>513</v>
      </c>
      <c r="F508" t="s">
        <v>514</v>
      </c>
      <c r="G508" t="s">
        <v>43</v>
      </c>
      <c r="H508" t="s">
        <v>44</v>
      </c>
      <c r="I508" t="s">
        <v>34</v>
      </c>
      <c r="J508" t="s">
        <v>45</v>
      </c>
      <c r="K508" t="s">
        <v>41</v>
      </c>
      <c r="L508" t="s">
        <v>2961</v>
      </c>
      <c r="M508" t="s">
        <v>2962</v>
      </c>
      <c r="N508" t="s">
        <v>516</v>
      </c>
      <c r="O508" t="s">
        <v>64</v>
      </c>
      <c r="P508" t="s">
        <v>2963</v>
      </c>
      <c r="Q508" t="s">
        <v>50</v>
      </c>
      <c r="R508" t="s">
        <v>2749</v>
      </c>
      <c r="S508">
        <v>1</v>
      </c>
      <c r="T508">
        <v>5198</v>
      </c>
      <c r="U508">
        <v>0</v>
      </c>
      <c r="V508">
        <v>5198</v>
      </c>
    </row>
    <row r="509" spans="1:22" x14ac:dyDescent="0.3">
      <c r="A509">
        <v>79452</v>
      </c>
      <c r="B509">
        <v>137579227</v>
      </c>
      <c r="C509" t="s">
        <v>2964</v>
      </c>
      <c r="D509" t="s">
        <v>2965</v>
      </c>
      <c r="E509" t="s">
        <v>513</v>
      </c>
      <c r="F509" t="s">
        <v>514</v>
      </c>
      <c r="G509" t="s">
        <v>43</v>
      </c>
      <c r="H509" t="s">
        <v>44</v>
      </c>
      <c r="I509" t="s">
        <v>34</v>
      </c>
      <c r="J509" t="s">
        <v>45</v>
      </c>
      <c r="K509" t="s">
        <v>41</v>
      </c>
      <c r="L509" t="s">
        <v>2966</v>
      </c>
      <c r="M509" t="s">
        <v>2967</v>
      </c>
      <c r="N509" t="s">
        <v>516</v>
      </c>
      <c r="O509" t="s">
        <v>64</v>
      </c>
      <c r="P509" t="s">
        <v>2968</v>
      </c>
      <c r="Q509" t="s">
        <v>222</v>
      </c>
      <c r="R509" t="s">
        <v>2362</v>
      </c>
      <c r="S509">
        <v>1.0900000000000001</v>
      </c>
      <c r="T509">
        <v>4067</v>
      </c>
      <c r="U509">
        <v>0</v>
      </c>
      <c r="V509">
        <v>4067</v>
      </c>
    </row>
    <row r="510" spans="1:22" x14ac:dyDescent="0.3">
      <c r="A510">
        <v>79452</v>
      </c>
      <c r="B510">
        <v>137576049</v>
      </c>
      <c r="C510" t="s">
        <v>2969</v>
      </c>
      <c r="D510" t="s">
        <v>2970</v>
      </c>
      <c r="E510" t="s">
        <v>513</v>
      </c>
      <c r="F510" t="s">
        <v>514</v>
      </c>
      <c r="G510" t="s">
        <v>43</v>
      </c>
      <c r="H510" t="s">
        <v>44</v>
      </c>
      <c r="I510" t="s">
        <v>34</v>
      </c>
      <c r="J510" t="s">
        <v>45</v>
      </c>
      <c r="K510" t="s">
        <v>41</v>
      </c>
      <c r="L510" t="s">
        <v>2971</v>
      </c>
      <c r="M510" t="s">
        <v>576</v>
      </c>
      <c r="N510" t="s">
        <v>516</v>
      </c>
      <c r="O510" t="s">
        <v>64</v>
      </c>
      <c r="P510" t="s">
        <v>577</v>
      </c>
      <c r="Q510" t="s">
        <v>82</v>
      </c>
      <c r="R510" t="s">
        <v>1835</v>
      </c>
      <c r="S510">
        <v>1</v>
      </c>
      <c r="T510">
        <v>5759</v>
      </c>
      <c r="U510">
        <v>0</v>
      </c>
      <c r="V510">
        <v>5759</v>
      </c>
    </row>
    <row r="511" spans="1:22" x14ac:dyDescent="0.3">
      <c r="A511">
        <v>79452</v>
      </c>
      <c r="B511">
        <v>137512725</v>
      </c>
      <c r="C511" t="s">
        <v>2972</v>
      </c>
      <c r="D511" t="s">
        <v>2973</v>
      </c>
      <c r="E511" t="s">
        <v>513</v>
      </c>
      <c r="F511" t="s">
        <v>514</v>
      </c>
      <c r="G511" t="s">
        <v>43</v>
      </c>
      <c r="H511" t="s">
        <v>44</v>
      </c>
      <c r="I511" t="s">
        <v>34</v>
      </c>
      <c r="J511" t="s">
        <v>45</v>
      </c>
      <c r="K511" t="s">
        <v>41</v>
      </c>
      <c r="L511" t="s">
        <v>2974</v>
      </c>
      <c r="M511" t="s">
        <v>2975</v>
      </c>
      <c r="N511" t="s">
        <v>516</v>
      </c>
      <c r="O511" t="s">
        <v>64</v>
      </c>
      <c r="P511" t="s">
        <v>2976</v>
      </c>
      <c r="Q511" t="s">
        <v>193</v>
      </c>
      <c r="R511" t="s">
        <v>2977</v>
      </c>
      <c r="S511">
        <v>1.22</v>
      </c>
      <c r="T511">
        <v>3784</v>
      </c>
      <c r="U511">
        <v>0</v>
      </c>
      <c r="V511">
        <v>3784</v>
      </c>
    </row>
    <row r="512" spans="1:22" x14ac:dyDescent="0.3">
      <c r="A512">
        <v>79452</v>
      </c>
      <c r="B512">
        <v>137467557</v>
      </c>
      <c r="C512" t="s">
        <v>2978</v>
      </c>
      <c r="D512" t="s">
        <v>2979</v>
      </c>
      <c r="E512" t="s">
        <v>513</v>
      </c>
      <c r="F512" t="s">
        <v>514</v>
      </c>
      <c r="G512" t="s">
        <v>43</v>
      </c>
      <c r="H512" t="s">
        <v>44</v>
      </c>
      <c r="I512" t="s">
        <v>34</v>
      </c>
      <c r="J512" t="s">
        <v>45</v>
      </c>
      <c r="K512" t="s">
        <v>41</v>
      </c>
      <c r="L512" t="s">
        <v>2980</v>
      </c>
      <c r="M512" t="s">
        <v>2981</v>
      </c>
      <c r="N512" t="s">
        <v>516</v>
      </c>
      <c r="O512" t="s">
        <v>64</v>
      </c>
      <c r="P512" t="s">
        <v>2982</v>
      </c>
      <c r="Q512" t="s">
        <v>133</v>
      </c>
      <c r="R512" t="s">
        <v>2561</v>
      </c>
      <c r="S512">
        <v>1.29</v>
      </c>
      <c r="T512">
        <v>5759</v>
      </c>
      <c r="U512">
        <v>0</v>
      </c>
      <c r="V512">
        <v>5759</v>
      </c>
    </row>
    <row r="513" spans="1:22" x14ac:dyDescent="0.3">
      <c r="A513">
        <v>79452</v>
      </c>
      <c r="B513">
        <v>137467472</v>
      </c>
      <c r="C513" t="s">
        <v>2983</v>
      </c>
      <c r="D513" t="s">
        <v>2984</v>
      </c>
      <c r="E513" t="s">
        <v>513</v>
      </c>
      <c r="F513" t="s">
        <v>514</v>
      </c>
      <c r="G513" t="s">
        <v>43</v>
      </c>
      <c r="H513" t="s">
        <v>44</v>
      </c>
      <c r="I513" t="s">
        <v>34</v>
      </c>
      <c r="J513" t="s">
        <v>45</v>
      </c>
      <c r="K513" t="s">
        <v>41</v>
      </c>
      <c r="L513" t="s">
        <v>2985</v>
      </c>
      <c r="M513" t="s">
        <v>2986</v>
      </c>
      <c r="N513" t="s">
        <v>516</v>
      </c>
      <c r="O513" t="s">
        <v>64</v>
      </c>
      <c r="P513" t="s">
        <v>2987</v>
      </c>
      <c r="Q513" t="s">
        <v>175</v>
      </c>
      <c r="R513" t="s">
        <v>2808</v>
      </c>
      <c r="S513">
        <v>0.99</v>
      </c>
      <c r="T513">
        <v>4067</v>
      </c>
      <c r="U513">
        <v>0</v>
      </c>
      <c r="V513">
        <v>4067</v>
      </c>
    </row>
    <row r="514" spans="1:22" x14ac:dyDescent="0.3">
      <c r="A514">
        <v>79452</v>
      </c>
      <c r="B514">
        <v>137592380</v>
      </c>
      <c r="C514" t="s">
        <v>2988</v>
      </c>
      <c r="D514" t="s">
        <v>2989</v>
      </c>
      <c r="E514" t="s">
        <v>513</v>
      </c>
      <c r="F514" t="s">
        <v>514</v>
      </c>
      <c r="G514" t="s">
        <v>43</v>
      </c>
      <c r="H514" t="s">
        <v>44</v>
      </c>
      <c r="I514" t="s">
        <v>34</v>
      </c>
      <c r="J514" t="s">
        <v>45</v>
      </c>
      <c r="K514" t="s">
        <v>41</v>
      </c>
      <c r="L514" t="s">
        <v>2990</v>
      </c>
      <c r="M514" t="s">
        <v>2991</v>
      </c>
      <c r="N514" t="s">
        <v>516</v>
      </c>
      <c r="O514" t="s">
        <v>64</v>
      </c>
      <c r="P514" t="s">
        <v>2992</v>
      </c>
      <c r="Q514" t="s">
        <v>197</v>
      </c>
      <c r="R514" t="s">
        <v>433</v>
      </c>
      <c r="S514">
        <v>0.99</v>
      </c>
      <c r="T514">
        <v>4346</v>
      </c>
      <c r="U514">
        <v>0</v>
      </c>
      <c r="V514">
        <v>4346</v>
      </c>
    </row>
    <row r="515" spans="1:22" x14ac:dyDescent="0.3">
      <c r="A515">
        <v>79452</v>
      </c>
      <c r="B515">
        <v>137633623</v>
      </c>
      <c r="C515" t="s">
        <v>2993</v>
      </c>
      <c r="D515" t="s">
        <v>2994</v>
      </c>
      <c r="E515" t="s">
        <v>513</v>
      </c>
      <c r="F515" t="s">
        <v>514</v>
      </c>
      <c r="G515" t="s">
        <v>43</v>
      </c>
      <c r="H515" t="s">
        <v>44</v>
      </c>
      <c r="I515" t="s">
        <v>34</v>
      </c>
      <c r="J515" t="s">
        <v>45</v>
      </c>
      <c r="K515" t="s">
        <v>41</v>
      </c>
      <c r="L515" t="s">
        <v>2995</v>
      </c>
      <c r="M515" t="s">
        <v>2996</v>
      </c>
      <c r="N515" t="s">
        <v>516</v>
      </c>
      <c r="O515" t="s">
        <v>64</v>
      </c>
      <c r="P515" t="s">
        <v>2997</v>
      </c>
      <c r="Q515" t="s">
        <v>52</v>
      </c>
      <c r="R515" t="s">
        <v>1901</v>
      </c>
      <c r="S515">
        <v>1.17</v>
      </c>
      <c r="T515">
        <v>4067</v>
      </c>
      <c r="U515">
        <v>0</v>
      </c>
      <c r="V515">
        <v>4067</v>
      </c>
    </row>
    <row r="516" spans="1:22" x14ac:dyDescent="0.3">
      <c r="A516">
        <v>79452</v>
      </c>
      <c r="B516">
        <v>137592385</v>
      </c>
      <c r="C516" t="s">
        <v>2998</v>
      </c>
      <c r="D516" t="s">
        <v>2999</v>
      </c>
      <c r="E516" t="s">
        <v>513</v>
      </c>
      <c r="F516" t="s">
        <v>514</v>
      </c>
      <c r="G516" t="s">
        <v>43</v>
      </c>
      <c r="H516" t="s">
        <v>44</v>
      </c>
      <c r="I516" t="s">
        <v>34</v>
      </c>
      <c r="J516" t="s">
        <v>45</v>
      </c>
      <c r="K516" t="s">
        <v>41</v>
      </c>
      <c r="L516" t="s">
        <v>3000</v>
      </c>
      <c r="M516" t="s">
        <v>3001</v>
      </c>
      <c r="N516" t="s">
        <v>516</v>
      </c>
      <c r="O516" t="s">
        <v>64</v>
      </c>
      <c r="P516" t="s">
        <v>3002</v>
      </c>
      <c r="Q516" t="s">
        <v>62</v>
      </c>
      <c r="R516" t="s">
        <v>433</v>
      </c>
      <c r="S516">
        <v>1.41</v>
      </c>
      <c r="T516">
        <v>3784</v>
      </c>
      <c r="U516">
        <v>0</v>
      </c>
      <c r="V516">
        <v>3784</v>
      </c>
    </row>
    <row r="517" spans="1:22" x14ac:dyDescent="0.3">
      <c r="A517">
        <v>79452</v>
      </c>
      <c r="B517">
        <v>137576091</v>
      </c>
      <c r="C517" t="s">
        <v>3003</v>
      </c>
      <c r="D517" t="s">
        <v>3004</v>
      </c>
      <c r="E517" t="s">
        <v>513</v>
      </c>
      <c r="F517" t="s">
        <v>514</v>
      </c>
      <c r="G517" t="s">
        <v>43</v>
      </c>
      <c r="H517" t="s">
        <v>44</v>
      </c>
      <c r="I517" t="s">
        <v>34</v>
      </c>
      <c r="J517" t="s">
        <v>45</v>
      </c>
      <c r="K517" t="s">
        <v>41</v>
      </c>
      <c r="L517" t="s">
        <v>3005</v>
      </c>
      <c r="M517" t="s">
        <v>3006</v>
      </c>
      <c r="N517" t="s">
        <v>516</v>
      </c>
      <c r="O517" t="s">
        <v>64</v>
      </c>
      <c r="P517" t="s">
        <v>3007</v>
      </c>
      <c r="Q517" t="s">
        <v>114</v>
      </c>
      <c r="R517" t="s">
        <v>1835</v>
      </c>
      <c r="S517">
        <v>1.23</v>
      </c>
      <c r="T517">
        <v>5476</v>
      </c>
      <c r="U517">
        <v>0</v>
      </c>
      <c r="V517">
        <v>5476</v>
      </c>
    </row>
    <row r="518" spans="1:22" x14ac:dyDescent="0.3">
      <c r="A518">
        <v>79452</v>
      </c>
      <c r="B518">
        <v>137576078</v>
      </c>
      <c r="C518" t="s">
        <v>3008</v>
      </c>
      <c r="D518" t="s">
        <v>3009</v>
      </c>
      <c r="E518" t="s">
        <v>513</v>
      </c>
      <c r="F518" t="s">
        <v>514</v>
      </c>
      <c r="G518" t="s">
        <v>43</v>
      </c>
      <c r="H518" t="s">
        <v>44</v>
      </c>
      <c r="I518" t="s">
        <v>34</v>
      </c>
      <c r="J518" t="s">
        <v>45</v>
      </c>
      <c r="K518" t="s">
        <v>41</v>
      </c>
      <c r="L518" t="s">
        <v>3010</v>
      </c>
      <c r="M518" t="s">
        <v>3011</v>
      </c>
      <c r="N518" t="s">
        <v>516</v>
      </c>
      <c r="O518" t="s">
        <v>64</v>
      </c>
      <c r="P518" t="s">
        <v>3012</v>
      </c>
      <c r="Q518" t="s">
        <v>90</v>
      </c>
      <c r="R518" t="s">
        <v>1835</v>
      </c>
      <c r="S518">
        <v>1.39</v>
      </c>
      <c r="T518">
        <v>3753</v>
      </c>
      <c r="U518">
        <v>0</v>
      </c>
      <c r="V518">
        <v>3753</v>
      </c>
    </row>
    <row r="519" spans="1:22" x14ac:dyDescent="0.3">
      <c r="A519">
        <v>79452</v>
      </c>
      <c r="B519">
        <v>137633637</v>
      </c>
      <c r="C519" t="s">
        <v>3013</v>
      </c>
      <c r="D519" t="s">
        <v>3014</v>
      </c>
      <c r="E519" t="s">
        <v>513</v>
      </c>
      <c r="F519" t="s">
        <v>514</v>
      </c>
      <c r="G519" t="s">
        <v>43</v>
      </c>
      <c r="H519" t="s">
        <v>44</v>
      </c>
      <c r="I519" t="s">
        <v>34</v>
      </c>
      <c r="J519" t="s">
        <v>45</v>
      </c>
      <c r="K519" t="s">
        <v>41</v>
      </c>
      <c r="L519" t="s">
        <v>3015</v>
      </c>
      <c r="M519" t="s">
        <v>3016</v>
      </c>
      <c r="N519" t="s">
        <v>516</v>
      </c>
      <c r="O519" t="s">
        <v>64</v>
      </c>
      <c r="P519" t="s">
        <v>3017</v>
      </c>
      <c r="Q519" t="s">
        <v>73</v>
      </c>
      <c r="R519" t="s">
        <v>2613</v>
      </c>
      <c r="S519">
        <v>1.54</v>
      </c>
      <c r="T519">
        <v>3753</v>
      </c>
      <c r="U519">
        <v>0</v>
      </c>
      <c r="V519">
        <v>3753</v>
      </c>
    </row>
    <row r="520" spans="1:22" x14ac:dyDescent="0.3">
      <c r="A520">
        <v>79452</v>
      </c>
      <c r="B520">
        <v>137592387</v>
      </c>
      <c r="C520" t="s">
        <v>3018</v>
      </c>
      <c r="D520" t="s">
        <v>3019</v>
      </c>
      <c r="E520" t="s">
        <v>513</v>
      </c>
      <c r="F520" t="s">
        <v>514</v>
      </c>
      <c r="G520" t="s">
        <v>43</v>
      </c>
      <c r="H520" t="s">
        <v>44</v>
      </c>
      <c r="I520" t="s">
        <v>34</v>
      </c>
      <c r="J520" t="s">
        <v>45</v>
      </c>
      <c r="K520" t="s">
        <v>41</v>
      </c>
      <c r="L520" t="s">
        <v>3020</v>
      </c>
      <c r="M520" t="s">
        <v>3021</v>
      </c>
      <c r="N520" t="s">
        <v>516</v>
      </c>
      <c r="O520" t="s">
        <v>64</v>
      </c>
      <c r="P520" t="s">
        <v>3022</v>
      </c>
      <c r="Q520" t="s">
        <v>52</v>
      </c>
      <c r="R520" t="s">
        <v>433</v>
      </c>
      <c r="S520">
        <v>1</v>
      </c>
      <c r="T520">
        <v>4067</v>
      </c>
      <c r="U520">
        <v>0</v>
      </c>
      <c r="V520">
        <v>4067</v>
      </c>
    </row>
    <row r="521" spans="1:22" x14ac:dyDescent="0.3">
      <c r="A521">
        <v>79452</v>
      </c>
      <c r="B521">
        <v>137535479</v>
      </c>
      <c r="C521" t="s">
        <v>3023</v>
      </c>
      <c r="D521" t="s">
        <v>3024</v>
      </c>
      <c r="E521" t="s">
        <v>513</v>
      </c>
      <c r="F521" t="s">
        <v>514</v>
      </c>
      <c r="G521" t="s">
        <v>43</v>
      </c>
      <c r="H521" t="s">
        <v>44</v>
      </c>
      <c r="I521" t="s">
        <v>34</v>
      </c>
      <c r="J521" t="s">
        <v>45</v>
      </c>
      <c r="K521" t="s">
        <v>41</v>
      </c>
      <c r="L521" t="s">
        <v>3025</v>
      </c>
      <c r="M521" t="s">
        <v>3026</v>
      </c>
      <c r="N521" t="s">
        <v>516</v>
      </c>
      <c r="O521" t="s">
        <v>64</v>
      </c>
      <c r="P521" t="s">
        <v>3027</v>
      </c>
      <c r="Q521" t="s">
        <v>75</v>
      </c>
      <c r="R521" t="s">
        <v>3028</v>
      </c>
      <c r="S521">
        <v>0.81</v>
      </c>
      <c r="T521">
        <v>3753</v>
      </c>
      <c r="U521">
        <v>0</v>
      </c>
      <c r="V521">
        <v>3753</v>
      </c>
    </row>
    <row r="522" spans="1:22" x14ac:dyDescent="0.3">
      <c r="A522">
        <v>79452</v>
      </c>
      <c r="B522">
        <v>137576097</v>
      </c>
      <c r="C522" t="s">
        <v>3029</v>
      </c>
      <c r="D522" t="s">
        <v>3030</v>
      </c>
      <c r="E522" t="s">
        <v>513</v>
      </c>
      <c r="F522" t="s">
        <v>514</v>
      </c>
      <c r="G522" t="s">
        <v>43</v>
      </c>
      <c r="H522" t="s">
        <v>44</v>
      </c>
      <c r="I522" t="s">
        <v>34</v>
      </c>
      <c r="J522" t="s">
        <v>45</v>
      </c>
      <c r="K522" t="s">
        <v>41</v>
      </c>
      <c r="L522" t="s">
        <v>3031</v>
      </c>
      <c r="M522" t="s">
        <v>3032</v>
      </c>
      <c r="N522" t="s">
        <v>516</v>
      </c>
      <c r="O522" t="s">
        <v>64</v>
      </c>
      <c r="P522" t="s">
        <v>3033</v>
      </c>
      <c r="Q522" t="s">
        <v>66</v>
      </c>
      <c r="R522" t="s">
        <v>1835</v>
      </c>
      <c r="S522">
        <v>0.96</v>
      </c>
      <c r="T522">
        <v>3784</v>
      </c>
      <c r="U522">
        <v>0</v>
      </c>
      <c r="V522">
        <v>3784</v>
      </c>
    </row>
    <row r="523" spans="1:22" x14ac:dyDescent="0.3">
      <c r="A523">
        <v>79452</v>
      </c>
      <c r="B523">
        <v>136997219</v>
      </c>
      <c r="C523" t="s">
        <v>3034</v>
      </c>
      <c r="D523" t="s">
        <v>3035</v>
      </c>
      <c r="E523" t="s">
        <v>513</v>
      </c>
      <c r="F523" t="s">
        <v>514</v>
      </c>
      <c r="G523" t="s">
        <v>43</v>
      </c>
      <c r="H523" t="s">
        <v>44</v>
      </c>
      <c r="I523" t="s">
        <v>34</v>
      </c>
      <c r="J523" t="s">
        <v>45</v>
      </c>
      <c r="K523" t="s">
        <v>41</v>
      </c>
      <c r="L523" t="s">
        <v>3036</v>
      </c>
      <c r="M523" t="s">
        <v>3037</v>
      </c>
      <c r="N523" t="s">
        <v>516</v>
      </c>
      <c r="O523" t="s">
        <v>64</v>
      </c>
      <c r="P523" t="s">
        <v>3038</v>
      </c>
      <c r="Q523" t="s">
        <v>68</v>
      </c>
      <c r="R523" t="s">
        <v>3039</v>
      </c>
      <c r="S523">
        <v>0.57999999999999996</v>
      </c>
      <c r="T523">
        <v>5759</v>
      </c>
      <c r="U523">
        <v>0</v>
      </c>
      <c r="V523">
        <v>5759</v>
      </c>
    </row>
    <row r="524" spans="1:22" x14ac:dyDescent="0.3">
      <c r="A524">
        <v>79452</v>
      </c>
      <c r="B524">
        <v>137554423</v>
      </c>
      <c r="C524" t="s">
        <v>3040</v>
      </c>
      <c r="D524" t="s">
        <v>3041</v>
      </c>
      <c r="E524" t="s">
        <v>513</v>
      </c>
      <c r="F524" t="s">
        <v>514</v>
      </c>
      <c r="G524" t="s">
        <v>43</v>
      </c>
      <c r="H524" t="s">
        <v>44</v>
      </c>
      <c r="I524" t="s">
        <v>34</v>
      </c>
      <c r="J524" t="s">
        <v>45</v>
      </c>
      <c r="K524" t="s">
        <v>41</v>
      </c>
      <c r="L524" t="s">
        <v>3042</v>
      </c>
      <c r="M524" t="s">
        <v>3043</v>
      </c>
      <c r="N524" t="s">
        <v>516</v>
      </c>
      <c r="O524" t="s">
        <v>64</v>
      </c>
      <c r="P524" t="s">
        <v>3044</v>
      </c>
      <c r="Q524" t="s">
        <v>47</v>
      </c>
      <c r="R524" t="s">
        <v>366</v>
      </c>
      <c r="S524">
        <v>1.29</v>
      </c>
      <c r="T524">
        <v>4067</v>
      </c>
      <c r="U524">
        <v>0</v>
      </c>
      <c r="V524">
        <v>4067</v>
      </c>
    </row>
    <row r="525" spans="1:22" x14ac:dyDescent="0.3">
      <c r="A525">
        <v>79452</v>
      </c>
      <c r="B525">
        <v>137616507</v>
      </c>
      <c r="C525" t="s">
        <v>3045</v>
      </c>
      <c r="D525" t="s">
        <v>3046</v>
      </c>
      <c r="E525" t="s">
        <v>513</v>
      </c>
      <c r="F525" t="s">
        <v>514</v>
      </c>
      <c r="G525" t="s">
        <v>43</v>
      </c>
      <c r="H525" t="s">
        <v>44</v>
      </c>
      <c r="I525" t="s">
        <v>34</v>
      </c>
      <c r="J525" t="s">
        <v>45</v>
      </c>
      <c r="K525" t="s">
        <v>41</v>
      </c>
      <c r="L525" t="s">
        <v>3047</v>
      </c>
      <c r="M525" t="s">
        <v>3048</v>
      </c>
      <c r="N525" t="s">
        <v>516</v>
      </c>
      <c r="O525" t="s">
        <v>64</v>
      </c>
      <c r="P525" t="s">
        <v>3049</v>
      </c>
      <c r="Q525" t="s">
        <v>111</v>
      </c>
      <c r="R525" t="s">
        <v>1613</v>
      </c>
      <c r="S525">
        <v>1.58</v>
      </c>
      <c r="T525">
        <v>5476</v>
      </c>
      <c r="U525">
        <v>0</v>
      </c>
      <c r="V525">
        <v>5476</v>
      </c>
    </row>
    <row r="526" spans="1:22" x14ac:dyDescent="0.3">
      <c r="A526">
        <v>79452</v>
      </c>
      <c r="B526">
        <v>137554359</v>
      </c>
      <c r="C526" t="s">
        <v>3050</v>
      </c>
      <c r="D526" t="s">
        <v>3051</v>
      </c>
      <c r="E526" t="s">
        <v>513</v>
      </c>
      <c r="F526" t="s">
        <v>514</v>
      </c>
      <c r="G526" t="s">
        <v>43</v>
      </c>
      <c r="H526" t="s">
        <v>44</v>
      </c>
      <c r="I526" t="s">
        <v>34</v>
      </c>
      <c r="J526" t="s">
        <v>45</v>
      </c>
      <c r="K526" t="s">
        <v>41</v>
      </c>
      <c r="L526" t="s">
        <v>3052</v>
      </c>
      <c r="M526" t="s">
        <v>3053</v>
      </c>
      <c r="N526" t="s">
        <v>516</v>
      </c>
      <c r="O526" t="s">
        <v>64</v>
      </c>
      <c r="P526" t="s">
        <v>3054</v>
      </c>
      <c r="Q526" t="s">
        <v>227</v>
      </c>
      <c r="R526" t="s">
        <v>2394</v>
      </c>
      <c r="S526">
        <v>1.1000000000000001</v>
      </c>
      <c r="T526">
        <v>4730</v>
      </c>
      <c r="U526">
        <v>0</v>
      </c>
      <c r="V526">
        <v>4730</v>
      </c>
    </row>
    <row r="527" spans="1:22" x14ac:dyDescent="0.3">
      <c r="A527">
        <v>79452</v>
      </c>
      <c r="B527">
        <v>137497943</v>
      </c>
      <c r="C527" t="s">
        <v>3055</v>
      </c>
      <c r="D527" t="s">
        <v>3056</v>
      </c>
      <c r="E527" t="s">
        <v>513</v>
      </c>
      <c r="F527" t="s">
        <v>514</v>
      </c>
      <c r="G527" t="s">
        <v>43</v>
      </c>
      <c r="H527" t="s">
        <v>44</v>
      </c>
      <c r="I527" t="s">
        <v>34</v>
      </c>
      <c r="J527" t="s">
        <v>45</v>
      </c>
      <c r="K527" t="s">
        <v>41</v>
      </c>
      <c r="L527" t="s">
        <v>3057</v>
      </c>
      <c r="M527" t="s">
        <v>3058</v>
      </c>
      <c r="N527" t="s">
        <v>516</v>
      </c>
      <c r="O527" t="s">
        <v>64</v>
      </c>
      <c r="P527" t="s">
        <v>3059</v>
      </c>
      <c r="Q527" t="s">
        <v>50</v>
      </c>
      <c r="R527" t="s">
        <v>470</v>
      </c>
      <c r="S527">
        <v>1.86</v>
      </c>
      <c r="T527">
        <v>5198</v>
      </c>
      <c r="U527">
        <v>0</v>
      </c>
      <c r="V527">
        <v>5198</v>
      </c>
    </row>
    <row r="528" spans="1:22" x14ac:dyDescent="0.3">
      <c r="A528">
        <v>79452</v>
      </c>
      <c r="B528">
        <v>137467346</v>
      </c>
      <c r="C528" t="s">
        <v>3060</v>
      </c>
      <c r="D528" t="s">
        <v>3061</v>
      </c>
      <c r="E528" t="s">
        <v>513</v>
      </c>
      <c r="F528" t="s">
        <v>514</v>
      </c>
      <c r="G528" t="s">
        <v>43</v>
      </c>
      <c r="H528" t="s">
        <v>44</v>
      </c>
      <c r="I528" t="s">
        <v>34</v>
      </c>
      <c r="J528" t="s">
        <v>45</v>
      </c>
      <c r="K528" t="s">
        <v>135</v>
      </c>
      <c r="L528" t="s">
        <v>261</v>
      </c>
      <c r="M528" t="s">
        <v>3062</v>
      </c>
      <c r="N528" t="s">
        <v>516</v>
      </c>
      <c r="O528" t="s">
        <v>64</v>
      </c>
      <c r="P528" t="s">
        <v>3063</v>
      </c>
      <c r="Q528" t="s">
        <v>50</v>
      </c>
      <c r="R528" t="s">
        <v>2930</v>
      </c>
      <c r="S528">
        <v>0.9</v>
      </c>
      <c r="T528">
        <v>5198</v>
      </c>
      <c r="U528">
        <v>0</v>
      </c>
      <c r="V528">
        <v>5198</v>
      </c>
    </row>
    <row r="529" spans="1:22" x14ac:dyDescent="0.3">
      <c r="A529">
        <v>79452</v>
      </c>
      <c r="B529">
        <v>137616491</v>
      </c>
      <c r="C529" t="s">
        <v>3064</v>
      </c>
      <c r="D529" t="s">
        <v>3065</v>
      </c>
      <c r="E529" t="s">
        <v>513</v>
      </c>
      <c r="F529" t="s">
        <v>514</v>
      </c>
      <c r="G529" t="s">
        <v>43</v>
      </c>
      <c r="H529" t="s">
        <v>44</v>
      </c>
      <c r="I529" t="s">
        <v>34</v>
      </c>
      <c r="J529" t="s">
        <v>45</v>
      </c>
      <c r="K529" t="s">
        <v>41</v>
      </c>
      <c r="L529" t="s">
        <v>3066</v>
      </c>
      <c r="M529" t="s">
        <v>3067</v>
      </c>
      <c r="N529" t="s">
        <v>516</v>
      </c>
      <c r="O529" t="s">
        <v>64</v>
      </c>
      <c r="P529" t="s">
        <v>3068</v>
      </c>
      <c r="Q529" t="s">
        <v>67</v>
      </c>
      <c r="R529" t="s">
        <v>1613</v>
      </c>
      <c r="S529">
        <v>1</v>
      </c>
      <c r="T529">
        <v>3784</v>
      </c>
      <c r="U529">
        <v>0</v>
      </c>
      <c r="V529">
        <v>3784</v>
      </c>
    </row>
    <row r="530" spans="1:22" x14ac:dyDescent="0.3">
      <c r="A530">
        <v>79452</v>
      </c>
      <c r="B530">
        <v>137467467</v>
      </c>
      <c r="C530" t="s">
        <v>3069</v>
      </c>
      <c r="D530" t="s">
        <v>3070</v>
      </c>
      <c r="E530" t="s">
        <v>513</v>
      </c>
      <c r="F530" t="s">
        <v>514</v>
      </c>
      <c r="G530" t="s">
        <v>43</v>
      </c>
      <c r="H530" t="s">
        <v>44</v>
      </c>
      <c r="I530" t="s">
        <v>34</v>
      </c>
      <c r="J530" t="s">
        <v>45</v>
      </c>
      <c r="K530" t="s">
        <v>41</v>
      </c>
      <c r="L530" t="s">
        <v>3071</v>
      </c>
      <c r="M530" t="s">
        <v>3072</v>
      </c>
      <c r="N530" t="s">
        <v>516</v>
      </c>
      <c r="O530" t="s">
        <v>64</v>
      </c>
      <c r="P530" t="s">
        <v>3073</v>
      </c>
      <c r="Q530" t="s">
        <v>67</v>
      </c>
      <c r="R530" t="s">
        <v>2808</v>
      </c>
      <c r="S530">
        <v>0.83</v>
      </c>
      <c r="T530">
        <v>3784</v>
      </c>
      <c r="U530">
        <v>0</v>
      </c>
      <c r="V530">
        <v>3784</v>
      </c>
    </row>
    <row r="531" spans="1:22" x14ac:dyDescent="0.3">
      <c r="A531">
        <v>79452</v>
      </c>
      <c r="B531">
        <v>137467437</v>
      </c>
      <c r="C531" t="s">
        <v>3074</v>
      </c>
      <c r="D531" t="s">
        <v>3075</v>
      </c>
      <c r="E531" t="s">
        <v>513</v>
      </c>
      <c r="F531" t="s">
        <v>514</v>
      </c>
      <c r="G531" t="s">
        <v>43</v>
      </c>
      <c r="H531" t="s">
        <v>44</v>
      </c>
      <c r="I531" t="s">
        <v>34</v>
      </c>
      <c r="J531" t="s">
        <v>45</v>
      </c>
      <c r="K531" t="s">
        <v>41</v>
      </c>
      <c r="L531" t="s">
        <v>3076</v>
      </c>
      <c r="M531" t="s">
        <v>3077</v>
      </c>
      <c r="N531" t="s">
        <v>516</v>
      </c>
      <c r="O531" t="s">
        <v>64</v>
      </c>
      <c r="P531" t="s">
        <v>3078</v>
      </c>
      <c r="Q531" t="s">
        <v>111</v>
      </c>
      <c r="R531" t="s">
        <v>2808</v>
      </c>
      <c r="S531">
        <v>0.83</v>
      </c>
      <c r="T531">
        <v>5476</v>
      </c>
      <c r="U531">
        <v>0</v>
      </c>
      <c r="V531">
        <v>5476</v>
      </c>
    </row>
    <row r="532" spans="1:22" x14ac:dyDescent="0.3">
      <c r="A532">
        <v>79452</v>
      </c>
      <c r="B532">
        <v>137408483</v>
      </c>
      <c r="C532" t="s">
        <v>3079</v>
      </c>
      <c r="D532" t="s">
        <v>3080</v>
      </c>
      <c r="E532" t="s">
        <v>513</v>
      </c>
      <c r="F532" t="s">
        <v>514</v>
      </c>
      <c r="G532" t="s">
        <v>43</v>
      </c>
      <c r="H532" t="s">
        <v>44</v>
      </c>
      <c r="I532" t="s">
        <v>34</v>
      </c>
      <c r="J532" t="s">
        <v>45</v>
      </c>
      <c r="K532" t="s">
        <v>41</v>
      </c>
      <c r="L532" t="s">
        <v>3081</v>
      </c>
      <c r="M532" t="s">
        <v>3082</v>
      </c>
      <c r="N532" t="s">
        <v>516</v>
      </c>
      <c r="O532" t="s">
        <v>64</v>
      </c>
      <c r="P532" t="s">
        <v>3083</v>
      </c>
      <c r="Q532" t="s">
        <v>111</v>
      </c>
      <c r="R532" t="s">
        <v>1881</v>
      </c>
      <c r="S532">
        <v>0.81</v>
      </c>
      <c r="T532">
        <v>5476</v>
      </c>
      <c r="U532">
        <v>0</v>
      </c>
      <c r="V532">
        <v>5476</v>
      </c>
    </row>
    <row r="533" spans="1:22" x14ac:dyDescent="0.3">
      <c r="A533">
        <v>79452</v>
      </c>
      <c r="B533">
        <v>137408550</v>
      </c>
      <c r="C533" t="s">
        <v>3084</v>
      </c>
      <c r="D533" t="s">
        <v>3085</v>
      </c>
      <c r="E533" t="s">
        <v>513</v>
      </c>
      <c r="F533" t="s">
        <v>514</v>
      </c>
      <c r="G533" t="s">
        <v>43</v>
      </c>
      <c r="H533" t="s">
        <v>44</v>
      </c>
      <c r="I533" t="s">
        <v>34</v>
      </c>
      <c r="J533" t="s">
        <v>45</v>
      </c>
      <c r="K533" t="s">
        <v>41</v>
      </c>
      <c r="L533" t="s">
        <v>3086</v>
      </c>
      <c r="M533" t="s">
        <v>3087</v>
      </c>
      <c r="N533" t="s">
        <v>516</v>
      </c>
      <c r="O533" t="s">
        <v>64</v>
      </c>
      <c r="P533" t="s">
        <v>3088</v>
      </c>
      <c r="Q533" t="s">
        <v>50</v>
      </c>
      <c r="R533" t="s">
        <v>3089</v>
      </c>
      <c r="S533">
        <v>0.95</v>
      </c>
      <c r="T533">
        <v>5198</v>
      </c>
      <c r="U533">
        <v>0</v>
      </c>
      <c r="V533">
        <v>5198</v>
      </c>
    </row>
    <row r="534" spans="1:22" x14ac:dyDescent="0.3">
      <c r="A534">
        <v>79452</v>
      </c>
      <c r="B534">
        <v>137389647</v>
      </c>
      <c r="C534" t="s">
        <v>3090</v>
      </c>
      <c r="D534" t="s">
        <v>3091</v>
      </c>
      <c r="E534" t="s">
        <v>513</v>
      </c>
      <c r="F534" t="s">
        <v>514</v>
      </c>
      <c r="G534" t="s">
        <v>43</v>
      </c>
      <c r="H534" t="s">
        <v>44</v>
      </c>
      <c r="I534" t="s">
        <v>34</v>
      </c>
      <c r="J534" t="s">
        <v>45</v>
      </c>
      <c r="K534" t="s">
        <v>41</v>
      </c>
      <c r="L534" t="s">
        <v>3092</v>
      </c>
      <c r="M534" t="s">
        <v>439</v>
      </c>
      <c r="N534" t="s">
        <v>516</v>
      </c>
      <c r="O534" t="s">
        <v>64</v>
      </c>
      <c r="P534" t="s">
        <v>3093</v>
      </c>
      <c r="Q534" t="s">
        <v>50</v>
      </c>
      <c r="R534" t="s">
        <v>2779</v>
      </c>
      <c r="S534">
        <v>1</v>
      </c>
      <c r="T534">
        <v>5198</v>
      </c>
      <c r="U534">
        <v>0</v>
      </c>
      <c r="V534">
        <v>5198</v>
      </c>
    </row>
    <row r="535" spans="1:22" x14ac:dyDescent="0.3">
      <c r="A535">
        <v>79452</v>
      </c>
      <c r="B535">
        <v>137497928</v>
      </c>
      <c r="C535" t="s">
        <v>3094</v>
      </c>
      <c r="D535" t="s">
        <v>3095</v>
      </c>
      <c r="E535" t="s">
        <v>513</v>
      </c>
      <c r="F535" t="s">
        <v>514</v>
      </c>
      <c r="G535" t="s">
        <v>43</v>
      </c>
      <c r="H535" t="s">
        <v>44</v>
      </c>
      <c r="I535" t="s">
        <v>34</v>
      </c>
      <c r="J535" t="s">
        <v>45</v>
      </c>
      <c r="K535" t="s">
        <v>41</v>
      </c>
      <c r="L535" t="s">
        <v>3096</v>
      </c>
      <c r="M535" t="s">
        <v>3097</v>
      </c>
      <c r="N535" t="s">
        <v>516</v>
      </c>
      <c r="O535" t="s">
        <v>64</v>
      </c>
      <c r="P535" t="s">
        <v>3098</v>
      </c>
      <c r="Q535" t="s">
        <v>62</v>
      </c>
      <c r="R535" t="s">
        <v>470</v>
      </c>
      <c r="S535">
        <v>1</v>
      </c>
      <c r="T535">
        <v>3784</v>
      </c>
      <c r="U535">
        <v>0</v>
      </c>
      <c r="V535">
        <v>3784</v>
      </c>
    </row>
    <row r="536" spans="1:22" x14ac:dyDescent="0.3">
      <c r="A536">
        <v>79452</v>
      </c>
      <c r="B536">
        <v>137497924</v>
      </c>
      <c r="C536" t="s">
        <v>3099</v>
      </c>
      <c r="D536" t="s">
        <v>3100</v>
      </c>
      <c r="E536" t="s">
        <v>513</v>
      </c>
      <c r="F536" t="s">
        <v>514</v>
      </c>
      <c r="G536" t="s">
        <v>43</v>
      </c>
      <c r="H536" t="s">
        <v>44</v>
      </c>
      <c r="I536" t="s">
        <v>34</v>
      </c>
      <c r="J536" t="s">
        <v>45</v>
      </c>
      <c r="K536" t="s">
        <v>41</v>
      </c>
      <c r="L536" t="s">
        <v>3101</v>
      </c>
      <c r="M536" t="s">
        <v>3102</v>
      </c>
      <c r="N536" t="s">
        <v>516</v>
      </c>
      <c r="O536" t="s">
        <v>64</v>
      </c>
      <c r="P536" t="s">
        <v>3103</v>
      </c>
      <c r="Q536" t="s">
        <v>111</v>
      </c>
      <c r="R536" t="s">
        <v>470</v>
      </c>
      <c r="S536">
        <v>1.05</v>
      </c>
      <c r="T536">
        <v>5476</v>
      </c>
      <c r="U536">
        <v>0</v>
      </c>
      <c r="V536">
        <v>5476</v>
      </c>
    </row>
    <row r="537" spans="1:22" x14ac:dyDescent="0.3">
      <c r="A537">
        <v>79452</v>
      </c>
      <c r="B537">
        <v>137467398</v>
      </c>
      <c r="C537" t="s">
        <v>3104</v>
      </c>
      <c r="D537" t="s">
        <v>3105</v>
      </c>
      <c r="E537" t="s">
        <v>513</v>
      </c>
      <c r="F537" t="s">
        <v>514</v>
      </c>
      <c r="G537" t="s">
        <v>43</v>
      </c>
      <c r="H537" t="s">
        <v>44</v>
      </c>
      <c r="I537" t="s">
        <v>34</v>
      </c>
      <c r="J537" t="s">
        <v>45</v>
      </c>
      <c r="K537" t="s">
        <v>41</v>
      </c>
      <c r="L537" t="s">
        <v>3106</v>
      </c>
      <c r="M537" t="s">
        <v>3107</v>
      </c>
      <c r="N537" t="s">
        <v>516</v>
      </c>
      <c r="O537" t="s">
        <v>64</v>
      </c>
      <c r="P537" t="s">
        <v>3108</v>
      </c>
      <c r="Q537" t="s">
        <v>67</v>
      </c>
      <c r="R537" t="s">
        <v>2930</v>
      </c>
      <c r="S537">
        <v>1</v>
      </c>
      <c r="T537">
        <v>3784</v>
      </c>
      <c r="U537">
        <v>0</v>
      </c>
      <c r="V537">
        <v>3784</v>
      </c>
    </row>
    <row r="538" spans="1:22" x14ac:dyDescent="0.3">
      <c r="A538">
        <v>79452</v>
      </c>
      <c r="B538">
        <v>137467406</v>
      </c>
      <c r="C538" t="s">
        <v>3109</v>
      </c>
      <c r="D538" t="s">
        <v>3110</v>
      </c>
      <c r="E538" t="s">
        <v>513</v>
      </c>
      <c r="F538" t="s">
        <v>514</v>
      </c>
      <c r="G538" t="s">
        <v>43</v>
      </c>
      <c r="H538" t="s">
        <v>44</v>
      </c>
      <c r="I538" t="s">
        <v>34</v>
      </c>
      <c r="J538" t="s">
        <v>45</v>
      </c>
      <c r="K538" t="s">
        <v>41</v>
      </c>
      <c r="L538" t="s">
        <v>3111</v>
      </c>
      <c r="M538" t="s">
        <v>400</v>
      </c>
      <c r="N538" t="s">
        <v>516</v>
      </c>
      <c r="O538" t="s">
        <v>64</v>
      </c>
      <c r="P538" t="s">
        <v>3112</v>
      </c>
      <c r="Q538" t="s">
        <v>50</v>
      </c>
      <c r="R538" t="s">
        <v>2930</v>
      </c>
      <c r="S538">
        <v>1.24</v>
      </c>
      <c r="T538">
        <v>5198</v>
      </c>
      <c r="U538">
        <v>0</v>
      </c>
      <c r="V538">
        <v>5198</v>
      </c>
    </row>
    <row r="539" spans="1:22" x14ac:dyDescent="0.3">
      <c r="A539">
        <v>79452</v>
      </c>
      <c r="B539">
        <v>137512666</v>
      </c>
      <c r="C539" t="s">
        <v>3113</v>
      </c>
      <c r="D539" t="s">
        <v>3114</v>
      </c>
      <c r="E539" t="s">
        <v>513</v>
      </c>
      <c r="F539" t="s">
        <v>514</v>
      </c>
      <c r="G539" t="s">
        <v>43</v>
      </c>
      <c r="H539" t="s">
        <v>44</v>
      </c>
      <c r="I539" t="s">
        <v>34</v>
      </c>
      <c r="J539" t="s">
        <v>45</v>
      </c>
      <c r="K539" t="s">
        <v>41</v>
      </c>
      <c r="L539" t="s">
        <v>3115</v>
      </c>
      <c r="M539" t="s">
        <v>3116</v>
      </c>
      <c r="N539" t="s">
        <v>516</v>
      </c>
      <c r="O539" t="s">
        <v>64</v>
      </c>
      <c r="P539" t="s">
        <v>3117</v>
      </c>
      <c r="Q539" t="s">
        <v>50</v>
      </c>
      <c r="R539" t="s">
        <v>2823</v>
      </c>
      <c r="S539">
        <v>2.33</v>
      </c>
      <c r="T539">
        <v>5198</v>
      </c>
      <c r="U539">
        <v>0</v>
      </c>
      <c r="V539">
        <v>5198</v>
      </c>
    </row>
    <row r="540" spans="1:22" x14ac:dyDescent="0.3">
      <c r="A540">
        <v>79452</v>
      </c>
      <c r="B540">
        <v>137554398</v>
      </c>
      <c r="C540" t="s">
        <v>3118</v>
      </c>
      <c r="D540" t="s">
        <v>3119</v>
      </c>
      <c r="E540" t="s">
        <v>513</v>
      </c>
      <c r="F540" t="s">
        <v>514</v>
      </c>
      <c r="G540" t="s">
        <v>43</v>
      </c>
      <c r="H540" t="s">
        <v>44</v>
      </c>
      <c r="I540" t="s">
        <v>34</v>
      </c>
      <c r="J540" t="s">
        <v>45</v>
      </c>
      <c r="K540" t="s">
        <v>41</v>
      </c>
      <c r="L540" t="s">
        <v>3120</v>
      </c>
      <c r="M540" t="s">
        <v>3121</v>
      </c>
      <c r="N540" t="s">
        <v>516</v>
      </c>
      <c r="O540" t="s">
        <v>64</v>
      </c>
      <c r="P540" t="s">
        <v>3122</v>
      </c>
      <c r="Q540" t="s">
        <v>144</v>
      </c>
      <c r="R540" t="s">
        <v>366</v>
      </c>
      <c r="S540">
        <v>1.1499999999999999</v>
      </c>
      <c r="T540">
        <v>3753</v>
      </c>
      <c r="U540">
        <v>0</v>
      </c>
      <c r="V540">
        <v>3753</v>
      </c>
    </row>
    <row r="541" spans="1:22" x14ac:dyDescent="0.3">
      <c r="A541">
        <v>79452</v>
      </c>
      <c r="B541">
        <v>137576118</v>
      </c>
      <c r="C541" t="s">
        <v>3123</v>
      </c>
      <c r="D541" t="s">
        <v>3124</v>
      </c>
      <c r="E541" t="s">
        <v>513</v>
      </c>
      <c r="F541" t="s">
        <v>514</v>
      </c>
      <c r="G541" t="s">
        <v>43</v>
      </c>
      <c r="H541" t="s">
        <v>44</v>
      </c>
      <c r="I541" t="s">
        <v>34</v>
      </c>
      <c r="J541" t="s">
        <v>45</v>
      </c>
      <c r="K541" t="s">
        <v>41</v>
      </c>
      <c r="L541" t="s">
        <v>3125</v>
      </c>
      <c r="M541" t="s">
        <v>3126</v>
      </c>
      <c r="N541" t="s">
        <v>516</v>
      </c>
      <c r="O541" t="s">
        <v>64</v>
      </c>
      <c r="P541" t="s">
        <v>3127</v>
      </c>
      <c r="Q541" t="s">
        <v>47</v>
      </c>
      <c r="R541" t="s">
        <v>372</v>
      </c>
      <c r="S541">
        <v>0.85</v>
      </c>
      <c r="T541">
        <v>4067</v>
      </c>
      <c r="U541">
        <v>0</v>
      </c>
      <c r="V541">
        <v>4067</v>
      </c>
    </row>
    <row r="542" spans="1:22" x14ac:dyDescent="0.3">
      <c r="A542">
        <v>79452</v>
      </c>
      <c r="B542">
        <v>137592402</v>
      </c>
      <c r="C542" t="s">
        <v>3128</v>
      </c>
      <c r="D542" t="s">
        <v>3129</v>
      </c>
      <c r="E542" t="s">
        <v>513</v>
      </c>
      <c r="F542" t="s">
        <v>514</v>
      </c>
      <c r="G542" t="s">
        <v>43</v>
      </c>
      <c r="H542" t="s">
        <v>44</v>
      </c>
      <c r="I542" t="s">
        <v>34</v>
      </c>
      <c r="J542" t="s">
        <v>45</v>
      </c>
      <c r="K542" t="s">
        <v>41</v>
      </c>
      <c r="L542" t="s">
        <v>3130</v>
      </c>
      <c r="M542" t="s">
        <v>3131</v>
      </c>
      <c r="N542" t="s">
        <v>516</v>
      </c>
      <c r="O542" t="s">
        <v>64</v>
      </c>
      <c r="P542" t="s">
        <v>3132</v>
      </c>
      <c r="Q542" t="s">
        <v>97</v>
      </c>
      <c r="R542" t="s">
        <v>433</v>
      </c>
      <c r="S542">
        <v>0.83</v>
      </c>
      <c r="T542">
        <v>4346</v>
      </c>
      <c r="U542">
        <v>0</v>
      </c>
      <c r="V542">
        <v>4346</v>
      </c>
    </row>
    <row r="543" spans="1:22" x14ac:dyDescent="0.3">
      <c r="A543">
        <v>79452</v>
      </c>
      <c r="B543">
        <v>137580378</v>
      </c>
      <c r="C543" t="s">
        <v>3133</v>
      </c>
      <c r="D543" t="s">
        <v>3134</v>
      </c>
      <c r="E543" t="s">
        <v>513</v>
      </c>
      <c r="F543" t="s">
        <v>514</v>
      </c>
      <c r="G543" t="s">
        <v>43</v>
      </c>
      <c r="H543" t="s">
        <v>44</v>
      </c>
      <c r="I543" t="s">
        <v>34</v>
      </c>
      <c r="J543" t="s">
        <v>45</v>
      </c>
      <c r="K543" t="s">
        <v>41</v>
      </c>
      <c r="L543" t="s">
        <v>3135</v>
      </c>
      <c r="M543" t="s">
        <v>3136</v>
      </c>
      <c r="N543" t="s">
        <v>516</v>
      </c>
      <c r="O543" t="s">
        <v>64</v>
      </c>
      <c r="P543" t="s">
        <v>3137</v>
      </c>
      <c r="Q543" t="s">
        <v>97</v>
      </c>
      <c r="R543" t="s">
        <v>2813</v>
      </c>
      <c r="S543">
        <v>1.51</v>
      </c>
      <c r="T543">
        <v>4346</v>
      </c>
      <c r="U543">
        <v>0</v>
      </c>
      <c r="V543">
        <v>4346</v>
      </c>
    </row>
    <row r="544" spans="1:22" x14ac:dyDescent="0.3">
      <c r="A544">
        <v>79452</v>
      </c>
      <c r="B544">
        <v>137467366</v>
      </c>
      <c r="C544" t="s">
        <v>3138</v>
      </c>
      <c r="D544" t="s">
        <v>3139</v>
      </c>
      <c r="E544" t="s">
        <v>513</v>
      </c>
      <c r="F544" t="s">
        <v>514</v>
      </c>
      <c r="G544" t="s">
        <v>43</v>
      </c>
      <c r="H544" t="s">
        <v>44</v>
      </c>
      <c r="I544" t="s">
        <v>34</v>
      </c>
      <c r="J544" t="s">
        <v>45</v>
      </c>
      <c r="K544" t="s">
        <v>41</v>
      </c>
      <c r="L544" t="s">
        <v>3140</v>
      </c>
      <c r="M544" t="s">
        <v>3141</v>
      </c>
      <c r="N544" t="s">
        <v>516</v>
      </c>
      <c r="O544" t="s">
        <v>64</v>
      </c>
      <c r="P544" t="s">
        <v>3142</v>
      </c>
      <c r="Q544" t="s">
        <v>61</v>
      </c>
      <c r="R544" t="s">
        <v>2930</v>
      </c>
      <c r="S544">
        <v>1</v>
      </c>
      <c r="T544">
        <v>3366</v>
      </c>
      <c r="U544">
        <v>0</v>
      </c>
      <c r="V544">
        <v>3366</v>
      </c>
    </row>
    <row r="545" spans="1:22" x14ac:dyDescent="0.3">
      <c r="A545">
        <v>79452</v>
      </c>
      <c r="B545">
        <v>137616502</v>
      </c>
      <c r="C545" t="s">
        <v>3143</v>
      </c>
      <c r="D545" t="s">
        <v>3144</v>
      </c>
      <c r="E545" t="s">
        <v>513</v>
      </c>
      <c r="F545" t="s">
        <v>514</v>
      </c>
      <c r="G545" t="s">
        <v>43</v>
      </c>
      <c r="H545" t="s">
        <v>44</v>
      </c>
      <c r="I545" t="s">
        <v>34</v>
      </c>
      <c r="J545" t="s">
        <v>45</v>
      </c>
      <c r="K545" t="s">
        <v>41</v>
      </c>
      <c r="L545" t="s">
        <v>3145</v>
      </c>
      <c r="M545" t="s">
        <v>3146</v>
      </c>
      <c r="N545" t="s">
        <v>516</v>
      </c>
      <c r="O545" t="s">
        <v>64</v>
      </c>
      <c r="P545" t="s">
        <v>3147</v>
      </c>
      <c r="Q545" t="s">
        <v>48</v>
      </c>
      <c r="R545" t="s">
        <v>1613</v>
      </c>
      <c r="S545">
        <v>2.04</v>
      </c>
      <c r="T545">
        <v>4067</v>
      </c>
      <c r="U545">
        <v>0</v>
      </c>
      <c r="V545">
        <v>4067</v>
      </c>
    </row>
    <row r="546" spans="1:22" x14ac:dyDescent="0.3">
      <c r="A546">
        <v>79452</v>
      </c>
      <c r="B546">
        <v>137580376</v>
      </c>
      <c r="C546" t="s">
        <v>3148</v>
      </c>
      <c r="D546" t="s">
        <v>3149</v>
      </c>
      <c r="E546" t="s">
        <v>513</v>
      </c>
      <c r="F546" t="s">
        <v>514</v>
      </c>
      <c r="G546" t="s">
        <v>43</v>
      </c>
      <c r="H546" t="s">
        <v>44</v>
      </c>
      <c r="I546" t="s">
        <v>34</v>
      </c>
      <c r="J546" t="s">
        <v>45</v>
      </c>
      <c r="K546" t="s">
        <v>41</v>
      </c>
      <c r="L546" t="s">
        <v>3150</v>
      </c>
      <c r="M546" t="s">
        <v>3151</v>
      </c>
      <c r="N546" t="s">
        <v>516</v>
      </c>
      <c r="O546" t="s">
        <v>64</v>
      </c>
      <c r="P546" t="s">
        <v>3152</v>
      </c>
      <c r="Q546" t="s">
        <v>144</v>
      </c>
      <c r="R546" t="s">
        <v>2813</v>
      </c>
      <c r="S546">
        <v>0.99</v>
      </c>
      <c r="T546">
        <v>3753</v>
      </c>
      <c r="U546">
        <v>0</v>
      </c>
      <c r="V546">
        <v>3753</v>
      </c>
    </row>
    <row r="547" spans="1:22" x14ac:dyDescent="0.3">
      <c r="A547">
        <v>79452</v>
      </c>
      <c r="B547">
        <v>137616487</v>
      </c>
      <c r="C547" t="s">
        <v>3153</v>
      </c>
      <c r="D547" t="s">
        <v>3154</v>
      </c>
      <c r="E547" t="s">
        <v>513</v>
      </c>
      <c r="F547" t="s">
        <v>514</v>
      </c>
      <c r="G547" t="s">
        <v>43</v>
      </c>
      <c r="H547" t="s">
        <v>44</v>
      </c>
      <c r="I547" t="s">
        <v>34</v>
      </c>
      <c r="J547" t="s">
        <v>45</v>
      </c>
      <c r="K547" t="s">
        <v>41</v>
      </c>
      <c r="L547" t="s">
        <v>3155</v>
      </c>
      <c r="M547" t="s">
        <v>3156</v>
      </c>
      <c r="N547" t="s">
        <v>516</v>
      </c>
      <c r="O547" t="s">
        <v>64</v>
      </c>
      <c r="P547" t="s">
        <v>3157</v>
      </c>
      <c r="Q547" t="s">
        <v>48</v>
      </c>
      <c r="R547" t="s">
        <v>1613</v>
      </c>
      <c r="S547">
        <v>0.73</v>
      </c>
      <c r="T547">
        <v>4067</v>
      </c>
      <c r="U547">
        <v>0</v>
      </c>
      <c r="V547">
        <v>4067</v>
      </c>
    </row>
    <row r="548" spans="1:22" x14ac:dyDescent="0.3">
      <c r="A548">
        <v>79452</v>
      </c>
      <c r="B548">
        <v>137579237</v>
      </c>
      <c r="C548" t="s">
        <v>3158</v>
      </c>
      <c r="D548" t="s">
        <v>3159</v>
      </c>
      <c r="E548" t="s">
        <v>513</v>
      </c>
      <c r="F548" t="s">
        <v>514</v>
      </c>
      <c r="G548" t="s">
        <v>43</v>
      </c>
      <c r="H548" t="s">
        <v>44</v>
      </c>
      <c r="I548" t="s">
        <v>34</v>
      </c>
      <c r="J548" t="s">
        <v>45</v>
      </c>
      <c r="K548" t="s">
        <v>41</v>
      </c>
      <c r="L548" t="s">
        <v>3160</v>
      </c>
      <c r="M548" t="s">
        <v>3161</v>
      </c>
      <c r="N548" t="s">
        <v>516</v>
      </c>
      <c r="O548" t="s">
        <v>64</v>
      </c>
      <c r="P548" t="s">
        <v>3162</v>
      </c>
      <c r="Q548" t="s">
        <v>118</v>
      </c>
      <c r="R548" t="s">
        <v>2362</v>
      </c>
      <c r="S548">
        <v>1.35</v>
      </c>
      <c r="T548">
        <v>4067</v>
      </c>
      <c r="U548">
        <v>0</v>
      </c>
      <c r="V548">
        <v>4067</v>
      </c>
    </row>
    <row r="549" spans="1:22" x14ac:dyDescent="0.3">
      <c r="A549">
        <v>79452</v>
      </c>
      <c r="B549">
        <v>137616536</v>
      </c>
      <c r="C549" t="s">
        <v>3163</v>
      </c>
      <c r="D549" t="s">
        <v>3164</v>
      </c>
      <c r="E549" t="s">
        <v>513</v>
      </c>
      <c r="F549" t="s">
        <v>514</v>
      </c>
      <c r="G549" t="s">
        <v>43</v>
      </c>
      <c r="H549" t="s">
        <v>44</v>
      </c>
      <c r="I549" t="s">
        <v>34</v>
      </c>
      <c r="J549" t="s">
        <v>45</v>
      </c>
      <c r="K549" t="s">
        <v>41</v>
      </c>
      <c r="L549" t="s">
        <v>3165</v>
      </c>
      <c r="M549" t="s">
        <v>3166</v>
      </c>
      <c r="N549" t="s">
        <v>516</v>
      </c>
      <c r="O549" t="s">
        <v>64</v>
      </c>
      <c r="P549" t="s">
        <v>3167</v>
      </c>
      <c r="Q549" t="s">
        <v>67</v>
      </c>
      <c r="R549" t="s">
        <v>1613</v>
      </c>
      <c r="S549">
        <v>1.86</v>
      </c>
      <c r="T549">
        <v>3784</v>
      </c>
      <c r="U549">
        <v>0</v>
      </c>
      <c r="V549">
        <v>3784</v>
      </c>
    </row>
    <row r="550" spans="1:22" x14ac:dyDescent="0.3">
      <c r="A550">
        <v>79452</v>
      </c>
      <c r="B550">
        <v>137579229</v>
      </c>
      <c r="C550" t="s">
        <v>3168</v>
      </c>
      <c r="D550" t="s">
        <v>3169</v>
      </c>
      <c r="E550" t="s">
        <v>513</v>
      </c>
      <c r="F550" t="s">
        <v>514</v>
      </c>
      <c r="G550" t="s">
        <v>43</v>
      </c>
      <c r="H550" t="s">
        <v>44</v>
      </c>
      <c r="I550" t="s">
        <v>34</v>
      </c>
      <c r="J550" t="s">
        <v>45</v>
      </c>
      <c r="K550" t="s">
        <v>41</v>
      </c>
      <c r="L550" t="s">
        <v>3170</v>
      </c>
      <c r="M550" t="s">
        <v>3171</v>
      </c>
      <c r="N550" t="s">
        <v>516</v>
      </c>
      <c r="O550" t="s">
        <v>64</v>
      </c>
      <c r="P550" t="s">
        <v>3172</v>
      </c>
      <c r="Q550" t="s">
        <v>67</v>
      </c>
      <c r="R550" t="s">
        <v>2362</v>
      </c>
      <c r="S550">
        <v>1.27</v>
      </c>
      <c r="T550">
        <v>3784</v>
      </c>
      <c r="U550">
        <v>0</v>
      </c>
      <c r="V550">
        <v>3784</v>
      </c>
    </row>
    <row r="551" spans="1:22" x14ac:dyDescent="0.3">
      <c r="A551">
        <v>79452</v>
      </c>
      <c r="B551">
        <v>137554417</v>
      </c>
      <c r="C551" t="s">
        <v>3173</v>
      </c>
      <c r="D551" t="s">
        <v>3174</v>
      </c>
      <c r="E551" t="s">
        <v>513</v>
      </c>
      <c r="F551" t="s">
        <v>514</v>
      </c>
      <c r="G551" t="s">
        <v>43</v>
      </c>
      <c r="H551" t="s">
        <v>44</v>
      </c>
      <c r="I551" t="s">
        <v>34</v>
      </c>
      <c r="J551" t="s">
        <v>45</v>
      </c>
      <c r="K551" t="s">
        <v>41</v>
      </c>
      <c r="L551" t="s">
        <v>3175</v>
      </c>
      <c r="M551" t="s">
        <v>3176</v>
      </c>
      <c r="N551" t="s">
        <v>516</v>
      </c>
      <c r="O551" t="s">
        <v>64</v>
      </c>
      <c r="P551" t="s">
        <v>3177</v>
      </c>
      <c r="Q551" t="s">
        <v>53</v>
      </c>
      <c r="R551" t="s">
        <v>366</v>
      </c>
      <c r="S551">
        <v>1.32</v>
      </c>
      <c r="T551">
        <v>3501</v>
      </c>
      <c r="U551">
        <v>0</v>
      </c>
      <c r="V551">
        <v>3501</v>
      </c>
    </row>
    <row r="552" spans="1:22" x14ac:dyDescent="0.3">
      <c r="A552">
        <v>79452</v>
      </c>
      <c r="B552">
        <v>137554380</v>
      </c>
      <c r="C552" t="s">
        <v>3178</v>
      </c>
      <c r="D552" t="s">
        <v>3179</v>
      </c>
      <c r="E552" t="s">
        <v>513</v>
      </c>
      <c r="F552" t="s">
        <v>514</v>
      </c>
      <c r="G552" t="s">
        <v>43</v>
      </c>
      <c r="H552" t="s">
        <v>44</v>
      </c>
      <c r="I552" t="s">
        <v>34</v>
      </c>
      <c r="J552" t="s">
        <v>45</v>
      </c>
      <c r="K552" t="s">
        <v>41</v>
      </c>
      <c r="L552" t="s">
        <v>3180</v>
      </c>
      <c r="M552" t="s">
        <v>3181</v>
      </c>
      <c r="N552" t="s">
        <v>516</v>
      </c>
      <c r="O552" t="s">
        <v>64</v>
      </c>
      <c r="P552" t="s">
        <v>3182</v>
      </c>
      <c r="Q552" t="s">
        <v>108</v>
      </c>
      <c r="R552" t="s">
        <v>366</v>
      </c>
      <c r="S552">
        <v>1.23</v>
      </c>
      <c r="T552">
        <v>3366</v>
      </c>
      <c r="U552">
        <v>0</v>
      </c>
      <c r="V552">
        <v>3366</v>
      </c>
    </row>
    <row r="553" spans="1:22" x14ac:dyDescent="0.3">
      <c r="A553">
        <v>79452</v>
      </c>
      <c r="B553">
        <v>137389659</v>
      </c>
      <c r="C553" t="s">
        <v>3183</v>
      </c>
      <c r="D553" t="s">
        <v>3184</v>
      </c>
      <c r="E553" t="s">
        <v>513</v>
      </c>
      <c r="F553" t="s">
        <v>514</v>
      </c>
      <c r="G553" t="s">
        <v>43</v>
      </c>
      <c r="H553" t="s">
        <v>44</v>
      </c>
      <c r="I553" t="s">
        <v>34</v>
      </c>
      <c r="J553" t="s">
        <v>45</v>
      </c>
      <c r="K553" t="s">
        <v>41</v>
      </c>
      <c r="L553" t="s">
        <v>3185</v>
      </c>
      <c r="M553" t="s">
        <v>3186</v>
      </c>
      <c r="N553" t="s">
        <v>516</v>
      </c>
      <c r="O553" t="s">
        <v>64</v>
      </c>
      <c r="P553" t="s">
        <v>3187</v>
      </c>
      <c r="Q553" t="s">
        <v>90</v>
      </c>
      <c r="R553" t="s">
        <v>2779</v>
      </c>
      <c r="S553">
        <v>1</v>
      </c>
      <c r="T553">
        <v>3753</v>
      </c>
      <c r="U553">
        <v>0</v>
      </c>
      <c r="V553">
        <v>3753</v>
      </c>
    </row>
    <row r="554" spans="1:22" x14ac:dyDescent="0.3">
      <c r="A554">
        <v>79452</v>
      </c>
      <c r="B554">
        <v>137616505</v>
      </c>
      <c r="C554" t="s">
        <v>3188</v>
      </c>
      <c r="D554" t="s">
        <v>3189</v>
      </c>
      <c r="E554" t="s">
        <v>513</v>
      </c>
      <c r="F554" t="s">
        <v>514</v>
      </c>
      <c r="G554" t="s">
        <v>43</v>
      </c>
      <c r="H554" t="s">
        <v>44</v>
      </c>
      <c r="I554" t="s">
        <v>34</v>
      </c>
      <c r="J554" t="s">
        <v>45</v>
      </c>
      <c r="K554" t="s">
        <v>41</v>
      </c>
      <c r="L554" t="s">
        <v>3190</v>
      </c>
      <c r="M554" t="s">
        <v>504</v>
      </c>
      <c r="N554" t="s">
        <v>516</v>
      </c>
      <c r="O554" t="s">
        <v>64</v>
      </c>
      <c r="P554" t="s">
        <v>505</v>
      </c>
      <c r="Q554" t="s">
        <v>47</v>
      </c>
      <c r="R554" t="s">
        <v>1613</v>
      </c>
      <c r="S554">
        <v>1.01</v>
      </c>
      <c r="T554">
        <v>4067</v>
      </c>
      <c r="U554">
        <v>0</v>
      </c>
      <c r="V554">
        <v>4067</v>
      </c>
    </row>
    <row r="555" spans="1:22" x14ac:dyDescent="0.3">
      <c r="A555">
        <v>79452</v>
      </c>
      <c r="B555">
        <v>137616497</v>
      </c>
      <c r="C555" t="s">
        <v>3191</v>
      </c>
      <c r="D555" t="s">
        <v>3192</v>
      </c>
      <c r="E555" t="s">
        <v>513</v>
      </c>
      <c r="F555" t="s">
        <v>514</v>
      </c>
      <c r="G555" t="s">
        <v>43</v>
      </c>
      <c r="H555" t="s">
        <v>44</v>
      </c>
      <c r="I555" t="s">
        <v>34</v>
      </c>
      <c r="J555" t="s">
        <v>45</v>
      </c>
      <c r="K555" t="s">
        <v>41</v>
      </c>
      <c r="L555" t="s">
        <v>3193</v>
      </c>
      <c r="M555" t="s">
        <v>307</v>
      </c>
      <c r="N555" t="s">
        <v>516</v>
      </c>
      <c r="O555" t="s">
        <v>64</v>
      </c>
      <c r="P555" t="s">
        <v>1139</v>
      </c>
      <c r="Q555" t="s">
        <v>118</v>
      </c>
      <c r="R555" t="s">
        <v>1613</v>
      </c>
      <c r="S555">
        <v>0.77</v>
      </c>
      <c r="T555">
        <v>4067</v>
      </c>
      <c r="U555">
        <v>0</v>
      </c>
      <c r="V555">
        <v>4067</v>
      </c>
    </row>
    <row r="556" spans="1:22" x14ac:dyDescent="0.3">
      <c r="A556">
        <v>79452</v>
      </c>
      <c r="B556">
        <v>137467432</v>
      </c>
      <c r="C556" t="s">
        <v>3194</v>
      </c>
      <c r="D556" t="s">
        <v>3195</v>
      </c>
      <c r="E556" t="s">
        <v>513</v>
      </c>
      <c r="F556" t="s">
        <v>514</v>
      </c>
      <c r="G556" t="s">
        <v>43</v>
      </c>
      <c r="H556" t="s">
        <v>44</v>
      </c>
      <c r="I556" t="s">
        <v>34</v>
      </c>
      <c r="J556" t="s">
        <v>45</v>
      </c>
      <c r="K556" t="s">
        <v>41</v>
      </c>
      <c r="L556" t="s">
        <v>3196</v>
      </c>
      <c r="M556" t="s">
        <v>3197</v>
      </c>
      <c r="N556" t="s">
        <v>516</v>
      </c>
      <c r="O556" t="s">
        <v>64</v>
      </c>
      <c r="P556" t="s">
        <v>3198</v>
      </c>
      <c r="Q556" t="s">
        <v>50</v>
      </c>
      <c r="R556" t="s">
        <v>2808</v>
      </c>
      <c r="S556">
        <v>1.27</v>
      </c>
      <c r="T556">
        <v>5198</v>
      </c>
      <c r="U556">
        <v>0</v>
      </c>
      <c r="V556">
        <v>5198</v>
      </c>
    </row>
    <row r="557" spans="1:22" x14ac:dyDescent="0.3">
      <c r="A557">
        <v>79452</v>
      </c>
      <c r="B557">
        <v>137576070</v>
      </c>
      <c r="C557" t="s">
        <v>3199</v>
      </c>
      <c r="D557" t="s">
        <v>3200</v>
      </c>
      <c r="E557" t="s">
        <v>513</v>
      </c>
      <c r="F557" t="s">
        <v>514</v>
      </c>
      <c r="G557" t="s">
        <v>43</v>
      </c>
      <c r="H557" t="s">
        <v>44</v>
      </c>
      <c r="I557" t="s">
        <v>34</v>
      </c>
      <c r="J557" t="s">
        <v>45</v>
      </c>
      <c r="K557" t="s">
        <v>41</v>
      </c>
      <c r="L557" t="s">
        <v>3201</v>
      </c>
      <c r="M557" t="s">
        <v>3202</v>
      </c>
      <c r="N557" t="s">
        <v>516</v>
      </c>
      <c r="O557" t="s">
        <v>64</v>
      </c>
      <c r="P557" t="s">
        <v>3203</v>
      </c>
      <c r="Q557" t="s">
        <v>108</v>
      </c>
      <c r="R557" t="s">
        <v>1835</v>
      </c>
      <c r="S557">
        <v>2.11</v>
      </c>
      <c r="T557">
        <v>3366</v>
      </c>
      <c r="U557">
        <v>0</v>
      </c>
      <c r="V557">
        <v>3366</v>
      </c>
    </row>
    <row r="558" spans="1:22" x14ac:dyDescent="0.3">
      <c r="A558">
        <v>79452</v>
      </c>
      <c r="B558">
        <v>137592392</v>
      </c>
      <c r="C558" t="s">
        <v>3204</v>
      </c>
      <c r="D558" t="s">
        <v>3205</v>
      </c>
      <c r="E558" t="s">
        <v>513</v>
      </c>
      <c r="F558" t="s">
        <v>514</v>
      </c>
      <c r="G558" t="s">
        <v>43</v>
      </c>
      <c r="H558" t="s">
        <v>44</v>
      </c>
      <c r="I558" t="s">
        <v>34</v>
      </c>
      <c r="J558" t="s">
        <v>45</v>
      </c>
      <c r="K558" t="s">
        <v>41</v>
      </c>
      <c r="L558" t="s">
        <v>3206</v>
      </c>
      <c r="M558" t="s">
        <v>3207</v>
      </c>
      <c r="N558" t="s">
        <v>516</v>
      </c>
      <c r="O558" t="s">
        <v>64</v>
      </c>
      <c r="P558" t="s">
        <v>3208</v>
      </c>
      <c r="Q558" t="s">
        <v>75</v>
      </c>
      <c r="R558" t="s">
        <v>433</v>
      </c>
      <c r="S558">
        <v>0.89</v>
      </c>
      <c r="T558">
        <v>3753</v>
      </c>
      <c r="U558">
        <v>0</v>
      </c>
      <c r="V558">
        <v>3753</v>
      </c>
    </row>
    <row r="559" spans="1:22" x14ac:dyDescent="0.3">
      <c r="A559">
        <v>79452</v>
      </c>
      <c r="B559">
        <v>137616483</v>
      </c>
      <c r="C559" t="s">
        <v>3209</v>
      </c>
      <c r="D559" t="s">
        <v>3210</v>
      </c>
      <c r="E559" t="s">
        <v>513</v>
      </c>
      <c r="F559" t="s">
        <v>514</v>
      </c>
      <c r="G559" t="s">
        <v>43</v>
      </c>
      <c r="H559" t="s">
        <v>44</v>
      </c>
      <c r="I559" t="s">
        <v>34</v>
      </c>
      <c r="J559" t="s">
        <v>45</v>
      </c>
      <c r="K559" t="s">
        <v>41</v>
      </c>
      <c r="L559" t="s">
        <v>3211</v>
      </c>
      <c r="M559" t="s">
        <v>432</v>
      </c>
      <c r="N559" t="s">
        <v>516</v>
      </c>
      <c r="O559" t="s">
        <v>64</v>
      </c>
      <c r="P559" t="s">
        <v>3212</v>
      </c>
      <c r="Q559" t="s">
        <v>108</v>
      </c>
      <c r="R559" t="s">
        <v>1613</v>
      </c>
      <c r="S559">
        <v>0.81</v>
      </c>
      <c r="T559">
        <v>3366</v>
      </c>
      <c r="U559">
        <v>0</v>
      </c>
      <c r="V559">
        <v>3366</v>
      </c>
    </row>
    <row r="560" spans="1:22" x14ac:dyDescent="0.3">
      <c r="A560">
        <v>79452</v>
      </c>
      <c r="B560">
        <v>137616531</v>
      </c>
      <c r="C560" t="s">
        <v>3213</v>
      </c>
      <c r="D560" t="s">
        <v>3214</v>
      </c>
      <c r="E560" t="s">
        <v>513</v>
      </c>
      <c r="F560" t="s">
        <v>514</v>
      </c>
      <c r="G560" t="s">
        <v>43</v>
      </c>
      <c r="H560" t="s">
        <v>44</v>
      </c>
      <c r="I560" t="s">
        <v>34</v>
      </c>
      <c r="J560" t="s">
        <v>45</v>
      </c>
      <c r="K560" t="s">
        <v>41</v>
      </c>
      <c r="L560" t="s">
        <v>3215</v>
      </c>
      <c r="M560" t="s">
        <v>3216</v>
      </c>
      <c r="N560" t="s">
        <v>516</v>
      </c>
      <c r="O560" t="s">
        <v>64</v>
      </c>
      <c r="P560" t="s">
        <v>3217</v>
      </c>
      <c r="Q560" t="s">
        <v>61</v>
      </c>
      <c r="R560" t="s">
        <v>1613</v>
      </c>
      <c r="S560">
        <v>1.89</v>
      </c>
      <c r="T560">
        <v>3366</v>
      </c>
      <c r="U560">
        <v>0</v>
      </c>
      <c r="V560">
        <v>3366</v>
      </c>
    </row>
    <row r="561" spans="1:22" x14ac:dyDescent="0.3">
      <c r="A561">
        <v>79452</v>
      </c>
      <c r="B561">
        <v>137554422</v>
      </c>
      <c r="C561" t="s">
        <v>3218</v>
      </c>
      <c r="D561" t="s">
        <v>3219</v>
      </c>
      <c r="E561" t="s">
        <v>513</v>
      </c>
      <c r="F561" t="s">
        <v>514</v>
      </c>
      <c r="G561" t="s">
        <v>43</v>
      </c>
      <c r="H561" t="s">
        <v>44</v>
      </c>
      <c r="I561" t="s">
        <v>34</v>
      </c>
      <c r="J561" t="s">
        <v>45</v>
      </c>
      <c r="K561" t="s">
        <v>41</v>
      </c>
      <c r="L561" t="s">
        <v>3220</v>
      </c>
      <c r="M561" t="s">
        <v>3221</v>
      </c>
      <c r="N561" t="s">
        <v>516</v>
      </c>
      <c r="O561" t="s">
        <v>64</v>
      </c>
      <c r="P561" t="s">
        <v>3222</v>
      </c>
      <c r="Q561" t="s">
        <v>120</v>
      </c>
      <c r="R561" t="s">
        <v>366</v>
      </c>
      <c r="S561">
        <v>1.04</v>
      </c>
      <c r="T561">
        <v>3753</v>
      </c>
      <c r="U561">
        <v>0</v>
      </c>
      <c r="V561">
        <v>3753</v>
      </c>
    </row>
    <row r="562" spans="1:22" x14ac:dyDescent="0.3">
      <c r="A562">
        <v>79452</v>
      </c>
      <c r="B562">
        <v>137633603</v>
      </c>
      <c r="C562" t="s">
        <v>3223</v>
      </c>
      <c r="D562" t="s">
        <v>3224</v>
      </c>
      <c r="E562" t="s">
        <v>513</v>
      </c>
      <c r="F562" t="s">
        <v>514</v>
      </c>
      <c r="G562" t="s">
        <v>43</v>
      </c>
      <c r="H562" t="s">
        <v>44</v>
      </c>
      <c r="I562" t="s">
        <v>34</v>
      </c>
      <c r="J562" t="s">
        <v>45</v>
      </c>
      <c r="K562" t="s">
        <v>41</v>
      </c>
      <c r="L562" t="s">
        <v>3225</v>
      </c>
      <c r="M562" t="s">
        <v>3226</v>
      </c>
      <c r="N562" t="s">
        <v>516</v>
      </c>
      <c r="O562" t="s">
        <v>64</v>
      </c>
      <c r="P562" t="s">
        <v>3227</v>
      </c>
      <c r="Q562" t="s">
        <v>125</v>
      </c>
      <c r="R562" t="s">
        <v>1901</v>
      </c>
      <c r="S562">
        <v>1.43</v>
      </c>
      <c r="T562">
        <v>4067</v>
      </c>
      <c r="U562">
        <v>0</v>
      </c>
      <c r="V562">
        <v>4067</v>
      </c>
    </row>
    <row r="563" spans="1:22" x14ac:dyDescent="0.3">
      <c r="A563">
        <v>79452</v>
      </c>
      <c r="B563">
        <v>137358356</v>
      </c>
      <c r="C563" t="s">
        <v>3228</v>
      </c>
      <c r="D563" t="s">
        <v>3229</v>
      </c>
      <c r="E563" t="s">
        <v>513</v>
      </c>
      <c r="F563" t="s">
        <v>514</v>
      </c>
      <c r="G563" t="s">
        <v>43</v>
      </c>
      <c r="H563" t="s">
        <v>44</v>
      </c>
      <c r="I563" t="s">
        <v>34</v>
      </c>
      <c r="J563" t="s">
        <v>45</v>
      </c>
      <c r="K563" t="s">
        <v>41</v>
      </c>
      <c r="L563" t="s">
        <v>3230</v>
      </c>
      <c r="M563" t="s">
        <v>3231</v>
      </c>
      <c r="N563" t="s">
        <v>516</v>
      </c>
      <c r="O563" t="s">
        <v>64</v>
      </c>
      <c r="P563" t="s">
        <v>3232</v>
      </c>
      <c r="Q563" t="s">
        <v>111</v>
      </c>
      <c r="R563" t="s">
        <v>2764</v>
      </c>
      <c r="S563">
        <v>1</v>
      </c>
      <c r="T563">
        <v>5476</v>
      </c>
      <c r="U563">
        <v>0</v>
      </c>
      <c r="V563">
        <v>5476</v>
      </c>
    </row>
    <row r="564" spans="1:22" x14ac:dyDescent="0.3">
      <c r="A564">
        <v>79452</v>
      </c>
      <c r="B564">
        <v>137576123</v>
      </c>
      <c r="C564" t="s">
        <v>3233</v>
      </c>
      <c r="D564" t="s">
        <v>3234</v>
      </c>
      <c r="E564" t="s">
        <v>513</v>
      </c>
      <c r="F564" t="s">
        <v>514</v>
      </c>
      <c r="G564" t="s">
        <v>43</v>
      </c>
      <c r="H564" t="s">
        <v>44</v>
      </c>
      <c r="I564" t="s">
        <v>34</v>
      </c>
      <c r="J564" t="s">
        <v>45</v>
      </c>
      <c r="K564" t="s">
        <v>41</v>
      </c>
      <c r="L564" t="s">
        <v>3235</v>
      </c>
      <c r="M564" t="s">
        <v>3236</v>
      </c>
      <c r="N564" t="s">
        <v>516</v>
      </c>
      <c r="O564" t="s">
        <v>64</v>
      </c>
      <c r="P564" t="s">
        <v>3237</v>
      </c>
      <c r="Q564" t="s">
        <v>181</v>
      </c>
      <c r="R564" t="s">
        <v>372</v>
      </c>
      <c r="S564">
        <v>1.02</v>
      </c>
      <c r="T564">
        <v>3753</v>
      </c>
      <c r="U564">
        <v>0</v>
      </c>
      <c r="V564">
        <v>3753</v>
      </c>
    </row>
    <row r="565" spans="1:22" x14ac:dyDescent="0.3">
      <c r="A565">
        <v>79452</v>
      </c>
      <c r="B565">
        <v>137554370</v>
      </c>
      <c r="C565" t="s">
        <v>3238</v>
      </c>
      <c r="D565" t="s">
        <v>3239</v>
      </c>
      <c r="E565" t="s">
        <v>513</v>
      </c>
      <c r="F565" t="s">
        <v>514</v>
      </c>
      <c r="G565" t="s">
        <v>43</v>
      </c>
      <c r="H565" t="s">
        <v>44</v>
      </c>
      <c r="I565" t="s">
        <v>34</v>
      </c>
      <c r="J565" t="s">
        <v>45</v>
      </c>
      <c r="K565" t="s">
        <v>54</v>
      </c>
      <c r="L565" t="s">
        <v>55</v>
      </c>
      <c r="M565" t="s">
        <v>3240</v>
      </c>
      <c r="N565" t="s">
        <v>516</v>
      </c>
      <c r="O565" t="s">
        <v>64</v>
      </c>
      <c r="P565" t="s">
        <v>3241</v>
      </c>
      <c r="Q565" t="s">
        <v>108</v>
      </c>
      <c r="R565" t="s">
        <v>366</v>
      </c>
      <c r="S565">
        <v>0.97</v>
      </c>
      <c r="T565">
        <v>3366</v>
      </c>
      <c r="U565">
        <v>0</v>
      </c>
      <c r="V565">
        <v>3366</v>
      </c>
    </row>
    <row r="566" spans="1:22" x14ac:dyDescent="0.3">
      <c r="A566">
        <v>79452</v>
      </c>
      <c r="B566">
        <v>137554397</v>
      </c>
      <c r="C566" t="s">
        <v>3242</v>
      </c>
      <c r="D566" t="s">
        <v>3243</v>
      </c>
      <c r="E566" t="s">
        <v>513</v>
      </c>
      <c r="F566" t="s">
        <v>514</v>
      </c>
      <c r="G566" t="s">
        <v>43</v>
      </c>
      <c r="H566" t="s">
        <v>44</v>
      </c>
      <c r="I566" t="s">
        <v>34</v>
      </c>
      <c r="J566" t="s">
        <v>45</v>
      </c>
      <c r="K566" t="s">
        <v>54</v>
      </c>
      <c r="L566" t="s">
        <v>55</v>
      </c>
      <c r="M566" t="s">
        <v>3244</v>
      </c>
      <c r="N566" t="s">
        <v>516</v>
      </c>
      <c r="O566" t="s">
        <v>64</v>
      </c>
      <c r="P566" t="s">
        <v>3245</v>
      </c>
      <c r="Q566" t="s">
        <v>47</v>
      </c>
      <c r="R566" t="s">
        <v>366</v>
      </c>
      <c r="S566">
        <v>1.17</v>
      </c>
      <c r="T566">
        <v>4067</v>
      </c>
      <c r="U566">
        <v>0</v>
      </c>
      <c r="V566">
        <v>4067</v>
      </c>
    </row>
    <row r="567" spans="1:22" x14ac:dyDescent="0.3">
      <c r="A567">
        <v>79452</v>
      </c>
      <c r="B567">
        <v>137554325</v>
      </c>
      <c r="C567" t="s">
        <v>3246</v>
      </c>
      <c r="D567" t="s">
        <v>3247</v>
      </c>
      <c r="E567" t="s">
        <v>513</v>
      </c>
      <c r="F567" t="s">
        <v>514</v>
      </c>
      <c r="G567" t="s">
        <v>43</v>
      </c>
      <c r="H567" t="s">
        <v>44</v>
      </c>
      <c r="I567" t="s">
        <v>34</v>
      </c>
      <c r="J567" t="s">
        <v>45</v>
      </c>
      <c r="K567" t="s">
        <v>41</v>
      </c>
      <c r="L567" t="s">
        <v>3248</v>
      </c>
      <c r="M567" t="s">
        <v>3249</v>
      </c>
      <c r="N567" t="s">
        <v>516</v>
      </c>
      <c r="O567" t="s">
        <v>64</v>
      </c>
      <c r="P567" t="s">
        <v>3250</v>
      </c>
      <c r="Q567" t="s">
        <v>90</v>
      </c>
      <c r="R567" t="s">
        <v>2394</v>
      </c>
      <c r="S567">
        <v>0.98</v>
      </c>
      <c r="T567">
        <v>3753</v>
      </c>
      <c r="U567">
        <v>0</v>
      </c>
      <c r="V567">
        <v>3753</v>
      </c>
    </row>
    <row r="568" spans="1:22" x14ac:dyDescent="0.3">
      <c r="A568">
        <v>79452</v>
      </c>
      <c r="B568">
        <v>137633613</v>
      </c>
      <c r="C568" t="s">
        <v>3251</v>
      </c>
      <c r="D568" t="s">
        <v>3252</v>
      </c>
      <c r="E568" t="s">
        <v>513</v>
      </c>
      <c r="F568" t="s">
        <v>514</v>
      </c>
      <c r="G568" t="s">
        <v>43</v>
      </c>
      <c r="H568" t="s">
        <v>44</v>
      </c>
      <c r="I568" t="s">
        <v>34</v>
      </c>
      <c r="J568" t="s">
        <v>45</v>
      </c>
      <c r="K568" t="s">
        <v>41</v>
      </c>
      <c r="L568" t="s">
        <v>3253</v>
      </c>
      <c r="M568" t="s">
        <v>3254</v>
      </c>
      <c r="N568" t="s">
        <v>516</v>
      </c>
      <c r="O568" t="s">
        <v>64</v>
      </c>
      <c r="P568" t="s">
        <v>3255</v>
      </c>
      <c r="Q568" t="s">
        <v>66</v>
      </c>
      <c r="R568" t="s">
        <v>1901</v>
      </c>
      <c r="S568">
        <v>1</v>
      </c>
      <c r="T568">
        <v>3784</v>
      </c>
      <c r="U568">
        <v>0</v>
      </c>
      <c r="V568">
        <v>3784</v>
      </c>
    </row>
    <row r="569" spans="1:22" x14ac:dyDescent="0.3">
      <c r="A569">
        <v>79452</v>
      </c>
      <c r="B569">
        <v>137576122</v>
      </c>
      <c r="C569" t="s">
        <v>3256</v>
      </c>
      <c r="D569" t="s">
        <v>3257</v>
      </c>
      <c r="E569" t="s">
        <v>513</v>
      </c>
      <c r="F569" t="s">
        <v>514</v>
      </c>
      <c r="G569" t="s">
        <v>43</v>
      </c>
      <c r="H569" t="s">
        <v>44</v>
      </c>
      <c r="I569" t="s">
        <v>34</v>
      </c>
      <c r="J569" t="s">
        <v>45</v>
      </c>
      <c r="K569" t="s">
        <v>41</v>
      </c>
      <c r="L569" t="s">
        <v>3258</v>
      </c>
      <c r="M569" t="s">
        <v>479</v>
      </c>
      <c r="N569" t="s">
        <v>516</v>
      </c>
      <c r="O569" t="s">
        <v>64</v>
      </c>
      <c r="P569" t="s">
        <v>3259</v>
      </c>
      <c r="Q569" t="s">
        <v>58</v>
      </c>
      <c r="R569" t="s">
        <v>372</v>
      </c>
      <c r="S569">
        <v>1.1499999999999999</v>
      </c>
      <c r="T569">
        <v>3366</v>
      </c>
      <c r="U569">
        <v>0</v>
      </c>
      <c r="V569">
        <v>3366</v>
      </c>
    </row>
    <row r="570" spans="1:22" x14ac:dyDescent="0.3">
      <c r="A570">
        <v>79452</v>
      </c>
      <c r="B570">
        <v>137576100</v>
      </c>
      <c r="C570" t="s">
        <v>3260</v>
      </c>
      <c r="D570" t="s">
        <v>3261</v>
      </c>
      <c r="E570" t="s">
        <v>513</v>
      </c>
      <c r="F570" t="s">
        <v>514</v>
      </c>
      <c r="G570" t="s">
        <v>43</v>
      </c>
      <c r="H570" t="s">
        <v>44</v>
      </c>
      <c r="I570" t="s">
        <v>34</v>
      </c>
      <c r="J570" t="s">
        <v>45</v>
      </c>
      <c r="K570" t="s">
        <v>41</v>
      </c>
      <c r="L570" t="s">
        <v>3262</v>
      </c>
      <c r="M570" t="s">
        <v>3263</v>
      </c>
      <c r="N570" t="s">
        <v>516</v>
      </c>
      <c r="O570" t="s">
        <v>64</v>
      </c>
      <c r="P570" t="s">
        <v>3264</v>
      </c>
      <c r="Q570" t="s">
        <v>53</v>
      </c>
      <c r="R570" t="s">
        <v>1835</v>
      </c>
      <c r="S570">
        <v>1.79</v>
      </c>
      <c r="T570">
        <v>3501</v>
      </c>
      <c r="U570">
        <v>0</v>
      </c>
      <c r="V570">
        <v>3501</v>
      </c>
    </row>
    <row r="571" spans="1:22" x14ac:dyDescent="0.3">
      <c r="A571">
        <v>79452</v>
      </c>
      <c r="B571">
        <v>137616525</v>
      </c>
      <c r="C571" t="s">
        <v>3265</v>
      </c>
      <c r="D571" t="s">
        <v>3266</v>
      </c>
      <c r="E571" t="s">
        <v>513</v>
      </c>
      <c r="F571" t="s">
        <v>514</v>
      </c>
      <c r="G571" t="s">
        <v>43</v>
      </c>
      <c r="H571" t="s">
        <v>44</v>
      </c>
      <c r="I571" t="s">
        <v>34</v>
      </c>
      <c r="J571" t="s">
        <v>45</v>
      </c>
      <c r="K571" t="s">
        <v>41</v>
      </c>
      <c r="L571" t="s">
        <v>3267</v>
      </c>
      <c r="M571" t="s">
        <v>3268</v>
      </c>
      <c r="N571" t="s">
        <v>516</v>
      </c>
      <c r="O571" t="s">
        <v>64</v>
      </c>
      <c r="P571" t="s">
        <v>3269</v>
      </c>
      <c r="Q571" t="s">
        <v>67</v>
      </c>
      <c r="R571" t="s">
        <v>1613</v>
      </c>
      <c r="S571">
        <v>1</v>
      </c>
      <c r="T571">
        <v>3784</v>
      </c>
      <c r="U571">
        <v>0</v>
      </c>
      <c r="V571">
        <v>3784</v>
      </c>
    </row>
    <row r="572" spans="1:22" x14ac:dyDescent="0.3">
      <c r="A572">
        <v>79452</v>
      </c>
      <c r="B572">
        <v>137389690</v>
      </c>
      <c r="C572" t="s">
        <v>3270</v>
      </c>
      <c r="D572" t="s">
        <v>3271</v>
      </c>
      <c r="E572" t="s">
        <v>513</v>
      </c>
      <c r="F572" t="s">
        <v>514</v>
      </c>
      <c r="G572" t="s">
        <v>43</v>
      </c>
      <c r="H572" t="s">
        <v>44</v>
      </c>
      <c r="I572" t="s">
        <v>34</v>
      </c>
      <c r="J572" t="s">
        <v>45</v>
      </c>
      <c r="K572" t="s">
        <v>41</v>
      </c>
      <c r="L572" t="s">
        <v>3272</v>
      </c>
      <c r="M572" t="s">
        <v>3273</v>
      </c>
      <c r="N572" t="s">
        <v>516</v>
      </c>
      <c r="O572" t="s">
        <v>64</v>
      </c>
      <c r="P572" t="s">
        <v>3274</v>
      </c>
      <c r="Q572" t="s">
        <v>124</v>
      </c>
      <c r="R572" t="s">
        <v>2779</v>
      </c>
      <c r="S572">
        <v>0.71</v>
      </c>
      <c r="T572">
        <v>3753</v>
      </c>
      <c r="U572">
        <v>0</v>
      </c>
      <c r="V572">
        <v>3753</v>
      </c>
    </row>
    <row r="573" spans="1:22" x14ac:dyDescent="0.3">
      <c r="A573">
        <v>79452</v>
      </c>
      <c r="B573">
        <v>137616534</v>
      </c>
      <c r="C573" t="s">
        <v>3275</v>
      </c>
      <c r="D573" t="s">
        <v>3276</v>
      </c>
      <c r="E573" t="s">
        <v>513</v>
      </c>
      <c r="F573" t="s">
        <v>514</v>
      </c>
      <c r="G573" t="s">
        <v>43</v>
      </c>
      <c r="H573" t="s">
        <v>44</v>
      </c>
      <c r="I573" t="s">
        <v>34</v>
      </c>
      <c r="J573" t="s">
        <v>45</v>
      </c>
      <c r="K573" t="s">
        <v>41</v>
      </c>
      <c r="L573" t="s">
        <v>3277</v>
      </c>
      <c r="M573" t="s">
        <v>3278</v>
      </c>
      <c r="N573" t="s">
        <v>516</v>
      </c>
      <c r="O573" t="s">
        <v>64</v>
      </c>
      <c r="P573" t="s">
        <v>3279</v>
      </c>
      <c r="Q573" t="s">
        <v>42</v>
      </c>
      <c r="R573" t="s">
        <v>1613</v>
      </c>
      <c r="S573">
        <v>0.56999999999999995</v>
      </c>
      <c r="T573">
        <v>3784</v>
      </c>
      <c r="U573">
        <v>0</v>
      </c>
      <c r="V573">
        <v>3784</v>
      </c>
    </row>
    <row r="574" spans="1:22" x14ac:dyDescent="0.3">
      <c r="A574">
        <v>79452</v>
      </c>
      <c r="B574">
        <v>137633645</v>
      </c>
      <c r="C574" t="s">
        <v>3280</v>
      </c>
      <c r="D574" t="s">
        <v>3281</v>
      </c>
      <c r="E574" t="s">
        <v>513</v>
      </c>
      <c r="F574" t="s">
        <v>514</v>
      </c>
      <c r="G574" t="s">
        <v>43</v>
      </c>
      <c r="H574" t="s">
        <v>44</v>
      </c>
      <c r="I574" t="s">
        <v>34</v>
      </c>
      <c r="J574" t="s">
        <v>45</v>
      </c>
      <c r="K574" t="s">
        <v>41</v>
      </c>
      <c r="L574" t="s">
        <v>3282</v>
      </c>
      <c r="M574" t="s">
        <v>2052</v>
      </c>
      <c r="N574" t="s">
        <v>516</v>
      </c>
      <c r="O574" t="s">
        <v>64</v>
      </c>
      <c r="P574" t="s">
        <v>3283</v>
      </c>
      <c r="Q574" t="s">
        <v>125</v>
      </c>
      <c r="R574" t="s">
        <v>2613</v>
      </c>
      <c r="S574">
        <v>0.96</v>
      </c>
      <c r="T574">
        <v>4067</v>
      </c>
      <c r="U574">
        <v>0</v>
      </c>
      <c r="V574">
        <v>4067</v>
      </c>
    </row>
    <row r="575" spans="1:22" x14ac:dyDescent="0.3">
      <c r="A575">
        <v>79452</v>
      </c>
      <c r="B575">
        <v>137554393</v>
      </c>
      <c r="C575" t="s">
        <v>3284</v>
      </c>
      <c r="D575" t="s">
        <v>3285</v>
      </c>
      <c r="E575" t="s">
        <v>513</v>
      </c>
      <c r="F575" t="s">
        <v>514</v>
      </c>
      <c r="G575" t="s">
        <v>43</v>
      </c>
      <c r="H575" t="s">
        <v>44</v>
      </c>
      <c r="I575" t="s">
        <v>34</v>
      </c>
      <c r="J575" t="s">
        <v>45</v>
      </c>
      <c r="K575" t="s">
        <v>41</v>
      </c>
      <c r="L575" t="s">
        <v>2547</v>
      </c>
      <c r="M575" t="s">
        <v>2548</v>
      </c>
      <c r="N575" t="s">
        <v>516</v>
      </c>
      <c r="O575" t="s">
        <v>64</v>
      </c>
      <c r="P575" t="s">
        <v>2549</v>
      </c>
      <c r="Q575" t="s">
        <v>90</v>
      </c>
      <c r="R575" t="s">
        <v>366</v>
      </c>
      <c r="S575">
        <v>0.93</v>
      </c>
      <c r="T575">
        <v>3753</v>
      </c>
      <c r="U575">
        <v>0</v>
      </c>
      <c r="V575">
        <v>3753</v>
      </c>
    </row>
    <row r="576" spans="1:22" x14ac:dyDescent="0.3">
      <c r="A576">
        <v>79452</v>
      </c>
      <c r="B576">
        <v>137592405</v>
      </c>
      <c r="C576" t="s">
        <v>3286</v>
      </c>
      <c r="D576" t="s">
        <v>3287</v>
      </c>
      <c r="E576" t="s">
        <v>513</v>
      </c>
      <c r="F576" t="s">
        <v>514</v>
      </c>
      <c r="G576" t="s">
        <v>43</v>
      </c>
      <c r="H576" t="s">
        <v>44</v>
      </c>
      <c r="I576" t="s">
        <v>34</v>
      </c>
      <c r="J576" t="s">
        <v>45</v>
      </c>
      <c r="K576" t="s">
        <v>41</v>
      </c>
      <c r="L576" t="s">
        <v>3288</v>
      </c>
      <c r="M576" t="s">
        <v>3289</v>
      </c>
      <c r="N576" t="s">
        <v>516</v>
      </c>
      <c r="O576" t="s">
        <v>64</v>
      </c>
      <c r="P576" t="s">
        <v>3290</v>
      </c>
      <c r="Q576" t="s">
        <v>108</v>
      </c>
      <c r="R576" t="s">
        <v>433</v>
      </c>
      <c r="S576">
        <v>0.77</v>
      </c>
      <c r="T576">
        <v>3366</v>
      </c>
      <c r="U576">
        <v>0</v>
      </c>
      <c r="V576">
        <v>3366</v>
      </c>
    </row>
    <row r="577" spans="1:22" x14ac:dyDescent="0.3">
      <c r="A577">
        <v>79452</v>
      </c>
      <c r="B577">
        <v>137032361</v>
      </c>
      <c r="C577" t="s">
        <v>3291</v>
      </c>
      <c r="D577" t="s">
        <v>3292</v>
      </c>
      <c r="E577" t="s">
        <v>513</v>
      </c>
      <c r="F577" t="s">
        <v>514</v>
      </c>
      <c r="G577" t="s">
        <v>43</v>
      </c>
      <c r="H577" t="s">
        <v>44</v>
      </c>
      <c r="I577" t="s">
        <v>34</v>
      </c>
      <c r="J577" t="s">
        <v>45</v>
      </c>
      <c r="K577" t="s">
        <v>41</v>
      </c>
      <c r="L577" t="s">
        <v>3293</v>
      </c>
      <c r="M577" t="s">
        <v>2247</v>
      </c>
      <c r="N577" t="s">
        <v>516</v>
      </c>
      <c r="O577" t="s">
        <v>64</v>
      </c>
      <c r="P577" t="s">
        <v>2248</v>
      </c>
      <c r="Q577" t="s">
        <v>50</v>
      </c>
      <c r="R577" t="s">
        <v>2576</v>
      </c>
      <c r="S577">
        <v>0.71</v>
      </c>
      <c r="T577">
        <v>5198</v>
      </c>
      <c r="U577">
        <v>0</v>
      </c>
      <c r="V577">
        <v>5198</v>
      </c>
    </row>
    <row r="578" spans="1:22" x14ac:dyDescent="0.3">
      <c r="A578">
        <v>79452</v>
      </c>
      <c r="B578">
        <v>137554430</v>
      </c>
      <c r="C578" t="s">
        <v>3294</v>
      </c>
      <c r="D578" t="s">
        <v>3295</v>
      </c>
      <c r="E578" t="s">
        <v>513</v>
      </c>
      <c r="F578" t="s">
        <v>514</v>
      </c>
      <c r="G578" t="s">
        <v>43</v>
      </c>
      <c r="H578" t="s">
        <v>44</v>
      </c>
      <c r="I578" t="s">
        <v>34</v>
      </c>
      <c r="J578" t="s">
        <v>45</v>
      </c>
      <c r="K578" t="s">
        <v>41</v>
      </c>
      <c r="L578" t="s">
        <v>3296</v>
      </c>
      <c r="M578" t="s">
        <v>3297</v>
      </c>
      <c r="N578" t="s">
        <v>516</v>
      </c>
      <c r="O578" t="s">
        <v>64</v>
      </c>
      <c r="P578" t="s">
        <v>3298</v>
      </c>
      <c r="Q578" t="s">
        <v>62</v>
      </c>
      <c r="R578" t="s">
        <v>366</v>
      </c>
      <c r="S578">
        <v>1.17</v>
      </c>
      <c r="T578">
        <v>3784</v>
      </c>
      <c r="U578">
        <v>0</v>
      </c>
      <c r="V578">
        <v>3784</v>
      </c>
    </row>
    <row r="579" spans="1:22" x14ac:dyDescent="0.3">
      <c r="A579">
        <v>79452</v>
      </c>
      <c r="B579">
        <v>137408522</v>
      </c>
      <c r="C579" t="s">
        <v>3299</v>
      </c>
      <c r="D579" t="s">
        <v>3300</v>
      </c>
      <c r="E579" t="s">
        <v>513</v>
      </c>
      <c r="F579" t="s">
        <v>514</v>
      </c>
      <c r="G579" t="s">
        <v>43</v>
      </c>
      <c r="H579" t="s">
        <v>44</v>
      </c>
      <c r="I579" t="s">
        <v>34</v>
      </c>
      <c r="J579" t="s">
        <v>45</v>
      </c>
      <c r="K579" t="s">
        <v>41</v>
      </c>
      <c r="L579" t="s">
        <v>3301</v>
      </c>
      <c r="M579" t="s">
        <v>3302</v>
      </c>
      <c r="N579" t="s">
        <v>516</v>
      </c>
      <c r="O579" t="s">
        <v>64</v>
      </c>
      <c r="P579" t="s">
        <v>3303</v>
      </c>
      <c r="Q579" t="s">
        <v>184</v>
      </c>
      <c r="R579" t="s">
        <v>3089</v>
      </c>
      <c r="S579">
        <v>0.9</v>
      </c>
      <c r="T579">
        <v>3501</v>
      </c>
      <c r="U579">
        <v>0</v>
      </c>
      <c r="V579">
        <v>3501</v>
      </c>
    </row>
    <row r="580" spans="1:22" x14ac:dyDescent="0.3">
      <c r="A580">
        <v>79452</v>
      </c>
      <c r="B580">
        <v>137576104</v>
      </c>
      <c r="C580" t="s">
        <v>3304</v>
      </c>
      <c r="D580" t="s">
        <v>3305</v>
      </c>
      <c r="E580" t="s">
        <v>513</v>
      </c>
      <c r="F580" t="s">
        <v>514</v>
      </c>
      <c r="G580" t="s">
        <v>43</v>
      </c>
      <c r="H580" t="s">
        <v>44</v>
      </c>
      <c r="I580" t="s">
        <v>34</v>
      </c>
      <c r="J580" t="s">
        <v>45</v>
      </c>
      <c r="K580" t="s">
        <v>41</v>
      </c>
      <c r="L580" t="s">
        <v>412</v>
      </c>
      <c r="M580" t="s">
        <v>3306</v>
      </c>
      <c r="N580" t="s">
        <v>516</v>
      </c>
      <c r="O580" t="s">
        <v>64</v>
      </c>
      <c r="P580" t="s">
        <v>3307</v>
      </c>
      <c r="Q580" t="s">
        <v>106</v>
      </c>
      <c r="R580" t="s">
        <v>1835</v>
      </c>
      <c r="S580">
        <v>0.78</v>
      </c>
      <c r="T580">
        <v>3870</v>
      </c>
      <c r="U580">
        <v>0</v>
      </c>
      <c r="V580">
        <v>3870</v>
      </c>
    </row>
    <row r="581" spans="1:22" x14ac:dyDescent="0.3">
      <c r="A581">
        <v>79452</v>
      </c>
      <c r="B581">
        <v>137633619</v>
      </c>
      <c r="C581" t="s">
        <v>3308</v>
      </c>
      <c r="D581" t="s">
        <v>3309</v>
      </c>
      <c r="E581" t="s">
        <v>513</v>
      </c>
      <c r="F581" t="s">
        <v>514</v>
      </c>
      <c r="G581" t="s">
        <v>43</v>
      </c>
      <c r="H581" t="s">
        <v>44</v>
      </c>
      <c r="I581" t="s">
        <v>34</v>
      </c>
      <c r="J581" t="s">
        <v>45</v>
      </c>
      <c r="K581" t="s">
        <v>41</v>
      </c>
      <c r="L581" t="s">
        <v>3310</v>
      </c>
      <c r="M581" t="s">
        <v>3311</v>
      </c>
      <c r="N581" t="s">
        <v>516</v>
      </c>
      <c r="O581" t="s">
        <v>64</v>
      </c>
      <c r="P581" t="s">
        <v>3312</v>
      </c>
      <c r="Q581" t="s">
        <v>63</v>
      </c>
      <c r="R581" t="s">
        <v>1901</v>
      </c>
      <c r="S581">
        <v>0.94</v>
      </c>
      <c r="T581">
        <v>3366</v>
      </c>
      <c r="U581">
        <v>0</v>
      </c>
      <c r="V581">
        <v>3366</v>
      </c>
    </row>
    <row r="582" spans="1:22" x14ac:dyDescent="0.3">
      <c r="A582">
        <v>79452</v>
      </c>
      <c r="B582">
        <v>137616513</v>
      </c>
      <c r="C582" t="s">
        <v>3313</v>
      </c>
      <c r="D582" t="s">
        <v>3314</v>
      </c>
      <c r="E582" t="s">
        <v>513</v>
      </c>
      <c r="F582" t="s">
        <v>514</v>
      </c>
      <c r="G582" t="s">
        <v>43</v>
      </c>
      <c r="H582" t="s">
        <v>44</v>
      </c>
      <c r="I582" t="s">
        <v>34</v>
      </c>
      <c r="J582" t="s">
        <v>45</v>
      </c>
      <c r="K582" t="s">
        <v>54</v>
      </c>
      <c r="L582" t="s">
        <v>55</v>
      </c>
      <c r="M582" t="s">
        <v>3315</v>
      </c>
      <c r="N582" t="s">
        <v>516</v>
      </c>
      <c r="O582" t="s">
        <v>64</v>
      </c>
      <c r="P582" t="s">
        <v>3316</v>
      </c>
      <c r="Q582" t="s">
        <v>81</v>
      </c>
      <c r="R582" t="s">
        <v>1613</v>
      </c>
      <c r="S582">
        <v>1.28</v>
      </c>
      <c r="T582">
        <v>3366</v>
      </c>
      <c r="U582">
        <v>0</v>
      </c>
      <c r="V582">
        <v>3366</v>
      </c>
    </row>
    <row r="583" spans="1:22" x14ac:dyDescent="0.3">
      <c r="A583">
        <v>79452</v>
      </c>
      <c r="B583">
        <v>137579235</v>
      </c>
      <c r="C583" t="s">
        <v>3317</v>
      </c>
      <c r="D583" t="s">
        <v>3318</v>
      </c>
      <c r="E583" t="s">
        <v>513</v>
      </c>
      <c r="F583" t="s">
        <v>514</v>
      </c>
      <c r="G583" t="s">
        <v>43</v>
      </c>
      <c r="H583" t="s">
        <v>44</v>
      </c>
      <c r="I583" t="s">
        <v>34</v>
      </c>
      <c r="J583" t="s">
        <v>45</v>
      </c>
      <c r="K583" t="s">
        <v>41</v>
      </c>
      <c r="L583" t="s">
        <v>3319</v>
      </c>
      <c r="M583" t="s">
        <v>3320</v>
      </c>
      <c r="N583" t="s">
        <v>516</v>
      </c>
      <c r="O583" t="s">
        <v>64</v>
      </c>
      <c r="P583" t="s">
        <v>3321</v>
      </c>
      <c r="Q583" t="s">
        <v>87</v>
      </c>
      <c r="R583" t="s">
        <v>2362</v>
      </c>
      <c r="S583">
        <v>1.04</v>
      </c>
      <c r="T583">
        <v>3870</v>
      </c>
      <c r="U583">
        <v>0</v>
      </c>
      <c r="V583">
        <v>3870</v>
      </c>
    </row>
    <row r="584" spans="1:22" x14ac:dyDescent="0.3">
      <c r="A584">
        <v>79452</v>
      </c>
      <c r="B584">
        <v>137535471</v>
      </c>
      <c r="C584" t="s">
        <v>3322</v>
      </c>
      <c r="D584" t="s">
        <v>3323</v>
      </c>
      <c r="E584" t="s">
        <v>513</v>
      </c>
      <c r="F584" t="s">
        <v>514</v>
      </c>
      <c r="G584" t="s">
        <v>43</v>
      </c>
      <c r="H584" t="s">
        <v>44</v>
      </c>
      <c r="I584" t="s">
        <v>34</v>
      </c>
      <c r="J584" t="s">
        <v>45</v>
      </c>
      <c r="K584" t="s">
        <v>41</v>
      </c>
      <c r="L584" t="s">
        <v>3324</v>
      </c>
      <c r="M584" t="s">
        <v>3325</v>
      </c>
      <c r="N584" t="s">
        <v>516</v>
      </c>
      <c r="O584" t="s">
        <v>64</v>
      </c>
      <c r="P584" t="s">
        <v>3326</v>
      </c>
      <c r="Q584" t="s">
        <v>50</v>
      </c>
      <c r="R584" t="s">
        <v>3028</v>
      </c>
      <c r="S584">
        <v>1.19</v>
      </c>
      <c r="T584">
        <v>5198</v>
      </c>
      <c r="U584">
        <v>0</v>
      </c>
      <c r="V584">
        <v>5198</v>
      </c>
    </row>
    <row r="585" spans="1:22" x14ac:dyDescent="0.3">
      <c r="A585">
        <v>79452</v>
      </c>
      <c r="B585">
        <v>137592379</v>
      </c>
      <c r="C585" t="s">
        <v>3327</v>
      </c>
      <c r="D585" t="s">
        <v>3328</v>
      </c>
      <c r="E585" t="s">
        <v>513</v>
      </c>
      <c r="F585" t="s">
        <v>514</v>
      </c>
      <c r="G585" t="s">
        <v>43</v>
      </c>
      <c r="H585" t="s">
        <v>44</v>
      </c>
      <c r="I585" t="s">
        <v>34</v>
      </c>
      <c r="J585" t="s">
        <v>45</v>
      </c>
      <c r="K585" t="s">
        <v>41</v>
      </c>
      <c r="L585" t="s">
        <v>3329</v>
      </c>
      <c r="M585" t="s">
        <v>3330</v>
      </c>
      <c r="N585" t="s">
        <v>516</v>
      </c>
      <c r="O585" t="s">
        <v>64</v>
      </c>
      <c r="P585" t="s">
        <v>3331</v>
      </c>
      <c r="Q585" t="s">
        <v>90</v>
      </c>
      <c r="R585" t="s">
        <v>433</v>
      </c>
      <c r="S585">
        <v>1</v>
      </c>
      <c r="T585">
        <v>3753</v>
      </c>
      <c r="U585">
        <v>0</v>
      </c>
      <c r="V585">
        <v>3753</v>
      </c>
    </row>
    <row r="586" spans="1:22" x14ac:dyDescent="0.3">
      <c r="A586">
        <v>79452</v>
      </c>
      <c r="B586">
        <v>137497856</v>
      </c>
      <c r="C586" t="s">
        <v>3332</v>
      </c>
      <c r="D586" t="s">
        <v>3333</v>
      </c>
      <c r="E586" t="s">
        <v>513</v>
      </c>
      <c r="F586" t="s">
        <v>514</v>
      </c>
      <c r="G586" t="s">
        <v>43</v>
      </c>
      <c r="H586" t="s">
        <v>44</v>
      </c>
      <c r="I586" t="s">
        <v>34</v>
      </c>
      <c r="J586" t="s">
        <v>45</v>
      </c>
      <c r="K586" t="s">
        <v>41</v>
      </c>
      <c r="L586" t="s">
        <v>3334</v>
      </c>
      <c r="M586" t="s">
        <v>3335</v>
      </c>
      <c r="N586" t="s">
        <v>516</v>
      </c>
      <c r="O586" t="s">
        <v>64</v>
      </c>
      <c r="P586" t="s">
        <v>3336</v>
      </c>
      <c r="Q586" t="s">
        <v>111</v>
      </c>
      <c r="R586" t="s">
        <v>2859</v>
      </c>
      <c r="S586">
        <v>2.67</v>
      </c>
      <c r="T586">
        <v>5476</v>
      </c>
      <c r="U586">
        <v>0</v>
      </c>
      <c r="V586">
        <v>5476</v>
      </c>
    </row>
    <row r="587" spans="1:22" x14ac:dyDescent="0.3">
      <c r="A587">
        <v>79452</v>
      </c>
      <c r="B587">
        <v>137576114</v>
      </c>
      <c r="C587" t="s">
        <v>3337</v>
      </c>
      <c r="D587" t="s">
        <v>3338</v>
      </c>
      <c r="E587" t="s">
        <v>513</v>
      </c>
      <c r="F587" t="s">
        <v>514</v>
      </c>
      <c r="G587" t="s">
        <v>43</v>
      </c>
      <c r="H587" t="s">
        <v>44</v>
      </c>
      <c r="I587" t="s">
        <v>34</v>
      </c>
      <c r="J587" t="s">
        <v>45</v>
      </c>
      <c r="K587" t="s">
        <v>41</v>
      </c>
      <c r="L587" t="s">
        <v>3339</v>
      </c>
      <c r="M587" t="s">
        <v>162</v>
      </c>
      <c r="N587" t="s">
        <v>516</v>
      </c>
      <c r="O587" t="s">
        <v>64</v>
      </c>
      <c r="P587" t="s">
        <v>3340</v>
      </c>
      <c r="Q587" t="s">
        <v>81</v>
      </c>
      <c r="R587" t="s">
        <v>372</v>
      </c>
      <c r="S587">
        <v>1</v>
      </c>
      <c r="T587">
        <v>3366</v>
      </c>
      <c r="U587">
        <v>0</v>
      </c>
      <c r="V587">
        <v>3366</v>
      </c>
    </row>
    <row r="588" spans="1:22" x14ac:dyDescent="0.3">
      <c r="A588">
        <v>79452</v>
      </c>
      <c r="B588">
        <v>137592383</v>
      </c>
      <c r="C588" t="s">
        <v>3341</v>
      </c>
      <c r="D588" t="s">
        <v>3342</v>
      </c>
      <c r="E588" t="s">
        <v>513</v>
      </c>
      <c r="F588" t="s">
        <v>514</v>
      </c>
      <c r="G588" t="s">
        <v>43</v>
      </c>
      <c r="H588" t="s">
        <v>44</v>
      </c>
      <c r="I588" t="s">
        <v>34</v>
      </c>
      <c r="J588" t="s">
        <v>45</v>
      </c>
      <c r="K588" t="s">
        <v>41</v>
      </c>
      <c r="L588" t="s">
        <v>3343</v>
      </c>
      <c r="M588" t="s">
        <v>1596</v>
      </c>
      <c r="N588" t="s">
        <v>516</v>
      </c>
      <c r="O588" t="s">
        <v>64</v>
      </c>
      <c r="P588" t="s">
        <v>1597</v>
      </c>
      <c r="Q588" t="s">
        <v>108</v>
      </c>
      <c r="R588" t="s">
        <v>433</v>
      </c>
      <c r="S588">
        <v>0.93</v>
      </c>
      <c r="T588">
        <v>3366</v>
      </c>
      <c r="U588">
        <v>0</v>
      </c>
      <c r="V588">
        <v>3366</v>
      </c>
    </row>
    <row r="589" spans="1:22" x14ac:dyDescent="0.3">
      <c r="A589">
        <v>79452</v>
      </c>
      <c r="B589">
        <v>137289730</v>
      </c>
      <c r="C589" t="s">
        <v>3344</v>
      </c>
      <c r="D589" t="s">
        <v>3345</v>
      </c>
      <c r="E589" t="s">
        <v>513</v>
      </c>
      <c r="F589" t="s">
        <v>514</v>
      </c>
      <c r="G589" t="s">
        <v>43</v>
      </c>
      <c r="H589" t="s">
        <v>44</v>
      </c>
      <c r="I589" t="s">
        <v>34</v>
      </c>
      <c r="J589" t="s">
        <v>45</v>
      </c>
      <c r="K589" t="s">
        <v>41</v>
      </c>
      <c r="L589" t="s">
        <v>3346</v>
      </c>
      <c r="M589" t="s">
        <v>3347</v>
      </c>
      <c r="N589" t="s">
        <v>516</v>
      </c>
      <c r="O589" t="s">
        <v>64</v>
      </c>
      <c r="P589" t="s">
        <v>3348</v>
      </c>
      <c r="Q589" t="s">
        <v>50</v>
      </c>
      <c r="R589" t="s">
        <v>518</v>
      </c>
      <c r="S589">
        <v>2.15</v>
      </c>
      <c r="T589">
        <v>5198</v>
      </c>
      <c r="U589">
        <v>0</v>
      </c>
      <c r="V589">
        <v>5198</v>
      </c>
    </row>
    <row r="590" spans="1:22" x14ac:dyDescent="0.3">
      <c r="A590">
        <v>79452</v>
      </c>
      <c r="B590">
        <v>137467514</v>
      </c>
      <c r="C590" t="s">
        <v>3349</v>
      </c>
      <c r="D590" t="s">
        <v>3350</v>
      </c>
      <c r="E590" t="s">
        <v>513</v>
      </c>
      <c r="F590" t="s">
        <v>514</v>
      </c>
      <c r="G590" t="s">
        <v>43</v>
      </c>
      <c r="H590" t="s">
        <v>44</v>
      </c>
      <c r="I590" t="s">
        <v>34</v>
      </c>
      <c r="J590" t="s">
        <v>45</v>
      </c>
      <c r="K590" t="s">
        <v>41</v>
      </c>
      <c r="L590" t="s">
        <v>3351</v>
      </c>
      <c r="M590" t="s">
        <v>3352</v>
      </c>
      <c r="N590" t="s">
        <v>516</v>
      </c>
      <c r="O590" t="s">
        <v>64</v>
      </c>
      <c r="P590" t="s">
        <v>3353</v>
      </c>
      <c r="Q590" t="s">
        <v>62</v>
      </c>
      <c r="R590" t="s">
        <v>2808</v>
      </c>
      <c r="S590">
        <v>1</v>
      </c>
      <c r="T590">
        <v>3784</v>
      </c>
      <c r="U590">
        <v>0</v>
      </c>
      <c r="V590">
        <v>3784</v>
      </c>
    </row>
    <row r="591" spans="1:22" x14ac:dyDescent="0.3">
      <c r="A591">
        <v>79452</v>
      </c>
      <c r="B591">
        <v>137497797</v>
      </c>
      <c r="C591" t="s">
        <v>3354</v>
      </c>
      <c r="D591" t="s">
        <v>3355</v>
      </c>
      <c r="E591" t="s">
        <v>513</v>
      </c>
      <c r="F591" t="s">
        <v>514</v>
      </c>
      <c r="G591" t="s">
        <v>43</v>
      </c>
      <c r="H591" t="s">
        <v>44</v>
      </c>
      <c r="I591" t="s">
        <v>34</v>
      </c>
      <c r="J591" t="s">
        <v>45</v>
      </c>
      <c r="K591" t="s">
        <v>41</v>
      </c>
      <c r="L591" t="s">
        <v>3356</v>
      </c>
      <c r="M591" t="s">
        <v>2271</v>
      </c>
      <c r="N591" t="s">
        <v>516</v>
      </c>
      <c r="O591" t="s">
        <v>64</v>
      </c>
      <c r="P591" t="s">
        <v>2272</v>
      </c>
      <c r="Q591" t="s">
        <v>75</v>
      </c>
      <c r="R591" t="s">
        <v>2859</v>
      </c>
      <c r="S591">
        <v>3.2</v>
      </c>
      <c r="T591">
        <v>4456</v>
      </c>
      <c r="U591">
        <v>0</v>
      </c>
      <c r="V591">
        <v>4456</v>
      </c>
    </row>
    <row r="592" spans="1:22" x14ac:dyDescent="0.3">
      <c r="A592">
        <v>79452</v>
      </c>
      <c r="B592">
        <v>137535529</v>
      </c>
      <c r="C592" t="s">
        <v>3357</v>
      </c>
      <c r="D592" t="s">
        <v>3358</v>
      </c>
      <c r="E592" t="s">
        <v>513</v>
      </c>
      <c r="F592" t="s">
        <v>514</v>
      </c>
      <c r="G592" t="s">
        <v>69</v>
      </c>
      <c r="H592" t="s">
        <v>70</v>
      </c>
      <c r="I592" t="s">
        <v>34</v>
      </c>
      <c r="J592" t="s">
        <v>139</v>
      </c>
      <c r="K592" t="s">
        <v>41</v>
      </c>
      <c r="L592" t="s">
        <v>71</v>
      </c>
      <c r="M592" t="s">
        <v>3359</v>
      </c>
      <c r="N592" t="s">
        <v>516</v>
      </c>
      <c r="O592" t="s">
        <v>64</v>
      </c>
      <c r="P592" t="s">
        <v>3360</v>
      </c>
      <c r="Q592" t="s">
        <v>83</v>
      </c>
      <c r="R592" t="s">
        <v>3361</v>
      </c>
      <c r="S592">
        <v>0.73</v>
      </c>
      <c r="T592">
        <v>3915</v>
      </c>
      <c r="U592">
        <v>0</v>
      </c>
      <c r="V592">
        <v>3915</v>
      </c>
    </row>
    <row r="593" spans="1:22" x14ac:dyDescent="0.3">
      <c r="A593">
        <v>79452</v>
      </c>
      <c r="B593">
        <v>137408532</v>
      </c>
      <c r="C593" t="s">
        <v>3362</v>
      </c>
      <c r="D593" t="s">
        <v>3363</v>
      </c>
      <c r="E593" t="s">
        <v>513</v>
      </c>
      <c r="F593" t="s">
        <v>514</v>
      </c>
      <c r="G593" t="s">
        <v>43</v>
      </c>
      <c r="H593" t="s">
        <v>44</v>
      </c>
      <c r="I593" t="s">
        <v>34</v>
      </c>
      <c r="J593" t="s">
        <v>45</v>
      </c>
      <c r="K593" t="s">
        <v>41</v>
      </c>
      <c r="L593" t="s">
        <v>3364</v>
      </c>
      <c r="M593" t="s">
        <v>3365</v>
      </c>
      <c r="N593" t="s">
        <v>516</v>
      </c>
      <c r="O593" t="s">
        <v>64</v>
      </c>
      <c r="P593" t="s">
        <v>3366</v>
      </c>
      <c r="Q593" t="s">
        <v>66</v>
      </c>
      <c r="R593" t="s">
        <v>3089</v>
      </c>
      <c r="S593">
        <v>1</v>
      </c>
      <c r="T593">
        <v>3784</v>
      </c>
      <c r="U593">
        <v>0</v>
      </c>
      <c r="V593">
        <v>3784</v>
      </c>
    </row>
    <row r="594" spans="1:22" x14ac:dyDescent="0.3">
      <c r="A594">
        <v>79452</v>
      </c>
      <c r="B594">
        <v>137467393</v>
      </c>
      <c r="C594" t="s">
        <v>3367</v>
      </c>
      <c r="D594" t="s">
        <v>3368</v>
      </c>
      <c r="E594" t="s">
        <v>513</v>
      </c>
      <c r="F594" t="s">
        <v>514</v>
      </c>
      <c r="G594" t="s">
        <v>43</v>
      </c>
      <c r="H594" t="s">
        <v>44</v>
      </c>
      <c r="I594" t="s">
        <v>34</v>
      </c>
      <c r="J594" t="s">
        <v>45</v>
      </c>
      <c r="K594" t="s">
        <v>54</v>
      </c>
      <c r="L594" t="s">
        <v>55</v>
      </c>
      <c r="M594" t="s">
        <v>3369</v>
      </c>
      <c r="N594" t="s">
        <v>516</v>
      </c>
      <c r="O594" t="s">
        <v>64</v>
      </c>
      <c r="P594" t="s">
        <v>3370</v>
      </c>
      <c r="Q594" t="s">
        <v>61</v>
      </c>
      <c r="R594" t="s">
        <v>2930</v>
      </c>
      <c r="S594">
        <v>1</v>
      </c>
      <c r="T594">
        <v>3366</v>
      </c>
      <c r="U594">
        <v>0</v>
      </c>
      <c r="V594">
        <v>3366</v>
      </c>
    </row>
    <row r="595" spans="1:22" x14ac:dyDescent="0.3">
      <c r="A595">
        <v>79452</v>
      </c>
      <c r="B595">
        <v>137408515</v>
      </c>
      <c r="C595" t="s">
        <v>3371</v>
      </c>
      <c r="D595" t="s">
        <v>3372</v>
      </c>
      <c r="E595" t="s">
        <v>513</v>
      </c>
      <c r="F595" t="s">
        <v>514</v>
      </c>
      <c r="G595" t="s">
        <v>43</v>
      </c>
      <c r="H595" t="s">
        <v>44</v>
      </c>
      <c r="I595" t="s">
        <v>34</v>
      </c>
      <c r="J595" t="s">
        <v>45</v>
      </c>
      <c r="K595" t="s">
        <v>41</v>
      </c>
      <c r="L595" t="s">
        <v>3373</v>
      </c>
      <c r="M595" t="s">
        <v>3374</v>
      </c>
      <c r="N595" t="s">
        <v>516</v>
      </c>
      <c r="O595" t="s">
        <v>64</v>
      </c>
      <c r="P595" t="s">
        <v>3375</v>
      </c>
      <c r="Q595" t="s">
        <v>102</v>
      </c>
      <c r="R595" t="s">
        <v>3089</v>
      </c>
      <c r="S595">
        <v>1.21</v>
      </c>
      <c r="T595">
        <v>3366</v>
      </c>
      <c r="U595">
        <v>0</v>
      </c>
      <c r="V595">
        <v>3366</v>
      </c>
    </row>
    <row r="596" spans="1:22" x14ac:dyDescent="0.3">
      <c r="A596">
        <v>79452</v>
      </c>
      <c r="B596">
        <v>137408493</v>
      </c>
      <c r="C596" t="s">
        <v>3376</v>
      </c>
      <c r="D596" t="s">
        <v>3377</v>
      </c>
      <c r="E596" t="s">
        <v>513</v>
      </c>
      <c r="F596" t="s">
        <v>514</v>
      </c>
      <c r="G596" t="s">
        <v>43</v>
      </c>
      <c r="H596" t="s">
        <v>44</v>
      </c>
      <c r="I596" t="s">
        <v>34</v>
      </c>
      <c r="J596" t="s">
        <v>45</v>
      </c>
      <c r="K596" t="s">
        <v>41</v>
      </c>
      <c r="L596" t="s">
        <v>3378</v>
      </c>
      <c r="M596" t="s">
        <v>3379</v>
      </c>
      <c r="N596" t="s">
        <v>516</v>
      </c>
      <c r="O596" t="s">
        <v>64</v>
      </c>
      <c r="P596" t="s">
        <v>3380</v>
      </c>
      <c r="Q596" t="s">
        <v>58</v>
      </c>
      <c r="R596" t="s">
        <v>1881</v>
      </c>
      <c r="S596">
        <v>1.19</v>
      </c>
      <c r="T596">
        <v>3366</v>
      </c>
      <c r="U596">
        <v>0</v>
      </c>
      <c r="V596">
        <v>3366</v>
      </c>
    </row>
    <row r="597" spans="1:22" x14ac:dyDescent="0.3">
      <c r="A597">
        <v>79452</v>
      </c>
      <c r="B597">
        <v>137408489</v>
      </c>
      <c r="C597" t="s">
        <v>3381</v>
      </c>
      <c r="D597" t="s">
        <v>3382</v>
      </c>
      <c r="E597" t="s">
        <v>513</v>
      </c>
      <c r="F597" t="s">
        <v>514</v>
      </c>
      <c r="G597" t="s">
        <v>43</v>
      </c>
      <c r="H597" t="s">
        <v>44</v>
      </c>
      <c r="I597" t="s">
        <v>34</v>
      </c>
      <c r="J597" t="s">
        <v>45</v>
      </c>
      <c r="K597" t="s">
        <v>41</v>
      </c>
      <c r="L597" t="s">
        <v>263</v>
      </c>
      <c r="M597" t="s">
        <v>1314</v>
      </c>
      <c r="N597" t="s">
        <v>516</v>
      </c>
      <c r="O597" t="s">
        <v>64</v>
      </c>
      <c r="P597" t="s">
        <v>1315</v>
      </c>
      <c r="Q597" t="s">
        <v>118</v>
      </c>
      <c r="R597" t="s">
        <v>1881</v>
      </c>
      <c r="S597">
        <v>1.39</v>
      </c>
      <c r="T597">
        <v>4067</v>
      </c>
      <c r="U597">
        <v>0</v>
      </c>
      <c r="V597">
        <v>4067</v>
      </c>
    </row>
    <row r="598" spans="1:22" x14ac:dyDescent="0.3">
      <c r="A598">
        <v>79452</v>
      </c>
      <c r="B598">
        <v>137408506</v>
      </c>
      <c r="C598" t="s">
        <v>3383</v>
      </c>
      <c r="D598" t="s">
        <v>3384</v>
      </c>
      <c r="E598" t="s">
        <v>513</v>
      </c>
      <c r="F598" t="s">
        <v>514</v>
      </c>
      <c r="G598" t="s">
        <v>43</v>
      </c>
      <c r="H598" t="s">
        <v>44</v>
      </c>
      <c r="I598" t="s">
        <v>34</v>
      </c>
      <c r="J598" t="s">
        <v>45</v>
      </c>
      <c r="K598" t="s">
        <v>41</v>
      </c>
      <c r="L598" t="s">
        <v>3385</v>
      </c>
      <c r="M598" t="s">
        <v>3386</v>
      </c>
      <c r="N598" t="s">
        <v>516</v>
      </c>
      <c r="O598" t="s">
        <v>64</v>
      </c>
      <c r="P598" t="s">
        <v>3387</v>
      </c>
      <c r="Q598" t="s">
        <v>90</v>
      </c>
      <c r="R598" t="s">
        <v>1881</v>
      </c>
      <c r="S598">
        <v>1.1599999999999999</v>
      </c>
      <c r="T598">
        <v>3753</v>
      </c>
      <c r="U598">
        <v>0</v>
      </c>
      <c r="V598">
        <v>3753</v>
      </c>
    </row>
    <row r="599" spans="1:22" x14ac:dyDescent="0.3">
      <c r="A599">
        <v>79452</v>
      </c>
      <c r="B599">
        <v>137467579</v>
      </c>
      <c r="C599" t="s">
        <v>3388</v>
      </c>
      <c r="D599" t="s">
        <v>3389</v>
      </c>
      <c r="E599" t="s">
        <v>513</v>
      </c>
      <c r="F599" t="s">
        <v>514</v>
      </c>
      <c r="G599" t="s">
        <v>43</v>
      </c>
      <c r="H599" t="s">
        <v>44</v>
      </c>
      <c r="I599" t="s">
        <v>34</v>
      </c>
      <c r="J599" t="s">
        <v>45</v>
      </c>
      <c r="K599" t="s">
        <v>41</v>
      </c>
      <c r="L599" t="s">
        <v>3390</v>
      </c>
      <c r="M599" t="s">
        <v>3391</v>
      </c>
      <c r="N599" t="s">
        <v>516</v>
      </c>
      <c r="O599" t="s">
        <v>64</v>
      </c>
      <c r="P599" t="s">
        <v>3392</v>
      </c>
      <c r="Q599" t="s">
        <v>102</v>
      </c>
      <c r="R599" t="s">
        <v>2561</v>
      </c>
      <c r="S599">
        <v>1.1200000000000001</v>
      </c>
      <c r="T599">
        <v>3366</v>
      </c>
      <c r="U599">
        <v>0</v>
      </c>
      <c r="V599">
        <v>3366</v>
      </c>
    </row>
    <row r="600" spans="1:22" x14ac:dyDescent="0.3">
      <c r="A600">
        <v>79452</v>
      </c>
      <c r="B600">
        <v>137467474</v>
      </c>
      <c r="C600" t="s">
        <v>3393</v>
      </c>
      <c r="D600" t="s">
        <v>3394</v>
      </c>
      <c r="E600" t="s">
        <v>513</v>
      </c>
      <c r="F600" t="s">
        <v>514</v>
      </c>
      <c r="G600" t="s">
        <v>43</v>
      </c>
      <c r="H600" t="s">
        <v>44</v>
      </c>
      <c r="I600" t="s">
        <v>34</v>
      </c>
      <c r="J600" t="s">
        <v>45</v>
      </c>
      <c r="K600" t="s">
        <v>41</v>
      </c>
      <c r="L600" t="s">
        <v>275</v>
      </c>
      <c r="M600" t="s">
        <v>3395</v>
      </c>
      <c r="N600" t="s">
        <v>516</v>
      </c>
      <c r="O600" t="s">
        <v>64</v>
      </c>
      <c r="P600" t="s">
        <v>3396</v>
      </c>
      <c r="Q600" t="s">
        <v>118</v>
      </c>
      <c r="R600" t="s">
        <v>2808</v>
      </c>
      <c r="S600">
        <v>1</v>
      </c>
      <c r="T600">
        <v>4067</v>
      </c>
      <c r="U600">
        <v>0</v>
      </c>
      <c r="V600">
        <v>4067</v>
      </c>
    </row>
    <row r="601" spans="1:22" x14ac:dyDescent="0.3">
      <c r="A601">
        <v>79452</v>
      </c>
      <c r="B601">
        <v>137289750</v>
      </c>
      <c r="C601" t="s">
        <v>3397</v>
      </c>
      <c r="D601" t="s">
        <v>3398</v>
      </c>
      <c r="E601" t="s">
        <v>513</v>
      </c>
      <c r="F601" t="s">
        <v>514</v>
      </c>
      <c r="G601" t="s">
        <v>43</v>
      </c>
      <c r="H601" t="s">
        <v>44</v>
      </c>
      <c r="I601" t="s">
        <v>34</v>
      </c>
      <c r="J601" t="s">
        <v>45</v>
      </c>
      <c r="K601" t="s">
        <v>41</v>
      </c>
      <c r="L601" t="s">
        <v>3399</v>
      </c>
      <c r="M601" t="s">
        <v>157</v>
      </c>
      <c r="N601" t="s">
        <v>516</v>
      </c>
      <c r="O601" t="s">
        <v>64</v>
      </c>
      <c r="P601" t="s">
        <v>3400</v>
      </c>
      <c r="Q601" t="s">
        <v>50</v>
      </c>
      <c r="R601" t="s">
        <v>518</v>
      </c>
      <c r="S601">
        <v>2.1</v>
      </c>
      <c r="T601">
        <v>5198</v>
      </c>
      <c r="U601">
        <v>0</v>
      </c>
      <c r="V601">
        <v>5198</v>
      </c>
    </row>
    <row r="602" spans="1:22" x14ac:dyDescent="0.3">
      <c r="A602">
        <v>79452</v>
      </c>
      <c r="B602">
        <v>137289748</v>
      </c>
      <c r="C602" t="s">
        <v>3401</v>
      </c>
      <c r="D602" t="s">
        <v>3402</v>
      </c>
      <c r="E602" t="s">
        <v>513</v>
      </c>
      <c r="F602" t="s">
        <v>514</v>
      </c>
      <c r="G602" t="s">
        <v>43</v>
      </c>
      <c r="H602" t="s">
        <v>44</v>
      </c>
      <c r="I602" t="s">
        <v>34</v>
      </c>
      <c r="J602" t="s">
        <v>45</v>
      </c>
      <c r="K602" t="s">
        <v>41</v>
      </c>
      <c r="L602" t="s">
        <v>3403</v>
      </c>
      <c r="M602" t="s">
        <v>3404</v>
      </c>
      <c r="N602" t="s">
        <v>516</v>
      </c>
      <c r="O602" t="s">
        <v>64</v>
      </c>
      <c r="P602" t="s">
        <v>3405</v>
      </c>
      <c r="Q602" t="s">
        <v>50</v>
      </c>
      <c r="R602" t="s">
        <v>518</v>
      </c>
      <c r="S602">
        <v>1.31</v>
      </c>
      <c r="T602">
        <v>5198</v>
      </c>
      <c r="U602">
        <v>0</v>
      </c>
      <c r="V602">
        <v>5198</v>
      </c>
    </row>
    <row r="603" spans="1:22" x14ac:dyDescent="0.3">
      <c r="A603">
        <v>79452</v>
      </c>
      <c r="B603">
        <v>137512731</v>
      </c>
      <c r="C603" t="s">
        <v>3406</v>
      </c>
      <c r="D603" t="s">
        <v>3407</v>
      </c>
      <c r="E603" t="s">
        <v>513</v>
      </c>
      <c r="F603" t="s">
        <v>514</v>
      </c>
      <c r="G603" t="s">
        <v>43</v>
      </c>
      <c r="H603" t="s">
        <v>44</v>
      </c>
      <c r="I603" t="s">
        <v>34</v>
      </c>
      <c r="J603" t="s">
        <v>45</v>
      </c>
      <c r="K603" t="s">
        <v>41</v>
      </c>
      <c r="L603" t="s">
        <v>3408</v>
      </c>
      <c r="M603" t="s">
        <v>3409</v>
      </c>
      <c r="N603" t="s">
        <v>516</v>
      </c>
      <c r="O603" t="s">
        <v>64</v>
      </c>
      <c r="P603" t="s">
        <v>3410</v>
      </c>
      <c r="Q603" t="s">
        <v>118</v>
      </c>
      <c r="R603" t="s">
        <v>2977</v>
      </c>
      <c r="S603">
        <v>0.82</v>
      </c>
      <c r="T603">
        <v>4067</v>
      </c>
      <c r="U603">
        <v>0</v>
      </c>
      <c r="V603">
        <v>4067</v>
      </c>
    </row>
    <row r="604" spans="1:22" x14ac:dyDescent="0.3">
      <c r="A604">
        <v>79452</v>
      </c>
      <c r="B604">
        <v>137467412</v>
      </c>
      <c r="C604" t="s">
        <v>3411</v>
      </c>
      <c r="D604" t="s">
        <v>3412</v>
      </c>
      <c r="E604" t="s">
        <v>513</v>
      </c>
      <c r="F604" t="s">
        <v>514</v>
      </c>
      <c r="G604" t="s">
        <v>43</v>
      </c>
      <c r="H604" t="s">
        <v>44</v>
      </c>
      <c r="I604" t="s">
        <v>34</v>
      </c>
      <c r="J604" t="s">
        <v>45</v>
      </c>
      <c r="K604" t="s">
        <v>41</v>
      </c>
      <c r="L604" t="s">
        <v>3413</v>
      </c>
      <c r="M604" t="s">
        <v>3414</v>
      </c>
      <c r="N604" t="s">
        <v>516</v>
      </c>
      <c r="O604" t="s">
        <v>64</v>
      </c>
      <c r="P604" t="s">
        <v>3415</v>
      </c>
      <c r="Q604" t="s">
        <v>58</v>
      </c>
      <c r="R604" t="s">
        <v>2930</v>
      </c>
      <c r="S604">
        <v>0.98</v>
      </c>
      <c r="T604">
        <v>3366</v>
      </c>
      <c r="U604">
        <v>0</v>
      </c>
      <c r="V604">
        <v>3366</v>
      </c>
    </row>
    <row r="605" spans="1:22" x14ac:dyDescent="0.3">
      <c r="A605">
        <v>79452</v>
      </c>
      <c r="B605">
        <v>137358372</v>
      </c>
      <c r="C605" t="s">
        <v>3416</v>
      </c>
      <c r="D605" t="s">
        <v>3417</v>
      </c>
      <c r="E605" t="s">
        <v>513</v>
      </c>
      <c r="F605" t="s">
        <v>514</v>
      </c>
      <c r="G605" t="s">
        <v>43</v>
      </c>
      <c r="H605" t="s">
        <v>44</v>
      </c>
      <c r="I605" t="s">
        <v>34</v>
      </c>
      <c r="J605" t="s">
        <v>45</v>
      </c>
      <c r="K605" t="s">
        <v>41</v>
      </c>
      <c r="L605" t="s">
        <v>3418</v>
      </c>
      <c r="M605" t="s">
        <v>3419</v>
      </c>
      <c r="N605" t="s">
        <v>516</v>
      </c>
      <c r="O605" t="s">
        <v>64</v>
      </c>
      <c r="P605" t="s">
        <v>3420</v>
      </c>
      <c r="Q605" t="s">
        <v>50</v>
      </c>
      <c r="R605" t="s">
        <v>2764</v>
      </c>
      <c r="S605">
        <v>0.84</v>
      </c>
      <c r="T605">
        <v>5198</v>
      </c>
      <c r="U605">
        <v>0</v>
      </c>
      <c r="V605">
        <v>5198</v>
      </c>
    </row>
    <row r="606" spans="1:22" x14ac:dyDescent="0.3">
      <c r="A606">
        <v>79452</v>
      </c>
      <c r="B606">
        <v>136920657</v>
      </c>
      <c r="C606" t="s">
        <v>3421</v>
      </c>
      <c r="D606" t="s">
        <v>3422</v>
      </c>
      <c r="E606" t="s">
        <v>513</v>
      </c>
      <c r="F606" t="s">
        <v>514</v>
      </c>
      <c r="G606" t="s">
        <v>43</v>
      </c>
      <c r="H606" t="s">
        <v>44</v>
      </c>
      <c r="I606" t="s">
        <v>34</v>
      </c>
      <c r="J606" t="s">
        <v>45</v>
      </c>
      <c r="K606" t="s">
        <v>41</v>
      </c>
      <c r="L606" t="s">
        <v>3423</v>
      </c>
      <c r="M606" t="s">
        <v>3424</v>
      </c>
      <c r="N606" t="s">
        <v>516</v>
      </c>
      <c r="O606" t="s">
        <v>64</v>
      </c>
      <c r="P606" t="s">
        <v>3425</v>
      </c>
      <c r="Q606" t="s">
        <v>166</v>
      </c>
      <c r="R606" t="s">
        <v>3426</v>
      </c>
      <c r="S606">
        <v>1.07</v>
      </c>
      <c r="T606">
        <v>5759</v>
      </c>
      <c r="U606">
        <v>0</v>
      </c>
      <c r="V606">
        <v>5759</v>
      </c>
    </row>
    <row r="607" spans="1:22" x14ac:dyDescent="0.3">
      <c r="A607">
        <v>79452</v>
      </c>
      <c r="B607">
        <v>136888409</v>
      </c>
      <c r="C607" t="s">
        <v>3427</v>
      </c>
      <c r="D607" t="s">
        <v>3428</v>
      </c>
      <c r="E607" t="s">
        <v>513</v>
      </c>
      <c r="F607" t="s">
        <v>514</v>
      </c>
      <c r="G607" t="s">
        <v>43</v>
      </c>
      <c r="H607" t="s">
        <v>44</v>
      </c>
      <c r="I607" t="s">
        <v>34</v>
      </c>
      <c r="J607" t="s">
        <v>45</v>
      </c>
      <c r="K607" t="s">
        <v>41</v>
      </c>
      <c r="L607" t="s">
        <v>3423</v>
      </c>
      <c r="M607" t="s">
        <v>3424</v>
      </c>
      <c r="N607" t="s">
        <v>516</v>
      </c>
      <c r="O607" t="s">
        <v>64</v>
      </c>
      <c r="P607" t="s">
        <v>3425</v>
      </c>
      <c r="Q607" t="s">
        <v>166</v>
      </c>
      <c r="R607" t="s">
        <v>3429</v>
      </c>
      <c r="S607">
        <v>1.3</v>
      </c>
      <c r="T607">
        <v>5759</v>
      </c>
      <c r="U607">
        <v>0</v>
      </c>
      <c r="V607">
        <v>5759</v>
      </c>
    </row>
    <row r="608" spans="1:22" x14ac:dyDescent="0.3">
      <c r="A608">
        <v>79452</v>
      </c>
      <c r="B608">
        <v>137467479</v>
      </c>
      <c r="C608" t="s">
        <v>3430</v>
      </c>
      <c r="D608" t="s">
        <v>3431</v>
      </c>
      <c r="E608" t="s">
        <v>513</v>
      </c>
      <c r="F608" t="s">
        <v>514</v>
      </c>
      <c r="G608" t="s">
        <v>43</v>
      </c>
      <c r="H608" t="s">
        <v>44</v>
      </c>
      <c r="I608" t="s">
        <v>34</v>
      </c>
      <c r="J608" t="s">
        <v>45</v>
      </c>
      <c r="K608" t="s">
        <v>41</v>
      </c>
      <c r="L608" t="s">
        <v>3432</v>
      </c>
      <c r="M608" t="s">
        <v>3433</v>
      </c>
      <c r="N608" t="s">
        <v>516</v>
      </c>
      <c r="O608" t="s">
        <v>64</v>
      </c>
      <c r="P608" t="s">
        <v>3434</v>
      </c>
      <c r="Q608" t="s">
        <v>73</v>
      </c>
      <c r="R608" t="s">
        <v>2808</v>
      </c>
      <c r="S608">
        <v>2.35</v>
      </c>
      <c r="T608">
        <v>3753</v>
      </c>
      <c r="U608">
        <v>0</v>
      </c>
      <c r="V608">
        <v>3753</v>
      </c>
    </row>
    <row r="609" spans="1:22" x14ac:dyDescent="0.3">
      <c r="A609">
        <v>79452</v>
      </c>
      <c r="B609">
        <v>137497871</v>
      </c>
      <c r="C609" t="s">
        <v>3435</v>
      </c>
      <c r="D609" t="s">
        <v>3436</v>
      </c>
      <c r="E609" t="s">
        <v>513</v>
      </c>
      <c r="F609" t="s">
        <v>514</v>
      </c>
      <c r="G609" t="s">
        <v>43</v>
      </c>
      <c r="H609" t="s">
        <v>44</v>
      </c>
      <c r="I609" t="s">
        <v>34</v>
      </c>
      <c r="J609" t="s">
        <v>45</v>
      </c>
      <c r="K609" t="s">
        <v>41</v>
      </c>
      <c r="L609" t="s">
        <v>3437</v>
      </c>
      <c r="M609" t="s">
        <v>3438</v>
      </c>
      <c r="N609" t="s">
        <v>516</v>
      </c>
      <c r="O609" t="s">
        <v>64</v>
      </c>
      <c r="P609" t="s">
        <v>3439</v>
      </c>
      <c r="Q609" t="s">
        <v>172</v>
      </c>
      <c r="R609" t="s">
        <v>2859</v>
      </c>
      <c r="S609">
        <v>1.37</v>
      </c>
      <c r="T609">
        <v>4693</v>
      </c>
      <c r="U609">
        <v>0</v>
      </c>
      <c r="V609">
        <v>4693</v>
      </c>
    </row>
    <row r="610" spans="1:22" x14ac:dyDescent="0.3">
      <c r="A610">
        <v>79452</v>
      </c>
      <c r="B610">
        <v>137467618</v>
      </c>
      <c r="C610" t="s">
        <v>3440</v>
      </c>
      <c r="D610" t="s">
        <v>3441</v>
      </c>
      <c r="E610" t="s">
        <v>513</v>
      </c>
      <c r="F610" t="s">
        <v>514</v>
      </c>
      <c r="G610" t="s">
        <v>43</v>
      </c>
      <c r="H610" t="s">
        <v>44</v>
      </c>
      <c r="I610" t="s">
        <v>34</v>
      </c>
      <c r="J610" t="s">
        <v>45</v>
      </c>
      <c r="K610" t="s">
        <v>41</v>
      </c>
      <c r="L610" t="s">
        <v>3442</v>
      </c>
      <c r="M610" t="s">
        <v>3443</v>
      </c>
      <c r="N610" t="s">
        <v>516</v>
      </c>
      <c r="O610" t="s">
        <v>64</v>
      </c>
      <c r="P610" t="s">
        <v>3444</v>
      </c>
      <c r="Q610" t="s">
        <v>79</v>
      </c>
      <c r="R610" t="s">
        <v>2561</v>
      </c>
      <c r="S610">
        <v>1.31</v>
      </c>
      <c r="T610">
        <v>3366</v>
      </c>
      <c r="U610">
        <v>0</v>
      </c>
      <c r="V610">
        <v>3366</v>
      </c>
    </row>
    <row r="611" spans="1:22" x14ac:dyDescent="0.3">
      <c r="A611">
        <v>79452</v>
      </c>
      <c r="B611">
        <v>137467586</v>
      </c>
      <c r="C611" t="s">
        <v>3445</v>
      </c>
      <c r="D611" t="s">
        <v>3446</v>
      </c>
      <c r="E611" t="s">
        <v>513</v>
      </c>
      <c r="F611" t="s">
        <v>514</v>
      </c>
      <c r="G611" t="s">
        <v>43</v>
      </c>
      <c r="H611" t="s">
        <v>44</v>
      </c>
      <c r="I611" t="s">
        <v>34</v>
      </c>
      <c r="J611" t="s">
        <v>45</v>
      </c>
      <c r="K611" t="s">
        <v>41</v>
      </c>
      <c r="L611" t="s">
        <v>3447</v>
      </c>
      <c r="M611" t="s">
        <v>3448</v>
      </c>
      <c r="N611" t="s">
        <v>516</v>
      </c>
      <c r="O611" t="s">
        <v>64</v>
      </c>
      <c r="P611" t="s">
        <v>3449</v>
      </c>
      <c r="Q611" t="s">
        <v>79</v>
      </c>
      <c r="R611" t="s">
        <v>2561</v>
      </c>
      <c r="S611">
        <v>1.1100000000000001</v>
      </c>
      <c r="T611">
        <v>3366</v>
      </c>
      <c r="U611">
        <v>0</v>
      </c>
      <c r="V611">
        <v>3366</v>
      </c>
    </row>
    <row r="612" spans="1:22" x14ac:dyDescent="0.3">
      <c r="A612">
        <v>79452</v>
      </c>
      <c r="B612">
        <v>137497962</v>
      </c>
      <c r="C612" t="s">
        <v>3450</v>
      </c>
      <c r="D612" t="s">
        <v>3451</v>
      </c>
      <c r="E612" t="s">
        <v>513</v>
      </c>
      <c r="F612" t="s">
        <v>514</v>
      </c>
      <c r="G612" t="s">
        <v>43</v>
      </c>
      <c r="H612" t="s">
        <v>44</v>
      </c>
      <c r="I612" t="s">
        <v>34</v>
      </c>
      <c r="J612" t="s">
        <v>45</v>
      </c>
      <c r="K612" t="s">
        <v>41</v>
      </c>
      <c r="L612" t="s">
        <v>3452</v>
      </c>
      <c r="M612" t="s">
        <v>3453</v>
      </c>
      <c r="N612" t="s">
        <v>516</v>
      </c>
      <c r="O612" t="s">
        <v>64</v>
      </c>
      <c r="P612" t="s">
        <v>3454</v>
      </c>
      <c r="Q612" t="s">
        <v>79</v>
      </c>
      <c r="R612" t="s">
        <v>470</v>
      </c>
      <c r="S612">
        <v>1.18</v>
      </c>
      <c r="T612">
        <v>3366</v>
      </c>
      <c r="U612">
        <v>0</v>
      </c>
      <c r="V612">
        <v>3366</v>
      </c>
    </row>
    <row r="613" spans="1:22" x14ac:dyDescent="0.3">
      <c r="A613">
        <v>79452</v>
      </c>
      <c r="B613">
        <v>137467552</v>
      </c>
      <c r="C613" t="s">
        <v>3455</v>
      </c>
      <c r="D613" t="s">
        <v>3456</v>
      </c>
      <c r="E613" t="s">
        <v>513</v>
      </c>
      <c r="F613" t="s">
        <v>514</v>
      </c>
      <c r="G613" t="s">
        <v>43</v>
      </c>
      <c r="H613" t="s">
        <v>44</v>
      </c>
      <c r="I613" t="s">
        <v>34</v>
      </c>
      <c r="J613" t="s">
        <v>45</v>
      </c>
      <c r="K613" t="s">
        <v>41</v>
      </c>
      <c r="L613" t="s">
        <v>3457</v>
      </c>
      <c r="M613" t="s">
        <v>3458</v>
      </c>
      <c r="N613" t="s">
        <v>516</v>
      </c>
      <c r="O613" t="s">
        <v>64</v>
      </c>
      <c r="P613" t="s">
        <v>3459</v>
      </c>
      <c r="Q613" t="s">
        <v>196</v>
      </c>
      <c r="R613" t="s">
        <v>2561</v>
      </c>
      <c r="S613">
        <v>1.63</v>
      </c>
      <c r="T613">
        <v>4067</v>
      </c>
      <c r="U613">
        <v>0</v>
      </c>
      <c r="V613">
        <v>4067</v>
      </c>
    </row>
    <row r="614" spans="1:22" x14ac:dyDescent="0.3">
      <c r="A614">
        <v>79452</v>
      </c>
      <c r="B614">
        <v>137467421</v>
      </c>
      <c r="C614" t="s">
        <v>3460</v>
      </c>
      <c r="D614" t="s">
        <v>3461</v>
      </c>
      <c r="E614" t="s">
        <v>513</v>
      </c>
      <c r="F614" t="s">
        <v>514</v>
      </c>
      <c r="G614" t="s">
        <v>43</v>
      </c>
      <c r="H614" t="s">
        <v>44</v>
      </c>
      <c r="I614" t="s">
        <v>34</v>
      </c>
      <c r="J614" t="s">
        <v>45</v>
      </c>
      <c r="K614" t="s">
        <v>54</v>
      </c>
      <c r="L614" t="s">
        <v>55</v>
      </c>
      <c r="M614" t="s">
        <v>3462</v>
      </c>
      <c r="N614" t="s">
        <v>516</v>
      </c>
      <c r="O614" t="s">
        <v>64</v>
      </c>
      <c r="P614" t="s">
        <v>3463</v>
      </c>
      <c r="Q614" t="s">
        <v>61</v>
      </c>
      <c r="R614" t="s">
        <v>2808</v>
      </c>
      <c r="S614">
        <v>1</v>
      </c>
      <c r="T614">
        <v>3366</v>
      </c>
      <c r="U614">
        <v>0</v>
      </c>
      <c r="V614">
        <v>3366</v>
      </c>
    </row>
    <row r="615" spans="1:22" x14ac:dyDescent="0.3">
      <c r="A615">
        <v>79452</v>
      </c>
      <c r="B615">
        <v>137535481</v>
      </c>
      <c r="C615" t="s">
        <v>3464</v>
      </c>
      <c r="D615" t="s">
        <v>3465</v>
      </c>
      <c r="E615" t="s">
        <v>513</v>
      </c>
      <c r="F615" t="s">
        <v>514</v>
      </c>
      <c r="G615" t="s">
        <v>43</v>
      </c>
      <c r="H615" t="s">
        <v>44</v>
      </c>
      <c r="I615" t="s">
        <v>34</v>
      </c>
      <c r="J615" t="s">
        <v>45</v>
      </c>
      <c r="K615" t="s">
        <v>41</v>
      </c>
      <c r="L615" t="s">
        <v>3466</v>
      </c>
      <c r="M615" t="s">
        <v>3467</v>
      </c>
      <c r="N615" t="s">
        <v>516</v>
      </c>
      <c r="O615" t="s">
        <v>64</v>
      </c>
      <c r="P615" t="s">
        <v>3468</v>
      </c>
      <c r="Q615" t="s">
        <v>120</v>
      </c>
      <c r="R615" t="s">
        <v>3028</v>
      </c>
      <c r="S615">
        <v>1</v>
      </c>
      <c r="T615">
        <v>3753</v>
      </c>
      <c r="U615">
        <v>0</v>
      </c>
      <c r="V615">
        <v>3753</v>
      </c>
    </row>
    <row r="616" spans="1:22" x14ac:dyDescent="0.3">
      <c r="A616">
        <v>79452</v>
      </c>
      <c r="B616">
        <v>137467553</v>
      </c>
      <c r="C616" t="s">
        <v>3469</v>
      </c>
      <c r="D616" t="s">
        <v>3470</v>
      </c>
      <c r="E616" t="s">
        <v>513</v>
      </c>
      <c r="F616" t="s">
        <v>514</v>
      </c>
      <c r="G616" t="s">
        <v>43</v>
      </c>
      <c r="H616" t="s">
        <v>44</v>
      </c>
      <c r="I616" t="s">
        <v>34</v>
      </c>
      <c r="J616" t="s">
        <v>45</v>
      </c>
      <c r="K616" t="s">
        <v>54</v>
      </c>
      <c r="L616" t="s">
        <v>55</v>
      </c>
      <c r="M616" t="s">
        <v>3471</v>
      </c>
      <c r="N616" t="s">
        <v>516</v>
      </c>
      <c r="O616" t="s">
        <v>64</v>
      </c>
      <c r="P616" t="s">
        <v>3472</v>
      </c>
      <c r="Q616" t="s">
        <v>123</v>
      </c>
      <c r="R616" t="s">
        <v>2561</v>
      </c>
      <c r="S616">
        <v>1.25</v>
      </c>
      <c r="T616">
        <v>4173</v>
      </c>
      <c r="U616">
        <v>0</v>
      </c>
      <c r="V616">
        <v>4173</v>
      </c>
    </row>
    <row r="617" spans="1:22" x14ac:dyDescent="0.3">
      <c r="A617">
        <v>79452</v>
      </c>
      <c r="B617">
        <v>137467588</v>
      </c>
      <c r="C617" t="s">
        <v>3473</v>
      </c>
      <c r="D617" t="s">
        <v>3474</v>
      </c>
      <c r="E617" t="s">
        <v>513</v>
      </c>
      <c r="F617" t="s">
        <v>514</v>
      </c>
      <c r="G617" t="s">
        <v>43</v>
      </c>
      <c r="H617" t="s">
        <v>44</v>
      </c>
      <c r="I617" t="s">
        <v>34</v>
      </c>
      <c r="J617" t="s">
        <v>45</v>
      </c>
      <c r="K617" t="s">
        <v>41</v>
      </c>
      <c r="L617" t="s">
        <v>3475</v>
      </c>
      <c r="M617" t="s">
        <v>3476</v>
      </c>
      <c r="N617" t="s">
        <v>516</v>
      </c>
      <c r="O617" t="s">
        <v>64</v>
      </c>
      <c r="P617" t="s">
        <v>3477</v>
      </c>
      <c r="Q617" t="s">
        <v>118</v>
      </c>
      <c r="R617" t="s">
        <v>2561</v>
      </c>
      <c r="S617">
        <v>1.03</v>
      </c>
      <c r="T617">
        <v>4067</v>
      </c>
      <c r="U617">
        <v>0</v>
      </c>
      <c r="V617">
        <v>4067</v>
      </c>
    </row>
    <row r="618" spans="1:22" x14ac:dyDescent="0.3">
      <c r="A618">
        <v>79452</v>
      </c>
      <c r="B618">
        <v>137408504</v>
      </c>
      <c r="C618" t="s">
        <v>3478</v>
      </c>
      <c r="D618" t="s">
        <v>3479</v>
      </c>
      <c r="E618" t="s">
        <v>513</v>
      </c>
      <c r="F618" t="s">
        <v>514</v>
      </c>
      <c r="G618" t="s">
        <v>43</v>
      </c>
      <c r="H618" t="s">
        <v>44</v>
      </c>
      <c r="I618" t="s">
        <v>34</v>
      </c>
      <c r="J618" t="s">
        <v>45</v>
      </c>
      <c r="K618" t="s">
        <v>41</v>
      </c>
      <c r="L618" t="s">
        <v>3480</v>
      </c>
      <c r="M618" t="s">
        <v>3481</v>
      </c>
      <c r="N618" t="s">
        <v>516</v>
      </c>
      <c r="O618" t="s">
        <v>64</v>
      </c>
      <c r="P618" t="s">
        <v>3482</v>
      </c>
      <c r="Q618" t="s">
        <v>62</v>
      </c>
      <c r="R618" t="s">
        <v>1881</v>
      </c>
      <c r="S618">
        <v>1.57</v>
      </c>
      <c r="T618">
        <v>3784</v>
      </c>
      <c r="U618">
        <v>0</v>
      </c>
      <c r="V618">
        <v>3784</v>
      </c>
    </row>
    <row r="619" spans="1:22" x14ac:dyDescent="0.3">
      <c r="A619">
        <v>79452</v>
      </c>
      <c r="B619">
        <v>137497827</v>
      </c>
      <c r="C619" t="s">
        <v>3483</v>
      </c>
      <c r="D619" t="s">
        <v>3484</v>
      </c>
      <c r="E619" t="s">
        <v>513</v>
      </c>
      <c r="F619" t="s">
        <v>514</v>
      </c>
      <c r="G619" t="s">
        <v>43</v>
      </c>
      <c r="H619" t="s">
        <v>44</v>
      </c>
      <c r="I619" t="s">
        <v>34</v>
      </c>
      <c r="J619" t="s">
        <v>45</v>
      </c>
      <c r="K619" t="s">
        <v>41</v>
      </c>
      <c r="L619" t="s">
        <v>3485</v>
      </c>
      <c r="M619" t="s">
        <v>3486</v>
      </c>
      <c r="N619" t="s">
        <v>516</v>
      </c>
      <c r="O619" t="s">
        <v>64</v>
      </c>
      <c r="P619" t="s">
        <v>3487</v>
      </c>
      <c r="Q619" t="s">
        <v>90</v>
      </c>
      <c r="R619" t="s">
        <v>2859</v>
      </c>
      <c r="S619">
        <v>1.43</v>
      </c>
      <c r="T619">
        <v>3753</v>
      </c>
      <c r="U619">
        <v>0</v>
      </c>
      <c r="V619">
        <v>3753</v>
      </c>
    </row>
    <row r="620" spans="1:22" x14ac:dyDescent="0.3">
      <c r="A620">
        <v>79452</v>
      </c>
      <c r="B620">
        <v>137535487</v>
      </c>
      <c r="C620" t="s">
        <v>3488</v>
      </c>
      <c r="D620" t="s">
        <v>3489</v>
      </c>
      <c r="E620" t="s">
        <v>513</v>
      </c>
      <c r="F620" t="s">
        <v>514</v>
      </c>
      <c r="G620" t="s">
        <v>43</v>
      </c>
      <c r="H620" t="s">
        <v>44</v>
      </c>
      <c r="I620" t="s">
        <v>34</v>
      </c>
      <c r="J620" t="s">
        <v>45</v>
      </c>
      <c r="K620" t="s">
        <v>41</v>
      </c>
      <c r="L620" t="s">
        <v>3490</v>
      </c>
      <c r="M620" t="s">
        <v>3491</v>
      </c>
      <c r="N620" t="s">
        <v>516</v>
      </c>
      <c r="O620" t="s">
        <v>64</v>
      </c>
      <c r="P620" t="s">
        <v>3492</v>
      </c>
      <c r="Q620" t="s">
        <v>49</v>
      </c>
      <c r="R620" t="s">
        <v>3028</v>
      </c>
      <c r="S620">
        <v>1</v>
      </c>
      <c r="T620">
        <v>3501</v>
      </c>
      <c r="U620">
        <v>0</v>
      </c>
      <c r="V620">
        <v>3501</v>
      </c>
    </row>
    <row r="621" spans="1:22" x14ac:dyDescent="0.3">
      <c r="A621">
        <v>79452</v>
      </c>
      <c r="B621">
        <v>137579234</v>
      </c>
      <c r="C621" t="s">
        <v>3493</v>
      </c>
      <c r="D621" t="s">
        <v>3494</v>
      </c>
      <c r="E621" t="s">
        <v>513</v>
      </c>
      <c r="F621" t="s">
        <v>514</v>
      </c>
      <c r="G621" t="s">
        <v>69</v>
      </c>
      <c r="H621" t="s">
        <v>70</v>
      </c>
      <c r="I621" t="s">
        <v>34</v>
      </c>
      <c r="J621" t="s">
        <v>139</v>
      </c>
      <c r="K621" t="s">
        <v>41</v>
      </c>
      <c r="L621" t="s">
        <v>71</v>
      </c>
      <c r="M621" t="s">
        <v>3495</v>
      </c>
      <c r="N621" t="s">
        <v>516</v>
      </c>
      <c r="O621" t="s">
        <v>64</v>
      </c>
      <c r="P621" t="s">
        <v>3496</v>
      </c>
      <c r="Q621" t="s">
        <v>77</v>
      </c>
      <c r="R621" t="s">
        <v>2362</v>
      </c>
      <c r="S621">
        <v>0.5</v>
      </c>
      <c r="T621">
        <v>3776</v>
      </c>
      <c r="U621">
        <v>0</v>
      </c>
      <c r="V621">
        <v>3776</v>
      </c>
    </row>
    <row r="622" spans="1:22" x14ac:dyDescent="0.3">
      <c r="A622">
        <v>79452</v>
      </c>
      <c r="B622">
        <v>137467615</v>
      </c>
      <c r="C622" t="s">
        <v>3497</v>
      </c>
      <c r="D622" t="s">
        <v>3498</v>
      </c>
      <c r="E622" t="s">
        <v>513</v>
      </c>
      <c r="F622" t="s">
        <v>514</v>
      </c>
      <c r="G622" t="s">
        <v>43</v>
      </c>
      <c r="H622" t="s">
        <v>44</v>
      </c>
      <c r="I622" t="s">
        <v>34</v>
      </c>
      <c r="J622" t="s">
        <v>45</v>
      </c>
      <c r="K622" t="s">
        <v>41</v>
      </c>
      <c r="L622" t="s">
        <v>3499</v>
      </c>
      <c r="M622" t="s">
        <v>3500</v>
      </c>
      <c r="N622" t="s">
        <v>516</v>
      </c>
      <c r="O622" t="s">
        <v>64</v>
      </c>
      <c r="P622" t="s">
        <v>3501</v>
      </c>
      <c r="Q622" t="s">
        <v>120</v>
      </c>
      <c r="R622" t="s">
        <v>2561</v>
      </c>
      <c r="S622">
        <v>0.99</v>
      </c>
      <c r="T622">
        <v>3753</v>
      </c>
      <c r="U622">
        <v>0</v>
      </c>
      <c r="V622">
        <v>3753</v>
      </c>
    </row>
    <row r="623" spans="1:22" x14ac:dyDescent="0.3">
      <c r="A623">
        <v>79452</v>
      </c>
      <c r="B623">
        <v>137467496</v>
      </c>
      <c r="C623" t="s">
        <v>3502</v>
      </c>
      <c r="D623" t="s">
        <v>3503</v>
      </c>
      <c r="E623" t="s">
        <v>513</v>
      </c>
      <c r="F623" t="s">
        <v>514</v>
      </c>
      <c r="G623" t="s">
        <v>43</v>
      </c>
      <c r="H623" t="s">
        <v>44</v>
      </c>
      <c r="I623" t="s">
        <v>34</v>
      </c>
      <c r="J623" t="s">
        <v>45</v>
      </c>
      <c r="K623" t="s">
        <v>54</v>
      </c>
      <c r="L623" t="s">
        <v>55</v>
      </c>
      <c r="M623" t="s">
        <v>335</v>
      </c>
      <c r="N623" t="s">
        <v>516</v>
      </c>
      <c r="O623" t="s">
        <v>64</v>
      </c>
      <c r="P623" t="s">
        <v>3504</v>
      </c>
      <c r="Q623" t="s">
        <v>87</v>
      </c>
      <c r="R623" t="s">
        <v>2808</v>
      </c>
      <c r="S623">
        <v>1</v>
      </c>
      <c r="T623">
        <v>3870</v>
      </c>
      <c r="U623">
        <v>0</v>
      </c>
      <c r="V623">
        <v>3870</v>
      </c>
    </row>
    <row r="624" spans="1:22" x14ac:dyDescent="0.3">
      <c r="A624">
        <v>79452</v>
      </c>
      <c r="B624">
        <v>137467581</v>
      </c>
      <c r="C624" t="s">
        <v>3505</v>
      </c>
      <c r="D624" t="s">
        <v>3506</v>
      </c>
      <c r="E624" t="s">
        <v>513</v>
      </c>
      <c r="F624" t="s">
        <v>514</v>
      </c>
      <c r="G624" t="s">
        <v>43</v>
      </c>
      <c r="H624" t="s">
        <v>44</v>
      </c>
      <c r="I624" t="s">
        <v>34</v>
      </c>
      <c r="J624" t="s">
        <v>45</v>
      </c>
      <c r="K624" t="s">
        <v>41</v>
      </c>
      <c r="L624" t="s">
        <v>3507</v>
      </c>
      <c r="M624" t="s">
        <v>3508</v>
      </c>
      <c r="N624" t="s">
        <v>516</v>
      </c>
      <c r="O624" t="s">
        <v>64</v>
      </c>
      <c r="P624" t="s">
        <v>3509</v>
      </c>
      <c r="Q624" t="s">
        <v>42</v>
      </c>
      <c r="R624" t="s">
        <v>2561</v>
      </c>
      <c r="S624">
        <v>1.0900000000000001</v>
      </c>
      <c r="T624">
        <v>3784</v>
      </c>
      <c r="U624">
        <v>0</v>
      </c>
      <c r="V624">
        <v>3784</v>
      </c>
    </row>
    <row r="625" spans="1:22" x14ac:dyDescent="0.3">
      <c r="A625">
        <v>79452</v>
      </c>
      <c r="B625">
        <v>137467566</v>
      </c>
      <c r="C625" t="s">
        <v>3510</v>
      </c>
      <c r="D625" t="s">
        <v>3511</v>
      </c>
      <c r="E625" t="s">
        <v>513</v>
      </c>
      <c r="F625" t="s">
        <v>514</v>
      </c>
      <c r="G625" t="s">
        <v>43</v>
      </c>
      <c r="H625" t="s">
        <v>44</v>
      </c>
      <c r="I625" t="s">
        <v>34</v>
      </c>
      <c r="J625" t="s">
        <v>45</v>
      </c>
      <c r="K625" t="s">
        <v>41</v>
      </c>
      <c r="L625" t="s">
        <v>3512</v>
      </c>
      <c r="M625" t="s">
        <v>3513</v>
      </c>
      <c r="N625" t="s">
        <v>516</v>
      </c>
      <c r="O625" t="s">
        <v>64</v>
      </c>
      <c r="P625" t="s">
        <v>3514</v>
      </c>
      <c r="Q625" t="s">
        <v>144</v>
      </c>
      <c r="R625" t="s">
        <v>2561</v>
      </c>
      <c r="S625">
        <v>1</v>
      </c>
      <c r="T625">
        <v>3753</v>
      </c>
      <c r="U625">
        <v>0</v>
      </c>
      <c r="V625">
        <v>3753</v>
      </c>
    </row>
    <row r="626" spans="1:22" x14ac:dyDescent="0.3">
      <c r="A626">
        <v>79452</v>
      </c>
      <c r="B626">
        <v>137467494</v>
      </c>
      <c r="C626" t="s">
        <v>3515</v>
      </c>
      <c r="D626" t="s">
        <v>3516</v>
      </c>
      <c r="E626" t="s">
        <v>513</v>
      </c>
      <c r="F626" t="s">
        <v>514</v>
      </c>
      <c r="G626" t="s">
        <v>43</v>
      </c>
      <c r="H626" t="s">
        <v>44</v>
      </c>
      <c r="I626" t="s">
        <v>34</v>
      </c>
      <c r="J626" t="s">
        <v>45</v>
      </c>
      <c r="K626" t="s">
        <v>41</v>
      </c>
      <c r="L626" t="s">
        <v>3517</v>
      </c>
      <c r="M626" t="s">
        <v>3518</v>
      </c>
      <c r="N626" t="s">
        <v>516</v>
      </c>
      <c r="O626" t="s">
        <v>64</v>
      </c>
      <c r="P626" t="s">
        <v>3519</v>
      </c>
      <c r="Q626" t="s">
        <v>125</v>
      </c>
      <c r="R626" t="s">
        <v>2808</v>
      </c>
      <c r="S626">
        <v>1</v>
      </c>
      <c r="T626">
        <v>4067</v>
      </c>
      <c r="U626">
        <v>0</v>
      </c>
      <c r="V626">
        <v>4067</v>
      </c>
    </row>
    <row r="627" spans="1:22" x14ac:dyDescent="0.3">
      <c r="A627">
        <v>79452</v>
      </c>
      <c r="B627">
        <v>137535496</v>
      </c>
      <c r="C627" t="s">
        <v>3520</v>
      </c>
      <c r="D627" t="s">
        <v>3521</v>
      </c>
      <c r="E627" t="s">
        <v>513</v>
      </c>
      <c r="F627" t="s">
        <v>514</v>
      </c>
      <c r="G627" t="s">
        <v>43</v>
      </c>
      <c r="H627" t="s">
        <v>44</v>
      </c>
      <c r="I627" t="s">
        <v>34</v>
      </c>
      <c r="J627" t="s">
        <v>45</v>
      </c>
      <c r="K627" t="s">
        <v>41</v>
      </c>
      <c r="L627" t="s">
        <v>3522</v>
      </c>
      <c r="M627" t="s">
        <v>566</v>
      </c>
      <c r="N627" t="s">
        <v>516</v>
      </c>
      <c r="O627" t="s">
        <v>64</v>
      </c>
      <c r="P627" t="s">
        <v>567</v>
      </c>
      <c r="Q627" t="s">
        <v>125</v>
      </c>
      <c r="R627" t="s">
        <v>3028</v>
      </c>
      <c r="S627">
        <v>0.81</v>
      </c>
      <c r="T627">
        <v>4067</v>
      </c>
      <c r="U627">
        <v>0</v>
      </c>
      <c r="V627">
        <v>4067</v>
      </c>
    </row>
    <row r="628" spans="1:22" x14ac:dyDescent="0.3">
      <c r="A628">
        <v>79452</v>
      </c>
      <c r="B628">
        <v>137467547</v>
      </c>
      <c r="C628" t="s">
        <v>3523</v>
      </c>
      <c r="D628" t="s">
        <v>3524</v>
      </c>
      <c r="E628" t="s">
        <v>513</v>
      </c>
      <c r="F628" t="s">
        <v>514</v>
      </c>
      <c r="G628" t="s">
        <v>43</v>
      </c>
      <c r="H628" t="s">
        <v>44</v>
      </c>
      <c r="I628" t="s">
        <v>34</v>
      </c>
      <c r="J628" t="s">
        <v>45</v>
      </c>
      <c r="K628" t="s">
        <v>41</v>
      </c>
      <c r="L628" t="s">
        <v>3525</v>
      </c>
      <c r="M628" t="s">
        <v>3526</v>
      </c>
      <c r="N628" t="s">
        <v>516</v>
      </c>
      <c r="O628" t="s">
        <v>64</v>
      </c>
      <c r="P628" t="s">
        <v>3527</v>
      </c>
      <c r="Q628" t="s">
        <v>188</v>
      </c>
      <c r="R628" t="s">
        <v>2561</v>
      </c>
      <c r="S628">
        <v>0.98</v>
      </c>
      <c r="T628">
        <v>3366</v>
      </c>
      <c r="U628">
        <v>0</v>
      </c>
      <c r="V628">
        <v>3366</v>
      </c>
    </row>
    <row r="629" spans="1:22" x14ac:dyDescent="0.3">
      <c r="A629">
        <v>79452</v>
      </c>
      <c r="B629">
        <v>137512677</v>
      </c>
      <c r="C629" t="s">
        <v>3528</v>
      </c>
      <c r="D629" t="s">
        <v>3529</v>
      </c>
      <c r="E629" t="s">
        <v>513</v>
      </c>
      <c r="F629" t="s">
        <v>514</v>
      </c>
      <c r="G629" t="s">
        <v>43</v>
      </c>
      <c r="H629" t="s">
        <v>44</v>
      </c>
      <c r="I629" t="s">
        <v>34</v>
      </c>
      <c r="J629" t="s">
        <v>45</v>
      </c>
      <c r="K629" t="s">
        <v>41</v>
      </c>
      <c r="L629" t="s">
        <v>3530</v>
      </c>
      <c r="M629" t="s">
        <v>3531</v>
      </c>
      <c r="N629" t="s">
        <v>516</v>
      </c>
      <c r="O629" t="s">
        <v>64</v>
      </c>
      <c r="P629" t="s">
        <v>3532</v>
      </c>
      <c r="Q629" t="s">
        <v>53</v>
      </c>
      <c r="R629" t="s">
        <v>2823</v>
      </c>
      <c r="S629">
        <v>1.8</v>
      </c>
      <c r="T629">
        <v>3501</v>
      </c>
      <c r="U629">
        <v>0</v>
      </c>
      <c r="V629">
        <v>3501</v>
      </c>
    </row>
    <row r="630" spans="1:22" x14ac:dyDescent="0.3">
      <c r="A630">
        <v>79452</v>
      </c>
      <c r="B630">
        <v>137467405</v>
      </c>
      <c r="C630" t="s">
        <v>3533</v>
      </c>
      <c r="D630" t="s">
        <v>3534</v>
      </c>
      <c r="E630" t="s">
        <v>513</v>
      </c>
      <c r="F630" t="s">
        <v>514</v>
      </c>
      <c r="G630" t="s">
        <v>43</v>
      </c>
      <c r="H630" t="s">
        <v>44</v>
      </c>
      <c r="I630" t="s">
        <v>34</v>
      </c>
      <c r="J630" t="s">
        <v>45</v>
      </c>
      <c r="K630" t="s">
        <v>41</v>
      </c>
      <c r="L630" t="s">
        <v>3535</v>
      </c>
      <c r="M630" t="s">
        <v>3536</v>
      </c>
      <c r="N630" t="s">
        <v>516</v>
      </c>
      <c r="O630" t="s">
        <v>64</v>
      </c>
      <c r="P630" t="s">
        <v>3537</v>
      </c>
      <c r="Q630" t="s">
        <v>125</v>
      </c>
      <c r="R630" t="s">
        <v>2930</v>
      </c>
      <c r="S630">
        <v>1</v>
      </c>
      <c r="T630">
        <v>4067</v>
      </c>
      <c r="U630">
        <v>0</v>
      </c>
      <c r="V630">
        <v>4067</v>
      </c>
    </row>
    <row r="631" spans="1:22" x14ac:dyDescent="0.3">
      <c r="A631">
        <v>79452</v>
      </c>
      <c r="B631">
        <v>137389687</v>
      </c>
      <c r="C631" t="s">
        <v>3538</v>
      </c>
      <c r="D631" t="s">
        <v>3539</v>
      </c>
      <c r="E631" t="s">
        <v>513</v>
      </c>
      <c r="F631" t="s">
        <v>514</v>
      </c>
      <c r="G631" t="s">
        <v>43</v>
      </c>
      <c r="H631" t="s">
        <v>44</v>
      </c>
      <c r="I631" t="s">
        <v>34</v>
      </c>
      <c r="J631" t="s">
        <v>45</v>
      </c>
      <c r="K631" t="s">
        <v>41</v>
      </c>
      <c r="L631" t="s">
        <v>3540</v>
      </c>
      <c r="M631" t="s">
        <v>3541</v>
      </c>
      <c r="N631" t="s">
        <v>516</v>
      </c>
      <c r="O631" t="s">
        <v>64</v>
      </c>
      <c r="P631" t="s">
        <v>3542</v>
      </c>
      <c r="Q631" t="s">
        <v>50</v>
      </c>
      <c r="R631" t="s">
        <v>2779</v>
      </c>
      <c r="S631">
        <v>0.91</v>
      </c>
      <c r="T631">
        <v>5198</v>
      </c>
      <c r="U631">
        <v>0</v>
      </c>
      <c r="V631">
        <v>5198</v>
      </c>
    </row>
    <row r="632" spans="1:22" x14ac:dyDescent="0.3">
      <c r="A632">
        <v>79452</v>
      </c>
      <c r="B632">
        <v>137467424</v>
      </c>
      <c r="C632" t="s">
        <v>3543</v>
      </c>
      <c r="D632" t="s">
        <v>3544</v>
      </c>
      <c r="E632" t="s">
        <v>513</v>
      </c>
      <c r="F632" t="s">
        <v>514</v>
      </c>
      <c r="G632" t="s">
        <v>43</v>
      </c>
      <c r="H632" t="s">
        <v>44</v>
      </c>
      <c r="I632" t="s">
        <v>34</v>
      </c>
      <c r="J632" t="s">
        <v>45</v>
      </c>
      <c r="K632" t="s">
        <v>54</v>
      </c>
      <c r="L632" t="s">
        <v>55</v>
      </c>
      <c r="M632" t="s">
        <v>3545</v>
      </c>
      <c r="N632" t="s">
        <v>516</v>
      </c>
      <c r="O632" t="s">
        <v>64</v>
      </c>
      <c r="P632" t="s">
        <v>3546</v>
      </c>
      <c r="Q632" t="s">
        <v>59</v>
      </c>
      <c r="R632" t="s">
        <v>2808</v>
      </c>
      <c r="S632">
        <v>0.92</v>
      </c>
      <c r="T632">
        <v>3366</v>
      </c>
      <c r="U632">
        <v>0</v>
      </c>
      <c r="V632">
        <v>3366</v>
      </c>
    </row>
    <row r="633" spans="1:22" x14ac:dyDescent="0.3">
      <c r="A633">
        <v>79452</v>
      </c>
      <c r="B633">
        <v>137467326</v>
      </c>
      <c r="C633" t="s">
        <v>3547</v>
      </c>
      <c r="D633" t="s">
        <v>3548</v>
      </c>
      <c r="E633" t="s">
        <v>513</v>
      </c>
      <c r="F633" t="s">
        <v>514</v>
      </c>
      <c r="G633" t="s">
        <v>43</v>
      </c>
      <c r="H633" t="s">
        <v>44</v>
      </c>
      <c r="I633" t="s">
        <v>34</v>
      </c>
      <c r="J633" t="s">
        <v>45</v>
      </c>
      <c r="K633" t="s">
        <v>41</v>
      </c>
      <c r="L633" t="s">
        <v>3549</v>
      </c>
      <c r="M633" t="s">
        <v>3550</v>
      </c>
      <c r="N633" t="s">
        <v>516</v>
      </c>
      <c r="O633" t="s">
        <v>64</v>
      </c>
      <c r="P633" t="s">
        <v>3551</v>
      </c>
      <c r="Q633" t="s">
        <v>75</v>
      </c>
      <c r="R633" t="s">
        <v>2930</v>
      </c>
      <c r="S633">
        <v>1</v>
      </c>
      <c r="T633">
        <v>3753</v>
      </c>
      <c r="U633">
        <v>0</v>
      </c>
      <c r="V633">
        <v>3753</v>
      </c>
    </row>
    <row r="634" spans="1:22" x14ac:dyDescent="0.3">
      <c r="A634">
        <v>79452</v>
      </c>
      <c r="B634">
        <v>137467492</v>
      </c>
      <c r="C634" t="s">
        <v>3552</v>
      </c>
      <c r="D634" t="s">
        <v>3553</v>
      </c>
      <c r="E634" t="s">
        <v>513</v>
      </c>
      <c r="F634" t="s">
        <v>514</v>
      </c>
      <c r="G634" t="s">
        <v>43</v>
      </c>
      <c r="H634" t="s">
        <v>44</v>
      </c>
      <c r="I634" t="s">
        <v>34</v>
      </c>
      <c r="J634" t="s">
        <v>45</v>
      </c>
      <c r="K634" t="s">
        <v>41</v>
      </c>
      <c r="L634" t="s">
        <v>3554</v>
      </c>
      <c r="M634" t="s">
        <v>3555</v>
      </c>
      <c r="N634" t="s">
        <v>516</v>
      </c>
      <c r="O634" t="s">
        <v>64</v>
      </c>
      <c r="P634" t="s">
        <v>3556</v>
      </c>
      <c r="Q634" t="s">
        <v>79</v>
      </c>
      <c r="R634" t="s">
        <v>2808</v>
      </c>
      <c r="S634">
        <v>1</v>
      </c>
      <c r="T634">
        <v>3366</v>
      </c>
      <c r="U634">
        <v>0</v>
      </c>
      <c r="V634">
        <v>3366</v>
      </c>
    </row>
    <row r="635" spans="1:22" x14ac:dyDescent="0.3">
      <c r="A635">
        <v>79452</v>
      </c>
      <c r="B635">
        <v>137535490</v>
      </c>
      <c r="C635" t="s">
        <v>3557</v>
      </c>
      <c r="D635" t="s">
        <v>3558</v>
      </c>
      <c r="E635" t="s">
        <v>513</v>
      </c>
      <c r="F635" t="s">
        <v>514</v>
      </c>
      <c r="G635" t="s">
        <v>43</v>
      </c>
      <c r="H635" t="s">
        <v>44</v>
      </c>
      <c r="I635" t="s">
        <v>34</v>
      </c>
      <c r="J635" t="s">
        <v>45</v>
      </c>
      <c r="K635" t="s">
        <v>41</v>
      </c>
      <c r="L635" t="s">
        <v>3559</v>
      </c>
      <c r="M635" t="s">
        <v>3560</v>
      </c>
      <c r="N635" t="s">
        <v>516</v>
      </c>
      <c r="O635" t="s">
        <v>64</v>
      </c>
      <c r="P635" t="s">
        <v>3561</v>
      </c>
      <c r="Q635" t="s">
        <v>47</v>
      </c>
      <c r="R635" t="s">
        <v>3028</v>
      </c>
      <c r="S635">
        <v>1</v>
      </c>
      <c r="T635">
        <v>4067</v>
      </c>
      <c r="U635">
        <v>0</v>
      </c>
      <c r="V635">
        <v>4067</v>
      </c>
    </row>
    <row r="636" spans="1:22" x14ac:dyDescent="0.3">
      <c r="A636">
        <v>79452</v>
      </c>
      <c r="B636">
        <v>137467483</v>
      </c>
      <c r="C636" t="s">
        <v>3562</v>
      </c>
      <c r="D636" t="s">
        <v>3563</v>
      </c>
      <c r="E636" t="s">
        <v>513</v>
      </c>
      <c r="F636" t="s">
        <v>514</v>
      </c>
      <c r="G636" t="s">
        <v>43</v>
      </c>
      <c r="H636" t="s">
        <v>44</v>
      </c>
      <c r="I636" t="s">
        <v>34</v>
      </c>
      <c r="J636" t="s">
        <v>45</v>
      </c>
      <c r="K636" t="s">
        <v>41</v>
      </c>
      <c r="L636" t="s">
        <v>3564</v>
      </c>
      <c r="M636" t="s">
        <v>472</v>
      </c>
      <c r="N636" t="s">
        <v>516</v>
      </c>
      <c r="O636" t="s">
        <v>64</v>
      </c>
      <c r="P636" t="s">
        <v>3565</v>
      </c>
      <c r="Q636" t="s">
        <v>42</v>
      </c>
      <c r="R636" t="s">
        <v>2808</v>
      </c>
      <c r="S636">
        <v>1.1100000000000001</v>
      </c>
      <c r="T636">
        <v>3784</v>
      </c>
      <c r="U636">
        <v>0</v>
      </c>
      <c r="V636">
        <v>3784</v>
      </c>
    </row>
    <row r="637" spans="1:22" x14ac:dyDescent="0.3">
      <c r="A637">
        <v>79452</v>
      </c>
      <c r="B637">
        <v>137467379</v>
      </c>
      <c r="C637" t="s">
        <v>3566</v>
      </c>
      <c r="D637" t="s">
        <v>3567</v>
      </c>
      <c r="E637" t="s">
        <v>513</v>
      </c>
      <c r="F637" t="s">
        <v>514</v>
      </c>
      <c r="G637" t="s">
        <v>43</v>
      </c>
      <c r="H637" t="s">
        <v>44</v>
      </c>
      <c r="I637" t="s">
        <v>34</v>
      </c>
      <c r="J637" t="s">
        <v>45</v>
      </c>
      <c r="K637" t="s">
        <v>41</v>
      </c>
      <c r="L637" t="s">
        <v>3568</v>
      </c>
      <c r="M637" t="s">
        <v>460</v>
      </c>
      <c r="N637" t="s">
        <v>516</v>
      </c>
      <c r="O637" t="s">
        <v>64</v>
      </c>
      <c r="P637" t="s">
        <v>3569</v>
      </c>
      <c r="Q637" t="s">
        <v>144</v>
      </c>
      <c r="R637" t="s">
        <v>2930</v>
      </c>
      <c r="S637">
        <v>1.21</v>
      </c>
      <c r="T637">
        <v>3753</v>
      </c>
      <c r="U637">
        <v>0</v>
      </c>
      <c r="V637">
        <v>3753</v>
      </c>
    </row>
    <row r="638" spans="1:22" x14ac:dyDescent="0.3">
      <c r="A638">
        <v>79452</v>
      </c>
      <c r="B638">
        <v>137467597</v>
      </c>
      <c r="C638" t="s">
        <v>3570</v>
      </c>
      <c r="D638" t="s">
        <v>3571</v>
      </c>
      <c r="E638" t="s">
        <v>513</v>
      </c>
      <c r="F638" t="s">
        <v>514</v>
      </c>
      <c r="G638" t="s">
        <v>43</v>
      </c>
      <c r="H638" t="s">
        <v>44</v>
      </c>
      <c r="I638" t="s">
        <v>34</v>
      </c>
      <c r="J638" t="s">
        <v>45</v>
      </c>
      <c r="K638" t="s">
        <v>41</v>
      </c>
      <c r="L638" t="s">
        <v>3572</v>
      </c>
      <c r="M638" t="s">
        <v>3573</v>
      </c>
      <c r="N638" t="s">
        <v>516</v>
      </c>
      <c r="O638" t="s">
        <v>64</v>
      </c>
      <c r="P638" t="s">
        <v>3574</v>
      </c>
      <c r="Q638" t="s">
        <v>76</v>
      </c>
      <c r="R638" t="s">
        <v>2561</v>
      </c>
      <c r="S638">
        <v>1.33</v>
      </c>
      <c r="T638">
        <v>3366</v>
      </c>
      <c r="U638">
        <v>0</v>
      </c>
      <c r="V638">
        <v>3366</v>
      </c>
    </row>
    <row r="639" spans="1:22" x14ac:dyDescent="0.3">
      <c r="A639">
        <v>79452</v>
      </c>
      <c r="B639">
        <v>137467530</v>
      </c>
      <c r="C639" t="s">
        <v>3575</v>
      </c>
      <c r="D639" t="s">
        <v>3576</v>
      </c>
      <c r="E639" t="s">
        <v>513</v>
      </c>
      <c r="F639" t="s">
        <v>514</v>
      </c>
      <c r="G639" t="s">
        <v>43</v>
      </c>
      <c r="H639" t="s">
        <v>44</v>
      </c>
      <c r="I639" t="s">
        <v>34</v>
      </c>
      <c r="J639" t="s">
        <v>45</v>
      </c>
      <c r="K639" t="s">
        <v>41</v>
      </c>
      <c r="L639" t="s">
        <v>3577</v>
      </c>
      <c r="M639" t="s">
        <v>3578</v>
      </c>
      <c r="N639" t="s">
        <v>516</v>
      </c>
      <c r="O639" t="s">
        <v>64</v>
      </c>
      <c r="P639" t="s">
        <v>3579</v>
      </c>
      <c r="Q639" t="s">
        <v>102</v>
      </c>
      <c r="R639" t="s">
        <v>2808</v>
      </c>
      <c r="S639">
        <v>1</v>
      </c>
      <c r="T639">
        <v>3366</v>
      </c>
      <c r="U639">
        <v>0</v>
      </c>
      <c r="V639">
        <v>3366</v>
      </c>
    </row>
    <row r="640" spans="1:22" x14ac:dyDescent="0.3">
      <c r="A640">
        <v>79452</v>
      </c>
      <c r="B640">
        <v>137389700</v>
      </c>
      <c r="C640" t="s">
        <v>3580</v>
      </c>
      <c r="D640" t="s">
        <v>3581</v>
      </c>
      <c r="E640" t="s">
        <v>513</v>
      </c>
      <c r="F640" t="s">
        <v>514</v>
      </c>
      <c r="G640" t="s">
        <v>43</v>
      </c>
      <c r="H640" t="s">
        <v>44</v>
      </c>
      <c r="I640" t="s">
        <v>34</v>
      </c>
      <c r="J640" t="s">
        <v>45</v>
      </c>
      <c r="K640" t="s">
        <v>41</v>
      </c>
      <c r="L640" t="s">
        <v>3582</v>
      </c>
      <c r="M640" t="s">
        <v>3583</v>
      </c>
      <c r="N640" t="s">
        <v>516</v>
      </c>
      <c r="O640" t="s">
        <v>64</v>
      </c>
      <c r="P640" t="s">
        <v>3584</v>
      </c>
      <c r="Q640" t="s">
        <v>50</v>
      </c>
      <c r="R640" t="s">
        <v>2779</v>
      </c>
      <c r="S640">
        <v>1.02</v>
      </c>
      <c r="T640">
        <v>5198</v>
      </c>
      <c r="U640">
        <v>0</v>
      </c>
      <c r="V640">
        <v>5198</v>
      </c>
    </row>
    <row r="641" spans="1:22" x14ac:dyDescent="0.3">
      <c r="A641">
        <v>79452</v>
      </c>
      <c r="B641">
        <v>137408551</v>
      </c>
      <c r="C641" t="s">
        <v>3585</v>
      </c>
      <c r="D641" t="s">
        <v>3586</v>
      </c>
      <c r="E641" t="s">
        <v>513</v>
      </c>
      <c r="F641" t="s">
        <v>514</v>
      </c>
      <c r="G641" t="s">
        <v>43</v>
      </c>
      <c r="H641" t="s">
        <v>44</v>
      </c>
      <c r="I641" t="s">
        <v>34</v>
      </c>
      <c r="J641" t="s">
        <v>45</v>
      </c>
      <c r="K641" t="s">
        <v>41</v>
      </c>
      <c r="L641" t="s">
        <v>3587</v>
      </c>
      <c r="M641" t="s">
        <v>3588</v>
      </c>
      <c r="N641" t="s">
        <v>516</v>
      </c>
      <c r="O641" t="s">
        <v>64</v>
      </c>
      <c r="P641" t="s">
        <v>3589</v>
      </c>
      <c r="Q641" t="s">
        <v>102</v>
      </c>
      <c r="R641" t="s">
        <v>3089</v>
      </c>
      <c r="S641">
        <v>1</v>
      </c>
      <c r="T641">
        <v>3366</v>
      </c>
      <c r="U641">
        <v>0</v>
      </c>
      <c r="V641">
        <v>3366</v>
      </c>
    </row>
    <row r="642" spans="1:22" x14ac:dyDescent="0.3">
      <c r="A642">
        <v>79452</v>
      </c>
      <c r="B642">
        <v>137408549</v>
      </c>
      <c r="C642" t="s">
        <v>3590</v>
      </c>
      <c r="D642" t="s">
        <v>3591</v>
      </c>
      <c r="E642" t="s">
        <v>513</v>
      </c>
      <c r="F642" t="s">
        <v>514</v>
      </c>
      <c r="G642" t="s">
        <v>43</v>
      </c>
      <c r="H642" t="s">
        <v>44</v>
      </c>
      <c r="I642" t="s">
        <v>34</v>
      </c>
      <c r="J642" t="s">
        <v>45</v>
      </c>
      <c r="K642" t="s">
        <v>41</v>
      </c>
      <c r="L642" t="s">
        <v>3592</v>
      </c>
      <c r="M642" t="s">
        <v>3593</v>
      </c>
      <c r="N642" t="s">
        <v>516</v>
      </c>
      <c r="O642" t="s">
        <v>64</v>
      </c>
      <c r="P642" t="s">
        <v>3594</v>
      </c>
      <c r="Q642" t="s">
        <v>231</v>
      </c>
      <c r="R642" t="s">
        <v>3089</v>
      </c>
      <c r="S642">
        <v>0.92</v>
      </c>
      <c r="T642">
        <v>6729</v>
      </c>
      <c r="U642">
        <v>0</v>
      </c>
      <c r="V642">
        <v>6729</v>
      </c>
    </row>
    <row r="643" spans="1:22" x14ac:dyDescent="0.3">
      <c r="A643">
        <v>79452</v>
      </c>
      <c r="B643">
        <v>137467544</v>
      </c>
      <c r="C643" t="s">
        <v>3595</v>
      </c>
      <c r="D643" t="s">
        <v>3596</v>
      </c>
      <c r="E643" t="s">
        <v>513</v>
      </c>
      <c r="F643" t="s">
        <v>514</v>
      </c>
      <c r="G643" t="s">
        <v>43</v>
      </c>
      <c r="H643" t="s">
        <v>44</v>
      </c>
      <c r="I643" t="s">
        <v>34</v>
      </c>
      <c r="J643" t="s">
        <v>45</v>
      </c>
      <c r="K643" t="s">
        <v>41</v>
      </c>
      <c r="L643" t="s">
        <v>3597</v>
      </c>
      <c r="M643" t="s">
        <v>424</v>
      </c>
      <c r="N643" t="s">
        <v>516</v>
      </c>
      <c r="O643" t="s">
        <v>64</v>
      </c>
      <c r="P643" t="s">
        <v>425</v>
      </c>
      <c r="Q643" t="s">
        <v>79</v>
      </c>
      <c r="R643" t="s">
        <v>2561</v>
      </c>
      <c r="S643">
        <v>2.57</v>
      </c>
      <c r="T643">
        <v>3366</v>
      </c>
      <c r="U643">
        <v>0</v>
      </c>
      <c r="V643">
        <v>3366</v>
      </c>
    </row>
    <row r="644" spans="1:22" x14ac:dyDescent="0.3">
      <c r="A644">
        <v>79452</v>
      </c>
      <c r="B644">
        <v>137389696</v>
      </c>
      <c r="C644" t="s">
        <v>3598</v>
      </c>
      <c r="D644" t="s">
        <v>3599</v>
      </c>
      <c r="E644" t="s">
        <v>513</v>
      </c>
      <c r="F644" t="s">
        <v>514</v>
      </c>
      <c r="G644" t="s">
        <v>43</v>
      </c>
      <c r="H644" t="s">
        <v>44</v>
      </c>
      <c r="I644" t="s">
        <v>34</v>
      </c>
      <c r="J644" t="s">
        <v>45</v>
      </c>
      <c r="K644" t="s">
        <v>41</v>
      </c>
      <c r="L644" t="s">
        <v>3600</v>
      </c>
      <c r="M644" t="s">
        <v>296</v>
      </c>
      <c r="N644" t="s">
        <v>516</v>
      </c>
      <c r="O644" t="s">
        <v>64</v>
      </c>
      <c r="P644" t="s">
        <v>3601</v>
      </c>
      <c r="Q644" t="s">
        <v>50</v>
      </c>
      <c r="R644" t="s">
        <v>2779</v>
      </c>
      <c r="S644">
        <v>1.1399999999999999</v>
      </c>
      <c r="T644">
        <v>5198</v>
      </c>
      <c r="U644">
        <v>0</v>
      </c>
      <c r="V644">
        <v>5198</v>
      </c>
    </row>
    <row r="645" spans="1:22" x14ac:dyDescent="0.3">
      <c r="A645">
        <v>79452</v>
      </c>
      <c r="B645">
        <v>137408556</v>
      </c>
      <c r="C645" t="s">
        <v>3602</v>
      </c>
      <c r="D645" t="s">
        <v>3603</v>
      </c>
      <c r="E645" t="s">
        <v>513</v>
      </c>
      <c r="F645" t="s">
        <v>514</v>
      </c>
      <c r="G645" t="s">
        <v>43</v>
      </c>
      <c r="H645" t="s">
        <v>44</v>
      </c>
      <c r="I645" t="s">
        <v>34</v>
      </c>
      <c r="J645" t="s">
        <v>45</v>
      </c>
      <c r="K645" t="s">
        <v>54</v>
      </c>
      <c r="L645" t="s">
        <v>55</v>
      </c>
      <c r="M645" t="s">
        <v>3604</v>
      </c>
      <c r="N645" t="s">
        <v>516</v>
      </c>
      <c r="O645" t="s">
        <v>64</v>
      </c>
      <c r="P645" t="s">
        <v>3605</v>
      </c>
      <c r="Q645" t="s">
        <v>46</v>
      </c>
      <c r="R645" t="s">
        <v>3089</v>
      </c>
      <c r="S645">
        <v>1.32</v>
      </c>
      <c r="T645">
        <v>3366</v>
      </c>
      <c r="U645">
        <v>0</v>
      </c>
      <c r="V645">
        <v>3366</v>
      </c>
    </row>
    <row r="646" spans="1:22" x14ac:dyDescent="0.3">
      <c r="A646">
        <v>79452</v>
      </c>
      <c r="B646">
        <v>137512657</v>
      </c>
      <c r="C646" t="s">
        <v>3606</v>
      </c>
      <c r="D646" t="s">
        <v>3607</v>
      </c>
      <c r="E646" t="s">
        <v>513</v>
      </c>
      <c r="F646" t="s">
        <v>514</v>
      </c>
      <c r="G646" t="s">
        <v>43</v>
      </c>
      <c r="H646" t="s">
        <v>44</v>
      </c>
      <c r="I646" t="s">
        <v>34</v>
      </c>
      <c r="J646" t="s">
        <v>45</v>
      </c>
      <c r="K646" t="s">
        <v>41</v>
      </c>
      <c r="L646" t="s">
        <v>3608</v>
      </c>
      <c r="M646" t="s">
        <v>3609</v>
      </c>
      <c r="N646" t="s">
        <v>516</v>
      </c>
      <c r="O646" t="s">
        <v>64</v>
      </c>
      <c r="P646" t="s">
        <v>3610</v>
      </c>
      <c r="Q646" t="s">
        <v>79</v>
      </c>
      <c r="R646" t="s">
        <v>2823</v>
      </c>
      <c r="S646">
        <v>0.78</v>
      </c>
      <c r="T646">
        <v>3366</v>
      </c>
      <c r="U646">
        <v>0</v>
      </c>
      <c r="V646">
        <v>3366</v>
      </c>
    </row>
    <row r="647" spans="1:22" x14ac:dyDescent="0.3">
      <c r="A647">
        <v>79452</v>
      </c>
      <c r="B647">
        <v>137408508</v>
      </c>
      <c r="C647" t="s">
        <v>3611</v>
      </c>
      <c r="D647" t="s">
        <v>3612</v>
      </c>
      <c r="E647" t="s">
        <v>513</v>
      </c>
      <c r="F647" t="s">
        <v>514</v>
      </c>
      <c r="G647" t="s">
        <v>43</v>
      </c>
      <c r="H647" t="s">
        <v>44</v>
      </c>
      <c r="I647" t="s">
        <v>34</v>
      </c>
      <c r="J647" t="s">
        <v>45</v>
      </c>
      <c r="K647" t="s">
        <v>41</v>
      </c>
      <c r="L647" t="s">
        <v>3613</v>
      </c>
      <c r="M647" t="s">
        <v>3614</v>
      </c>
      <c r="N647" t="s">
        <v>516</v>
      </c>
      <c r="O647" t="s">
        <v>64</v>
      </c>
      <c r="P647" t="s">
        <v>3615</v>
      </c>
      <c r="Q647" t="s">
        <v>84</v>
      </c>
      <c r="R647" t="s">
        <v>3089</v>
      </c>
      <c r="S647">
        <v>1.1200000000000001</v>
      </c>
      <c r="T647">
        <v>3366</v>
      </c>
      <c r="U647">
        <v>0</v>
      </c>
      <c r="V647">
        <v>3366</v>
      </c>
    </row>
    <row r="648" spans="1:22" x14ac:dyDescent="0.3">
      <c r="A648">
        <v>79452</v>
      </c>
      <c r="B648">
        <v>137389675</v>
      </c>
      <c r="C648" t="s">
        <v>3616</v>
      </c>
      <c r="D648" t="s">
        <v>3617</v>
      </c>
      <c r="E648" t="s">
        <v>513</v>
      </c>
      <c r="F648" t="s">
        <v>514</v>
      </c>
      <c r="G648" t="s">
        <v>43</v>
      </c>
      <c r="H648" t="s">
        <v>44</v>
      </c>
      <c r="I648" t="s">
        <v>34</v>
      </c>
      <c r="J648" t="s">
        <v>45</v>
      </c>
      <c r="K648" t="s">
        <v>41</v>
      </c>
      <c r="L648" t="s">
        <v>3618</v>
      </c>
      <c r="M648" t="s">
        <v>3619</v>
      </c>
      <c r="N648" t="s">
        <v>516</v>
      </c>
      <c r="O648" t="s">
        <v>64</v>
      </c>
      <c r="P648" t="s">
        <v>3620</v>
      </c>
      <c r="Q648" t="s">
        <v>50</v>
      </c>
      <c r="R648" t="s">
        <v>2779</v>
      </c>
      <c r="S648">
        <v>1.26</v>
      </c>
      <c r="T648">
        <v>5198</v>
      </c>
      <c r="U648">
        <v>0</v>
      </c>
      <c r="V648">
        <v>5198</v>
      </c>
    </row>
    <row r="649" spans="1:22" x14ac:dyDescent="0.3">
      <c r="A649">
        <v>79452</v>
      </c>
      <c r="B649">
        <v>137467540</v>
      </c>
      <c r="C649" t="s">
        <v>3621</v>
      </c>
      <c r="D649" t="s">
        <v>3622</v>
      </c>
      <c r="E649" t="s">
        <v>513</v>
      </c>
      <c r="F649" t="s">
        <v>514</v>
      </c>
      <c r="G649" t="s">
        <v>43</v>
      </c>
      <c r="H649" t="s">
        <v>44</v>
      </c>
      <c r="I649" t="s">
        <v>34</v>
      </c>
      <c r="J649" t="s">
        <v>45</v>
      </c>
      <c r="K649" t="s">
        <v>41</v>
      </c>
      <c r="L649" t="s">
        <v>3623</v>
      </c>
      <c r="M649" t="s">
        <v>3624</v>
      </c>
      <c r="N649" t="s">
        <v>516</v>
      </c>
      <c r="O649" t="s">
        <v>64</v>
      </c>
      <c r="P649" t="s">
        <v>3625</v>
      </c>
      <c r="Q649" t="s">
        <v>90</v>
      </c>
      <c r="R649" t="s">
        <v>2561</v>
      </c>
      <c r="S649">
        <v>2.04</v>
      </c>
      <c r="T649">
        <v>5728</v>
      </c>
      <c r="U649">
        <v>0</v>
      </c>
      <c r="V649">
        <v>5728</v>
      </c>
    </row>
    <row r="650" spans="1:22" x14ac:dyDescent="0.3">
      <c r="A650">
        <v>79452</v>
      </c>
      <c r="B650">
        <v>138830168</v>
      </c>
      <c r="C650" t="s">
        <v>3626</v>
      </c>
      <c r="D650" t="s">
        <v>3627</v>
      </c>
      <c r="E650" t="s">
        <v>513</v>
      </c>
      <c r="F650" t="s">
        <v>514</v>
      </c>
      <c r="G650" t="s">
        <v>136</v>
      </c>
      <c r="H650" t="s">
        <v>137</v>
      </c>
      <c r="I650" t="s">
        <v>34</v>
      </c>
      <c r="J650" t="s">
        <v>138</v>
      </c>
      <c r="K650" t="s">
        <v>41</v>
      </c>
      <c r="L650" t="s">
        <v>3628</v>
      </c>
      <c r="M650" t="s">
        <v>3629</v>
      </c>
      <c r="N650" t="s">
        <v>516</v>
      </c>
      <c r="O650" t="s">
        <v>64</v>
      </c>
      <c r="P650" t="s">
        <v>3630</v>
      </c>
      <c r="Q650" t="s">
        <v>105</v>
      </c>
      <c r="R650" t="s">
        <v>3631</v>
      </c>
      <c r="S650">
        <v>1.31</v>
      </c>
      <c r="T650">
        <v>4108</v>
      </c>
      <c r="U650">
        <v>749.75</v>
      </c>
      <c r="V650">
        <v>4857.75</v>
      </c>
    </row>
    <row r="651" spans="1:22" x14ac:dyDescent="0.3">
      <c r="A651">
        <v>79452</v>
      </c>
      <c r="B651">
        <v>138873938</v>
      </c>
      <c r="C651" t="s">
        <v>3632</v>
      </c>
      <c r="D651" t="s">
        <v>3633</v>
      </c>
      <c r="E651" t="s">
        <v>513</v>
      </c>
      <c r="F651" t="s">
        <v>514</v>
      </c>
      <c r="G651" t="s">
        <v>136</v>
      </c>
      <c r="H651" t="s">
        <v>137</v>
      </c>
      <c r="I651" t="s">
        <v>34</v>
      </c>
      <c r="J651" t="s">
        <v>138</v>
      </c>
      <c r="K651" t="s">
        <v>41</v>
      </c>
      <c r="L651" t="s">
        <v>3634</v>
      </c>
      <c r="M651" t="s">
        <v>3635</v>
      </c>
      <c r="N651" t="s">
        <v>516</v>
      </c>
      <c r="O651" t="s">
        <v>64</v>
      </c>
      <c r="P651" t="s">
        <v>3636</v>
      </c>
      <c r="Q651" t="s">
        <v>246</v>
      </c>
      <c r="R651" t="s">
        <v>436</v>
      </c>
      <c r="S651">
        <v>1.08</v>
      </c>
      <c r="T651">
        <v>7080</v>
      </c>
      <c r="U651">
        <v>449.85</v>
      </c>
      <c r="V651">
        <v>7529.85</v>
      </c>
    </row>
    <row r="652" spans="1:22" x14ac:dyDescent="0.3">
      <c r="A652">
        <v>79452</v>
      </c>
      <c r="B652">
        <v>138804114</v>
      </c>
      <c r="C652" t="s">
        <v>3637</v>
      </c>
      <c r="D652" t="s">
        <v>3638</v>
      </c>
      <c r="E652" t="s">
        <v>513</v>
      </c>
      <c r="F652" t="s">
        <v>514</v>
      </c>
      <c r="G652" t="s">
        <v>136</v>
      </c>
      <c r="H652" t="s">
        <v>137</v>
      </c>
      <c r="I652" t="s">
        <v>34</v>
      </c>
      <c r="J652" t="s">
        <v>138</v>
      </c>
      <c r="K652" t="s">
        <v>41</v>
      </c>
      <c r="L652" t="s">
        <v>3639</v>
      </c>
      <c r="M652" t="s">
        <v>3640</v>
      </c>
      <c r="N652" t="s">
        <v>516</v>
      </c>
      <c r="O652" t="s">
        <v>64</v>
      </c>
      <c r="P652" t="s">
        <v>3641</v>
      </c>
      <c r="Q652" t="s">
        <v>257</v>
      </c>
      <c r="R652" t="s">
        <v>3642</v>
      </c>
      <c r="S652">
        <v>0.6</v>
      </c>
      <c r="T652">
        <v>6321</v>
      </c>
      <c r="U652">
        <v>299.89999999999998</v>
      </c>
      <c r="V652">
        <v>6620.9</v>
      </c>
    </row>
    <row r="653" spans="1:22" x14ac:dyDescent="0.3">
      <c r="A653">
        <v>79452</v>
      </c>
      <c r="B653">
        <v>138727371</v>
      </c>
      <c r="C653" t="s">
        <v>3643</v>
      </c>
      <c r="D653" t="s">
        <v>3644</v>
      </c>
      <c r="E653" t="s">
        <v>513</v>
      </c>
      <c r="F653" t="s">
        <v>514</v>
      </c>
      <c r="G653" t="s">
        <v>136</v>
      </c>
      <c r="H653" t="s">
        <v>137</v>
      </c>
      <c r="I653" t="s">
        <v>34</v>
      </c>
      <c r="J653" t="s">
        <v>138</v>
      </c>
      <c r="K653" t="s">
        <v>41</v>
      </c>
      <c r="L653" t="s">
        <v>3645</v>
      </c>
      <c r="M653" t="s">
        <v>3646</v>
      </c>
      <c r="N653" t="s">
        <v>516</v>
      </c>
      <c r="O653" t="s">
        <v>64</v>
      </c>
      <c r="P653" t="s">
        <v>3647</v>
      </c>
      <c r="Q653" t="s">
        <v>105</v>
      </c>
      <c r="R653" t="s">
        <v>483</v>
      </c>
      <c r="S653">
        <v>0.39</v>
      </c>
      <c r="T653">
        <v>3885</v>
      </c>
      <c r="U653">
        <v>299.89999999999998</v>
      </c>
      <c r="V653">
        <v>4184.8999999999996</v>
      </c>
    </row>
    <row r="654" spans="1:22" x14ac:dyDescent="0.3">
      <c r="A654">
        <v>79452</v>
      </c>
      <c r="B654">
        <v>138752319</v>
      </c>
      <c r="C654" t="s">
        <v>3648</v>
      </c>
      <c r="D654" t="s">
        <v>3649</v>
      </c>
      <c r="E654" t="s">
        <v>513</v>
      </c>
      <c r="F654" t="s">
        <v>514</v>
      </c>
      <c r="G654" t="s">
        <v>136</v>
      </c>
      <c r="H654" t="s">
        <v>137</v>
      </c>
      <c r="I654" t="s">
        <v>34</v>
      </c>
      <c r="J654" t="s">
        <v>138</v>
      </c>
      <c r="K654" t="s">
        <v>41</v>
      </c>
      <c r="L654" t="s">
        <v>3650</v>
      </c>
      <c r="M654" t="s">
        <v>3651</v>
      </c>
      <c r="N654" t="s">
        <v>516</v>
      </c>
      <c r="O654" t="s">
        <v>64</v>
      </c>
      <c r="P654" t="s">
        <v>3652</v>
      </c>
      <c r="Q654" t="s">
        <v>100</v>
      </c>
      <c r="R654" t="s">
        <v>410</v>
      </c>
      <c r="S654">
        <v>0.6</v>
      </c>
      <c r="T654">
        <v>5830</v>
      </c>
      <c r="U654">
        <v>299.89999999999998</v>
      </c>
      <c r="V654">
        <v>6129.9</v>
      </c>
    </row>
    <row r="655" spans="1:22" x14ac:dyDescent="0.3">
      <c r="A655">
        <v>79452</v>
      </c>
      <c r="B655">
        <v>138634881</v>
      </c>
      <c r="C655" t="s">
        <v>3653</v>
      </c>
      <c r="D655" t="s">
        <v>3654</v>
      </c>
      <c r="E655" t="s">
        <v>513</v>
      </c>
      <c r="F655" t="s">
        <v>514</v>
      </c>
      <c r="G655" t="s">
        <v>136</v>
      </c>
      <c r="H655" t="s">
        <v>137</v>
      </c>
      <c r="I655" t="s">
        <v>34</v>
      </c>
      <c r="J655" t="s">
        <v>138</v>
      </c>
      <c r="K655" t="s">
        <v>41</v>
      </c>
      <c r="L655" t="s">
        <v>3655</v>
      </c>
      <c r="M655" t="s">
        <v>3656</v>
      </c>
      <c r="N655" t="s">
        <v>516</v>
      </c>
      <c r="O655" t="s">
        <v>64</v>
      </c>
      <c r="P655" t="s">
        <v>3657</v>
      </c>
      <c r="Q655" t="s">
        <v>105</v>
      </c>
      <c r="R655" t="s">
        <v>491</v>
      </c>
      <c r="S655">
        <v>0.1</v>
      </c>
      <c r="T655">
        <v>3885</v>
      </c>
      <c r="U655">
        <v>149.94999999999999</v>
      </c>
      <c r="V655">
        <v>4034.95</v>
      </c>
    </row>
    <row r="656" spans="1:22" x14ac:dyDescent="0.3">
      <c r="A656">
        <v>79452</v>
      </c>
      <c r="B656">
        <v>138668675</v>
      </c>
      <c r="C656" t="s">
        <v>3658</v>
      </c>
      <c r="D656" t="s">
        <v>3659</v>
      </c>
      <c r="E656" t="s">
        <v>513</v>
      </c>
      <c r="F656" t="s">
        <v>514</v>
      </c>
      <c r="G656" t="s">
        <v>136</v>
      </c>
      <c r="H656" t="s">
        <v>137</v>
      </c>
      <c r="I656" t="s">
        <v>34</v>
      </c>
      <c r="J656" t="s">
        <v>138</v>
      </c>
      <c r="K656" t="s">
        <v>41</v>
      </c>
      <c r="L656" t="s">
        <v>3660</v>
      </c>
      <c r="M656" t="s">
        <v>3661</v>
      </c>
      <c r="N656" t="s">
        <v>516</v>
      </c>
      <c r="O656" t="s">
        <v>64</v>
      </c>
      <c r="P656" t="s">
        <v>3662</v>
      </c>
      <c r="Q656" t="s">
        <v>348</v>
      </c>
      <c r="R656" t="s">
        <v>3663</v>
      </c>
      <c r="S656">
        <v>0.55000000000000004</v>
      </c>
      <c r="T656">
        <v>11146</v>
      </c>
      <c r="U656">
        <v>299.89999999999998</v>
      </c>
      <c r="V656">
        <v>11445.9</v>
      </c>
    </row>
    <row r="657" spans="1:22" x14ac:dyDescent="0.3">
      <c r="A657">
        <v>79452</v>
      </c>
      <c r="B657">
        <v>138611024</v>
      </c>
      <c r="C657" t="s">
        <v>3664</v>
      </c>
      <c r="D657" t="s">
        <v>3665</v>
      </c>
      <c r="E657" t="s">
        <v>513</v>
      </c>
      <c r="F657" t="s">
        <v>514</v>
      </c>
      <c r="G657" t="s">
        <v>136</v>
      </c>
      <c r="H657" t="s">
        <v>137</v>
      </c>
      <c r="I657" t="s">
        <v>34</v>
      </c>
      <c r="J657" t="s">
        <v>138</v>
      </c>
      <c r="K657" t="s">
        <v>41</v>
      </c>
      <c r="L657" t="s">
        <v>3666</v>
      </c>
      <c r="M657" t="s">
        <v>3667</v>
      </c>
      <c r="N657" t="s">
        <v>516</v>
      </c>
      <c r="O657" t="s">
        <v>64</v>
      </c>
      <c r="P657" t="s">
        <v>3668</v>
      </c>
      <c r="Q657" t="s">
        <v>104</v>
      </c>
      <c r="R657" t="s">
        <v>381</v>
      </c>
      <c r="S657">
        <v>0.75</v>
      </c>
      <c r="T657">
        <v>4661</v>
      </c>
      <c r="U657">
        <v>349.95</v>
      </c>
      <c r="V657">
        <v>5010.95</v>
      </c>
    </row>
    <row r="658" spans="1:22" x14ac:dyDescent="0.3">
      <c r="A658">
        <v>79452</v>
      </c>
      <c r="B658">
        <v>138620309</v>
      </c>
      <c r="C658" t="s">
        <v>3669</v>
      </c>
      <c r="D658" t="s">
        <v>3670</v>
      </c>
      <c r="E658" t="s">
        <v>513</v>
      </c>
      <c r="F658" t="s">
        <v>514</v>
      </c>
      <c r="G658" t="s">
        <v>136</v>
      </c>
      <c r="H658" t="s">
        <v>137</v>
      </c>
      <c r="I658" t="s">
        <v>34</v>
      </c>
      <c r="J658" t="s">
        <v>138</v>
      </c>
      <c r="K658" t="s">
        <v>41</v>
      </c>
      <c r="L658" t="s">
        <v>3671</v>
      </c>
      <c r="M658" t="s">
        <v>3672</v>
      </c>
      <c r="N658" t="s">
        <v>516</v>
      </c>
      <c r="O658" t="s">
        <v>64</v>
      </c>
      <c r="P658" t="s">
        <v>3673</v>
      </c>
      <c r="Q658" t="s">
        <v>167</v>
      </c>
      <c r="R658" t="s">
        <v>3674</v>
      </c>
      <c r="S658">
        <v>0.62</v>
      </c>
      <c r="T658">
        <v>5530</v>
      </c>
      <c r="U658">
        <v>299.89999999999998</v>
      </c>
      <c r="V658">
        <v>5829.9</v>
      </c>
    </row>
    <row r="659" spans="1:22" x14ac:dyDescent="0.3">
      <c r="A659">
        <v>79452</v>
      </c>
      <c r="B659">
        <v>138410852</v>
      </c>
      <c r="C659" t="s">
        <v>3675</v>
      </c>
      <c r="D659" t="s">
        <v>3676</v>
      </c>
      <c r="E659" t="s">
        <v>513</v>
      </c>
      <c r="F659" t="s">
        <v>514</v>
      </c>
      <c r="G659" t="s">
        <v>136</v>
      </c>
      <c r="H659" t="s">
        <v>137</v>
      </c>
      <c r="I659" t="s">
        <v>34</v>
      </c>
      <c r="J659" t="s">
        <v>138</v>
      </c>
      <c r="K659" t="s">
        <v>41</v>
      </c>
      <c r="L659" t="s">
        <v>3677</v>
      </c>
      <c r="M659" t="s">
        <v>3678</v>
      </c>
      <c r="N659" t="s">
        <v>516</v>
      </c>
      <c r="O659" t="s">
        <v>64</v>
      </c>
      <c r="P659" t="s">
        <v>3679</v>
      </c>
      <c r="Q659" t="s">
        <v>195</v>
      </c>
      <c r="R659" t="s">
        <v>442</v>
      </c>
      <c r="S659">
        <v>0.31</v>
      </c>
      <c r="T659">
        <v>6637</v>
      </c>
      <c r="U659">
        <v>149.94999999999999</v>
      </c>
      <c r="V659">
        <v>6786.95</v>
      </c>
    </row>
    <row r="660" spans="1:22" x14ac:dyDescent="0.3">
      <c r="A660">
        <v>79452</v>
      </c>
      <c r="B660">
        <v>138591660</v>
      </c>
      <c r="C660" t="s">
        <v>3680</v>
      </c>
      <c r="D660" t="s">
        <v>3681</v>
      </c>
      <c r="E660" t="s">
        <v>513</v>
      </c>
      <c r="F660" t="s">
        <v>514</v>
      </c>
      <c r="G660" t="s">
        <v>136</v>
      </c>
      <c r="H660" t="s">
        <v>137</v>
      </c>
      <c r="I660" t="s">
        <v>34</v>
      </c>
      <c r="J660" t="s">
        <v>138</v>
      </c>
      <c r="K660" t="s">
        <v>260</v>
      </c>
      <c r="L660" t="s">
        <v>3682</v>
      </c>
      <c r="M660" t="s">
        <v>3683</v>
      </c>
      <c r="N660" t="s">
        <v>516</v>
      </c>
      <c r="O660" t="s">
        <v>64</v>
      </c>
      <c r="P660" t="s">
        <v>3684</v>
      </c>
      <c r="Q660" t="s">
        <v>121</v>
      </c>
      <c r="R660" t="s">
        <v>409</v>
      </c>
      <c r="S660">
        <v>0.28999999999999998</v>
      </c>
      <c r="T660">
        <v>5933</v>
      </c>
      <c r="U660">
        <v>149.94999999999999</v>
      </c>
      <c r="V660">
        <v>6082.95</v>
      </c>
    </row>
    <row r="661" spans="1:22" x14ac:dyDescent="0.3">
      <c r="A661">
        <v>79452</v>
      </c>
      <c r="B661">
        <v>138538383</v>
      </c>
      <c r="C661" t="s">
        <v>3685</v>
      </c>
      <c r="D661" t="s">
        <v>3686</v>
      </c>
      <c r="E661" t="s">
        <v>513</v>
      </c>
      <c r="F661" t="s">
        <v>514</v>
      </c>
      <c r="G661" t="s">
        <v>136</v>
      </c>
      <c r="H661" t="s">
        <v>137</v>
      </c>
      <c r="I661" t="s">
        <v>34</v>
      </c>
      <c r="J661" t="s">
        <v>138</v>
      </c>
      <c r="K661" t="s">
        <v>41</v>
      </c>
      <c r="L661" t="s">
        <v>3687</v>
      </c>
      <c r="M661" t="s">
        <v>3688</v>
      </c>
      <c r="N661" t="s">
        <v>516</v>
      </c>
      <c r="O661" t="s">
        <v>64</v>
      </c>
      <c r="P661" t="s">
        <v>3689</v>
      </c>
      <c r="Q661" t="s">
        <v>100</v>
      </c>
      <c r="R661" t="s">
        <v>482</v>
      </c>
      <c r="S661">
        <v>0.31</v>
      </c>
      <c r="T661">
        <v>5830</v>
      </c>
      <c r="U661">
        <v>299.89999999999998</v>
      </c>
      <c r="V661">
        <v>6129.9</v>
      </c>
    </row>
    <row r="662" spans="1:22" x14ac:dyDescent="0.3">
      <c r="A662">
        <v>79452</v>
      </c>
      <c r="B662">
        <v>138475391</v>
      </c>
      <c r="C662" t="s">
        <v>3690</v>
      </c>
      <c r="D662" t="s">
        <v>3691</v>
      </c>
      <c r="E662" t="s">
        <v>513</v>
      </c>
      <c r="F662" t="s">
        <v>514</v>
      </c>
      <c r="G662" t="s">
        <v>136</v>
      </c>
      <c r="H662" t="s">
        <v>137</v>
      </c>
      <c r="I662" t="s">
        <v>34</v>
      </c>
      <c r="J662" t="s">
        <v>138</v>
      </c>
      <c r="K662" t="s">
        <v>41</v>
      </c>
      <c r="L662" t="s">
        <v>3692</v>
      </c>
      <c r="M662" t="s">
        <v>3693</v>
      </c>
      <c r="N662" t="s">
        <v>516</v>
      </c>
      <c r="O662" t="s">
        <v>64</v>
      </c>
      <c r="P662" t="s">
        <v>3694</v>
      </c>
      <c r="Q662" t="s">
        <v>100</v>
      </c>
      <c r="R662" t="s">
        <v>701</v>
      </c>
      <c r="S662">
        <v>0.12</v>
      </c>
      <c r="T662">
        <v>5830</v>
      </c>
      <c r="U662">
        <v>149.94999999999999</v>
      </c>
      <c r="V662">
        <v>5979.95</v>
      </c>
    </row>
    <row r="663" spans="1:22" x14ac:dyDescent="0.3">
      <c r="A663">
        <v>79452</v>
      </c>
      <c r="B663">
        <v>138498142</v>
      </c>
      <c r="C663" t="s">
        <v>3695</v>
      </c>
      <c r="D663" t="s">
        <v>3696</v>
      </c>
      <c r="E663" t="s">
        <v>513</v>
      </c>
      <c r="F663" t="s">
        <v>514</v>
      </c>
      <c r="G663" t="s">
        <v>136</v>
      </c>
      <c r="H663" t="s">
        <v>137</v>
      </c>
      <c r="I663" t="s">
        <v>34</v>
      </c>
      <c r="J663" t="s">
        <v>138</v>
      </c>
      <c r="K663" t="s">
        <v>41</v>
      </c>
      <c r="L663" t="s">
        <v>3697</v>
      </c>
      <c r="M663" t="s">
        <v>3698</v>
      </c>
      <c r="N663" t="s">
        <v>516</v>
      </c>
      <c r="O663" t="s">
        <v>64</v>
      </c>
      <c r="P663" t="s">
        <v>3699</v>
      </c>
      <c r="Q663" t="s">
        <v>179</v>
      </c>
      <c r="R663" t="s">
        <v>502</v>
      </c>
      <c r="S663">
        <v>0.11</v>
      </c>
      <c r="T663">
        <v>6637</v>
      </c>
      <c r="U663">
        <v>149.94999999999999</v>
      </c>
      <c r="V663">
        <v>6786.95</v>
      </c>
    </row>
    <row r="664" spans="1:22" x14ac:dyDescent="0.3">
      <c r="A664">
        <v>79452</v>
      </c>
      <c r="B664">
        <v>138458964</v>
      </c>
      <c r="C664" t="s">
        <v>3700</v>
      </c>
      <c r="D664" t="s">
        <v>3701</v>
      </c>
      <c r="E664" t="s">
        <v>513</v>
      </c>
      <c r="F664" t="s">
        <v>514</v>
      </c>
      <c r="G664" t="s">
        <v>136</v>
      </c>
      <c r="H664" t="s">
        <v>137</v>
      </c>
      <c r="I664" t="s">
        <v>34</v>
      </c>
      <c r="J664" t="s">
        <v>138</v>
      </c>
      <c r="K664" t="s">
        <v>41</v>
      </c>
      <c r="L664" t="s">
        <v>3702</v>
      </c>
      <c r="M664" t="s">
        <v>3703</v>
      </c>
      <c r="N664" t="s">
        <v>516</v>
      </c>
      <c r="O664" t="s">
        <v>64</v>
      </c>
      <c r="P664" t="s">
        <v>3704</v>
      </c>
      <c r="Q664" t="s">
        <v>132</v>
      </c>
      <c r="R664" t="s">
        <v>636</v>
      </c>
      <c r="S664">
        <v>0.14000000000000001</v>
      </c>
      <c r="T664">
        <v>6859</v>
      </c>
      <c r="U664">
        <v>174.95</v>
      </c>
      <c r="V664">
        <v>7033.95</v>
      </c>
    </row>
    <row r="665" spans="1:22" x14ac:dyDescent="0.3">
      <c r="A665">
        <v>79452</v>
      </c>
      <c r="B665">
        <v>138410856</v>
      </c>
      <c r="C665" t="s">
        <v>3705</v>
      </c>
      <c r="D665" t="s">
        <v>3706</v>
      </c>
      <c r="E665" t="s">
        <v>513</v>
      </c>
      <c r="F665" t="s">
        <v>514</v>
      </c>
      <c r="G665" t="s">
        <v>136</v>
      </c>
      <c r="H665" t="s">
        <v>137</v>
      </c>
      <c r="I665" t="s">
        <v>34</v>
      </c>
      <c r="J665" t="s">
        <v>138</v>
      </c>
      <c r="K665" t="s">
        <v>41</v>
      </c>
      <c r="L665" t="s">
        <v>3707</v>
      </c>
      <c r="M665" t="s">
        <v>3708</v>
      </c>
      <c r="N665" t="s">
        <v>516</v>
      </c>
      <c r="O665" t="s">
        <v>64</v>
      </c>
      <c r="P665" t="s">
        <v>3709</v>
      </c>
      <c r="Q665" t="s">
        <v>105</v>
      </c>
      <c r="R665" t="s">
        <v>442</v>
      </c>
      <c r="S665">
        <v>0.85</v>
      </c>
      <c r="T665">
        <v>3885</v>
      </c>
      <c r="U665">
        <v>399.9</v>
      </c>
      <c r="V665">
        <v>4284.8999999999996</v>
      </c>
    </row>
    <row r="666" spans="1:22" x14ac:dyDescent="0.3">
      <c r="A666">
        <v>79452</v>
      </c>
      <c r="B666">
        <v>138410865</v>
      </c>
      <c r="C666" t="s">
        <v>3710</v>
      </c>
      <c r="D666" t="s">
        <v>3711</v>
      </c>
      <c r="E666" t="s">
        <v>513</v>
      </c>
      <c r="F666" t="s">
        <v>514</v>
      </c>
      <c r="G666" t="s">
        <v>136</v>
      </c>
      <c r="H666" t="s">
        <v>137</v>
      </c>
      <c r="I666" t="s">
        <v>34</v>
      </c>
      <c r="J666" t="s">
        <v>138</v>
      </c>
      <c r="K666" t="s">
        <v>41</v>
      </c>
      <c r="L666" t="s">
        <v>3712</v>
      </c>
      <c r="M666" t="s">
        <v>3713</v>
      </c>
      <c r="N666" t="s">
        <v>516</v>
      </c>
      <c r="O666" t="s">
        <v>64</v>
      </c>
      <c r="P666" t="s">
        <v>3714</v>
      </c>
      <c r="Q666" t="s">
        <v>183</v>
      </c>
      <c r="R666" t="s">
        <v>442</v>
      </c>
      <c r="S666">
        <v>0.5</v>
      </c>
      <c r="T666">
        <v>6328</v>
      </c>
      <c r="U666">
        <v>449.85</v>
      </c>
      <c r="V666">
        <v>6777.85</v>
      </c>
    </row>
    <row r="667" spans="1:22" x14ac:dyDescent="0.3">
      <c r="A667">
        <v>79452</v>
      </c>
      <c r="B667">
        <v>138431319</v>
      </c>
      <c r="C667" t="s">
        <v>3715</v>
      </c>
      <c r="D667" t="s">
        <v>3716</v>
      </c>
      <c r="E667" t="s">
        <v>513</v>
      </c>
      <c r="F667" t="s">
        <v>514</v>
      </c>
      <c r="G667" t="s">
        <v>136</v>
      </c>
      <c r="H667" t="s">
        <v>137</v>
      </c>
      <c r="I667" t="s">
        <v>34</v>
      </c>
      <c r="J667" t="s">
        <v>138</v>
      </c>
      <c r="K667" t="s">
        <v>41</v>
      </c>
      <c r="L667" t="s">
        <v>3717</v>
      </c>
      <c r="M667" t="s">
        <v>3718</v>
      </c>
      <c r="N667" t="s">
        <v>516</v>
      </c>
      <c r="O667" t="s">
        <v>64</v>
      </c>
      <c r="P667" t="s">
        <v>3719</v>
      </c>
      <c r="Q667" t="s">
        <v>104</v>
      </c>
      <c r="R667" t="s">
        <v>351</v>
      </c>
      <c r="S667">
        <v>0.13</v>
      </c>
      <c r="T667">
        <v>4661</v>
      </c>
      <c r="U667">
        <v>249.95</v>
      </c>
      <c r="V667">
        <v>4910.95</v>
      </c>
    </row>
    <row r="668" spans="1:22" x14ac:dyDescent="0.3">
      <c r="A668">
        <v>79452</v>
      </c>
      <c r="B668">
        <v>138431356</v>
      </c>
      <c r="C668" t="s">
        <v>3720</v>
      </c>
      <c r="D668" t="s">
        <v>3721</v>
      </c>
      <c r="E668" t="s">
        <v>513</v>
      </c>
      <c r="F668" t="s">
        <v>514</v>
      </c>
      <c r="G668" t="s">
        <v>136</v>
      </c>
      <c r="H668" t="s">
        <v>137</v>
      </c>
      <c r="I668" t="s">
        <v>34</v>
      </c>
      <c r="J668" t="s">
        <v>138</v>
      </c>
      <c r="K668" t="s">
        <v>41</v>
      </c>
      <c r="L668" t="s">
        <v>3722</v>
      </c>
      <c r="M668" t="s">
        <v>3723</v>
      </c>
      <c r="N668" t="s">
        <v>516</v>
      </c>
      <c r="O668" t="s">
        <v>64</v>
      </c>
      <c r="P668" t="s">
        <v>3724</v>
      </c>
      <c r="Q668" t="s">
        <v>115</v>
      </c>
      <c r="R668" t="s">
        <v>812</v>
      </c>
      <c r="S668">
        <v>0.4</v>
      </c>
      <c r="T668">
        <v>5530</v>
      </c>
      <c r="U668">
        <v>299.89999999999998</v>
      </c>
      <c r="V668">
        <v>5829.9</v>
      </c>
    </row>
    <row r="669" spans="1:22" x14ac:dyDescent="0.3">
      <c r="A669">
        <v>79452</v>
      </c>
      <c r="B669">
        <v>138381394</v>
      </c>
      <c r="C669" t="s">
        <v>3725</v>
      </c>
      <c r="D669" t="s">
        <v>3726</v>
      </c>
      <c r="E669" t="s">
        <v>513</v>
      </c>
      <c r="F669" t="s">
        <v>514</v>
      </c>
      <c r="G669" t="s">
        <v>136</v>
      </c>
      <c r="H669" t="s">
        <v>137</v>
      </c>
      <c r="I669" t="s">
        <v>34</v>
      </c>
      <c r="J669" t="s">
        <v>138</v>
      </c>
      <c r="K669" t="s">
        <v>41</v>
      </c>
      <c r="L669" t="s">
        <v>3727</v>
      </c>
      <c r="M669" t="s">
        <v>3728</v>
      </c>
      <c r="N669" t="s">
        <v>516</v>
      </c>
      <c r="O669" t="s">
        <v>64</v>
      </c>
      <c r="P669" t="s">
        <v>3729</v>
      </c>
      <c r="Q669" t="s">
        <v>189</v>
      </c>
      <c r="R669" t="s">
        <v>3730</v>
      </c>
      <c r="S669">
        <v>0.25</v>
      </c>
      <c r="T669">
        <v>5107</v>
      </c>
      <c r="U669">
        <v>149.94999999999999</v>
      </c>
      <c r="V669">
        <v>5256.95</v>
      </c>
    </row>
    <row r="670" spans="1:22" x14ac:dyDescent="0.3">
      <c r="A670">
        <v>79452</v>
      </c>
      <c r="B670">
        <v>138377492</v>
      </c>
      <c r="C670" t="s">
        <v>3731</v>
      </c>
      <c r="D670" t="s">
        <v>3732</v>
      </c>
      <c r="E670" t="s">
        <v>513</v>
      </c>
      <c r="F670" t="s">
        <v>514</v>
      </c>
      <c r="G670" t="s">
        <v>136</v>
      </c>
      <c r="H670" t="s">
        <v>137</v>
      </c>
      <c r="I670" t="s">
        <v>34</v>
      </c>
      <c r="J670" t="s">
        <v>138</v>
      </c>
      <c r="K670" t="s">
        <v>41</v>
      </c>
      <c r="L670" t="s">
        <v>3733</v>
      </c>
      <c r="M670" t="s">
        <v>3734</v>
      </c>
      <c r="N670" t="s">
        <v>516</v>
      </c>
      <c r="O670" t="s">
        <v>64</v>
      </c>
      <c r="P670" t="s">
        <v>3735</v>
      </c>
      <c r="Q670" t="s">
        <v>167</v>
      </c>
      <c r="R670" t="s">
        <v>408</v>
      </c>
      <c r="S670">
        <v>0.3</v>
      </c>
      <c r="T670">
        <v>5530</v>
      </c>
      <c r="U670">
        <v>149.94999999999999</v>
      </c>
      <c r="V670">
        <v>5679.95</v>
      </c>
    </row>
    <row r="671" spans="1:22" x14ac:dyDescent="0.3">
      <c r="A671">
        <v>79452</v>
      </c>
      <c r="B671">
        <v>138377494</v>
      </c>
      <c r="C671" t="s">
        <v>3736</v>
      </c>
      <c r="D671" t="s">
        <v>3737</v>
      </c>
      <c r="E671" t="s">
        <v>513</v>
      </c>
      <c r="F671" t="s">
        <v>514</v>
      </c>
      <c r="G671" t="s">
        <v>136</v>
      </c>
      <c r="H671" t="s">
        <v>137</v>
      </c>
      <c r="I671" t="s">
        <v>34</v>
      </c>
      <c r="J671" t="s">
        <v>138</v>
      </c>
      <c r="K671" t="s">
        <v>41</v>
      </c>
      <c r="L671" t="s">
        <v>3738</v>
      </c>
      <c r="M671" t="s">
        <v>3739</v>
      </c>
      <c r="N671" t="s">
        <v>516</v>
      </c>
      <c r="O671" t="s">
        <v>64</v>
      </c>
      <c r="P671" t="s">
        <v>3740</v>
      </c>
      <c r="Q671" t="s">
        <v>115</v>
      </c>
      <c r="R671" t="s">
        <v>408</v>
      </c>
      <c r="S671">
        <v>0.71</v>
      </c>
      <c r="T671">
        <v>5530</v>
      </c>
      <c r="U671">
        <v>149.94999999999999</v>
      </c>
      <c r="V671">
        <v>5679.95</v>
      </c>
    </row>
    <row r="672" spans="1:22" x14ac:dyDescent="0.3">
      <c r="A672">
        <v>79452</v>
      </c>
      <c r="B672">
        <v>138338138</v>
      </c>
      <c r="C672" t="s">
        <v>3741</v>
      </c>
      <c r="D672" t="s">
        <v>3742</v>
      </c>
      <c r="E672" t="s">
        <v>513</v>
      </c>
      <c r="F672" t="s">
        <v>514</v>
      </c>
      <c r="G672" t="s">
        <v>136</v>
      </c>
      <c r="H672" t="s">
        <v>137</v>
      </c>
      <c r="I672" t="s">
        <v>34</v>
      </c>
      <c r="J672" t="s">
        <v>138</v>
      </c>
      <c r="K672" t="s">
        <v>41</v>
      </c>
      <c r="L672" t="s">
        <v>3743</v>
      </c>
      <c r="M672" t="s">
        <v>3744</v>
      </c>
      <c r="N672" t="s">
        <v>516</v>
      </c>
      <c r="O672" t="s">
        <v>64</v>
      </c>
      <c r="P672" t="s">
        <v>3745</v>
      </c>
      <c r="Q672" t="s">
        <v>167</v>
      </c>
      <c r="R672" t="s">
        <v>974</v>
      </c>
      <c r="S672">
        <v>0.76</v>
      </c>
      <c r="T672">
        <v>5530</v>
      </c>
      <c r="U672">
        <v>599.9</v>
      </c>
      <c r="V672">
        <v>6129.9</v>
      </c>
    </row>
    <row r="673" spans="1:22" x14ac:dyDescent="0.3">
      <c r="A673">
        <v>79452</v>
      </c>
      <c r="B673">
        <v>138354719</v>
      </c>
      <c r="C673" t="s">
        <v>3746</v>
      </c>
      <c r="D673" t="s">
        <v>3747</v>
      </c>
      <c r="E673" t="s">
        <v>513</v>
      </c>
      <c r="F673" t="s">
        <v>514</v>
      </c>
      <c r="G673" t="s">
        <v>136</v>
      </c>
      <c r="H673" t="s">
        <v>137</v>
      </c>
      <c r="I673" t="s">
        <v>34</v>
      </c>
      <c r="J673" t="s">
        <v>138</v>
      </c>
      <c r="K673" t="s">
        <v>41</v>
      </c>
      <c r="L673" t="s">
        <v>3748</v>
      </c>
      <c r="M673" t="s">
        <v>3749</v>
      </c>
      <c r="N673" t="s">
        <v>516</v>
      </c>
      <c r="O673" t="s">
        <v>64</v>
      </c>
      <c r="P673" t="s">
        <v>3750</v>
      </c>
      <c r="Q673" t="s">
        <v>132</v>
      </c>
      <c r="R673" t="s">
        <v>994</v>
      </c>
      <c r="S673">
        <v>0.49</v>
      </c>
      <c r="T673">
        <v>6859</v>
      </c>
      <c r="U673">
        <v>299.89999999999998</v>
      </c>
      <c r="V673">
        <v>7158.9</v>
      </c>
    </row>
    <row r="674" spans="1:22" x14ac:dyDescent="0.3">
      <c r="A674">
        <v>79452</v>
      </c>
      <c r="B674">
        <v>138354753</v>
      </c>
      <c r="C674" t="s">
        <v>3751</v>
      </c>
      <c r="D674" t="s">
        <v>3752</v>
      </c>
      <c r="E674" t="s">
        <v>513</v>
      </c>
      <c r="F674" t="s">
        <v>514</v>
      </c>
      <c r="G674" t="s">
        <v>136</v>
      </c>
      <c r="H674" t="s">
        <v>137</v>
      </c>
      <c r="I674" t="s">
        <v>34</v>
      </c>
      <c r="J674" t="s">
        <v>138</v>
      </c>
      <c r="K674" t="s">
        <v>41</v>
      </c>
      <c r="L674" t="s">
        <v>3753</v>
      </c>
      <c r="M674" t="s">
        <v>3754</v>
      </c>
      <c r="N674" t="s">
        <v>516</v>
      </c>
      <c r="O674" t="s">
        <v>64</v>
      </c>
      <c r="P674" t="s">
        <v>3755</v>
      </c>
      <c r="Q674" t="s">
        <v>240</v>
      </c>
      <c r="R674" t="s">
        <v>994</v>
      </c>
      <c r="S674">
        <v>0.56999999999999995</v>
      </c>
      <c r="T674">
        <v>6328</v>
      </c>
      <c r="U674">
        <v>449.85</v>
      </c>
      <c r="V674">
        <v>6777.85</v>
      </c>
    </row>
    <row r="675" spans="1:22" x14ac:dyDescent="0.3">
      <c r="A675">
        <v>79452</v>
      </c>
      <c r="B675">
        <v>138211934</v>
      </c>
      <c r="C675" t="s">
        <v>3756</v>
      </c>
      <c r="D675" t="s">
        <v>3757</v>
      </c>
      <c r="E675" t="s">
        <v>513</v>
      </c>
      <c r="F675" t="s">
        <v>514</v>
      </c>
      <c r="G675" t="s">
        <v>136</v>
      </c>
      <c r="H675" t="s">
        <v>137</v>
      </c>
      <c r="I675" t="s">
        <v>34</v>
      </c>
      <c r="J675" t="s">
        <v>138</v>
      </c>
      <c r="K675" t="s">
        <v>41</v>
      </c>
      <c r="L675" t="s">
        <v>3758</v>
      </c>
      <c r="M675" t="s">
        <v>3759</v>
      </c>
      <c r="N675" t="s">
        <v>516</v>
      </c>
      <c r="O675" t="s">
        <v>64</v>
      </c>
      <c r="P675" t="s">
        <v>3760</v>
      </c>
      <c r="Q675" t="s">
        <v>179</v>
      </c>
      <c r="R675" t="s">
        <v>537</v>
      </c>
      <c r="S675">
        <v>0.23</v>
      </c>
      <c r="T675">
        <v>6637</v>
      </c>
      <c r="U675">
        <v>149.94999999999999</v>
      </c>
      <c r="V675">
        <v>6786.95</v>
      </c>
    </row>
    <row r="676" spans="1:22" x14ac:dyDescent="0.3">
      <c r="A676">
        <v>79452</v>
      </c>
      <c r="B676">
        <v>138232533</v>
      </c>
      <c r="C676" t="s">
        <v>3761</v>
      </c>
      <c r="D676" t="s">
        <v>3762</v>
      </c>
      <c r="E676" t="s">
        <v>513</v>
      </c>
      <c r="F676" t="s">
        <v>514</v>
      </c>
      <c r="G676" t="s">
        <v>136</v>
      </c>
      <c r="H676" t="s">
        <v>137</v>
      </c>
      <c r="I676" t="s">
        <v>34</v>
      </c>
      <c r="J676" t="s">
        <v>138</v>
      </c>
      <c r="K676" t="s">
        <v>41</v>
      </c>
      <c r="L676" t="s">
        <v>3763</v>
      </c>
      <c r="M676" t="s">
        <v>3764</v>
      </c>
      <c r="N676" t="s">
        <v>516</v>
      </c>
      <c r="O676" t="s">
        <v>64</v>
      </c>
      <c r="P676" t="s">
        <v>3765</v>
      </c>
      <c r="Q676" t="s">
        <v>183</v>
      </c>
      <c r="R676" t="s">
        <v>476</v>
      </c>
      <c r="S676">
        <v>0.23</v>
      </c>
      <c r="T676">
        <v>6328</v>
      </c>
      <c r="U676">
        <v>149.94999999999999</v>
      </c>
      <c r="V676">
        <v>6477.95</v>
      </c>
    </row>
    <row r="677" spans="1:22" x14ac:dyDescent="0.3">
      <c r="A677">
        <v>79452</v>
      </c>
      <c r="B677">
        <v>138169030</v>
      </c>
      <c r="C677" t="s">
        <v>3766</v>
      </c>
      <c r="D677" t="s">
        <v>3767</v>
      </c>
      <c r="E677" t="s">
        <v>513</v>
      </c>
      <c r="F677" t="s">
        <v>514</v>
      </c>
      <c r="G677" t="s">
        <v>136</v>
      </c>
      <c r="H677" t="s">
        <v>137</v>
      </c>
      <c r="I677" t="s">
        <v>34</v>
      </c>
      <c r="J677" t="s">
        <v>138</v>
      </c>
      <c r="K677" t="s">
        <v>41</v>
      </c>
      <c r="L677" t="s">
        <v>3768</v>
      </c>
      <c r="M677" t="s">
        <v>3769</v>
      </c>
      <c r="N677" t="s">
        <v>516</v>
      </c>
      <c r="O677" t="s">
        <v>64</v>
      </c>
      <c r="P677" t="s">
        <v>3770</v>
      </c>
      <c r="Q677" t="s">
        <v>195</v>
      </c>
      <c r="R677" t="s">
        <v>1185</v>
      </c>
      <c r="S677">
        <v>0.37</v>
      </c>
      <c r="T677">
        <v>6637</v>
      </c>
      <c r="U677">
        <v>299.89999999999998</v>
      </c>
      <c r="V677">
        <v>6936.9</v>
      </c>
    </row>
    <row r="678" spans="1:22" x14ac:dyDescent="0.3">
      <c r="A678">
        <v>79452</v>
      </c>
      <c r="B678">
        <v>138169029</v>
      </c>
      <c r="C678" t="s">
        <v>3771</v>
      </c>
      <c r="D678" t="s">
        <v>3772</v>
      </c>
      <c r="E678" t="s">
        <v>513</v>
      </c>
      <c r="F678" t="s">
        <v>514</v>
      </c>
      <c r="G678" t="s">
        <v>136</v>
      </c>
      <c r="H678" t="s">
        <v>137</v>
      </c>
      <c r="I678" t="s">
        <v>34</v>
      </c>
      <c r="J678" t="s">
        <v>138</v>
      </c>
      <c r="K678" t="s">
        <v>41</v>
      </c>
      <c r="L678" t="s">
        <v>3773</v>
      </c>
      <c r="M678" t="s">
        <v>3774</v>
      </c>
      <c r="N678" t="s">
        <v>516</v>
      </c>
      <c r="O678" t="s">
        <v>64</v>
      </c>
      <c r="P678" t="s">
        <v>3775</v>
      </c>
      <c r="Q678" t="s">
        <v>105</v>
      </c>
      <c r="R678" t="s">
        <v>1185</v>
      </c>
      <c r="S678">
        <v>0.53</v>
      </c>
      <c r="T678">
        <v>3885</v>
      </c>
      <c r="U678">
        <v>299.89999999999998</v>
      </c>
      <c r="V678">
        <v>4184.8999999999996</v>
      </c>
    </row>
    <row r="679" spans="1:22" x14ac:dyDescent="0.3">
      <c r="A679">
        <v>79452</v>
      </c>
      <c r="B679">
        <v>138169009</v>
      </c>
      <c r="C679" t="s">
        <v>3776</v>
      </c>
      <c r="D679" t="s">
        <v>3777</v>
      </c>
      <c r="E679" t="s">
        <v>513</v>
      </c>
      <c r="F679" t="s">
        <v>514</v>
      </c>
      <c r="G679" t="s">
        <v>136</v>
      </c>
      <c r="H679" t="s">
        <v>137</v>
      </c>
      <c r="I679" t="s">
        <v>34</v>
      </c>
      <c r="J679" t="s">
        <v>138</v>
      </c>
      <c r="K679" t="s">
        <v>41</v>
      </c>
      <c r="L679" t="s">
        <v>3778</v>
      </c>
      <c r="M679" t="s">
        <v>3779</v>
      </c>
      <c r="N679" t="s">
        <v>516</v>
      </c>
      <c r="O679" t="s">
        <v>64</v>
      </c>
      <c r="P679" t="s">
        <v>3780</v>
      </c>
      <c r="Q679" t="s">
        <v>105</v>
      </c>
      <c r="R679" t="s">
        <v>1185</v>
      </c>
      <c r="S679">
        <v>0.94</v>
      </c>
      <c r="T679">
        <v>3885</v>
      </c>
      <c r="U679">
        <v>799.8</v>
      </c>
      <c r="V679">
        <v>4684.8</v>
      </c>
    </row>
    <row r="680" spans="1:22" x14ac:dyDescent="0.3">
      <c r="A680">
        <v>79452</v>
      </c>
      <c r="B680">
        <v>138169023</v>
      </c>
      <c r="C680" t="s">
        <v>3781</v>
      </c>
      <c r="D680" t="s">
        <v>3782</v>
      </c>
      <c r="E680" t="s">
        <v>513</v>
      </c>
      <c r="F680" t="s">
        <v>514</v>
      </c>
      <c r="G680" t="s">
        <v>136</v>
      </c>
      <c r="H680" t="s">
        <v>137</v>
      </c>
      <c r="I680" t="s">
        <v>34</v>
      </c>
      <c r="J680" t="s">
        <v>138</v>
      </c>
      <c r="K680" t="s">
        <v>41</v>
      </c>
      <c r="L680" t="s">
        <v>3712</v>
      </c>
      <c r="M680" t="s">
        <v>3713</v>
      </c>
      <c r="N680" t="s">
        <v>516</v>
      </c>
      <c r="O680" t="s">
        <v>64</v>
      </c>
      <c r="P680" t="s">
        <v>3714</v>
      </c>
      <c r="Q680" t="s">
        <v>183</v>
      </c>
      <c r="R680" t="s">
        <v>1185</v>
      </c>
      <c r="S680">
        <v>0.22</v>
      </c>
      <c r="T680">
        <v>6328</v>
      </c>
      <c r="U680">
        <v>149.94999999999999</v>
      </c>
      <c r="V680">
        <v>6477.95</v>
      </c>
    </row>
    <row r="681" spans="1:22" x14ac:dyDescent="0.3">
      <c r="A681">
        <v>79452</v>
      </c>
      <c r="B681">
        <v>138169016</v>
      </c>
      <c r="C681" t="s">
        <v>3783</v>
      </c>
      <c r="D681" t="s">
        <v>3784</v>
      </c>
      <c r="E681" t="s">
        <v>513</v>
      </c>
      <c r="F681" t="s">
        <v>514</v>
      </c>
      <c r="G681" t="s">
        <v>136</v>
      </c>
      <c r="H681" t="s">
        <v>137</v>
      </c>
      <c r="I681" t="s">
        <v>34</v>
      </c>
      <c r="J681" t="s">
        <v>138</v>
      </c>
      <c r="K681" t="s">
        <v>41</v>
      </c>
      <c r="L681" t="s">
        <v>3785</v>
      </c>
      <c r="M681" t="s">
        <v>3786</v>
      </c>
      <c r="N681" t="s">
        <v>516</v>
      </c>
      <c r="O681" t="s">
        <v>64</v>
      </c>
      <c r="P681" t="s">
        <v>3787</v>
      </c>
      <c r="Q681" t="s">
        <v>246</v>
      </c>
      <c r="R681" t="s">
        <v>1185</v>
      </c>
      <c r="S681">
        <v>0.75</v>
      </c>
      <c r="T681">
        <v>5830</v>
      </c>
      <c r="U681">
        <v>149.94999999999999</v>
      </c>
      <c r="V681">
        <v>5979.95</v>
      </c>
    </row>
    <row r="682" spans="1:22" x14ac:dyDescent="0.3">
      <c r="A682">
        <v>79452</v>
      </c>
      <c r="B682">
        <v>138027998</v>
      </c>
      <c r="C682" t="s">
        <v>3788</v>
      </c>
      <c r="D682" t="s">
        <v>3789</v>
      </c>
      <c r="E682" t="s">
        <v>513</v>
      </c>
      <c r="F682" t="s">
        <v>514</v>
      </c>
      <c r="G682" t="s">
        <v>136</v>
      </c>
      <c r="H682" t="s">
        <v>137</v>
      </c>
      <c r="I682" t="s">
        <v>34</v>
      </c>
      <c r="J682" t="s">
        <v>138</v>
      </c>
      <c r="K682" t="s">
        <v>41</v>
      </c>
      <c r="L682" t="s">
        <v>3790</v>
      </c>
      <c r="M682" t="s">
        <v>3779</v>
      </c>
      <c r="N682" t="s">
        <v>516</v>
      </c>
      <c r="O682" t="s">
        <v>64</v>
      </c>
      <c r="P682" t="s">
        <v>3780</v>
      </c>
      <c r="Q682" t="s">
        <v>105</v>
      </c>
      <c r="R682" t="s">
        <v>377</v>
      </c>
      <c r="S682">
        <v>1.28</v>
      </c>
      <c r="T682">
        <v>4108</v>
      </c>
      <c r="U682">
        <v>874.75</v>
      </c>
      <c r="V682">
        <v>4982.75</v>
      </c>
    </row>
    <row r="683" spans="1:22" x14ac:dyDescent="0.3">
      <c r="A683">
        <v>79452</v>
      </c>
      <c r="B683">
        <v>138051658</v>
      </c>
      <c r="C683" t="s">
        <v>3791</v>
      </c>
      <c r="D683" t="s">
        <v>3792</v>
      </c>
      <c r="E683" t="s">
        <v>513</v>
      </c>
      <c r="F683" t="s">
        <v>514</v>
      </c>
      <c r="G683" t="s">
        <v>136</v>
      </c>
      <c r="H683" t="s">
        <v>137</v>
      </c>
      <c r="I683" t="s">
        <v>34</v>
      </c>
      <c r="J683" t="s">
        <v>138</v>
      </c>
      <c r="K683" t="s">
        <v>41</v>
      </c>
      <c r="L683" t="s">
        <v>3793</v>
      </c>
      <c r="M683" t="s">
        <v>458</v>
      </c>
      <c r="N683" t="s">
        <v>516</v>
      </c>
      <c r="O683" t="s">
        <v>64</v>
      </c>
      <c r="P683" t="s">
        <v>3794</v>
      </c>
      <c r="Q683" t="s">
        <v>104</v>
      </c>
      <c r="R683" t="s">
        <v>1607</v>
      </c>
      <c r="S683">
        <v>0.25</v>
      </c>
      <c r="T683">
        <v>4661</v>
      </c>
      <c r="U683">
        <v>149.94999999999999</v>
      </c>
      <c r="V683">
        <v>4810.95</v>
      </c>
    </row>
    <row r="684" spans="1:22" x14ac:dyDescent="0.3">
      <c r="A684">
        <v>79452</v>
      </c>
      <c r="B684">
        <v>138051644</v>
      </c>
      <c r="C684" t="s">
        <v>3795</v>
      </c>
      <c r="D684" t="s">
        <v>3796</v>
      </c>
      <c r="E684" t="s">
        <v>513</v>
      </c>
      <c r="F684" t="s">
        <v>514</v>
      </c>
      <c r="G684" t="s">
        <v>136</v>
      </c>
      <c r="H684" t="s">
        <v>137</v>
      </c>
      <c r="I684" t="s">
        <v>34</v>
      </c>
      <c r="J684" t="s">
        <v>138</v>
      </c>
      <c r="K684" t="s">
        <v>41</v>
      </c>
      <c r="L684" t="s">
        <v>3797</v>
      </c>
      <c r="M684" t="s">
        <v>3798</v>
      </c>
      <c r="N684" t="s">
        <v>516</v>
      </c>
      <c r="O684" t="s">
        <v>64</v>
      </c>
      <c r="P684" t="s">
        <v>3799</v>
      </c>
      <c r="Q684" t="s">
        <v>115</v>
      </c>
      <c r="R684" t="s">
        <v>1695</v>
      </c>
      <c r="S684">
        <v>0.31</v>
      </c>
      <c r="T684">
        <v>5530</v>
      </c>
      <c r="U684">
        <v>174.95</v>
      </c>
      <c r="V684">
        <v>5704.95</v>
      </c>
    </row>
    <row r="685" spans="1:22" x14ac:dyDescent="0.3">
      <c r="A685">
        <v>79452</v>
      </c>
      <c r="B685">
        <v>138070616</v>
      </c>
      <c r="C685" t="s">
        <v>3800</v>
      </c>
      <c r="D685" t="s">
        <v>3801</v>
      </c>
      <c r="E685" t="s">
        <v>513</v>
      </c>
      <c r="F685" t="s">
        <v>514</v>
      </c>
      <c r="G685" t="s">
        <v>136</v>
      </c>
      <c r="H685" t="s">
        <v>137</v>
      </c>
      <c r="I685" t="s">
        <v>34</v>
      </c>
      <c r="J685" t="s">
        <v>138</v>
      </c>
      <c r="K685" t="s">
        <v>41</v>
      </c>
      <c r="L685" t="s">
        <v>3802</v>
      </c>
      <c r="M685" t="s">
        <v>267</v>
      </c>
      <c r="N685" t="s">
        <v>516</v>
      </c>
      <c r="O685" t="s">
        <v>64</v>
      </c>
      <c r="P685" t="s">
        <v>3803</v>
      </c>
      <c r="Q685" t="s">
        <v>198</v>
      </c>
      <c r="R685" t="s">
        <v>320</v>
      </c>
      <c r="S685">
        <v>0.5</v>
      </c>
      <c r="T685">
        <v>4661</v>
      </c>
      <c r="U685">
        <v>299.89999999999998</v>
      </c>
      <c r="V685">
        <v>4960.8999999999996</v>
      </c>
    </row>
    <row r="686" spans="1:22" x14ac:dyDescent="0.3">
      <c r="A686">
        <v>79452</v>
      </c>
      <c r="B686">
        <v>137963554</v>
      </c>
      <c r="C686" t="s">
        <v>3804</v>
      </c>
      <c r="D686" t="s">
        <v>3805</v>
      </c>
      <c r="E686" t="s">
        <v>513</v>
      </c>
      <c r="F686" t="s">
        <v>514</v>
      </c>
      <c r="G686" t="s">
        <v>136</v>
      </c>
      <c r="H686" t="s">
        <v>137</v>
      </c>
      <c r="I686" t="s">
        <v>34</v>
      </c>
      <c r="J686" t="s">
        <v>138</v>
      </c>
      <c r="K686" t="s">
        <v>41</v>
      </c>
      <c r="L686" t="s">
        <v>3806</v>
      </c>
      <c r="M686" t="s">
        <v>3807</v>
      </c>
      <c r="N686" t="s">
        <v>516</v>
      </c>
      <c r="O686" t="s">
        <v>64</v>
      </c>
      <c r="P686" t="s">
        <v>3808</v>
      </c>
      <c r="Q686" t="s">
        <v>105</v>
      </c>
      <c r="R686" t="s">
        <v>1849</v>
      </c>
      <c r="S686">
        <v>0.4</v>
      </c>
      <c r="T686">
        <v>3885</v>
      </c>
      <c r="U686">
        <v>249.95</v>
      </c>
      <c r="V686">
        <v>4134.95</v>
      </c>
    </row>
    <row r="687" spans="1:22" x14ac:dyDescent="0.3">
      <c r="A687">
        <v>79452</v>
      </c>
      <c r="B687">
        <v>137963564</v>
      </c>
      <c r="C687" t="s">
        <v>3809</v>
      </c>
      <c r="D687" t="s">
        <v>3810</v>
      </c>
      <c r="E687" t="s">
        <v>513</v>
      </c>
      <c r="F687" t="s">
        <v>514</v>
      </c>
      <c r="G687" t="s">
        <v>136</v>
      </c>
      <c r="H687" t="s">
        <v>137</v>
      </c>
      <c r="I687" t="s">
        <v>34</v>
      </c>
      <c r="J687" t="s">
        <v>138</v>
      </c>
      <c r="K687" t="s">
        <v>41</v>
      </c>
      <c r="L687" t="s">
        <v>3811</v>
      </c>
      <c r="M687" t="s">
        <v>3786</v>
      </c>
      <c r="N687" t="s">
        <v>516</v>
      </c>
      <c r="O687" t="s">
        <v>64</v>
      </c>
      <c r="P687" t="s">
        <v>3787</v>
      </c>
      <c r="Q687" t="s">
        <v>246</v>
      </c>
      <c r="R687" t="s">
        <v>1849</v>
      </c>
      <c r="S687">
        <v>0.27</v>
      </c>
      <c r="T687">
        <v>5830</v>
      </c>
      <c r="U687">
        <v>149.94999999999999</v>
      </c>
      <c r="V687">
        <v>5979.95</v>
      </c>
    </row>
    <row r="688" spans="1:22" x14ac:dyDescent="0.3">
      <c r="A688">
        <v>79452</v>
      </c>
      <c r="B688">
        <v>137909807</v>
      </c>
      <c r="C688" t="s">
        <v>3812</v>
      </c>
      <c r="D688" t="s">
        <v>3813</v>
      </c>
      <c r="E688" t="s">
        <v>513</v>
      </c>
      <c r="F688" t="s">
        <v>514</v>
      </c>
      <c r="G688" t="s">
        <v>136</v>
      </c>
      <c r="H688" t="s">
        <v>137</v>
      </c>
      <c r="I688" t="s">
        <v>34</v>
      </c>
      <c r="J688" t="s">
        <v>138</v>
      </c>
      <c r="K688" t="s">
        <v>41</v>
      </c>
      <c r="L688" t="s">
        <v>3814</v>
      </c>
      <c r="M688" t="s">
        <v>3815</v>
      </c>
      <c r="N688" t="s">
        <v>516</v>
      </c>
      <c r="O688" t="s">
        <v>64</v>
      </c>
      <c r="P688" t="s">
        <v>3816</v>
      </c>
      <c r="Q688" t="s">
        <v>226</v>
      </c>
      <c r="R688" t="s">
        <v>1217</v>
      </c>
      <c r="S688">
        <v>0.87</v>
      </c>
      <c r="T688">
        <v>6859</v>
      </c>
      <c r="U688">
        <v>449.85</v>
      </c>
      <c r="V688">
        <v>7308.85</v>
      </c>
    </row>
    <row r="689" spans="1:22" x14ac:dyDescent="0.3">
      <c r="A689">
        <v>79452</v>
      </c>
      <c r="B689">
        <v>137870233</v>
      </c>
      <c r="C689" t="s">
        <v>3817</v>
      </c>
      <c r="D689" t="s">
        <v>3818</v>
      </c>
      <c r="E689" t="s">
        <v>513</v>
      </c>
      <c r="F689" t="s">
        <v>514</v>
      </c>
      <c r="G689" t="s">
        <v>136</v>
      </c>
      <c r="H689" t="s">
        <v>137</v>
      </c>
      <c r="I689" t="s">
        <v>34</v>
      </c>
      <c r="J689" t="s">
        <v>138</v>
      </c>
      <c r="K689" t="s">
        <v>41</v>
      </c>
      <c r="L689" t="s">
        <v>3819</v>
      </c>
      <c r="M689" t="s">
        <v>3820</v>
      </c>
      <c r="N689" t="s">
        <v>516</v>
      </c>
      <c r="O689" t="s">
        <v>64</v>
      </c>
      <c r="P689" t="s">
        <v>3821</v>
      </c>
      <c r="Q689" t="s">
        <v>132</v>
      </c>
      <c r="R689" t="s">
        <v>1000</v>
      </c>
      <c r="S689">
        <v>0.61</v>
      </c>
      <c r="T689">
        <v>6859</v>
      </c>
      <c r="U689">
        <v>224.93</v>
      </c>
      <c r="V689">
        <v>7083.93</v>
      </c>
    </row>
    <row r="690" spans="1:22" x14ac:dyDescent="0.3">
      <c r="A690">
        <v>79452</v>
      </c>
      <c r="B690">
        <v>138354743</v>
      </c>
      <c r="C690" t="s">
        <v>3822</v>
      </c>
      <c r="D690" t="s">
        <v>3823</v>
      </c>
      <c r="E690" t="s">
        <v>513</v>
      </c>
      <c r="F690" t="s">
        <v>514</v>
      </c>
      <c r="G690" t="s">
        <v>69</v>
      </c>
      <c r="H690" t="s">
        <v>70</v>
      </c>
      <c r="I690" t="s">
        <v>34</v>
      </c>
      <c r="J690" t="s">
        <v>139</v>
      </c>
      <c r="K690" t="s">
        <v>41</v>
      </c>
      <c r="L690" t="s">
        <v>71</v>
      </c>
      <c r="M690" t="s">
        <v>3824</v>
      </c>
      <c r="N690" t="s">
        <v>516</v>
      </c>
      <c r="O690" t="s">
        <v>64</v>
      </c>
      <c r="P690" t="s">
        <v>3825</v>
      </c>
      <c r="Q690" t="s">
        <v>190</v>
      </c>
      <c r="R690" t="s">
        <v>994</v>
      </c>
      <c r="S690">
        <v>0.35</v>
      </c>
      <c r="T690">
        <v>6203</v>
      </c>
      <c r="U690">
        <v>0</v>
      </c>
      <c r="V690">
        <v>6203</v>
      </c>
    </row>
    <row r="691" spans="1:22" x14ac:dyDescent="0.3">
      <c r="A691">
        <v>79452</v>
      </c>
      <c r="B691">
        <v>138550783</v>
      </c>
      <c r="C691" t="s">
        <v>3826</v>
      </c>
      <c r="D691" t="s">
        <v>3827</v>
      </c>
      <c r="E691" t="s">
        <v>513</v>
      </c>
      <c r="F691" t="s">
        <v>514</v>
      </c>
      <c r="G691" t="s">
        <v>69</v>
      </c>
      <c r="H691" t="s">
        <v>70</v>
      </c>
      <c r="I691" t="s">
        <v>34</v>
      </c>
      <c r="J691" t="s">
        <v>139</v>
      </c>
      <c r="K691" t="s">
        <v>41</v>
      </c>
      <c r="L691" t="s">
        <v>71</v>
      </c>
      <c r="M691" t="s">
        <v>3828</v>
      </c>
      <c r="N691" t="s">
        <v>516</v>
      </c>
      <c r="O691" t="s">
        <v>64</v>
      </c>
      <c r="P691" t="s">
        <v>3829</v>
      </c>
      <c r="Q691" t="s">
        <v>210</v>
      </c>
      <c r="R691" t="s">
        <v>300</v>
      </c>
      <c r="S691">
        <v>0.46</v>
      </c>
      <c r="T691">
        <v>5825</v>
      </c>
      <c r="U691">
        <v>0</v>
      </c>
      <c r="V691">
        <v>5825</v>
      </c>
    </row>
    <row r="692" spans="1:22" x14ac:dyDescent="0.3">
      <c r="A692">
        <v>79452</v>
      </c>
      <c r="B692">
        <v>138498140</v>
      </c>
      <c r="C692" t="s">
        <v>3830</v>
      </c>
      <c r="D692" t="s">
        <v>3831</v>
      </c>
      <c r="E692" t="s">
        <v>513</v>
      </c>
      <c r="F692" t="s">
        <v>514</v>
      </c>
      <c r="G692" t="s">
        <v>69</v>
      </c>
      <c r="H692" t="s">
        <v>70</v>
      </c>
      <c r="I692" t="s">
        <v>34</v>
      </c>
      <c r="J692" t="s">
        <v>139</v>
      </c>
      <c r="K692" t="s">
        <v>41</v>
      </c>
      <c r="L692" t="s">
        <v>71</v>
      </c>
      <c r="M692" t="s">
        <v>3832</v>
      </c>
      <c r="N692" t="s">
        <v>516</v>
      </c>
      <c r="O692" t="s">
        <v>64</v>
      </c>
      <c r="P692" t="s">
        <v>3833</v>
      </c>
      <c r="Q692" t="s">
        <v>255</v>
      </c>
      <c r="R692" t="s">
        <v>502</v>
      </c>
      <c r="S692">
        <v>0.5</v>
      </c>
      <c r="T692">
        <v>8738</v>
      </c>
      <c r="U692">
        <v>0</v>
      </c>
      <c r="V692">
        <v>8738</v>
      </c>
    </row>
    <row r="693" spans="1:22" x14ac:dyDescent="0.3">
      <c r="A693">
        <v>79452</v>
      </c>
      <c r="B693">
        <v>138475380</v>
      </c>
      <c r="C693" t="s">
        <v>3834</v>
      </c>
      <c r="D693" t="s">
        <v>3835</v>
      </c>
      <c r="E693" t="s">
        <v>513</v>
      </c>
      <c r="F693" t="s">
        <v>514</v>
      </c>
      <c r="G693" t="s">
        <v>69</v>
      </c>
      <c r="H693" t="s">
        <v>70</v>
      </c>
      <c r="I693" t="s">
        <v>34</v>
      </c>
      <c r="J693" t="s">
        <v>139</v>
      </c>
      <c r="K693" t="s">
        <v>41</v>
      </c>
      <c r="L693" t="s">
        <v>71</v>
      </c>
      <c r="M693" t="s">
        <v>466</v>
      </c>
      <c r="N693" t="s">
        <v>516</v>
      </c>
      <c r="O693" t="s">
        <v>64</v>
      </c>
      <c r="P693" t="s">
        <v>3836</v>
      </c>
      <c r="Q693" t="s">
        <v>77</v>
      </c>
      <c r="R693" t="s">
        <v>701</v>
      </c>
      <c r="S693">
        <v>0.55000000000000004</v>
      </c>
      <c r="T693">
        <v>4072</v>
      </c>
      <c r="U693">
        <v>0</v>
      </c>
      <c r="V693">
        <v>4072</v>
      </c>
    </row>
    <row r="694" spans="1:22" x14ac:dyDescent="0.3">
      <c r="A694">
        <v>79452</v>
      </c>
      <c r="B694">
        <v>138338159</v>
      </c>
      <c r="C694" t="s">
        <v>3837</v>
      </c>
      <c r="D694" t="s">
        <v>3838</v>
      </c>
      <c r="E694" t="s">
        <v>513</v>
      </c>
      <c r="F694" t="s">
        <v>514</v>
      </c>
      <c r="G694" t="s">
        <v>69</v>
      </c>
      <c r="H694" t="s">
        <v>70</v>
      </c>
      <c r="I694" t="s">
        <v>34</v>
      </c>
      <c r="J694" t="s">
        <v>139</v>
      </c>
      <c r="K694" t="s">
        <v>41</v>
      </c>
      <c r="L694" t="s">
        <v>71</v>
      </c>
      <c r="M694" t="s">
        <v>3839</v>
      </c>
      <c r="N694" t="s">
        <v>516</v>
      </c>
      <c r="O694" t="s">
        <v>64</v>
      </c>
      <c r="P694" t="s">
        <v>3840</v>
      </c>
      <c r="Q694" t="s">
        <v>83</v>
      </c>
      <c r="R694" t="s">
        <v>974</v>
      </c>
      <c r="S694">
        <v>0.46</v>
      </c>
      <c r="T694">
        <v>3927</v>
      </c>
      <c r="U694">
        <v>0</v>
      </c>
      <c r="V694">
        <v>3927</v>
      </c>
    </row>
    <row r="695" spans="1:22" x14ac:dyDescent="0.3">
      <c r="A695">
        <v>79452</v>
      </c>
      <c r="B695">
        <v>138410851</v>
      </c>
      <c r="C695" t="s">
        <v>3841</v>
      </c>
      <c r="D695" t="s">
        <v>3842</v>
      </c>
      <c r="E695" t="s">
        <v>513</v>
      </c>
      <c r="F695" t="s">
        <v>514</v>
      </c>
      <c r="G695" t="s">
        <v>69</v>
      </c>
      <c r="H695" t="s">
        <v>70</v>
      </c>
      <c r="I695" t="s">
        <v>34</v>
      </c>
      <c r="J695" t="s">
        <v>139</v>
      </c>
      <c r="K695" t="s">
        <v>41</v>
      </c>
      <c r="L695" t="s">
        <v>71</v>
      </c>
      <c r="M695" t="s">
        <v>3843</v>
      </c>
      <c r="N695" t="s">
        <v>516</v>
      </c>
      <c r="O695" t="s">
        <v>64</v>
      </c>
      <c r="P695" t="s">
        <v>3844</v>
      </c>
      <c r="Q695" t="s">
        <v>141</v>
      </c>
      <c r="R695" t="s">
        <v>442</v>
      </c>
      <c r="S695">
        <v>0.56999999999999995</v>
      </c>
      <c r="T695">
        <v>6232</v>
      </c>
      <c r="U695">
        <v>0</v>
      </c>
      <c r="V695">
        <v>6232</v>
      </c>
    </row>
    <row r="696" spans="1:22" x14ac:dyDescent="0.3">
      <c r="A696">
        <v>79452</v>
      </c>
      <c r="B696">
        <v>138373618</v>
      </c>
      <c r="C696" t="s">
        <v>3845</v>
      </c>
      <c r="D696" t="s">
        <v>3846</v>
      </c>
      <c r="E696" t="s">
        <v>513</v>
      </c>
      <c r="F696" t="s">
        <v>514</v>
      </c>
      <c r="G696" t="s">
        <v>69</v>
      </c>
      <c r="H696" t="s">
        <v>70</v>
      </c>
      <c r="I696" t="s">
        <v>34</v>
      </c>
      <c r="J696" t="s">
        <v>139</v>
      </c>
      <c r="K696" t="s">
        <v>41</v>
      </c>
      <c r="L696" t="s">
        <v>71</v>
      </c>
      <c r="M696" t="s">
        <v>3847</v>
      </c>
      <c r="N696" t="s">
        <v>516</v>
      </c>
      <c r="O696" t="s">
        <v>64</v>
      </c>
      <c r="P696" t="s">
        <v>3848</v>
      </c>
      <c r="Q696" t="s">
        <v>174</v>
      </c>
      <c r="R696" t="s">
        <v>317</v>
      </c>
      <c r="S696">
        <v>0.44</v>
      </c>
      <c r="T696">
        <v>3927</v>
      </c>
      <c r="U696">
        <v>0</v>
      </c>
      <c r="V696">
        <v>3927</v>
      </c>
    </row>
    <row r="697" spans="1:22" x14ac:dyDescent="0.3">
      <c r="A697">
        <v>79452</v>
      </c>
      <c r="B697">
        <v>138538384</v>
      </c>
      <c r="C697" t="s">
        <v>3849</v>
      </c>
      <c r="D697" t="s">
        <v>3850</v>
      </c>
      <c r="E697" t="s">
        <v>513</v>
      </c>
      <c r="F697" t="s">
        <v>514</v>
      </c>
      <c r="G697" t="s">
        <v>69</v>
      </c>
      <c r="H697" t="s">
        <v>70</v>
      </c>
      <c r="I697" t="s">
        <v>34</v>
      </c>
      <c r="J697" t="s">
        <v>139</v>
      </c>
      <c r="K697" t="s">
        <v>41</v>
      </c>
      <c r="L697" t="s">
        <v>71</v>
      </c>
      <c r="M697" t="s">
        <v>3851</v>
      </c>
      <c r="N697" t="s">
        <v>516</v>
      </c>
      <c r="O697" t="s">
        <v>64</v>
      </c>
      <c r="P697" t="s">
        <v>3852</v>
      </c>
      <c r="Q697" t="s">
        <v>180</v>
      </c>
      <c r="R697" t="s">
        <v>482</v>
      </c>
      <c r="S697">
        <v>0.94</v>
      </c>
      <c r="T697">
        <v>6232</v>
      </c>
      <c r="U697">
        <v>0</v>
      </c>
      <c r="V697">
        <v>6232</v>
      </c>
    </row>
    <row r="698" spans="1:22" x14ac:dyDescent="0.3">
      <c r="A698">
        <v>79452</v>
      </c>
      <c r="B698">
        <v>138168987</v>
      </c>
      <c r="C698" t="s">
        <v>3853</v>
      </c>
      <c r="D698" t="s">
        <v>3854</v>
      </c>
      <c r="E698" t="s">
        <v>513</v>
      </c>
      <c r="F698" t="s">
        <v>514</v>
      </c>
      <c r="G698" t="s">
        <v>69</v>
      </c>
      <c r="H698" t="s">
        <v>70</v>
      </c>
      <c r="I698" t="s">
        <v>34</v>
      </c>
      <c r="J698" t="s">
        <v>139</v>
      </c>
      <c r="K698" t="s">
        <v>41</v>
      </c>
      <c r="L698" t="s">
        <v>71</v>
      </c>
      <c r="M698" t="s">
        <v>3855</v>
      </c>
      <c r="N698" t="s">
        <v>516</v>
      </c>
      <c r="O698" t="s">
        <v>64</v>
      </c>
      <c r="P698" t="s">
        <v>3856</v>
      </c>
      <c r="Q698" t="s">
        <v>77</v>
      </c>
      <c r="R698" t="s">
        <v>1185</v>
      </c>
      <c r="S698">
        <v>1.69</v>
      </c>
      <c r="T698">
        <v>4335</v>
      </c>
      <c r="U698">
        <v>0</v>
      </c>
      <c r="V698">
        <v>4335</v>
      </c>
    </row>
    <row r="699" spans="1:22" x14ac:dyDescent="0.3">
      <c r="A699">
        <v>79452</v>
      </c>
      <c r="B699">
        <v>138115944</v>
      </c>
      <c r="C699" t="s">
        <v>3857</v>
      </c>
      <c r="D699" t="s">
        <v>3858</v>
      </c>
      <c r="E699" t="s">
        <v>513</v>
      </c>
      <c r="F699" t="s">
        <v>514</v>
      </c>
      <c r="G699" t="s">
        <v>69</v>
      </c>
      <c r="H699" t="s">
        <v>70</v>
      </c>
      <c r="I699" t="s">
        <v>34</v>
      </c>
      <c r="J699" t="s">
        <v>139</v>
      </c>
      <c r="K699" t="s">
        <v>41</v>
      </c>
      <c r="L699" t="s">
        <v>71</v>
      </c>
      <c r="M699" t="s">
        <v>3859</v>
      </c>
      <c r="N699" t="s">
        <v>516</v>
      </c>
      <c r="O699" t="s">
        <v>64</v>
      </c>
      <c r="P699" t="s">
        <v>3860</v>
      </c>
      <c r="Q699" t="s">
        <v>77</v>
      </c>
      <c r="R699" t="s">
        <v>319</v>
      </c>
      <c r="S699">
        <v>0.36</v>
      </c>
      <c r="T699">
        <v>3927</v>
      </c>
      <c r="U699">
        <v>0</v>
      </c>
      <c r="V699">
        <v>3927</v>
      </c>
    </row>
    <row r="700" spans="1:22" x14ac:dyDescent="0.3">
      <c r="A700">
        <v>79452</v>
      </c>
      <c r="B700">
        <v>138169057</v>
      </c>
      <c r="C700" t="s">
        <v>3861</v>
      </c>
      <c r="D700" t="s">
        <v>3862</v>
      </c>
      <c r="E700" t="s">
        <v>513</v>
      </c>
      <c r="F700" t="s">
        <v>514</v>
      </c>
      <c r="G700" t="s">
        <v>69</v>
      </c>
      <c r="H700" t="s">
        <v>70</v>
      </c>
      <c r="I700" t="s">
        <v>34</v>
      </c>
      <c r="J700" t="s">
        <v>139</v>
      </c>
      <c r="K700" t="s">
        <v>41</v>
      </c>
      <c r="L700" t="s">
        <v>71</v>
      </c>
      <c r="M700" t="s">
        <v>3863</v>
      </c>
      <c r="N700" t="s">
        <v>516</v>
      </c>
      <c r="O700" t="s">
        <v>64</v>
      </c>
      <c r="P700" t="s">
        <v>3864</v>
      </c>
      <c r="Q700" t="s">
        <v>210</v>
      </c>
      <c r="R700" t="s">
        <v>1211</v>
      </c>
      <c r="S700">
        <v>0.51</v>
      </c>
      <c r="T700">
        <v>6232</v>
      </c>
      <c r="U700">
        <v>0</v>
      </c>
      <c r="V700">
        <v>6232</v>
      </c>
    </row>
    <row r="701" spans="1:22" x14ac:dyDescent="0.3">
      <c r="A701">
        <v>79452</v>
      </c>
      <c r="B701">
        <v>138169007</v>
      </c>
      <c r="C701" t="s">
        <v>3865</v>
      </c>
      <c r="D701" t="s">
        <v>3866</v>
      </c>
      <c r="E701" t="s">
        <v>513</v>
      </c>
      <c r="F701" t="s">
        <v>514</v>
      </c>
      <c r="G701" t="s">
        <v>69</v>
      </c>
      <c r="H701" t="s">
        <v>70</v>
      </c>
      <c r="I701" t="s">
        <v>34</v>
      </c>
      <c r="J701" t="s">
        <v>139</v>
      </c>
      <c r="K701" t="s">
        <v>41</v>
      </c>
      <c r="L701" t="s">
        <v>71</v>
      </c>
      <c r="M701" t="s">
        <v>3867</v>
      </c>
      <c r="N701" t="s">
        <v>516</v>
      </c>
      <c r="O701" t="s">
        <v>64</v>
      </c>
      <c r="P701" t="s">
        <v>3868</v>
      </c>
      <c r="Q701" t="s">
        <v>174</v>
      </c>
      <c r="R701" t="s">
        <v>1185</v>
      </c>
      <c r="S701">
        <v>0.72</v>
      </c>
      <c r="T701">
        <v>4072</v>
      </c>
      <c r="U701">
        <v>0</v>
      </c>
      <c r="V701">
        <v>4072</v>
      </c>
    </row>
    <row r="702" spans="1:22" x14ac:dyDescent="0.3">
      <c r="A702">
        <v>79452</v>
      </c>
      <c r="B702">
        <v>138232512</v>
      </c>
      <c r="C702" t="s">
        <v>3869</v>
      </c>
      <c r="D702" t="s">
        <v>3870</v>
      </c>
      <c r="E702" t="s">
        <v>513</v>
      </c>
      <c r="F702" t="s">
        <v>514</v>
      </c>
      <c r="G702" t="s">
        <v>69</v>
      </c>
      <c r="H702" t="s">
        <v>70</v>
      </c>
      <c r="I702" t="s">
        <v>34</v>
      </c>
      <c r="J702" t="s">
        <v>139</v>
      </c>
      <c r="K702" t="s">
        <v>41</v>
      </c>
      <c r="L702" t="s">
        <v>71</v>
      </c>
      <c r="M702" t="s">
        <v>3871</v>
      </c>
      <c r="N702" t="s">
        <v>516</v>
      </c>
      <c r="O702" t="s">
        <v>64</v>
      </c>
      <c r="P702" t="s">
        <v>3872</v>
      </c>
      <c r="Q702" t="s">
        <v>126</v>
      </c>
      <c r="R702" t="s">
        <v>476</v>
      </c>
      <c r="S702">
        <v>0.45</v>
      </c>
      <c r="T702">
        <v>5825</v>
      </c>
      <c r="U702">
        <v>0</v>
      </c>
      <c r="V702">
        <v>5825</v>
      </c>
    </row>
    <row r="703" spans="1:22" x14ac:dyDescent="0.3">
      <c r="A703">
        <v>79452</v>
      </c>
      <c r="B703">
        <v>138316600</v>
      </c>
      <c r="C703" t="s">
        <v>3873</v>
      </c>
      <c r="D703" t="s">
        <v>3874</v>
      </c>
      <c r="E703" t="s">
        <v>513</v>
      </c>
      <c r="F703" t="s">
        <v>514</v>
      </c>
      <c r="G703" t="s">
        <v>69</v>
      </c>
      <c r="H703" t="s">
        <v>70</v>
      </c>
      <c r="I703" t="s">
        <v>34</v>
      </c>
      <c r="J703" t="s">
        <v>139</v>
      </c>
      <c r="K703" t="s">
        <v>41</v>
      </c>
      <c r="L703" t="s">
        <v>71</v>
      </c>
      <c r="M703" t="s">
        <v>3875</v>
      </c>
      <c r="N703" t="s">
        <v>516</v>
      </c>
      <c r="O703" t="s">
        <v>64</v>
      </c>
      <c r="P703" t="s">
        <v>3876</v>
      </c>
      <c r="Q703" t="s">
        <v>216</v>
      </c>
      <c r="R703" t="s">
        <v>287</v>
      </c>
      <c r="S703">
        <v>0.49</v>
      </c>
      <c r="T703">
        <v>11790</v>
      </c>
      <c r="U703">
        <v>0</v>
      </c>
      <c r="V703">
        <v>11790</v>
      </c>
    </row>
    <row r="704" spans="1:22" x14ac:dyDescent="0.3">
      <c r="A704">
        <v>79452</v>
      </c>
      <c r="B704">
        <v>138133064</v>
      </c>
      <c r="C704" t="s">
        <v>3877</v>
      </c>
      <c r="D704" t="s">
        <v>3878</v>
      </c>
      <c r="E704" t="s">
        <v>513</v>
      </c>
      <c r="F704" t="s">
        <v>514</v>
      </c>
      <c r="G704" t="s">
        <v>69</v>
      </c>
      <c r="H704" t="s">
        <v>70</v>
      </c>
      <c r="I704" t="s">
        <v>34</v>
      </c>
      <c r="J704" t="s">
        <v>139</v>
      </c>
      <c r="K704" t="s">
        <v>41</v>
      </c>
      <c r="L704" t="s">
        <v>71</v>
      </c>
      <c r="M704" t="s">
        <v>341</v>
      </c>
      <c r="N704" t="s">
        <v>516</v>
      </c>
      <c r="O704" t="s">
        <v>64</v>
      </c>
      <c r="P704" t="s">
        <v>3879</v>
      </c>
      <c r="Q704" t="s">
        <v>142</v>
      </c>
      <c r="R704" t="s">
        <v>1311</v>
      </c>
      <c r="S704">
        <v>0.66</v>
      </c>
      <c r="T704">
        <v>4072</v>
      </c>
      <c r="U704">
        <v>0</v>
      </c>
      <c r="V704">
        <v>4072</v>
      </c>
    </row>
    <row r="705" spans="1:22" x14ac:dyDescent="0.3">
      <c r="A705">
        <v>79452</v>
      </c>
      <c r="B705">
        <v>138133091</v>
      </c>
      <c r="C705" t="s">
        <v>3880</v>
      </c>
      <c r="D705" t="s">
        <v>3881</v>
      </c>
      <c r="E705" t="s">
        <v>513</v>
      </c>
      <c r="F705" t="s">
        <v>514</v>
      </c>
      <c r="G705" t="s">
        <v>69</v>
      </c>
      <c r="H705" t="s">
        <v>70</v>
      </c>
      <c r="I705" t="s">
        <v>34</v>
      </c>
      <c r="J705" t="s">
        <v>139</v>
      </c>
      <c r="K705" t="s">
        <v>41</v>
      </c>
      <c r="L705" t="s">
        <v>71</v>
      </c>
      <c r="M705" t="s">
        <v>3882</v>
      </c>
      <c r="N705" t="s">
        <v>516</v>
      </c>
      <c r="O705" t="s">
        <v>64</v>
      </c>
      <c r="P705" t="s">
        <v>3883</v>
      </c>
      <c r="Q705" t="s">
        <v>126</v>
      </c>
      <c r="R705" t="s">
        <v>1311</v>
      </c>
      <c r="S705">
        <v>0.45</v>
      </c>
      <c r="T705">
        <v>5825</v>
      </c>
      <c r="U705">
        <v>0</v>
      </c>
      <c r="V705">
        <v>5825</v>
      </c>
    </row>
    <row r="706" spans="1:22" x14ac:dyDescent="0.3">
      <c r="A706">
        <v>79452</v>
      </c>
      <c r="B706">
        <v>138112978</v>
      </c>
      <c r="C706" t="s">
        <v>3884</v>
      </c>
      <c r="D706" t="s">
        <v>3885</v>
      </c>
      <c r="E706" t="s">
        <v>513</v>
      </c>
      <c r="F706" t="s">
        <v>514</v>
      </c>
      <c r="G706" t="s">
        <v>69</v>
      </c>
      <c r="H706" t="s">
        <v>70</v>
      </c>
      <c r="I706" t="s">
        <v>34</v>
      </c>
      <c r="J706" t="s">
        <v>139</v>
      </c>
      <c r="K706" t="s">
        <v>41</v>
      </c>
      <c r="L706" t="s">
        <v>71</v>
      </c>
      <c r="M706" t="s">
        <v>356</v>
      </c>
      <c r="N706" t="s">
        <v>516</v>
      </c>
      <c r="O706" t="s">
        <v>64</v>
      </c>
      <c r="P706" t="s">
        <v>3886</v>
      </c>
      <c r="Q706" t="s">
        <v>77</v>
      </c>
      <c r="R706" t="s">
        <v>299</v>
      </c>
      <c r="S706">
        <v>0.46</v>
      </c>
      <c r="T706">
        <v>3927</v>
      </c>
      <c r="U706">
        <v>0</v>
      </c>
      <c r="V706">
        <v>3927</v>
      </c>
    </row>
    <row r="707" spans="1:22" x14ac:dyDescent="0.3">
      <c r="A707">
        <v>79452</v>
      </c>
      <c r="B707">
        <v>138275760</v>
      </c>
      <c r="C707" t="s">
        <v>3887</v>
      </c>
      <c r="D707" t="s">
        <v>3888</v>
      </c>
      <c r="E707" t="s">
        <v>513</v>
      </c>
      <c r="F707" t="s">
        <v>514</v>
      </c>
      <c r="G707" t="s">
        <v>69</v>
      </c>
      <c r="H707" t="s">
        <v>70</v>
      </c>
      <c r="I707" t="s">
        <v>34</v>
      </c>
      <c r="J707" t="s">
        <v>139</v>
      </c>
      <c r="K707" t="s">
        <v>41</v>
      </c>
      <c r="L707" t="s">
        <v>71</v>
      </c>
      <c r="M707" t="s">
        <v>3889</v>
      </c>
      <c r="N707" t="s">
        <v>516</v>
      </c>
      <c r="O707" t="s">
        <v>64</v>
      </c>
      <c r="P707" t="s">
        <v>3890</v>
      </c>
      <c r="Q707" t="s">
        <v>249</v>
      </c>
      <c r="R707" t="s">
        <v>1206</v>
      </c>
      <c r="S707">
        <v>0.35</v>
      </c>
      <c r="T707">
        <v>5825</v>
      </c>
      <c r="U707">
        <v>0</v>
      </c>
      <c r="V707">
        <v>5825</v>
      </c>
    </row>
    <row r="708" spans="1:22" x14ac:dyDescent="0.3">
      <c r="A708">
        <v>79452</v>
      </c>
      <c r="B708">
        <v>138211945</v>
      </c>
      <c r="C708" t="s">
        <v>3891</v>
      </c>
      <c r="D708" t="s">
        <v>3892</v>
      </c>
      <c r="E708" t="s">
        <v>513</v>
      </c>
      <c r="F708" t="s">
        <v>514</v>
      </c>
      <c r="G708" t="s">
        <v>69</v>
      </c>
      <c r="H708" t="s">
        <v>70</v>
      </c>
      <c r="I708" t="s">
        <v>34</v>
      </c>
      <c r="J708" t="s">
        <v>139</v>
      </c>
      <c r="K708" t="s">
        <v>41</v>
      </c>
      <c r="L708" t="s">
        <v>71</v>
      </c>
      <c r="M708" t="s">
        <v>3893</v>
      </c>
      <c r="N708" t="s">
        <v>516</v>
      </c>
      <c r="O708" t="s">
        <v>64</v>
      </c>
      <c r="P708" t="s">
        <v>3894</v>
      </c>
      <c r="Q708" t="s">
        <v>107</v>
      </c>
      <c r="R708" t="s">
        <v>537</v>
      </c>
      <c r="S708">
        <v>0.67</v>
      </c>
      <c r="T708">
        <v>6307</v>
      </c>
      <c r="U708">
        <v>0</v>
      </c>
      <c r="V708">
        <v>6307</v>
      </c>
    </row>
    <row r="709" spans="1:22" x14ac:dyDescent="0.3">
      <c r="A709">
        <v>79452</v>
      </c>
      <c r="B709">
        <v>138168978</v>
      </c>
      <c r="C709" t="s">
        <v>3895</v>
      </c>
      <c r="D709" t="s">
        <v>3896</v>
      </c>
      <c r="E709" t="s">
        <v>513</v>
      </c>
      <c r="F709" t="s">
        <v>514</v>
      </c>
      <c r="G709" t="s">
        <v>69</v>
      </c>
      <c r="H709" t="s">
        <v>70</v>
      </c>
      <c r="I709" t="s">
        <v>34</v>
      </c>
      <c r="J709" t="s">
        <v>139</v>
      </c>
      <c r="K709" t="s">
        <v>41</v>
      </c>
      <c r="L709" t="s">
        <v>71</v>
      </c>
      <c r="M709" t="s">
        <v>3897</v>
      </c>
      <c r="N709" t="s">
        <v>516</v>
      </c>
      <c r="O709" t="s">
        <v>64</v>
      </c>
      <c r="P709" t="s">
        <v>3898</v>
      </c>
      <c r="Q709" t="s">
        <v>249</v>
      </c>
      <c r="R709" t="s">
        <v>1185</v>
      </c>
      <c r="S709">
        <v>0.28000000000000003</v>
      </c>
      <c r="T709">
        <v>5825</v>
      </c>
      <c r="U709">
        <v>0</v>
      </c>
      <c r="V709">
        <v>5825</v>
      </c>
    </row>
    <row r="710" spans="1:22" x14ac:dyDescent="0.3">
      <c r="A710">
        <v>79452</v>
      </c>
      <c r="B710">
        <v>138169019</v>
      </c>
      <c r="C710" t="s">
        <v>3899</v>
      </c>
      <c r="D710" t="s">
        <v>3900</v>
      </c>
      <c r="E710" t="s">
        <v>513</v>
      </c>
      <c r="F710" t="s">
        <v>514</v>
      </c>
      <c r="G710" t="s">
        <v>69</v>
      </c>
      <c r="H710" t="s">
        <v>70</v>
      </c>
      <c r="I710" t="s">
        <v>34</v>
      </c>
      <c r="J710" t="s">
        <v>139</v>
      </c>
      <c r="K710" t="s">
        <v>41</v>
      </c>
      <c r="L710" t="s">
        <v>71</v>
      </c>
      <c r="M710" t="s">
        <v>452</v>
      </c>
      <c r="N710" t="s">
        <v>516</v>
      </c>
      <c r="O710" t="s">
        <v>64</v>
      </c>
      <c r="P710" t="s">
        <v>3901</v>
      </c>
      <c r="Q710" t="s">
        <v>210</v>
      </c>
      <c r="R710" t="s">
        <v>1185</v>
      </c>
      <c r="S710">
        <v>0.68</v>
      </c>
      <c r="T710">
        <v>6232</v>
      </c>
      <c r="U710">
        <v>0</v>
      </c>
      <c r="V710">
        <v>6232</v>
      </c>
    </row>
    <row r="711" spans="1:22" x14ac:dyDescent="0.3">
      <c r="A711">
        <v>79452</v>
      </c>
      <c r="B711">
        <v>138169042</v>
      </c>
      <c r="C711" t="s">
        <v>3902</v>
      </c>
      <c r="D711" t="s">
        <v>3903</v>
      </c>
      <c r="E711" t="s">
        <v>513</v>
      </c>
      <c r="F711" t="s">
        <v>514</v>
      </c>
      <c r="G711" t="s">
        <v>69</v>
      </c>
      <c r="H711" t="s">
        <v>70</v>
      </c>
      <c r="I711" t="s">
        <v>34</v>
      </c>
      <c r="J711" t="s">
        <v>139</v>
      </c>
      <c r="K711" t="s">
        <v>41</v>
      </c>
      <c r="L711" t="s">
        <v>71</v>
      </c>
      <c r="M711" t="s">
        <v>3904</v>
      </c>
      <c r="N711" t="s">
        <v>516</v>
      </c>
      <c r="O711" t="s">
        <v>64</v>
      </c>
      <c r="P711" t="s">
        <v>3905</v>
      </c>
      <c r="Q711" t="s">
        <v>110</v>
      </c>
      <c r="R711" t="s">
        <v>1211</v>
      </c>
      <c r="S711">
        <v>0.74</v>
      </c>
      <c r="T711">
        <v>4072</v>
      </c>
      <c r="U711">
        <v>0</v>
      </c>
      <c r="V711">
        <v>4072</v>
      </c>
    </row>
    <row r="712" spans="1:22" x14ac:dyDescent="0.3">
      <c r="A712">
        <v>79452</v>
      </c>
      <c r="B712">
        <v>138211922</v>
      </c>
      <c r="C712" t="s">
        <v>3906</v>
      </c>
      <c r="D712" t="s">
        <v>3907</v>
      </c>
      <c r="E712" t="s">
        <v>513</v>
      </c>
      <c r="F712" t="s">
        <v>514</v>
      </c>
      <c r="G712" t="s">
        <v>69</v>
      </c>
      <c r="H712" t="s">
        <v>70</v>
      </c>
      <c r="I712" t="s">
        <v>34</v>
      </c>
      <c r="J712" t="s">
        <v>139</v>
      </c>
      <c r="K712" t="s">
        <v>41</v>
      </c>
      <c r="L712" t="s">
        <v>71</v>
      </c>
      <c r="M712" t="s">
        <v>3908</v>
      </c>
      <c r="N712" t="s">
        <v>516</v>
      </c>
      <c r="O712" t="s">
        <v>64</v>
      </c>
      <c r="P712" t="s">
        <v>3909</v>
      </c>
      <c r="Q712" t="s">
        <v>234</v>
      </c>
      <c r="R712" t="s">
        <v>537</v>
      </c>
      <c r="S712">
        <v>1.72</v>
      </c>
      <c r="T712">
        <v>7072</v>
      </c>
      <c r="U712">
        <v>0</v>
      </c>
      <c r="V712">
        <v>7072</v>
      </c>
    </row>
    <row r="713" spans="1:22" x14ac:dyDescent="0.3">
      <c r="A713">
        <v>79452</v>
      </c>
      <c r="B713">
        <v>138051666</v>
      </c>
      <c r="C713" t="s">
        <v>3910</v>
      </c>
      <c r="D713" t="s">
        <v>3911</v>
      </c>
      <c r="E713" t="s">
        <v>513</v>
      </c>
      <c r="F713" t="s">
        <v>514</v>
      </c>
      <c r="G713" t="s">
        <v>69</v>
      </c>
      <c r="H713" t="s">
        <v>70</v>
      </c>
      <c r="I713" t="s">
        <v>34</v>
      </c>
      <c r="J713" t="s">
        <v>139</v>
      </c>
      <c r="K713" t="s">
        <v>41</v>
      </c>
      <c r="L713" t="s">
        <v>71</v>
      </c>
      <c r="M713" t="s">
        <v>3912</v>
      </c>
      <c r="N713" t="s">
        <v>516</v>
      </c>
      <c r="O713" t="s">
        <v>64</v>
      </c>
      <c r="P713" t="s">
        <v>3913</v>
      </c>
      <c r="Q713" t="s">
        <v>213</v>
      </c>
      <c r="R713" t="s">
        <v>1607</v>
      </c>
      <c r="S713">
        <v>0.5</v>
      </c>
      <c r="T713">
        <v>5825</v>
      </c>
      <c r="U713">
        <v>0</v>
      </c>
      <c r="V713">
        <v>5825</v>
      </c>
    </row>
    <row r="714" spans="1:22" x14ac:dyDescent="0.3">
      <c r="A714">
        <v>79452</v>
      </c>
      <c r="B714">
        <v>138051642</v>
      </c>
      <c r="C714" t="s">
        <v>3914</v>
      </c>
      <c r="D714" t="s">
        <v>3915</v>
      </c>
      <c r="E714" t="s">
        <v>513</v>
      </c>
      <c r="F714" t="s">
        <v>514</v>
      </c>
      <c r="G714" t="s">
        <v>69</v>
      </c>
      <c r="H714" t="s">
        <v>70</v>
      </c>
      <c r="I714" t="s">
        <v>34</v>
      </c>
      <c r="J714" t="s">
        <v>139</v>
      </c>
      <c r="K714" t="s">
        <v>41</v>
      </c>
      <c r="L714" t="s">
        <v>71</v>
      </c>
      <c r="M714" t="s">
        <v>1309</v>
      </c>
      <c r="N714" t="s">
        <v>516</v>
      </c>
      <c r="O714" t="s">
        <v>64</v>
      </c>
      <c r="P714" t="s">
        <v>3916</v>
      </c>
      <c r="Q714" t="s">
        <v>126</v>
      </c>
      <c r="R714" t="s">
        <v>1695</v>
      </c>
      <c r="S714">
        <v>0.61</v>
      </c>
      <c r="T714">
        <v>6232</v>
      </c>
      <c r="U714">
        <v>0</v>
      </c>
      <c r="V714">
        <v>6232</v>
      </c>
    </row>
    <row r="715" spans="1:22" x14ac:dyDescent="0.3">
      <c r="A715">
        <v>79452</v>
      </c>
      <c r="B715">
        <v>138070583</v>
      </c>
      <c r="C715" t="s">
        <v>3917</v>
      </c>
      <c r="D715" t="s">
        <v>3918</v>
      </c>
      <c r="E715" t="s">
        <v>513</v>
      </c>
      <c r="F715" t="s">
        <v>514</v>
      </c>
      <c r="G715" t="s">
        <v>69</v>
      </c>
      <c r="H715" t="s">
        <v>70</v>
      </c>
      <c r="I715" t="s">
        <v>34</v>
      </c>
      <c r="J715" t="s">
        <v>139</v>
      </c>
      <c r="K715" t="s">
        <v>41</v>
      </c>
      <c r="L715" t="s">
        <v>71</v>
      </c>
      <c r="M715" t="s">
        <v>3919</v>
      </c>
      <c r="N715" t="s">
        <v>516</v>
      </c>
      <c r="O715" t="s">
        <v>64</v>
      </c>
      <c r="P715" t="s">
        <v>3920</v>
      </c>
      <c r="Q715" t="s">
        <v>77</v>
      </c>
      <c r="R715" t="s">
        <v>320</v>
      </c>
      <c r="S715">
        <v>0.42</v>
      </c>
      <c r="T715">
        <v>3927</v>
      </c>
      <c r="U715">
        <v>0</v>
      </c>
      <c r="V715">
        <v>3927</v>
      </c>
    </row>
    <row r="716" spans="1:22" x14ac:dyDescent="0.3">
      <c r="A716">
        <v>79452</v>
      </c>
      <c r="B716">
        <v>137870237</v>
      </c>
      <c r="C716" t="s">
        <v>3921</v>
      </c>
      <c r="D716" t="s">
        <v>3922</v>
      </c>
      <c r="E716" t="s">
        <v>513</v>
      </c>
      <c r="F716" t="s">
        <v>514</v>
      </c>
      <c r="G716" t="s">
        <v>69</v>
      </c>
      <c r="H716" t="s">
        <v>70</v>
      </c>
      <c r="I716" t="s">
        <v>34</v>
      </c>
      <c r="J716" t="s">
        <v>139</v>
      </c>
      <c r="K716" t="s">
        <v>41</v>
      </c>
      <c r="L716" t="s">
        <v>71</v>
      </c>
      <c r="M716" t="s">
        <v>3923</v>
      </c>
      <c r="N716" t="s">
        <v>516</v>
      </c>
      <c r="O716" t="s">
        <v>64</v>
      </c>
      <c r="P716" t="s">
        <v>3924</v>
      </c>
      <c r="Q716" t="s">
        <v>51</v>
      </c>
      <c r="R716" t="s">
        <v>1000</v>
      </c>
      <c r="S716">
        <v>0.6</v>
      </c>
      <c r="T716">
        <v>6370</v>
      </c>
      <c r="U716">
        <v>0</v>
      </c>
      <c r="V716">
        <v>6370</v>
      </c>
    </row>
    <row r="717" spans="1:22" x14ac:dyDescent="0.3">
      <c r="A717">
        <v>79452</v>
      </c>
      <c r="B717">
        <v>137963520</v>
      </c>
      <c r="C717" t="s">
        <v>3925</v>
      </c>
      <c r="D717" t="s">
        <v>3926</v>
      </c>
      <c r="E717" t="s">
        <v>513</v>
      </c>
      <c r="F717" t="s">
        <v>514</v>
      </c>
      <c r="G717" t="s">
        <v>69</v>
      </c>
      <c r="H717" t="s">
        <v>70</v>
      </c>
      <c r="I717" t="s">
        <v>34</v>
      </c>
      <c r="J717" t="s">
        <v>139</v>
      </c>
      <c r="K717" t="s">
        <v>41</v>
      </c>
      <c r="L717" t="s">
        <v>71</v>
      </c>
      <c r="M717" t="s">
        <v>3927</v>
      </c>
      <c r="N717" t="s">
        <v>516</v>
      </c>
      <c r="O717" t="s">
        <v>64</v>
      </c>
      <c r="P717" t="s">
        <v>3928</v>
      </c>
      <c r="Q717" t="s">
        <v>110</v>
      </c>
      <c r="R717" t="s">
        <v>1849</v>
      </c>
      <c r="S717">
        <v>0.53</v>
      </c>
      <c r="T717">
        <v>4072</v>
      </c>
      <c r="U717">
        <v>0</v>
      </c>
      <c r="V717">
        <v>4072</v>
      </c>
    </row>
    <row r="718" spans="1:22" x14ac:dyDescent="0.3">
      <c r="A718">
        <v>79452</v>
      </c>
      <c r="B718">
        <v>137909787</v>
      </c>
      <c r="C718" t="s">
        <v>3929</v>
      </c>
      <c r="D718" t="s">
        <v>3930</v>
      </c>
      <c r="E718" t="s">
        <v>513</v>
      </c>
      <c r="F718" t="s">
        <v>514</v>
      </c>
      <c r="G718" t="s">
        <v>69</v>
      </c>
      <c r="H718" t="s">
        <v>70</v>
      </c>
      <c r="I718" t="s">
        <v>34</v>
      </c>
      <c r="J718" t="s">
        <v>139</v>
      </c>
      <c r="K718" t="s">
        <v>41</v>
      </c>
      <c r="L718" t="s">
        <v>71</v>
      </c>
      <c r="M718" t="s">
        <v>3931</v>
      </c>
      <c r="N718" t="s">
        <v>516</v>
      </c>
      <c r="O718" t="s">
        <v>64</v>
      </c>
      <c r="P718" t="s">
        <v>3932</v>
      </c>
      <c r="Q718" t="s">
        <v>238</v>
      </c>
      <c r="R718" t="s">
        <v>1217</v>
      </c>
      <c r="S718">
        <v>2.04</v>
      </c>
      <c r="T718">
        <v>11430</v>
      </c>
      <c r="U718">
        <v>0</v>
      </c>
      <c r="V718">
        <v>11430</v>
      </c>
    </row>
    <row r="719" spans="1:22" x14ac:dyDescent="0.3">
      <c r="A719">
        <v>79452</v>
      </c>
      <c r="B719">
        <v>137909853</v>
      </c>
      <c r="C719" t="s">
        <v>3933</v>
      </c>
      <c r="D719" t="s">
        <v>3934</v>
      </c>
      <c r="E719" t="s">
        <v>513</v>
      </c>
      <c r="F719" t="s">
        <v>514</v>
      </c>
      <c r="G719" t="s">
        <v>69</v>
      </c>
      <c r="H719" t="s">
        <v>70</v>
      </c>
      <c r="I719" t="s">
        <v>34</v>
      </c>
      <c r="J719" t="s">
        <v>139</v>
      </c>
      <c r="K719" t="s">
        <v>41</v>
      </c>
      <c r="L719" t="s">
        <v>71</v>
      </c>
      <c r="M719" t="s">
        <v>3935</v>
      </c>
      <c r="N719" t="s">
        <v>516</v>
      </c>
      <c r="O719" t="s">
        <v>64</v>
      </c>
      <c r="P719" t="s">
        <v>3936</v>
      </c>
      <c r="Q719" t="s">
        <v>210</v>
      </c>
      <c r="R719" t="s">
        <v>1875</v>
      </c>
      <c r="S719">
        <v>0.77</v>
      </c>
      <c r="T719">
        <v>6232</v>
      </c>
      <c r="U719">
        <v>0</v>
      </c>
      <c r="V719">
        <v>6232</v>
      </c>
    </row>
    <row r="720" spans="1:22" x14ac:dyDescent="0.3">
      <c r="A720">
        <v>79452</v>
      </c>
      <c r="B720">
        <v>138070552</v>
      </c>
      <c r="C720" t="s">
        <v>3937</v>
      </c>
      <c r="D720" t="s">
        <v>3938</v>
      </c>
      <c r="E720" t="s">
        <v>513</v>
      </c>
      <c r="F720" t="s">
        <v>514</v>
      </c>
      <c r="G720" t="s">
        <v>69</v>
      </c>
      <c r="H720" t="s">
        <v>70</v>
      </c>
      <c r="I720" t="s">
        <v>34</v>
      </c>
      <c r="J720" t="s">
        <v>139</v>
      </c>
      <c r="K720" t="s">
        <v>41</v>
      </c>
      <c r="L720" t="s">
        <v>71</v>
      </c>
      <c r="M720" t="s">
        <v>3939</v>
      </c>
      <c r="N720" t="s">
        <v>516</v>
      </c>
      <c r="O720" t="s">
        <v>64</v>
      </c>
      <c r="P720" t="s">
        <v>3940</v>
      </c>
      <c r="Q720" t="s">
        <v>302</v>
      </c>
      <c r="R720" t="s">
        <v>1619</v>
      </c>
      <c r="S720">
        <v>0.81</v>
      </c>
      <c r="T720">
        <v>6636</v>
      </c>
      <c r="U720">
        <v>0</v>
      </c>
      <c r="V720">
        <v>6636</v>
      </c>
    </row>
    <row r="721" spans="1:22" x14ac:dyDescent="0.3">
      <c r="A721">
        <v>79452</v>
      </c>
      <c r="B721">
        <v>137983048</v>
      </c>
      <c r="C721" t="s">
        <v>3941</v>
      </c>
      <c r="D721" t="s">
        <v>3942</v>
      </c>
      <c r="E721" t="s">
        <v>513</v>
      </c>
      <c r="F721" t="s">
        <v>514</v>
      </c>
      <c r="G721" t="s">
        <v>69</v>
      </c>
      <c r="H721" t="s">
        <v>70</v>
      </c>
      <c r="I721" t="s">
        <v>34</v>
      </c>
      <c r="J721" t="s">
        <v>139</v>
      </c>
      <c r="K721" t="s">
        <v>41</v>
      </c>
      <c r="L721" t="s">
        <v>71</v>
      </c>
      <c r="M721" t="s">
        <v>3828</v>
      </c>
      <c r="N721" t="s">
        <v>516</v>
      </c>
      <c r="O721" t="s">
        <v>64</v>
      </c>
      <c r="P721" t="s">
        <v>3829</v>
      </c>
      <c r="Q721" t="s">
        <v>210</v>
      </c>
      <c r="R721" t="s">
        <v>416</v>
      </c>
      <c r="S721">
        <v>0.82</v>
      </c>
      <c r="T721">
        <v>6232</v>
      </c>
      <c r="U721">
        <v>0</v>
      </c>
      <c r="V721">
        <v>6232</v>
      </c>
    </row>
    <row r="722" spans="1:22" x14ac:dyDescent="0.3">
      <c r="A722">
        <v>79452</v>
      </c>
      <c r="B722">
        <v>137983046</v>
      </c>
      <c r="C722" t="s">
        <v>3943</v>
      </c>
      <c r="D722" t="s">
        <v>3944</v>
      </c>
      <c r="E722" t="s">
        <v>513</v>
      </c>
      <c r="F722" t="s">
        <v>514</v>
      </c>
      <c r="G722" t="s">
        <v>69</v>
      </c>
      <c r="H722" t="s">
        <v>70</v>
      </c>
      <c r="I722" t="s">
        <v>34</v>
      </c>
      <c r="J722" t="s">
        <v>139</v>
      </c>
      <c r="K722" t="s">
        <v>41</v>
      </c>
      <c r="L722" t="s">
        <v>71</v>
      </c>
      <c r="M722" t="s">
        <v>3945</v>
      </c>
      <c r="N722" t="s">
        <v>516</v>
      </c>
      <c r="O722" t="s">
        <v>64</v>
      </c>
      <c r="P722" t="s">
        <v>3946</v>
      </c>
      <c r="Q722" t="s">
        <v>190</v>
      </c>
      <c r="R722" t="s">
        <v>416</v>
      </c>
      <c r="S722">
        <v>0.81</v>
      </c>
      <c r="T722">
        <v>6636</v>
      </c>
      <c r="U722">
        <v>0</v>
      </c>
      <c r="V722">
        <v>6636</v>
      </c>
    </row>
    <row r="723" spans="1:22" x14ac:dyDescent="0.3">
      <c r="A723">
        <v>79452</v>
      </c>
      <c r="B723">
        <v>138027981</v>
      </c>
      <c r="C723" t="s">
        <v>3947</v>
      </c>
      <c r="D723" t="s">
        <v>3948</v>
      </c>
      <c r="E723" t="s">
        <v>513</v>
      </c>
      <c r="F723" t="s">
        <v>514</v>
      </c>
      <c r="G723" t="s">
        <v>69</v>
      </c>
      <c r="H723" t="s">
        <v>70</v>
      </c>
      <c r="I723" t="s">
        <v>34</v>
      </c>
      <c r="J723" t="s">
        <v>139</v>
      </c>
      <c r="K723" t="s">
        <v>41</v>
      </c>
      <c r="L723" t="s">
        <v>71</v>
      </c>
      <c r="M723" t="s">
        <v>269</v>
      </c>
      <c r="N723" t="s">
        <v>516</v>
      </c>
      <c r="O723" t="s">
        <v>64</v>
      </c>
      <c r="P723" t="s">
        <v>3949</v>
      </c>
      <c r="Q723" t="s">
        <v>147</v>
      </c>
      <c r="R723" t="s">
        <v>277</v>
      </c>
      <c r="S723">
        <v>0.85</v>
      </c>
      <c r="T723">
        <v>7854</v>
      </c>
      <c r="U723">
        <v>0</v>
      </c>
      <c r="V723">
        <v>7854</v>
      </c>
    </row>
    <row r="724" spans="1:22" x14ac:dyDescent="0.3">
      <c r="A724">
        <v>79452</v>
      </c>
      <c r="B724">
        <v>137879383</v>
      </c>
      <c r="C724" t="s">
        <v>3950</v>
      </c>
      <c r="D724" t="s">
        <v>3951</v>
      </c>
      <c r="E724" t="s">
        <v>513</v>
      </c>
      <c r="F724" t="s">
        <v>514</v>
      </c>
      <c r="G724" t="s">
        <v>69</v>
      </c>
      <c r="H724" t="s">
        <v>70</v>
      </c>
      <c r="I724" t="s">
        <v>34</v>
      </c>
      <c r="J724" t="s">
        <v>139</v>
      </c>
      <c r="K724" t="s">
        <v>41</v>
      </c>
      <c r="L724" t="s">
        <v>71</v>
      </c>
      <c r="M724" t="s">
        <v>3952</v>
      </c>
      <c r="N724" t="s">
        <v>516</v>
      </c>
      <c r="O724" t="s">
        <v>64</v>
      </c>
      <c r="P724" t="s">
        <v>3953</v>
      </c>
      <c r="Q724" t="s">
        <v>83</v>
      </c>
      <c r="R724" t="s">
        <v>1919</v>
      </c>
      <c r="S724">
        <v>2.25</v>
      </c>
      <c r="T724">
        <v>4335</v>
      </c>
      <c r="U724">
        <v>0</v>
      </c>
      <c r="V724">
        <v>4335</v>
      </c>
    </row>
    <row r="725" spans="1:22" x14ac:dyDescent="0.3">
      <c r="A725">
        <v>79452</v>
      </c>
      <c r="B725">
        <v>138070621</v>
      </c>
      <c r="C725" t="s">
        <v>3954</v>
      </c>
      <c r="D725" t="s">
        <v>3955</v>
      </c>
      <c r="E725" t="s">
        <v>513</v>
      </c>
      <c r="F725" t="s">
        <v>514</v>
      </c>
      <c r="G725" t="s">
        <v>69</v>
      </c>
      <c r="H725" t="s">
        <v>70</v>
      </c>
      <c r="I725" t="s">
        <v>34</v>
      </c>
      <c r="J725" t="s">
        <v>139</v>
      </c>
      <c r="K725" t="s">
        <v>41</v>
      </c>
      <c r="L725" t="s">
        <v>71</v>
      </c>
      <c r="M725" t="s">
        <v>3956</v>
      </c>
      <c r="N725" t="s">
        <v>516</v>
      </c>
      <c r="O725" t="s">
        <v>64</v>
      </c>
      <c r="P725" t="s">
        <v>3957</v>
      </c>
      <c r="Q725" t="s">
        <v>174</v>
      </c>
      <c r="R725" t="s">
        <v>320</v>
      </c>
      <c r="S725">
        <v>0.85</v>
      </c>
      <c r="T725">
        <v>4072</v>
      </c>
      <c r="U725">
        <v>0</v>
      </c>
      <c r="V725">
        <v>4072</v>
      </c>
    </row>
    <row r="726" spans="1:22" x14ac:dyDescent="0.3">
      <c r="A726">
        <v>79452</v>
      </c>
      <c r="B726">
        <v>137963540</v>
      </c>
      <c r="C726" t="s">
        <v>3958</v>
      </c>
      <c r="D726" t="s">
        <v>3959</v>
      </c>
      <c r="E726" t="s">
        <v>513</v>
      </c>
      <c r="F726" t="s">
        <v>514</v>
      </c>
      <c r="G726" t="s">
        <v>69</v>
      </c>
      <c r="H726" t="s">
        <v>70</v>
      </c>
      <c r="I726" t="s">
        <v>34</v>
      </c>
      <c r="J726" t="s">
        <v>139</v>
      </c>
      <c r="K726" t="s">
        <v>41</v>
      </c>
      <c r="L726" t="s">
        <v>71</v>
      </c>
      <c r="M726" t="s">
        <v>3960</v>
      </c>
      <c r="N726" t="s">
        <v>516</v>
      </c>
      <c r="O726" t="s">
        <v>64</v>
      </c>
      <c r="P726" t="s">
        <v>3961</v>
      </c>
      <c r="Q726" t="s">
        <v>248</v>
      </c>
      <c r="R726" t="s">
        <v>1849</v>
      </c>
      <c r="S726">
        <v>0.63</v>
      </c>
      <c r="T726">
        <v>6307</v>
      </c>
      <c r="U726">
        <v>0</v>
      </c>
      <c r="V726">
        <v>6307</v>
      </c>
    </row>
    <row r="727" spans="1:22" x14ac:dyDescent="0.3">
      <c r="A727">
        <v>79452</v>
      </c>
      <c r="B727">
        <v>137658984</v>
      </c>
      <c r="C727" t="s">
        <v>3962</v>
      </c>
      <c r="D727" t="s">
        <v>3963</v>
      </c>
      <c r="E727" t="s">
        <v>513</v>
      </c>
      <c r="F727" t="s">
        <v>514</v>
      </c>
      <c r="G727" t="s">
        <v>69</v>
      </c>
      <c r="H727" t="s">
        <v>70</v>
      </c>
      <c r="I727" t="s">
        <v>34</v>
      </c>
      <c r="J727" t="s">
        <v>139</v>
      </c>
      <c r="K727" t="s">
        <v>41</v>
      </c>
      <c r="L727" t="s">
        <v>71</v>
      </c>
      <c r="M727" t="s">
        <v>3964</v>
      </c>
      <c r="N727" t="s">
        <v>516</v>
      </c>
      <c r="O727" t="s">
        <v>64</v>
      </c>
      <c r="P727" t="s">
        <v>3965</v>
      </c>
      <c r="Q727" t="s">
        <v>83</v>
      </c>
      <c r="R727" t="s">
        <v>2516</v>
      </c>
      <c r="S727">
        <v>0.6</v>
      </c>
      <c r="T727">
        <v>4072</v>
      </c>
      <c r="U727">
        <v>0</v>
      </c>
      <c r="V727">
        <v>4072</v>
      </c>
    </row>
    <row r="728" spans="1:22" x14ac:dyDescent="0.3">
      <c r="A728">
        <v>79452</v>
      </c>
      <c r="B728">
        <v>138051653</v>
      </c>
      <c r="C728" t="s">
        <v>3966</v>
      </c>
      <c r="D728" t="s">
        <v>3967</v>
      </c>
      <c r="E728" t="s">
        <v>513</v>
      </c>
      <c r="F728" t="s">
        <v>514</v>
      </c>
      <c r="G728" t="s">
        <v>69</v>
      </c>
      <c r="H728" t="s">
        <v>70</v>
      </c>
      <c r="I728" t="s">
        <v>34</v>
      </c>
      <c r="J728" t="s">
        <v>139</v>
      </c>
      <c r="K728" t="s">
        <v>41</v>
      </c>
      <c r="L728" t="s">
        <v>71</v>
      </c>
      <c r="M728" t="s">
        <v>3968</v>
      </c>
      <c r="N728" t="s">
        <v>516</v>
      </c>
      <c r="O728" t="s">
        <v>64</v>
      </c>
      <c r="P728" t="s">
        <v>3969</v>
      </c>
      <c r="Q728" t="s">
        <v>249</v>
      </c>
      <c r="R728" t="s">
        <v>1695</v>
      </c>
      <c r="S728">
        <v>0.84</v>
      </c>
      <c r="T728">
        <v>6232</v>
      </c>
      <c r="U728">
        <v>0</v>
      </c>
      <c r="V728">
        <v>6232</v>
      </c>
    </row>
    <row r="729" spans="1:22" x14ac:dyDescent="0.3">
      <c r="A729">
        <v>79452</v>
      </c>
      <c r="B729">
        <v>137879372</v>
      </c>
      <c r="C729" t="s">
        <v>3970</v>
      </c>
      <c r="D729" t="s">
        <v>3971</v>
      </c>
      <c r="E729" t="s">
        <v>513</v>
      </c>
      <c r="F729" t="s">
        <v>514</v>
      </c>
      <c r="G729" t="s">
        <v>69</v>
      </c>
      <c r="H729" t="s">
        <v>70</v>
      </c>
      <c r="I729" t="s">
        <v>34</v>
      </c>
      <c r="J729" t="s">
        <v>139</v>
      </c>
      <c r="K729" t="s">
        <v>41</v>
      </c>
      <c r="L729" t="s">
        <v>71</v>
      </c>
      <c r="M729" t="s">
        <v>3867</v>
      </c>
      <c r="N729" t="s">
        <v>516</v>
      </c>
      <c r="O729" t="s">
        <v>64</v>
      </c>
      <c r="P729" t="s">
        <v>3972</v>
      </c>
      <c r="Q729" t="s">
        <v>174</v>
      </c>
      <c r="R729" t="s">
        <v>1919</v>
      </c>
      <c r="S729">
        <v>0.54</v>
      </c>
      <c r="T729">
        <v>4072</v>
      </c>
      <c r="U729">
        <v>0</v>
      </c>
      <c r="V729">
        <v>4072</v>
      </c>
    </row>
    <row r="730" spans="1:22" x14ac:dyDescent="0.3">
      <c r="A730">
        <v>79452</v>
      </c>
      <c r="B730">
        <v>137757033</v>
      </c>
      <c r="C730" t="s">
        <v>3973</v>
      </c>
      <c r="D730" t="s">
        <v>3974</v>
      </c>
      <c r="E730" t="s">
        <v>513</v>
      </c>
      <c r="F730" t="s">
        <v>514</v>
      </c>
      <c r="G730" t="s">
        <v>69</v>
      </c>
      <c r="H730" t="s">
        <v>70</v>
      </c>
      <c r="I730" t="s">
        <v>34</v>
      </c>
      <c r="J730" t="s">
        <v>139</v>
      </c>
      <c r="K730" t="s">
        <v>41</v>
      </c>
      <c r="L730" t="s">
        <v>71</v>
      </c>
      <c r="M730" t="s">
        <v>393</v>
      </c>
      <c r="N730" t="s">
        <v>516</v>
      </c>
      <c r="O730" t="s">
        <v>64</v>
      </c>
      <c r="P730" t="s">
        <v>3975</v>
      </c>
      <c r="Q730" t="s">
        <v>129</v>
      </c>
      <c r="R730" t="s">
        <v>1517</v>
      </c>
      <c r="S730">
        <v>1.0900000000000001</v>
      </c>
      <c r="T730">
        <v>3915</v>
      </c>
      <c r="U730">
        <v>0</v>
      </c>
      <c r="V730">
        <v>3915</v>
      </c>
    </row>
    <row r="731" spans="1:22" x14ac:dyDescent="0.3">
      <c r="A731">
        <v>79452</v>
      </c>
      <c r="B731">
        <v>137798252</v>
      </c>
      <c r="C731" t="s">
        <v>3976</v>
      </c>
      <c r="D731" t="s">
        <v>3977</v>
      </c>
      <c r="E731" t="s">
        <v>513</v>
      </c>
      <c r="F731" t="s">
        <v>514</v>
      </c>
      <c r="G731" t="s">
        <v>69</v>
      </c>
      <c r="H731" t="s">
        <v>70</v>
      </c>
      <c r="I731" t="s">
        <v>34</v>
      </c>
      <c r="J731" t="s">
        <v>139</v>
      </c>
      <c r="K731" t="s">
        <v>41</v>
      </c>
      <c r="L731" t="s">
        <v>71</v>
      </c>
      <c r="M731" t="s">
        <v>3978</v>
      </c>
      <c r="N731" t="s">
        <v>516</v>
      </c>
      <c r="O731" t="s">
        <v>64</v>
      </c>
      <c r="P731" t="s">
        <v>3979</v>
      </c>
      <c r="Q731" t="s">
        <v>174</v>
      </c>
      <c r="R731" t="s">
        <v>1501</v>
      </c>
      <c r="S731">
        <v>0.31</v>
      </c>
      <c r="T731">
        <v>3927</v>
      </c>
      <c r="U731">
        <v>0</v>
      </c>
      <c r="V731">
        <v>3927</v>
      </c>
    </row>
    <row r="732" spans="1:22" x14ac:dyDescent="0.3">
      <c r="A732">
        <v>79452</v>
      </c>
      <c r="B732">
        <v>137616495</v>
      </c>
      <c r="C732" t="s">
        <v>3980</v>
      </c>
      <c r="D732" t="s">
        <v>3981</v>
      </c>
      <c r="E732" t="s">
        <v>513</v>
      </c>
      <c r="F732" t="s">
        <v>514</v>
      </c>
      <c r="G732" t="s">
        <v>69</v>
      </c>
      <c r="H732" t="s">
        <v>70</v>
      </c>
      <c r="I732" t="s">
        <v>34</v>
      </c>
      <c r="J732" t="s">
        <v>139</v>
      </c>
      <c r="K732" t="s">
        <v>41</v>
      </c>
      <c r="L732" t="s">
        <v>71</v>
      </c>
      <c r="M732" t="s">
        <v>3982</v>
      </c>
      <c r="N732" t="s">
        <v>516</v>
      </c>
      <c r="O732" t="s">
        <v>64</v>
      </c>
      <c r="P732" t="s">
        <v>3983</v>
      </c>
      <c r="Q732" t="s">
        <v>149</v>
      </c>
      <c r="R732" t="s">
        <v>1613</v>
      </c>
      <c r="S732">
        <v>0.36</v>
      </c>
      <c r="T732">
        <v>6623</v>
      </c>
      <c r="U732">
        <v>0</v>
      </c>
      <c r="V732">
        <v>6623</v>
      </c>
    </row>
    <row r="733" spans="1:22" x14ac:dyDescent="0.3">
      <c r="A733">
        <v>79452</v>
      </c>
      <c r="B733">
        <v>137658976</v>
      </c>
      <c r="C733" t="s">
        <v>3984</v>
      </c>
      <c r="D733" t="s">
        <v>3985</v>
      </c>
      <c r="E733" t="s">
        <v>513</v>
      </c>
      <c r="F733" t="s">
        <v>514</v>
      </c>
      <c r="G733" t="s">
        <v>69</v>
      </c>
      <c r="H733" t="s">
        <v>70</v>
      </c>
      <c r="I733" t="s">
        <v>34</v>
      </c>
      <c r="J733" t="s">
        <v>139</v>
      </c>
      <c r="K733" t="s">
        <v>41</v>
      </c>
      <c r="L733" t="s">
        <v>71</v>
      </c>
      <c r="M733" t="s">
        <v>3986</v>
      </c>
      <c r="N733" t="s">
        <v>516</v>
      </c>
      <c r="O733" t="s">
        <v>64</v>
      </c>
      <c r="P733" t="s">
        <v>3987</v>
      </c>
      <c r="Q733" t="s">
        <v>214</v>
      </c>
      <c r="R733" t="s">
        <v>2516</v>
      </c>
      <c r="S733">
        <v>0.3</v>
      </c>
      <c r="T733">
        <v>5733</v>
      </c>
      <c r="U733">
        <v>0</v>
      </c>
      <c r="V733">
        <v>5733</v>
      </c>
    </row>
    <row r="734" spans="1:22" x14ac:dyDescent="0.3">
      <c r="A734">
        <v>79452</v>
      </c>
      <c r="B734">
        <v>137757027</v>
      </c>
      <c r="C734" t="s">
        <v>3988</v>
      </c>
      <c r="D734" t="s">
        <v>3989</v>
      </c>
      <c r="E734" t="s">
        <v>513</v>
      </c>
      <c r="F734" t="s">
        <v>514</v>
      </c>
      <c r="G734" t="s">
        <v>69</v>
      </c>
      <c r="H734" t="s">
        <v>70</v>
      </c>
      <c r="I734" t="s">
        <v>34</v>
      </c>
      <c r="J734" t="s">
        <v>139</v>
      </c>
      <c r="K734" t="s">
        <v>41</v>
      </c>
      <c r="L734" t="s">
        <v>71</v>
      </c>
      <c r="M734" t="s">
        <v>3990</v>
      </c>
      <c r="N734" t="s">
        <v>516</v>
      </c>
      <c r="O734" t="s">
        <v>64</v>
      </c>
      <c r="P734" t="s">
        <v>3991</v>
      </c>
      <c r="Q734" t="s">
        <v>126</v>
      </c>
      <c r="R734" t="s">
        <v>1517</v>
      </c>
      <c r="S734">
        <v>0.59</v>
      </c>
      <c r="T734">
        <v>5992</v>
      </c>
      <c r="U734">
        <v>0</v>
      </c>
      <c r="V734">
        <v>5992</v>
      </c>
    </row>
    <row r="735" spans="1:22" x14ac:dyDescent="0.3">
      <c r="A735">
        <v>79452</v>
      </c>
      <c r="B735">
        <v>137467507</v>
      </c>
      <c r="C735" t="s">
        <v>3992</v>
      </c>
      <c r="D735" t="s">
        <v>3993</v>
      </c>
      <c r="E735" t="s">
        <v>513</v>
      </c>
      <c r="F735" t="s">
        <v>514</v>
      </c>
      <c r="G735" t="s">
        <v>69</v>
      </c>
      <c r="H735" t="s">
        <v>70</v>
      </c>
      <c r="I735" t="s">
        <v>34</v>
      </c>
      <c r="J735" t="s">
        <v>139</v>
      </c>
      <c r="K735" t="s">
        <v>41</v>
      </c>
      <c r="L735" t="s">
        <v>71</v>
      </c>
      <c r="M735" t="s">
        <v>3994</v>
      </c>
      <c r="N735" t="s">
        <v>516</v>
      </c>
      <c r="O735" t="s">
        <v>64</v>
      </c>
      <c r="P735" t="s">
        <v>3995</v>
      </c>
      <c r="Q735" t="s">
        <v>77</v>
      </c>
      <c r="R735" t="s">
        <v>2808</v>
      </c>
      <c r="S735">
        <v>0.36</v>
      </c>
      <c r="T735">
        <v>3927</v>
      </c>
      <c r="U735">
        <v>0</v>
      </c>
      <c r="V735">
        <v>3927</v>
      </c>
    </row>
    <row r="736" spans="1:22" x14ac:dyDescent="0.3">
      <c r="A736">
        <v>79452</v>
      </c>
      <c r="B736">
        <v>137701476</v>
      </c>
      <c r="C736" t="s">
        <v>3996</v>
      </c>
      <c r="D736" t="s">
        <v>3997</v>
      </c>
      <c r="E736" t="s">
        <v>513</v>
      </c>
      <c r="F736" t="s">
        <v>514</v>
      </c>
      <c r="G736" t="s">
        <v>69</v>
      </c>
      <c r="H736" t="s">
        <v>70</v>
      </c>
      <c r="I736" t="s">
        <v>34</v>
      </c>
      <c r="J736" t="s">
        <v>139</v>
      </c>
      <c r="K736" t="s">
        <v>41</v>
      </c>
      <c r="L736" t="s">
        <v>71</v>
      </c>
      <c r="M736" t="s">
        <v>3998</v>
      </c>
      <c r="N736" t="s">
        <v>516</v>
      </c>
      <c r="O736" t="s">
        <v>64</v>
      </c>
      <c r="P736" t="s">
        <v>3999</v>
      </c>
      <c r="Q736" t="s">
        <v>190</v>
      </c>
      <c r="R736" t="s">
        <v>382</v>
      </c>
      <c r="S736">
        <v>0.4</v>
      </c>
      <c r="T736">
        <v>5964</v>
      </c>
      <c r="U736">
        <v>0</v>
      </c>
      <c r="V736">
        <v>5964</v>
      </c>
    </row>
    <row r="737" spans="1:22" x14ac:dyDescent="0.3">
      <c r="A737">
        <v>79452</v>
      </c>
      <c r="B737">
        <v>137633609</v>
      </c>
      <c r="C737" t="s">
        <v>4000</v>
      </c>
      <c r="D737" t="s">
        <v>4001</v>
      </c>
      <c r="E737" t="s">
        <v>513</v>
      </c>
      <c r="F737" t="s">
        <v>514</v>
      </c>
      <c r="G737" t="s">
        <v>69</v>
      </c>
      <c r="H737" t="s">
        <v>70</v>
      </c>
      <c r="I737" t="s">
        <v>34</v>
      </c>
      <c r="J737" t="s">
        <v>139</v>
      </c>
      <c r="K737" t="s">
        <v>41</v>
      </c>
      <c r="L737" t="s">
        <v>71</v>
      </c>
      <c r="M737" t="s">
        <v>65</v>
      </c>
      <c r="N737" t="s">
        <v>516</v>
      </c>
      <c r="O737" t="s">
        <v>64</v>
      </c>
      <c r="P737" t="s">
        <v>4002</v>
      </c>
      <c r="Q737" t="s">
        <v>77</v>
      </c>
      <c r="R737" t="s">
        <v>1901</v>
      </c>
      <c r="S737">
        <v>0.3</v>
      </c>
      <c r="T737">
        <v>3776</v>
      </c>
      <c r="U737">
        <v>0</v>
      </c>
      <c r="V737">
        <v>3776</v>
      </c>
    </row>
    <row r="738" spans="1:22" x14ac:dyDescent="0.3">
      <c r="A738">
        <v>79452</v>
      </c>
      <c r="B738">
        <v>137726057</v>
      </c>
      <c r="C738" t="s">
        <v>4003</v>
      </c>
      <c r="D738" t="s">
        <v>4004</v>
      </c>
      <c r="E738" t="s">
        <v>513</v>
      </c>
      <c r="F738" t="s">
        <v>514</v>
      </c>
      <c r="G738" t="s">
        <v>69</v>
      </c>
      <c r="H738" t="s">
        <v>70</v>
      </c>
      <c r="I738" t="s">
        <v>34</v>
      </c>
      <c r="J738" t="s">
        <v>139</v>
      </c>
      <c r="K738" t="s">
        <v>41</v>
      </c>
      <c r="L738" t="s">
        <v>71</v>
      </c>
      <c r="M738" t="s">
        <v>4005</v>
      </c>
      <c r="N738" t="s">
        <v>516</v>
      </c>
      <c r="O738" t="s">
        <v>64</v>
      </c>
      <c r="P738" t="s">
        <v>4006</v>
      </c>
      <c r="Q738" t="s">
        <v>83</v>
      </c>
      <c r="R738" t="s">
        <v>289</v>
      </c>
      <c r="S738">
        <v>1.19</v>
      </c>
      <c r="T738">
        <v>3915</v>
      </c>
      <c r="U738">
        <v>0</v>
      </c>
      <c r="V738">
        <v>3915</v>
      </c>
    </row>
    <row r="739" spans="1:22" x14ac:dyDescent="0.3">
      <c r="A739">
        <v>79452</v>
      </c>
      <c r="B739">
        <v>137633616</v>
      </c>
      <c r="C739" t="s">
        <v>4007</v>
      </c>
      <c r="D739" t="s">
        <v>4008</v>
      </c>
      <c r="E739" t="s">
        <v>513</v>
      </c>
      <c r="F739" t="s">
        <v>514</v>
      </c>
      <c r="G739" t="s">
        <v>69</v>
      </c>
      <c r="H739" t="s">
        <v>70</v>
      </c>
      <c r="I739" t="s">
        <v>34</v>
      </c>
      <c r="J739" t="s">
        <v>139</v>
      </c>
      <c r="K739" t="s">
        <v>41</v>
      </c>
      <c r="L739" t="s">
        <v>71</v>
      </c>
      <c r="M739" t="s">
        <v>4009</v>
      </c>
      <c r="N739" t="s">
        <v>516</v>
      </c>
      <c r="O739" t="s">
        <v>64</v>
      </c>
      <c r="P739" t="s">
        <v>4010</v>
      </c>
      <c r="Q739" t="s">
        <v>232</v>
      </c>
      <c r="R739" t="s">
        <v>1901</v>
      </c>
      <c r="S739">
        <v>0.24</v>
      </c>
      <c r="T739">
        <v>5964</v>
      </c>
      <c r="U739">
        <v>0</v>
      </c>
      <c r="V739">
        <v>5964</v>
      </c>
    </row>
    <row r="740" spans="1:22" x14ac:dyDescent="0.3">
      <c r="A740">
        <v>79452</v>
      </c>
      <c r="B740">
        <v>137633634</v>
      </c>
      <c r="C740" t="s">
        <v>4011</v>
      </c>
      <c r="D740" t="s">
        <v>4012</v>
      </c>
      <c r="E740" t="s">
        <v>513</v>
      </c>
      <c r="F740" t="s">
        <v>514</v>
      </c>
      <c r="G740" t="s">
        <v>69</v>
      </c>
      <c r="H740" t="s">
        <v>70</v>
      </c>
      <c r="I740" t="s">
        <v>34</v>
      </c>
      <c r="J740" t="s">
        <v>139</v>
      </c>
      <c r="K740" t="s">
        <v>152</v>
      </c>
      <c r="L740" t="s">
        <v>4013</v>
      </c>
      <c r="M740" t="s">
        <v>4014</v>
      </c>
      <c r="N740" t="s">
        <v>516</v>
      </c>
      <c r="O740" t="s">
        <v>64</v>
      </c>
      <c r="P740" t="s">
        <v>4015</v>
      </c>
      <c r="Q740" t="s">
        <v>93</v>
      </c>
      <c r="R740" t="s">
        <v>2613</v>
      </c>
      <c r="S740">
        <v>1.86</v>
      </c>
      <c r="T740">
        <v>4168</v>
      </c>
      <c r="U740">
        <v>0</v>
      </c>
      <c r="V740">
        <v>4168</v>
      </c>
    </row>
    <row r="741" spans="1:22" x14ac:dyDescent="0.3">
      <c r="A741">
        <v>79452</v>
      </c>
      <c r="B741">
        <v>137633649</v>
      </c>
      <c r="C741" t="s">
        <v>4016</v>
      </c>
      <c r="D741" t="s">
        <v>4017</v>
      </c>
      <c r="E741" t="s">
        <v>513</v>
      </c>
      <c r="F741" t="s">
        <v>514</v>
      </c>
      <c r="G741" t="s">
        <v>69</v>
      </c>
      <c r="H741" t="s">
        <v>70</v>
      </c>
      <c r="I741" t="s">
        <v>34</v>
      </c>
      <c r="J741" t="s">
        <v>139</v>
      </c>
      <c r="K741" t="s">
        <v>41</v>
      </c>
      <c r="L741" t="s">
        <v>71</v>
      </c>
      <c r="M741" t="s">
        <v>4018</v>
      </c>
      <c r="N741" t="s">
        <v>516</v>
      </c>
      <c r="O741" t="s">
        <v>64</v>
      </c>
      <c r="P741" t="s">
        <v>4019</v>
      </c>
      <c r="Q741" t="s">
        <v>126</v>
      </c>
      <c r="R741" t="s">
        <v>2613</v>
      </c>
      <c r="S741">
        <v>0.4</v>
      </c>
      <c r="T741">
        <v>5601</v>
      </c>
      <c r="U741">
        <v>0</v>
      </c>
      <c r="V741">
        <v>5601</v>
      </c>
    </row>
    <row r="742" spans="1:22" x14ac:dyDescent="0.3">
      <c r="A742">
        <v>79452</v>
      </c>
      <c r="B742">
        <v>137820716</v>
      </c>
      <c r="C742" t="s">
        <v>4020</v>
      </c>
      <c r="D742" t="s">
        <v>4021</v>
      </c>
      <c r="E742" t="s">
        <v>513</v>
      </c>
      <c r="F742" t="s">
        <v>514</v>
      </c>
      <c r="G742" t="s">
        <v>69</v>
      </c>
      <c r="H742" t="s">
        <v>70</v>
      </c>
      <c r="I742" t="s">
        <v>34</v>
      </c>
      <c r="J742" t="s">
        <v>139</v>
      </c>
      <c r="K742" t="s">
        <v>41</v>
      </c>
      <c r="L742" t="s">
        <v>71</v>
      </c>
      <c r="M742" t="s">
        <v>4022</v>
      </c>
      <c r="N742" t="s">
        <v>516</v>
      </c>
      <c r="O742" t="s">
        <v>64</v>
      </c>
      <c r="P742" t="s">
        <v>4023</v>
      </c>
      <c r="Q742" t="s">
        <v>116</v>
      </c>
      <c r="R742" t="s">
        <v>404</v>
      </c>
      <c r="S742">
        <v>0.42</v>
      </c>
      <c r="T742">
        <v>5962</v>
      </c>
      <c r="U742">
        <v>0</v>
      </c>
      <c r="V742">
        <v>5962</v>
      </c>
    </row>
    <row r="743" spans="1:22" x14ac:dyDescent="0.3">
      <c r="A743">
        <v>79452</v>
      </c>
      <c r="B743">
        <v>137837186</v>
      </c>
      <c r="C743" t="s">
        <v>4024</v>
      </c>
      <c r="D743" t="s">
        <v>4025</v>
      </c>
      <c r="E743" t="s">
        <v>513</v>
      </c>
      <c r="F743" t="s">
        <v>514</v>
      </c>
      <c r="G743" t="s">
        <v>69</v>
      </c>
      <c r="H743" t="s">
        <v>70</v>
      </c>
      <c r="I743" t="s">
        <v>34</v>
      </c>
      <c r="J743" t="s">
        <v>139</v>
      </c>
      <c r="K743" t="s">
        <v>41</v>
      </c>
      <c r="L743" t="s">
        <v>71</v>
      </c>
      <c r="M743" t="s">
        <v>4026</v>
      </c>
      <c r="N743" t="s">
        <v>516</v>
      </c>
      <c r="O743" t="s">
        <v>64</v>
      </c>
      <c r="P743" t="s">
        <v>4027</v>
      </c>
      <c r="Q743" t="s">
        <v>373</v>
      </c>
      <c r="R743" t="s">
        <v>403</v>
      </c>
      <c r="S743">
        <v>0.66</v>
      </c>
      <c r="T743">
        <v>28423</v>
      </c>
      <c r="U743">
        <v>0</v>
      </c>
      <c r="V743">
        <v>28423</v>
      </c>
    </row>
    <row r="744" spans="1:22" x14ac:dyDescent="0.3">
      <c r="A744">
        <v>79452</v>
      </c>
      <c r="B744">
        <v>137701419</v>
      </c>
      <c r="C744" t="s">
        <v>4028</v>
      </c>
      <c r="D744" t="s">
        <v>4029</v>
      </c>
      <c r="E744" t="s">
        <v>513</v>
      </c>
      <c r="F744" t="s">
        <v>514</v>
      </c>
      <c r="G744" t="s">
        <v>69</v>
      </c>
      <c r="H744" t="s">
        <v>70</v>
      </c>
      <c r="I744" t="s">
        <v>34</v>
      </c>
      <c r="J744" t="s">
        <v>139</v>
      </c>
      <c r="K744" t="s">
        <v>135</v>
      </c>
      <c r="L744" t="s">
        <v>4030</v>
      </c>
      <c r="M744" t="s">
        <v>4031</v>
      </c>
      <c r="N744" t="s">
        <v>516</v>
      </c>
      <c r="O744" t="s">
        <v>64</v>
      </c>
      <c r="P744" t="s">
        <v>4032</v>
      </c>
      <c r="Q744" t="s">
        <v>77</v>
      </c>
      <c r="R744" t="s">
        <v>2353</v>
      </c>
      <c r="S744">
        <v>0.82</v>
      </c>
      <c r="T744">
        <v>3915</v>
      </c>
      <c r="U744">
        <v>0</v>
      </c>
      <c r="V744">
        <v>3915</v>
      </c>
    </row>
    <row r="745" spans="1:22" x14ac:dyDescent="0.3">
      <c r="A745">
        <v>79452</v>
      </c>
      <c r="B745">
        <v>137616485</v>
      </c>
      <c r="C745" t="s">
        <v>4033</v>
      </c>
      <c r="D745" t="s">
        <v>4034</v>
      </c>
      <c r="E745" t="s">
        <v>513</v>
      </c>
      <c r="F745" t="s">
        <v>514</v>
      </c>
      <c r="G745" t="s">
        <v>69</v>
      </c>
      <c r="H745" t="s">
        <v>70</v>
      </c>
      <c r="I745" t="s">
        <v>34</v>
      </c>
      <c r="J745" t="s">
        <v>139</v>
      </c>
      <c r="K745" t="s">
        <v>41</v>
      </c>
      <c r="L745" t="s">
        <v>71</v>
      </c>
      <c r="M745" t="s">
        <v>4035</v>
      </c>
      <c r="N745" t="s">
        <v>516</v>
      </c>
      <c r="O745" t="s">
        <v>64</v>
      </c>
      <c r="P745" t="s">
        <v>4036</v>
      </c>
      <c r="Q745" t="s">
        <v>148</v>
      </c>
      <c r="R745" t="s">
        <v>1613</v>
      </c>
      <c r="S745">
        <v>0.59</v>
      </c>
      <c r="T745">
        <v>6381</v>
      </c>
      <c r="U745">
        <v>0</v>
      </c>
      <c r="V745">
        <v>6381</v>
      </c>
    </row>
    <row r="746" spans="1:22" x14ac:dyDescent="0.3">
      <c r="A746">
        <v>79452</v>
      </c>
      <c r="B746">
        <v>137669611</v>
      </c>
      <c r="C746" t="s">
        <v>4037</v>
      </c>
      <c r="D746" t="s">
        <v>4038</v>
      </c>
      <c r="E746" t="s">
        <v>513</v>
      </c>
      <c r="F746" t="s">
        <v>514</v>
      </c>
      <c r="G746" t="s">
        <v>69</v>
      </c>
      <c r="H746" t="s">
        <v>70</v>
      </c>
      <c r="I746" t="s">
        <v>34</v>
      </c>
      <c r="J746" t="s">
        <v>139</v>
      </c>
      <c r="K746" t="s">
        <v>41</v>
      </c>
      <c r="L746" t="s">
        <v>71</v>
      </c>
      <c r="M746" t="s">
        <v>4039</v>
      </c>
      <c r="N746" t="s">
        <v>516</v>
      </c>
      <c r="O746" t="s">
        <v>64</v>
      </c>
      <c r="P746" t="s">
        <v>4040</v>
      </c>
      <c r="Q746" t="s">
        <v>91</v>
      </c>
      <c r="R746" t="s">
        <v>2597</v>
      </c>
      <c r="S746">
        <v>2.02</v>
      </c>
      <c r="T746">
        <v>4168</v>
      </c>
      <c r="U746">
        <v>0</v>
      </c>
      <c r="V746">
        <v>4168</v>
      </c>
    </row>
    <row r="747" spans="1:22" x14ac:dyDescent="0.3">
      <c r="A747">
        <v>79452</v>
      </c>
      <c r="B747">
        <v>137633636</v>
      </c>
      <c r="C747" t="s">
        <v>4041</v>
      </c>
      <c r="D747" t="s">
        <v>4042</v>
      </c>
      <c r="E747" t="s">
        <v>513</v>
      </c>
      <c r="F747" t="s">
        <v>514</v>
      </c>
      <c r="G747" t="s">
        <v>69</v>
      </c>
      <c r="H747" t="s">
        <v>70</v>
      </c>
      <c r="I747" t="s">
        <v>34</v>
      </c>
      <c r="J747" t="s">
        <v>139</v>
      </c>
      <c r="K747" t="s">
        <v>41</v>
      </c>
      <c r="L747" t="s">
        <v>71</v>
      </c>
      <c r="M747" t="s">
        <v>4043</v>
      </c>
      <c r="N747" t="s">
        <v>516</v>
      </c>
      <c r="O747" t="s">
        <v>64</v>
      </c>
      <c r="P747" t="s">
        <v>4044</v>
      </c>
      <c r="Q747" t="s">
        <v>231</v>
      </c>
      <c r="R747" t="s">
        <v>2613</v>
      </c>
      <c r="S747">
        <v>1.54</v>
      </c>
      <c r="T747">
        <v>7015</v>
      </c>
      <c r="U747">
        <v>0</v>
      </c>
      <c r="V747">
        <v>7015</v>
      </c>
    </row>
    <row r="748" spans="1:22" x14ac:dyDescent="0.3">
      <c r="A748">
        <v>79452</v>
      </c>
      <c r="B748">
        <v>137633640</v>
      </c>
      <c r="C748" t="s">
        <v>4045</v>
      </c>
      <c r="D748" t="s">
        <v>4046</v>
      </c>
      <c r="E748" t="s">
        <v>513</v>
      </c>
      <c r="F748" t="s">
        <v>514</v>
      </c>
      <c r="G748" t="s">
        <v>69</v>
      </c>
      <c r="H748" t="s">
        <v>70</v>
      </c>
      <c r="I748" t="s">
        <v>34</v>
      </c>
      <c r="J748" t="s">
        <v>139</v>
      </c>
      <c r="K748" t="s">
        <v>41</v>
      </c>
      <c r="L748" t="s">
        <v>71</v>
      </c>
      <c r="M748" t="s">
        <v>4047</v>
      </c>
      <c r="N748" t="s">
        <v>516</v>
      </c>
      <c r="O748" t="s">
        <v>64</v>
      </c>
      <c r="P748" t="s">
        <v>4048</v>
      </c>
      <c r="Q748" t="s">
        <v>150</v>
      </c>
      <c r="R748" t="s">
        <v>2613</v>
      </c>
      <c r="S748">
        <v>0.61</v>
      </c>
      <c r="T748">
        <v>6064</v>
      </c>
      <c r="U748">
        <v>0</v>
      </c>
      <c r="V748">
        <v>6064</v>
      </c>
    </row>
    <row r="749" spans="1:22" x14ac:dyDescent="0.3">
      <c r="A749">
        <v>79452</v>
      </c>
      <c r="B749">
        <v>137633643</v>
      </c>
      <c r="C749" t="s">
        <v>4049</v>
      </c>
      <c r="D749" t="s">
        <v>4050</v>
      </c>
      <c r="E749" t="s">
        <v>513</v>
      </c>
      <c r="F749" t="s">
        <v>514</v>
      </c>
      <c r="G749" t="s">
        <v>69</v>
      </c>
      <c r="H749" t="s">
        <v>70</v>
      </c>
      <c r="I749" t="s">
        <v>34</v>
      </c>
      <c r="J749" t="s">
        <v>139</v>
      </c>
      <c r="K749" t="s">
        <v>41</v>
      </c>
      <c r="L749" t="s">
        <v>71</v>
      </c>
      <c r="M749" t="s">
        <v>4051</v>
      </c>
      <c r="N749" t="s">
        <v>516</v>
      </c>
      <c r="O749" t="s">
        <v>64</v>
      </c>
      <c r="P749" t="s">
        <v>4052</v>
      </c>
      <c r="Q749" t="s">
        <v>77</v>
      </c>
      <c r="R749" t="s">
        <v>2613</v>
      </c>
      <c r="S749">
        <v>0.71</v>
      </c>
      <c r="T749">
        <v>3915</v>
      </c>
      <c r="U749">
        <v>0</v>
      </c>
      <c r="V749">
        <v>3915</v>
      </c>
    </row>
    <row r="750" spans="1:22" x14ac:dyDescent="0.3">
      <c r="A750">
        <v>79452</v>
      </c>
      <c r="B750">
        <v>137669605</v>
      </c>
      <c r="C750" t="s">
        <v>4053</v>
      </c>
      <c r="D750" t="s">
        <v>4054</v>
      </c>
      <c r="E750" t="s">
        <v>513</v>
      </c>
      <c r="F750" t="s">
        <v>514</v>
      </c>
      <c r="G750" t="s">
        <v>69</v>
      </c>
      <c r="H750" t="s">
        <v>70</v>
      </c>
      <c r="I750" t="s">
        <v>34</v>
      </c>
      <c r="J750" t="s">
        <v>139</v>
      </c>
      <c r="K750" t="s">
        <v>41</v>
      </c>
      <c r="L750" t="s">
        <v>71</v>
      </c>
      <c r="M750" t="s">
        <v>3908</v>
      </c>
      <c r="N750" t="s">
        <v>516</v>
      </c>
      <c r="O750" t="s">
        <v>64</v>
      </c>
      <c r="P750" t="s">
        <v>3909</v>
      </c>
      <c r="Q750" t="s">
        <v>234</v>
      </c>
      <c r="R750" t="s">
        <v>2597</v>
      </c>
      <c r="S750">
        <v>1.48</v>
      </c>
      <c r="T750">
        <v>5992</v>
      </c>
      <c r="U750">
        <v>0</v>
      </c>
      <c r="V750">
        <v>5992</v>
      </c>
    </row>
    <row r="751" spans="1:22" x14ac:dyDescent="0.3">
      <c r="A751">
        <v>79452</v>
      </c>
      <c r="B751">
        <v>137669606</v>
      </c>
      <c r="C751" t="s">
        <v>4055</v>
      </c>
      <c r="D751" t="s">
        <v>4056</v>
      </c>
      <c r="E751" t="s">
        <v>513</v>
      </c>
      <c r="F751" t="s">
        <v>514</v>
      </c>
      <c r="G751" t="s">
        <v>69</v>
      </c>
      <c r="H751" t="s">
        <v>70</v>
      </c>
      <c r="I751" t="s">
        <v>34</v>
      </c>
      <c r="J751" t="s">
        <v>139</v>
      </c>
      <c r="K751" t="s">
        <v>41</v>
      </c>
      <c r="L751" t="s">
        <v>71</v>
      </c>
      <c r="M751" t="s">
        <v>4057</v>
      </c>
      <c r="N751" t="s">
        <v>516</v>
      </c>
      <c r="O751" t="s">
        <v>64</v>
      </c>
      <c r="P751" t="s">
        <v>4058</v>
      </c>
      <c r="Q751" t="s">
        <v>140</v>
      </c>
      <c r="R751" t="s">
        <v>2597</v>
      </c>
      <c r="S751">
        <v>1.23</v>
      </c>
      <c r="T751">
        <v>6125</v>
      </c>
      <c r="U751">
        <v>0</v>
      </c>
      <c r="V751">
        <v>6125</v>
      </c>
    </row>
    <row r="752" spans="1:22" x14ac:dyDescent="0.3">
      <c r="A752">
        <v>79452</v>
      </c>
      <c r="B752">
        <v>137701409</v>
      </c>
      <c r="C752" t="s">
        <v>4059</v>
      </c>
      <c r="D752" t="s">
        <v>4060</v>
      </c>
      <c r="E752" t="s">
        <v>513</v>
      </c>
      <c r="F752" t="s">
        <v>514</v>
      </c>
      <c r="G752" t="s">
        <v>69</v>
      </c>
      <c r="H752" t="s">
        <v>70</v>
      </c>
      <c r="I752" t="s">
        <v>34</v>
      </c>
      <c r="J752" t="s">
        <v>139</v>
      </c>
      <c r="K752" t="s">
        <v>41</v>
      </c>
      <c r="L752" t="s">
        <v>71</v>
      </c>
      <c r="M752" t="s">
        <v>4061</v>
      </c>
      <c r="N752" t="s">
        <v>516</v>
      </c>
      <c r="O752" t="s">
        <v>64</v>
      </c>
      <c r="P752" t="s">
        <v>4062</v>
      </c>
      <c r="Q752" t="s">
        <v>126</v>
      </c>
      <c r="R752" t="s">
        <v>2353</v>
      </c>
      <c r="S752">
        <v>0.59</v>
      </c>
      <c r="T752">
        <v>5992</v>
      </c>
      <c r="U752">
        <v>0</v>
      </c>
      <c r="V752">
        <v>5992</v>
      </c>
    </row>
    <row r="753" spans="1:22" x14ac:dyDescent="0.3">
      <c r="A753">
        <v>79452</v>
      </c>
      <c r="B753">
        <v>137633635</v>
      </c>
      <c r="C753" t="s">
        <v>4063</v>
      </c>
      <c r="D753" t="s">
        <v>4064</v>
      </c>
      <c r="E753" t="s">
        <v>513</v>
      </c>
      <c r="F753" t="s">
        <v>514</v>
      </c>
      <c r="G753" t="s">
        <v>69</v>
      </c>
      <c r="H753" t="s">
        <v>70</v>
      </c>
      <c r="I753" t="s">
        <v>34</v>
      </c>
      <c r="J753" t="s">
        <v>139</v>
      </c>
      <c r="K753" t="s">
        <v>41</v>
      </c>
      <c r="L753" t="s">
        <v>71</v>
      </c>
      <c r="M753" t="s">
        <v>4065</v>
      </c>
      <c r="N753" t="s">
        <v>516</v>
      </c>
      <c r="O753" t="s">
        <v>64</v>
      </c>
      <c r="P753" t="s">
        <v>4066</v>
      </c>
      <c r="Q753" t="s">
        <v>231</v>
      </c>
      <c r="R753" t="s">
        <v>2613</v>
      </c>
      <c r="S753">
        <v>1.4</v>
      </c>
      <c r="T753">
        <v>6064</v>
      </c>
      <c r="U753">
        <v>0</v>
      </c>
      <c r="V753">
        <v>6064</v>
      </c>
    </row>
    <row r="754" spans="1:22" x14ac:dyDescent="0.3">
      <c r="A754">
        <v>79452</v>
      </c>
      <c r="B754">
        <v>137633642</v>
      </c>
      <c r="C754" t="s">
        <v>4067</v>
      </c>
      <c r="D754" t="s">
        <v>4068</v>
      </c>
      <c r="E754" t="s">
        <v>513</v>
      </c>
      <c r="F754" t="s">
        <v>514</v>
      </c>
      <c r="G754" t="s">
        <v>69</v>
      </c>
      <c r="H754" t="s">
        <v>70</v>
      </c>
      <c r="I754" t="s">
        <v>34</v>
      </c>
      <c r="J754" t="s">
        <v>139</v>
      </c>
      <c r="K754" t="s">
        <v>41</v>
      </c>
      <c r="L754" t="s">
        <v>71</v>
      </c>
      <c r="M754" t="s">
        <v>322</v>
      </c>
      <c r="N754" t="s">
        <v>516</v>
      </c>
      <c r="O754" t="s">
        <v>64</v>
      </c>
      <c r="P754" t="s">
        <v>4069</v>
      </c>
      <c r="Q754" t="s">
        <v>142</v>
      </c>
      <c r="R754" t="s">
        <v>2613</v>
      </c>
      <c r="S754">
        <v>0.49</v>
      </c>
      <c r="T754">
        <v>3776</v>
      </c>
      <c r="U754">
        <v>0</v>
      </c>
      <c r="V754">
        <v>3776</v>
      </c>
    </row>
    <row r="755" spans="1:22" x14ac:dyDescent="0.3">
      <c r="A755">
        <v>79452</v>
      </c>
      <c r="B755">
        <v>137669603</v>
      </c>
      <c r="C755" t="s">
        <v>4070</v>
      </c>
      <c r="D755" t="s">
        <v>4071</v>
      </c>
      <c r="E755" t="s">
        <v>513</v>
      </c>
      <c r="F755" t="s">
        <v>514</v>
      </c>
      <c r="G755" t="s">
        <v>69</v>
      </c>
      <c r="H755" t="s">
        <v>70</v>
      </c>
      <c r="I755" t="s">
        <v>34</v>
      </c>
      <c r="J755" t="s">
        <v>139</v>
      </c>
      <c r="K755" t="s">
        <v>41</v>
      </c>
      <c r="L755" t="s">
        <v>71</v>
      </c>
      <c r="M755" t="s">
        <v>399</v>
      </c>
      <c r="N755" t="s">
        <v>516</v>
      </c>
      <c r="O755" t="s">
        <v>64</v>
      </c>
      <c r="P755" t="s">
        <v>4072</v>
      </c>
      <c r="Q755" t="s">
        <v>254</v>
      </c>
      <c r="R755" t="s">
        <v>2597</v>
      </c>
      <c r="S755">
        <v>0.45</v>
      </c>
      <c r="T755">
        <v>11337</v>
      </c>
      <c r="U755">
        <v>0</v>
      </c>
      <c r="V755">
        <v>11337</v>
      </c>
    </row>
    <row r="756" spans="1:22" x14ac:dyDescent="0.3">
      <c r="A756">
        <v>79452</v>
      </c>
      <c r="B756">
        <v>137837173</v>
      </c>
      <c r="C756" t="s">
        <v>4073</v>
      </c>
      <c r="D756" t="s">
        <v>4074</v>
      </c>
      <c r="E756" t="s">
        <v>513</v>
      </c>
      <c r="F756" t="s">
        <v>514</v>
      </c>
      <c r="G756" t="s">
        <v>69</v>
      </c>
      <c r="H756" t="s">
        <v>70</v>
      </c>
      <c r="I756" t="s">
        <v>34</v>
      </c>
      <c r="J756" t="s">
        <v>139</v>
      </c>
      <c r="K756" t="s">
        <v>41</v>
      </c>
      <c r="L756" t="s">
        <v>71</v>
      </c>
      <c r="M756" t="s">
        <v>4075</v>
      </c>
      <c r="N756" t="s">
        <v>516</v>
      </c>
      <c r="O756" t="s">
        <v>64</v>
      </c>
      <c r="P756" t="s">
        <v>4076</v>
      </c>
      <c r="Q756" t="s">
        <v>83</v>
      </c>
      <c r="R756" t="s">
        <v>403</v>
      </c>
      <c r="S756">
        <v>0.71</v>
      </c>
      <c r="T756">
        <v>4072</v>
      </c>
      <c r="U756">
        <v>0</v>
      </c>
      <c r="V756">
        <v>4072</v>
      </c>
    </row>
    <row r="757" spans="1:22" x14ac:dyDescent="0.3">
      <c r="A757">
        <v>79452</v>
      </c>
      <c r="B757">
        <v>137837190</v>
      </c>
      <c r="C757" t="s">
        <v>4077</v>
      </c>
      <c r="D757" t="s">
        <v>4078</v>
      </c>
      <c r="E757" t="s">
        <v>513</v>
      </c>
      <c r="F757" t="s">
        <v>514</v>
      </c>
      <c r="G757" t="s">
        <v>69</v>
      </c>
      <c r="H757" t="s">
        <v>70</v>
      </c>
      <c r="I757" t="s">
        <v>34</v>
      </c>
      <c r="J757" t="s">
        <v>139</v>
      </c>
      <c r="K757" t="s">
        <v>41</v>
      </c>
      <c r="L757" t="s">
        <v>71</v>
      </c>
      <c r="M757" t="s">
        <v>4079</v>
      </c>
      <c r="N757" t="s">
        <v>516</v>
      </c>
      <c r="O757" t="s">
        <v>64</v>
      </c>
      <c r="P757" t="s">
        <v>4080</v>
      </c>
      <c r="Q757" t="s">
        <v>142</v>
      </c>
      <c r="R757" t="s">
        <v>403</v>
      </c>
      <c r="S757">
        <v>0.42</v>
      </c>
      <c r="T757">
        <v>3927</v>
      </c>
      <c r="U757">
        <v>0</v>
      </c>
      <c r="V757">
        <v>3927</v>
      </c>
    </row>
    <row r="758" spans="1:22" x14ac:dyDescent="0.3">
      <c r="A758">
        <v>79452</v>
      </c>
      <c r="B758">
        <v>137837198</v>
      </c>
      <c r="C758" t="s">
        <v>4081</v>
      </c>
      <c r="D758" t="s">
        <v>4082</v>
      </c>
      <c r="E758" t="s">
        <v>513</v>
      </c>
      <c r="F758" t="s">
        <v>514</v>
      </c>
      <c r="G758" t="s">
        <v>69</v>
      </c>
      <c r="H758" t="s">
        <v>70</v>
      </c>
      <c r="I758" t="s">
        <v>34</v>
      </c>
      <c r="J758" t="s">
        <v>139</v>
      </c>
      <c r="K758" t="s">
        <v>41</v>
      </c>
      <c r="L758" t="s">
        <v>71</v>
      </c>
      <c r="M758" t="s">
        <v>4083</v>
      </c>
      <c r="N758" t="s">
        <v>516</v>
      </c>
      <c r="O758" t="s">
        <v>64</v>
      </c>
      <c r="P758" t="s">
        <v>4084</v>
      </c>
      <c r="Q758" t="s">
        <v>231</v>
      </c>
      <c r="R758" t="s">
        <v>1784</v>
      </c>
      <c r="S758">
        <v>0.78</v>
      </c>
      <c r="T758">
        <v>6307</v>
      </c>
      <c r="U758">
        <v>0</v>
      </c>
      <c r="V758">
        <v>6307</v>
      </c>
    </row>
    <row r="759" spans="1:22" x14ac:dyDescent="0.3">
      <c r="A759">
        <v>79452</v>
      </c>
      <c r="B759">
        <v>137798271</v>
      </c>
      <c r="C759" t="s">
        <v>4085</v>
      </c>
      <c r="D759" t="s">
        <v>4086</v>
      </c>
      <c r="E759" t="s">
        <v>513</v>
      </c>
      <c r="F759" t="s">
        <v>514</v>
      </c>
      <c r="G759" t="s">
        <v>69</v>
      </c>
      <c r="H759" t="s">
        <v>70</v>
      </c>
      <c r="I759" t="s">
        <v>34</v>
      </c>
      <c r="J759" t="s">
        <v>139</v>
      </c>
      <c r="K759" t="s">
        <v>41</v>
      </c>
      <c r="L759" t="s">
        <v>71</v>
      </c>
      <c r="M759" t="s">
        <v>4087</v>
      </c>
      <c r="N759" t="s">
        <v>516</v>
      </c>
      <c r="O759" t="s">
        <v>64</v>
      </c>
      <c r="P759" t="s">
        <v>4088</v>
      </c>
      <c r="Q759" t="s">
        <v>253</v>
      </c>
      <c r="R759" t="s">
        <v>1501</v>
      </c>
      <c r="S759">
        <v>0.32</v>
      </c>
      <c r="T759">
        <v>12064</v>
      </c>
      <c r="U759">
        <v>0</v>
      </c>
      <c r="V759">
        <v>12064</v>
      </c>
    </row>
    <row r="760" spans="1:22" x14ac:dyDescent="0.3">
      <c r="A760">
        <v>79452</v>
      </c>
      <c r="B760">
        <v>137757023</v>
      </c>
      <c r="C760" t="s">
        <v>4089</v>
      </c>
      <c r="D760" t="s">
        <v>4090</v>
      </c>
      <c r="E760" t="s">
        <v>513</v>
      </c>
      <c r="F760" t="s">
        <v>514</v>
      </c>
      <c r="G760" t="s">
        <v>69</v>
      </c>
      <c r="H760" t="s">
        <v>70</v>
      </c>
      <c r="I760" t="s">
        <v>34</v>
      </c>
      <c r="J760" t="s">
        <v>139</v>
      </c>
      <c r="K760" t="s">
        <v>41</v>
      </c>
      <c r="L760" t="s">
        <v>71</v>
      </c>
      <c r="M760" t="s">
        <v>4091</v>
      </c>
      <c r="N760" t="s">
        <v>516</v>
      </c>
      <c r="O760" t="s">
        <v>64</v>
      </c>
      <c r="P760" t="s">
        <v>4092</v>
      </c>
      <c r="Q760" t="s">
        <v>229</v>
      </c>
      <c r="R760" t="s">
        <v>1517</v>
      </c>
      <c r="S760">
        <v>0.53</v>
      </c>
      <c r="T760">
        <v>6381</v>
      </c>
      <c r="U760">
        <v>0</v>
      </c>
      <c r="V760">
        <v>6381</v>
      </c>
    </row>
    <row r="761" spans="1:22" x14ac:dyDescent="0.3">
      <c r="A761">
        <v>79452</v>
      </c>
      <c r="B761">
        <v>137633639</v>
      </c>
      <c r="C761" t="s">
        <v>4093</v>
      </c>
      <c r="D761" t="s">
        <v>4094</v>
      </c>
      <c r="E761" t="s">
        <v>513</v>
      </c>
      <c r="F761" t="s">
        <v>514</v>
      </c>
      <c r="G761" t="s">
        <v>69</v>
      </c>
      <c r="H761" t="s">
        <v>70</v>
      </c>
      <c r="I761" t="s">
        <v>34</v>
      </c>
      <c r="J761" t="s">
        <v>139</v>
      </c>
      <c r="K761" t="s">
        <v>152</v>
      </c>
      <c r="L761" t="s">
        <v>4095</v>
      </c>
      <c r="M761" t="s">
        <v>4096</v>
      </c>
      <c r="N761" t="s">
        <v>516</v>
      </c>
      <c r="O761" t="s">
        <v>64</v>
      </c>
      <c r="P761" t="s">
        <v>4097</v>
      </c>
      <c r="Q761" t="s">
        <v>129</v>
      </c>
      <c r="R761" t="s">
        <v>2613</v>
      </c>
      <c r="S761">
        <v>0.55000000000000004</v>
      </c>
      <c r="T761">
        <v>3915</v>
      </c>
      <c r="U761">
        <v>0</v>
      </c>
      <c r="V761">
        <v>3915</v>
      </c>
    </row>
    <row r="762" spans="1:22" x14ac:dyDescent="0.3">
      <c r="A762">
        <v>79452</v>
      </c>
      <c r="B762">
        <v>137358346</v>
      </c>
      <c r="C762" t="s">
        <v>4098</v>
      </c>
      <c r="D762" t="s">
        <v>4099</v>
      </c>
      <c r="E762" t="s">
        <v>513</v>
      </c>
      <c r="F762" t="s">
        <v>514</v>
      </c>
      <c r="G762" t="s">
        <v>69</v>
      </c>
      <c r="H762" t="s">
        <v>70</v>
      </c>
      <c r="I762" t="s">
        <v>34</v>
      </c>
      <c r="J762" t="s">
        <v>139</v>
      </c>
      <c r="K762" t="s">
        <v>54</v>
      </c>
      <c r="L762" t="s">
        <v>4100</v>
      </c>
      <c r="M762" t="s">
        <v>4101</v>
      </c>
      <c r="N762" t="s">
        <v>516</v>
      </c>
      <c r="O762" t="s">
        <v>64</v>
      </c>
      <c r="P762" t="s">
        <v>4102</v>
      </c>
      <c r="Q762" t="s">
        <v>78</v>
      </c>
      <c r="R762" t="s">
        <v>2764</v>
      </c>
      <c r="S762">
        <v>0.49</v>
      </c>
      <c r="T762">
        <v>3776</v>
      </c>
      <c r="U762">
        <v>0</v>
      </c>
      <c r="V762">
        <v>3776</v>
      </c>
    </row>
    <row r="763" spans="1:22" x14ac:dyDescent="0.3">
      <c r="A763">
        <v>80147</v>
      </c>
      <c r="B763">
        <v>135982159</v>
      </c>
      <c r="C763" t="s">
        <v>4103</v>
      </c>
      <c r="D763" t="s">
        <v>4104</v>
      </c>
      <c r="E763" t="s">
        <v>4105</v>
      </c>
      <c r="F763" t="s">
        <v>514</v>
      </c>
      <c r="G763" t="s">
        <v>43</v>
      </c>
      <c r="H763" t="s">
        <v>44</v>
      </c>
      <c r="I763" t="s">
        <v>34</v>
      </c>
      <c r="J763" t="s">
        <v>45</v>
      </c>
      <c r="K763" t="s">
        <v>54</v>
      </c>
      <c r="L763" t="s">
        <v>55</v>
      </c>
      <c r="M763" t="s">
        <v>4106</v>
      </c>
      <c r="N763" t="s">
        <v>516</v>
      </c>
      <c r="O763" t="s">
        <v>64</v>
      </c>
      <c r="P763" t="s">
        <v>4107</v>
      </c>
      <c r="Q763" t="s">
        <v>48</v>
      </c>
      <c r="R763" t="s">
        <v>4108</v>
      </c>
      <c r="S763">
        <v>7.05</v>
      </c>
      <c r="T763">
        <v>17615.55</v>
      </c>
      <c r="U763">
        <v>0</v>
      </c>
      <c r="V763">
        <v>17615.55</v>
      </c>
    </row>
    <row r="764" spans="1:22" x14ac:dyDescent="0.3">
      <c r="A764">
        <v>80147</v>
      </c>
      <c r="B764">
        <v>138577538</v>
      </c>
      <c r="C764" t="s">
        <v>4109</v>
      </c>
      <c r="D764" t="s">
        <v>4110</v>
      </c>
      <c r="E764" t="s">
        <v>4105</v>
      </c>
      <c r="F764" t="s">
        <v>514</v>
      </c>
      <c r="G764" t="s">
        <v>43</v>
      </c>
      <c r="H764" t="s">
        <v>44</v>
      </c>
      <c r="I764" t="s">
        <v>34</v>
      </c>
      <c r="J764" t="s">
        <v>45</v>
      </c>
      <c r="K764" t="s">
        <v>41</v>
      </c>
      <c r="L764" t="s">
        <v>4111</v>
      </c>
      <c r="M764" t="s">
        <v>4112</v>
      </c>
      <c r="N764" t="s">
        <v>516</v>
      </c>
      <c r="O764" t="s">
        <v>64</v>
      </c>
      <c r="P764" t="s">
        <v>4113</v>
      </c>
      <c r="Q764" t="s">
        <v>90</v>
      </c>
      <c r="R764" t="s">
        <v>4114</v>
      </c>
      <c r="S764">
        <v>1</v>
      </c>
      <c r="T764">
        <v>3904</v>
      </c>
      <c r="U764">
        <v>0</v>
      </c>
      <c r="V764">
        <v>3904</v>
      </c>
    </row>
    <row r="765" spans="1:22" x14ac:dyDescent="0.3">
      <c r="A765">
        <v>80147</v>
      </c>
      <c r="B765">
        <v>138577537</v>
      </c>
      <c r="C765" t="s">
        <v>4115</v>
      </c>
      <c r="D765" t="s">
        <v>4116</v>
      </c>
      <c r="E765" t="s">
        <v>4105</v>
      </c>
      <c r="F765" t="s">
        <v>514</v>
      </c>
      <c r="G765" t="s">
        <v>43</v>
      </c>
      <c r="H765" t="s">
        <v>44</v>
      </c>
      <c r="I765" t="s">
        <v>34</v>
      </c>
      <c r="J765" t="s">
        <v>45</v>
      </c>
      <c r="K765" t="s">
        <v>41</v>
      </c>
      <c r="L765" t="s">
        <v>4117</v>
      </c>
      <c r="M765" t="s">
        <v>4118</v>
      </c>
      <c r="N765" t="s">
        <v>516</v>
      </c>
      <c r="O765" t="s">
        <v>64</v>
      </c>
      <c r="P765" t="s">
        <v>4119</v>
      </c>
      <c r="Q765" t="s">
        <v>48</v>
      </c>
      <c r="R765" t="s">
        <v>4114</v>
      </c>
      <c r="S765">
        <v>1.73</v>
      </c>
      <c r="T765">
        <v>4230</v>
      </c>
      <c r="U765">
        <v>0</v>
      </c>
      <c r="V765">
        <v>4230</v>
      </c>
    </row>
    <row r="766" spans="1:22" x14ac:dyDescent="0.3">
      <c r="A766">
        <v>80147</v>
      </c>
      <c r="B766">
        <v>138577545</v>
      </c>
      <c r="C766" t="s">
        <v>4120</v>
      </c>
      <c r="D766" t="s">
        <v>4121</v>
      </c>
      <c r="E766" t="s">
        <v>4105</v>
      </c>
      <c r="F766" t="s">
        <v>514</v>
      </c>
      <c r="G766" t="s">
        <v>43</v>
      </c>
      <c r="H766" t="s">
        <v>44</v>
      </c>
      <c r="I766" t="s">
        <v>34</v>
      </c>
      <c r="J766" t="s">
        <v>45</v>
      </c>
      <c r="K766" t="s">
        <v>41</v>
      </c>
      <c r="L766" t="s">
        <v>4122</v>
      </c>
      <c r="M766" t="s">
        <v>4123</v>
      </c>
      <c r="N766" t="s">
        <v>516</v>
      </c>
      <c r="O766" t="s">
        <v>64</v>
      </c>
      <c r="P766" t="s">
        <v>4124</v>
      </c>
      <c r="Q766" t="s">
        <v>73</v>
      </c>
      <c r="R766" t="s">
        <v>4114</v>
      </c>
      <c r="S766">
        <v>1</v>
      </c>
      <c r="T766">
        <v>3904</v>
      </c>
      <c r="U766">
        <v>0</v>
      </c>
      <c r="V766">
        <v>3904</v>
      </c>
    </row>
    <row r="767" spans="1:22" x14ac:dyDescent="0.3">
      <c r="A767">
        <v>80147</v>
      </c>
      <c r="B767">
        <v>138577540</v>
      </c>
      <c r="C767" t="s">
        <v>4125</v>
      </c>
      <c r="D767" t="s">
        <v>4126</v>
      </c>
      <c r="E767" t="s">
        <v>4105</v>
      </c>
      <c r="F767" t="s">
        <v>514</v>
      </c>
      <c r="G767" t="s">
        <v>43</v>
      </c>
      <c r="H767" t="s">
        <v>44</v>
      </c>
      <c r="I767" t="s">
        <v>34</v>
      </c>
      <c r="J767" t="s">
        <v>45</v>
      </c>
      <c r="K767" t="s">
        <v>41</v>
      </c>
      <c r="L767" t="s">
        <v>4127</v>
      </c>
      <c r="M767" t="s">
        <v>4128</v>
      </c>
      <c r="N767" t="s">
        <v>516</v>
      </c>
      <c r="O767" t="s">
        <v>64</v>
      </c>
      <c r="P767" t="s">
        <v>4129</v>
      </c>
      <c r="Q767" t="s">
        <v>49</v>
      </c>
      <c r="R767" t="s">
        <v>4114</v>
      </c>
      <c r="S767">
        <v>3.07</v>
      </c>
      <c r="T767">
        <v>4495</v>
      </c>
      <c r="U767">
        <v>0</v>
      </c>
      <c r="V767">
        <v>4495</v>
      </c>
    </row>
    <row r="768" spans="1:22" x14ac:dyDescent="0.3">
      <c r="A768">
        <v>80147</v>
      </c>
      <c r="B768">
        <v>138538444</v>
      </c>
      <c r="C768" t="s">
        <v>4130</v>
      </c>
      <c r="D768" t="s">
        <v>4131</v>
      </c>
      <c r="E768" t="s">
        <v>4105</v>
      </c>
      <c r="F768" t="s">
        <v>514</v>
      </c>
      <c r="G768" t="s">
        <v>43</v>
      </c>
      <c r="H768" t="s">
        <v>44</v>
      </c>
      <c r="I768" t="s">
        <v>34</v>
      </c>
      <c r="J768" t="s">
        <v>45</v>
      </c>
      <c r="K768" t="s">
        <v>41</v>
      </c>
      <c r="L768" t="s">
        <v>4132</v>
      </c>
      <c r="M768" t="s">
        <v>4133</v>
      </c>
      <c r="N768" t="s">
        <v>516</v>
      </c>
      <c r="O768" t="s">
        <v>64</v>
      </c>
      <c r="P768" t="s">
        <v>4134</v>
      </c>
      <c r="Q768" t="s">
        <v>193</v>
      </c>
      <c r="R768" t="s">
        <v>4135</v>
      </c>
      <c r="S768">
        <v>1</v>
      </c>
      <c r="T768">
        <v>3936</v>
      </c>
      <c r="U768">
        <v>0</v>
      </c>
      <c r="V768">
        <v>3936</v>
      </c>
    </row>
    <row r="769" spans="1:22" x14ac:dyDescent="0.3">
      <c r="A769">
        <v>80147</v>
      </c>
      <c r="B769">
        <v>138475500</v>
      </c>
      <c r="C769" t="s">
        <v>4136</v>
      </c>
      <c r="D769" t="s">
        <v>4137</v>
      </c>
      <c r="E769" t="s">
        <v>4105</v>
      </c>
      <c r="F769" t="s">
        <v>514</v>
      </c>
      <c r="G769" t="s">
        <v>43</v>
      </c>
      <c r="H769" t="s">
        <v>44</v>
      </c>
      <c r="I769" t="s">
        <v>34</v>
      </c>
      <c r="J769" t="s">
        <v>45</v>
      </c>
      <c r="K769" t="s">
        <v>54</v>
      </c>
      <c r="L769" t="s">
        <v>55</v>
      </c>
      <c r="M769" t="s">
        <v>329</v>
      </c>
      <c r="N769" t="s">
        <v>516</v>
      </c>
      <c r="O769" t="s">
        <v>64</v>
      </c>
      <c r="P769" t="s">
        <v>4138</v>
      </c>
      <c r="Q769" t="s">
        <v>175</v>
      </c>
      <c r="R769" t="s">
        <v>415</v>
      </c>
      <c r="S769">
        <v>1</v>
      </c>
      <c r="T769">
        <v>4230</v>
      </c>
      <c r="U769">
        <v>0</v>
      </c>
      <c r="V769">
        <v>4230</v>
      </c>
    </row>
    <row r="770" spans="1:22" x14ac:dyDescent="0.3">
      <c r="A770">
        <v>80147</v>
      </c>
      <c r="B770">
        <v>138577533</v>
      </c>
      <c r="C770" t="s">
        <v>4139</v>
      </c>
      <c r="D770" t="s">
        <v>4140</v>
      </c>
      <c r="E770" t="s">
        <v>4105</v>
      </c>
      <c r="F770" t="s">
        <v>514</v>
      </c>
      <c r="G770" t="s">
        <v>43</v>
      </c>
      <c r="H770" t="s">
        <v>44</v>
      </c>
      <c r="I770" t="s">
        <v>34</v>
      </c>
      <c r="J770" t="s">
        <v>45</v>
      </c>
      <c r="K770" t="s">
        <v>41</v>
      </c>
      <c r="L770" t="s">
        <v>4141</v>
      </c>
      <c r="M770" t="s">
        <v>4142</v>
      </c>
      <c r="N770" t="s">
        <v>516</v>
      </c>
      <c r="O770" t="s">
        <v>64</v>
      </c>
      <c r="P770" t="s">
        <v>4143</v>
      </c>
      <c r="Q770" t="s">
        <v>181</v>
      </c>
      <c r="R770" t="s">
        <v>4114</v>
      </c>
      <c r="S770">
        <v>0.89</v>
      </c>
      <c r="T770">
        <v>3904</v>
      </c>
      <c r="U770">
        <v>0</v>
      </c>
      <c r="V770">
        <v>3904</v>
      </c>
    </row>
    <row r="771" spans="1:22" x14ac:dyDescent="0.3">
      <c r="A771">
        <v>80147</v>
      </c>
      <c r="B771">
        <v>138538449</v>
      </c>
      <c r="C771" t="s">
        <v>4144</v>
      </c>
      <c r="D771" t="s">
        <v>4145</v>
      </c>
      <c r="E771" t="s">
        <v>4105</v>
      </c>
      <c r="F771" t="s">
        <v>514</v>
      </c>
      <c r="G771" t="s">
        <v>43</v>
      </c>
      <c r="H771" t="s">
        <v>44</v>
      </c>
      <c r="I771" t="s">
        <v>34</v>
      </c>
      <c r="J771" t="s">
        <v>45</v>
      </c>
      <c r="K771" t="s">
        <v>54</v>
      </c>
      <c r="L771" t="s">
        <v>55</v>
      </c>
      <c r="M771" t="s">
        <v>4146</v>
      </c>
      <c r="N771" t="s">
        <v>516</v>
      </c>
      <c r="O771" t="s">
        <v>64</v>
      </c>
      <c r="P771" t="s">
        <v>4147</v>
      </c>
      <c r="Q771" t="s">
        <v>109</v>
      </c>
      <c r="R771" t="s">
        <v>4135</v>
      </c>
      <c r="S771">
        <v>3.04</v>
      </c>
      <c r="T771">
        <v>5758</v>
      </c>
      <c r="U771">
        <v>0</v>
      </c>
      <c r="V771">
        <v>5758</v>
      </c>
    </row>
    <row r="772" spans="1:22" x14ac:dyDescent="0.3">
      <c r="A772">
        <v>80147</v>
      </c>
      <c r="B772">
        <v>138554477</v>
      </c>
      <c r="C772" t="s">
        <v>4148</v>
      </c>
      <c r="D772" t="s">
        <v>4149</v>
      </c>
      <c r="E772" t="s">
        <v>4105</v>
      </c>
      <c r="F772" t="s">
        <v>514</v>
      </c>
      <c r="G772" t="s">
        <v>43</v>
      </c>
      <c r="H772" t="s">
        <v>44</v>
      </c>
      <c r="I772" t="s">
        <v>34</v>
      </c>
      <c r="J772" t="s">
        <v>45</v>
      </c>
      <c r="K772" t="s">
        <v>41</v>
      </c>
      <c r="L772" t="s">
        <v>4150</v>
      </c>
      <c r="M772" t="s">
        <v>4151</v>
      </c>
      <c r="N772" t="s">
        <v>516</v>
      </c>
      <c r="O772" t="s">
        <v>64</v>
      </c>
      <c r="P772" t="s">
        <v>4152</v>
      </c>
      <c r="Q772" t="s">
        <v>73</v>
      </c>
      <c r="R772" t="s">
        <v>4153</v>
      </c>
      <c r="S772">
        <v>1</v>
      </c>
      <c r="T772">
        <v>3904</v>
      </c>
      <c r="U772">
        <v>0</v>
      </c>
      <c r="V772">
        <v>3904</v>
      </c>
    </row>
    <row r="773" spans="1:22" x14ac:dyDescent="0.3">
      <c r="A773">
        <v>80147</v>
      </c>
      <c r="B773">
        <v>138498207</v>
      </c>
      <c r="C773" t="s">
        <v>4154</v>
      </c>
      <c r="D773" t="s">
        <v>4155</v>
      </c>
      <c r="E773" t="s">
        <v>4105</v>
      </c>
      <c r="F773" t="s">
        <v>514</v>
      </c>
      <c r="G773" t="s">
        <v>43</v>
      </c>
      <c r="H773" t="s">
        <v>44</v>
      </c>
      <c r="I773" t="s">
        <v>34</v>
      </c>
      <c r="J773" t="s">
        <v>45</v>
      </c>
      <c r="K773" t="s">
        <v>41</v>
      </c>
      <c r="L773" t="s">
        <v>4156</v>
      </c>
      <c r="M773" t="s">
        <v>4157</v>
      </c>
      <c r="N773" t="s">
        <v>516</v>
      </c>
      <c r="O773" t="s">
        <v>64</v>
      </c>
      <c r="P773" t="s">
        <v>4158</v>
      </c>
      <c r="Q773" t="s">
        <v>50</v>
      </c>
      <c r="R773" t="s">
        <v>487</v>
      </c>
      <c r="S773">
        <v>6.12</v>
      </c>
      <c r="T773">
        <v>10099</v>
      </c>
      <c r="U773">
        <v>0</v>
      </c>
      <c r="V773">
        <v>10099</v>
      </c>
    </row>
    <row r="774" spans="1:22" x14ac:dyDescent="0.3">
      <c r="A774">
        <v>80147</v>
      </c>
      <c r="B774">
        <v>138431528</v>
      </c>
      <c r="C774" t="s">
        <v>4159</v>
      </c>
      <c r="D774" t="s">
        <v>4160</v>
      </c>
      <c r="E774" t="s">
        <v>4105</v>
      </c>
      <c r="F774" t="s">
        <v>514</v>
      </c>
      <c r="G774" t="s">
        <v>43</v>
      </c>
      <c r="H774" t="s">
        <v>44</v>
      </c>
      <c r="I774" t="s">
        <v>34</v>
      </c>
      <c r="J774" t="s">
        <v>45</v>
      </c>
      <c r="K774" t="s">
        <v>41</v>
      </c>
      <c r="L774" t="s">
        <v>4161</v>
      </c>
      <c r="M774" t="s">
        <v>4162</v>
      </c>
      <c r="N774" t="s">
        <v>516</v>
      </c>
      <c r="O774" t="s">
        <v>64</v>
      </c>
      <c r="P774" t="s">
        <v>4163</v>
      </c>
      <c r="Q774" t="s">
        <v>98</v>
      </c>
      <c r="R774" t="s">
        <v>4164</v>
      </c>
      <c r="S774">
        <v>1</v>
      </c>
      <c r="T774">
        <v>5990</v>
      </c>
      <c r="U774">
        <v>0</v>
      </c>
      <c r="V774">
        <v>5990</v>
      </c>
    </row>
    <row r="775" spans="1:22" x14ac:dyDescent="0.3">
      <c r="A775">
        <v>80147</v>
      </c>
      <c r="B775">
        <v>138459040</v>
      </c>
      <c r="C775" t="s">
        <v>4165</v>
      </c>
      <c r="D775" t="s">
        <v>4166</v>
      </c>
      <c r="E775" t="s">
        <v>4105</v>
      </c>
      <c r="F775" t="s">
        <v>514</v>
      </c>
      <c r="G775" t="s">
        <v>43</v>
      </c>
      <c r="H775" t="s">
        <v>44</v>
      </c>
      <c r="I775" t="s">
        <v>34</v>
      </c>
      <c r="J775" t="s">
        <v>45</v>
      </c>
      <c r="K775" t="s">
        <v>41</v>
      </c>
      <c r="L775" t="s">
        <v>4167</v>
      </c>
      <c r="M775" t="s">
        <v>4168</v>
      </c>
      <c r="N775" t="s">
        <v>516</v>
      </c>
      <c r="O775" t="s">
        <v>64</v>
      </c>
      <c r="P775" t="s">
        <v>4169</v>
      </c>
      <c r="Q775" t="s">
        <v>111</v>
      </c>
      <c r="R775" t="s">
        <v>4170</v>
      </c>
      <c r="S775">
        <v>1</v>
      </c>
      <c r="T775">
        <v>5696</v>
      </c>
      <c r="U775">
        <v>0</v>
      </c>
      <c r="V775">
        <v>5696</v>
      </c>
    </row>
    <row r="776" spans="1:22" x14ac:dyDescent="0.3">
      <c r="A776">
        <v>80147</v>
      </c>
      <c r="B776">
        <v>138498212</v>
      </c>
      <c r="C776" t="s">
        <v>4171</v>
      </c>
      <c r="D776" t="s">
        <v>4172</v>
      </c>
      <c r="E776" t="s">
        <v>4105</v>
      </c>
      <c r="F776" t="s">
        <v>514</v>
      </c>
      <c r="G776" t="s">
        <v>43</v>
      </c>
      <c r="H776" t="s">
        <v>44</v>
      </c>
      <c r="I776" t="s">
        <v>34</v>
      </c>
      <c r="J776" t="s">
        <v>45</v>
      </c>
      <c r="K776" t="s">
        <v>41</v>
      </c>
      <c r="L776" t="s">
        <v>4173</v>
      </c>
      <c r="M776" t="s">
        <v>4174</v>
      </c>
      <c r="N776" t="s">
        <v>516</v>
      </c>
      <c r="O776" t="s">
        <v>64</v>
      </c>
      <c r="P776" t="s">
        <v>4175</v>
      </c>
      <c r="Q776" t="s">
        <v>108</v>
      </c>
      <c r="R776" t="s">
        <v>487</v>
      </c>
      <c r="S776">
        <v>6.34</v>
      </c>
      <c r="T776">
        <v>5406</v>
      </c>
      <c r="U776">
        <v>0</v>
      </c>
      <c r="V776">
        <v>5406</v>
      </c>
    </row>
    <row r="777" spans="1:22" x14ac:dyDescent="0.3">
      <c r="A777">
        <v>80147</v>
      </c>
      <c r="B777">
        <v>138498217</v>
      </c>
      <c r="C777" t="s">
        <v>4176</v>
      </c>
      <c r="D777" t="s">
        <v>4177</v>
      </c>
      <c r="E777" t="s">
        <v>4105</v>
      </c>
      <c r="F777" t="s">
        <v>514</v>
      </c>
      <c r="G777" t="s">
        <v>43</v>
      </c>
      <c r="H777" t="s">
        <v>44</v>
      </c>
      <c r="I777" t="s">
        <v>34</v>
      </c>
      <c r="J777" t="s">
        <v>45</v>
      </c>
      <c r="K777" t="s">
        <v>41</v>
      </c>
      <c r="L777" t="s">
        <v>4178</v>
      </c>
      <c r="M777" t="s">
        <v>4179</v>
      </c>
      <c r="N777" t="s">
        <v>516</v>
      </c>
      <c r="O777" t="s">
        <v>64</v>
      </c>
      <c r="P777" t="s">
        <v>4180</v>
      </c>
      <c r="Q777" t="s">
        <v>217</v>
      </c>
      <c r="R777" t="s">
        <v>487</v>
      </c>
      <c r="S777">
        <v>10.08</v>
      </c>
      <c r="T777">
        <v>8939</v>
      </c>
      <c r="U777">
        <v>0</v>
      </c>
      <c r="V777">
        <v>8939</v>
      </c>
    </row>
    <row r="778" spans="1:22" x14ac:dyDescent="0.3">
      <c r="A778">
        <v>80147</v>
      </c>
      <c r="B778">
        <v>138515110</v>
      </c>
      <c r="C778" t="s">
        <v>4181</v>
      </c>
      <c r="D778" t="s">
        <v>4182</v>
      </c>
      <c r="E778" t="s">
        <v>4105</v>
      </c>
      <c r="F778" t="s">
        <v>514</v>
      </c>
      <c r="G778" t="s">
        <v>43</v>
      </c>
      <c r="H778" t="s">
        <v>44</v>
      </c>
      <c r="I778" t="s">
        <v>34</v>
      </c>
      <c r="J778" t="s">
        <v>45</v>
      </c>
      <c r="K778" t="s">
        <v>41</v>
      </c>
      <c r="L778" t="s">
        <v>4183</v>
      </c>
      <c r="M778" t="s">
        <v>4184</v>
      </c>
      <c r="N778" t="s">
        <v>516</v>
      </c>
      <c r="O778" t="s">
        <v>64</v>
      </c>
      <c r="P778" t="s">
        <v>4185</v>
      </c>
      <c r="Q778" t="s">
        <v>49</v>
      </c>
      <c r="R778" t="s">
        <v>4186</v>
      </c>
      <c r="S778">
        <v>6.1</v>
      </c>
      <c r="T778">
        <v>5696</v>
      </c>
      <c r="U778">
        <v>0</v>
      </c>
      <c r="V778">
        <v>5696</v>
      </c>
    </row>
    <row r="779" spans="1:22" x14ac:dyDescent="0.3">
      <c r="A779">
        <v>80147</v>
      </c>
      <c r="B779">
        <v>138515120</v>
      </c>
      <c r="C779" t="s">
        <v>4187</v>
      </c>
      <c r="D779" t="s">
        <v>4188</v>
      </c>
      <c r="E779" t="s">
        <v>4105</v>
      </c>
      <c r="F779" t="s">
        <v>514</v>
      </c>
      <c r="G779" t="s">
        <v>43</v>
      </c>
      <c r="H779" t="s">
        <v>44</v>
      </c>
      <c r="I779" t="s">
        <v>34</v>
      </c>
      <c r="J779" t="s">
        <v>45</v>
      </c>
      <c r="K779" t="s">
        <v>54</v>
      </c>
      <c r="L779" t="s">
        <v>55</v>
      </c>
      <c r="M779" t="s">
        <v>4189</v>
      </c>
      <c r="N779" t="s">
        <v>516</v>
      </c>
      <c r="O779" t="s">
        <v>64</v>
      </c>
      <c r="P779" t="s">
        <v>4190</v>
      </c>
      <c r="Q779" t="s">
        <v>118</v>
      </c>
      <c r="R779" t="s">
        <v>4186</v>
      </c>
      <c r="S779">
        <v>1.75</v>
      </c>
      <c r="T779">
        <v>4230</v>
      </c>
      <c r="U779">
        <v>0</v>
      </c>
      <c r="V779">
        <v>4230</v>
      </c>
    </row>
    <row r="780" spans="1:22" x14ac:dyDescent="0.3">
      <c r="A780">
        <v>80147</v>
      </c>
      <c r="B780">
        <v>138515115</v>
      </c>
      <c r="C780" t="s">
        <v>4191</v>
      </c>
      <c r="D780" t="s">
        <v>4192</v>
      </c>
      <c r="E780" t="s">
        <v>4105</v>
      </c>
      <c r="F780" t="s">
        <v>514</v>
      </c>
      <c r="G780" t="s">
        <v>43</v>
      </c>
      <c r="H780" t="s">
        <v>44</v>
      </c>
      <c r="I780" t="s">
        <v>34</v>
      </c>
      <c r="J780" t="s">
        <v>45</v>
      </c>
      <c r="K780" t="s">
        <v>41</v>
      </c>
      <c r="L780" t="s">
        <v>4193</v>
      </c>
      <c r="M780" t="s">
        <v>398</v>
      </c>
      <c r="N780" t="s">
        <v>516</v>
      </c>
      <c r="O780" t="s">
        <v>64</v>
      </c>
      <c r="P780" t="s">
        <v>4194</v>
      </c>
      <c r="Q780" t="s">
        <v>66</v>
      </c>
      <c r="R780" t="s">
        <v>4186</v>
      </c>
      <c r="S780">
        <v>1</v>
      </c>
      <c r="T780">
        <v>3936</v>
      </c>
      <c r="U780">
        <v>0</v>
      </c>
      <c r="V780">
        <v>3936</v>
      </c>
    </row>
    <row r="781" spans="1:22" x14ac:dyDescent="0.3">
      <c r="A781">
        <v>80147</v>
      </c>
      <c r="B781">
        <v>138515117</v>
      </c>
      <c r="C781" t="s">
        <v>4195</v>
      </c>
      <c r="D781" t="s">
        <v>4196</v>
      </c>
      <c r="E781" t="s">
        <v>4105</v>
      </c>
      <c r="F781" t="s">
        <v>514</v>
      </c>
      <c r="G781" t="s">
        <v>43</v>
      </c>
      <c r="H781" t="s">
        <v>44</v>
      </c>
      <c r="I781" t="s">
        <v>34</v>
      </c>
      <c r="J781" t="s">
        <v>45</v>
      </c>
      <c r="K781" t="s">
        <v>41</v>
      </c>
      <c r="L781" t="s">
        <v>4197</v>
      </c>
      <c r="M781" t="s">
        <v>4198</v>
      </c>
      <c r="N781" t="s">
        <v>516</v>
      </c>
      <c r="O781" t="s">
        <v>64</v>
      </c>
      <c r="P781" t="s">
        <v>4199</v>
      </c>
      <c r="Q781" t="s">
        <v>87</v>
      </c>
      <c r="R781" t="s">
        <v>4186</v>
      </c>
      <c r="S781">
        <v>6.47</v>
      </c>
      <c r="T781">
        <v>6217</v>
      </c>
      <c r="U781">
        <v>0</v>
      </c>
      <c r="V781">
        <v>6217</v>
      </c>
    </row>
    <row r="782" spans="1:22" x14ac:dyDescent="0.3">
      <c r="A782">
        <v>80147</v>
      </c>
      <c r="B782">
        <v>138459035</v>
      </c>
      <c r="C782" t="s">
        <v>4200</v>
      </c>
      <c r="D782" t="s">
        <v>4201</v>
      </c>
      <c r="E782" t="s">
        <v>4105</v>
      </c>
      <c r="F782" t="s">
        <v>514</v>
      </c>
      <c r="G782" t="s">
        <v>43</v>
      </c>
      <c r="H782" t="s">
        <v>44</v>
      </c>
      <c r="I782" t="s">
        <v>34</v>
      </c>
      <c r="J782" t="s">
        <v>45</v>
      </c>
      <c r="K782" t="s">
        <v>41</v>
      </c>
      <c r="L782" t="s">
        <v>4202</v>
      </c>
      <c r="M782" t="s">
        <v>350</v>
      </c>
      <c r="N782" t="s">
        <v>516</v>
      </c>
      <c r="O782" t="s">
        <v>64</v>
      </c>
      <c r="P782" t="s">
        <v>4203</v>
      </c>
      <c r="Q782" t="s">
        <v>50</v>
      </c>
      <c r="R782" t="s">
        <v>4170</v>
      </c>
      <c r="S782">
        <v>1</v>
      </c>
      <c r="T782">
        <v>5406</v>
      </c>
      <c r="U782">
        <v>0</v>
      </c>
      <c r="V782">
        <v>5406</v>
      </c>
    </row>
    <row r="783" spans="1:22" x14ac:dyDescent="0.3">
      <c r="A783">
        <v>80147</v>
      </c>
      <c r="B783">
        <v>138498205</v>
      </c>
      <c r="C783" t="s">
        <v>4204</v>
      </c>
      <c r="D783" t="s">
        <v>4205</v>
      </c>
      <c r="E783" t="s">
        <v>4105</v>
      </c>
      <c r="F783" t="s">
        <v>514</v>
      </c>
      <c r="G783" t="s">
        <v>43</v>
      </c>
      <c r="H783" t="s">
        <v>44</v>
      </c>
      <c r="I783" t="s">
        <v>34</v>
      </c>
      <c r="J783" t="s">
        <v>45</v>
      </c>
      <c r="K783" t="s">
        <v>41</v>
      </c>
      <c r="L783" t="s">
        <v>4206</v>
      </c>
      <c r="M783" t="s">
        <v>4207</v>
      </c>
      <c r="N783" t="s">
        <v>516</v>
      </c>
      <c r="O783" t="s">
        <v>64</v>
      </c>
      <c r="P783" t="s">
        <v>4208</v>
      </c>
      <c r="Q783" t="s">
        <v>46</v>
      </c>
      <c r="R783" t="s">
        <v>487</v>
      </c>
      <c r="S783">
        <v>5.6</v>
      </c>
      <c r="T783">
        <v>3949</v>
      </c>
      <c r="U783">
        <v>0</v>
      </c>
      <c r="V783">
        <v>3949</v>
      </c>
    </row>
    <row r="784" spans="1:22" x14ac:dyDescent="0.3">
      <c r="A784">
        <v>80147</v>
      </c>
      <c r="B784">
        <v>138459036</v>
      </c>
      <c r="C784" t="s">
        <v>4209</v>
      </c>
      <c r="D784" t="s">
        <v>4210</v>
      </c>
      <c r="E784" t="s">
        <v>4105</v>
      </c>
      <c r="F784" t="s">
        <v>514</v>
      </c>
      <c r="G784" t="s">
        <v>43</v>
      </c>
      <c r="H784" t="s">
        <v>44</v>
      </c>
      <c r="I784" t="s">
        <v>34</v>
      </c>
      <c r="J784" t="s">
        <v>45</v>
      </c>
      <c r="K784" t="s">
        <v>41</v>
      </c>
      <c r="L784" t="s">
        <v>4211</v>
      </c>
      <c r="M784" t="s">
        <v>4212</v>
      </c>
      <c r="N784" t="s">
        <v>516</v>
      </c>
      <c r="O784" t="s">
        <v>64</v>
      </c>
      <c r="P784" t="s">
        <v>4213</v>
      </c>
      <c r="Q784" t="s">
        <v>57</v>
      </c>
      <c r="R784" t="s">
        <v>4170</v>
      </c>
      <c r="S784">
        <v>1</v>
      </c>
      <c r="T784">
        <v>4230</v>
      </c>
      <c r="U784">
        <v>0</v>
      </c>
      <c r="V784">
        <v>4230</v>
      </c>
    </row>
    <row r="785" spans="1:22" x14ac:dyDescent="0.3">
      <c r="A785">
        <v>80147</v>
      </c>
      <c r="B785">
        <v>138070823</v>
      </c>
      <c r="C785" t="s">
        <v>4214</v>
      </c>
      <c r="D785" t="s">
        <v>4215</v>
      </c>
      <c r="E785" t="s">
        <v>4105</v>
      </c>
      <c r="F785" t="s">
        <v>514</v>
      </c>
      <c r="G785" t="s">
        <v>43</v>
      </c>
      <c r="H785" t="s">
        <v>44</v>
      </c>
      <c r="I785" t="s">
        <v>34</v>
      </c>
      <c r="J785" t="s">
        <v>45</v>
      </c>
      <c r="K785" t="s">
        <v>41</v>
      </c>
      <c r="L785" t="s">
        <v>4216</v>
      </c>
      <c r="M785" t="s">
        <v>4217</v>
      </c>
      <c r="N785" t="s">
        <v>516</v>
      </c>
      <c r="O785" t="s">
        <v>64</v>
      </c>
      <c r="P785" t="s">
        <v>4218</v>
      </c>
      <c r="Q785" t="s">
        <v>68</v>
      </c>
      <c r="R785" t="s">
        <v>405</v>
      </c>
      <c r="S785">
        <v>1</v>
      </c>
      <c r="T785">
        <v>5990</v>
      </c>
      <c r="U785">
        <v>0</v>
      </c>
      <c r="V785">
        <v>5990</v>
      </c>
    </row>
    <row r="786" spans="1:22" x14ac:dyDescent="0.3">
      <c r="A786">
        <v>80147</v>
      </c>
      <c r="B786">
        <v>138383341</v>
      </c>
      <c r="C786" t="s">
        <v>4219</v>
      </c>
      <c r="D786" t="s">
        <v>4220</v>
      </c>
      <c r="E786" t="s">
        <v>4105</v>
      </c>
      <c r="F786" t="s">
        <v>514</v>
      </c>
      <c r="G786" t="s">
        <v>43</v>
      </c>
      <c r="H786" t="s">
        <v>44</v>
      </c>
      <c r="I786" t="s">
        <v>34</v>
      </c>
      <c r="J786" t="s">
        <v>45</v>
      </c>
      <c r="K786" t="s">
        <v>41</v>
      </c>
      <c r="L786" t="s">
        <v>4221</v>
      </c>
      <c r="M786" t="s">
        <v>297</v>
      </c>
      <c r="N786" t="s">
        <v>516</v>
      </c>
      <c r="O786" t="s">
        <v>64</v>
      </c>
      <c r="P786" t="s">
        <v>4222</v>
      </c>
      <c r="Q786" t="s">
        <v>50</v>
      </c>
      <c r="R786" t="s">
        <v>4223</v>
      </c>
      <c r="S786">
        <v>6.68</v>
      </c>
      <c r="T786">
        <v>10099</v>
      </c>
      <c r="U786">
        <v>0</v>
      </c>
      <c r="V786">
        <v>10099</v>
      </c>
    </row>
    <row r="787" spans="1:22" x14ac:dyDescent="0.3">
      <c r="A787">
        <v>80147</v>
      </c>
      <c r="B787">
        <v>138475511</v>
      </c>
      <c r="C787" t="s">
        <v>4224</v>
      </c>
      <c r="D787" t="s">
        <v>4225</v>
      </c>
      <c r="E787" t="s">
        <v>4105</v>
      </c>
      <c r="F787" t="s">
        <v>514</v>
      </c>
      <c r="G787" t="s">
        <v>43</v>
      </c>
      <c r="H787" t="s">
        <v>44</v>
      </c>
      <c r="I787" t="s">
        <v>34</v>
      </c>
      <c r="J787" t="s">
        <v>45</v>
      </c>
      <c r="K787" t="s">
        <v>41</v>
      </c>
      <c r="L787" t="s">
        <v>4226</v>
      </c>
      <c r="M787" t="s">
        <v>392</v>
      </c>
      <c r="N787" t="s">
        <v>516</v>
      </c>
      <c r="O787" t="s">
        <v>64</v>
      </c>
      <c r="P787" t="s">
        <v>4227</v>
      </c>
      <c r="Q787" t="s">
        <v>212</v>
      </c>
      <c r="R787" t="s">
        <v>415</v>
      </c>
      <c r="S787">
        <v>0.9</v>
      </c>
      <c r="T787">
        <v>4025</v>
      </c>
      <c r="U787">
        <v>0</v>
      </c>
      <c r="V787">
        <v>4025</v>
      </c>
    </row>
    <row r="788" spans="1:22" x14ac:dyDescent="0.3">
      <c r="A788">
        <v>80147</v>
      </c>
      <c r="B788">
        <v>138431534</v>
      </c>
      <c r="C788" t="s">
        <v>4228</v>
      </c>
      <c r="D788" t="s">
        <v>4229</v>
      </c>
      <c r="E788" t="s">
        <v>4105</v>
      </c>
      <c r="F788" t="s">
        <v>514</v>
      </c>
      <c r="G788" t="s">
        <v>43</v>
      </c>
      <c r="H788" t="s">
        <v>44</v>
      </c>
      <c r="I788" t="s">
        <v>34</v>
      </c>
      <c r="J788" t="s">
        <v>45</v>
      </c>
      <c r="K788" t="s">
        <v>41</v>
      </c>
      <c r="L788" t="s">
        <v>4230</v>
      </c>
      <c r="M788" t="s">
        <v>4231</v>
      </c>
      <c r="N788" t="s">
        <v>516</v>
      </c>
      <c r="O788" t="s">
        <v>64</v>
      </c>
      <c r="P788" t="s">
        <v>4232</v>
      </c>
      <c r="Q788" t="s">
        <v>50</v>
      </c>
      <c r="R788" t="s">
        <v>4164</v>
      </c>
      <c r="S788">
        <v>1</v>
      </c>
      <c r="T788">
        <v>5406</v>
      </c>
      <c r="U788">
        <v>0</v>
      </c>
      <c r="V788">
        <v>5406</v>
      </c>
    </row>
    <row r="789" spans="1:22" x14ac:dyDescent="0.3">
      <c r="A789">
        <v>80147</v>
      </c>
      <c r="B789">
        <v>138459039</v>
      </c>
      <c r="C789" t="s">
        <v>4233</v>
      </c>
      <c r="D789" t="s">
        <v>4234</v>
      </c>
      <c r="E789" t="s">
        <v>4105</v>
      </c>
      <c r="F789" t="s">
        <v>514</v>
      </c>
      <c r="G789" t="s">
        <v>43</v>
      </c>
      <c r="H789" t="s">
        <v>44</v>
      </c>
      <c r="I789" t="s">
        <v>34</v>
      </c>
      <c r="J789" t="s">
        <v>45</v>
      </c>
      <c r="K789" t="s">
        <v>41</v>
      </c>
      <c r="L789" t="s">
        <v>4235</v>
      </c>
      <c r="M789" t="s">
        <v>4236</v>
      </c>
      <c r="N789" t="s">
        <v>516</v>
      </c>
      <c r="O789" t="s">
        <v>64</v>
      </c>
      <c r="P789" t="s">
        <v>4237</v>
      </c>
      <c r="Q789" t="s">
        <v>62</v>
      </c>
      <c r="R789" t="s">
        <v>4170</v>
      </c>
      <c r="S789">
        <v>1</v>
      </c>
      <c r="T789">
        <v>3936</v>
      </c>
      <c r="U789">
        <v>0</v>
      </c>
      <c r="V789">
        <v>3936</v>
      </c>
    </row>
    <row r="790" spans="1:22" x14ac:dyDescent="0.3">
      <c r="A790">
        <v>80147</v>
      </c>
      <c r="B790">
        <v>138431522</v>
      </c>
      <c r="C790" t="s">
        <v>4238</v>
      </c>
      <c r="D790" t="s">
        <v>4239</v>
      </c>
      <c r="E790" t="s">
        <v>4105</v>
      </c>
      <c r="F790" t="s">
        <v>514</v>
      </c>
      <c r="G790" t="s">
        <v>43</v>
      </c>
      <c r="H790" t="s">
        <v>44</v>
      </c>
      <c r="I790" t="s">
        <v>34</v>
      </c>
      <c r="J790" t="s">
        <v>45</v>
      </c>
      <c r="K790" t="s">
        <v>54</v>
      </c>
      <c r="L790" t="s">
        <v>55</v>
      </c>
      <c r="M790" t="s">
        <v>4240</v>
      </c>
      <c r="N790" t="s">
        <v>516</v>
      </c>
      <c r="O790" t="s">
        <v>64</v>
      </c>
      <c r="P790" t="s">
        <v>4241</v>
      </c>
      <c r="Q790" t="s">
        <v>98</v>
      </c>
      <c r="R790" t="s">
        <v>4164</v>
      </c>
      <c r="S790">
        <v>6.18</v>
      </c>
      <c r="T790">
        <v>11275</v>
      </c>
      <c r="U790">
        <v>0</v>
      </c>
      <c r="V790">
        <v>11275</v>
      </c>
    </row>
    <row r="791" spans="1:22" x14ac:dyDescent="0.3">
      <c r="A791">
        <v>80147</v>
      </c>
      <c r="B791">
        <v>138410990</v>
      </c>
      <c r="C791" t="s">
        <v>4242</v>
      </c>
      <c r="D791" t="s">
        <v>4243</v>
      </c>
      <c r="E791" t="s">
        <v>4105</v>
      </c>
      <c r="F791" t="s">
        <v>514</v>
      </c>
      <c r="G791" t="s">
        <v>43</v>
      </c>
      <c r="H791" t="s">
        <v>44</v>
      </c>
      <c r="I791" t="s">
        <v>34</v>
      </c>
      <c r="J791" t="s">
        <v>45</v>
      </c>
      <c r="K791" t="s">
        <v>41</v>
      </c>
      <c r="L791" t="s">
        <v>421</v>
      </c>
      <c r="M791" t="s">
        <v>4244</v>
      </c>
      <c r="N791" t="s">
        <v>516</v>
      </c>
      <c r="O791" t="s">
        <v>64</v>
      </c>
      <c r="P791" t="s">
        <v>4245</v>
      </c>
      <c r="Q791" t="s">
        <v>50</v>
      </c>
      <c r="R791" t="s">
        <v>4246</v>
      </c>
      <c r="S791">
        <v>6.58</v>
      </c>
      <c r="T791">
        <v>10099</v>
      </c>
      <c r="U791">
        <v>0</v>
      </c>
      <c r="V791">
        <v>10099</v>
      </c>
    </row>
    <row r="792" spans="1:22" x14ac:dyDescent="0.3">
      <c r="A792">
        <v>80147</v>
      </c>
      <c r="B792">
        <v>138475499</v>
      </c>
      <c r="C792" t="s">
        <v>4247</v>
      </c>
      <c r="D792" t="s">
        <v>4248</v>
      </c>
      <c r="E792" t="s">
        <v>4105</v>
      </c>
      <c r="F792" t="s">
        <v>514</v>
      </c>
      <c r="G792" t="s">
        <v>43</v>
      </c>
      <c r="H792" t="s">
        <v>44</v>
      </c>
      <c r="I792" t="s">
        <v>34</v>
      </c>
      <c r="J792" t="s">
        <v>45</v>
      </c>
      <c r="K792" t="s">
        <v>41</v>
      </c>
      <c r="L792" t="s">
        <v>4249</v>
      </c>
      <c r="M792" t="s">
        <v>4250</v>
      </c>
      <c r="N792" t="s">
        <v>516</v>
      </c>
      <c r="O792" t="s">
        <v>64</v>
      </c>
      <c r="P792" t="s">
        <v>4251</v>
      </c>
      <c r="Q792" t="s">
        <v>49</v>
      </c>
      <c r="R792" t="s">
        <v>415</v>
      </c>
      <c r="S792">
        <v>0.9</v>
      </c>
      <c r="T792">
        <v>3642</v>
      </c>
      <c r="U792">
        <v>0</v>
      </c>
      <c r="V792">
        <v>3642</v>
      </c>
    </row>
    <row r="793" spans="1:22" x14ac:dyDescent="0.3">
      <c r="A793">
        <v>80147</v>
      </c>
      <c r="B793">
        <v>138411003</v>
      </c>
      <c r="C793" t="s">
        <v>4252</v>
      </c>
      <c r="D793" t="s">
        <v>4253</v>
      </c>
      <c r="E793" t="s">
        <v>4105</v>
      </c>
      <c r="F793" t="s">
        <v>514</v>
      </c>
      <c r="G793" t="s">
        <v>43</v>
      </c>
      <c r="H793" t="s">
        <v>44</v>
      </c>
      <c r="I793" t="s">
        <v>34</v>
      </c>
      <c r="J793" t="s">
        <v>45</v>
      </c>
      <c r="K793" t="s">
        <v>41</v>
      </c>
      <c r="L793" t="s">
        <v>4254</v>
      </c>
      <c r="M793" t="s">
        <v>4255</v>
      </c>
      <c r="N793" t="s">
        <v>516</v>
      </c>
      <c r="O793" t="s">
        <v>64</v>
      </c>
      <c r="P793" t="s">
        <v>4256</v>
      </c>
      <c r="Q793" t="s">
        <v>50</v>
      </c>
      <c r="R793" t="s">
        <v>4246</v>
      </c>
      <c r="S793">
        <v>6.88</v>
      </c>
      <c r="T793">
        <v>10099</v>
      </c>
      <c r="U793">
        <v>0</v>
      </c>
      <c r="V793">
        <v>10099</v>
      </c>
    </row>
    <row r="794" spans="1:22" x14ac:dyDescent="0.3">
      <c r="A794">
        <v>80147</v>
      </c>
      <c r="B794">
        <v>138475518</v>
      </c>
      <c r="C794" t="s">
        <v>4257</v>
      </c>
      <c r="D794" t="s">
        <v>4258</v>
      </c>
      <c r="E794" t="s">
        <v>4105</v>
      </c>
      <c r="F794" t="s">
        <v>514</v>
      </c>
      <c r="G794" t="s">
        <v>43</v>
      </c>
      <c r="H794" t="s">
        <v>44</v>
      </c>
      <c r="I794" t="s">
        <v>34</v>
      </c>
      <c r="J794" t="s">
        <v>45</v>
      </c>
      <c r="K794" t="s">
        <v>41</v>
      </c>
      <c r="L794" t="s">
        <v>4259</v>
      </c>
      <c r="M794" t="s">
        <v>4260</v>
      </c>
      <c r="N794" t="s">
        <v>516</v>
      </c>
      <c r="O794" t="s">
        <v>64</v>
      </c>
      <c r="P794" t="s">
        <v>4261</v>
      </c>
      <c r="Q794" t="s">
        <v>112</v>
      </c>
      <c r="R794" t="s">
        <v>415</v>
      </c>
      <c r="S794">
        <v>1</v>
      </c>
      <c r="T794">
        <v>3501</v>
      </c>
      <c r="U794">
        <v>0</v>
      </c>
      <c r="V794">
        <v>3501</v>
      </c>
    </row>
    <row r="795" spans="1:22" x14ac:dyDescent="0.3">
      <c r="A795">
        <v>80147</v>
      </c>
      <c r="B795">
        <v>138410988</v>
      </c>
      <c r="C795" t="s">
        <v>4262</v>
      </c>
      <c r="D795" t="s">
        <v>4263</v>
      </c>
      <c r="E795" t="s">
        <v>4105</v>
      </c>
      <c r="F795" t="s">
        <v>514</v>
      </c>
      <c r="G795" t="s">
        <v>43</v>
      </c>
      <c r="H795" t="s">
        <v>44</v>
      </c>
      <c r="I795" t="s">
        <v>34</v>
      </c>
      <c r="J795" t="s">
        <v>45</v>
      </c>
      <c r="K795" t="s">
        <v>41</v>
      </c>
      <c r="L795" t="s">
        <v>4264</v>
      </c>
      <c r="M795" t="s">
        <v>4265</v>
      </c>
      <c r="N795" t="s">
        <v>516</v>
      </c>
      <c r="O795" t="s">
        <v>64</v>
      </c>
      <c r="P795" t="s">
        <v>4266</v>
      </c>
      <c r="Q795" t="s">
        <v>47</v>
      </c>
      <c r="R795" t="s">
        <v>4246</v>
      </c>
      <c r="S795">
        <v>1</v>
      </c>
      <c r="T795">
        <v>4230</v>
      </c>
      <c r="U795">
        <v>0</v>
      </c>
      <c r="V795">
        <v>4230</v>
      </c>
    </row>
    <row r="796" spans="1:22" x14ac:dyDescent="0.3">
      <c r="A796">
        <v>80147</v>
      </c>
      <c r="B796">
        <v>138410981</v>
      </c>
      <c r="C796" t="s">
        <v>4267</v>
      </c>
      <c r="D796" t="s">
        <v>4268</v>
      </c>
      <c r="E796" t="s">
        <v>4105</v>
      </c>
      <c r="F796" t="s">
        <v>514</v>
      </c>
      <c r="G796" t="s">
        <v>43</v>
      </c>
      <c r="H796" t="s">
        <v>44</v>
      </c>
      <c r="I796" t="s">
        <v>34</v>
      </c>
      <c r="J796" t="s">
        <v>45</v>
      </c>
      <c r="K796" t="s">
        <v>41</v>
      </c>
      <c r="L796" t="s">
        <v>4269</v>
      </c>
      <c r="M796" t="s">
        <v>4270</v>
      </c>
      <c r="N796" t="s">
        <v>516</v>
      </c>
      <c r="O796" t="s">
        <v>64</v>
      </c>
      <c r="P796" t="s">
        <v>4271</v>
      </c>
      <c r="Q796" t="s">
        <v>118</v>
      </c>
      <c r="R796" t="s">
        <v>4246</v>
      </c>
      <c r="S796">
        <v>1</v>
      </c>
      <c r="T796">
        <v>4230</v>
      </c>
      <c r="U796">
        <v>0</v>
      </c>
      <c r="V796">
        <v>4230</v>
      </c>
    </row>
    <row r="797" spans="1:22" x14ac:dyDescent="0.3">
      <c r="A797">
        <v>80147</v>
      </c>
      <c r="B797">
        <v>138383332</v>
      </c>
      <c r="C797" t="s">
        <v>4272</v>
      </c>
      <c r="D797" t="s">
        <v>4273</v>
      </c>
      <c r="E797" t="s">
        <v>4105</v>
      </c>
      <c r="F797" t="s">
        <v>514</v>
      </c>
      <c r="G797" t="s">
        <v>43</v>
      </c>
      <c r="H797" t="s">
        <v>44</v>
      </c>
      <c r="I797" t="s">
        <v>34</v>
      </c>
      <c r="J797" t="s">
        <v>45</v>
      </c>
      <c r="K797" t="s">
        <v>41</v>
      </c>
      <c r="L797" t="s">
        <v>4274</v>
      </c>
      <c r="M797" t="s">
        <v>4275</v>
      </c>
      <c r="N797" t="s">
        <v>516</v>
      </c>
      <c r="O797" t="s">
        <v>64</v>
      </c>
      <c r="P797" t="s">
        <v>4276</v>
      </c>
      <c r="Q797" t="s">
        <v>97</v>
      </c>
      <c r="R797" t="s">
        <v>4223</v>
      </c>
      <c r="S797">
        <v>12.2</v>
      </c>
      <c r="T797">
        <v>8939</v>
      </c>
      <c r="U797">
        <v>0</v>
      </c>
      <c r="V797">
        <v>8939</v>
      </c>
    </row>
    <row r="798" spans="1:22" x14ac:dyDescent="0.3">
      <c r="A798">
        <v>80147</v>
      </c>
      <c r="B798">
        <v>138411000</v>
      </c>
      <c r="C798" t="s">
        <v>4277</v>
      </c>
      <c r="D798" t="s">
        <v>4278</v>
      </c>
      <c r="E798" t="s">
        <v>4105</v>
      </c>
      <c r="F798" t="s">
        <v>514</v>
      </c>
      <c r="G798" t="s">
        <v>43</v>
      </c>
      <c r="H798" t="s">
        <v>44</v>
      </c>
      <c r="I798" t="s">
        <v>34</v>
      </c>
      <c r="J798" t="s">
        <v>45</v>
      </c>
      <c r="K798" t="s">
        <v>41</v>
      </c>
      <c r="L798" t="s">
        <v>4279</v>
      </c>
      <c r="M798" t="s">
        <v>4280</v>
      </c>
      <c r="N798" t="s">
        <v>516</v>
      </c>
      <c r="O798" t="s">
        <v>64</v>
      </c>
      <c r="P798" t="s">
        <v>4281</v>
      </c>
      <c r="Q798" t="s">
        <v>47</v>
      </c>
      <c r="R798" t="s">
        <v>4246</v>
      </c>
      <c r="S798">
        <v>1</v>
      </c>
      <c r="T798">
        <v>4230</v>
      </c>
      <c r="U798">
        <v>0</v>
      </c>
      <c r="V798">
        <v>4230</v>
      </c>
    </row>
    <row r="799" spans="1:22" x14ac:dyDescent="0.3">
      <c r="A799">
        <v>80147</v>
      </c>
      <c r="B799">
        <v>138410997</v>
      </c>
      <c r="C799" t="s">
        <v>4282</v>
      </c>
      <c r="D799" t="s">
        <v>4283</v>
      </c>
      <c r="E799" t="s">
        <v>4105</v>
      </c>
      <c r="F799" t="s">
        <v>514</v>
      </c>
      <c r="G799" t="s">
        <v>43</v>
      </c>
      <c r="H799" t="s">
        <v>44</v>
      </c>
      <c r="I799" t="s">
        <v>34</v>
      </c>
      <c r="J799" t="s">
        <v>45</v>
      </c>
      <c r="K799" t="s">
        <v>41</v>
      </c>
      <c r="L799" t="s">
        <v>4284</v>
      </c>
      <c r="M799" t="s">
        <v>4285</v>
      </c>
      <c r="N799" t="s">
        <v>516</v>
      </c>
      <c r="O799" t="s">
        <v>64</v>
      </c>
      <c r="P799" t="s">
        <v>4286</v>
      </c>
      <c r="Q799" t="s">
        <v>48</v>
      </c>
      <c r="R799" t="s">
        <v>4246</v>
      </c>
      <c r="S799">
        <v>6.38</v>
      </c>
      <c r="T799">
        <v>6582</v>
      </c>
      <c r="U799">
        <v>0</v>
      </c>
      <c r="V799">
        <v>6582</v>
      </c>
    </row>
    <row r="800" spans="1:22" x14ac:dyDescent="0.3">
      <c r="A800">
        <v>80147</v>
      </c>
      <c r="B800">
        <v>138383329</v>
      </c>
      <c r="C800" t="s">
        <v>4287</v>
      </c>
      <c r="D800" t="s">
        <v>4288</v>
      </c>
      <c r="E800" t="s">
        <v>4105</v>
      </c>
      <c r="F800" t="s">
        <v>514</v>
      </c>
      <c r="G800" t="s">
        <v>43</v>
      </c>
      <c r="H800" t="s">
        <v>44</v>
      </c>
      <c r="I800" t="s">
        <v>34</v>
      </c>
      <c r="J800" t="s">
        <v>45</v>
      </c>
      <c r="K800" t="s">
        <v>41</v>
      </c>
      <c r="L800" t="s">
        <v>4289</v>
      </c>
      <c r="M800" t="s">
        <v>4290</v>
      </c>
      <c r="N800" t="s">
        <v>516</v>
      </c>
      <c r="O800" t="s">
        <v>64</v>
      </c>
      <c r="P800" t="s">
        <v>4291</v>
      </c>
      <c r="Q800" t="s">
        <v>73</v>
      </c>
      <c r="R800" t="s">
        <v>4223</v>
      </c>
      <c r="S800">
        <v>1</v>
      </c>
      <c r="T800">
        <v>3904</v>
      </c>
      <c r="U800">
        <v>0</v>
      </c>
      <c r="V800">
        <v>3904</v>
      </c>
    </row>
    <row r="801" spans="1:22" x14ac:dyDescent="0.3">
      <c r="A801">
        <v>80147</v>
      </c>
      <c r="B801">
        <v>138410987</v>
      </c>
      <c r="C801" t="s">
        <v>4292</v>
      </c>
      <c r="D801" t="s">
        <v>4293</v>
      </c>
      <c r="E801" t="s">
        <v>4105</v>
      </c>
      <c r="F801" t="s">
        <v>514</v>
      </c>
      <c r="G801" t="s">
        <v>43</v>
      </c>
      <c r="H801" t="s">
        <v>44</v>
      </c>
      <c r="I801" t="s">
        <v>34</v>
      </c>
      <c r="J801" t="s">
        <v>45</v>
      </c>
      <c r="K801" t="s">
        <v>41</v>
      </c>
      <c r="L801" t="s">
        <v>4294</v>
      </c>
      <c r="M801" t="s">
        <v>4295</v>
      </c>
      <c r="N801" t="s">
        <v>516</v>
      </c>
      <c r="O801" t="s">
        <v>64</v>
      </c>
      <c r="P801" t="s">
        <v>4296</v>
      </c>
      <c r="Q801" t="s">
        <v>90</v>
      </c>
      <c r="R801" t="s">
        <v>4246</v>
      </c>
      <c r="S801">
        <v>1</v>
      </c>
      <c r="T801">
        <v>3904</v>
      </c>
      <c r="U801">
        <v>0</v>
      </c>
      <c r="V801">
        <v>3904</v>
      </c>
    </row>
    <row r="802" spans="1:22" x14ac:dyDescent="0.3">
      <c r="A802">
        <v>80147</v>
      </c>
      <c r="B802">
        <v>138410984</v>
      </c>
      <c r="C802" t="s">
        <v>4297</v>
      </c>
      <c r="D802" t="s">
        <v>4298</v>
      </c>
      <c r="E802" t="s">
        <v>4105</v>
      </c>
      <c r="F802" t="s">
        <v>514</v>
      </c>
      <c r="G802" t="s">
        <v>43</v>
      </c>
      <c r="H802" t="s">
        <v>44</v>
      </c>
      <c r="I802" t="s">
        <v>34</v>
      </c>
      <c r="J802" t="s">
        <v>45</v>
      </c>
      <c r="K802" t="s">
        <v>41</v>
      </c>
      <c r="L802" t="s">
        <v>4299</v>
      </c>
      <c r="M802" t="s">
        <v>4300</v>
      </c>
      <c r="N802" t="s">
        <v>516</v>
      </c>
      <c r="O802" t="s">
        <v>64</v>
      </c>
      <c r="P802" t="s">
        <v>4301</v>
      </c>
      <c r="Q802" t="s">
        <v>81</v>
      </c>
      <c r="R802" t="s">
        <v>4246</v>
      </c>
      <c r="S802">
        <v>1.1499999999999999</v>
      </c>
      <c r="T802">
        <v>3501</v>
      </c>
      <c r="U802">
        <v>0</v>
      </c>
      <c r="V802">
        <v>3501</v>
      </c>
    </row>
    <row r="803" spans="1:22" x14ac:dyDescent="0.3">
      <c r="A803">
        <v>80147</v>
      </c>
      <c r="B803">
        <v>138338212</v>
      </c>
      <c r="C803" t="s">
        <v>4302</v>
      </c>
      <c r="D803" t="s">
        <v>4303</v>
      </c>
      <c r="E803" t="s">
        <v>4105</v>
      </c>
      <c r="F803" t="s">
        <v>514</v>
      </c>
      <c r="G803" t="s">
        <v>43</v>
      </c>
      <c r="H803" t="s">
        <v>44</v>
      </c>
      <c r="I803" t="s">
        <v>34</v>
      </c>
      <c r="J803" t="s">
        <v>45</v>
      </c>
      <c r="K803" t="s">
        <v>41</v>
      </c>
      <c r="L803" t="s">
        <v>4304</v>
      </c>
      <c r="M803" t="s">
        <v>330</v>
      </c>
      <c r="N803" t="s">
        <v>516</v>
      </c>
      <c r="O803" t="s">
        <v>64</v>
      </c>
      <c r="P803" t="s">
        <v>4305</v>
      </c>
      <c r="Q803" t="s">
        <v>179</v>
      </c>
      <c r="R803" t="s">
        <v>4306</v>
      </c>
      <c r="S803">
        <v>1.86</v>
      </c>
      <c r="T803">
        <v>4732</v>
      </c>
      <c r="U803">
        <v>0</v>
      </c>
      <c r="V803">
        <v>4732</v>
      </c>
    </row>
    <row r="804" spans="1:22" x14ac:dyDescent="0.3">
      <c r="A804">
        <v>80147</v>
      </c>
      <c r="B804">
        <v>138338213</v>
      </c>
      <c r="C804" t="s">
        <v>4307</v>
      </c>
      <c r="D804" t="s">
        <v>4308</v>
      </c>
      <c r="E804" t="s">
        <v>4105</v>
      </c>
      <c r="F804" t="s">
        <v>514</v>
      </c>
      <c r="G804" t="s">
        <v>43</v>
      </c>
      <c r="H804" t="s">
        <v>44</v>
      </c>
      <c r="I804" t="s">
        <v>34</v>
      </c>
      <c r="J804" t="s">
        <v>45</v>
      </c>
      <c r="K804" t="s">
        <v>41</v>
      </c>
      <c r="L804" t="s">
        <v>4309</v>
      </c>
      <c r="M804" t="s">
        <v>4310</v>
      </c>
      <c r="N804" t="s">
        <v>516</v>
      </c>
      <c r="O804" t="s">
        <v>64</v>
      </c>
      <c r="P804" t="s">
        <v>4311</v>
      </c>
      <c r="Q804" t="s">
        <v>67</v>
      </c>
      <c r="R804" t="s">
        <v>4306</v>
      </c>
      <c r="S804">
        <v>6.14</v>
      </c>
      <c r="T804">
        <v>5696</v>
      </c>
      <c r="U804">
        <v>0</v>
      </c>
      <c r="V804">
        <v>5696</v>
      </c>
    </row>
    <row r="805" spans="1:22" x14ac:dyDescent="0.3">
      <c r="A805">
        <v>80147</v>
      </c>
      <c r="B805">
        <v>138298728</v>
      </c>
      <c r="C805" t="s">
        <v>4312</v>
      </c>
      <c r="D805" t="s">
        <v>4313</v>
      </c>
      <c r="E805" t="s">
        <v>4105</v>
      </c>
      <c r="F805" t="s">
        <v>514</v>
      </c>
      <c r="G805" t="s">
        <v>43</v>
      </c>
      <c r="H805" t="s">
        <v>44</v>
      </c>
      <c r="I805" t="s">
        <v>34</v>
      </c>
      <c r="J805" t="s">
        <v>45</v>
      </c>
      <c r="K805" t="s">
        <v>41</v>
      </c>
      <c r="L805" t="s">
        <v>4314</v>
      </c>
      <c r="M805" t="s">
        <v>4315</v>
      </c>
      <c r="N805" t="s">
        <v>516</v>
      </c>
      <c r="O805" t="s">
        <v>64</v>
      </c>
      <c r="P805" t="s">
        <v>4316</v>
      </c>
      <c r="Q805" t="s">
        <v>111</v>
      </c>
      <c r="R805" t="s">
        <v>4317</v>
      </c>
      <c r="S805">
        <v>6.32</v>
      </c>
      <c r="T805">
        <v>10985</v>
      </c>
      <c r="U805">
        <v>0</v>
      </c>
      <c r="V805">
        <v>10985</v>
      </c>
    </row>
    <row r="806" spans="1:22" x14ac:dyDescent="0.3">
      <c r="A806">
        <v>80147</v>
      </c>
      <c r="B806">
        <v>138354963</v>
      </c>
      <c r="C806" t="s">
        <v>4318</v>
      </c>
      <c r="D806" t="s">
        <v>4319</v>
      </c>
      <c r="E806" t="s">
        <v>4105</v>
      </c>
      <c r="F806" t="s">
        <v>514</v>
      </c>
      <c r="G806" t="s">
        <v>43</v>
      </c>
      <c r="H806" t="s">
        <v>44</v>
      </c>
      <c r="I806" t="s">
        <v>34</v>
      </c>
      <c r="J806" t="s">
        <v>45</v>
      </c>
      <c r="K806" t="s">
        <v>41</v>
      </c>
      <c r="L806" t="s">
        <v>4320</v>
      </c>
      <c r="M806" t="s">
        <v>4321</v>
      </c>
      <c r="N806" t="s">
        <v>516</v>
      </c>
      <c r="O806" t="s">
        <v>64</v>
      </c>
      <c r="P806" t="s">
        <v>4322</v>
      </c>
      <c r="Q806" t="s">
        <v>108</v>
      </c>
      <c r="R806" t="s">
        <v>363</v>
      </c>
      <c r="S806">
        <v>1</v>
      </c>
      <c r="T806">
        <v>3501</v>
      </c>
      <c r="U806">
        <v>0</v>
      </c>
      <c r="V806">
        <v>3501</v>
      </c>
    </row>
    <row r="807" spans="1:22" x14ac:dyDescent="0.3">
      <c r="A807">
        <v>80147</v>
      </c>
      <c r="B807">
        <v>138338216</v>
      </c>
      <c r="C807" t="s">
        <v>4323</v>
      </c>
      <c r="D807" t="s">
        <v>4324</v>
      </c>
      <c r="E807" t="s">
        <v>4105</v>
      </c>
      <c r="F807" t="s">
        <v>514</v>
      </c>
      <c r="G807" t="s">
        <v>43</v>
      </c>
      <c r="H807" t="s">
        <v>44</v>
      </c>
      <c r="I807" t="s">
        <v>34</v>
      </c>
      <c r="J807" t="s">
        <v>45</v>
      </c>
      <c r="K807" t="s">
        <v>41</v>
      </c>
      <c r="L807" t="s">
        <v>4325</v>
      </c>
      <c r="M807" t="s">
        <v>4326</v>
      </c>
      <c r="N807" t="s">
        <v>516</v>
      </c>
      <c r="O807" t="s">
        <v>64</v>
      </c>
      <c r="P807" t="s">
        <v>4327</v>
      </c>
      <c r="Q807" t="s">
        <v>62</v>
      </c>
      <c r="R807" t="s">
        <v>4306</v>
      </c>
      <c r="S807">
        <v>7.08</v>
      </c>
      <c r="T807">
        <v>5696</v>
      </c>
      <c r="U807">
        <v>0</v>
      </c>
      <c r="V807">
        <v>5696</v>
      </c>
    </row>
    <row r="808" spans="1:22" x14ac:dyDescent="0.3">
      <c r="A808">
        <v>80147</v>
      </c>
      <c r="B808">
        <v>138338214</v>
      </c>
      <c r="C808" t="s">
        <v>4328</v>
      </c>
      <c r="D808" t="s">
        <v>4329</v>
      </c>
      <c r="E808" t="s">
        <v>4105</v>
      </c>
      <c r="F808" t="s">
        <v>514</v>
      </c>
      <c r="G808" t="s">
        <v>43</v>
      </c>
      <c r="H808" t="s">
        <v>44</v>
      </c>
      <c r="I808" t="s">
        <v>34</v>
      </c>
      <c r="J808" t="s">
        <v>45</v>
      </c>
      <c r="K808" t="s">
        <v>41</v>
      </c>
      <c r="L808" t="s">
        <v>4330</v>
      </c>
      <c r="M808" t="s">
        <v>4331</v>
      </c>
      <c r="N808" t="s">
        <v>516</v>
      </c>
      <c r="O808" t="s">
        <v>64</v>
      </c>
      <c r="P808" t="s">
        <v>4332</v>
      </c>
      <c r="Q808" t="s">
        <v>48</v>
      </c>
      <c r="R808" t="s">
        <v>4306</v>
      </c>
      <c r="S808">
        <v>1.06</v>
      </c>
      <c r="T808">
        <v>4230</v>
      </c>
      <c r="U808">
        <v>0</v>
      </c>
      <c r="V808">
        <v>4230</v>
      </c>
    </row>
    <row r="809" spans="1:22" x14ac:dyDescent="0.3">
      <c r="A809">
        <v>80147</v>
      </c>
      <c r="B809">
        <v>138354962</v>
      </c>
      <c r="C809" t="s">
        <v>4333</v>
      </c>
      <c r="D809" t="s">
        <v>4334</v>
      </c>
      <c r="E809" t="s">
        <v>4105</v>
      </c>
      <c r="F809" t="s">
        <v>514</v>
      </c>
      <c r="G809" t="s">
        <v>43</v>
      </c>
      <c r="H809" t="s">
        <v>44</v>
      </c>
      <c r="I809" t="s">
        <v>34</v>
      </c>
      <c r="J809" t="s">
        <v>45</v>
      </c>
      <c r="K809" t="s">
        <v>41</v>
      </c>
      <c r="L809" t="s">
        <v>418</v>
      </c>
      <c r="M809" t="s">
        <v>4335</v>
      </c>
      <c r="N809" t="s">
        <v>516</v>
      </c>
      <c r="O809" t="s">
        <v>64</v>
      </c>
      <c r="P809" t="s">
        <v>4336</v>
      </c>
      <c r="Q809" t="s">
        <v>49</v>
      </c>
      <c r="R809" t="s">
        <v>363</v>
      </c>
      <c r="S809">
        <v>1</v>
      </c>
      <c r="T809">
        <v>3642</v>
      </c>
      <c r="U809">
        <v>0</v>
      </c>
      <c r="V809">
        <v>3642</v>
      </c>
    </row>
    <row r="810" spans="1:22" x14ac:dyDescent="0.3">
      <c r="A810">
        <v>80147</v>
      </c>
      <c r="B810">
        <v>138338218</v>
      </c>
      <c r="C810" t="s">
        <v>4337</v>
      </c>
      <c r="D810" t="s">
        <v>4338</v>
      </c>
      <c r="E810" t="s">
        <v>4105</v>
      </c>
      <c r="F810" t="s">
        <v>514</v>
      </c>
      <c r="G810" t="s">
        <v>43</v>
      </c>
      <c r="H810" t="s">
        <v>44</v>
      </c>
      <c r="I810" t="s">
        <v>34</v>
      </c>
      <c r="J810" t="s">
        <v>45</v>
      </c>
      <c r="K810" t="s">
        <v>41</v>
      </c>
      <c r="L810" t="s">
        <v>4339</v>
      </c>
      <c r="M810" t="s">
        <v>4340</v>
      </c>
      <c r="N810" t="s">
        <v>516</v>
      </c>
      <c r="O810" t="s">
        <v>64</v>
      </c>
      <c r="P810" t="s">
        <v>4341</v>
      </c>
      <c r="Q810" t="s">
        <v>61</v>
      </c>
      <c r="R810" t="s">
        <v>4306</v>
      </c>
      <c r="S810">
        <v>1.28</v>
      </c>
      <c r="T810">
        <v>3501</v>
      </c>
      <c r="U810">
        <v>0</v>
      </c>
      <c r="V810">
        <v>3501</v>
      </c>
    </row>
    <row r="811" spans="1:22" x14ac:dyDescent="0.3">
      <c r="A811">
        <v>80147</v>
      </c>
      <c r="B811">
        <v>138133172</v>
      </c>
      <c r="C811" t="s">
        <v>4342</v>
      </c>
      <c r="D811" t="s">
        <v>4343</v>
      </c>
      <c r="E811" t="s">
        <v>4105</v>
      </c>
      <c r="F811" t="s">
        <v>514</v>
      </c>
      <c r="G811" t="s">
        <v>43</v>
      </c>
      <c r="H811" t="s">
        <v>44</v>
      </c>
      <c r="I811" t="s">
        <v>34</v>
      </c>
      <c r="J811" t="s">
        <v>45</v>
      </c>
      <c r="K811" t="s">
        <v>41</v>
      </c>
      <c r="L811" t="s">
        <v>4344</v>
      </c>
      <c r="M811" t="s">
        <v>4345</v>
      </c>
      <c r="N811" t="s">
        <v>516</v>
      </c>
      <c r="O811" t="s">
        <v>64</v>
      </c>
      <c r="P811" t="s">
        <v>4346</v>
      </c>
      <c r="Q811" t="s">
        <v>61</v>
      </c>
      <c r="R811" t="s">
        <v>4347</v>
      </c>
      <c r="S811">
        <v>6.31</v>
      </c>
      <c r="T811">
        <v>5406</v>
      </c>
      <c r="U811">
        <v>0</v>
      </c>
      <c r="V811">
        <v>5406</v>
      </c>
    </row>
    <row r="812" spans="1:22" x14ac:dyDescent="0.3">
      <c r="A812">
        <v>80147</v>
      </c>
      <c r="B812">
        <v>138316750</v>
      </c>
      <c r="C812" t="s">
        <v>4348</v>
      </c>
      <c r="D812" t="s">
        <v>4349</v>
      </c>
      <c r="E812" t="s">
        <v>4105</v>
      </c>
      <c r="F812" t="s">
        <v>514</v>
      </c>
      <c r="G812" t="s">
        <v>43</v>
      </c>
      <c r="H812" t="s">
        <v>44</v>
      </c>
      <c r="I812" t="s">
        <v>34</v>
      </c>
      <c r="J812" t="s">
        <v>45</v>
      </c>
      <c r="K812" t="s">
        <v>41</v>
      </c>
      <c r="L812" t="s">
        <v>4350</v>
      </c>
      <c r="M812" t="s">
        <v>4351</v>
      </c>
      <c r="N812" t="s">
        <v>516</v>
      </c>
      <c r="O812" t="s">
        <v>64</v>
      </c>
      <c r="P812" t="s">
        <v>4352</v>
      </c>
      <c r="Q812" t="s">
        <v>61</v>
      </c>
      <c r="R812" t="s">
        <v>282</v>
      </c>
      <c r="S812">
        <v>8.0299999999999994</v>
      </c>
      <c r="T812">
        <v>5406</v>
      </c>
      <c r="U812">
        <v>0</v>
      </c>
      <c r="V812">
        <v>5406</v>
      </c>
    </row>
    <row r="813" spans="1:22" x14ac:dyDescent="0.3">
      <c r="A813">
        <v>80147</v>
      </c>
      <c r="B813">
        <v>138298714</v>
      </c>
      <c r="C813" t="s">
        <v>4353</v>
      </c>
      <c r="D813" t="s">
        <v>4354</v>
      </c>
      <c r="E813" t="s">
        <v>4105</v>
      </c>
      <c r="F813" t="s">
        <v>514</v>
      </c>
      <c r="G813" t="s">
        <v>43</v>
      </c>
      <c r="H813" t="s">
        <v>44</v>
      </c>
      <c r="I813" t="s">
        <v>34</v>
      </c>
      <c r="J813" t="s">
        <v>45</v>
      </c>
      <c r="K813" t="s">
        <v>41</v>
      </c>
      <c r="L813" t="s">
        <v>4355</v>
      </c>
      <c r="M813" t="s">
        <v>457</v>
      </c>
      <c r="N813" t="s">
        <v>516</v>
      </c>
      <c r="O813" t="s">
        <v>64</v>
      </c>
      <c r="P813" t="s">
        <v>4356</v>
      </c>
      <c r="Q813" t="s">
        <v>90</v>
      </c>
      <c r="R813" t="s">
        <v>4317</v>
      </c>
      <c r="S813">
        <v>1.69</v>
      </c>
      <c r="T813">
        <v>3904</v>
      </c>
      <c r="U813">
        <v>0</v>
      </c>
      <c r="V813">
        <v>3904</v>
      </c>
    </row>
    <row r="814" spans="1:22" x14ac:dyDescent="0.3">
      <c r="A814">
        <v>80147</v>
      </c>
      <c r="B814">
        <v>138275957</v>
      </c>
      <c r="C814" t="s">
        <v>4357</v>
      </c>
      <c r="D814" t="s">
        <v>4358</v>
      </c>
      <c r="E814" t="s">
        <v>4105</v>
      </c>
      <c r="F814" t="s">
        <v>514</v>
      </c>
      <c r="G814" t="s">
        <v>43</v>
      </c>
      <c r="H814" t="s">
        <v>44</v>
      </c>
      <c r="I814" t="s">
        <v>34</v>
      </c>
      <c r="J814" t="s">
        <v>45</v>
      </c>
      <c r="K814" t="s">
        <v>41</v>
      </c>
      <c r="L814" t="s">
        <v>4359</v>
      </c>
      <c r="M814" t="s">
        <v>4360</v>
      </c>
      <c r="N814" t="s">
        <v>516</v>
      </c>
      <c r="O814" t="s">
        <v>64</v>
      </c>
      <c r="P814" t="s">
        <v>4361</v>
      </c>
      <c r="Q814" t="s">
        <v>50</v>
      </c>
      <c r="R814" t="s">
        <v>4362</v>
      </c>
      <c r="S814">
        <v>1.74</v>
      </c>
      <c r="T814">
        <v>5406</v>
      </c>
      <c r="U814">
        <v>0</v>
      </c>
      <c r="V814">
        <v>5406</v>
      </c>
    </row>
    <row r="815" spans="1:22" x14ac:dyDescent="0.3">
      <c r="A815">
        <v>80147</v>
      </c>
      <c r="B815">
        <v>138232629</v>
      </c>
      <c r="C815" t="s">
        <v>4363</v>
      </c>
      <c r="D815" t="s">
        <v>4364</v>
      </c>
      <c r="E815" t="s">
        <v>4105</v>
      </c>
      <c r="F815" t="s">
        <v>514</v>
      </c>
      <c r="G815" t="s">
        <v>43</v>
      </c>
      <c r="H815" t="s">
        <v>44</v>
      </c>
      <c r="I815" t="s">
        <v>34</v>
      </c>
      <c r="J815" t="s">
        <v>45</v>
      </c>
      <c r="K815" t="s">
        <v>41</v>
      </c>
      <c r="L815" t="s">
        <v>4365</v>
      </c>
      <c r="M815" t="s">
        <v>4366</v>
      </c>
      <c r="N815" t="s">
        <v>516</v>
      </c>
      <c r="O815" t="s">
        <v>64</v>
      </c>
      <c r="P815" t="s">
        <v>4367</v>
      </c>
      <c r="Q815" t="s">
        <v>82</v>
      </c>
      <c r="R815" t="s">
        <v>4368</v>
      </c>
      <c r="S815">
        <v>1</v>
      </c>
      <c r="T815">
        <v>5990</v>
      </c>
      <c r="U815">
        <v>0</v>
      </c>
      <c r="V815">
        <v>5990</v>
      </c>
    </row>
    <row r="816" spans="1:22" x14ac:dyDescent="0.3">
      <c r="A816">
        <v>80147</v>
      </c>
      <c r="B816">
        <v>138169176</v>
      </c>
      <c r="C816" t="s">
        <v>4369</v>
      </c>
      <c r="D816" t="s">
        <v>4370</v>
      </c>
      <c r="E816" t="s">
        <v>4105</v>
      </c>
      <c r="F816" t="s">
        <v>514</v>
      </c>
      <c r="G816" t="s">
        <v>43</v>
      </c>
      <c r="H816" t="s">
        <v>44</v>
      </c>
      <c r="I816" t="s">
        <v>34</v>
      </c>
      <c r="J816" t="s">
        <v>45</v>
      </c>
      <c r="K816" t="s">
        <v>41</v>
      </c>
      <c r="L816" t="s">
        <v>4371</v>
      </c>
      <c r="M816" t="s">
        <v>4372</v>
      </c>
      <c r="N816" t="s">
        <v>516</v>
      </c>
      <c r="O816" t="s">
        <v>64</v>
      </c>
      <c r="P816" t="s">
        <v>4373</v>
      </c>
      <c r="Q816" t="s">
        <v>98</v>
      </c>
      <c r="R816" t="s">
        <v>4374</v>
      </c>
      <c r="S816">
        <v>6.17</v>
      </c>
      <c r="T816">
        <v>11275</v>
      </c>
      <c r="U816">
        <v>0</v>
      </c>
      <c r="V816">
        <v>11275</v>
      </c>
    </row>
    <row r="817" spans="1:22" x14ac:dyDescent="0.3">
      <c r="A817">
        <v>80147</v>
      </c>
      <c r="B817">
        <v>138141923</v>
      </c>
      <c r="C817" t="s">
        <v>4375</v>
      </c>
      <c r="D817" t="s">
        <v>4376</v>
      </c>
      <c r="E817" t="s">
        <v>4105</v>
      </c>
      <c r="F817" t="s">
        <v>514</v>
      </c>
      <c r="G817" t="s">
        <v>43</v>
      </c>
      <c r="H817" t="s">
        <v>44</v>
      </c>
      <c r="I817" t="s">
        <v>34</v>
      </c>
      <c r="J817" t="s">
        <v>45</v>
      </c>
      <c r="K817" t="s">
        <v>41</v>
      </c>
      <c r="L817" t="s">
        <v>4377</v>
      </c>
      <c r="M817" t="s">
        <v>4378</v>
      </c>
      <c r="N817" t="s">
        <v>516</v>
      </c>
      <c r="O817" t="s">
        <v>64</v>
      </c>
      <c r="P817" t="s">
        <v>4379</v>
      </c>
      <c r="Q817" t="s">
        <v>98</v>
      </c>
      <c r="R817" t="s">
        <v>4380</v>
      </c>
      <c r="S817">
        <v>7.73</v>
      </c>
      <c r="T817">
        <v>11275</v>
      </c>
      <c r="U817">
        <v>0</v>
      </c>
      <c r="V817">
        <v>11275</v>
      </c>
    </row>
    <row r="818" spans="1:22" x14ac:dyDescent="0.3">
      <c r="A818">
        <v>80147</v>
      </c>
      <c r="B818">
        <v>138257389</v>
      </c>
      <c r="C818" t="s">
        <v>4381</v>
      </c>
      <c r="D818" t="s">
        <v>4382</v>
      </c>
      <c r="E818" t="s">
        <v>4105</v>
      </c>
      <c r="F818" t="s">
        <v>514</v>
      </c>
      <c r="G818" t="s">
        <v>43</v>
      </c>
      <c r="H818" t="s">
        <v>44</v>
      </c>
      <c r="I818" t="s">
        <v>34</v>
      </c>
      <c r="J818" t="s">
        <v>45</v>
      </c>
      <c r="K818" t="s">
        <v>41</v>
      </c>
      <c r="L818" t="s">
        <v>4383</v>
      </c>
      <c r="M818" t="s">
        <v>4384</v>
      </c>
      <c r="N818" t="s">
        <v>516</v>
      </c>
      <c r="O818" t="s">
        <v>64</v>
      </c>
      <c r="P818" t="s">
        <v>4385</v>
      </c>
      <c r="Q818" t="s">
        <v>61</v>
      </c>
      <c r="R818" t="s">
        <v>4386</v>
      </c>
      <c r="S818">
        <v>3.3</v>
      </c>
      <c r="T818">
        <v>3949</v>
      </c>
      <c r="U818">
        <v>0</v>
      </c>
      <c r="V818">
        <v>3949</v>
      </c>
    </row>
    <row r="819" spans="1:22" x14ac:dyDescent="0.3">
      <c r="A819">
        <v>80147</v>
      </c>
      <c r="B819">
        <v>138275949</v>
      </c>
      <c r="C819" t="s">
        <v>4387</v>
      </c>
      <c r="D819" t="s">
        <v>4388</v>
      </c>
      <c r="E819" t="s">
        <v>4105</v>
      </c>
      <c r="F819" t="s">
        <v>514</v>
      </c>
      <c r="G819" t="s">
        <v>43</v>
      </c>
      <c r="H819" t="s">
        <v>44</v>
      </c>
      <c r="I819" t="s">
        <v>34</v>
      </c>
      <c r="J819" t="s">
        <v>45</v>
      </c>
      <c r="K819" t="s">
        <v>41</v>
      </c>
      <c r="L819" t="s">
        <v>4389</v>
      </c>
      <c r="M819" t="s">
        <v>4390</v>
      </c>
      <c r="N819" t="s">
        <v>516</v>
      </c>
      <c r="O819" t="s">
        <v>64</v>
      </c>
      <c r="P819" t="s">
        <v>4391</v>
      </c>
      <c r="Q819" t="s">
        <v>73</v>
      </c>
      <c r="R819" t="s">
        <v>4362</v>
      </c>
      <c r="S819">
        <v>6.48</v>
      </c>
      <c r="T819">
        <v>5990</v>
      </c>
      <c r="U819">
        <v>0</v>
      </c>
      <c r="V819">
        <v>5990</v>
      </c>
    </row>
    <row r="820" spans="1:22" x14ac:dyDescent="0.3">
      <c r="A820">
        <v>80147</v>
      </c>
      <c r="B820">
        <v>138257394</v>
      </c>
      <c r="C820" t="s">
        <v>4392</v>
      </c>
      <c r="D820" t="s">
        <v>4393</v>
      </c>
      <c r="E820" t="s">
        <v>4105</v>
      </c>
      <c r="F820" t="s">
        <v>514</v>
      </c>
      <c r="G820" t="s">
        <v>43</v>
      </c>
      <c r="H820" t="s">
        <v>44</v>
      </c>
      <c r="I820" t="s">
        <v>34</v>
      </c>
      <c r="J820" t="s">
        <v>45</v>
      </c>
      <c r="K820" t="s">
        <v>41</v>
      </c>
      <c r="L820" t="s">
        <v>303</v>
      </c>
      <c r="M820" t="s">
        <v>4394</v>
      </c>
      <c r="N820" t="s">
        <v>516</v>
      </c>
      <c r="O820" t="s">
        <v>64</v>
      </c>
      <c r="P820" t="s">
        <v>4395</v>
      </c>
      <c r="Q820" t="s">
        <v>63</v>
      </c>
      <c r="R820" t="s">
        <v>4386</v>
      </c>
      <c r="S820">
        <v>1</v>
      </c>
      <c r="T820">
        <v>3501</v>
      </c>
      <c r="U820">
        <v>0</v>
      </c>
      <c r="V820">
        <v>3501</v>
      </c>
    </row>
    <row r="821" spans="1:22" x14ac:dyDescent="0.3">
      <c r="A821">
        <v>80147</v>
      </c>
      <c r="B821">
        <v>138257388</v>
      </c>
      <c r="C821" t="s">
        <v>4396</v>
      </c>
      <c r="D821" t="s">
        <v>4397</v>
      </c>
      <c r="E821" t="s">
        <v>4105</v>
      </c>
      <c r="F821" t="s">
        <v>514</v>
      </c>
      <c r="G821" t="s">
        <v>43</v>
      </c>
      <c r="H821" t="s">
        <v>44</v>
      </c>
      <c r="I821" t="s">
        <v>34</v>
      </c>
      <c r="J821" t="s">
        <v>45</v>
      </c>
      <c r="K821" t="s">
        <v>41</v>
      </c>
      <c r="L821" t="s">
        <v>4398</v>
      </c>
      <c r="M821" t="s">
        <v>4399</v>
      </c>
      <c r="N821" t="s">
        <v>516</v>
      </c>
      <c r="O821" t="s">
        <v>64</v>
      </c>
      <c r="P821" t="s">
        <v>4400</v>
      </c>
      <c r="Q821" t="s">
        <v>87</v>
      </c>
      <c r="R821" t="s">
        <v>4386</v>
      </c>
      <c r="S821">
        <v>1</v>
      </c>
      <c r="T821">
        <v>4025</v>
      </c>
      <c r="U821">
        <v>0</v>
      </c>
      <c r="V821">
        <v>4025</v>
      </c>
    </row>
    <row r="822" spans="1:22" x14ac:dyDescent="0.3">
      <c r="A822">
        <v>80147</v>
      </c>
      <c r="B822">
        <v>138212034</v>
      </c>
      <c r="C822" t="s">
        <v>4401</v>
      </c>
      <c r="D822" t="s">
        <v>4402</v>
      </c>
      <c r="E822" t="s">
        <v>4105</v>
      </c>
      <c r="F822" t="s">
        <v>514</v>
      </c>
      <c r="G822" t="s">
        <v>43</v>
      </c>
      <c r="H822" t="s">
        <v>44</v>
      </c>
      <c r="I822" t="s">
        <v>34</v>
      </c>
      <c r="J822" t="s">
        <v>45</v>
      </c>
      <c r="K822" t="s">
        <v>41</v>
      </c>
      <c r="L822" t="s">
        <v>4403</v>
      </c>
      <c r="M822" t="s">
        <v>4404</v>
      </c>
      <c r="N822" t="s">
        <v>516</v>
      </c>
      <c r="O822" t="s">
        <v>64</v>
      </c>
      <c r="P822" t="s">
        <v>4405</v>
      </c>
      <c r="Q822" t="s">
        <v>62</v>
      </c>
      <c r="R822" t="s">
        <v>4406</v>
      </c>
      <c r="S822">
        <v>0.9</v>
      </c>
      <c r="T822">
        <v>3936</v>
      </c>
      <c r="U822">
        <v>0</v>
      </c>
      <c r="V822">
        <v>3936</v>
      </c>
    </row>
    <row r="823" spans="1:22" x14ac:dyDescent="0.3">
      <c r="A823">
        <v>80147</v>
      </c>
      <c r="B823">
        <v>138232619</v>
      </c>
      <c r="C823" t="s">
        <v>4407</v>
      </c>
      <c r="D823" t="s">
        <v>4408</v>
      </c>
      <c r="E823" t="s">
        <v>4105</v>
      </c>
      <c r="F823" t="s">
        <v>514</v>
      </c>
      <c r="G823" t="s">
        <v>43</v>
      </c>
      <c r="H823" t="s">
        <v>44</v>
      </c>
      <c r="I823" t="s">
        <v>34</v>
      </c>
      <c r="J823" t="s">
        <v>45</v>
      </c>
      <c r="K823" t="s">
        <v>41</v>
      </c>
      <c r="L823" t="s">
        <v>4409</v>
      </c>
      <c r="M823" t="s">
        <v>4410</v>
      </c>
      <c r="N823" t="s">
        <v>516</v>
      </c>
      <c r="O823" t="s">
        <v>64</v>
      </c>
      <c r="P823" t="s">
        <v>4411</v>
      </c>
      <c r="Q823" t="s">
        <v>126</v>
      </c>
      <c r="R823" t="s">
        <v>4368</v>
      </c>
      <c r="S823">
        <v>3.08</v>
      </c>
      <c r="T823">
        <v>3949</v>
      </c>
      <c r="U823">
        <v>0</v>
      </c>
      <c r="V823">
        <v>3949</v>
      </c>
    </row>
    <row r="824" spans="1:22" x14ac:dyDescent="0.3">
      <c r="A824">
        <v>80147</v>
      </c>
      <c r="B824">
        <v>138232633</v>
      </c>
      <c r="C824" t="s">
        <v>4412</v>
      </c>
      <c r="D824" t="s">
        <v>4413</v>
      </c>
      <c r="E824" t="s">
        <v>4105</v>
      </c>
      <c r="F824" t="s">
        <v>514</v>
      </c>
      <c r="G824" t="s">
        <v>43</v>
      </c>
      <c r="H824" t="s">
        <v>44</v>
      </c>
      <c r="I824" t="s">
        <v>34</v>
      </c>
      <c r="J824" t="s">
        <v>45</v>
      </c>
      <c r="K824" t="s">
        <v>41</v>
      </c>
      <c r="L824" t="s">
        <v>4414</v>
      </c>
      <c r="M824" t="s">
        <v>4415</v>
      </c>
      <c r="N824" t="s">
        <v>516</v>
      </c>
      <c r="O824" t="s">
        <v>64</v>
      </c>
      <c r="P824" t="s">
        <v>4416</v>
      </c>
      <c r="Q824" t="s">
        <v>59</v>
      </c>
      <c r="R824" t="s">
        <v>4368</v>
      </c>
      <c r="S824">
        <v>1</v>
      </c>
      <c r="T824">
        <v>3501</v>
      </c>
      <c r="U824">
        <v>0</v>
      </c>
      <c r="V824">
        <v>3501</v>
      </c>
    </row>
    <row r="825" spans="1:22" x14ac:dyDescent="0.3">
      <c r="A825">
        <v>80147</v>
      </c>
      <c r="B825">
        <v>137669796</v>
      </c>
      <c r="C825" t="s">
        <v>4417</v>
      </c>
      <c r="D825" t="s">
        <v>4418</v>
      </c>
      <c r="E825" t="s">
        <v>4105</v>
      </c>
      <c r="F825" t="s">
        <v>514</v>
      </c>
      <c r="G825" t="s">
        <v>43</v>
      </c>
      <c r="H825" t="s">
        <v>44</v>
      </c>
      <c r="I825" t="s">
        <v>34</v>
      </c>
      <c r="J825" t="s">
        <v>45</v>
      </c>
      <c r="K825" t="s">
        <v>41</v>
      </c>
      <c r="L825" t="s">
        <v>4419</v>
      </c>
      <c r="M825" t="s">
        <v>4420</v>
      </c>
      <c r="N825" t="s">
        <v>516</v>
      </c>
      <c r="O825" t="s">
        <v>64</v>
      </c>
      <c r="P825" t="s">
        <v>4421</v>
      </c>
      <c r="Q825" t="s">
        <v>86</v>
      </c>
      <c r="R825" t="s">
        <v>4422</v>
      </c>
      <c r="S825">
        <v>1</v>
      </c>
      <c r="T825">
        <v>12411</v>
      </c>
      <c r="U825">
        <v>0</v>
      </c>
      <c r="V825">
        <v>12411</v>
      </c>
    </row>
    <row r="826" spans="1:22" x14ac:dyDescent="0.3">
      <c r="A826">
        <v>80147</v>
      </c>
      <c r="B826">
        <v>138188841</v>
      </c>
      <c r="C826" t="s">
        <v>4423</v>
      </c>
      <c r="D826" t="s">
        <v>4424</v>
      </c>
      <c r="E826" t="s">
        <v>4105</v>
      </c>
      <c r="F826" t="s">
        <v>514</v>
      </c>
      <c r="G826" t="s">
        <v>43</v>
      </c>
      <c r="H826" t="s">
        <v>44</v>
      </c>
      <c r="I826" t="s">
        <v>34</v>
      </c>
      <c r="J826" t="s">
        <v>45</v>
      </c>
      <c r="K826" t="s">
        <v>41</v>
      </c>
      <c r="L826" t="s">
        <v>4425</v>
      </c>
      <c r="M826" t="s">
        <v>407</v>
      </c>
      <c r="N826" t="s">
        <v>516</v>
      </c>
      <c r="O826" t="s">
        <v>64</v>
      </c>
      <c r="P826" t="s">
        <v>4426</v>
      </c>
      <c r="Q826" t="s">
        <v>50</v>
      </c>
      <c r="R826" t="s">
        <v>4427</v>
      </c>
      <c r="S826">
        <v>0.9</v>
      </c>
      <c r="T826">
        <v>5406</v>
      </c>
      <c r="U826">
        <v>0</v>
      </c>
      <c r="V826">
        <v>5406</v>
      </c>
    </row>
    <row r="827" spans="1:22" x14ac:dyDescent="0.3">
      <c r="A827">
        <v>80147</v>
      </c>
      <c r="B827">
        <v>138212052</v>
      </c>
      <c r="C827" t="s">
        <v>4428</v>
      </c>
      <c r="D827" t="s">
        <v>4429</v>
      </c>
      <c r="E827" t="s">
        <v>4105</v>
      </c>
      <c r="F827" t="s">
        <v>514</v>
      </c>
      <c r="G827" t="s">
        <v>43</v>
      </c>
      <c r="H827" t="s">
        <v>44</v>
      </c>
      <c r="I827" t="s">
        <v>34</v>
      </c>
      <c r="J827" t="s">
        <v>45</v>
      </c>
      <c r="K827" t="s">
        <v>41</v>
      </c>
      <c r="L827" t="s">
        <v>4430</v>
      </c>
      <c r="M827" t="s">
        <v>4431</v>
      </c>
      <c r="N827" t="s">
        <v>516</v>
      </c>
      <c r="O827" t="s">
        <v>64</v>
      </c>
      <c r="P827" t="s">
        <v>4432</v>
      </c>
      <c r="Q827" t="s">
        <v>46</v>
      </c>
      <c r="R827" t="s">
        <v>4406</v>
      </c>
      <c r="S827">
        <v>1</v>
      </c>
      <c r="T827">
        <v>3501</v>
      </c>
      <c r="U827">
        <v>0</v>
      </c>
      <c r="V827">
        <v>3501</v>
      </c>
    </row>
    <row r="828" spans="1:22" x14ac:dyDescent="0.3">
      <c r="A828">
        <v>80147</v>
      </c>
      <c r="B828">
        <v>138212110</v>
      </c>
      <c r="C828" t="s">
        <v>4433</v>
      </c>
      <c r="D828" t="s">
        <v>4434</v>
      </c>
      <c r="E828" t="s">
        <v>4105</v>
      </c>
      <c r="F828" t="s">
        <v>514</v>
      </c>
      <c r="G828" t="s">
        <v>43</v>
      </c>
      <c r="H828" t="s">
        <v>44</v>
      </c>
      <c r="I828" t="s">
        <v>34</v>
      </c>
      <c r="J828" t="s">
        <v>45</v>
      </c>
      <c r="K828" t="s">
        <v>41</v>
      </c>
      <c r="L828" t="s">
        <v>4435</v>
      </c>
      <c r="M828" t="s">
        <v>325</v>
      </c>
      <c r="N828" t="s">
        <v>516</v>
      </c>
      <c r="O828" t="s">
        <v>64</v>
      </c>
      <c r="P828" t="s">
        <v>4436</v>
      </c>
      <c r="Q828" t="s">
        <v>79</v>
      </c>
      <c r="R828" t="s">
        <v>4406</v>
      </c>
      <c r="S828">
        <v>1</v>
      </c>
      <c r="T828">
        <v>3501</v>
      </c>
      <c r="U828">
        <v>0</v>
      </c>
      <c r="V828">
        <v>3501</v>
      </c>
    </row>
    <row r="829" spans="1:22" x14ac:dyDescent="0.3">
      <c r="A829">
        <v>80147</v>
      </c>
      <c r="B829">
        <v>138212079</v>
      </c>
      <c r="C829" t="s">
        <v>4437</v>
      </c>
      <c r="D829" t="s">
        <v>4438</v>
      </c>
      <c r="E829" t="s">
        <v>4105</v>
      </c>
      <c r="F829" t="s">
        <v>514</v>
      </c>
      <c r="G829" t="s">
        <v>43</v>
      </c>
      <c r="H829" t="s">
        <v>44</v>
      </c>
      <c r="I829" t="s">
        <v>34</v>
      </c>
      <c r="J829" t="s">
        <v>45</v>
      </c>
      <c r="K829" t="s">
        <v>41</v>
      </c>
      <c r="L829" t="s">
        <v>4439</v>
      </c>
      <c r="M829" t="s">
        <v>4440</v>
      </c>
      <c r="N829" t="s">
        <v>516</v>
      </c>
      <c r="O829" t="s">
        <v>64</v>
      </c>
      <c r="P829" t="s">
        <v>4441</v>
      </c>
      <c r="Q829" t="s">
        <v>75</v>
      </c>
      <c r="R829" t="s">
        <v>4406</v>
      </c>
      <c r="S829">
        <v>1</v>
      </c>
      <c r="T829">
        <v>3904</v>
      </c>
      <c r="U829">
        <v>0</v>
      </c>
      <c r="V829">
        <v>3904</v>
      </c>
    </row>
    <row r="830" spans="1:22" x14ac:dyDescent="0.3">
      <c r="A830">
        <v>80147</v>
      </c>
      <c r="B830">
        <v>138212042</v>
      </c>
      <c r="C830" t="s">
        <v>4442</v>
      </c>
      <c r="D830" t="s">
        <v>4443</v>
      </c>
      <c r="E830" t="s">
        <v>4105</v>
      </c>
      <c r="F830" t="s">
        <v>514</v>
      </c>
      <c r="G830" t="s">
        <v>43</v>
      </c>
      <c r="H830" t="s">
        <v>44</v>
      </c>
      <c r="I830" t="s">
        <v>34</v>
      </c>
      <c r="J830" t="s">
        <v>45</v>
      </c>
      <c r="K830" t="s">
        <v>41</v>
      </c>
      <c r="L830" t="s">
        <v>4444</v>
      </c>
      <c r="M830" t="s">
        <v>4445</v>
      </c>
      <c r="N830" t="s">
        <v>516</v>
      </c>
      <c r="O830" t="s">
        <v>64</v>
      </c>
      <c r="P830" t="s">
        <v>4446</v>
      </c>
      <c r="Q830" t="s">
        <v>61</v>
      </c>
      <c r="R830" t="s">
        <v>4406</v>
      </c>
      <c r="S830">
        <v>1</v>
      </c>
      <c r="T830">
        <v>3501</v>
      </c>
      <c r="U830">
        <v>0</v>
      </c>
      <c r="V830">
        <v>3501</v>
      </c>
    </row>
    <row r="831" spans="1:22" x14ac:dyDescent="0.3">
      <c r="A831">
        <v>80147</v>
      </c>
      <c r="B831">
        <v>138133173</v>
      </c>
      <c r="C831" t="s">
        <v>4447</v>
      </c>
      <c r="D831" t="s">
        <v>4448</v>
      </c>
      <c r="E831" t="s">
        <v>4105</v>
      </c>
      <c r="F831" t="s">
        <v>514</v>
      </c>
      <c r="G831" t="s">
        <v>43</v>
      </c>
      <c r="H831" t="s">
        <v>44</v>
      </c>
      <c r="I831" t="s">
        <v>34</v>
      </c>
      <c r="J831" t="s">
        <v>45</v>
      </c>
      <c r="K831" t="s">
        <v>41</v>
      </c>
      <c r="L831" t="s">
        <v>4449</v>
      </c>
      <c r="M831" t="s">
        <v>4450</v>
      </c>
      <c r="N831" t="s">
        <v>516</v>
      </c>
      <c r="O831" t="s">
        <v>64</v>
      </c>
      <c r="P831" t="s">
        <v>4451</v>
      </c>
      <c r="Q831" t="s">
        <v>50</v>
      </c>
      <c r="R831" t="s">
        <v>4347</v>
      </c>
      <c r="S831">
        <v>11.32</v>
      </c>
      <c r="T831">
        <v>13831</v>
      </c>
      <c r="U831">
        <v>0</v>
      </c>
      <c r="V831">
        <v>13831</v>
      </c>
    </row>
    <row r="832" spans="1:22" x14ac:dyDescent="0.3">
      <c r="A832">
        <v>80147</v>
      </c>
      <c r="B832">
        <v>138169173</v>
      </c>
      <c r="C832" t="s">
        <v>4452</v>
      </c>
      <c r="D832" t="s">
        <v>4453</v>
      </c>
      <c r="E832" t="s">
        <v>4105</v>
      </c>
      <c r="F832" t="s">
        <v>514</v>
      </c>
      <c r="G832" t="s">
        <v>43</v>
      </c>
      <c r="H832" t="s">
        <v>44</v>
      </c>
      <c r="I832" t="s">
        <v>34</v>
      </c>
      <c r="J832" t="s">
        <v>45</v>
      </c>
      <c r="K832" t="s">
        <v>41</v>
      </c>
      <c r="L832" t="s">
        <v>4454</v>
      </c>
      <c r="M832" t="s">
        <v>4455</v>
      </c>
      <c r="N832" t="s">
        <v>516</v>
      </c>
      <c r="O832" t="s">
        <v>64</v>
      </c>
      <c r="P832" t="s">
        <v>4456</v>
      </c>
      <c r="Q832" t="s">
        <v>50</v>
      </c>
      <c r="R832" t="s">
        <v>4374</v>
      </c>
      <c r="S832">
        <v>6.65</v>
      </c>
      <c r="T832">
        <v>10099</v>
      </c>
      <c r="U832">
        <v>0</v>
      </c>
      <c r="V832">
        <v>10099</v>
      </c>
    </row>
    <row r="833" spans="1:22" x14ac:dyDescent="0.3">
      <c r="A833">
        <v>80147</v>
      </c>
      <c r="B833">
        <v>138188832</v>
      </c>
      <c r="C833" t="s">
        <v>4457</v>
      </c>
      <c r="D833" t="s">
        <v>4458</v>
      </c>
      <c r="E833" t="s">
        <v>4105</v>
      </c>
      <c r="F833" t="s">
        <v>514</v>
      </c>
      <c r="G833" t="s">
        <v>43</v>
      </c>
      <c r="H833" t="s">
        <v>44</v>
      </c>
      <c r="I833" t="s">
        <v>34</v>
      </c>
      <c r="J833" t="s">
        <v>45</v>
      </c>
      <c r="K833" t="s">
        <v>41</v>
      </c>
      <c r="L833" t="s">
        <v>4459</v>
      </c>
      <c r="M833" t="s">
        <v>4460</v>
      </c>
      <c r="N833" t="s">
        <v>516</v>
      </c>
      <c r="O833" t="s">
        <v>64</v>
      </c>
      <c r="P833" t="s">
        <v>4461</v>
      </c>
      <c r="Q833" t="s">
        <v>61</v>
      </c>
      <c r="R833" t="s">
        <v>4427</v>
      </c>
      <c r="S833">
        <v>1</v>
      </c>
      <c r="T833">
        <v>3501</v>
      </c>
      <c r="U833">
        <v>0</v>
      </c>
      <c r="V833">
        <v>3501</v>
      </c>
    </row>
    <row r="834" spans="1:22" x14ac:dyDescent="0.3">
      <c r="A834">
        <v>80147</v>
      </c>
      <c r="B834">
        <v>138169163</v>
      </c>
      <c r="C834" t="s">
        <v>4462</v>
      </c>
      <c r="D834" t="s">
        <v>4463</v>
      </c>
      <c r="E834" t="s">
        <v>4105</v>
      </c>
      <c r="F834" t="s">
        <v>514</v>
      </c>
      <c r="G834" t="s">
        <v>43</v>
      </c>
      <c r="H834" t="s">
        <v>44</v>
      </c>
      <c r="I834" t="s">
        <v>34</v>
      </c>
      <c r="J834" t="s">
        <v>45</v>
      </c>
      <c r="K834" t="s">
        <v>41</v>
      </c>
      <c r="L834" t="s">
        <v>4464</v>
      </c>
      <c r="M834" t="s">
        <v>4465</v>
      </c>
      <c r="N834" t="s">
        <v>516</v>
      </c>
      <c r="O834" t="s">
        <v>64</v>
      </c>
      <c r="P834" t="s">
        <v>4466</v>
      </c>
      <c r="Q834" t="s">
        <v>62</v>
      </c>
      <c r="R834" t="s">
        <v>4374</v>
      </c>
      <c r="S834">
        <v>5.8</v>
      </c>
      <c r="T834">
        <v>4769</v>
      </c>
      <c r="U834">
        <v>0</v>
      </c>
      <c r="V834">
        <v>4769</v>
      </c>
    </row>
    <row r="835" spans="1:22" x14ac:dyDescent="0.3">
      <c r="A835">
        <v>80147</v>
      </c>
      <c r="B835">
        <v>138113232</v>
      </c>
      <c r="C835" t="s">
        <v>4467</v>
      </c>
      <c r="D835" t="s">
        <v>4468</v>
      </c>
      <c r="E835" t="s">
        <v>4105</v>
      </c>
      <c r="F835" t="s">
        <v>514</v>
      </c>
      <c r="G835" t="s">
        <v>43</v>
      </c>
      <c r="H835" t="s">
        <v>44</v>
      </c>
      <c r="I835" t="s">
        <v>34</v>
      </c>
      <c r="J835" t="s">
        <v>45</v>
      </c>
      <c r="K835" t="s">
        <v>41</v>
      </c>
      <c r="L835" t="s">
        <v>4469</v>
      </c>
      <c r="M835" t="s">
        <v>4470</v>
      </c>
      <c r="N835" t="s">
        <v>516</v>
      </c>
      <c r="O835" t="s">
        <v>64</v>
      </c>
      <c r="P835" t="s">
        <v>4471</v>
      </c>
      <c r="Q835" t="s">
        <v>175</v>
      </c>
      <c r="R835" t="s">
        <v>434</v>
      </c>
      <c r="S835">
        <v>3.2</v>
      </c>
      <c r="T835">
        <v>5316</v>
      </c>
      <c r="U835">
        <v>0</v>
      </c>
      <c r="V835">
        <v>5316</v>
      </c>
    </row>
    <row r="836" spans="1:22" x14ac:dyDescent="0.3">
      <c r="A836">
        <v>80147</v>
      </c>
      <c r="B836">
        <v>138188839</v>
      </c>
      <c r="C836" t="s">
        <v>4472</v>
      </c>
      <c r="D836" t="s">
        <v>4473</v>
      </c>
      <c r="E836" t="s">
        <v>4105</v>
      </c>
      <c r="F836" t="s">
        <v>514</v>
      </c>
      <c r="G836" t="s">
        <v>43</v>
      </c>
      <c r="H836" t="s">
        <v>44</v>
      </c>
      <c r="I836" t="s">
        <v>34</v>
      </c>
      <c r="J836" t="s">
        <v>45</v>
      </c>
      <c r="K836" t="s">
        <v>41</v>
      </c>
      <c r="L836" t="s">
        <v>4474</v>
      </c>
      <c r="M836" t="s">
        <v>4475</v>
      </c>
      <c r="N836" t="s">
        <v>516</v>
      </c>
      <c r="O836" t="s">
        <v>64</v>
      </c>
      <c r="P836" t="s">
        <v>4476</v>
      </c>
      <c r="Q836" t="s">
        <v>241</v>
      </c>
      <c r="R836" t="s">
        <v>4427</v>
      </c>
      <c r="S836">
        <v>3.15</v>
      </c>
      <c r="T836">
        <v>3949</v>
      </c>
      <c r="U836">
        <v>0</v>
      </c>
      <c r="V836">
        <v>3949</v>
      </c>
    </row>
    <row r="837" spans="1:22" x14ac:dyDescent="0.3">
      <c r="A837">
        <v>80147</v>
      </c>
      <c r="B837">
        <v>138009013</v>
      </c>
      <c r="C837" t="s">
        <v>4477</v>
      </c>
      <c r="D837" t="s">
        <v>4478</v>
      </c>
      <c r="E837" t="s">
        <v>4105</v>
      </c>
      <c r="F837" t="s">
        <v>514</v>
      </c>
      <c r="G837" t="s">
        <v>43</v>
      </c>
      <c r="H837" t="s">
        <v>44</v>
      </c>
      <c r="I837" t="s">
        <v>34</v>
      </c>
      <c r="J837" t="s">
        <v>45</v>
      </c>
      <c r="K837" t="s">
        <v>41</v>
      </c>
      <c r="L837" t="s">
        <v>4479</v>
      </c>
      <c r="M837" t="s">
        <v>4480</v>
      </c>
      <c r="N837" t="s">
        <v>516</v>
      </c>
      <c r="O837" t="s">
        <v>64</v>
      </c>
      <c r="P837" t="s">
        <v>4481</v>
      </c>
      <c r="Q837" t="s">
        <v>73</v>
      </c>
      <c r="R837" t="s">
        <v>4482</v>
      </c>
      <c r="S837">
        <v>1</v>
      </c>
      <c r="T837">
        <v>3904</v>
      </c>
      <c r="U837">
        <v>0</v>
      </c>
      <c r="V837">
        <v>3904</v>
      </c>
    </row>
    <row r="838" spans="1:22" x14ac:dyDescent="0.3">
      <c r="A838">
        <v>80147</v>
      </c>
      <c r="B838">
        <v>138188848</v>
      </c>
      <c r="C838" t="s">
        <v>4483</v>
      </c>
      <c r="D838" t="s">
        <v>4484</v>
      </c>
      <c r="E838" t="s">
        <v>4105</v>
      </c>
      <c r="F838" t="s">
        <v>514</v>
      </c>
      <c r="G838" t="s">
        <v>43</v>
      </c>
      <c r="H838" t="s">
        <v>44</v>
      </c>
      <c r="I838" t="s">
        <v>34</v>
      </c>
      <c r="J838" t="s">
        <v>45</v>
      </c>
      <c r="K838" t="s">
        <v>41</v>
      </c>
      <c r="L838" t="s">
        <v>4485</v>
      </c>
      <c r="M838" t="s">
        <v>4486</v>
      </c>
      <c r="N838" t="s">
        <v>516</v>
      </c>
      <c r="O838" t="s">
        <v>64</v>
      </c>
      <c r="P838" t="s">
        <v>4487</v>
      </c>
      <c r="Q838" t="s">
        <v>75</v>
      </c>
      <c r="R838" t="s">
        <v>4427</v>
      </c>
      <c r="S838">
        <v>1</v>
      </c>
      <c r="T838">
        <v>3904</v>
      </c>
      <c r="U838">
        <v>0</v>
      </c>
      <c r="V838">
        <v>3904</v>
      </c>
    </row>
    <row r="839" spans="1:22" x14ac:dyDescent="0.3">
      <c r="A839">
        <v>80147</v>
      </c>
      <c r="B839">
        <v>138141916</v>
      </c>
      <c r="C839" t="s">
        <v>4488</v>
      </c>
      <c r="D839" t="s">
        <v>4489</v>
      </c>
      <c r="E839" t="s">
        <v>4105</v>
      </c>
      <c r="F839" t="s">
        <v>514</v>
      </c>
      <c r="G839" t="s">
        <v>43</v>
      </c>
      <c r="H839" t="s">
        <v>44</v>
      </c>
      <c r="I839" t="s">
        <v>34</v>
      </c>
      <c r="J839" t="s">
        <v>45</v>
      </c>
      <c r="K839" t="s">
        <v>41</v>
      </c>
      <c r="L839" t="s">
        <v>4490</v>
      </c>
      <c r="M839" t="s">
        <v>4491</v>
      </c>
      <c r="N839" t="s">
        <v>516</v>
      </c>
      <c r="O839" t="s">
        <v>64</v>
      </c>
      <c r="P839" t="s">
        <v>4492</v>
      </c>
      <c r="Q839" t="s">
        <v>118</v>
      </c>
      <c r="R839" t="s">
        <v>4380</v>
      </c>
      <c r="S839">
        <v>1</v>
      </c>
      <c r="T839">
        <v>4230</v>
      </c>
      <c r="U839">
        <v>0</v>
      </c>
      <c r="V839">
        <v>4230</v>
      </c>
    </row>
    <row r="840" spans="1:22" x14ac:dyDescent="0.3">
      <c r="A840">
        <v>80147</v>
      </c>
      <c r="B840">
        <v>137837276</v>
      </c>
      <c r="C840" t="s">
        <v>4493</v>
      </c>
      <c r="D840" t="s">
        <v>4494</v>
      </c>
      <c r="E840" t="s">
        <v>4105</v>
      </c>
      <c r="F840" t="s">
        <v>514</v>
      </c>
      <c r="G840" t="s">
        <v>43</v>
      </c>
      <c r="H840" t="s">
        <v>44</v>
      </c>
      <c r="I840" t="s">
        <v>34</v>
      </c>
      <c r="J840" t="s">
        <v>45</v>
      </c>
      <c r="K840" t="s">
        <v>41</v>
      </c>
      <c r="L840" t="s">
        <v>4495</v>
      </c>
      <c r="M840" t="s">
        <v>4496</v>
      </c>
      <c r="N840" t="s">
        <v>516</v>
      </c>
      <c r="O840" t="s">
        <v>64</v>
      </c>
      <c r="P840" t="s">
        <v>4497</v>
      </c>
      <c r="Q840" t="s">
        <v>68</v>
      </c>
      <c r="R840" t="s">
        <v>4498</v>
      </c>
      <c r="S840">
        <v>1</v>
      </c>
      <c r="T840">
        <v>5990</v>
      </c>
      <c r="U840">
        <v>0</v>
      </c>
      <c r="V840">
        <v>5990</v>
      </c>
    </row>
    <row r="841" spans="1:22" x14ac:dyDescent="0.3">
      <c r="A841">
        <v>80147</v>
      </c>
      <c r="B841">
        <v>138169162</v>
      </c>
      <c r="C841" t="s">
        <v>4499</v>
      </c>
      <c r="D841" t="s">
        <v>4500</v>
      </c>
      <c r="E841" t="s">
        <v>4105</v>
      </c>
      <c r="F841" t="s">
        <v>514</v>
      </c>
      <c r="G841" t="s">
        <v>43</v>
      </c>
      <c r="H841" t="s">
        <v>44</v>
      </c>
      <c r="I841" t="s">
        <v>34</v>
      </c>
      <c r="J841" t="s">
        <v>45</v>
      </c>
      <c r="K841" t="s">
        <v>41</v>
      </c>
      <c r="L841" t="s">
        <v>4501</v>
      </c>
      <c r="M841" t="s">
        <v>4502</v>
      </c>
      <c r="N841" t="s">
        <v>516</v>
      </c>
      <c r="O841" t="s">
        <v>64</v>
      </c>
      <c r="P841" t="s">
        <v>4503</v>
      </c>
      <c r="Q841" t="s">
        <v>56</v>
      </c>
      <c r="R841" t="s">
        <v>4374</v>
      </c>
      <c r="S841">
        <v>3.11</v>
      </c>
      <c r="T841">
        <v>4495</v>
      </c>
      <c r="U841">
        <v>0</v>
      </c>
      <c r="V841">
        <v>4495</v>
      </c>
    </row>
    <row r="842" spans="1:22" x14ac:dyDescent="0.3">
      <c r="A842">
        <v>80147</v>
      </c>
      <c r="B842">
        <v>138169168</v>
      </c>
      <c r="C842" t="s">
        <v>4504</v>
      </c>
      <c r="D842" t="s">
        <v>4505</v>
      </c>
      <c r="E842" t="s">
        <v>4105</v>
      </c>
      <c r="F842" t="s">
        <v>514</v>
      </c>
      <c r="G842" t="s">
        <v>43</v>
      </c>
      <c r="H842" t="s">
        <v>44</v>
      </c>
      <c r="I842" t="s">
        <v>34</v>
      </c>
      <c r="J842" t="s">
        <v>45</v>
      </c>
      <c r="K842" t="s">
        <v>41</v>
      </c>
      <c r="L842" t="s">
        <v>4506</v>
      </c>
      <c r="M842" t="s">
        <v>4507</v>
      </c>
      <c r="N842" t="s">
        <v>516</v>
      </c>
      <c r="O842" t="s">
        <v>64</v>
      </c>
      <c r="P842" t="s">
        <v>4508</v>
      </c>
      <c r="Q842" t="s">
        <v>61</v>
      </c>
      <c r="R842" t="s">
        <v>4374</v>
      </c>
      <c r="S842">
        <v>6.54</v>
      </c>
      <c r="T842">
        <v>5406</v>
      </c>
      <c r="U842">
        <v>0</v>
      </c>
      <c r="V842">
        <v>5406</v>
      </c>
    </row>
    <row r="843" spans="1:22" x14ac:dyDescent="0.3">
      <c r="A843">
        <v>80147</v>
      </c>
      <c r="B843">
        <v>138169175</v>
      </c>
      <c r="C843" t="s">
        <v>4509</v>
      </c>
      <c r="D843" t="s">
        <v>4510</v>
      </c>
      <c r="E843" t="s">
        <v>4105</v>
      </c>
      <c r="F843" t="s">
        <v>514</v>
      </c>
      <c r="G843" t="s">
        <v>43</v>
      </c>
      <c r="H843" t="s">
        <v>44</v>
      </c>
      <c r="I843" t="s">
        <v>34</v>
      </c>
      <c r="J843" t="s">
        <v>45</v>
      </c>
      <c r="K843" t="s">
        <v>54</v>
      </c>
      <c r="L843" t="s">
        <v>55</v>
      </c>
      <c r="M843" t="s">
        <v>4511</v>
      </c>
      <c r="N843" t="s">
        <v>516</v>
      </c>
      <c r="O843" t="s">
        <v>64</v>
      </c>
      <c r="P843" t="s">
        <v>4512</v>
      </c>
      <c r="Q843" t="s">
        <v>73</v>
      </c>
      <c r="R843" t="s">
        <v>4374</v>
      </c>
      <c r="S843">
        <v>6.44</v>
      </c>
      <c r="T843">
        <v>5990</v>
      </c>
      <c r="U843">
        <v>0</v>
      </c>
      <c r="V843">
        <v>5990</v>
      </c>
    </row>
    <row r="844" spans="1:22" x14ac:dyDescent="0.3">
      <c r="A844">
        <v>80147</v>
      </c>
      <c r="B844">
        <v>138051762</v>
      </c>
      <c r="C844" t="s">
        <v>4513</v>
      </c>
      <c r="D844" t="s">
        <v>4514</v>
      </c>
      <c r="E844" t="s">
        <v>4105</v>
      </c>
      <c r="F844" t="s">
        <v>514</v>
      </c>
      <c r="G844" t="s">
        <v>43</v>
      </c>
      <c r="H844" t="s">
        <v>44</v>
      </c>
      <c r="I844" t="s">
        <v>34</v>
      </c>
      <c r="J844" t="s">
        <v>45</v>
      </c>
      <c r="K844" t="s">
        <v>41</v>
      </c>
      <c r="L844" t="s">
        <v>4515</v>
      </c>
      <c r="M844" t="s">
        <v>4516</v>
      </c>
      <c r="N844" t="s">
        <v>516</v>
      </c>
      <c r="O844" t="s">
        <v>64</v>
      </c>
      <c r="P844" t="s">
        <v>4517</v>
      </c>
      <c r="Q844" t="s">
        <v>82</v>
      </c>
      <c r="R844" t="s">
        <v>4518</v>
      </c>
      <c r="S844">
        <v>1</v>
      </c>
      <c r="T844">
        <v>5990</v>
      </c>
      <c r="U844">
        <v>0</v>
      </c>
      <c r="V844">
        <v>5990</v>
      </c>
    </row>
    <row r="845" spans="1:22" x14ac:dyDescent="0.3">
      <c r="A845">
        <v>80147</v>
      </c>
      <c r="B845">
        <v>138051764</v>
      </c>
      <c r="C845" t="s">
        <v>4519</v>
      </c>
      <c r="D845" t="s">
        <v>4520</v>
      </c>
      <c r="E845" t="s">
        <v>4105</v>
      </c>
      <c r="F845" t="s">
        <v>514</v>
      </c>
      <c r="G845" t="s">
        <v>43</v>
      </c>
      <c r="H845" t="s">
        <v>44</v>
      </c>
      <c r="I845" t="s">
        <v>34</v>
      </c>
      <c r="J845" t="s">
        <v>45</v>
      </c>
      <c r="K845" t="s">
        <v>41</v>
      </c>
      <c r="L845" t="s">
        <v>4521</v>
      </c>
      <c r="M845" t="s">
        <v>4522</v>
      </c>
      <c r="N845" t="s">
        <v>516</v>
      </c>
      <c r="O845" t="s">
        <v>64</v>
      </c>
      <c r="P845" t="s">
        <v>4523</v>
      </c>
      <c r="Q845" t="s">
        <v>50</v>
      </c>
      <c r="R845" t="s">
        <v>4518</v>
      </c>
      <c r="S845">
        <v>5.93</v>
      </c>
      <c r="T845">
        <v>7784</v>
      </c>
      <c r="U845">
        <v>0</v>
      </c>
      <c r="V845">
        <v>7784</v>
      </c>
    </row>
    <row r="846" spans="1:22" x14ac:dyDescent="0.3">
      <c r="A846">
        <v>80147</v>
      </c>
      <c r="B846">
        <v>137577956</v>
      </c>
      <c r="C846" t="s">
        <v>4524</v>
      </c>
      <c r="D846" t="s">
        <v>4525</v>
      </c>
      <c r="E846" t="s">
        <v>4105</v>
      </c>
      <c r="F846" t="s">
        <v>514</v>
      </c>
      <c r="G846" t="s">
        <v>43</v>
      </c>
      <c r="H846" t="s">
        <v>44</v>
      </c>
      <c r="I846" t="s">
        <v>34</v>
      </c>
      <c r="J846" t="s">
        <v>45</v>
      </c>
      <c r="K846" t="s">
        <v>41</v>
      </c>
      <c r="L846" t="s">
        <v>4526</v>
      </c>
      <c r="M846" t="s">
        <v>4527</v>
      </c>
      <c r="N846" t="s">
        <v>516</v>
      </c>
      <c r="O846" t="s">
        <v>64</v>
      </c>
      <c r="P846" t="s">
        <v>4528</v>
      </c>
      <c r="Q846" t="s">
        <v>68</v>
      </c>
      <c r="R846" t="s">
        <v>4529</v>
      </c>
      <c r="S846">
        <v>6.06</v>
      </c>
      <c r="T846">
        <v>11407</v>
      </c>
      <c r="U846">
        <v>0</v>
      </c>
      <c r="V846">
        <v>11407</v>
      </c>
    </row>
    <row r="847" spans="1:22" x14ac:dyDescent="0.3">
      <c r="A847">
        <v>80147</v>
      </c>
      <c r="B847">
        <v>138028195</v>
      </c>
      <c r="C847" t="s">
        <v>4530</v>
      </c>
      <c r="D847" t="s">
        <v>4531</v>
      </c>
      <c r="E847" t="s">
        <v>4105</v>
      </c>
      <c r="F847" t="s">
        <v>514</v>
      </c>
      <c r="G847" t="s">
        <v>43</v>
      </c>
      <c r="H847" t="s">
        <v>44</v>
      </c>
      <c r="I847" t="s">
        <v>34</v>
      </c>
      <c r="J847" t="s">
        <v>45</v>
      </c>
      <c r="K847" t="s">
        <v>41</v>
      </c>
      <c r="L847" t="s">
        <v>4532</v>
      </c>
      <c r="M847" t="s">
        <v>285</v>
      </c>
      <c r="N847" t="s">
        <v>516</v>
      </c>
      <c r="O847" t="s">
        <v>64</v>
      </c>
      <c r="P847" t="s">
        <v>4533</v>
      </c>
      <c r="Q847" t="s">
        <v>90</v>
      </c>
      <c r="R847" t="s">
        <v>4534</v>
      </c>
      <c r="S847">
        <v>1</v>
      </c>
      <c r="T847">
        <v>3904</v>
      </c>
      <c r="U847">
        <v>0</v>
      </c>
      <c r="V847">
        <v>3904</v>
      </c>
    </row>
    <row r="848" spans="1:22" x14ac:dyDescent="0.3">
      <c r="A848">
        <v>80147</v>
      </c>
      <c r="B848">
        <v>138051754</v>
      </c>
      <c r="C848" t="s">
        <v>4535</v>
      </c>
      <c r="D848" t="s">
        <v>4536</v>
      </c>
      <c r="E848" t="s">
        <v>4105</v>
      </c>
      <c r="F848" t="s">
        <v>514</v>
      </c>
      <c r="G848" t="s">
        <v>43</v>
      </c>
      <c r="H848" t="s">
        <v>44</v>
      </c>
      <c r="I848" t="s">
        <v>34</v>
      </c>
      <c r="J848" t="s">
        <v>45</v>
      </c>
      <c r="K848" t="s">
        <v>41</v>
      </c>
      <c r="L848" t="s">
        <v>4537</v>
      </c>
      <c r="M848" t="s">
        <v>4538</v>
      </c>
      <c r="N848" t="s">
        <v>516</v>
      </c>
      <c r="O848" t="s">
        <v>64</v>
      </c>
      <c r="P848" t="s">
        <v>4539</v>
      </c>
      <c r="Q848" t="s">
        <v>50</v>
      </c>
      <c r="R848" t="s">
        <v>4518</v>
      </c>
      <c r="S848">
        <v>1.74</v>
      </c>
      <c r="T848">
        <v>5406</v>
      </c>
      <c r="U848">
        <v>0</v>
      </c>
      <c r="V848">
        <v>5406</v>
      </c>
    </row>
    <row r="849" spans="1:22" x14ac:dyDescent="0.3">
      <c r="A849">
        <v>80147</v>
      </c>
      <c r="B849">
        <v>138051749</v>
      </c>
      <c r="C849" t="s">
        <v>4540</v>
      </c>
      <c r="D849" t="s">
        <v>4541</v>
      </c>
      <c r="E849" t="s">
        <v>4105</v>
      </c>
      <c r="F849" t="s">
        <v>514</v>
      </c>
      <c r="G849" t="s">
        <v>43</v>
      </c>
      <c r="H849" t="s">
        <v>44</v>
      </c>
      <c r="I849" t="s">
        <v>34</v>
      </c>
      <c r="J849" t="s">
        <v>45</v>
      </c>
      <c r="K849" t="s">
        <v>41</v>
      </c>
      <c r="L849" t="s">
        <v>4542</v>
      </c>
      <c r="M849" t="s">
        <v>4543</v>
      </c>
      <c r="N849" t="s">
        <v>516</v>
      </c>
      <c r="O849" t="s">
        <v>64</v>
      </c>
      <c r="P849" t="s">
        <v>4544</v>
      </c>
      <c r="Q849" t="s">
        <v>82</v>
      </c>
      <c r="R849" t="s">
        <v>4518</v>
      </c>
      <c r="S849">
        <v>2.95</v>
      </c>
      <c r="T849">
        <v>5990</v>
      </c>
      <c r="U849">
        <v>0</v>
      </c>
      <c r="V849">
        <v>5990</v>
      </c>
    </row>
    <row r="850" spans="1:22" x14ac:dyDescent="0.3">
      <c r="A850">
        <v>80147</v>
      </c>
      <c r="B850">
        <v>138009012</v>
      </c>
      <c r="C850" t="s">
        <v>4545</v>
      </c>
      <c r="D850" t="s">
        <v>4546</v>
      </c>
      <c r="E850" t="s">
        <v>4105</v>
      </c>
      <c r="F850" t="s">
        <v>514</v>
      </c>
      <c r="G850" t="s">
        <v>43</v>
      </c>
      <c r="H850" t="s">
        <v>44</v>
      </c>
      <c r="I850" t="s">
        <v>34</v>
      </c>
      <c r="J850" t="s">
        <v>45</v>
      </c>
      <c r="K850" t="s">
        <v>41</v>
      </c>
      <c r="L850" t="s">
        <v>4547</v>
      </c>
      <c r="M850" t="s">
        <v>4548</v>
      </c>
      <c r="N850" t="s">
        <v>516</v>
      </c>
      <c r="O850" t="s">
        <v>64</v>
      </c>
      <c r="P850" t="s">
        <v>4549</v>
      </c>
      <c r="Q850" t="s">
        <v>124</v>
      </c>
      <c r="R850" t="s">
        <v>4482</v>
      </c>
      <c r="S850">
        <v>1</v>
      </c>
      <c r="T850">
        <v>3904</v>
      </c>
      <c r="U850">
        <v>0</v>
      </c>
      <c r="V850">
        <v>3904</v>
      </c>
    </row>
    <row r="851" spans="1:22" x14ac:dyDescent="0.3">
      <c r="A851">
        <v>80147</v>
      </c>
      <c r="B851">
        <v>137468109</v>
      </c>
      <c r="C851" t="s">
        <v>4550</v>
      </c>
      <c r="D851" t="s">
        <v>4551</v>
      </c>
      <c r="E851" t="s">
        <v>4105</v>
      </c>
      <c r="F851" t="s">
        <v>514</v>
      </c>
      <c r="G851" t="s">
        <v>43</v>
      </c>
      <c r="H851" t="s">
        <v>44</v>
      </c>
      <c r="I851" t="s">
        <v>34</v>
      </c>
      <c r="J851" t="s">
        <v>45</v>
      </c>
      <c r="K851" t="s">
        <v>41</v>
      </c>
      <c r="L851" t="s">
        <v>4552</v>
      </c>
      <c r="M851" t="s">
        <v>4553</v>
      </c>
      <c r="N851" t="s">
        <v>516</v>
      </c>
      <c r="O851" t="s">
        <v>64</v>
      </c>
      <c r="P851" t="s">
        <v>4554</v>
      </c>
      <c r="Q851" t="s">
        <v>68</v>
      </c>
      <c r="R851" t="s">
        <v>4555</v>
      </c>
      <c r="S851">
        <v>6.68</v>
      </c>
      <c r="T851">
        <v>11407</v>
      </c>
      <c r="U851">
        <v>0</v>
      </c>
      <c r="V851">
        <v>11407</v>
      </c>
    </row>
    <row r="852" spans="1:22" x14ac:dyDescent="0.3">
      <c r="A852">
        <v>80147</v>
      </c>
      <c r="B852">
        <v>138051746</v>
      </c>
      <c r="C852" t="s">
        <v>4556</v>
      </c>
      <c r="D852" t="s">
        <v>4557</v>
      </c>
      <c r="E852" t="s">
        <v>4105</v>
      </c>
      <c r="F852" t="s">
        <v>514</v>
      </c>
      <c r="G852" t="s">
        <v>43</v>
      </c>
      <c r="H852" t="s">
        <v>44</v>
      </c>
      <c r="I852" t="s">
        <v>34</v>
      </c>
      <c r="J852" t="s">
        <v>45</v>
      </c>
      <c r="K852" t="s">
        <v>41</v>
      </c>
      <c r="L852" t="s">
        <v>4558</v>
      </c>
      <c r="M852" t="s">
        <v>4559</v>
      </c>
      <c r="N852" t="s">
        <v>516</v>
      </c>
      <c r="O852" t="s">
        <v>64</v>
      </c>
      <c r="P852" t="s">
        <v>4560</v>
      </c>
      <c r="Q852" t="s">
        <v>50</v>
      </c>
      <c r="R852" t="s">
        <v>4518</v>
      </c>
      <c r="S852">
        <v>1.95</v>
      </c>
      <c r="T852">
        <v>5406</v>
      </c>
      <c r="U852">
        <v>0</v>
      </c>
      <c r="V852">
        <v>5406</v>
      </c>
    </row>
    <row r="853" spans="1:22" x14ac:dyDescent="0.3">
      <c r="A853">
        <v>80147</v>
      </c>
      <c r="B853">
        <v>138009018</v>
      </c>
      <c r="C853" t="s">
        <v>4561</v>
      </c>
      <c r="D853" t="s">
        <v>4562</v>
      </c>
      <c r="E853" t="s">
        <v>4105</v>
      </c>
      <c r="F853" t="s">
        <v>514</v>
      </c>
      <c r="G853" t="s">
        <v>43</v>
      </c>
      <c r="H853" t="s">
        <v>44</v>
      </c>
      <c r="I853" t="s">
        <v>34</v>
      </c>
      <c r="J853" t="s">
        <v>45</v>
      </c>
      <c r="K853" t="s">
        <v>41</v>
      </c>
      <c r="L853" t="s">
        <v>4563</v>
      </c>
      <c r="M853" t="s">
        <v>4564</v>
      </c>
      <c r="N853" t="s">
        <v>516</v>
      </c>
      <c r="O853" t="s">
        <v>64</v>
      </c>
      <c r="P853" t="s">
        <v>4565</v>
      </c>
      <c r="Q853" t="s">
        <v>50</v>
      </c>
      <c r="R853" t="s">
        <v>4482</v>
      </c>
      <c r="S853">
        <v>1.91</v>
      </c>
      <c r="T853">
        <v>5406</v>
      </c>
      <c r="U853">
        <v>0</v>
      </c>
      <c r="V853">
        <v>5406</v>
      </c>
    </row>
    <row r="854" spans="1:22" x14ac:dyDescent="0.3">
      <c r="A854">
        <v>80147</v>
      </c>
      <c r="B854">
        <v>137409152</v>
      </c>
      <c r="C854" t="s">
        <v>4566</v>
      </c>
      <c r="D854" t="s">
        <v>4567</v>
      </c>
      <c r="E854" t="s">
        <v>4105</v>
      </c>
      <c r="F854" t="s">
        <v>514</v>
      </c>
      <c r="G854" t="s">
        <v>69</v>
      </c>
      <c r="H854" t="s">
        <v>70</v>
      </c>
      <c r="I854" t="s">
        <v>34</v>
      </c>
      <c r="J854" t="s">
        <v>139</v>
      </c>
      <c r="K854" t="s">
        <v>41</v>
      </c>
      <c r="L854" t="s">
        <v>71</v>
      </c>
      <c r="M854" t="s">
        <v>4568</v>
      </c>
      <c r="N854" t="s">
        <v>516</v>
      </c>
      <c r="O854" t="s">
        <v>64</v>
      </c>
      <c r="P854" t="s">
        <v>4569</v>
      </c>
      <c r="Q854" t="s">
        <v>77</v>
      </c>
      <c r="R854" t="s">
        <v>430</v>
      </c>
      <c r="S854">
        <v>7.68</v>
      </c>
      <c r="T854">
        <v>5255</v>
      </c>
      <c r="U854">
        <v>0</v>
      </c>
      <c r="V854">
        <v>5255</v>
      </c>
    </row>
    <row r="855" spans="1:22" x14ac:dyDescent="0.3">
      <c r="A855">
        <v>80147</v>
      </c>
      <c r="B855">
        <v>138096073</v>
      </c>
      <c r="C855" t="s">
        <v>4570</v>
      </c>
      <c r="D855" t="s">
        <v>4571</v>
      </c>
      <c r="E855" t="s">
        <v>4105</v>
      </c>
      <c r="F855" t="s">
        <v>514</v>
      </c>
      <c r="G855" t="s">
        <v>43</v>
      </c>
      <c r="H855" t="s">
        <v>44</v>
      </c>
      <c r="I855" t="s">
        <v>34</v>
      </c>
      <c r="J855" t="s">
        <v>45</v>
      </c>
      <c r="K855" t="s">
        <v>41</v>
      </c>
      <c r="L855" t="s">
        <v>4572</v>
      </c>
      <c r="M855" t="s">
        <v>4573</v>
      </c>
      <c r="N855" t="s">
        <v>516</v>
      </c>
      <c r="O855" t="s">
        <v>64</v>
      </c>
      <c r="P855" t="s">
        <v>4574</v>
      </c>
      <c r="Q855" t="s">
        <v>48</v>
      </c>
      <c r="R855" t="s">
        <v>4575</v>
      </c>
      <c r="S855">
        <v>1</v>
      </c>
      <c r="T855">
        <v>4230</v>
      </c>
      <c r="U855">
        <v>0</v>
      </c>
      <c r="V855">
        <v>4230</v>
      </c>
    </row>
    <row r="856" spans="1:22" x14ac:dyDescent="0.3">
      <c r="A856">
        <v>80147</v>
      </c>
      <c r="B856">
        <v>137358785</v>
      </c>
      <c r="C856" t="s">
        <v>4576</v>
      </c>
      <c r="D856" t="s">
        <v>4577</v>
      </c>
      <c r="E856" t="s">
        <v>4105</v>
      </c>
      <c r="F856" t="s">
        <v>514</v>
      </c>
      <c r="G856" t="s">
        <v>69</v>
      </c>
      <c r="H856" t="s">
        <v>70</v>
      </c>
      <c r="I856" t="s">
        <v>34</v>
      </c>
      <c r="J856" t="s">
        <v>139</v>
      </c>
      <c r="K856" t="s">
        <v>41</v>
      </c>
      <c r="L856" t="s">
        <v>71</v>
      </c>
      <c r="M856" t="s">
        <v>385</v>
      </c>
      <c r="N856" t="s">
        <v>516</v>
      </c>
      <c r="O856" t="s">
        <v>64</v>
      </c>
      <c r="P856" t="s">
        <v>4578</v>
      </c>
      <c r="Q856" t="s">
        <v>228</v>
      </c>
      <c r="R856" t="s">
        <v>4579</v>
      </c>
      <c r="S856">
        <v>5.9</v>
      </c>
      <c r="T856">
        <v>7449</v>
      </c>
      <c r="U856">
        <v>0</v>
      </c>
      <c r="V856">
        <v>7449</v>
      </c>
    </row>
    <row r="857" spans="1:22" x14ac:dyDescent="0.3">
      <c r="A857">
        <v>80147</v>
      </c>
      <c r="B857">
        <v>138070818</v>
      </c>
      <c r="C857" t="s">
        <v>4580</v>
      </c>
      <c r="D857" t="s">
        <v>4581</v>
      </c>
      <c r="E857" t="s">
        <v>4105</v>
      </c>
      <c r="F857" t="s">
        <v>514</v>
      </c>
      <c r="G857" t="s">
        <v>43</v>
      </c>
      <c r="H857" t="s">
        <v>44</v>
      </c>
      <c r="I857" t="s">
        <v>34</v>
      </c>
      <c r="J857" t="s">
        <v>45</v>
      </c>
      <c r="K857" t="s">
        <v>41</v>
      </c>
      <c r="L857" t="s">
        <v>4582</v>
      </c>
      <c r="M857" t="s">
        <v>4583</v>
      </c>
      <c r="N857" t="s">
        <v>516</v>
      </c>
      <c r="O857" t="s">
        <v>64</v>
      </c>
      <c r="P857" t="s">
        <v>4584</v>
      </c>
      <c r="Q857" t="s">
        <v>97</v>
      </c>
      <c r="R857" t="s">
        <v>405</v>
      </c>
      <c r="S857">
        <v>1</v>
      </c>
      <c r="T857">
        <v>4520</v>
      </c>
      <c r="U857">
        <v>0</v>
      </c>
      <c r="V857">
        <v>4520</v>
      </c>
    </row>
    <row r="858" spans="1:22" x14ac:dyDescent="0.3">
      <c r="A858">
        <v>80147</v>
      </c>
      <c r="B858">
        <v>138028200</v>
      </c>
      <c r="C858" t="s">
        <v>4585</v>
      </c>
      <c r="D858" t="s">
        <v>4586</v>
      </c>
      <c r="E858" t="s">
        <v>4105</v>
      </c>
      <c r="F858" t="s">
        <v>514</v>
      </c>
      <c r="G858" t="s">
        <v>43</v>
      </c>
      <c r="H858" t="s">
        <v>44</v>
      </c>
      <c r="I858" t="s">
        <v>34</v>
      </c>
      <c r="J858" t="s">
        <v>45</v>
      </c>
      <c r="K858" t="s">
        <v>41</v>
      </c>
      <c r="L858" t="s">
        <v>4587</v>
      </c>
      <c r="M858" t="s">
        <v>4588</v>
      </c>
      <c r="N858" t="s">
        <v>516</v>
      </c>
      <c r="O858" t="s">
        <v>64</v>
      </c>
      <c r="P858" t="s">
        <v>4589</v>
      </c>
      <c r="Q858" t="s">
        <v>118</v>
      </c>
      <c r="R858" t="s">
        <v>4534</v>
      </c>
      <c r="S858">
        <v>0.9</v>
      </c>
      <c r="T858">
        <v>4230</v>
      </c>
      <c r="U858">
        <v>0</v>
      </c>
      <c r="V858">
        <v>4230</v>
      </c>
    </row>
    <row r="859" spans="1:22" x14ac:dyDescent="0.3">
      <c r="A859">
        <v>80147</v>
      </c>
      <c r="B859">
        <v>138096117</v>
      </c>
      <c r="C859" t="s">
        <v>4590</v>
      </c>
      <c r="D859" t="s">
        <v>4591</v>
      </c>
      <c r="E859" t="s">
        <v>4105</v>
      </c>
      <c r="F859" t="s">
        <v>514</v>
      </c>
      <c r="G859" t="s">
        <v>43</v>
      </c>
      <c r="H859" t="s">
        <v>44</v>
      </c>
      <c r="I859" t="s">
        <v>34</v>
      </c>
      <c r="J859" t="s">
        <v>45</v>
      </c>
      <c r="K859" t="s">
        <v>41</v>
      </c>
      <c r="L859" t="s">
        <v>4592</v>
      </c>
      <c r="M859" t="s">
        <v>4465</v>
      </c>
      <c r="N859" t="s">
        <v>516</v>
      </c>
      <c r="O859" t="s">
        <v>64</v>
      </c>
      <c r="P859" t="s">
        <v>4593</v>
      </c>
      <c r="Q859" t="s">
        <v>62</v>
      </c>
      <c r="R859" t="s">
        <v>488</v>
      </c>
      <c r="S859">
        <v>11.67</v>
      </c>
      <c r="T859">
        <v>7634</v>
      </c>
      <c r="U859">
        <v>0</v>
      </c>
      <c r="V859">
        <v>7634</v>
      </c>
    </row>
    <row r="860" spans="1:22" x14ac:dyDescent="0.3">
      <c r="A860">
        <v>80147</v>
      </c>
      <c r="B860">
        <v>138028192</v>
      </c>
      <c r="C860" t="s">
        <v>4594</v>
      </c>
      <c r="D860" t="s">
        <v>4595</v>
      </c>
      <c r="E860" t="s">
        <v>4105</v>
      </c>
      <c r="F860" t="s">
        <v>514</v>
      </c>
      <c r="G860" t="s">
        <v>43</v>
      </c>
      <c r="H860" t="s">
        <v>44</v>
      </c>
      <c r="I860" t="s">
        <v>34</v>
      </c>
      <c r="J860" t="s">
        <v>45</v>
      </c>
      <c r="K860" t="s">
        <v>41</v>
      </c>
      <c r="L860" t="s">
        <v>4596</v>
      </c>
      <c r="M860" t="s">
        <v>4597</v>
      </c>
      <c r="N860" t="s">
        <v>516</v>
      </c>
      <c r="O860" t="s">
        <v>64</v>
      </c>
      <c r="P860" t="s">
        <v>4598</v>
      </c>
      <c r="Q860" t="s">
        <v>56</v>
      </c>
      <c r="R860" t="s">
        <v>4534</v>
      </c>
      <c r="S860">
        <v>1</v>
      </c>
      <c r="T860">
        <v>3904</v>
      </c>
      <c r="U860">
        <v>0</v>
      </c>
      <c r="V860">
        <v>3904</v>
      </c>
    </row>
    <row r="861" spans="1:22" x14ac:dyDescent="0.3">
      <c r="A861">
        <v>80147</v>
      </c>
      <c r="B861">
        <v>138009016</v>
      </c>
      <c r="C861" t="s">
        <v>4599</v>
      </c>
      <c r="D861" t="s">
        <v>4600</v>
      </c>
      <c r="E861" t="s">
        <v>4105</v>
      </c>
      <c r="F861" t="s">
        <v>514</v>
      </c>
      <c r="G861" t="s">
        <v>43</v>
      </c>
      <c r="H861" t="s">
        <v>44</v>
      </c>
      <c r="I861" t="s">
        <v>34</v>
      </c>
      <c r="J861" t="s">
        <v>45</v>
      </c>
      <c r="K861" t="s">
        <v>41</v>
      </c>
      <c r="L861" t="s">
        <v>4601</v>
      </c>
      <c r="M861" t="s">
        <v>4602</v>
      </c>
      <c r="N861" t="s">
        <v>516</v>
      </c>
      <c r="O861" t="s">
        <v>64</v>
      </c>
      <c r="P861" t="s">
        <v>4603</v>
      </c>
      <c r="Q861" t="s">
        <v>106</v>
      </c>
      <c r="R861" t="s">
        <v>4482</v>
      </c>
      <c r="S861">
        <v>1</v>
      </c>
      <c r="T861">
        <v>4025</v>
      </c>
      <c r="U861">
        <v>0</v>
      </c>
      <c r="V861">
        <v>4025</v>
      </c>
    </row>
    <row r="862" spans="1:22" x14ac:dyDescent="0.3">
      <c r="A862">
        <v>80147</v>
      </c>
      <c r="B862">
        <v>138051763</v>
      </c>
      <c r="C862" t="s">
        <v>4604</v>
      </c>
      <c r="D862" t="s">
        <v>4605</v>
      </c>
      <c r="E862" t="s">
        <v>4105</v>
      </c>
      <c r="F862" t="s">
        <v>514</v>
      </c>
      <c r="G862" t="s">
        <v>43</v>
      </c>
      <c r="H862" t="s">
        <v>44</v>
      </c>
      <c r="I862" t="s">
        <v>34</v>
      </c>
      <c r="J862" t="s">
        <v>45</v>
      </c>
      <c r="K862" t="s">
        <v>41</v>
      </c>
      <c r="L862" t="s">
        <v>4606</v>
      </c>
      <c r="M862" t="s">
        <v>4607</v>
      </c>
      <c r="N862" t="s">
        <v>516</v>
      </c>
      <c r="O862" t="s">
        <v>64</v>
      </c>
      <c r="P862" t="s">
        <v>4608</v>
      </c>
      <c r="Q862" t="s">
        <v>49</v>
      </c>
      <c r="R862" t="s">
        <v>4518</v>
      </c>
      <c r="S862">
        <v>1</v>
      </c>
      <c r="T862">
        <v>3642</v>
      </c>
      <c r="U862">
        <v>0</v>
      </c>
      <c r="V862">
        <v>3642</v>
      </c>
    </row>
    <row r="863" spans="1:22" x14ac:dyDescent="0.3">
      <c r="A863">
        <v>80147</v>
      </c>
      <c r="B863">
        <v>138009020</v>
      </c>
      <c r="C863" t="s">
        <v>4609</v>
      </c>
      <c r="D863" t="s">
        <v>4610</v>
      </c>
      <c r="E863" t="s">
        <v>4105</v>
      </c>
      <c r="F863" t="s">
        <v>514</v>
      </c>
      <c r="G863" t="s">
        <v>43</v>
      </c>
      <c r="H863" t="s">
        <v>44</v>
      </c>
      <c r="I863" t="s">
        <v>34</v>
      </c>
      <c r="J863" t="s">
        <v>45</v>
      </c>
      <c r="K863" t="s">
        <v>41</v>
      </c>
      <c r="L863" t="s">
        <v>4611</v>
      </c>
      <c r="M863" t="s">
        <v>4612</v>
      </c>
      <c r="N863" t="s">
        <v>516</v>
      </c>
      <c r="O863" t="s">
        <v>64</v>
      </c>
      <c r="P863" t="s">
        <v>4613</v>
      </c>
      <c r="Q863" t="s">
        <v>61</v>
      </c>
      <c r="R863" t="s">
        <v>4482</v>
      </c>
      <c r="S863">
        <v>1</v>
      </c>
      <c r="T863">
        <v>3501</v>
      </c>
      <c r="U863">
        <v>0</v>
      </c>
      <c r="V863">
        <v>3501</v>
      </c>
    </row>
    <row r="864" spans="1:22" x14ac:dyDescent="0.3">
      <c r="A864">
        <v>80147</v>
      </c>
      <c r="B864">
        <v>138113223</v>
      </c>
      <c r="C864" t="s">
        <v>4614</v>
      </c>
      <c r="D864" t="s">
        <v>4615</v>
      </c>
      <c r="E864" t="s">
        <v>4105</v>
      </c>
      <c r="F864" t="s">
        <v>514</v>
      </c>
      <c r="G864" t="s">
        <v>43</v>
      </c>
      <c r="H864" t="s">
        <v>44</v>
      </c>
      <c r="I864" t="s">
        <v>34</v>
      </c>
      <c r="J864" t="s">
        <v>45</v>
      </c>
      <c r="K864" t="s">
        <v>41</v>
      </c>
      <c r="L864" t="s">
        <v>4616</v>
      </c>
      <c r="M864" t="s">
        <v>4617</v>
      </c>
      <c r="N864" t="s">
        <v>516</v>
      </c>
      <c r="O864" t="s">
        <v>64</v>
      </c>
      <c r="P864" t="s">
        <v>4618</v>
      </c>
      <c r="Q864" t="s">
        <v>53</v>
      </c>
      <c r="R864" t="s">
        <v>434</v>
      </c>
      <c r="S864">
        <v>1</v>
      </c>
      <c r="T864">
        <v>3642</v>
      </c>
      <c r="U864">
        <v>0</v>
      </c>
      <c r="V864">
        <v>3642</v>
      </c>
    </row>
    <row r="865" spans="1:22" x14ac:dyDescent="0.3">
      <c r="A865">
        <v>80147</v>
      </c>
      <c r="B865">
        <v>138028197</v>
      </c>
      <c r="C865" t="s">
        <v>4619</v>
      </c>
      <c r="D865" t="s">
        <v>4620</v>
      </c>
      <c r="E865" t="s">
        <v>4105</v>
      </c>
      <c r="F865" t="s">
        <v>514</v>
      </c>
      <c r="G865" t="s">
        <v>43</v>
      </c>
      <c r="H865" t="s">
        <v>44</v>
      </c>
      <c r="I865" t="s">
        <v>34</v>
      </c>
      <c r="J865" t="s">
        <v>45</v>
      </c>
      <c r="K865" t="s">
        <v>41</v>
      </c>
      <c r="L865" t="s">
        <v>4621</v>
      </c>
      <c r="M865" t="s">
        <v>4622</v>
      </c>
      <c r="N865" t="s">
        <v>516</v>
      </c>
      <c r="O865" t="s">
        <v>64</v>
      </c>
      <c r="P865" t="s">
        <v>4623</v>
      </c>
      <c r="Q865" t="s">
        <v>61</v>
      </c>
      <c r="R865" t="s">
        <v>4534</v>
      </c>
      <c r="S865">
        <v>1</v>
      </c>
      <c r="T865">
        <v>3501</v>
      </c>
      <c r="U865">
        <v>0</v>
      </c>
      <c r="V865">
        <v>3501</v>
      </c>
    </row>
    <row r="866" spans="1:22" x14ac:dyDescent="0.3">
      <c r="A866">
        <v>80147</v>
      </c>
      <c r="B866">
        <v>138051747</v>
      </c>
      <c r="C866" t="s">
        <v>4624</v>
      </c>
      <c r="D866" t="s">
        <v>4625</v>
      </c>
      <c r="E866" t="s">
        <v>4105</v>
      </c>
      <c r="F866" t="s">
        <v>514</v>
      </c>
      <c r="G866" t="s">
        <v>43</v>
      </c>
      <c r="H866" t="s">
        <v>44</v>
      </c>
      <c r="I866" t="s">
        <v>34</v>
      </c>
      <c r="J866" t="s">
        <v>45</v>
      </c>
      <c r="K866" t="s">
        <v>41</v>
      </c>
      <c r="L866" t="s">
        <v>4626</v>
      </c>
      <c r="M866" t="s">
        <v>395</v>
      </c>
      <c r="N866" t="s">
        <v>516</v>
      </c>
      <c r="O866" t="s">
        <v>64</v>
      </c>
      <c r="P866" t="s">
        <v>4627</v>
      </c>
      <c r="Q866" t="s">
        <v>90</v>
      </c>
      <c r="R866" t="s">
        <v>4518</v>
      </c>
      <c r="S866">
        <v>1</v>
      </c>
      <c r="T866">
        <v>3904</v>
      </c>
      <c r="U866">
        <v>0</v>
      </c>
      <c r="V866">
        <v>3904</v>
      </c>
    </row>
    <row r="867" spans="1:22" x14ac:dyDescent="0.3">
      <c r="A867">
        <v>80147</v>
      </c>
      <c r="B867">
        <v>138113236</v>
      </c>
      <c r="C867" t="s">
        <v>4628</v>
      </c>
      <c r="D867" t="s">
        <v>4629</v>
      </c>
      <c r="E867" t="s">
        <v>4105</v>
      </c>
      <c r="F867" t="s">
        <v>514</v>
      </c>
      <c r="G867" t="s">
        <v>43</v>
      </c>
      <c r="H867" t="s">
        <v>44</v>
      </c>
      <c r="I867" t="s">
        <v>34</v>
      </c>
      <c r="J867" t="s">
        <v>45</v>
      </c>
      <c r="K867" t="s">
        <v>41</v>
      </c>
      <c r="L867" t="s">
        <v>4630</v>
      </c>
      <c r="M867" t="s">
        <v>4631</v>
      </c>
      <c r="N867" t="s">
        <v>516</v>
      </c>
      <c r="O867" t="s">
        <v>64</v>
      </c>
      <c r="P867" t="s">
        <v>4632</v>
      </c>
      <c r="Q867" t="s">
        <v>87</v>
      </c>
      <c r="R867" t="s">
        <v>434</v>
      </c>
      <c r="S867">
        <v>1</v>
      </c>
      <c r="T867">
        <v>4025</v>
      </c>
      <c r="U867">
        <v>0</v>
      </c>
      <c r="V867">
        <v>4025</v>
      </c>
    </row>
    <row r="868" spans="1:22" x14ac:dyDescent="0.3">
      <c r="A868">
        <v>80147</v>
      </c>
      <c r="B868">
        <v>137879472</v>
      </c>
      <c r="C868" t="s">
        <v>4633</v>
      </c>
      <c r="D868" t="s">
        <v>4634</v>
      </c>
      <c r="E868" t="s">
        <v>4105</v>
      </c>
      <c r="F868" t="s">
        <v>514</v>
      </c>
      <c r="G868" t="s">
        <v>43</v>
      </c>
      <c r="H868" t="s">
        <v>44</v>
      </c>
      <c r="I868" t="s">
        <v>34</v>
      </c>
      <c r="J868" t="s">
        <v>45</v>
      </c>
      <c r="K868" t="s">
        <v>41</v>
      </c>
      <c r="L868" t="s">
        <v>4635</v>
      </c>
      <c r="M868" t="s">
        <v>4118</v>
      </c>
      <c r="N868" t="s">
        <v>516</v>
      </c>
      <c r="O868" t="s">
        <v>64</v>
      </c>
      <c r="P868" t="s">
        <v>4636</v>
      </c>
      <c r="Q868" t="s">
        <v>48</v>
      </c>
      <c r="R868" t="s">
        <v>4637</v>
      </c>
      <c r="S868">
        <v>1</v>
      </c>
      <c r="T868">
        <v>4230</v>
      </c>
      <c r="U868">
        <v>0</v>
      </c>
      <c r="V868">
        <v>4230</v>
      </c>
    </row>
    <row r="869" spans="1:22" x14ac:dyDescent="0.3">
      <c r="A869">
        <v>80147</v>
      </c>
      <c r="B869">
        <v>137910019</v>
      </c>
      <c r="C869" t="s">
        <v>4638</v>
      </c>
      <c r="D869" t="s">
        <v>4639</v>
      </c>
      <c r="E869" t="s">
        <v>4105</v>
      </c>
      <c r="F869" t="s">
        <v>514</v>
      </c>
      <c r="G869" t="s">
        <v>43</v>
      </c>
      <c r="H869" t="s">
        <v>44</v>
      </c>
      <c r="I869" t="s">
        <v>34</v>
      </c>
      <c r="J869" t="s">
        <v>45</v>
      </c>
      <c r="K869" t="s">
        <v>41</v>
      </c>
      <c r="L869" t="s">
        <v>4640</v>
      </c>
      <c r="M869" t="s">
        <v>4641</v>
      </c>
      <c r="N869" t="s">
        <v>516</v>
      </c>
      <c r="O869" t="s">
        <v>64</v>
      </c>
      <c r="P869" t="s">
        <v>4642</v>
      </c>
      <c r="Q869" t="s">
        <v>50</v>
      </c>
      <c r="R869" t="s">
        <v>4643</v>
      </c>
      <c r="S869">
        <v>1</v>
      </c>
      <c r="T869">
        <v>5406</v>
      </c>
      <c r="U869">
        <v>0</v>
      </c>
      <c r="V869">
        <v>5406</v>
      </c>
    </row>
    <row r="870" spans="1:22" x14ac:dyDescent="0.3">
      <c r="A870">
        <v>80147</v>
      </c>
      <c r="B870">
        <v>137837282</v>
      </c>
      <c r="C870" t="s">
        <v>4644</v>
      </c>
      <c r="D870" t="s">
        <v>4645</v>
      </c>
      <c r="E870" t="s">
        <v>4105</v>
      </c>
      <c r="F870" t="s">
        <v>514</v>
      </c>
      <c r="G870" t="s">
        <v>43</v>
      </c>
      <c r="H870" t="s">
        <v>44</v>
      </c>
      <c r="I870" t="s">
        <v>34</v>
      </c>
      <c r="J870" t="s">
        <v>45</v>
      </c>
      <c r="K870" t="s">
        <v>41</v>
      </c>
      <c r="L870" t="s">
        <v>4646</v>
      </c>
      <c r="M870" t="s">
        <v>4647</v>
      </c>
      <c r="N870" t="s">
        <v>516</v>
      </c>
      <c r="O870" t="s">
        <v>64</v>
      </c>
      <c r="P870" t="s">
        <v>4648</v>
      </c>
      <c r="Q870" t="s">
        <v>82</v>
      </c>
      <c r="R870" t="s">
        <v>4498</v>
      </c>
      <c r="S870">
        <v>2.21</v>
      </c>
      <c r="T870">
        <v>5990</v>
      </c>
      <c r="U870">
        <v>0</v>
      </c>
      <c r="V870">
        <v>5990</v>
      </c>
    </row>
    <row r="871" spans="1:22" x14ac:dyDescent="0.3">
      <c r="A871">
        <v>80147</v>
      </c>
      <c r="B871">
        <v>137933867</v>
      </c>
      <c r="C871" t="s">
        <v>4649</v>
      </c>
      <c r="D871" t="s">
        <v>4650</v>
      </c>
      <c r="E871" t="s">
        <v>4105</v>
      </c>
      <c r="F871" t="s">
        <v>514</v>
      </c>
      <c r="G871" t="s">
        <v>43</v>
      </c>
      <c r="H871" t="s">
        <v>44</v>
      </c>
      <c r="I871" t="s">
        <v>34</v>
      </c>
      <c r="J871" t="s">
        <v>45</v>
      </c>
      <c r="K871" t="s">
        <v>41</v>
      </c>
      <c r="L871" t="s">
        <v>4651</v>
      </c>
      <c r="M871" t="s">
        <v>4652</v>
      </c>
      <c r="N871" t="s">
        <v>516</v>
      </c>
      <c r="O871" t="s">
        <v>64</v>
      </c>
      <c r="P871" t="s">
        <v>4653</v>
      </c>
      <c r="Q871" t="s">
        <v>50</v>
      </c>
      <c r="R871" t="s">
        <v>4654</v>
      </c>
      <c r="S871">
        <v>1</v>
      </c>
      <c r="T871">
        <v>5406</v>
      </c>
      <c r="U871">
        <v>0</v>
      </c>
      <c r="V871">
        <v>5406</v>
      </c>
    </row>
    <row r="872" spans="1:22" x14ac:dyDescent="0.3">
      <c r="A872">
        <v>80147</v>
      </c>
      <c r="B872">
        <v>137837285</v>
      </c>
      <c r="C872" t="s">
        <v>4655</v>
      </c>
      <c r="D872" t="s">
        <v>4656</v>
      </c>
      <c r="E872" t="s">
        <v>4105</v>
      </c>
      <c r="F872" t="s">
        <v>514</v>
      </c>
      <c r="G872" t="s">
        <v>43</v>
      </c>
      <c r="H872" t="s">
        <v>44</v>
      </c>
      <c r="I872" t="s">
        <v>34</v>
      </c>
      <c r="J872" t="s">
        <v>45</v>
      </c>
      <c r="K872" t="s">
        <v>41</v>
      </c>
      <c r="L872" t="s">
        <v>4657</v>
      </c>
      <c r="M872" t="s">
        <v>4658</v>
      </c>
      <c r="N872" t="s">
        <v>516</v>
      </c>
      <c r="O872" t="s">
        <v>64</v>
      </c>
      <c r="P872" t="s">
        <v>4659</v>
      </c>
      <c r="Q872" t="s">
        <v>168</v>
      </c>
      <c r="R872" t="s">
        <v>4498</v>
      </c>
      <c r="S872">
        <v>1</v>
      </c>
      <c r="T872">
        <v>4230</v>
      </c>
      <c r="U872">
        <v>0</v>
      </c>
      <c r="V872">
        <v>4230</v>
      </c>
    </row>
    <row r="873" spans="1:22" x14ac:dyDescent="0.3">
      <c r="A873">
        <v>80147</v>
      </c>
      <c r="B873">
        <v>137879475</v>
      </c>
      <c r="C873" t="s">
        <v>4660</v>
      </c>
      <c r="D873" t="s">
        <v>4661</v>
      </c>
      <c r="E873" t="s">
        <v>4105</v>
      </c>
      <c r="F873" t="s">
        <v>514</v>
      </c>
      <c r="G873" t="s">
        <v>43</v>
      </c>
      <c r="H873" t="s">
        <v>44</v>
      </c>
      <c r="I873" t="s">
        <v>34</v>
      </c>
      <c r="J873" t="s">
        <v>45</v>
      </c>
      <c r="K873" t="s">
        <v>41</v>
      </c>
      <c r="L873" t="s">
        <v>4662</v>
      </c>
      <c r="M873" t="s">
        <v>298</v>
      </c>
      <c r="N873" t="s">
        <v>516</v>
      </c>
      <c r="O873" t="s">
        <v>64</v>
      </c>
      <c r="P873" t="s">
        <v>4663</v>
      </c>
      <c r="Q873" t="s">
        <v>247</v>
      </c>
      <c r="R873" t="s">
        <v>4637</v>
      </c>
      <c r="S873">
        <v>6.35</v>
      </c>
      <c r="T873">
        <v>20196</v>
      </c>
      <c r="U873">
        <v>0</v>
      </c>
      <c r="V873">
        <v>20196</v>
      </c>
    </row>
    <row r="874" spans="1:22" x14ac:dyDescent="0.3">
      <c r="A874">
        <v>80147</v>
      </c>
      <c r="B874">
        <v>137870403</v>
      </c>
      <c r="C874" t="s">
        <v>4664</v>
      </c>
      <c r="D874" t="s">
        <v>4665</v>
      </c>
      <c r="E874" t="s">
        <v>4105</v>
      </c>
      <c r="F874" t="s">
        <v>514</v>
      </c>
      <c r="G874" t="s">
        <v>43</v>
      </c>
      <c r="H874" t="s">
        <v>44</v>
      </c>
      <c r="I874" t="s">
        <v>34</v>
      </c>
      <c r="J874" t="s">
        <v>45</v>
      </c>
      <c r="K874" t="s">
        <v>41</v>
      </c>
      <c r="L874" t="s">
        <v>4666</v>
      </c>
      <c r="M874" t="s">
        <v>4667</v>
      </c>
      <c r="N874" t="s">
        <v>516</v>
      </c>
      <c r="O874" t="s">
        <v>64</v>
      </c>
      <c r="P874" t="s">
        <v>4668</v>
      </c>
      <c r="Q874" t="s">
        <v>50</v>
      </c>
      <c r="R874" t="s">
        <v>492</v>
      </c>
      <c r="S874">
        <v>3.08</v>
      </c>
      <c r="T874">
        <v>7784</v>
      </c>
      <c r="U874">
        <v>0</v>
      </c>
      <c r="V874">
        <v>7784</v>
      </c>
    </row>
    <row r="875" spans="1:22" x14ac:dyDescent="0.3">
      <c r="A875">
        <v>80147</v>
      </c>
      <c r="B875">
        <v>137879479</v>
      </c>
      <c r="C875" t="s">
        <v>4669</v>
      </c>
      <c r="D875" t="s">
        <v>4670</v>
      </c>
      <c r="E875" t="s">
        <v>4105</v>
      </c>
      <c r="F875" t="s">
        <v>514</v>
      </c>
      <c r="G875" t="s">
        <v>43</v>
      </c>
      <c r="H875" t="s">
        <v>44</v>
      </c>
      <c r="I875" t="s">
        <v>34</v>
      </c>
      <c r="J875" t="s">
        <v>45</v>
      </c>
      <c r="K875" t="s">
        <v>41</v>
      </c>
      <c r="L875" t="s">
        <v>4671</v>
      </c>
      <c r="M875" t="s">
        <v>4672</v>
      </c>
      <c r="N875" t="s">
        <v>516</v>
      </c>
      <c r="O875" t="s">
        <v>64</v>
      </c>
      <c r="P875" t="s">
        <v>4673</v>
      </c>
      <c r="Q875" t="s">
        <v>50</v>
      </c>
      <c r="R875" t="s">
        <v>4637</v>
      </c>
      <c r="S875">
        <v>2.09</v>
      </c>
      <c r="T875">
        <v>5406</v>
      </c>
      <c r="U875">
        <v>0</v>
      </c>
      <c r="V875">
        <v>5406</v>
      </c>
    </row>
    <row r="876" spans="1:22" x14ac:dyDescent="0.3">
      <c r="A876">
        <v>80147</v>
      </c>
      <c r="B876">
        <v>137983281</v>
      </c>
      <c r="C876" t="s">
        <v>4674</v>
      </c>
      <c r="D876" t="s">
        <v>4675</v>
      </c>
      <c r="E876" t="s">
        <v>4105</v>
      </c>
      <c r="F876" t="s">
        <v>514</v>
      </c>
      <c r="G876" t="s">
        <v>43</v>
      </c>
      <c r="H876" t="s">
        <v>44</v>
      </c>
      <c r="I876" t="s">
        <v>34</v>
      </c>
      <c r="J876" t="s">
        <v>45</v>
      </c>
      <c r="K876" t="s">
        <v>41</v>
      </c>
      <c r="L876" t="s">
        <v>4676</v>
      </c>
      <c r="M876" t="s">
        <v>380</v>
      </c>
      <c r="N876" t="s">
        <v>516</v>
      </c>
      <c r="O876" t="s">
        <v>64</v>
      </c>
      <c r="P876" t="s">
        <v>4677</v>
      </c>
      <c r="Q876" t="s">
        <v>50</v>
      </c>
      <c r="R876" t="s">
        <v>500</v>
      </c>
      <c r="S876">
        <v>1</v>
      </c>
      <c r="T876">
        <v>5406</v>
      </c>
      <c r="U876">
        <v>0</v>
      </c>
      <c r="V876">
        <v>5406</v>
      </c>
    </row>
    <row r="877" spans="1:22" x14ac:dyDescent="0.3">
      <c r="A877">
        <v>80147</v>
      </c>
      <c r="B877">
        <v>137390203</v>
      </c>
      <c r="C877" t="s">
        <v>4678</v>
      </c>
      <c r="D877" t="s">
        <v>4679</v>
      </c>
      <c r="E877" t="s">
        <v>4105</v>
      </c>
      <c r="F877" t="s">
        <v>514</v>
      </c>
      <c r="G877" t="s">
        <v>43</v>
      </c>
      <c r="H877" t="s">
        <v>44</v>
      </c>
      <c r="I877" t="s">
        <v>34</v>
      </c>
      <c r="J877" t="s">
        <v>45</v>
      </c>
      <c r="K877" t="s">
        <v>41</v>
      </c>
      <c r="L877" t="s">
        <v>4680</v>
      </c>
      <c r="M877" t="s">
        <v>4681</v>
      </c>
      <c r="N877" t="s">
        <v>516</v>
      </c>
      <c r="O877" t="s">
        <v>64</v>
      </c>
      <c r="P877" t="s">
        <v>4682</v>
      </c>
      <c r="Q877" t="s">
        <v>98</v>
      </c>
      <c r="R877" t="s">
        <v>4683</v>
      </c>
      <c r="S877">
        <v>1.26</v>
      </c>
      <c r="T877">
        <v>5759</v>
      </c>
      <c r="U877">
        <v>0</v>
      </c>
      <c r="V877">
        <v>5759</v>
      </c>
    </row>
    <row r="878" spans="1:22" x14ac:dyDescent="0.3">
      <c r="A878">
        <v>80147</v>
      </c>
      <c r="B878">
        <v>137933869</v>
      </c>
      <c r="C878" t="s">
        <v>4684</v>
      </c>
      <c r="D878" t="s">
        <v>4685</v>
      </c>
      <c r="E878" t="s">
        <v>4105</v>
      </c>
      <c r="F878" t="s">
        <v>514</v>
      </c>
      <c r="G878" t="s">
        <v>43</v>
      </c>
      <c r="H878" t="s">
        <v>44</v>
      </c>
      <c r="I878" t="s">
        <v>34</v>
      </c>
      <c r="J878" t="s">
        <v>45</v>
      </c>
      <c r="K878" t="s">
        <v>41</v>
      </c>
      <c r="L878" t="s">
        <v>4686</v>
      </c>
      <c r="M878" t="s">
        <v>369</v>
      </c>
      <c r="N878" t="s">
        <v>516</v>
      </c>
      <c r="O878" t="s">
        <v>64</v>
      </c>
      <c r="P878" t="s">
        <v>4687</v>
      </c>
      <c r="Q878" t="s">
        <v>79</v>
      </c>
      <c r="R878" t="s">
        <v>4654</v>
      </c>
      <c r="S878">
        <v>1</v>
      </c>
      <c r="T878">
        <v>3501</v>
      </c>
      <c r="U878">
        <v>0</v>
      </c>
      <c r="V878">
        <v>3501</v>
      </c>
    </row>
    <row r="879" spans="1:22" x14ac:dyDescent="0.3">
      <c r="A879">
        <v>80147</v>
      </c>
      <c r="B879">
        <v>137837279</v>
      </c>
      <c r="C879" t="s">
        <v>4688</v>
      </c>
      <c r="D879" t="s">
        <v>4689</v>
      </c>
      <c r="E879" t="s">
        <v>4105</v>
      </c>
      <c r="F879" t="s">
        <v>514</v>
      </c>
      <c r="G879" t="s">
        <v>43</v>
      </c>
      <c r="H879" t="s">
        <v>44</v>
      </c>
      <c r="I879" t="s">
        <v>34</v>
      </c>
      <c r="J879" t="s">
        <v>45</v>
      </c>
      <c r="K879" t="s">
        <v>41</v>
      </c>
      <c r="L879" t="s">
        <v>4690</v>
      </c>
      <c r="M879" t="s">
        <v>4691</v>
      </c>
      <c r="N879" t="s">
        <v>516</v>
      </c>
      <c r="O879" t="s">
        <v>64</v>
      </c>
      <c r="P879" t="s">
        <v>4692</v>
      </c>
      <c r="Q879" t="s">
        <v>118</v>
      </c>
      <c r="R879" t="s">
        <v>4498</v>
      </c>
      <c r="S879">
        <v>1</v>
      </c>
      <c r="T879">
        <v>4230</v>
      </c>
      <c r="U879">
        <v>0</v>
      </c>
      <c r="V879">
        <v>4230</v>
      </c>
    </row>
    <row r="880" spans="1:22" x14ac:dyDescent="0.3">
      <c r="A880">
        <v>80147</v>
      </c>
      <c r="B880">
        <v>137837294</v>
      </c>
      <c r="C880" t="s">
        <v>4693</v>
      </c>
      <c r="D880" t="s">
        <v>4694</v>
      </c>
      <c r="E880" t="s">
        <v>4105</v>
      </c>
      <c r="F880" t="s">
        <v>514</v>
      </c>
      <c r="G880" t="s">
        <v>43</v>
      </c>
      <c r="H880" t="s">
        <v>44</v>
      </c>
      <c r="I880" t="s">
        <v>34</v>
      </c>
      <c r="J880" t="s">
        <v>45</v>
      </c>
      <c r="K880" t="s">
        <v>41</v>
      </c>
      <c r="L880" t="s">
        <v>4695</v>
      </c>
      <c r="M880" t="s">
        <v>4696</v>
      </c>
      <c r="N880" t="s">
        <v>516</v>
      </c>
      <c r="O880" t="s">
        <v>64</v>
      </c>
      <c r="P880" t="s">
        <v>4697</v>
      </c>
      <c r="Q880" t="s">
        <v>118</v>
      </c>
      <c r="R880" t="s">
        <v>4698</v>
      </c>
      <c r="S880">
        <v>1</v>
      </c>
      <c r="T880">
        <v>4230</v>
      </c>
      <c r="U880">
        <v>0</v>
      </c>
      <c r="V880">
        <v>4230</v>
      </c>
    </row>
    <row r="881" spans="1:22" x14ac:dyDescent="0.3">
      <c r="A881">
        <v>80147</v>
      </c>
      <c r="B881">
        <v>137963721</v>
      </c>
      <c r="C881" t="s">
        <v>4699</v>
      </c>
      <c r="D881" t="s">
        <v>4700</v>
      </c>
      <c r="E881" t="s">
        <v>4105</v>
      </c>
      <c r="F881" t="s">
        <v>514</v>
      </c>
      <c r="G881" t="s">
        <v>43</v>
      </c>
      <c r="H881" t="s">
        <v>44</v>
      </c>
      <c r="I881" t="s">
        <v>34</v>
      </c>
      <c r="J881" t="s">
        <v>45</v>
      </c>
      <c r="K881" t="s">
        <v>41</v>
      </c>
      <c r="L881" t="s">
        <v>4701</v>
      </c>
      <c r="M881" t="s">
        <v>4702</v>
      </c>
      <c r="N881" t="s">
        <v>516</v>
      </c>
      <c r="O881" t="s">
        <v>64</v>
      </c>
      <c r="P881" t="s">
        <v>4703</v>
      </c>
      <c r="Q881" t="s">
        <v>173</v>
      </c>
      <c r="R881" t="s">
        <v>4704</v>
      </c>
      <c r="S881">
        <v>3.1</v>
      </c>
      <c r="T881">
        <v>5316</v>
      </c>
      <c r="U881">
        <v>0</v>
      </c>
      <c r="V881">
        <v>5316</v>
      </c>
    </row>
    <row r="882" spans="1:22" x14ac:dyDescent="0.3">
      <c r="A882">
        <v>80147</v>
      </c>
      <c r="B882">
        <v>137468072</v>
      </c>
      <c r="C882" t="s">
        <v>4705</v>
      </c>
      <c r="D882" t="s">
        <v>4706</v>
      </c>
      <c r="E882" t="s">
        <v>4105</v>
      </c>
      <c r="F882" t="s">
        <v>514</v>
      </c>
      <c r="G882" t="s">
        <v>43</v>
      </c>
      <c r="H882" t="s">
        <v>44</v>
      </c>
      <c r="I882" t="s">
        <v>34</v>
      </c>
      <c r="J882" t="s">
        <v>45</v>
      </c>
      <c r="K882" t="s">
        <v>41</v>
      </c>
      <c r="L882" t="s">
        <v>4707</v>
      </c>
      <c r="M882" t="s">
        <v>4708</v>
      </c>
      <c r="N882" t="s">
        <v>516</v>
      </c>
      <c r="O882" t="s">
        <v>64</v>
      </c>
      <c r="P882" t="s">
        <v>4709</v>
      </c>
      <c r="Q882" t="s">
        <v>166</v>
      </c>
      <c r="R882" t="s">
        <v>4555</v>
      </c>
      <c r="S882">
        <v>1</v>
      </c>
      <c r="T882">
        <v>5759</v>
      </c>
      <c r="U882">
        <v>0</v>
      </c>
      <c r="V882">
        <v>5759</v>
      </c>
    </row>
    <row r="883" spans="1:22" x14ac:dyDescent="0.3">
      <c r="A883">
        <v>80147</v>
      </c>
      <c r="B883">
        <v>137910027</v>
      </c>
      <c r="C883" t="s">
        <v>4710</v>
      </c>
      <c r="D883" t="s">
        <v>4711</v>
      </c>
      <c r="E883" t="s">
        <v>4105</v>
      </c>
      <c r="F883" t="s">
        <v>514</v>
      </c>
      <c r="G883" t="s">
        <v>43</v>
      </c>
      <c r="H883" t="s">
        <v>44</v>
      </c>
      <c r="I883" t="s">
        <v>34</v>
      </c>
      <c r="J883" t="s">
        <v>45</v>
      </c>
      <c r="K883" t="s">
        <v>41</v>
      </c>
      <c r="L883" t="s">
        <v>4712</v>
      </c>
      <c r="M883" t="s">
        <v>4713</v>
      </c>
      <c r="N883" t="s">
        <v>516</v>
      </c>
      <c r="O883" t="s">
        <v>64</v>
      </c>
      <c r="P883" t="s">
        <v>4714</v>
      </c>
      <c r="Q883" t="s">
        <v>49</v>
      </c>
      <c r="R883" t="s">
        <v>4643</v>
      </c>
      <c r="S883">
        <v>1</v>
      </c>
      <c r="T883">
        <v>3642</v>
      </c>
      <c r="U883">
        <v>0</v>
      </c>
      <c r="V883">
        <v>3642</v>
      </c>
    </row>
    <row r="884" spans="1:22" x14ac:dyDescent="0.3">
      <c r="A884">
        <v>80147</v>
      </c>
      <c r="B884">
        <v>137963720</v>
      </c>
      <c r="C884" t="s">
        <v>4715</v>
      </c>
      <c r="D884" t="s">
        <v>4716</v>
      </c>
      <c r="E884" t="s">
        <v>4105</v>
      </c>
      <c r="F884" t="s">
        <v>514</v>
      </c>
      <c r="G884" t="s">
        <v>43</v>
      </c>
      <c r="H884" t="s">
        <v>44</v>
      </c>
      <c r="I884" t="s">
        <v>34</v>
      </c>
      <c r="J884" t="s">
        <v>45</v>
      </c>
      <c r="K884" t="s">
        <v>41</v>
      </c>
      <c r="L884" t="s">
        <v>4717</v>
      </c>
      <c r="M884" t="s">
        <v>4718</v>
      </c>
      <c r="N884" t="s">
        <v>516</v>
      </c>
      <c r="O884" t="s">
        <v>64</v>
      </c>
      <c r="P884" t="s">
        <v>4719</v>
      </c>
      <c r="Q884" t="s">
        <v>42</v>
      </c>
      <c r="R884" t="s">
        <v>4704</v>
      </c>
      <c r="S884">
        <v>2.1800000000000002</v>
      </c>
      <c r="T884">
        <v>3936</v>
      </c>
      <c r="U884">
        <v>0</v>
      </c>
      <c r="V884">
        <v>3936</v>
      </c>
    </row>
    <row r="885" spans="1:22" x14ac:dyDescent="0.3">
      <c r="A885">
        <v>80147</v>
      </c>
      <c r="B885">
        <v>137870421</v>
      </c>
      <c r="C885" t="s">
        <v>4720</v>
      </c>
      <c r="D885" t="s">
        <v>4721</v>
      </c>
      <c r="E885" t="s">
        <v>4105</v>
      </c>
      <c r="F885" t="s">
        <v>514</v>
      </c>
      <c r="G885" t="s">
        <v>43</v>
      </c>
      <c r="H885" t="s">
        <v>44</v>
      </c>
      <c r="I885" t="s">
        <v>34</v>
      </c>
      <c r="J885" t="s">
        <v>45</v>
      </c>
      <c r="K885" t="s">
        <v>41</v>
      </c>
      <c r="L885" t="s">
        <v>4722</v>
      </c>
      <c r="M885" t="s">
        <v>4723</v>
      </c>
      <c r="N885" t="s">
        <v>516</v>
      </c>
      <c r="O885" t="s">
        <v>64</v>
      </c>
      <c r="P885" t="s">
        <v>4724</v>
      </c>
      <c r="Q885" t="s">
        <v>72</v>
      </c>
      <c r="R885" t="s">
        <v>492</v>
      </c>
      <c r="S885">
        <v>1.95</v>
      </c>
      <c r="T885">
        <v>3936</v>
      </c>
      <c r="U885">
        <v>0</v>
      </c>
      <c r="V885">
        <v>3936</v>
      </c>
    </row>
    <row r="886" spans="1:22" x14ac:dyDescent="0.3">
      <c r="A886">
        <v>80147</v>
      </c>
      <c r="B886">
        <v>137933870</v>
      </c>
      <c r="C886" t="s">
        <v>4725</v>
      </c>
      <c r="D886" t="s">
        <v>4726</v>
      </c>
      <c r="E886" t="s">
        <v>4105</v>
      </c>
      <c r="F886" t="s">
        <v>514</v>
      </c>
      <c r="G886" t="s">
        <v>43</v>
      </c>
      <c r="H886" t="s">
        <v>44</v>
      </c>
      <c r="I886" t="s">
        <v>34</v>
      </c>
      <c r="J886" t="s">
        <v>45</v>
      </c>
      <c r="K886" t="s">
        <v>41</v>
      </c>
      <c r="L886" t="s">
        <v>4727</v>
      </c>
      <c r="M886" t="s">
        <v>99</v>
      </c>
      <c r="N886" t="s">
        <v>516</v>
      </c>
      <c r="O886" t="s">
        <v>64</v>
      </c>
      <c r="P886" t="s">
        <v>4728</v>
      </c>
      <c r="Q886" t="s">
        <v>106</v>
      </c>
      <c r="R886" t="s">
        <v>4654</v>
      </c>
      <c r="S886">
        <v>1</v>
      </c>
      <c r="T886">
        <v>4025</v>
      </c>
      <c r="U886">
        <v>0</v>
      </c>
      <c r="V886">
        <v>4025</v>
      </c>
    </row>
    <row r="887" spans="1:22" x14ac:dyDescent="0.3">
      <c r="A887">
        <v>80147</v>
      </c>
      <c r="B887">
        <v>137983282</v>
      </c>
      <c r="C887" t="s">
        <v>4729</v>
      </c>
      <c r="D887" t="s">
        <v>4730</v>
      </c>
      <c r="E887" t="s">
        <v>4105</v>
      </c>
      <c r="F887" t="s">
        <v>514</v>
      </c>
      <c r="G887" t="s">
        <v>43</v>
      </c>
      <c r="H887" t="s">
        <v>44</v>
      </c>
      <c r="I887" t="s">
        <v>34</v>
      </c>
      <c r="J887" t="s">
        <v>45</v>
      </c>
      <c r="K887" t="s">
        <v>41</v>
      </c>
      <c r="L887" t="s">
        <v>4731</v>
      </c>
      <c r="M887" t="s">
        <v>4732</v>
      </c>
      <c r="N887" t="s">
        <v>516</v>
      </c>
      <c r="O887" t="s">
        <v>64</v>
      </c>
      <c r="P887" t="s">
        <v>4733</v>
      </c>
      <c r="Q887" t="s">
        <v>97</v>
      </c>
      <c r="R887" t="s">
        <v>500</v>
      </c>
      <c r="S887">
        <v>1</v>
      </c>
      <c r="T887">
        <v>4520</v>
      </c>
      <c r="U887">
        <v>0</v>
      </c>
      <c r="V887">
        <v>4520</v>
      </c>
    </row>
    <row r="888" spans="1:22" x14ac:dyDescent="0.3">
      <c r="A888">
        <v>80147</v>
      </c>
      <c r="B888">
        <v>137933871</v>
      </c>
      <c r="C888" t="s">
        <v>4734</v>
      </c>
      <c r="D888" t="s">
        <v>4735</v>
      </c>
      <c r="E888" t="s">
        <v>4105</v>
      </c>
      <c r="F888" t="s">
        <v>514</v>
      </c>
      <c r="G888" t="s">
        <v>43</v>
      </c>
      <c r="H888" t="s">
        <v>44</v>
      </c>
      <c r="I888" t="s">
        <v>34</v>
      </c>
      <c r="J888" t="s">
        <v>45</v>
      </c>
      <c r="K888" t="s">
        <v>41</v>
      </c>
      <c r="L888" t="s">
        <v>4736</v>
      </c>
      <c r="M888" t="s">
        <v>4737</v>
      </c>
      <c r="N888" t="s">
        <v>516</v>
      </c>
      <c r="O888" t="s">
        <v>64</v>
      </c>
      <c r="P888" t="s">
        <v>4738</v>
      </c>
      <c r="Q888" t="s">
        <v>125</v>
      </c>
      <c r="R888" t="s">
        <v>4654</v>
      </c>
      <c r="S888">
        <v>1</v>
      </c>
      <c r="T888">
        <v>4230</v>
      </c>
      <c r="U888">
        <v>0</v>
      </c>
      <c r="V888">
        <v>4230</v>
      </c>
    </row>
    <row r="889" spans="1:22" x14ac:dyDescent="0.3">
      <c r="A889">
        <v>80147</v>
      </c>
      <c r="B889">
        <v>137879478</v>
      </c>
      <c r="C889" t="s">
        <v>4739</v>
      </c>
      <c r="D889" t="s">
        <v>4740</v>
      </c>
      <c r="E889" t="s">
        <v>4105</v>
      </c>
      <c r="F889" t="s">
        <v>514</v>
      </c>
      <c r="G889" t="s">
        <v>43</v>
      </c>
      <c r="H889" t="s">
        <v>44</v>
      </c>
      <c r="I889" t="s">
        <v>34</v>
      </c>
      <c r="J889" t="s">
        <v>45</v>
      </c>
      <c r="K889" t="s">
        <v>41</v>
      </c>
      <c r="L889" t="s">
        <v>4741</v>
      </c>
      <c r="M889" t="s">
        <v>155</v>
      </c>
      <c r="N889" t="s">
        <v>516</v>
      </c>
      <c r="O889" t="s">
        <v>64</v>
      </c>
      <c r="P889" t="s">
        <v>4742</v>
      </c>
      <c r="Q889" t="s">
        <v>108</v>
      </c>
      <c r="R889" t="s">
        <v>4637</v>
      </c>
      <c r="S889">
        <v>1</v>
      </c>
      <c r="T889">
        <v>3501</v>
      </c>
      <c r="U889">
        <v>0</v>
      </c>
      <c r="V889">
        <v>3501</v>
      </c>
    </row>
    <row r="890" spans="1:22" x14ac:dyDescent="0.3">
      <c r="A890">
        <v>80147</v>
      </c>
      <c r="B890">
        <v>137983279</v>
      </c>
      <c r="C890" t="s">
        <v>4743</v>
      </c>
      <c r="D890" t="s">
        <v>4744</v>
      </c>
      <c r="E890" t="s">
        <v>4105</v>
      </c>
      <c r="F890" t="s">
        <v>514</v>
      </c>
      <c r="G890" t="s">
        <v>43</v>
      </c>
      <c r="H890" t="s">
        <v>44</v>
      </c>
      <c r="I890" t="s">
        <v>34</v>
      </c>
      <c r="J890" t="s">
        <v>45</v>
      </c>
      <c r="K890" t="s">
        <v>41</v>
      </c>
      <c r="L890" t="s">
        <v>4745</v>
      </c>
      <c r="M890" t="s">
        <v>4746</v>
      </c>
      <c r="N890" t="s">
        <v>516</v>
      </c>
      <c r="O890" t="s">
        <v>64</v>
      </c>
      <c r="P890" t="s">
        <v>4747</v>
      </c>
      <c r="Q890" t="s">
        <v>53</v>
      </c>
      <c r="R890" t="s">
        <v>500</v>
      </c>
      <c r="S890">
        <v>1</v>
      </c>
      <c r="T890">
        <v>3642</v>
      </c>
      <c r="U890">
        <v>0</v>
      </c>
      <c r="V890">
        <v>3642</v>
      </c>
    </row>
    <row r="891" spans="1:22" x14ac:dyDescent="0.3">
      <c r="A891">
        <v>80147</v>
      </c>
      <c r="B891">
        <v>137870416</v>
      </c>
      <c r="C891" t="s">
        <v>4748</v>
      </c>
      <c r="D891" t="s">
        <v>4749</v>
      </c>
      <c r="E891" t="s">
        <v>4105</v>
      </c>
      <c r="F891" t="s">
        <v>514</v>
      </c>
      <c r="G891" t="s">
        <v>43</v>
      </c>
      <c r="H891" t="s">
        <v>44</v>
      </c>
      <c r="I891" t="s">
        <v>34</v>
      </c>
      <c r="J891" t="s">
        <v>45</v>
      </c>
      <c r="K891" t="s">
        <v>41</v>
      </c>
      <c r="L891" t="s">
        <v>4750</v>
      </c>
      <c r="M891" t="s">
        <v>4751</v>
      </c>
      <c r="N891" t="s">
        <v>516</v>
      </c>
      <c r="O891" t="s">
        <v>64</v>
      </c>
      <c r="P891" t="s">
        <v>4752</v>
      </c>
      <c r="Q891" t="s">
        <v>144</v>
      </c>
      <c r="R891" t="s">
        <v>492</v>
      </c>
      <c r="S891">
        <v>1</v>
      </c>
      <c r="T891">
        <v>3904</v>
      </c>
      <c r="U891">
        <v>0</v>
      </c>
      <c r="V891">
        <v>3904</v>
      </c>
    </row>
    <row r="892" spans="1:22" x14ac:dyDescent="0.3">
      <c r="A892">
        <v>80147</v>
      </c>
      <c r="B892">
        <v>137910035</v>
      </c>
      <c r="C892" t="s">
        <v>4753</v>
      </c>
      <c r="D892" t="s">
        <v>4754</v>
      </c>
      <c r="E892" t="s">
        <v>4105</v>
      </c>
      <c r="F892" t="s">
        <v>514</v>
      </c>
      <c r="G892" t="s">
        <v>43</v>
      </c>
      <c r="H892" t="s">
        <v>44</v>
      </c>
      <c r="I892" t="s">
        <v>34</v>
      </c>
      <c r="J892" t="s">
        <v>45</v>
      </c>
      <c r="K892" t="s">
        <v>41</v>
      </c>
      <c r="L892" t="s">
        <v>4755</v>
      </c>
      <c r="M892" t="s">
        <v>4756</v>
      </c>
      <c r="N892" t="s">
        <v>516</v>
      </c>
      <c r="O892" t="s">
        <v>64</v>
      </c>
      <c r="P892" t="s">
        <v>4757</v>
      </c>
      <c r="Q892" t="s">
        <v>49</v>
      </c>
      <c r="R892" t="s">
        <v>4643</v>
      </c>
      <c r="S892">
        <v>1</v>
      </c>
      <c r="T892">
        <v>3642</v>
      </c>
      <c r="U892">
        <v>0</v>
      </c>
      <c r="V892">
        <v>3642</v>
      </c>
    </row>
    <row r="893" spans="1:22" x14ac:dyDescent="0.3">
      <c r="A893">
        <v>80147</v>
      </c>
      <c r="B893">
        <v>137659232</v>
      </c>
      <c r="C893" t="s">
        <v>4758</v>
      </c>
      <c r="D893" t="s">
        <v>4759</v>
      </c>
      <c r="E893" t="s">
        <v>4105</v>
      </c>
      <c r="F893" t="s">
        <v>514</v>
      </c>
      <c r="G893" t="s">
        <v>43</v>
      </c>
      <c r="H893" t="s">
        <v>44</v>
      </c>
      <c r="I893" t="s">
        <v>34</v>
      </c>
      <c r="J893" t="s">
        <v>45</v>
      </c>
      <c r="K893" t="s">
        <v>41</v>
      </c>
      <c r="L893" t="s">
        <v>4760</v>
      </c>
      <c r="M893" t="s">
        <v>4761</v>
      </c>
      <c r="N893" t="s">
        <v>516</v>
      </c>
      <c r="O893" t="s">
        <v>64</v>
      </c>
      <c r="P893" t="s">
        <v>4762</v>
      </c>
      <c r="Q893" t="s">
        <v>98</v>
      </c>
      <c r="R893" t="s">
        <v>4763</v>
      </c>
      <c r="S893">
        <v>0.9</v>
      </c>
      <c r="T893">
        <v>5759</v>
      </c>
      <c r="U893">
        <v>0</v>
      </c>
      <c r="V893">
        <v>5759</v>
      </c>
    </row>
    <row r="894" spans="1:22" x14ac:dyDescent="0.3">
      <c r="A894">
        <v>80147</v>
      </c>
      <c r="B894">
        <v>137983290</v>
      </c>
      <c r="C894" t="s">
        <v>4764</v>
      </c>
      <c r="D894" t="s">
        <v>4765</v>
      </c>
      <c r="E894" t="s">
        <v>4105</v>
      </c>
      <c r="F894" t="s">
        <v>514</v>
      </c>
      <c r="G894" t="s">
        <v>43</v>
      </c>
      <c r="H894" t="s">
        <v>44</v>
      </c>
      <c r="I894" t="s">
        <v>34</v>
      </c>
      <c r="J894" t="s">
        <v>45</v>
      </c>
      <c r="K894" t="s">
        <v>41</v>
      </c>
      <c r="L894" t="s">
        <v>4766</v>
      </c>
      <c r="M894" t="s">
        <v>4767</v>
      </c>
      <c r="N894" t="s">
        <v>516</v>
      </c>
      <c r="O894" t="s">
        <v>64</v>
      </c>
      <c r="P894" t="s">
        <v>4768</v>
      </c>
      <c r="Q894" t="s">
        <v>90</v>
      </c>
      <c r="R894" t="s">
        <v>500</v>
      </c>
      <c r="S894">
        <v>2.11</v>
      </c>
      <c r="T894">
        <v>3904</v>
      </c>
      <c r="U894">
        <v>0</v>
      </c>
      <c r="V894">
        <v>3904</v>
      </c>
    </row>
    <row r="895" spans="1:22" x14ac:dyDescent="0.3">
      <c r="A895">
        <v>80147</v>
      </c>
      <c r="B895">
        <v>137910044</v>
      </c>
      <c r="C895" t="s">
        <v>4769</v>
      </c>
      <c r="D895" t="s">
        <v>4770</v>
      </c>
      <c r="E895" t="s">
        <v>4105</v>
      </c>
      <c r="F895" t="s">
        <v>514</v>
      </c>
      <c r="G895" t="s">
        <v>43</v>
      </c>
      <c r="H895" t="s">
        <v>44</v>
      </c>
      <c r="I895" t="s">
        <v>34</v>
      </c>
      <c r="J895" t="s">
        <v>45</v>
      </c>
      <c r="K895" t="s">
        <v>41</v>
      </c>
      <c r="L895" t="s">
        <v>4771</v>
      </c>
      <c r="M895" t="s">
        <v>337</v>
      </c>
      <c r="N895" t="s">
        <v>516</v>
      </c>
      <c r="O895" t="s">
        <v>64</v>
      </c>
      <c r="P895" t="s">
        <v>4772</v>
      </c>
      <c r="Q895" t="s">
        <v>62</v>
      </c>
      <c r="R895" t="s">
        <v>4643</v>
      </c>
      <c r="S895">
        <v>6.22</v>
      </c>
      <c r="T895">
        <v>5696</v>
      </c>
      <c r="U895">
        <v>0</v>
      </c>
      <c r="V895">
        <v>5696</v>
      </c>
    </row>
    <row r="896" spans="1:22" x14ac:dyDescent="0.3">
      <c r="A896">
        <v>80147</v>
      </c>
      <c r="B896">
        <v>137963715</v>
      </c>
      <c r="C896" t="s">
        <v>4773</v>
      </c>
      <c r="D896" t="s">
        <v>4774</v>
      </c>
      <c r="E896" t="s">
        <v>4105</v>
      </c>
      <c r="F896" t="s">
        <v>514</v>
      </c>
      <c r="G896" t="s">
        <v>43</v>
      </c>
      <c r="H896" t="s">
        <v>44</v>
      </c>
      <c r="I896" t="s">
        <v>34</v>
      </c>
      <c r="J896" t="s">
        <v>45</v>
      </c>
      <c r="K896" t="s">
        <v>41</v>
      </c>
      <c r="L896" t="s">
        <v>4775</v>
      </c>
      <c r="M896" t="s">
        <v>4776</v>
      </c>
      <c r="N896" t="s">
        <v>516</v>
      </c>
      <c r="O896" t="s">
        <v>64</v>
      </c>
      <c r="P896" t="s">
        <v>4777</v>
      </c>
      <c r="Q896" t="s">
        <v>79</v>
      </c>
      <c r="R896" t="s">
        <v>4704</v>
      </c>
      <c r="S896">
        <v>3.07</v>
      </c>
      <c r="T896">
        <v>3949</v>
      </c>
      <c r="U896">
        <v>0</v>
      </c>
      <c r="V896">
        <v>3949</v>
      </c>
    </row>
    <row r="897" spans="1:22" x14ac:dyDescent="0.3">
      <c r="A897">
        <v>80147</v>
      </c>
      <c r="B897">
        <v>137870418</v>
      </c>
      <c r="C897" t="s">
        <v>4778</v>
      </c>
      <c r="D897" t="s">
        <v>4779</v>
      </c>
      <c r="E897" t="s">
        <v>4105</v>
      </c>
      <c r="F897" t="s">
        <v>514</v>
      </c>
      <c r="G897" t="s">
        <v>43</v>
      </c>
      <c r="H897" t="s">
        <v>44</v>
      </c>
      <c r="I897" t="s">
        <v>34</v>
      </c>
      <c r="J897" t="s">
        <v>45</v>
      </c>
      <c r="K897" t="s">
        <v>41</v>
      </c>
      <c r="L897" t="s">
        <v>4780</v>
      </c>
      <c r="M897" t="s">
        <v>4781</v>
      </c>
      <c r="N897" t="s">
        <v>516</v>
      </c>
      <c r="O897" t="s">
        <v>64</v>
      </c>
      <c r="P897" t="s">
        <v>4782</v>
      </c>
      <c r="Q897" t="s">
        <v>90</v>
      </c>
      <c r="R897" t="s">
        <v>492</v>
      </c>
      <c r="S897">
        <v>1</v>
      </c>
      <c r="T897">
        <v>3904</v>
      </c>
      <c r="U897">
        <v>0</v>
      </c>
      <c r="V897">
        <v>3904</v>
      </c>
    </row>
    <row r="898" spans="1:22" x14ac:dyDescent="0.3">
      <c r="A898">
        <v>80147</v>
      </c>
      <c r="B898">
        <v>137837283</v>
      </c>
      <c r="C898" t="s">
        <v>4783</v>
      </c>
      <c r="D898" t="s">
        <v>4784</v>
      </c>
      <c r="E898" t="s">
        <v>4105</v>
      </c>
      <c r="F898" t="s">
        <v>514</v>
      </c>
      <c r="G898" t="s">
        <v>43</v>
      </c>
      <c r="H898" t="s">
        <v>44</v>
      </c>
      <c r="I898" t="s">
        <v>34</v>
      </c>
      <c r="J898" t="s">
        <v>45</v>
      </c>
      <c r="K898" t="s">
        <v>41</v>
      </c>
      <c r="L898" t="s">
        <v>4785</v>
      </c>
      <c r="M898" t="s">
        <v>4786</v>
      </c>
      <c r="N898" t="s">
        <v>516</v>
      </c>
      <c r="O898" t="s">
        <v>64</v>
      </c>
      <c r="P898" t="s">
        <v>4787</v>
      </c>
      <c r="Q898" t="s">
        <v>102</v>
      </c>
      <c r="R898" t="s">
        <v>4498</v>
      </c>
      <c r="S898">
        <v>3.08</v>
      </c>
      <c r="T898">
        <v>3949</v>
      </c>
      <c r="U898">
        <v>0</v>
      </c>
      <c r="V898">
        <v>3949</v>
      </c>
    </row>
    <row r="899" spans="1:22" x14ac:dyDescent="0.3">
      <c r="A899">
        <v>80147</v>
      </c>
      <c r="B899">
        <v>137910031</v>
      </c>
      <c r="C899" t="s">
        <v>4788</v>
      </c>
      <c r="D899" t="s">
        <v>4789</v>
      </c>
      <c r="E899" t="s">
        <v>4105</v>
      </c>
      <c r="F899" t="s">
        <v>514</v>
      </c>
      <c r="G899" t="s">
        <v>43</v>
      </c>
      <c r="H899" t="s">
        <v>44</v>
      </c>
      <c r="I899" t="s">
        <v>34</v>
      </c>
      <c r="J899" t="s">
        <v>45</v>
      </c>
      <c r="K899" t="s">
        <v>41</v>
      </c>
      <c r="L899" t="s">
        <v>4790</v>
      </c>
      <c r="M899" t="s">
        <v>4791</v>
      </c>
      <c r="N899" t="s">
        <v>516</v>
      </c>
      <c r="O899" t="s">
        <v>64</v>
      </c>
      <c r="P899" t="s">
        <v>4792</v>
      </c>
      <c r="Q899" t="s">
        <v>58</v>
      </c>
      <c r="R899" t="s">
        <v>4643</v>
      </c>
      <c r="S899">
        <v>6.23</v>
      </c>
      <c r="T899">
        <v>5406</v>
      </c>
      <c r="U899">
        <v>0</v>
      </c>
      <c r="V899">
        <v>5406</v>
      </c>
    </row>
    <row r="900" spans="1:22" x14ac:dyDescent="0.3">
      <c r="A900">
        <v>80147</v>
      </c>
      <c r="B900">
        <v>137837277</v>
      </c>
      <c r="C900" t="s">
        <v>4793</v>
      </c>
      <c r="D900" t="s">
        <v>4794</v>
      </c>
      <c r="E900" t="s">
        <v>4105</v>
      </c>
      <c r="F900" t="s">
        <v>514</v>
      </c>
      <c r="G900" t="s">
        <v>43</v>
      </c>
      <c r="H900" t="s">
        <v>44</v>
      </c>
      <c r="I900" t="s">
        <v>34</v>
      </c>
      <c r="J900" t="s">
        <v>45</v>
      </c>
      <c r="K900" t="s">
        <v>41</v>
      </c>
      <c r="L900" t="s">
        <v>4795</v>
      </c>
      <c r="M900" t="s">
        <v>4796</v>
      </c>
      <c r="N900" t="s">
        <v>516</v>
      </c>
      <c r="O900" t="s">
        <v>64</v>
      </c>
      <c r="P900" t="s">
        <v>4797</v>
      </c>
      <c r="Q900" t="s">
        <v>90</v>
      </c>
      <c r="R900" t="s">
        <v>4498</v>
      </c>
      <c r="S900">
        <v>2.06</v>
      </c>
      <c r="T900">
        <v>3904</v>
      </c>
      <c r="U900">
        <v>0</v>
      </c>
      <c r="V900">
        <v>3904</v>
      </c>
    </row>
    <row r="901" spans="1:22" x14ac:dyDescent="0.3">
      <c r="A901">
        <v>80147</v>
      </c>
      <c r="B901">
        <v>137983289</v>
      </c>
      <c r="C901" t="s">
        <v>4798</v>
      </c>
      <c r="D901" t="s">
        <v>4799</v>
      </c>
      <c r="E901" t="s">
        <v>4105</v>
      </c>
      <c r="F901" t="s">
        <v>514</v>
      </c>
      <c r="G901" t="s">
        <v>43</v>
      </c>
      <c r="H901" t="s">
        <v>44</v>
      </c>
      <c r="I901" t="s">
        <v>34</v>
      </c>
      <c r="J901" t="s">
        <v>45</v>
      </c>
      <c r="K901" t="s">
        <v>41</v>
      </c>
      <c r="L901" t="s">
        <v>4800</v>
      </c>
      <c r="M901" t="s">
        <v>292</v>
      </c>
      <c r="N901" t="s">
        <v>516</v>
      </c>
      <c r="O901" t="s">
        <v>64</v>
      </c>
      <c r="P901" t="s">
        <v>4801</v>
      </c>
      <c r="Q901" t="s">
        <v>49</v>
      </c>
      <c r="R901" t="s">
        <v>500</v>
      </c>
      <c r="S901">
        <v>1</v>
      </c>
      <c r="T901">
        <v>3642</v>
      </c>
      <c r="U901">
        <v>0</v>
      </c>
      <c r="V901">
        <v>3642</v>
      </c>
    </row>
    <row r="902" spans="1:22" x14ac:dyDescent="0.3">
      <c r="A902">
        <v>80147</v>
      </c>
      <c r="B902">
        <v>137837295</v>
      </c>
      <c r="C902" t="s">
        <v>4802</v>
      </c>
      <c r="D902" t="s">
        <v>4803</v>
      </c>
      <c r="E902" t="s">
        <v>4105</v>
      </c>
      <c r="F902" t="s">
        <v>514</v>
      </c>
      <c r="G902" t="s">
        <v>43</v>
      </c>
      <c r="H902" t="s">
        <v>44</v>
      </c>
      <c r="I902" t="s">
        <v>34</v>
      </c>
      <c r="J902" t="s">
        <v>45</v>
      </c>
      <c r="K902" t="s">
        <v>54</v>
      </c>
      <c r="L902" t="s">
        <v>55</v>
      </c>
      <c r="M902" t="s">
        <v>4804</v>
      </c>
      <c r="N902" t="s">
        <v>516</v>
      </c>
      <c r="O902" t="s">
        <v>64</v>
      </c>
      <c r="P902" t="s">
        <v>4805</v>
      </c>
      <c r="Q902" t="s">
        <v>87</v>
      </c>
      <c r="R902" t="s">
        <v>4698</v>
      </c>
      <c r="S902">
        <v>6.01</v>
      </c>
      <c r="T902">
        <v>6217</v>
      </c>
      <c r="U902">
        <v>0</v>
      </c>
      <c r="V902">
        <v>6217</v>
      </c>
    </row>
    <row r="903" spans="1:22" x14ac:dyDescent="0.3">
      <c r="A903">
        <v>80147</v>
      </c>
      <c r="B903">
        <v>137910011</v>
      </c>
      <c r="C903" t="s">
        <v>4806</v>
      </c>
      <c r="D903" t="s">
        <v>4807</v>
      </c>
      <c r="E903" t="s">
        <v>4105</v>
      </c>
      <c r="F903" t="s">
        <v>514</v>
      </c>
      <c r="G903" t="s">
        <v>43</v>
      </c>
      <c r="H903" t="s">
        <v>44</v>
      </c>
      <c r="I903" t="s">
        <v>34</v>
      </c>
      <c r="J903" t="s">
        <v>45</v>
      </c>
      <c r="K903" t="s">
        <v>41</v>
      </c>
      <c r="L903" t="s">
        <v>4808</v>
      </c>
      <c r="M903" t="s">
        <v>464</v>
      </c>
      <c r="N903" t="s">
        <v>516</v>
      </c>
      <c r="O903" t="s">
        <v>64</v>
      </c>
      <c r="P903" t="s">
        <v>4809</v>
      </c>
      <c r="Q903" t="s">
        <v>112</v>
      </c>
      <c r="R903" t="s">
        <v>4643</v>
      </c>
      <c r="S903">
        <v>3.18</v>
      </c>
      <c r="T903">
        <v>3949</v>
      </c>
      <c r="U903">
        <v>0</v>
      </c>
      <c r="V903">
        <v>3949</v>
      </c>
    </row>
    <row r="904" spans="1:22" x14ac:dyDescent="0.3">
      <c r="A904">
        <v>80147</v>
      </c>
      <c r="B904">
        <v>137933864</v>
      </c>
      <c r="C904" t="s">
        <v>4810</v>
      </c>
      <c r="D904" t="s">
        <v>4811</v>
      </c>
      <c r="E904" t="s">
        <v>4105</v>
      </c>
      <c r="F904" t="s">
        <v>514</v>
      </c>
      <c r="G904" t="s">
        <v>43</v>
      </c>
      <c r="H904" t="s">
        <v>44</v>
      </c>
      <c r="I904" t="s">
        <v>34</v>
      </c>
      <c r="J904" t="s">
        <v>45</v>
      </c>
      <c r="K904" t="s">
        <v>54</v>
      </c>
      <c r="L904" t="s">
        <v>55</v>
      </c>
      <c r="M904" t="s">
        <v>4812</v>
      </c>
      <c r="N904" t="s">
        <v>516</v>
      </c>
      <c r="O904" t="s">
        <v>64</v>
      </c>
      <c r="P904" t="s">
        <v>4813</v>
      </c>
      <c r="Q904" t="s">
        <v>188</v>
      </c>
      <c r="R904" t="s">
        <v>4654</v>
      </c>
      <c r="S904">
        <v>1</v>
      </c>
      <c r="T904">
        <v>3501</v>
      </c>
      <c r="U904">
        <v>0</v>
      </c>
      <c r="V904">
        <v>3501</v>
      </c>
    </row>
    <row r="905" spans="1:22" x14ac:dyDescent="0.3">
      <c r="A905">
        <v>80147</v>
      </c>
      <c r="B905">
        <v>137798517</v>
      </c>
      <c r="C905" t="s">
        <v>4814</v>
      </c>
      <c r="D905" t="s">
        <v>4815</v>
      </c>
      <c r="E905" t="s">
        <v>4105</v>
      </c>
      <c r="F905" t="s">
        <v>514</v>
      </c>
      <c r="G905" t="s">
        <v>43</v>
      </c>
      <c r="H905" t="s">
        <v>44</v>
      </c>
      <c r="I905" t="s">
        <v>34</v>
      </c>
      <c r="J905" t="s">
        <v>45</v>
      </c>
      <c r="K905" t="s">
        <v>41</v>
      </c>
      <c r="L905" t="s">
        <v>4816</v>
      </c>
      <c r="M905" t="s">
        <v>4817</v>
      </c>
      <c r="N905" t="s">
        <v>516</v>
      </c>
      <c r="O905" t="s">
        <v>64</v>
      </c>
      <c r="P905" t="s">
        <v>4818</v>
      </c>
      <c r="Q905" t="s">
        <v>120</v>
      </c>
      <c r="R905" t="s">
        <v>4819</v>
      </c>
      <c r="S905">
        <v>1</v>
      </c>
      <c r="T905">
        <v>3904</v>
      </c>
      <c r="U905">
        <v>0</v>
      </c>
      <c r="V905">
        <v>3904</v>
      </c>
    </row>
    <row r="906" spans="1:22" x14ac:dyDescent="0.3">
      <c r="A906">
        <v>80147</v>
      </c>
      <c r="B906">
        <v>137726450</v>
      </c>
      <c r="C906" t="s">
        <v>4820</v>
      </c>
      <c r="D906" t="s">
        <v>4821</v>
      </c>
      <c r="E906" t="s">
        <v>4105</v>
      </c>
      <c r="F906" t="s">
        <v>514</v>
      </c>
      <c r="G906" t="s">
        <v>43</v>
      </c>
      <c r="H906" t="s">
        <v>44</v>
      </c>
      <c r="I906" t="s">
        <v>34</v>
      </c>
      <c r="J906" t="s">
        <v>45</v>
      </c>
      <c r="K906" t="s">
        <v>41</v>
      </c>
      <c r="L906" t="s">
        <v>4822</v>
      </c>
      <c r="M906" t="s">
        <v>4823</v>
      </c>
      <c r="N906" t="s">
        <v>516</v>
      </c>
      <c r="O906" t="s">
        <v>64</v>
      </c>
      <c r="P906" t="s">
        <v>4824</v>
      </c>
      <c r="Q906" t="s">
        <v>98</v>
      </c>
      <c r="R906" t="s">
        <v>4825</v>
      </c>
      <c r="S906">
        <v>1</v>
      </c>
      <c r="T906">
        <v>5990</v>
      </c>
      <c r="U906">
        <v>0</v>
      </c>
      <c r="V906">
        <v>5990</v>
      </c>
    </row>
    <row r="907" spans="1:22" x14ac:dyDescent="0.3">
      <c r="A907">
        <v>80147</v>
      </c>
      <c r="B907">
        <v>137468090</v>
      </c>
      <c r="C907" t="s">
        <v>4826</v>
      </c>
      <c r="D907" t="s">
        <v>4827</v>
      </c>
      <c r="E907" t="s">
        <v>4105</v>
      </c>
      <c r="F907" t="s">
        <v>514</v>
      </c>
      <c r="G907" t="s">
        <v>69</v>
      </c>
      <c r="H907" t="s">
        <v>70</v>
      </c>
      <c r="I907" t="s">
        <v>34</v>
      </c>
      <c r="J907" t="s">
        <v>139</v>
      </c>
      <c r="K907" t="s">
        <v>41</v>
      </c>
      <c r="L907" t="s">
        <v>71</v>
      </c>
      <c r="M907" t="s">
        <v>4828</v>
      </c>
      <c r="N907" t="s">
        <v>516</v>
      </c>
      <c r="O907" t="s">
        <v>64</v>
      </c>
      <c r="P907" t="s">
        <v>4829</v>
      </c>
      <c r="Q907" t="s">
        <v>77</v>
      </c>
      <c r="R907" t="s">
        <v>4555</v>
      </c>
      <c r="S907">
        <v>13.27</v>
      </c>
      <c r="T907">
        <v>5714</v>
      </c>
      <c r="U907">
        <v>0</v>
      </c>
      <c r="V907">
        <v>5714</v>
      </c>
    </row>
    <row r="908" spans="1:22" x14ac:dyDescent="0.3">
      <c r="A908">
        <v>80147</v>
      </c>
      <c r="B908">
        <v>137409140</v>
      </c>
      <c r="C908" t="s">
        <v>4830</v>
      </c>
      <c r="D908" t="s">
        <v>4831</v>
      </c>
      <c r="E908" t="s">
        <v>4105</v>
      </c>
      <c r="F908" t="s">
        <v>514</v>
      </c>
      <c r="G908" t="s">
        <v>69</v>
      </c>
      <c r="H908" t="s">
        <v>70</v>
      </c>
      <c r="I908" t="s">
        <v>34</v>
      </c>
      <c r="J908" t="s">
        <v>139</v>
      </c>
      <c r="K908" t="s">
        <v>41</v>
      </c>
      <c r="L908" t="s">
        <v>71</v>
      </c>
      <c r="M908" t="s">
        <v>4832</v>
      </c>
      <c r="N908" t="s">
        <v>516</v>
      </c>
      <c r="O908" t="s">
        <v>64</v>
      </c>
      <c r="P908" t="s">
        <v>4833</v>
      </c>
      <c r="Q908" t="s">
        <v>186</v>
      </c>
      <c r="R908" t="s">
        <v>430</v>
      </c>
      <c r="S908">
        <v>7.91</v>
      </c>
      <c r="T908">
        <v>9333</v>
      </c>
      <c r="U908">
        <v>0</v>
      </c>
      <c r="V908">
        <v>9333</v>
      </c>
    </row>
    <row r="909" spans="1:22" x14ac:dyDescent="0.3">
      <c r="A909">
        <v>80147</v>
      </c>
      <c r="B909">
        <v>137757309</v>
      </c>
      <c r="C909" t="s">
        <v>4834</v>
      </c>
      <c r="D909" t="s">
        <v>4835</v>
      </c>
      <c r="E909" t="s">
        <v>4105</v>
      </c>
      <c r="F909" t="s">
        <v>514</v>
      </c>
      <c r="G909" t="s">
        <v>43</v>
      </c>
      <c r="H909" t="s">
        <v>44</v>
      </c>
      <c r="I909" t="s">
        <v>34</v>
      </c>
      <c r="J909" t="s">
        <v>45</v>
      </c>
      <c r="K909" t="s">
        <v>41</v>
      </c>
      <c r="L909" t="s">
        <v>4836</v>
      </c>
      <c r="M909" t="s">
        <v>4837</v>
      </c>
      <c r="N909" t="s">
        <v>516</v>
      </c>
      <c r="O909" t="s">
        <v>64</v>
      </c>
      <c r="P909" t="s">
        <v>4838</v>
      </c>
      <c r="Q909" t="s">
        <v>90</v>
      </c>
      <c r="R909" t="s">
        <v>4839</v>
      </c>
      <c r="S909">
        <v>0.9</v>
      </c>
      <c r="T909">
        <v>3904</v>
      </c>
      <c r="U909">
        <v>0</v>
      </c>
      <c r="V909">
        <v>3904</v>
      </c>
    </row>
    <row r="910" spans="1:22" x14ac:dyDescent="0.3">
      <c r="A910">
        <v>80147</v>
      </c>
      <c r="B910">
        <v>137701826</v>
      </c>
      <c r="C910" t="s">
        <v>4840</v>
      </c>
      <c r="D910" t="s">
        <v>4841</v>
      </c>
      <c r="E910" t="s">
        <v>4105</v>
      </c>
      <c r="F910" t="s">
        <v>514</v>
      </c>
      <c r="G910" t="s">
        <v>43</v>
      </c>
      <c r="H910" t="s">
        <v>44</v>
      </c>
      <c r="I910" t="s">
        <v>34</v>
      </c>
      <c r="J910" t="s">
        <v>45</v>
      </c>
      <c r="K910" t="s">
        <v>41</v>
      </c>
      <c r="L910" t="s">
        <v>4842</v>
      </c>
      <c r="M910" t="s">
        <v>4843</v>
      </c>
      <c r="N910" t="s">
        <v>516</v>
      </c>
      <c r="O910" t="s">
        <v>64</v>
      </c>
      <c r="P910" t="s">
        <v>4844</v>
      </c>
      <c r="Q910" t="s">
        <v>50</v>
      </c>
      <c r="R910" t="s">
        <v>4845</v>
      </c>
      <c r="S910">
        <v>1</v>
      </c>
      <c r="T910">
        <v>5198</v>
      </c>
      <c r="U910">
        <v>0</v>
      </c>
      <c r="V910">
        <v>5198</v>
      </c>
    </row>
    <row r="911" spans="1:22" x14ac:dyDescent="0.3">
      <c r="A911">
        <v>80147</v>
      </c>
      <c r="B911">
        <v>137757322</v>
      </c>
      <c r="C911" t="s">
        <v>4846</v>
      </c>
      <c r="D911" t="s">
        <v>4847</v>
      </c>
      <c r="E911" t="s">
        <v>4105</v>
      </c>
      <c r="F911" t="s">
        <v>514</v>
      </c>
      <c r="G911" t="s">
        <v>43</v>
      </c>
      <c r="H911" t="s">
        <v>44</v>
      </c>
      <c r="I911" t="s">
        <v>34</v>
      </c>
      <c r="J911" t="s">
        <v>45</v>
      </c>
      <c r="K911" t="s">
        <v>41</v>
      </c>
      <c r="L911" t="s">
        <v>4848</v>
      </c>
      <c r="M911" t="s">
        <v>4340</v>
      </c>
      <c r="N911" t="s">
        <v>516</v>
      </c>
      <c r="O911" t="s">
        <v>64</v>
      </c>
      <c r="P911" t="s">
        <v>4341</v>
      </c>
      <c r="Q911" t="s">
        <v>61</v>
      </c>
      <c r="R911" t="s">
        <v>4839</v>
      </c>
      <c r="S911">
        <v>1</v>
      </c>
      <c r="T911">
        <v>3501</v>
      </c>
      <c r="U911">
        <v>0</v>
      </c>
      <c r="V911">
        <v>3501</v>
      </c>
    </row>
    <row r="912" spans="1:22" x14ac:dyDescent="0.3">
      <c r="A912">
        <v>80147</v>
      </c>
      <c r="B912">
        <v>137775416</v>
      </c>
      <c r="C912" t="s">
        <v>4849</v>
      </c>
      <c r="D912" t="s">
        <v>4850</v>
      </c>
      <c r="E912" t="s">
        <v>4105</v>
      </c>
      <c r="F912" t="s">
        <v>514</v>
      </c>
      <c r="G912" t="s">
        <v>43</v>
      </c>
      <c r="H912" t="s">
        <v>44</v>
      </c>
      <c r="I912" t="s">
        <v>34</v>
      </c>
      <c r="J912" t="s">
        <v>45</v>
      </c>
      <c r="K912" t="s">
        <v>41</v>
      </c>
      <c r="L912" t="s">
        <v>4851</v>
      </c>
      <c r="M912" t="s">
        <v>4852</v>
      </c>
      <c r="N912" t="s">
        <v>516</v>
      </c>
      <c r="O912" t="s">
        <v>64</v>
      </c>
      <c r="P912" t="s">
        <v>4853</v>
      </c>
      <c r="Q912" t="s">
        <v>50</v>
      </c>
      <c r="R912" t="s">
        <v>4854</v>
      </c>
      <c r="S912">
        <v>3.24</v>
      </c>
      <c r="T912">
        <v>7784</v>
      </c>
      <c r="U912">
        <v>0</v>
      </c>
      <c r="V912">
        <v>7784</v>
      </c>
    </row>
    <row r="913" spans="1:22" x14ac:dyDescent="0.3">
      <c r="A913">
        <v>80147</v>
      </c>
      <c r="B913">
        <v>137659219</v>
      </c>
      <c r="C913" t="s">
        <v>4855</v>
      </c>
      <c r="D913" t="s">
        <v>4856</v>
      </c>
      <c r="E913" t="s">
        <v>4105</v>
      </c>
      <c r="F913" t="s">
        <v>514</v>
      </c>
      <c r="G913" t="s">
        <v>43</v>
      </c>
      <c r="H913" t="s">
        <v>44</v>
      </c>
      <c r="I913" t="s">
        <v>34</v>
      </c>
      <c r="J913" t="s">
        <v>45</v>
      </c>
      <c r="K913" t="s">
        <v>41</v>
      </c>
      <c r="L913" t="s">
        <v>4857</v>
      </c>
      <c r="M913" t="s">
        <v>4858</v>
      </c>
      <c r="N913" t="s">
        <v>516</v>
      </c>
      <c r="O913" t="s">
        <v>64</v>
      </c>
      <c r="P913" t="s">
        <v>4859</v>
      </c>
      <c r="Q913" t="s">
        <v>50</v>
      </c>
      <c r="R913" t="s">
        <v>509</v>
      </c>
      <c r="S913">
        <v>3.03</v>
      </c>
      <c r="T913">
        <v>7484</v>
      </c>
      <c r="U913">
        <v>0</v>
      </c>
      <c r="V913">
        <v>7484</v>
      </c>
    </row>
    <row r="914" spans="1:22" x14ac:dyDescent="0.3">
      <c r="A914">
        <v>80147</v>
      </c>
      <c r="B914">
        <v>137820778</v>
      </c>
      <c r="C914" t="s">
        <v>4860</v>
      </c>
      <c r="D914" t="s">
        <v>4861</v>
      </c>
      <c r="E914" t="s">
        <v>4105</v>
      </c>
      <c r="F914" t="s">
        <v>514</v>
      </c>
      <c r="G914" t="s">
        <v>43</v>
      </c>
      <c r="H914" t="s">
        <v>44</v>
      </c>
      <c r="I914" t="s">
        <v>34</v>
      </c>
      <c r="J914" t="s">
        <v>45</v>
      </c>
      <c r="K914" t="s">
        <v>41</v>
      </c>
      <c r="L914" t="s">
        <v>4862</v>
      </c>
      <c r="M914" t="s">
        <v>4863</v>
      </c>
      <c r="N914" t="s">
        <v>516</v>
      </c>
      <c r="O914" t="s">
        <v>64</v>
      </c>
      <c r="P914" t="s">
        <v>4864</v>
      </c>
      <c r="Q914" t="s">
        <v>108</v>
      </c>
      <c r="R914" t="s">
        <v>4865</v>
      </c>
      <c r="S914">
        <v>1</v>
      </c>
      <c r="T914">
        <v>3501</v>
      </c>
      <c r="U914">
        <v>0</v>
      </c>
      <c r="V914">
        <v>3501</v>
      </c>
    </row>
    <row r="915" spans="1:22" x14ac:dyDescent="0.3">
      <c r="A915">
        <v>80147</v>
      </c>
      <c r="B915">
        <v>137726434</v>
      </c>
      <c r="C915" t="s">
        <v>4866</v>
      </c>
      <c r="D915" t="s">
        <v>4867</v>
      </c>
      <c r="E915" t="s">
        <v>4105</v>
      </c>
      <c r="F915" t="s">
        <v>514</v>
      </c>
      <c r="G915" t="s">
        <v>43</v>
      </c>
      <c r="H915" t="s">
        <v>44</v>
      </c>
      <c r="I915" t="s">
        <v>34</v>
      </c>
      <c r="J915" t="s">
        <v>45</v>
      </c>
      <c r="K915" t="s">
        <v>41</v>
      </c>
      <c r="L915" t="s">
        <v>4868</v>
      </c>
      <c r="M915" t="s">
        <v>4869</v>
      </c>
      <c r="N915" t="s">
        <v>516</v>
      </c>
      <c r="O915" t="s">
        <v>64</v>
      </c>
      <c r="P915" t="s">
        <v>4870</v>
      </c>
      <c r="Q915" t="s">
        <v>108</v>
      </c>
      <c r="R915" t="s">
        <v>4825</v>
      </c>
      <c r="S915">
        <v>1</v>
      </c>
      <c r="T915">
        <v>3501</v>
      </c>
      <c r="U915">
        <v>0</v>
      </c>
      <c r="V915">
        <v>3501</v>
      </c>
    </row>
    <row r="916" spans="1:22" x14ac:dyDescent="0.3">
      <c r="A916">
        <v>80147</v>
      </c>
      <c r="B916">
        <v>137726449</v>
      </c>
      <c r="C916" t="s">
        <v>4871</v>
      </c>
      <c r="D916" t="s">
        <v>4872</v>
      </c>
      <c r="E916" t="s">
        <v>4105</v>
      </c>
      <c r="F916" t="s">
        <v>514</v>
      </c>
      <c r="G916" t="s">
        <v>43</v>
      </c>
      <c r="H916" t="s">
        <v>44</v>
      </c>
      <c r="I916" t="s">
        <v>34</v>
      </c>
      <c r="J916" t="s">
        <v>45</v>
      </c>
      <c r="K916" t="s">
        <v>41</v>
      </c>
      <c r="L916" t="s">
        <v>4873</v>
      </c>
      <c r="M916" t="s">
        <v>4617</v>
      </c>
      <c r="N916" t="s">
        <v>516</v>
      </c>
      <c r="O916" t="s">
        <v>64</v>
      </c>
      <c r="P916" t="s">
        <v>4874</v>
      </c>
      <c r="Q916" t="s">
        <v>53</v>
      </c>
      <c r="R916" t="s">
        <v>4825</v>
      </c>
      <c r="S916">
        <v>1</v>
      </c>
      <c r="T916">
        <v>3642</v>
      </c>
      <c r="U916">
        <v>0</v>
      </c>
      <c r="V916">
        <v>3642</v>
      </c>
    </row>
    <row r="917" spans="1:22" x14ac:dyDescent="0.3">
      <c r="A917">
        <v>80147</v>
      </c>
      <c r="B917">
        <v>137820788</v>
      </c>
      <c r="C917" t="s">
        <v>4875</v>
      </c>
      <c r="D917" t="s">
        <v>4876</v>
      </c>
      <c r="E917" t="s">
        <v>4105</v>
      </c>
      <c r="F917" t="s">
        <v>514</v>
      </c>
      <c r="G917" t="s">
        <v>43</v>
      </c>
      <c r="H917" t="s">
        <v>44</v>
      </c>
      <c r="I917" t="s">
        <v>34</v>
      </c>
      <c r="J917" t="s">
        <v>45</v>
      </c>
      <c r="K917" t="s">
        <v>41</v>
      </c>
      <c r="L917" t="s">
        <v>4877</v>
      </c>
      <c r="M917" t="s">
        <v>342</v>
      </c>
      <c r="N917" t="s">
        <v>516</v>
      </c>
      <c r="O917" t="s">
        <v>64</v>
      </c>
      <c r="P917" t="s">
        <v>4878</v>
      </c>
      <c r="Q917" t="s">
        <v>61</v>
      </c>
      <c r="R917" t="s">
        <v>4865</v>
      </c>
      <c r="S917">
        <v>8.66</v>
      </c>
      <c r="T917">
        <v>5406</v>
      </c>
      <c r="U917">
        <v>0</v>
      </c>
      <c r="V917">
        <v>5406</v>
      </c>
    </row>
    <row r="918" spans="1:22" x14ac:dyDescent="0.3">
      <c r="A918">
        <v>80147</v>
      </c>
      <c r="B918">
        <v>137757314</v>
      </c>
      <c r="C918" t="s">
        <v>4879</v>
      </c>
      <c r="D918" t="s">
        <v>4880</v>
      </c>
      <c r="E918" t="s">
        <v>4105</v>
      </c>
      <c r="F918" t="s">
        <v>514</v>
      </c>
      <c r="G918" t="s">
        <v>43</v>
      </c>
      <c r="H918" t="s">
        <v>44</v>
      </c>
      <c r="I918" t="s">
        <v>34</v>
      </c>
      <c r="J918" t="s">
        <v>45</v>
      </c>
      <c r="K918" t="s">
        <v>41</v>
      </c>
      <c r="L918" t="s">
        <v>4881</v>
      </c>
      <c r="M918" t="s">
        <v>156</v>
      </c>
      <c r="N918" t="s">
        <v>516</v>
      </c>
      <c r="O918" t="s">
        <v>64</v>
      </c>
      <c r="P918" t="s">
        <v>4882</v>
      </c>
      <c r="Q918" t="s">
        <v>61</v>
      </c>
      <c r="R918" t="s">
        <v>4839</v>
      </c>
      <c r="S918">
        <v>1</v>
      </c>
      <c r="T918">
        <v>3501</v>
      </c>
      <c r="U918">
        <v>0</v>
      </c>
      <c r="V918">
        <v>3501</v>
      </c>
    </row>
    <row r="919" spans="1:22" x14ac:dyDescent="0.3">
      <c r="A919">
        <v>80147</v>
      </c>
      <c r="B919">
        <v>137820790</v>
      </c>
      <c r="C919" t="s">
        <v>4883</v>
      </c>
      <c r="D919" t="s">
        <v>4884</v>
      </c>
      <c r="E919" t="s">
        <v>4105</v>
      </c>
      <c r="F919" t="s">
        <v>514</v>
      </c>
      <c r="G919" t="s">
        <v>43</v>
      </c>
      <c r="H919" t="s">
        <v>44</v>
      </c>
      <c r="I919" t="s">
        <v>34</v>
      </c>
      <c r="J919" t="s">
        <v>45</v>
      </c>
      <c r="K919" t="s">
        <v>41</v>
      </c>
      <c r="L919" t="s">
        <v>4885</v>
      </c>
      <c r="M919" t="s">
        <v>4886</v>
      </c>
      <c r="N919" t="s">
        <v>516</v>
      </c>
      <c r="O919" t="s">
        <v>64</v>
      </c>
      <c r="P919" t="s">
        <v>4887</v>
      </c>
      <c r="Q919" t="s">
        <v>97</v>
      </c>
      <c r="R919" t="s">
        <v>4865</v>
      </c>
      <c r="S919">
        <v>1</v>
      </c>
      <c r="T919">
        <v>4520</v>
      </c>
      <c r="U919">
        <v>0</v>
      </c>
      <c r="V919">
        <v>4520</v>
      </c>
    </row>
    <row r="920" spans="1:22" x14ac:dyDescent="0.3">
      <c r="A920">
        <v>80147</v>
      </c>
      <c r="B920">
        <v>137798524</v>
      </c>
      <c r="C920" t="s">
        <v>4888</v>
      </c>
      <c r="D920" t="s">
        <v>4889</v>
      </c>
      <c r="E920" t="s">
        <v>4105</v>
      </c>
      <c r="F920" t="s">
        <v>514</v>
      </c>
      <c r="G920" t="s">
        <v>43</v>
      </c>
      <c r="H920" t="s">
        <v>44</v>
      </c>
      <c r="I920" t="s">
        <v>34</v>
      </c>
      <c r="J920" t="s">
        <v>45</v>
      </c>
      <c r="K920" t="s">
        <v>41</v>
      </c>
      <c r="L920" t="s">
        <v>4890</v>
      </c>
      <c r="M920" t="s">
        <v>4891</v>
      </c>
      <c r="N920" t="s">
        <v>516</v>
      </c>
      <c r="O920" t="s">
        <v>64</v>
      </c>
      <c r="P920" t="s">
        <v>4892</v>
      </c>
      <c r="Q920" t="s">
        <v>61</v>
      </c>
      <c r="R920" t="s">
        <v>4819</v>
      </c>
      <c r="S920">
        <v>1</v>
      </c>
      <c r="T920">
        <v>3501</v>
      </c>
      <c r="U920">
        <v>0</v>
      </c>
      <c r="V920">
        <v>3501</v>
      </c>
    </row>
    <row r="921" spans="1:22" x14ac:dyDescent="0.3">
      <c r="A921">
        <v>80147</v>
      </c>
      <c r="B921">
        <v>137757318</v>
      </c>
      <c r="C921" t="s">
        <v>4893</v>
      </c>
      <c r="D921" t="s">
        <v>4894</v>
      </c>
      <c r="E921" t="s">
        <v>4105</v>
      </c>
      <c r="F921" t="s">
        <v>514</v>
      </c>
      <c r="G921" t="s">
        <v>43</v>
      </c>
      <c r="H921" t="s">
        <v>44</v>
      </c>
      <c r="I921" t="s">
        <v>34</v>
      </c>
      <c r="J921" t="s">
        <v>45</v>
      </c>
      <c r="K921" t="s">
        <v>41</v>
      </c>
      <c r="L921" t="s">
        <v>4895</v>
      </c>
      <c r="M921" t="s">
        <v>4896</v>
      </c>
      <c r="N921" t="s">
        <v>516</v>
      </c>
      <c r="O921" t="s">
        <v>64</v>
      </c>
      <c r="P921" t="s">
        <v>3227</v>
      </c>
      <c r="Q921" t="s">
        <v>125</v>
      </c>
      <c r="R921" t="s">
        <v>4839</v>
      </c>
      <c r="S921">
        <v>0.9</v>
      </c>
      <c r="T921">
        <v>4230</v>
      </c>
      <c r="U921">
        <v>0</v>
      </c>
      <c r="V921">
        <v>4230</v>
      </c>
    </row>
    <row r="922" spans="1:22" x14ac:dyDescent="0.3">
      <c r="A922">
        <v>80147</v>
      </c>
      <c r="B922">
        <v>137757312</v>
      </c>
      <c r="C922" t="s">
        <v>4897</v>
      </c>
      <c r="D922" t="s">
        <v>4898</v>
      </c>
      <c r="E922" t="s">
        <v>4105</v>
      </c>
      <c r="F922" t="s">
        <v>514</v>
      </c>
      <c r="G922" t="s">
        <v>43</v>
      </c>
      <c r="H922" t="s">
        <v>44</v>
      </c>
      <c r="I922" t="s">
        <v>34</v>
      </c>
      <c r="J922" t="s">
        <v>45</v>
      </c>
      <c r="K922" t="s">
        <v>54</v>
      </c>
      <c r="L922" t="s">
        <v>55</v>
      </c>
      <c r="M922" t="s">
        <v>4899</v>
      </c>
      <c r="N922" t="s">
        <v>516</v>
      </c>
      <c r="O922" t="s">
        <v>64</v>
      </c>
      <c r="P922" t="s">
        <v>4900</v>
      </c>
      <c r="Q922" t="s">
        <v>48</v>
      </c>
      <c r="R922" t="s">
        <v>4839</v>
      </c>
      <c r="S922">
        <v>0.9</v>
      </c>
      <c r="T922">
        <v>4230</v>
      </c>
      <c r="U922">
        <v>0</v>
      </c>
      <c r="V922">
        <v>4230</v>
      </c>
    </row>
    <row r="923" spans="1:22" x14ac:dyDescent="0.3">
      <c r="A923">
        <v>80147</v>
      </c>
      <c r="B923">
        <v>137820786</v>
      </c>
      <c r="C923" t="s">
        <v>4901</v>
      </c>
      <c r="D923" t="s">
        <v>4902</v>
      </c>
      <c r="E923" t="s">
        <v>4105</v>
      </c>
      <c r="F923" t="s">
        <v>514</v>
      </c>
      <c r="G923" t="s">
        <v>43</v>
      </c>
      <c r="H923" t="s">
        <v>44</v>
      </c>
      <c r="I923" t="s">
        <v>34</v>
      </c>
      <c r="J923" t="s">
        <v>45</v>
      </c>
      <c r="K923" t="s">
        <v>41</v>
      </c>
      <c r="L923" t="s">
        <v>4903</v>
      </c>
      <c r="M923" t="s">
        <v>4904</v>
      </c>
      <c r="N923" t="s">
        <v>516</v>
      </c>
      <c r="O923" t="s">
        <v>64</v>
      </c>
      <c r="P923" t="s">
        <v>4905</v>
      </c>
      <c r="Q923" t="s">
        <v>79</v>
      </c>
      <c r="R923" t="s">
        <v>4865</v>
      </c>
      <c r="S923">
        <v>0.9</v>
      </c>
      <c r="T923">
        <v>3501</v>
      </c>
      <c r="U923">
        <v>0</v>
      </c>
      <c r="V923">
        <v>3501</v>
      </c>
    </row>
    <row r="924" spans="1:22" x14ac:dyDescent="0.3">
      <c r="A924">
        <v>80147</v>
      </c>
      <c r="B924">
        <v>137798521</v>
      </c>
      <c r="C924" t="s">
        <v>4906</v>
      </c>
      <c r="D924" t="s">
        <v>4907</v>
      </c>
      <c r="E924" t="s">
        <v>4105</v>
      </c>
      <c r="F924" t="s">
        <v>514</v>
      </c>
      <c r="G924" t="s">
        <v>43</v>
      </c>
      <c r="H924" t="s">
        <v>44</v>
      </c>
      <c r="I924" t="s">
        <v>34</v>
      </c>
      <c r="J924" t="s">
        <v>45</v>
      </c>
      <c r="K924" t="s">
        <v>41</v>
      </c>
      <c r="L924" t="s">
        <v>4908</v>
      </c>
      <c r="M924" t="s">
        <v>4909</v>
      </c>
      <c r="N924" t="s">
        <v>516</v>
      </c>
      <c r="O924" t="s">
        <v>64</v>
      </c>
      <c r="P924" t="s">
        <v>4910</v>
      </c>
      <c r="Q924" t="s">
        <v>144</v>
      </c>
      <c r="R924" t="s">
        <v>4819</v>
      </c>
      <c r="S924">
        <v>1</v>
      </c>
      <c r="T924">
        <v>3904</v>
      </c>
      <c r="U924">
        <v>0</v>
      </c>
      <c r="V924">
        <v>3904</v>
      </c>
    </row>
    <row r="925" spans="1:22" x14ac:dyDescent="0.3">
      <c r="A925">
        <v>80147</v>
      </c>
      <c r="B925">
        <v>137726452</v>
      </c>
      <c r="C925" t="s">
        <v>4911</v>
      </c>
      <c r="D925" t="s">
        <v>4912</v>
      </c>
      <c r="E925" t="s">
        <v>4105</v>
      </c>
      <c r="F925" t="s">
        <v>514</v>
      </c>
      <c r="G925" t="s">
        <v>43</v>
      </c>
      <c r="H925" t="s">
        <v>44</v>
      </c>
      <c r="I925" t="s">
        <v>34</v>
      </c>
      <c r="J925" t="s">
        <v>45</v>
      </c>
      <c r="K925" t="s">
        <v>41</v>
      </c>
      <c r="L925" t="s">
        <v>4913</v>
      </c>
      <c r="M925" t="s">
        <v>4914</v>
      </c>
      <c r="N925" t="s">
        <v>516</v>
      </c>
      <c r="O925" t="s">
        <v>64</v>
      </c>
      <c r="P925" t="s">
        <v>4915</v>
      </c>
      <c r="Q925" t="s">
        <v>89</v>
      </c>
      <c r="R925" t="s">
        <v>4825</v>
      </c>
      <c r="S925">
        <v>1</v>
      </c>
      <c r="T925">
        <v>3936</v>
      </c>
      <c r="U925">
        <v>0</v>
      </c>
      <c r="V925">
        <v>3936</v>
      </c>
    </row>
    <row r="926" spans="1:22" x14ac:dyDescent="0.3">
      <c r="A926">
        <v>80147</v>
      </c>
      <c r="B926">
        <v>137820780</v>
      </c>
      <c r="C926" t="s">
        <v>4916</v>
      </c>
      <c r="D926" t="s">
        <v>4917</v>
      </c>
      <c r="E926" t="s">
        <v>4105</v>
      </c>
      <c r="F926" t="s">
        <v>514</v>
      </c>
      <c r="G926" t="s">
        <v>43</v>
      </c>
      <c r="H926" t="s">
        <v>44</v>
      </c>
      <c r="I926" t="s">
        <v>34</v>
      </c>
      <c r="J926" t="s">
        <v>45</v>
      </c>
      <c r="K926" t="s">
        <v>41</v>
      </c>
      <c r="L926" t="s">
        <v>4918</v>
      </c>
      <c r="M926" t="s">
        <v>4919</v>
      </c>
      <c r="N926" t="s">
        <v>516</v>
      </c>
      <c r="O926" t="s">
        <v>64</v>
      </c>
      <c r="P926" t="s">
        <v>4920</v>
      </c>
      <c r="Q926" t="s">
        <v>90</v>
      </c>
      <c r="R926" t="s">
        <v>4865</v>
      </c>
      <c r="S926">
        <v>1</v>
      </c>
      <c r="T926">
        <v>3904</v>
      </c>
      <c r="U926">
        <v>0</v>
      </c>
      <c r="V926">
        <v>3904</v>
      </c>
    </row>
    <row r="927" spans="1:22" x14ac:dyDescent="0.3">
      <c r="A927">
        <v>80147</v>
      </c>
      <c r="B927">
        <v>137757320</v>
      </c>
      <c r="C927" t="s">
        <v>4921</v>
      </c>
      <c r="D927" t="s">
        <v>4922</v>
      </c>
      <c r="E927" t="s">
        <v>4105</v>
      </c>
      <c r="F927" t="s">
        <v>514</v>
      </c>
      <c r="G927" t="s">
        <v>43</v>
      </c>
      <c r="H927" t="s">
        <v>44</v>
      </c>
      <c r="I927" t="s">
        <v>34</v>
      </c>
      <c r="J927" t="s">
        <v>45</v>
      </c>
      <c r="K927" t="s">
        <v>41</v>
      </c>
      <c r="L927" t="s">
        <v>4923</v>
      </c>
      <c r="M927" t="s">
        <v>314</v>
      </c>
      <c r="N927" t="s">
        <v>516</v>
      </c>
      <c r="O927" t="s">
        <v>64</v>
      </c>
      <c r="P927" t="s">
        <v>4924</v>
      </c>
      <c r="Q927" t="s">
        <v>90</v>
      </c>
      <c r="R927" t="s">
        <v>4839</v>
      </c>
      <c r="S927">
        <v>1</v>
      </c>
      <c r="T927">
        <v>3904</v>
      </c>
      <c r="U927">
        <v>0</v>
      </c>
      <c r="V927">
        <v>3904</v>
      </c>
    </row>
    <row r="928" spans="1:22" x14ac:dyDescent="0.3">
      <c r="A928">
        <v>80147</v>
      </c>
      <c r="B928">
        <v>137726425</v>
      </c>
      <c r="C928" t="s">
        <v>4925</v>
      </c>
      <c r="D928" t="s">
        <v>4926</v>
      </c>
      <c r="E928" t="s">
        <v>4105</v>
      </c>
      <c r="F928" t="s">
        <v>514</v>
      </c>
      <c r="G928" t="s">
        <v>43</v>
      </c>
      <c r="H928" t="s">
        <v>44</v>
      </c>
      <c r="I928" t="s">
        <v>34</v>
      </c>
      <c r="J928" t="s">
        <v>45</v>
      </c>
      <c r="K928" t="s">
        <v>41</v>
      </c>
      <c r="L928" t="s">
        <v>4927</v>
      </c>
      <c r="M928" t="s">
        <v>4928</v>
      </c>
      <c r="N928" t="s">
        <v>516</v>
      </c>
      <c r="O928" t="s">
        <v>64</v>
      </c>
      <c r="P928" t="s">
        <v>4929</v>
      </c>
      <c r="Q928" t="s">
        <v>67</v>
      </c>
      <c r="R928" t="s">
        <v>4825</v>
      </c>
      <c r="S928">
        <v>0.9</v>
      </c>
      <c r="T928">
        <v>3936</v>
      </c>
      <c r="U928">
        <v>0</v>
      </c>
      <c r="V928">
        <v>3936</v>
      </c>
    </row>
    <row r="929" spans="1:22" x14ac:dyDescent="0.3">
      <c r="A929">
        <v>80147</v>
      </c>
      <c r="B929">
        <v>137669789</v>
      </c>
      <c r="C929" t="s">
        <v>4930</v>
      </c>
      <c r="D929" t="s">
        <v>4931</v>
      </c>
      <c r="E929" t="s">
        <v>4105</v>
      </c>
      <c r="F929" t="s">
        <v>514</v>
      </c>
      <c r="G929" t="s">
        <v>43</v>
      </c>
      <c r="H929" t="s">
        <v>44</v>
      </c>
      <c r="I929" t="s">
        <v>34</v>
      </c>
      <c r="J929" t="s">
        <v>45</v>
      </c>
      <c r="K929" t="s">
        <v>41</v>
      </c>
      <c r="L929" t="s">
        <v>4932</v>
      </c>
      <c r="M929" t="s">
        <v>4852</v>
      </c>
      <c r="N929" t="s">
        <v>516</v>
      </c>
      <c r="O929" t="s">
        <v>64</v>
      </c>
      <c r="P929" t="s">
        <v>4853</v>
      </c>
      <c r="Q929" t="s">
        <v>50</v>
      </c>
      <c r="R929" t="s">
        <v>4422</v>
      </c>
      <c r="S929">
        <v>0.9</v>
      </c>
      <c r="T929">
        <v>5198</v>
      </c>
      <c r="U929">
        <v>0</v>
      </c>
      <c r="V929">
        <v>5198</v>
      </c>
    </row>
    <row r="930" spans="1:22" x14ac:dyDescent="0.3">
      <c r="A930">
        <v>80147</v>
      </c>
      <c r="B930">
        <v>137701842</v>
      </c>
      <c r="C930" t="s">
        <v>4933</v>
      </c>
      <c r="D930" t="s">
        <v>4934</v>
      </c>
      <c r="E930" t="s">
        <v>4105</v>
      </c>
      <c r="F930" t="s">
        <v>514</v>
      </c>
      <c r="G930" t="s">
        <v>43</v>
      </c>
      <c r="H930" t="s">
        <v>44</v>
      </c>
      <c r="I930" t="s">
        <v>34</v>
      </c>
      <c r="J930" t="s">
        <v>45</v>
      </c>
      <c r="K930" t="s">
        <v>41</v>
      </c>
      <c r="L930" t="s">
        <v>4935</v>
      </c>
      <c r="M930" t="s">
        <v>4936</v>
      </c>
      <c r="N930" t="s">
        <v>516</v>
      </c>
      <c r="O930" t="s">
        <v>64</v>
      </c>
      <c r="P930" t="s">
        <v>4937</v>
      </c>
      <c r="Q930" t="s">
        <v>97</v>
      </c>
      <c r="R930" t="s">
        <v>4845</v>
      </c>
      <c r="S930">
        <v>1</v>
      </c>
      <c r="T930">
        <v>4346</v>
      </c>
      <c r="U930">
        <v>0</v>
      </c>
      <c r="V930">
        <v>4346</v>
      </c>
    </row>
    <row r="931" spans="1:22" x14ac:dyDescent="0.3">
      <c r="A931">
        <v>80147</v>
      </c>
      <c r="B931">
        <v>137535784</v>
      </c>
      <c r="C931" t="s">
        <v>4938</v>
      </c>
      <c r="D931" t="s">
        <v>4939</v>
      </c>
      <c r="E931" t="s">
        <v>4105</v>
      </c>
      <c r="F931" t="s">
        <v>514</v>
      </c>
      <c r="G931" t="s">
        <v>43</v>
      </c>
      <c r="H931" t="s">
        <v>44</v>
      </c>
      <c r="I931" t="s">
        <v>34</v>
      </c>
      <c r="J931" t="s">
        <v>45</v>
      </c>
      <c r="K931" t="s">
        <v>41</v>
      </c>
      <c r="L931" t="s">
        <v>4940</v>
      </c>
      <c r="M931" t="s">
        <v>4941</v>
      </c>
      <c r="N931" t="s">
        <v>516</v>
      </c>
      <c r="O931" t="s">
        <v>64</v>
      </c>
      <c r="P931" t="s">
        <v>4942</v>
      </c>
      <c r="Q931" t="s">
        <v>82</v>
      </c>
      <c r="R931" t="s">
        <v>367</v>
      </c>
      <c r="S931">
        <v>5.76</v>
      </c>
      <c r="T931">
        <v>8008</v>
      </c>
      <c r="U931">
        <v>0</v>
      </c>
      <c r="V931">
        <v>8008</v>
      </c>
    </row>
    <row r="932" spans="1:22" x14ac:dyDescent="0.3">
      <c r="A932">
        <v>80147</v>
      </c>
      <c r="B932">
        <v>137328639</v>
      </c>
      <c r="C932" t="s">
        <v>4943</v>
      </c>
      <c r="D932" t="s">
        <v>4944</v>
      </c>
      <c r="E932" t="s">
        <v>4105</v>
      </c>
      <c r="F932" t="s">
        <v>514</v>
      </c>
      <c r="G932" t="s">
        <v>43</v>
      </c>
      <c r="H932" t="s">
        <v>44</v>
      </c>
      <c r="I932" t="s">
        <v>34</v>
      </c>
      <c r="J932" t="s">
        <v>45</v>
      </c>
      <c r="K932" t="s">
        <v>41</v>
      </c>
      <c r="L932" t="s">
        <v>4945</v>
      </c>
      <c r="M932" t="s">
        <v>4946</v>
      </c>
      <c r="N932" t="s">
        <v>516</v>
      </c>
      <c r="O932" t="s">
        <v>64</v>
      </c>
      <c r="P932" t="s">
        <v>4947</v>
      </c>
      <c r="Q932" t="s">
        <v>48</v>
      </c>
      <c r="R932" t="s">
        <v>4948</v>
      </c>
      <c r="S932">
        <v>1</v>
      </c>
      <c r="T932">
        <v>4067</v>
      </c>
      <c r="U932">
        <v>0</v>
      </c>
      <c r="V932">
        <v>4067</v>
      </c>
    </row>
    <row r="933" spans="1:22" x14ac:dyDescent="0.3">
      <c r="A933">
        <v>80147</v>
      </c>
      <c r="B933">
        <v>137328640</v>
      </c>
      <c r="C933" t="s">
        <v>4949</v>
      </c>
      <c r="D933" t="s">
        <v>4950</v>
      </c>
      <c r="E933" t="s">
        <v>4105</v>
      </c>
      <c r="F933" t="s">
        <v>514</v>
      </c>
      <c r="G933" t="s">
        <v>43</v>
      </c>
      <c r="H933" t="s">
        <v>44</v>
      </c>
      <c r="I933" t="s">
        <v>34</v>
      </c>
      <c r="J933" t="s">
        <v>45</v>
      </c>
      <c r="K933" t="s">
        <v>41</v>
      </c>
      <c r="L933" t="s">
        <v>4951</v>
      </c>
      <c r="M933" t="s">
        <v>4952</v>
      </c>
      <c r="N933" t="s">
        <v>516</v>
      </c>
      <c r="O933" t="s">
        <v>64</v>
      </c>
      <c r="P933" t="s">
        <v>4953</v>
      </c>
      <c r="Q933" t="s">
        <v>203</v>
      </c>
      <c r="R933" t="s">
        <v>4948</v>
      </c>
      <c r="S933">
        <v>6.85</v>
      </c>
      <c r="T933">
        <v>9710</v>
      </c>
      <c r="U933">
        <v>0</v>
      </c>
      <c r="V933">
        <v>9710</v>
      </c>
    </row>
    <row r="934" spans="1:22" x14ac:dyDescent="0.3">
      <c r="A934">
        <v>80147</v>
      </c>
      <c r="B934">
        <v>137535776</v>
      </c>
      <c r="C934" t="s">
        <v>4954</v>
      </c>
      <c r="D934" t="s">
        <v>4955</v>
      </c>
      <c r="E934" t="s">
        <v>4105</v>
      </c>
      <c r="F934" t="s">
        <v>514</v>
      </c>
      <c r="G934" t="s">
        <v>43</v>
      </c>
      <c r="H934" t="s">
        <v>44</v>
      </c>
      <c r="I934" t="s">
        <v>34</v>
      </c>
      <c r="J934" t="s">
        <v>45</v>
      </c>
      <c r="K934" t="s">
        <v>41</v>
      </c>
      <c r="L934" t="s">
        <v>4956</v>
      </c>
      <c r="M934" t="s">
        <v>4957</v>
      </c>
      <c r="N934" t="s">
        <v>516</v>
      </c>
      <c r="O934" t="s">
        <v>64</v>
      </c>
      <c r="P934" t="s">
        <v>4958</v>
      </c>
      <c r="Q934" t="s">
        <v>98</v>
      </c>
      <c r="R934" t="s">
        <v>367</v>
      </c>
      <c r="S934">
        <v>6.32</v>
      </c>
      <c r="T934">
        <v>10841</v>
      </c>
      <c r="U934">
        <v>0</v>
      </c>
      <c r="V934">
        <v>10841</v>
      </c>
    </row>
    <row r="935" spans="1:22" x14ac:dyDescent="0.3">
      <c r="A935">
        <v>80147</v>
      </c>
      <c r="B935">
        <v>137616748</v>
      </c>
      <c r="C935" t="s">
        <v>4959</v>
      </c>
      <c r="D935" t="s">
        <v>4960</v>
      </c>
      <c r="E935" t="s">
        <v>4105</v>
      </c>
      <c r="F935" t="s">
        <v>514</v>
      </c>
      <c r="G935" t="s">
        <v>43</v>
      </c>
      <c r="H935" t="s">
        <v>44</v>
      </c>
      <c r="I935" t="s">
        <v>34</v>
      </c>
      <c r="J935" t="s">
        <v>45</v>
      </c>
      <c r="K935" t="s">
        <v>41</v>
      </c>
      <c r="L935" t="s">
        <v>4961</v>
      </c>
      <c r="M935" t="s">
        <v>4962</v>
      </c>
      <c r="N935" t="s">
        <v>516</v>
      </c>
      <c r="O935" t="s">
        <v>64</v>
      </c>
      <c r="P935" t="s">
        <v>4963</v>
      </c>
      <c r="Q935" t="s">
        <v>134</v>
      </c>
      <c r="R935" t="s">
        <v>4964</v>
      </c>
      <c r="S935">
        <v>1</v>
      </c>
      <c r="T935">
        <v>4352</v>
      </c>
      <c r="U935">
        <v>0</v>
      </c>
      <c r="V935">
        <v>4352</v>
      </c>
    </row>
    <row r="936" spans="1:22" x14ac:dyDescent="0.3">
      <c r="A936">
        <v>80147</v>
      </c>
      <c r="B936">
        <v>137701830</v>
      </c>
      <c r="C936" t="s">
        <v>4965</v>
      </c>
      <c r="D936" t="s">
        <v>4966</v>
      </c>
      <c r="E936" t="s">
        <v>4105</v>
      </c>
      <c r="F936" t="s">
        <v>514</v>
      </c>
      <c r="G936" t="s">
        <v>43</v>
      </c>
      <c r="H936" t="s">
        <v>44</v>
      </c>
      <c r="I936" t="s">
        <v>34</v>
      </c>
      <c r="J936" t="s">
        <v>45</v>
      </c>
      <c r="K936" t="s">
        <v>41</v>
      </c>
      <c r="L936" t="s">
        <v>438</v>
      </c>
      <c r="M936" t="s">
        <v>4967</v>
      </c>
      <c r="N936" t="s">
        <v>516</v>
      </c>
      <c r="O936" t="s">
        <v>64</v>
      </c>
      <c r="P936" t="s">
        <v>4968</v>
      </c>
      <c r="Q936" t="s">
        <v>82</v>
      </c>
      <c r="R936" t="s">
        <v>4845</v>
      </c>
      <c r="S936">
        <v>1</v>
      </c>
      <c r="T936">
        <v>5759</v>
      </c>
      <c r="U936">
        <v>0</v>
      </c>
      <c r="V936">
        <v>5759</v>
      </c>
    </row>
    <row r="937" spans="1:22" x14ac:dyDescent="0.3">
      <c r="A937">
        <v>80147</v>
      </c>
      <c r="B937">
        <v>137468111</v>
      </c>
      <c r="C937" t="s">
        <v>4969</v>
      </c>
      <c r="D937" t="s">
        <v>4970</v>
      </c>
      <c r="E937" t="s">
        <v>4105</v>
      </c>
      <c r="F937" t="s">
        <v>514</v>
      </c>
      <c r="G937" t="s">
        <v>43</v>
      </c>
      <c r="H937" t="s">
        <v>44</v>
      </c>
      <c r="I937" t="s">
        <v>34</v>
      </c>
      <c r="J937" t="s">
        <v>45</v>
      </c>
      <c r="K937" t="s">
        <v>41</v>
      </c>
      <c r="L937" t="s">
        <v>4971</v>
      </c>
      <c r="M937" t="s">
        <v>4972</v>
      </c>
      <c r="N937" t="s">
        <v>516</v>
      </c>
      <c r="O937" t="s">
        <v>64</v>
      </c>
      <c r="P937" t="s">
        <v>4973</v>
      </c>
      <c r="Q937" t="s">
        <v>133</v>
      </c>
      <c r="R937" t="s">
        <v>4555</v>
      </c>
      <c r="S937">
        <v>7.78</v>
      </c>
      <c r="T937">
        <v>10562</v>
      </c>
      <c r="U937">
        <v>0</v>
      </c>
      <c r="V937">
        <v>10562</v>
      </c>
    </row>
    <row r="938" spans="1:22" x14ac:dyDescent="0.3">
      <c r="A938">
        <v>80147</v>
      </c>
      <c r="B938">
        <v>137701814</v>
      </c>
      <c r="C938" t="s">
        <v>4974</v>
      </c>
      <c r="D938" t="s">
        <v>4975</v>
      </c>
      <c r="E938" t="s">
        <v>4105</v>
      </c>
      <c r="F938" t="s">
        <v>514</v>
      </c>
      <c r="G938" t="s">
        <v>43</v>
      </c>
      <c r="H938" t="s">
        <v>44</v>
      </c>
      <c r="I938" t="s">
        <v>34</v>
      </c>
      <c r="J938" t="s">
        <v>45</v>
      </c>
      <c r="K938" t="s">
        <v>41</v>
      </c>
      <c r="L938" t="s">
        <v>4976</v>
      </c>
      <c r="M938" t="s">
        <v>4977</v>
      </c>
      <c r="N938" t="s">
        <v>516</v>
      </c>
      <c r="O938" t="s">
        <v>64</v>
      </c>
      <c r="P938" t="s">
        <v>4978</v>
      </c>
      <c r="Q938" t="s">
        <v>168</v>
      </c>
      <c r="R938" t="s">
        <v>4979</v>
      </c>
      <c r="S938">
        <v>1</v>
      </c>
      <c r="T938">
        <v>4067</v>
      </c>
      <c r="U938">
        <v>0</v>
      </c>
      <c r="V938">
        <v>4067</v>
      </c>
    </row>
    <row r="939" spans="1:22" x14ac:dyDescent="0.3">
      <c r="A939">
        <v>80147</v>
      </c>
      <c r="B939">
        <v>137701828</v>
      </c>
      <c r="C939" t="s">
        <v>4980</v>
      </c>
      <c r="D939" t="s">
        <v>4981</v>
      </c>
      <c r="E939" t="s">
        <v>4105</v>
      </c>
      <c r="F939" t="s">
        <v>514</v>
      </c>
      <c r="G939" t="s">
        <v>43</v>
      </c>
      <c r="H939" t="s">
        <v>44</v>
      </c>
      <c r="I939" t="s">
        <v>34</v>
      </c>
      <c r="J939" t="s">
        <v>45</v>
      </c>
      <c r="K939" t="s">
        <v>41</v>
      </c>
      <c r="L939" t="s">
        <v>4982</v>
      </c>
      <c r="M939" t="s">
        <v>4983</v>
      </c>
      <c r="N939" t="s">
        <v>516</v>
      </c>
      <c r="O939" t="s">
        <v>64</v>
      </c>
      <c r="P939" t="s">
        <v>4984</v>
      </c>
      <c r="Q939" t="s">
        <v>90</v>
      </c>
      <c r="R939" t="s">
        <v>4845</v>
      </c>
      <c r="S939">
        <v>1</v>
      </c>
      <c r="T939">
        <v>3753</v>
      </c>
      <c r="U939">
        <v>0</v>
      </c>
      <c r="V939">
        <v>3753</v>
      </c>
    </row>
    <row r="940" spans="1:22" x14ac:dyDescent="0.3">
      <c r="A940">
        <v>80147</v>
      </c>
      <c r="B940">
        <v>137633959</v>
      </c>
      <c r="C940" t="s">
        <v>4985</v>
      </c>
      <c r="D940" t="s">
        <v>4986</v>
      </c>
      <c r="E940" t="s">
        <v>4105</v>
      </c>
      <c r="F940" t="s">
        <v>514</v>
      </c>
      <c r="G940" t="s">
        <v>43</v>
      </c>
      <c r="H940" t="s">
        <v>44</v>
      </c>
      <c r="I940" t="s">
        <v>34</v>
      </c>
      <c r="J940" t="s">
        <v>45</v>
      </c>
      <c r="K940" t="s">
        <v>41</v>
      </c>
      <c r="L940" t="s">
        <v>4987</v>
      </c>
      <c r="M940" t="s">
        <v>4988</v>
      </c>
      <c r="N940" t="s">
        <v>516</v>
      </c>
      <c r="O940" t="s">
        <v>64</v>
      </c>
      <c r="P940" t="s">
        <v>4989</v>
      </c>
      <c r="Q940" t="s">
        <v>82</v>
      </c>
      <c r="R940" t="s">
        <v>4990</v>
      </c>
      <c r="S940">
        <v>6.6</v>
      </c>
      <c r="T940">
        <v>10562</v>
      </c>
      <c r="U940">
        <v>0</v>
      </c>
      <c r="V940">
        <v>10562</v>
      </c>
    </row>
    <row r="941" spans="1:22" x14ac:dyDescent="0.3">
      <c r="A941">
        <v>80147</v>
      </c>
      <c r="B941">
        <v>137390200</v>
      </c>
      <c r="C941" t="s">
        <v>4991</v>
      </c>
      <c r="D941" t="s">
        <v>4992</v>
      </c>
      <c r="E941" t="s">
        <v>4105</v>
      </c>
      <c r="F941" t="s">
        <v>514</v>
      </c>
      <c r="G941" t="s">
        <v>43</v>
      </c>
      <c r="H941" t="s">
        <v>44</v>
      </c>
      <c r="I941" t="s">
        <v>34</v>
      </c>
      <c r="J941" t="s">
        <v>45</v>
      </c>
      <c r="K941" t="s">
        <v>41</v>
      </c>
      <c r="L941" t="s">
        <v>4993</v>
      </c>
      <c r="M941" t="s">
        <v>4994</v>
      </c>
      <c r="N941" t="s">
        <v>516</v>
      </c>
      <c r="O941" t="s">
        <v>64</v>
      </c>
      <c r="P941" t="s">
        <v>4995</v>
      </c>
      <c r="Q941" t="s">
        <v>50</v>
      </c>
      <c r="R941" t="s">
        <v>4683</v>
      </c>
      <c r="S941">
        <v>6.56</v>
      </c>
      <c r="T941">
        <v>9710</v>
      </c>
      <c r="U941">
        <v>0</v>
      </c>
      <c r="V941">
        <v>9710</v>
      </c>
    </row>
    <row r="942" spans="1:22" x14ac:dyDescent="0.3">
      <c r="A942">
        <v>80147</v>
      </c>
      <c r="B942">
        <v>137659224</v>
      </c>
      <c r="C942" t="s">
        <v>4996</v>
      </c>
      <c r="D942" t="s">
        <v>4997</v>
      </c>
      <c r="E942" t="s">
        <v>4105</v>
      </c>
      <c r="F942" t="s">
        <v>514</v>
      </c>
      <c r="G942" t="s">
        <v>43</v>
      </c>
      <c r="H942" t="s">
        <v>44</v>
      </c>
      <c r="I942" t="s">
        <v>34</v>
      </c>
      <c r="J942" t="s">
        <v>45</v>
      </c>
      <c r="K942" t="s">
        <v>41</v>
      </c>
      <c r="L942" t="s">
        <v>4998</v>
      </c>
      <c r="M942" t="s">
        <v>4999</v>
      </c>
      <c r="N942" t="s">
        <v>516</v>
      </c>
      <c r="O942" t="s">
        <v>64</v>
      </c>
      <c r="P942" t="s">
        <v>5000</v>
      </c>
      <c r="Q942" t="s">
        <v>58</v>
      </c>
      <c r="R942" t="s">
        <v>4763</v>
      </c>
      <c r="S942">
        <v>1</v>
      </c>
      <c r="T942">
        <v>3366</v>
      </c>
      <c r="U942">
        <v>0</v>
      </c>
      <c r="V942">
        <v>3366</v>
      </c>
    </row>
    <row r="943" spans="1:22" x14ac:dyDescent="0.3">
      <c r="A943">
        <v>80147</v>
      </c>
      <c r="B943">
        <v>137616747</v>
      </c>
      <c r="C943" t="s">
        <v>5001</v>
      </c>
      <c r="D943" t="s">
        <v>5002</v>
      </c>
      <c r="E943" t="s">
        <v>4105</v>
      </c>
      <c r="F943" t="s">
        <v>514</v>
      </c>
      <c r="G943" t="s">
        <v>43</v>
      </c>
      <c r="H943" t="s">
        <v>44</v>
      </c>
      <c r="I943" t="s">
        <v>34</v>
      </c>
      <c r="J943" t="s">
        <v>45</v>
      </c>
      <c r="K943" t="s">
        <v>41</v>
      </c>
      <c r="L943" t="s">
        <v>5003</v>
      </c>
      <c r="M943" t="s">
        <v>5004</v>
      </c>
      <c r="N943" t="s">
        <v>516</v>
      </c>
      <c r="O943" t="s">
        <v>64</v>
      </c>
      <c r="P943" t="s">
        <v>5005</v>
      </c>
      <c r="Q943" t="s">
        <v>50</v>
      </c>
      <c r="R943" t="s">
        <v>4964</v>
      </c>
      <c r="S943">
        <v>1</v>
      </c>
      <c r="T943">
        <v>5198</v>
      </c>
      <c r="U943">
        <v>0</v>
      </c>
      <c r="V943">
        <v>5198</v>
      </c>
    </row>
    <row r="944" spans="1:22" x14ac:dyDescent="0.3">
      <c r="A944">
        <v>80147</v>
      </c>
      <c r="B944">
        <v>137659218</v>
      </c>
      <c r="C944" t="s">
        <v>5006</v>
      </c>
      <c r="D944" t="s">
        <v>5007</v>
      </c>
      <c r="E944" t="s">
        <v>4105</v>
      </c>
      <c r="F944" t="s">
        <v>514</v>
      </c>
      <c r="G944" t="s">
        <v>43</v>
      </c>
      <c r="H944" t="s">
        <v>44</v>
      </c>
      <c r="I944" t="s">
        <v>34</v>
      </c>
      <c r="J944" t="s">
        <v>45</v>
      </c>
      <c r="K944" t="s">
        <v>41</v>
      </c>
      <c r="L944" t="s">
        <v>5008</v>
      </c>
      <c r="M944" t="s">
        <v>5009</v>
      </c>
      <c r="N944" t="s">
        <v>516</v>
      </c>
      <c r="O944" t="s">
        <v>64</v>
      </c>
      <c r="P944" t="s">
        <v>5010</v>
      </c>
      <c r="Q944" t="s">
        <v>87</v>
      </c>
      <c r="R944" t="s">
        <v>509</v>
      </c>
      <c r="S944">
        <v>1</v>
      </c>
      <c r="T944">
        <v>3870</v>
      </c>
      <c r="U944">
        <v>0</v>
      </c>
      <c r="V944">
        <v>3870</v>
      </c>
    </row>
    <row r="945" spans="1:22" x14ac:dyDescent="0.3">
      <c r="A945">
        <v>80147</v>
      </c>
      <c r="B945">
        <v>137701844</v>
      </c>
      <c r="C945" t="s">
        <v>5011</v>
      </c>
      <c r="D945" t="s">
        <v>5012</v>
      </c>
      <c r="E945" t="s">
        <v>4105</v>
      </c>
      <c r="F945" t="s">
        <v>514</v>
      </c>
      <c r="G945" t="s">
        <v>43</v>
      </c>
      <c r="H945" t="s">
        <v>44</v>
      </c>
      <c r="I945" t="s">
        <v>34</v>
      </c>
      <c r="J945" t="s">
        <v>45</v>
      </c>
      <c r="K945" t="s">
        <v>41</v>
      </c>
      <c r="L945" t="s">
        <v>5013</v>
      </c>
      <c r="M945" t="s">
        <v>5014</v>
      </c>
      <c r="N945" t="s">
        <v>516</v>
      </c>
      <c r="O945" t="s">
        <v>64</v>
      </c>
      <c r="P945" t="s">
        <v>5015</v>
      </c>
      <c r="Q945" t="s">
        <v>85</v>
      </c>
      <c r="R945" t="s">
        <v>4845</v>
      </c>
      <c r="S945">
        <v>1</v>
      </c>
      <c r="T945">
        <v>4038</v>
      </c>
      <c r="U945">
        <v>0</v>
      </c>
      <c r="V945">
        <v>4038</v>
      </c>
    </row>
    <row r="946" spans="1:22" x14ac:dyDescent="0.3">
      <c r="A946">
        <v>80147</v>
      </c>
      <c r="B946">
        <v>137512894</v>
      </c>
      <c r="C946" t="s">
        <v>5016</v>
      </c>
      <c r="D946" t="s">
        <v>5017</v>
      </c>
      <c r="E946" t="s">
        <v>4105</v>
      </c>
      <c r="F946" t="s">
        <v>514</v>
      </c>
      <c r="G946" t="s">
        <v>43</v>
      </c>
      <c r="H946" t="s">
        <v>44</v>
      </c>
      <c r="I946" t="s">
        <v>34</v>
      </c>
      <c r="J946" t="s">
        <v>45</v>
      </c>
      <c r="K946" t="s">
        <v>41</v>
      </c>
      <c r="L946" t="s">
        <v>5018</v>
      </c>
      <c r="M946" t="s">
        <v>5019</v>
      </c>
      <c r="N946" t="s">
        <v>516</v>
      </c>
      <c r="O946" t="s">
        <v>64</v>
      </c>
      <c r="P946" t="s">
        <v>5020</v>
      </c>
      <c r="Q946" t="s">
        <v>131</v>
      </c>
      <c r="R946" t="s">
        <v>5021</v>
      </c>
      <c r="S946">
        <v>3.04</v>
      </c>
      <c r="T946">
        <v>7749</v>
      </c>
      <c r="U946">
        <v>0</v>
      </c>
      <c r="V946">
        <v>7749</v>
      </c>
    </row>
    <row r="947" spans="1:22" x14ac:dyDescent="0.3">
      <c r="A947">
        <v>80147</v>
      </c>
      <c r="B947">
        <v>137328653</v>
      </c>
      <c r="C947" t="s">
        <v>5022</v>
      </c>
      <c r="D947" t="s">
        <v>5023</v>
      </c>
      <c r="E947" t="s">
        <v>4105</v>
      </c>
      <c r="F947" t="s">
        <v>514</v>
      </c>
      <c r="G947" t="s">
        <v>43</v>
      </c>
      <c r="H947" t="s">
        <v>44</v>
      </c>
      <c r="I947" t="s">
        <v>34</v>
      </c>
      <c r="J947" t="s">
        <v>45</v>
      </c>
      <c r="K947" t="s">
        <v>41</v>
      </c>
      <c r="L947" t="s">
        <v>5024</v>
      </c>
      <c r="M947" t="s">
        <v>5025</v>
      </c>
      <c r="N947" t="s">
        <v>516</v>
      </c>
      <c r="O947" t="s">
        <v>64</v>
      </c>
      <c r="P947" t="s">
        <v>5026</v>
      </c>
      <c r="Q947" t="s">
        <v>50</v>
      </c>
      <c r="R947" t="s">
        <v>4948</v>
      </c>
      <c r="S947">
        <v>3.27</v>
      </c>
      <c r="T947">
        <v>7484</v>
      </c>
      <c r="U947">
        <v>0</v>
      </c>
      <c r="V947">
        <v>7484</v>
      </c>
    </row>
    <row r="948" spans="1:22" x14ac:dyDescent="0.3">
      <c r="A948">
        <v>80147</v>
      </c>
      <c r="B948">
        <v>137616755</v>
      </c>
      <c r="C948" t="s">
        <v>5027</v>
      </c>
      <c r="D948" t="s">
        <v>5028</v>
      </c>
      <c r="E948" t="s">
        <v>4105</v>
      </c>
      <c r="F948" t="s">
        <v>514</v>
      </c>
      <c r="G948" t="s">
        <v>43</v>
      </c>
      <c r="H948" t="s">
        <v>44</v>
      </c>
      <c r="I948" t="s">
        <v>34</v>
      </c>
      <c r="J948" t="s">
        <v>45</v>
      </c>
      <c r="K948" t="s">
        <v>41</v>
      </c>
      <c r="L948" t="s">
        <v>5029</v>
      </c>
      <c r="M948" t="s">
        <v>5030</v>
      </c>
      <c r="N948" t="s">
        <v>516</v>
      </c>
      <c r="O948" t="s">
        <v>64</v>
      </c>
      <c r="P948" t="s">
        <v>5031</v>
      </c>
      <c r="Q948" t="s">
        <v>79</v>
      </c>
      <c r="R948" t="s">
        <v>4964</v>
      </c>
      <c r="S948">
        <v>0.9</v>
      </c>
      <c r="T948">
        <v>3366</v>
      </c>
      <c r="U948">
        <v>0</v>
      </c>
      <c r="V948">
        <v>3366</v>
      </c>
    </row>
    <row r="949" spans="1:22" x14ac:dyDescent="0.3">
      <c r="A949">
        <v>80147</v>
      </c>
      <c r="B949">
        <v>137358781</v>
      </c>
      <c r="C949" t="s">
        <v>5032</v>
      </c>
      <c r="D949" t="s">
        <v>5033</v>
      </c>
      <c r="E949" t="s">
        <v>4105</v>
      </c>
      <c r="F949" t="s">
        <v>514</v>
      </c>
      <c r="G949" t="s">
        <v>43</v>
      </c>
      <c r="H949" t="s">
        <v>44</v>
      </c>
      <c r="I949" t="s">
        <v>34</v>
      </c>
      <c r="J949" t="s">
        <v>45</v>
      </c>
      <c r="K949" t="s">
        <v>41</v>
      </c>
      <c r="L949" t="s">
        <v>5034</v>
      </c>
      <c r="M949" t="s">
        <v>5035</v>
      </c>
      <c r="N949" t="s">
        <v>516</v>
      </c>
      <c r="O949" t="s">
        <v>64</v>
      </c>
      <c r="P949" t="s">
        <v>5036</v>
      </c>
      <c r="Q949" t="s">
        <v>46</v>
      </c>
      <c r="R949" t="s">
        <v>4579</v>
      </c>
      <c r="S949">
        <v>0.9</v>
      </c>
      <c r="T949">
        <v>3366</v>
      </c>
      <c r="U949">
        <v>0</v>
      </c>
      <c r="V949">
        <v>3366</v>
      </c>
    </row>
    <row r="950" spans="1:22" x14ac:dyDescent="0.3">
      <c r="A950">
        <v>80147</v>
      </c>
      <c r="B950">
        <v>137659223</v>
      </c>
      <c r="C950" t="s">
        <v>5037</v>
      </c>
      <c r="D950" t="s">
        <v>5038</v>
      </c>
      <c r="E950" t="s">
        <v>4105</v>
      </c>
      <c r="F950" t="s">
        <v>514</v>
      </c>
      <c r="G950" t="s">
        <v>43</v>
      </c>
      <c r="H950" t="s">
        <v>44</v>
      </c>
      <c r="I950" t="s">
        <v>34</v>
      </c>
      <c r="J950" t="s">
        <v>45</v>
      </c>
      <c r="K950" t="s">
        <v>41</v>
      </c>
      <c r="L950" t="s">
        <v>5039</v>
      </c>
      <c r="M950" t="s">
        <v>5040</v>
      </c>
      <c r="N950" t="s">
        <v>516</v>
      </c>
      <c r="O950" t="s">
        <v>64</v>
      </c>
      <c r="P950" t="s">
        <v>5041</v>
      </c>
      <c r="Q950" t="s">
        <v>47</v>
      </c>
      <c r="R950" t="s">
        <v>4763</v>
      </c>
      <c r="S950">
        <v>1</v>
      </c>
      <c r="T950">
        <v>4067</v>
      </c>
      <c r="U950">
        <v>0</v>
      </c>
      <c r="V950">
        <v>4067</v>
      </c>
    </row>
    <row r="951" spans="1:22" x14ac:dyDescent="0.3">
      <c r="A951">
        <v>80147</v>
      </c>
      <c r="B951">
        <v>137701815</v>
      </c>
      <c r="C951" t="s">
        <v>5042</v>
      </c>
      <c r="D951" t="s">
        <v>5043</v>
      </c>
      <c r="E951" t="s">
        <v>4105</v>
      </c>
      <c r="F951" t="s">
        <v>514</v>
      </c>
      <c r="G951" t="s">
        <v>43</v>
      </c>
      <c r="H951" t="s">
        <v>44</v>
      </c>
      <c r="I951" t="s">
        <v>34</v>
      </c>
      <c r="J951" t="s">
        <v>45</v>
      </c>
      <c r="K951" t="s">
        <v>41</v>
      </c>
      <c r="L951" t="s">
        <v>5044</v>
      </c>
      <c r="M951" t="s">
        <v>5045</v>
      </c>
      <c r="N951" t="s">
        <v>516</v>
      </c>
      <c r="O951" t="s">
        <v>64</v>
      </c>
      <c r="P951" t="s">
        <v>5046</v>
      </c>
      <c r="Q951" t="s">
        <v>128</v>
      </c>
      <c r="R951" t="s">
        <v>4979</v>
      </c>
      <c r="S951">
        <v>1</v>
      </c>
      <c r="T951">
        <v>3366</v>
      </c>
      <c r="U951">
        <v>0</v>
      </c>
      <c r="V951">
        <v>3366</v>
      </c>
    </row>
    <row r="952" spans="1:22" x14ac:dyDescent="0.3">
      <c r="A952">
        <v>80147</v>
      </c>
      <c r="B952">
        <v>137701829</v>
      </c>
      <c r="C952" t="s">
        <v>5047</v>
      </c>
      <c r="D952" t="s">
        <v>5048</v>
      </c>
      <c r="E952" t="s">
        <v>4105</v>
      </c>
      <c r="F952" t="s">
        <v>514</v>
      </c>
      <c r="G952" t="s">
        <v>43</v>
      </c>
      <c r="H952" t="s">
        <v>44</v>
      </c>
      <c r="I952" t="s">
        <v>34</v>
      </c>
      <c r="J952" t="s">
        <v>45</v>
      </c>
      <c r="K952" t="s">
        <v>41</v>
      </c>
      <c r="L952" t="s">
        <v>5049</v>
      </c>
      <c r="M952" t="s">
        <v>5050</v>
      </c>
      <c r="N952" t="s">
        <v>516</v>
      </c>
      <c r="O952" t="s">
        <v>64</v>
      </c>
      <c r="P952" t="s">
        <v>5051</v>
      </c>
      <c r="Q952" t="s">
        <v>112</v>
      </c>
      <c r="R952" t="s">
        <v>4845</v>
      </c>
      <c r="S952">
        <v>1</v>
      </c>
      <c r="T952">
        <v>3366</v>
      </c>
      <c r="U952">
        <v>0</v>
      </c>
      <c r="V952">
        <v>3366</v>
      </c>
    </row>
    <row r="953" spans="1:22" x14ac:dyDescent="0.3">
      <c r="A953">
        <v>80147</v>
      </c>
      <c r="B953">
        <v>136997738</v>
      </c>
      <c r="C953" t="s">
        <v>5052</v>
      </c>
      <c r="D953" t="s">
        <v>5053</v>
      </c>
      <c r="E953" t="s">
        <v>4105</v>
      </c>
      <c r="F953" t="s">
        <v>514</v>
      </c>
      <c r="G953" t="s">
        <v>43</v>
      </c>
      <c r="H953" t="s">
        <v>44</v>
      </c>
      <c r="I953" t="s">
        <v>34</v>
      </c>
      <c r="J953" t="s">
        <v>45</v>
      </c>
      <c r="K953" t="s">
        <v>41</v>
      </c>
      <c r="L953" t="s">
        <v>5054</v>
      </c>
      <c r="M953" t="s">
        <v>5055</v>
      </c>
      <c r="N953" t="s">
        <v>516</v>
      </c>
      <c r="O953" t="s">
        <v>64</v>
      </c>
      <c r="P953" t="s">
        <v>5056</v>
      </c>
      <c r="Q953" t="s">
        <v>166</v>
      </c>
      <c r="R953" t="s">
        <v>5057</v>
      </c>
      <c r="S953">
        <v>8.3699999999999992</v>
      </c>
      <c r="T953">
        <v>11407</v>
      </c>
      <c r="U953">
        <v>0</v>
      </c>
      <c r="V953">
        <v>11407</v>
      </c>
    </row>
    <row r="954" spans="1:22" x14ac:dyDescent="0.3">
      <c r="A954">
        <v>80147</v>
      </c>
      <c r="B954">
        <v>137701834</v>
      </c>
      <c r="C954" t="s">
        <v>5058</v>
      </c>
      <c r="D954" t="s">
        <v>5059</v>
      </c>
      <c r="E954" t="s">
        <v>4105</v>
      </c>
      <c r="F954" t="s">
        <v>514</v>
      </c>
      <c r="G954" t="s">
        <v>43</v>
      </c>
      <c r="H954" t="s">
        <v>44</v>
      </c>
      <c r="I954" t="s">
        <v>34</v>
      </c>
      <c r="J954" t="s">
        <v>45</v>
      </c>
      <c r="K954" t="s">
        <v>41</v>
      </c>
      <c r="L954" t="s">
        <v>5060</v>
      </c>
      <c r="M954" t="s">
        <v>5061</v>
      </c>
      <c r="N954" t="s">
        <v>516</v>
      </c>
      <c r="O954" t="s">
        <v>64</v>
      </c>
      <c r="P954" t="s">
        <v>5062</v>
      </c>
      <c r="Q954" t="s">
        <v>202</v>
      </c>
      <c r="R954" t="s">
        <v>4845</v>
      </c>
      <c r="S954">
        <v>1</v>
      </c>
      <c r="T954">
        <v>3753</v>
      </c>
      <c r="U954">
        <v>0</v>
      </c>
      <c r="V954">
        <v>3753</v>
      </c>
    </row>
    <row r="955" spans="1:22" x14ac:dyDescent="0.3">
      <c r="A955">
        <v>80147</v>
      </c>
      <c r="B955">
        <v>137701835</v>
      </c>
      <c r="C955" t="s">
        <v>5063</v>
      </c>
      <c r="D955" t="s">
        <v>5064</v>
      </c>
      <c r="E955" t="s">
        <v>4105</v>
      </c>
      <c r="F955" t="s">
        <v>514</v>
      </c>
      <c r="G955" t="s">
        <v>43</v>
      </c>
      <c r="H955" t="s">
        <v>44</v>
      </c>
      <c r="I955" t="s">
        <v>34</v>
      </c>
      <c r="J955" t="s">
        <v>45</v>
      </c>
      <c r="K955" t="s">
        <v>41</v>
      </c>
      <c r="L955" t="s">
        <v>5065</v>
      </c>
      <c r="M955" t="s">
        <v>328</v>
      </c>
      <c r="N955" t="s">
        <v>516</v>
      </c>
      <c r="O955" t="s">
        <v>64</v>
      </c>
      <c r="P955" t="s">
        <v>5066</v>
      </c>
      <c r="Q955" t="s">
        <v>49</v>
      </c>
      <c r="R955" t="s">
        <v>4845</v>
      </c>
      <c r="S955">
        <v>1</v>
      </c>
      <c r="T955">
        <v>3501</v>
      </c>
      <c r="U955">
        <v>0</v>
      </c>
      <c r="V955">
        <v>3501</v>
      </c>
    </row>
    <row r="956" spans="1:22" x14ac:dyDescent="0.3">
      <c r="A956">
        <v>80147</v>
      </c>
      <c r="B956">
        <v>137468086</v>
      </c>
      <c r="C956" t="s">
        <v>5067</v>
      </c>
      <c r="D956" t="s">
        <v>5068</v>
      </c>
      <c r="E956" t="s">
        <v>4105</v>
      </c>
      <c r="F956" t="s">
        <v>514</v>
      </c>
      <c r="G956" t="s">
        <v>43</v>
      </c>
      <c r="H956" t="s">
        <v>44</v>
      </c>
      <c r="I956" t="s">
        <v>34</v>
      </c>
      <c r="J956" t="s">
        <v>45</v>
      </c>
      <c r="K956" t="s">
        <v>41</v>
      </c>
      <c r="L956" t="s">
        <v>5069</v>
      </c>
      <c r="M956" t="s">
        <v>295</v>
      </c>
      <c r="N956" t="s">
        <v>516</v>
      </c>
      <c r="O956" t="s">
        <v>64</v>
      </c>
      <c r="P956" t="s">
        <v>5070</v>
      </c>
      <c r="Q956" t="s">
        <v>82</v>
      </c>
      <c r="R956" t="s">
        <v>4555</v>
      </c>
      <c r="S956">
        <v>12.02</v>
      </c>
      <c r="T956">
        <v>13930</v>
      </c>
      <c r="U956">
        <v>0</v>
      </c>
      <c r="V956">
        <v>13930</v>
      </c>
    </row>
    <row r="957" spans="1:22" x14ac:dyDescent="0.3">
      <c r="A957">
        <v>80147</v>
      </c>
      <c r="B957">
        <v>137468094</v>
      </c>
      <c r="C957" t="s">
        <v>5071</v>
      </c>
      <c r="D957" t="s">
        <v>5072</v>
      </c>
      <c r="E957" t="s">
        <v>4105</v>
      </c>
      <c r="F957" t="s">
        <v>514</v>
      </c>
      <c r="G957" t="s">
        <v>43</v>
      </c>
      <c r="H957" t="s">
        <v>44</v>
      </c>
      <c r="I957" t="s">
        <v>34</v>
      </c>
      <c r="J957" t="s">
        <v>45</v>
      </c>
      <c r="K957" t="s">
        <v>41</v>
      </c>
      <c r="L957" t="s">
        <v>5073</v>
      </c>
      <c r="M957" t="s">
        <v>5074</v>
      </c>
      <c r="N957" t="s">
        <v>516</v>
      </c>
      <c r="O957" t="s">
        <v>64</v>
      </c>
      <c r="P957" t="s">
        <v>5075</v>
      </c>
      <c r="Q957" t="s">
        <v>50</v>
      </c>
      <c r="R957" t="s">
        <v>4555</v>
      </c>
      <c r="S957">
        <v>6.14</v>
      </c>
      <c r="T957">
        <v>9710</v>
      </c>
      <c r="U957">
        <v>0</v>
      </c>
      <c r="V957">
        <v>9710</v>
      </c>
    </row>
    <row r="958" spans="1:22" x14ac:dyDescent="0.3">
      <c r="A958">
        <v>80147</v>
      </c>
      <c r="B958">
        <v>137468087</v>
      </c>
      <c r="C958" t="s">
        <v>5076</v>
      </c>
      <c r="D958" t="s">
        <v>5077</v>
      </c>
      <c r="E958" t="s">
        <v>4105</v>
      </c>
      <c r="F958" t="s">
        <v>514</v>
      </c>
      <c r="G958" t="s">
        <v>43</v>
      </c>
      <c r="H958" t="s">
        <v>44</v>
      </c>
      <c r="I958" t="s">
        <v>34</v>
      </c>
      <c r="J958" t="s">
        <v>45</v>
      </c>
      <c r="K958" t="s">
        <v>41</v>
      </c>
      <c r="L958" t="s">
        <v>5078</v>
      </c>
      <c r="M958" t="s">
        <v>5079</v>
      </c>
      <c r="N958" t="s">
        <v>516</v>
      </c>
      <c r="O958" t="s">
        <v>64</v>
      </c>
      <c r="P958" t="s">
        <v>5080</v>
      </c>
      <c r="Q958" t="s">
        <v>52</v>
      </c>
      <c r="R958" t="s">
        <v>4555</v>
      </c>
      <c r="S958">
        <v>2.08</v>
      </c>
      <c r="T958">
        <v>4067</v>
      </c>
      <c r="U958">
        <v>0</v>
      </c>
      <c r="V958">
        <v>4067</v>
      </c>
    </row>
    <row r="959" spans="1:22" x14ac:dyDescent="0.3">
      <c r="A959">
        <v>80147</v>
      </c>
      <c r="B959">
        <v>137328647</v>
      </c>
      <c r="C959" t="s">
        <v>5081</v>
      </c>
      <c r="D959" t="s">
        <v>5082</v>
      </c>
      <c r="E959" t="s">
        <v>4105</v>
      </c>
      <c r="F959" t="s">
        <v>514</v>
      </c>
      <c r="G959" t="s">
        <v>43</v>
      </c>
      <c r="H959" t="s">
        <v>44</v>
      </c>
      <c r="I959" t="s">
        <v>34</v>
      </c>
      <c r="J959" t="s">
        <v>45</v>
      </c>
      <c r="K959" t="s">
        <v>41</v>
      </c>
      <c r="L959" t="s">
        <v>5083</v>
      </c>
      <c r="M959" t="s">
        <v>5084</v>
      </c>
      <c r="N959" t="s">
        <v>516</v>
      </c>
      <c r="O959" t="s">
        <v>64</v>
      </c>
      <c r="P959" t="s">
        <v>5085</v>
      </c>
      <c r="Q959" t="s">
        <v>49</v>
      </c>
      <c r="R959" t="s">
        <v>4948</v>
      </c>
      <c r="S959">
        <v>6.33</v>
      </c>
      <c r="T959">
        <v>5476</v>
      </c>
      <c r="U959">
        <v>0</v>
      </c>
      <c r="V959">
        <v>5476</v>
      </c>
    </row>
    <row r="960" spans="1:22" x14ac:dyDescent="0.3">
      <c r="A960">
        <v>80147</v>
      </c>
      <c r="B960">
        <v>137358764</v>
      </c>
      <c r="C960" t="s">
        <v>5086</v>
      </c>
      <c r="D960" t="s">
        <v>5087</v>
      </c>
      <c r="E960" t="s">
        <v>4105</v>
      </c>
      <c r="F960" t="s">
        <v>514</v>
      </c>
      <c r="G960" t="s">
        <v>43</v>
      </c>
      <c r="H960" t="s">
        <v>44</v>
      </c>
      <c r="I960" t="s">
        <v>34</v>
      </c>
      <c r="J960" t="s">
        <v>45</v>
      </c>
      <c r="K960" t="s">
        <v>41</v>
      </c>
      <c r="L960" t="s">
        <v>5088</v>
      </c>
      <c r="M960" t="s">
        <v>306</v>
      </c>
      <c r="N960" t="s">
        <v>516</v>
      </c>
      <c r="O960" t="s">
        <v>64</v>
      </c>
      <c r="P960" t="s">
        <v>5089</v>
      </c>
      <c r="Q960" t="s">
        <v>62</v>
      </c>
      <c r="R960" t="s">
        <v>4579</v>
      </c>
      <c r="S960">
        <v>5.56</v>
      </c>
      <c r="T960">
        <v>4585</v>
      </c>
      <c r="U960">
        <v>0</v>
      </c>
      <c r="V960">
        <v>4585</v>
      </c>
    </row>
    <row r="961" spans="1:22" x14ac:dyDescent="0.3">
      <c r="A961">
        <v>80147</v>
      </c>
      <c r="B961">
        <v>137409135</v>
      </c>
      <c r="C961" t="s">
        <v>5090</v>
      </c>
      <c r="D961" t="s">
        <v>5091</v>
      </c>
      <c r="E961" t="s">
        <v>4105</v>
      </c>
      <c r="F961" t="s">
        <v>514</v>
      </c>
      <c r="G961" t="s">
        <v>43</v>
      </c>
      <c r="H961" t="s">
        <v>44</v>
      </c>
      <c r="I961" t="s">
        <v>34</v>
      </c>
      <c r="J961" t="s">
        <v>45</v>
      </c>
      <c r="K961" t="s">
        <v>41</v>
      </c>
      <c r="L961" t="s">
        <v>5092</v>
      </c>
      <c r="M961" t="s">
        <v>5093</v>
      </c>
      <c r="N961" t="s">
        <v>516</v>
      </c>
      <c r="O961" t="s">
        <v>64</v>
      </c>
      <c r="P961" t="s">
        <v>5094</v>
      </c>
      <c r="Q961" t="s">
        <v>118</v>
      </c>
      <c r="R961" t="s">
        <v>430</v>
      </c>
      <c r="S961">
        <v>1</v>
      </c>
      <c r="T961">
        <v>4067</v>
      </c>
      <c r="U961">
        <v>0</v>
      </c>
      <c r="V961">
        <v>4067</v>
      </c>
    </row>
    <row r="962" spans="1:22" x14ac:dyDescent="0.3">
      <c r="A962">
        <v>80147</v>
      </c>
      <c r="B962">
        <v>137468080</v>
      </c>
      <c r="C962" t="s">
        <v>5095</v>
      </c>
      <c r="D962" t="s">
        <v>5096</v>
      </c>
      <c r="E962" t="s">
        <v>4105</v>
      </c>
      <c r="F962" t="s">
        <v>514</v>
      </c>
      <c r="G962" t="s">
        <v>43</v>
      </c>
      <c r="H962" t="s">
        <v>44</v>
      </c>
      <c r="I962" t="s">
        <v>34</v>
      </c>
      <c r="J962" t="s">
        <v>45</v>
      </c>
      <c r="K962" t="s">
        <v>41</v>
      </c>
      <c r="L962" t="s">
        <v>5097</v>
      </c>
      <c r="M962" t="s">
        <v>5098</v>
      </c>
      <c r="N962" t="s">
        <v>516</v>
      </c>
      <c r="O962" t="s">
        <v>64</v>
      </c>
      <c r="P962" t="s">
        <v>5099</v>
      </c>
      <c r="Q962" t="s">
        <v>102</v>
      </c>
      <c r="R962" t="s">
        <v>4555</v>
      </c>
      <c r="S962">
        <v>5.78</v>
      </c>
      <c r="T962">
        <v>3797</v>
      </c>
      <c r="U962">
        <v>0</v>
      </c>
      <c r="V962">
        <v>3797</v>
      </c>
    </row>
    <row r="963" spans="1:22" x14ac:dyDescent="0.3">
      <c r="A963">
        <v>80147</v>
      </c>
      <c r="B963">
        <v>137409146</v>
      </c>
      <c r="C963" t="s">
        <v>5100</v>
      </c>
      <c r="D963" t="s">
        <v>5101</v>
      </c>
      <c r="E963" t="s">
        <v>4105</v>
      </c>
      <c r="F963" t="s">
        <v>514</v>
      </c>
      <c r="G963" t="s">
        <v>43</v>
      </c>
      <c r="H963" t="s">
        <v>44</v>
      </c>
      <c r="I963" t="s">
        <v>34</v>
      </c>
      <c r="J963" t="s">
        <v>45</v>
      </c>
      <c r="K963" t="s">
        <v>54</v>
      </c>
      <c r="L963" t="s">
        <v>55</v>
      </c>
      <c r="M963" t="s">
        <v>5102</v>
      </c>
      <c r="N963" t="s">
        <v>516</v>
      </c>
      <c r="O963" t="s">
        <v>64</v>
      </c>
      <c r="P963" t="s">
        <v>5103</v>
      </c>
      <c r="Q963" t="s">
        <v>56</v>
      </c>
      <c r="R963" t="s">
        <v>430</v>
      </c>
      <c r="S963">
        <v>3.06</v>
      </c>
      <c r="T963">
        <v>4322</v>
      </c>
      <c r="U963">
        <v>0</v>
      </c>
      <c r="V963">
        <v>4322</v>
      </c>
    </row>
    <row r="964" spans="1:22" x14ac:dyDescent="0.3">
      <c r="A964">
        <v>80147</v>
      </c>
      <c r="B964">
        <v>137498865</v>
      </c>
      <c r="C964" t="s">
        <v>5104</v>
      </c>
      <c r="D964" t="s">
        <v>5105</v>
      </c>
      <c r="E964" t="s">
        <v>4105</v>
      </c>
      <c r="F964" t="s">
        <v>514</v>
      </c>
      <c r="G964" t="s">
        <v>43</v>
      </c>
      <c r="H964" t="s">
        <v>44</v>
      </c>
      <c r="I964" t="s">
        <v>34</v>
      </c>
      <c r="J964" t="s">
        <v>45</v>
      </c>
      <c r="K964" t="s">
        <v>41</v>
      </c>
      <c r="L964" t="s">
        <v>5106</v>
      </c>
      <c r="M964" t="s">
        <v>5107</v>
      </c>
      <c r="N964" t="s">
        <v>516</v>
      </c>
      <c r="O964" t="s">
        <v>64</v>
      </c>
      <c r="P964" t="s">
        <v>5108</v>
      </c>
      <c r="Q964" t="s">
        <v>243</v>
      </c>
      <c r="R964" t="s">
        <v>5109</v>
      </c>
      <c r="S964">
        <v>6.63</v>
      </c>
      <c r="T964">
        <v>5759</v>
      </c>
      <c r="U964">
        <v>0</v>
      </c>
      <c r="V964">
        <v>5759</v>
      </c>
    </row>
    <row r="965" spans="1:22" x14ac:dyDescent="0.3">
      <c r="A965">
        <v>80147</v>
      </c>
      <c r="B965">
        <v>137468110</v>
      </c>
      <c r="C965" t="s">
        <v>5110</v>
      </c>
      <c r="D965" t="s">
        <v>5111</v>
      </c>
      <c r="E965" t="s">
        <v>4105</v>
      </c>
      <c r="F965" t="s">
        <v>514</v>
      </c>
      <c r="G965" t="s">
        <v>43</v>
      </c>
      <c r="H965" t="s">
        <v>44</v>
      </c>
      <c r="I965" t="s">
        <v>34</v>
      </c>
      <c r="J965" t="s">
        <v>45</v>
      </c>
      <c r="K965" t="s">
        <v>41</v>
      </c>
      <c r="L965" t="s">
        <v>5112</v>
      </c>
      <c r="M965" t="s">
        <v>5113</v>
      </c>
      <c r="N965" t="s">
        <v>516</v>
      </c>
      <c r="O965" t="s">
        <v>64</v>
      </c>
      <c r="P965" t="s">
        <v>5114</v>
      </c>
      <c r="Q965" t="s">
        <v>48</v>
      </c>
      <c r="R965" t="s">
        <v>4555</v>
      </c>
      <c r="S965">
        <v>1.31</v>
      </c>
      <c r="T965">
        <v>4067</v>
      </c>
      <c r="U965">
        <v>0</v>
      </c>
      <c r="V965">
        <v>4067</v>
      </c>
    </row>
    <row r="966" spans="1:22" x14ac:dyDescent="0.3">
      <c r="A966">
        <v>80147</v>
      </c>
      <c r="B966">
        <v>137358773</v>
      </c>
      <c r="C966" t="s">
        <v>5115</v>
      </c>
      <c r="D966" t="s">
        <v>5116</v>
      </c>
      <c r="E966" t="s">
        <v>4105</v>
      </c>
      <c r="F966" t="s">
        <v>514</v>
      </c>
      <c r="G966" t="s">
        <v>43</v>
      </c>
      <c r="H966" t="s">
        <v>44</v>
      </c>
      <c r="I966" t="s">
        <v>34</v>
      </c>
      <c r="J966" t="s">
        <v>45</v>
      </c>
      <c r="K966" t="s">
        <v>41</v>
      </c>
      <c r="L966" t="s">
        <v>5117</v>
      </c>
      <c r="M966" t="s">
        <v>5118</v>
      </c>
      <c r="N966" t="s">
        <v>516</v>
      </c>
      <c r="O966" t="s">
        <v>64</v>
      </c>
      <c r="P966" t="s">
        <v>5119</v>
      </c>
      <c r="Q966" t="s">
        <v>67</v>
      </c>
      <c r="R966" t="s">
        <v>4579</v>
      </c>
      <c r="S966">
        <v>2.95</v>
      </c>
      <c r="T966">
        <v>3784</v>
      </c>
      <c r="U966">
        <v>0</v>
      </c>
      <c r="V966">
        <v>3784</v>
      </c>
    </row>
    <row r="967" spans="1:22" x14ac:dyDescent="0.3">
      <c r="A967">
        <v>80147</v>
      </c>
      <c r="B967">
        <v>137358767</v>
      </c>
      <c r="C967" t="s">
        <v>5120</v>
      </c>
      <c r="D967" t="s">
        <v>5121</v>
      </c>
      <c r="E967" t="s">
        <v>4105</v>
      </c>
      <c r="F967" t="s">
        <v>514</v>
      </c>
      <c r="G967" t="s">
        <v>43</v>
      </c>
      <c r="H967" t="s">
        <v>44</v>
      </c>
      <c r="I967" t="s">
        <v>34</v>
      </c>
      <c r="J967" t="s">
        <v>45</v>
      </c>
      <c r="K967" t="s">
        <v>41</v>
      </c>
      <c r="L967" t="s">
        <v>5122</v>
      </c>
      <c r="M967" t="s">
        <v>5123</v>
      </c>
      <c r="N967" t="s">
        <v>516</v>
      </c>
      <c r="O967" t="s">
        <v>64</v>
      </c>
      <c r="P967" t="s">
        <v>5124</v>
      </c>
      <c r="Q967" t="s">
        <v>103</v>
      </c>
      <c r="R967" t="s">
        <v>4579</v>
      </c>
      <c r="S967">
        <v>1</v>
      </c>
      <c r="T967">
        <v>3366</v>
      </c>
      <c r="U967">
        <v>0</v>
      </c>
      <c r="V967">
        <v>3366</v>
      </c>
    </row>
    <row r="968" spans="1:22" x14ac:dyDescent="0.3">
      <c r="A968">
        <v>80147</v>
      </c>
      <c r="B968">
        <v>137592923</v>
      </c>
      <c r="C968" t="s">
        <v>5125</v>
      </c>
      <c r="D968" t="s">
        <v>5126</v>
      </c>
      <c r="E968" t="s">
        <v>4105</v>
      </c>
      <c r="F968" t="s">
        <v>514</v>
      </c>
      <c r="G968" t="s">
        <v>43</v>
      </c>
      <c r="H968" t="s">
        <v>44</v>
      </c>
      <c r="I968" t="s">
        <v>34</v>
      </c>
      <c r="J968" t="s">
        <v>45</v>
      </c>
      <c r="K968" t="s">
        <v>41</v>
      </c>
      <c r="L968" t="s">
        <v>5127</v>
      </c>
      <c r="M968" t="s">
        <v>5128</v>
      </c>
      <c r="N968" t="s">
        <v>516</v>
      </c>
      <c r="O968" t="s">
        <v>64</v>
      </c>
      <c r="P968" t="s">
        <v>5129</v>
      </c>
      <c r="Q968" t="s">
        <v>118</v>
      </c>
      <c r="R968" t="s">
        <v>5130</v>
      </c>
      <c r="S968">
        <v>6.5</v>
      </c>
      <c r="T968">
        <v>6328</v>
      </c>
      <c r="U968">
        <v>0</v>
      </c>
      <c r="V968">
        <v>6328</v>
      </c>
    </row>
    <row r="969" spans="1:22" x14ac:dyDescent="0.3">
      <c r="A969">
        <v>80147</v>
      </c>
      <c r="B969">
        <v>137556539</v>
      </c>
      <c r="C969" t="s">
        <v>5131</v>
      </c>
      <c r="D969" t="s">
        <v>5132</v>
      </c>
      <c r="E969" t="s">
        <v>4105</v>
      </c>
      <c r="F969" t="s">
        <v>514</v>
      </c>
      <c r="G969" t="s">
        <v>43</v>
      </c>
      <c r="H969" t="s">
        <v>44</v>
      </c>
      <c r="I969" t="s">
        <v>34</v>
      </c>
      <c r="J969" t="s">
        <v>45</v>
      </c>
      <c r="K969" t="s">
        <v>41</v>
      </c>
      <c r="L969" t="s">
        <v>5133</v>
      </c>
      <c r="M969" t="s">
        <v>5134</v>
      </c>
      <c r="N969" t="s">
        <v>516</v>
      </c>
      <c r="O969" t="s">
        <v>64</v>
      </c>
      <c r="P969" t="s">
        <v>5135</v>
      </c>
      <c r="Q969" t="s">
        <v>108</v>
      </c>
      <c r="R969" t="s">
        <v>5136</v>
      </c>
      <c r="S969">
        <v>5.45</v>
      </c>
      <c r="T969">
        <v>3797</v>
      </c>
      <c r="U969">
        <v>0</v>
      </c>
      <c r="V969">
        <v>3797</v>
      </c>
    </row>
    <row r="970" spans="1:22" x14ac:dyDescent="0.3">
      <c r="A970">
        <v>80147</v>
      </c>
      <c r="B970">
        <v>137390199</v>
      </c>
      <c r="C970" t="s">
        <v>5137</v>
      </c>
      <c r="D970" t="s">
        <v>5138</v>
      </c>
      <c r="E970" t="s">
        <v>4105</v>
      </c>
      <c r="F970" t="s">
        <v>514</v>
      </c>
      <c r="G970" t="s">
        <v>43</v>
      </c>
      <c r="H970" t="s">
        <v>44</v>
      </c>
      <c r="I970" t="s">
        <v>34</v>
      </c>
      <c r="J970" t="s">
        <v>45</v>
      </c>
      <c r="K970" t="s">
        <v>41</v>
      </c>
      <c r="L970" t="s">
        <v>5139</v>
      </c>
      <c r="M970" t="s">
        <v>5140</v>
      </c>
      <c r="N970" t="s">
        <v>516</v>
      </c>
      <c r="O970" t="s">
        <v>64</v>
      </c>
      <c r="P970" t="s">
        <v>5141</v>
      </c>
      <c r="Q970" t="s">
        <v>125</v>
      </c>
      <c r="R970" t="s">
        <v>4683</v>
      </c>
      <c r="S970">
        <v>6.12</v>
      </c>
      <c r="T970">
        <v>6328</v>
      </c>
      <c r="U970">
        <v>0</v>
      </c>
      <c r="V970">
        <v>6328</v>
      </c>
    </row>
    <row r="971" spans="1:22" x14ac:dyDescent="0.3">
      <c r="A971">
        <v>80147</v>
      </c>
      <c r="B971">
        <v>137535786</v>
      </c>
      <c r="C971" t="s">
        <v>5142</v>
      </c>
      <c r="D971" t="s">
        <v>5143</v>
      </c>
      <c r="E971" t="s">
        <v>4105</v>
      </c>
      <c r="F971" t="s">
        <v>514</v>
      </c>
      <c r="G971" t="s">
        <v>43</v>
      </c>
      <c r="H971" t="s">
        <v>44</v>
      </c>
      <c r="I971" t="s">
        <v>34</v>
      </c>
      <c r="J971" t="s">
        <v>45</v>
      </c>
      <c r="K971" t="s">
        <v>41</v>
      </c>
      <c r="L971" t="s">
        <v>5144</v>
      </c>
      <c r="M971" t="s">
        <v>321</v>
      </c>
      <c r="N971" t="s">
        <v>516</v>
      </c>
      <c r="O971" t="s">
        <v>64</v>
      </c>
      <c r="P971" t="s">
        <v>5145</v>
      </c>
      <c r="Q971" t="s">
        <v>49</v>
      </c>
      <c r="R971" t="s">
        <v>367</v>
      </c>
      <c r="S971">
        <v>6.33</v>
      </c>
      <c r="T971">
        <v>5476</v>
      </c>
      <c r="U971">
        <v>0</v>
      </c>
      <c r="V971">
        <v>5476</v>
      </c>
    </row>
    <row r="972" spans="1:22" x14ac:dyDescent="0.3">
      <c r="A972">
        <v>80147</v>
      </c>
      <c r="B972">
        <v>137616744</v>
      </c>
      <c r="C972" t="s">
        <v>5146</v>
      </c>
      <c r="D972" t="s">
        <v>5147</v>
      </c>
      <c r="E972" t="s">
        <v>4105</v>
      </c>
      <c r="F972" t="s">
        <v>514</v>
      </c>
      <c r="G972" t="s">
        <v>43</v>
      </c>
      <c r="H972" t="s">
        <v>44</v>
      </c>
      <c r="I972" t="s">
        <v>34</v>
      </c>
      <c r="J972" t="s">
        <v>45</v>
      </c>
      <c r="K972" t="s">
        <v>41</v>
      </c>
      <c r="L972" t="s">
        <v>5148</v>
      </c>
      <c r="M972" t="s">
        <v>5149</v>
      </c>
      <c r="N972" t="s">
        <v>516</v>
      </c>
      <c r="O972" t="s">
        <v>64</v>
      </c>
      <c r="P972" t="s">
        <v>5150</v>
      </c>
      <c r="Q972" t="s">
        <v>108</v>
      </c>
      <c r="R972" t="s">
        <v>4964</v>
      </c>
      <c r="S972">
        <v>1.1499999999999999</v>
      </c>
      <c r="T972">
        <v>3366</v>
      </c>
      <c r="U972">
        <v>0</v>
      </c>
      <c r="V972">
        <v>3366</v>
      </c>
    </row>
    <row r="973" spans="1:22" x14ac:dyDescent="0.3">
      <c r="A973">
        <v>80147</v>
      </c>
      <c r="B973">
        <v>137468082</v>
      </c>
      <c r="C973" t="s">
        <v>5151</v>
      </c>
      <c r="D973" t="s">
        <v>5152</v>
      </c>
      <c r="E973" t="s">
        <v>4105</v>
      </c>
      <c r="F973" t="s">
        <v>514</v>
      </c>
      <c r="G973" t="s">
        <v>43</v>
      </c>
      <c r="H973" t="s">
        <v>44</v>
      </c>
      <c r="I973" t="s">
        <v>34</v>
      </c>
      <c r="J973" t="s">
        <v>45</v>
      </c>
      <c r="K973" t="s">
        <v>41</v>
      </c>
      <c r="L973" t="s">
        <v>5153</v>
      </c>
      <c r="M973" t="s">
        <v>5154</v>
      </c>
      <c r="N973" t="s">
        <v>516</v>
      </c>
      <c r="O973" t="s">
        <v>64</v>
      </c>
      <c r="P973" t="s">
        <v>5155</v>
      </c>
      <c r="Q973" t="s">
        <v>118</v>
      </c>
      <c r="R973" t="s">
        <v>4555</v>
      </c>
      <c r="S973">
        <v>6.58</v>
      </c>
      <c r="T973">
        <v>6328</v>
      </c>
      <c r="U973">
        <v>0</v>
      </c>
      <c r="V973">
        <v>6328</v>
      </c>
    </row>
    <row r="974" spans="1:22" x14ac:dyDescent="0.3">
      <c r="A974">
        <v>80147</v>
      </c>
      <c r="B974">
        <v>137498860</v>
      </c>
      <c r="C974" t="s">
        <v>5156</v>
      </c>
      <c r="D974" t="s">
        <v>5157</v>
      </c>
      <c r="E974" t="s">
        <v>4105</v>
      </c>
      <c r="F974" t="s">
        <v>514</v>
      </c>
      <c r="G974" t="s">
        <v>43</v>
      </c>
      <c r="H974" t="s">
        <v>44</v>
      </c>
      <c r="I974" t="s">
        <v>34</v>
      </c>
      <c r="J974" t="s">
        <v>45</v>
      </c>
      <c r="K974" t="s">
        <v>41</v>
      </c>
      <c r="L974" t="s">
        <v>5158</v>
      </c>
      <c r="M974" t="s">
        <v>5159</v>
      </c>
      <c r="N974" t="s">
        <v>516</v>
      </c>
      <c r="O974" t="s">
        <v>64</v>
      </c>
      <c r="P974" t="s">
        <v>5160</v>
      </c>
      <c r="Q974" t="s">
        <v>75</v>
      </c>
      <c r="R974" t="s">
        <v>5109</v>
      </c>
      <c r="S974">
        <v>6.27</v>
      </c>
      <c r="T974">
        <v>5759</v>
      </c>
      <c r="U974">
        <v>0</v>
      </c>
      <c r="V974">
        <v>5759</v>
      </c>
    </row>
    <row r="975" spans="1:22" x14ac:dyDescent="0.3">
      <c r="A975">
        <v>80147</v>
      </c>
      <c r="B975">
        <v>137468074</v>
      </c>
      <c r="C975" t="s">
        <v>5161</v>
      </c>
      <c r="D975" t="s">
        <v>5162</v>
      </c>
      <c r="E975" t="s">
        <v>4105</v>
      </c>
      <c r="F975" t="s">
        <v>514</v>
      </c>
      <c r="G975" t="s">
        <v>43</v>
      </c>
      <c r="H975" t="s">
        <v>44</v>
      </c>
      <c r="I975" t="s">
        <v>34</v>
      </c>
      <c r="J975" t="s">
        <v>45</v>
      </c>
      <c r="K975" t="s">
        <v>41</v>
      </c>
      <c r="L975" t="s">
        <v>5163</v>
      </c>
      <c r="M975" t="s">
        <v>5164</v>
      </c>
      <c r="N975" t="s">
        <v>516</v>
      </c>
      <c r="O975" t="s">
        <v>64</v>
      </c>
      <c r="P975" t="s">
        <v>5165</v>
      </c>
      <c r="Q975" t="s">
        <v>47</v>
      </c>
      <c r="R975" t="s">
        <v>4555</v>
      </c>
      <c r="S975">
        <v>6.58</v>
      </c>
      <c r="T975">
        <v>6888</v>
      </c>
      <c r="U975">
        <v>0</v>
      </c>
      <c r="V975">
        <v>6888</v>
      </c>
    </row>
    <row r="976" spans="1:22" x14ac:dyDescent="0.3">
      <c r="A976">
        <v>80147</v>
      </c>
      <c r="B976">
        <v>137468081</v>
      </c>
      <c r="C976" t="s">
        <v>5166</v>
      </c>
      <c r="D976" t="s">
        <v>5167</v>
      </c>
      <c r="E976" t="s">
        <v>4105</v>
      </c>
      <c r="F976" t="s">
        <v>514</v>
      </c>
      <c r="G976" t="s">
        <v>43</v>
      </c>
      <c r="H976" t="s">
        <v>44</v>
      </c>
      <c r="I976" t="s">
        <v>34</v>
      </c>
      <c r="J976" t="s">
        <v>45</v>
      </c>
      <c r="K976" t="s">
        <v>41</v>
      </c>
      <c r="L976" t="s">
        <v>5168</v>
      </c>
      <c r="M976" t="s">
        <v>5169</v>
      </c>
      <c r="N976" t="s">
        <v>516</v>
      </c>
      <c r="O976" t="s">
        <v>64</v>
      </c>
      <c r="P976" t="s">
        <v>5170</v>
      </c>
      <c r="Q976" t="s">
        <v>42</v>
      </c>
      <c r="R976" t="s">
        <v>4555</v>
      </c>
      <c r="S976">
        <v>6.1</v>
      </c>
      <c r="T976">
        <v>5759</v>
      </c>
      <c r="U976">
        <v>0</v>
      </c>
      <c r="V976">
        <v>5759</v>
      </c>
    </row>
    <row r="977" spans="1:22" x14ac:dyDescent="0.3">
      <c r="A977">
        <v>80147</v>
      </c>
      <c r="B977">
        <v>137512886</v>
      </c>
      <c r="C977" t="s">
        <v>5171</v>
      </c>
      <c r="D977" t="s">
        <v>5172</v>
      </c>
      <c r="E977" t="s">
        <v>4105</v>
      </c>
      <c r="F977" t="s">
        <v>514</v>
      </c>
      <c r="G977" t="s">
        <v>43</v>
      </c>
      <c r="H977" t="s">
        <v>44</v>
      </c>
      <c r="I977" t="s">
        <v>34</v>
      </c>
      <c r="J977" t="s">
        <v>45</v>
      </c>
      <c r="K977" t="s">
        <v>41</v>
      </c>
      <c r="L977" t="s">
        <v>5173</v>
      </c>
      <c r="M977" t="s">
        <v>5174</v>
      </c>
      <c r="N977" t="s">
        <v>516</v>
      </c>
      <c r="O977" t="s">
        <v>64</v>
      </c>
      <c r="P977" t="s">
        <v>5175</v>
      </c>
      <c r="Q977" t="s">
        <v>103</v>
      </c>
      <c r="R977" t="s">
        <v>5021</v>
      </c>
      <c r="S977">
        <v>7.1</v>
      </c>
      <c r="T977">
        <v>5198</v>
      </c>
      <c r="U977">
        <v>0</v>
      </c>
      <c r="V977">
        <v>5198</v>
      </c>
    </row>
    <row r="978" spans="1:22" x14ac:dyDescent="0.3">
      <c r="A978">
        <v>80147</v>
      </c>
      <c r="B978">
        <v>137556546</v>
      </c>
      <c r="C978" t="s">
        <v>5176</v>
      </c>
      <c r="D978" t="s">
        <v>5177</v>
      </c>
      <c r="E978" t="s">
        <v>4105</v>
      </c>
      <c r="F978" t="s">
        <v>514</v>
      </c>
      <c r="G978" t="s">
        <v>43</v>
      </c>
      <c r="H978" t="s">
        <v>44</v>
      </c>
      <c r="I978" t="s">
        <v>34</v>
      </c>
      <c r="J978" t="s">
        <v>45</v>
      </c>
      <c r="K978" t="s">
        <v>41</v>
      </c>
      <c r="L978" t="s">
        <v>5178</v>
      </c>
      <c r="M978" t="s">
        <v>5179</v>
      </c>
      <c r="N978" t="s">
        <v>516</v>
      </c>
      <c r="O978" t="s">
        <v>64</v>
      </c>
      <c r="P978" t="s">
        <v>5180</v>
      </c>
      <c r="Q978" t="s">
        <v>118</v>
      </c>
      <c r="R978" t="s">
        <v>5136</v>
      </c>
      <c r="S978">
        <v>0.9</v>
      </c>
      <c r="T978">
        <v>4067</v>
      </c>
      <c r="U978">
        <v>0</v>
      </c>
      <c r="V978">
        <v>4067</v>
      </c>
    </row>
    <row r="979" spans="1:22" x14ac:dyDescent="0.3">
      <c r="A979">
        <v>80147</v>
      </c>
      <c r="B979">
        <v>137535780</v>
      </c>
      <c r="C979" t="s">
        <v>5181</v>
      </c>
      <c r="D979" t="s">
        <v>5182</v>
      </c>
      <c r="E979" t="s">
        <v>4105</v>
      </c>
      <c r="F979" t="s">
        <v>514</v>
      </c>
      <c r="G979" t="s">
        <v>43</v>
      </c>
      <c r="H979" t="s">
        <v>44</v>
      </c>
      <c r="I979" t="s">
        <v>34</v>
      </c>
      <c r="J979" t="s">
        <v>45</v>
      </c>
      <c r="K979" t="s">
        <v>41</v>
      </c>
      <c r="L979" t="s">
        <v>5183</v>
      </c>
      <c r="M979" t="s">
        <v>5184</v>
      </c>
      <c r="N979" t="s">
        <v>516</v>
      </c>
      <c r="O979" t="s">
        <v>64</v>
      </c>
      <c r="P979" t="s">
        <v>5185</v>
      </c>
      <c r="Q979" t="s">
        <v>46</v>
      </c>
      <c r="R979" t="s">
        <v>367</v>
      </c>
      <c r="S979">
        <v>1</v>
      </c>
      <c r="T979">
        <v>3366</v>
      </c>
      <c r="U979">
        <v>0</v>
      </c>
      <c r="V979">
        <v>3366</v>
      </c>
    </row>
    <row r="980" spans="1:22" x14ac:dyDescent="0.3">
      <c r="A980">
        <v>80147</v>
      </c>
      <c r="B980">
        <v>137468075</v>
      </c>
      <c r="C980" t="s">
        <v>5186</v>
      </c>
      <c r="D980" t="s">
        <v>5187</v>
      </c>
      <c r="E980" t="s">
        <v>4105</v>
      </c>
      <c r="F980" t="s">
        <v>514</v>
      </c>
      <c r="G980" t="s">
        <v>43</v>
      </c>
      <c r="H980" t="s">
        <v>44</v>
      </c>
      <c r="I980" t="s">
        <v>34</v>
      </c>
      <c r="J980" t="s">
        <v>45</v>
      </c>
      <c r="K980" t="s">
        <v>41</v>
      </c>
      <c r="L980" t="s">
        <v>5188</v>
      </c>
      <c r="M980" t="s">
        <v>5189</v>
      </c>
      <c r="N980" t="s">
        <v>516</v>
      </c>
      <c r="O980" t="s">
        <v>64</v>
      </c>
      <c r="P980" t="s">
        <v>5190</v>
      </c>
      <c r="Q980" t="s">
        <v>61</v>
      </c>
      <c r="R980" t="s">
        <v>4555</v>
      </c>
      <c r="S980">
        <v>7.19</v>
      </c>
      <c r="T980">
        <v>5198</v>
      </c>
      <c r="U980">
        <v>0</v>
      </c>
      <c r="V980">
        <v>5198</v>
      </c>
    </row>
    <row r="981" spans="1:22" x14ac:dyDescent="0.3">
      <c r="A981">
        <v>80147</v>
      </c>
      <c r="B981">
        <v>137358777</v>
      </c>
      <c r="C981" t="s">
        <v>5191</v>
      </c>
      <c r="D981" t="s">
        <v>5192</v>
      </c>
      <c r="E981" t="s">
        <v>4105</v>
      </c>
      <c r="F981" t="s">
        <v>514</v>
      </c>
      <c r="G981" t="s">
        <v>43</v>
      </c>
      <c r="H981" t="s">
        <v>44</v>
      </c>
      <c r="I981" t="s">
        <v>34</v>
      </c>
      <c r="J981" t="s">
        <v>45</v>
      </c>
      <c r="K981" t="s">
        <v>41</v>
      </c>
      <c r="L981" t="s">
        <v>5193</v>
      </c>
      <c r="M981" t="s">
        <v>5035</v>
      </c>
      <c r="N981" t="s">
        <v>516</v>
      </c>
      <c r="O981" t="s">
        <v>64</v>
      </c>
      <c r="P981" t="s">
        <v>5036</v>
      </c>
      <c r="Q981" t="s">
        <v>46</v>
      </c>
      <c r="R981" t="s">
        <v>4579</v>
      </c>
      <c r="S981">
        <v>1</v>
      </c>
      <c r="T981">
        <v>3366</v>
      </c>
      <c r="U981">
        <v>0</v>
      </c>
      <c r="V981">
        <v>3366</v>
      </c>
    </row>
    <row r="982" spans="1:22" x14ac:dyDescent="0.3">
      <c r="A982">
        <v>80147</v>
      </c>
      <c r="B982">
        <v>137358780</v>
      </c>
      <c r="C982" t="s">
        <v>5194</v>
      </c>
      <c r="D982" t="s">
        <v>5195</v>
      </c>
      <c r="E982" t="s">
        <v>4105</v>
      </c>
      <c r="F982" t="s">
        <v>514</v>
      </c>
      <c r="G982" t="s">
        <v>43</v>
      </c>
      <c r="H982" t="s">
        <v>44</v>
      </c>
      <c r="I982" t="s">
        <v>34</v>
      </c>
      <c r="J982" t="s">
        <v>45</v>
      </c>
      <c r="K982" t="s">
        <v>41</v>
      </c>
      <c r="L982" t="s">
        <v>5196</v>
      </c>
      <c r="M982" t="s">
        <v>383</v>
      </c>
      <c r="N982" t="s">
        <v>516</v>
      </c>
      <c r="O982" t="s">
        <v>64</v>
      </c>
      <c r="P982" t="s">
        <v>5197</v>
      </c>
      <c r="Q982" t="s">
        <v>112</v>
      </c>
      <c r="R982" t="s">
        <v>4579</v>
      </c>
      <c r="S982">
        <v>5.25</v>
      </c>
      <c r="T982">
        <v>3797</v>
      </c>
      <c r="U982">
        <v>0</v>
      </c>
      <c r="V982">
        <v>3797</v>
      </c>
    </row>
    <row r="983" spans="1:22" x14ac:dyDescent="0.3">
      <c r="A983">
        <v>80147</v>
      </c>
      <c r="B983">
        <v>137592919</v>
      </c>
      <c r="C983" t="s">
        <v>5198</v>
      </c>
      <c r="D983" t="s">
        <v>5199</v>
      </c>
      <c r="E983" t="s">
        <v>4105</v>
      </c>
      <c r="F983" t="s">
        <v>514</v>
      </c>
      <c r="G983" t="s">
        <v>43</v>
      </c>
      <c r="H983" t="s">
        <v>44</v>
      </c>
      <c r="I983" t="s">
        <v>34</v>
      </c>
      <c r="J983" t="s">
        <v>45</v>
      </c>
      <c r="K983" t="s">
        <v>41</v>
      </c>
      <c r="L983" t="s">
        <v>5200</v>
      </c>
      <c r="M983" t="s">
        <v>5201</v>
      </c>
      <c r="N983" t="s">
        <v>516</v>
      </c>
      <c r="O983" t="s">
        <v>64</v>
      </c>
      <c r="P983" t="s">
        <v>5202</v>
      </c>
      <c r="Q983" t="s">
        <v>53</v>
      </c>
      <c r="R983" t="s">
        <v>5130</v>
      </c>
      <c r="S983">
        <v>0.9</v>
      </c>
      <c r="T983">
        <v>3501</v>
      </c>
      <c r="U983">
        <v>0</v>
      </c>
      <c r="V983">
        <v>3501</v>
      </c>
    </row>
    <row r="984" spans="1:22" x14ac:dyDescent="0.3">
      <c r="A984">
        <v>80147</v>
      </c>
      <c r="B984">
        <v>137468112</v>
      </c>
      <c r="C984" t="s">
        <v>5203</v>
      </c>
      <c r="D984" t="s">
        <v>5204</v>
      </c>
      <c r="E984" t="s">
        <v>4105</v>
      </c>
      <c r="F984" t="s">
        <v>514</v>
      </c>
      <c r="G984" t="s">
        <v>43</v>
      </c>
      <c r="H984" t="s">
        <v>44</v>
      </c>
      <c r="I984" t="s">
        <v>34</v>
      </c>
      <c r="J984" t="s">
        <v>45</v>
      </c>
      <c r="K984" t="s">
        <v>41</v>
      </c>
      <c r="L984" t="s">
        <v>5205</v>
      </c>
      <c r="M984" t="s">
        <v>5206</v>
      </c>
      <c r="N984" t="s">
        <v>516</v>
      </c>
      <c r="O984" t="s">
        <v>64</v>
      </c>
      <c r="P984" t="s">
        <v>5207</v>
      </c>
      <c r="Q984" t="s">
        <v>75</v>
      </c>
      <c r="R984" t="s">
        <v>4555</v>
      </c>
      <c r="S984">
        <v>1.2</v>
      </c>
      <c r="T984">
        <v>3753</v>
      </c>
      <c r="U984">
        <v>0</v>
      </c>
      <c r="V984">
        <v>3753</v>
      </c>
    </row>
    <row r="985" spans="1:22" x14ac:dyDescent="0.3">
      <c r="A985">
        <v>80147</v>
      </c>
      <c r="B985">
        <v>137498875</v>
      </c>
      <c r="C985" t="s">
        <v>5208</v>
      </c>
      <c r="D985" t="s">
        <v>5209</v>
      </c>
      <c r="E985" t="s">
        <v>4105</v>
      </c>
      <c r="F985" t="s">
        <v>514</v>
      </c>
      <c r="G985" t="s">
        <v>43</v>
      </c>
      <c r="H985" t="s">
        <v>44</v>
      </c>
      <c r="I985" t="s">
        <v>34</v>
      </c>
      <c r="J985" t="s">
        <v>45</v>
      </c>
      <c r="K985" t="s">
        <v>41</v>
      </c>
      <c r="L985" t="s">
        <v>5210</v>
      </c>
      <c r="M985" t="s">
        <v>5211</v>
      </c>
      <c r="N985" t="s">
        <v>516</v>
      </c>
      <c r="O985" t="s">
        <v>64</v>
      </c>
      <c r="P985" t="s">
        <v>5212</v>
      </c>
      <c r="Q985" t="s">
        <v>61</v>
      </c>
      <c r="R985" t="s">
        <v>5109</v>
      </c>
      <c r="S985">
        <v>6.09</v>
      </c>
      <c r="T985">
        <v>5198</v>
      </c>
      <c r="U985">
        <v>0</v>
      </c>
      <c r="V985">
        <v>5198</v>
      </c>
    </row>
    <row r="986" spans="1:22" x14ac:dyDescent="0.3">
      <c r="A986">
        <v>80147</v>
      </c>
      <c r="B986">
        <v>137358763</v>
      </c>
      <c r="C986" t="s">
        <v>5213</v>
      </c>
      <c r="D986" t="s">
        <v>5214</v>
      </c>
      <c r="E986" t="s">
        <v>4105</v>
      </c>
      <c r="F986" t="s">
        <v>514</v>
      </c>
      <c r="G986" t="s">
        <v>43</v>
      </c>
      <c r="H986" t="s">
        <v>44</v>
      </c>
      <c r="I986" t="s">
        <v>34</v>
      </c>
      <c r="J986" t="s">
        <v>45</v>
      </c>
      <c r="K986" t="s">
        <v>41</v>
      </c>
      <c r="L986" t="s">
        <v>5215</v>
      </c>
      <c r="M986" t="s">
        <v>5216</v>
      </c>
      <c r="N986" t="s">
        <v>516</v>
      </c>
      <c r="O986" t="s">
        <v>64</v>
      </c>
      <c r="P986" t="s">
        <v>5217</v>
      </c>
      <c r="Q986" t="s">
        <v>49</v>
      </c>
      <c r="R986" t="s">
        <v>4579</v>
      </c>
      <c r="S986">
        <v>5.44</v>
      </c>
      <c r="T986">
        <v>4322</v>
      </c>
      <c r="U986">
        <v>0</v>
      </c>
      <c r="V986">
        <v>4322</v>
      </c>
    </row>
    <row r="987" spans="1:22" x14ac:dyDescent="0.3">
      <c r="A987">
        <v>80147</v>
      </c>
      <c r="B987">
        <v>137409144</v>
      </c>
      <c r="C987" t="s">
        <v>5218</v>
      </c>
      <c r="D987" t="s">
        <v>5219</v>
      </c>
      <c r="E987" t="s">
        <v>4105</v>
      </c>
      <c r="F987" t="s">
        <v>514</v>
      </c>
      <c r="G987" t="s">
        <v>43</v>
      </c>
      <c r="H987" t="s">
        <v>44</v>
      </c>
      <c r="I987" t="s">
        <v>34</v>
      </c>
      <c r="J987" t="s">
        <v>45</v>
      </c>
      <c r="K987" t="s">
        <v>41</v>
      </c>
      <c r="L987" t="s">
        <v>5220</v>
      </c>
      <c r="M987" t="s">
        <v>5221</v>
      </c>
      <c r="N987" t="s">
        <v>516</v>
      </c>
      <c r="O987" t="s">
        <v>64</v>
      </c>
      <c r="P987" t="s">
        <v>5222</v>
      </c>
      <c r="Q987" t="s">
        <v>46</v>
      </c>
      <c r="R987" t="s">
        <v>430</v>
      </c>
      <c r="S987">
        <v>1.8</v>
      </c>
      <c r="T987">
        <v>3366</v>
      </c>
      <c r="U987">
        <v>0</v>
      </c>
      <c r="V987">
        <v>3366</v>
      </c>
    </row>
    <row r="988" spans="1:22" x14ac:dyDescent="0.3">
      <c r="A988">
        <v>80147</v>
      </c>
      <c r="B988">
        <v>137633960</v>
      </c>
      <c r="C988" t="s">
        <v>5223</v>
      </c>
      <c r="D988" t="s">
        <v>5224</v>
      </c>
      <c r="E988" t="s">
        <v>4105</v>
      </c>
      <c r="F988" t="s">
        <v>514</v>
      </c>
      <c r="G988" t="s">
        <v>43</v>
      </c>
      <c r="H988" t="s">
        <v>44</v>
      </c>
      <c r="I988" t="s">
        <v>34</v>
      </c>
      <c r="J988" t="s">
        <v>45</v>
      </c>
      <c r="K988" t="s">
        <v>41</v>
      </c>
      <c r="L988" t="s">
        <v>5225</v>
      </c>
      <c r="M988" t="s">
        <v>5226</v>
      </c>
      <c r="N988" t="s">
        <v>516</v>
      </c>
      <c r="O988" t="s">
        <v>64</v>
      </c>
      <c r="P988" t="s">
        <v>5227</v>
      </c>
      <c r="Q988" t="s">
        <v>79</v>
      </c>
      <c r="R988" t="s">
        <v>4990</v>
      </c>
      <c r="S988">
        <v>6.53</v>
      </c>
      <c r="T988">
        <v>5198</v>
      </c>
      <c r="U988">
        <v>0</v>
      </c>
      <c r="V988">
        <v>5198</v>
      </c>
    </row>
    <row r="989" spans="1:22" x14ac:dyDescent="0.3">
      <c r="A989">
        <v>80147</v>
      </c>
      <c r="B989">
        <v>137616742</v>
      </c>
      <c r="C989" t="s">
        <v>5228</v>
      </c>
      <c r="D989" t="s">
        <v>5229</v>
      </c>
      <c r="E989" t="s">
        <v>4105</v>
      </c>
      <c r="F989" t="s">
        <v>514</v>
      </c>
      <c r="G989" t="s">
        <v>43</v>
      </c>
      <c r="H989" t="s">
        <v>44</v>
      </c>
      <c r="I989" t="s">
        <v>34</v>
      </c>
      <c r="J989" t="s">
        <v>45</v>
      </c>
      <c r="K989" t="s">
        <v>41</v>
      </c>
      <c r="L989" t="s">
        <v>5230</v>
      </c>
      <c r="M989" t="s">
        <v>5231</v>
      </c>
      <c r="N989" t="s">
        <v>516</v>
      </c>
      <c r="O989" t="s">
        <v>64</v>
      </c>
      <c r="P989" t="s">
        <v>5232</v>
      </c>
      <c r="Q989" t="s">
        <v>102</v>
      </c>
      <c r="R989" t="s">
        <v>4964</v>
      </c>
      <c r="S989">
        <v>1.1599999999999999</v>
      </c>
      <c r="T989">
        <v>3366</v>
      </c>
      <c r="U989">
        <v>0</v>
      </c>
      <c r="V989">
        <v>3366</v>
      </c>
    </row>
    <row r="990" spans="1:22" x14ac:dyDescent="0.3">
      <c r="A990">
        <v>80147</v>
      </c>
      <c r="B990">
        <v>137498848</v>
      </c>
      <c r="C990" t="s">
        <v>5233</v>
      </c>
      <c r="D990" t="s">
        <v>5234</v>
      </c>
      <c r="E990" t="s">
        <v>4105</v>
      </c>
      <c r="F990" t="s">
        <v>514</v>
      </c>
      <c r="G990" t="s">
        <v>43</v>
      </c>
      <c r="H990" t="s">
        <v>44</v>
      </c>
      <c r="I990" t="s">
        <v>34</v>
      </c>
      <c r="J990" t="s">
        <v>45</v>
      </c>
      <c r="K990" t="s">
        <v>41</v>
      </c>
      <c r="L990" t="s">
        <v>5235</v>
      </c>
      <c r="M990" t="s">
        <v>5236</v>
      </c>
      <c r="N990" t="s">
        <v>516</v>
      </c>
      <c r="O990" t="s">
        <v>64</v>
      </c>
      <c r="P990" t="s">
        <v>5237</v>
      </c>
      <c r="Q990" t="s">
        <v>103</v>
      </c>
      <c r="R990" t="s">
        <v>5109</v>
      </c>
      <c r="S990">
        <v>1.05</v>
      </c>
      <c r="T990">
        <v>3366</v>
      </c>
      <c r="U990">
        <v>0</v>
      </c>
      <c r="V990">
        <v>3366</v>
      </c>
    </row>
    <row r="991" spans="1:22" x14ac:dyDescent="0.3">
      <c r="A991">
        <v>80147</v>
      </c>
      <c r="B991">
        <v>136271590</v>
      </c>
      <c r="C991" t="s">
        <v>5238</v>
      </c>
      <c r="D991" t="s">
        <v>5239</v>
      </c>
      <c r="E991" t="s">
        <v>4105</v>
      </c>
      <c r="F991" t="s">
        <v>514</v>
      </c>
      <c r="G991" t="s">
        <v>43</v>
      </c>
      <c r="H991" t="s">
        <v>44</v>
      </c>
      <c r="I991" t="s">
        <v>34</v>
      </c>
      <c r="J991" t="s">
        <v>45</v>
      </c>
      <c r="K991" t="s">
        <v>41</v>
      </c>
      <c r="L991" t="s">
        <v>5240</v>
      </c>
      <c r="M991" t="s">
        <v>5241</v>
      </c>
      <c r="N991" t="s">
        <v>516</v>
      </c>
      <c r="O991" t="s">
        <v>64</v>
      </c>
      <c r="P991" t="s">
        <v>5242</v>
      </c>
      <c r="Q991" t="s">
        <v>201</v>
      </c>
      <c r="R991" t="s">
        <v>5243</v>
      </c>
      <c r="S991">
        <v>7.37</v>
      </c>
      <c r="T991">
        <v>11407</v>
      </c>
      <c r="U991">
        <v>0</v>
      </c>
      <c r="V991">
        <v>11407</v>
      </c>
    </row>
    <row r="992" spans="1:22" x14ac:dyDescent="0.3">
      <c r="A992">
        <v>80147</v>
      </c>
      <c r="B992">
        <v>137820782</v>
      </c>
      <c r="C992" t="s">
        <v>5244</v>
      </c>
      <c r="D992" t="s">
        <v>5245</v>
      </c>
      <c r="E992" t="s">
        <v>4105</v>
      </c>
      <c r="F992" t="s">
        <v>514</v>
      </c>
      <c r="G992" t="s">
        <v>43</v>
      </c>
      <c r="H992" t="s">
        <v>44</v>
      </c>
      <c r="I992" t="s">
        <v>34</v>
      </c>
      <c r="J992" t="s">
        <v>45</v>
      </c>
      <c r="K992" t="s">
        <v>41</v>
      </c>
      <c r="L992" t="s">
        <v>5246</v>
      </c>
      <c r="M992" t="s">
        <v>5247</v>
      </c>
      <c r="N992" t="s">
        <v>516</v>
      </c>
      <c r="O992" t="s">
        <v>64</v>
      </c>
      <c r="P992" t="s">
        <v>5248</v>
      </c>
      <c r="Q992" t="s">
        <v>46</v>
      </c>
      <c r="R992" t="s">
        <v>4865</v>
      </c>
      <c r="S992">
        <v>1.37</v>
      </c>
      <c r="T992">
        <v>5469</v>
      </c>
      <c r="U992">
        <v>0</v>
      </c>
      <c r="V992">
        <v>5469</v>
      </c>
    </row>
    <row r="993" spans="1:22" x14ac:dyDescent="0.3">
      <c r="A993">
        <v>80147</v>
      </c>
      <c r="B993">
        <v>138538442</v>
      </c>
      <c r="C993" t="s">
        <v>5249</v>
      </c>
      <c r="D993" t="s">
        <v>5250</v>
      </c>
      <c r="E993" t="s">
        <v>4105</v>
      </c>
      <c r="F993" t="s">
        <v>514</v>
      </c>
      <c r="G993" t="s">
        <v>136</v>
      </c>
      <c r="H993" t="s">
        <v>137</v>
      </c>
      <c r="I993" t="s">
        <v>34</v>
      </c>
      <c r="J993" t="s">
        <v>138</v>
      </c>
      <c r="K993" t="s">
        <v>41</v>
      </c>
      <c r="L993" t="s">
        <v>5251</v>
      </c>
      <c r="M993" t="s">
        <v>5252</v>
      </c>
      <c r="N993" t="s">
        <v>516</v>
      </c>
      <c r="O993" t="s">
        <v>64</v>
      </c>
      <c r="P993" t="s">
        <v>5253</v>
      </c>
      <c r="Q993" t="s">
        <v>110</v>
      </c>
      <c r="R993" t="s">
        <v>4135</v>
      </c>
      <c r="S993">
        <v>3.29</v>
      </c>
      <c r="T993">
        <v>4630</v>
      </c>
      <c r="U993">
        <v>424.9</v>
      </c>
      <c r="V993">
        <v>5054.8999999999996</v>
      </c>
    </row>
    <row r="994" spans="1:22" x14ac:dyDescent="0.3">
      <c r="A994">
        <v>80147</v>
      </c>
      <c r="B994">
        <v>138498209</v>
      </c>
      <c r="C994" t="s">
        <v>5254</v>
      </c>
      <c r="D994" t="s">
        <v>5255</v>
      </c>
      <c r="E994" t="s">
        <v>4105</v>
      </c>
      <c r="F994" t="s">
        <v>514</v>
      </c>
      <c r="G994" t="s">
        <v>136</v>
      </c>
      <c r="H994" t="s">
        <v>137</v>
      </c>
      <c r="I994" t="s">
        <v>34</v>
      </c>
      <c r="J994" t="s">
        <v>138</v>
      </c>
      <c r="K994" t="s">
        <v>41</v>
      </c>
      <c r="L994" t="s">
        <v>5256</v>
      </c>
      <c r="M994" t="s">
        <v>5257</v>
      </c>
      <c r="N994" t="s">
        <v>516</v>
      </c>
      <c r="O994" t="s">
        <v>64</v>
      </c>
      <c r="P994" t="s">
        <v>5258</v>
      </c>
      <c r="Q994" t="s">
        <v>240</v>
      </c>
      <c r="R994" t="s">
        <v>487</v>
      </c>
      <c r="S994">
        <v>2.98</v>
      </c>
      <c r="T994">
        <v>8403</v>
      </c>
      <c r="U994">
        <v>224.95</v>
      </c>
      <c r="V994">
        <v>8627.9500000000007</v>
      </c>
    </row>
    <row r="995" spans="1:22" x14ac:dyDescent="0.3">
      <c r="A995">
        <v>80147</v>
      </c>
      <c r="B995">
        <v>137535777</v>
      </c>
      <c r="C995" t="s">
        <v>5259</v>
      </c>
      <c r="D995" t="s">
        <v>5260</v>
      </c>
      <c r="E995" t="s">
        <v>4105</v>
      </c>
      <c r="F995" t="s">
        <v>514</v>
      </c>
      <c r="G995" t="s">
        <v>69</v>
      </c>
      <c r="H995" t="s">
        <v>70</v>
      </c>
      <c r="I995" t="s">
        <v>34</v>
      </c>
      <c r="J995" t="s">
        <v>139</v>
      </c>
      <c r="K995" t="s">
        <v>41</v>
      </c>
      <c r="L995" t="s">
        <v>71</v>
      </c>
      <c r="M995" t="s">
        <v>5261</v>
      </c>
      <c r="N995" t="s">
        <v>516</v>
      </c>
      <c r="O995" t="s">
        <v>64</v>
      </c>
      <c r="P995" t="s">
        <v>5262</v>
      </c>
      <c r="Q995" t="s">
        <v>83</v>
      </c>
      <c r="R995" t="s">
        <v>367</v>
      </c>
      <c r="S995">
        <v>7.15</v>
      </c>
      <c r="T995">
        <v>5255</v>
      </c>
      <c r="U995">
        <v>0</v>
      </c>
      <c r="V995">
        <v>5255</v>
      </c>
    </row>
    <row r="996" spans="1:22" x14ac:dyDescent="0.3">
      <c r="A996">
        <v>80147</v>
      </c>
      <c r="B996">
        <v>138475495</v>
      </c>
      <c r="C996" t="s">
        <v>5263</v>
      </c>
      <c r="D996" t="s">
        <v>5264</v>
      </c>
      <c r="E996" t="s">
        <v>4105</v>
      </c>
      <c r="F996" t="s">
        <v>514</v>
      </c>
      <c r="G996" t="s">
        <v>136</v>
      </c>
      <c r="H996" t="s">
        <v>137</v>
      </c>
      <c r="I996" t="s">
        <v>34</v>
      </c>
      <c r="J996" t="s">
        <v>138</v>
      </c>
      <c r="K996" t="s">
        <v>41</v>
      </c>
      <c r="L996" t="s">
        <v>5265</v>
      </c>
      <c r="M996" t="s">
        <v>5266</v>
      </c>
      <c r="N996" t="s">
        <v>516</v>
      </c>
      <c r="O996" t="s">
        <v>64</v>
      </c>
      <c r="P996" t="s">
        <v>5267</v>
      </c>
      <c r="Q996" t="s">
        <v>174</v>
      </c>
      <c r="R996" t="s">
        <v>415</v>
      </c>
      <c r="S996">
        <v>0.99</v>
      </c>
      <c r="T996">
        <v>3885</v>
      </c>
      <c r="U996">
        <v>249.95</v>
      </c>
      <c r="V996">
        <v>4134.95</v>
      </c>
    </row>
    <row r="997" spans="1:22" x14ac:dyDescent="0.3">
      <c r="A997">
        <v>80147</v>
      </c>
      <c r="B997">
        <v>138475519</v>
      </c>
      <c r="C997" t="s">
        <v>5268</v>
      </c>
      <c r="D997" t="s">
        <v>5269</v>
      </c>
      <c r="E997" t="s">
        <v>4105</v>
      </c>
      <c r="F997" t="s">
        <v>514</v>
      </c>
      <c r="G997" t="s">
        <v>136</v>
      </c>
      <c r="H997" t="s">
        <v>137</v>
      </c>
      <c r="I997" t="s">
        <v>34</v>
      </c>
      <c r="J997" t="s">
        <v>138</v>
      </c>
      <c r="K997" t="s">
        <v>41</v>
      </c>
      <c r="L997" t="s">
        <v>5270</v>
      </c>
      <c r="M997" t="s">
        <v>5271</v>
      </c>
      <c r="N997" t="s">
        <v>516</v>
      </c>
      <c r="O997" t="s">
        <v>64</v>
      </c>
      <c r="P997" t="s">
        <v>5272</v>
      </c>
      <c r="Q997" t="s">
        <v>104</v>
      </c>
      <c r="R997" t="s">
        <v>415</v>
      </c>
      <c r="S997">
        <v>2.78</v>
      </c>
      <c r="T997">
        <v>4928</v>
      </c>
      <c r="U997">
        <v>224.95</v>
      </c>
      <c r="V997">
        <v>5152.95</v>
      </c>
    </row>
    <row r="998" spans="1:22" x14ac:dyDescent="0.3">
      <c r="A998">
        <v>80147</v>
      </c>
      <c r="B998">
        <v>138383330</v>
      </c>
      <c r="C998" t="s">
        <v>5273</v>
      </c>
      <c r="D998" t="s">
        <v>5274</v>
      </c>
      <c r="E998" t="s">
        <v>4105</v>
      </c>
      <c r="F998" t="s">
        <v>514</v>
      </c>
      <c r="G998" t="s">
        <v>136</v>
      </c>
      <c r="H998" t="s">
        <v>137</v>
      </c>
      <c r="I998" t="s">
        <v>34</v>
      </c>
      <c r="J998" t="s">
        <v>138</v>
      </c>
      <c r="K998" t="s">
        <v>41</v>
      </c>
      <c r="L998" t="s">
        <v>5275</v>
      </c>
      <c r="M998" t="s">
        <v>5276</v>
      </c>
      <c r="N998" t="s">
        <v>516</v>
      </c>
      <c r="O998" t="s">
        <v>64</v>
      </c>
      <c r="P998" t="s">
        <v>5277</v>
      </c>
      <c r="Q998" t="s">
        <v>198</v>
      </c>
      <c r="R998" t="s">
        <v>4223</v>
      </c>
      <c r="S998">
        <v>2.81</v>
      </c>
      <c r="T998">
        <v>4928</v>
      </c>
      <c r="U998">
        <v>224.95</v>
      </c>
      <c r="V998">
        <v>5152.95</v>
      </c>
    </row>
    <row r="999" spans="1:22" x14ac:dyDescent="0.3">
      <c r="A999">
        <v>80147</v>
      </c>
      <c r="B999">
        <v>138373682</v>
      </c>
      <c r="C999" t="s">
        <v>5278</v>
      </c>
      <c r="D999" t="s">
        <v>5279</v>
      </c>
      <c r="E999" t="s">
        <v>4105</v>
      </c>
      <c r="F999" t="s">
        <v>514</v>
      </c>
      <c r="G999" t="s">
        <v>136</v>
      </c>
      <c r="H999" t="s">
        <v>137</v>
      </c>
      <c r="I999" t="s">
        <v>34</v>
      </c>
      <c r="J999" t="s">
        <v>138</v>
      </c>
      <c r="K999" t="s">
        <v>41</v>
      </c>
      <c r="L999" t="s">
        <v>5280</v>
      </c>
      <c r="M999" t="s">
        <v>5281</v>
      </c>
      <c r="N999" t="s">
        <v>516</v>
      </c>
      <c r="O999" t="s">
        <v>64</v>
      </c>
      <c r="P999" t="s">
        <v>5282</v>
      </c>
      <c r="Q999" t="s">
        <v>198</v>
      </c>
      <c r="R999" t="s">
        <v>5283</v>
      </c>
      <c r="S999">
        <v>2.8</v>
      </c>
      <c r="T999">
        <v>4928</v>
      </c>
      <c r="U999">
        <v>224.95</v>
      </c>
      <c r="V999">
        <v>5152.95</v>
      </c>
    </row>
    <row r="1000" spans="1:22" x14ac:dyDescent="0.3">
      <c r="A1000">
        <v>80147</v>
      </c>
      <c r="B1000">
        <v>138051760</v>
      </c>
      <c r="C1000" t="s">
        <v>5284</v>
      </c>
      <c r="D1000" t="s">
        <v>5285</v>
      </c>
      <c r="E1000" t="s">
        <v>4105</v>
      </c>
      <c r="F1000" t="s">
        <v>514</v>
      </c>
      <c r="G1000" t="s">
        <v>136</v>
      </c>
      <c r="H1000" t="s">
        <v>137</v>
      </c>
      <c r="I1000" t="s">
        <v>34</v>
      </c>
      <c r="J1000" t="s">
        <v>138</v>
      </c>
      <c r="K1000" t="s">
        <v>41</v>
      </c>
      <c r="L1000" t="s">
        <v>5286</v>
      </c>
      <c r="M1000" t="s">
        <v>5287</v>
      </c>
      <c r="N1000" t="s">
        <v>516</v>
      </c>
      <c r="O1000" t="s">
        <v>64</v>
      </c>
      <c r="P1000" t="s">
        <v>5288</v>
      </c>
      <c r="Q1000" t="s">
        <v>110</v>
      </c>
      <c r="R1000" t="s">
        <v>4518</v>
      </c>
      <c r="S1000">
        <v>2.92</v>
      </c>
      <c r="T1000">
        <v>4108</v>
      </c>
      <c r="U1000">
        <v>224.95</v>
      </c>
      <c r="V1000">
        <v>4332.95</v>
      </c>
    </row>
    <row r="1001" spans="1:22" x14ac:dyDescent="0.3">
      <c r="A1001">
        <v>80147</v>
      </c>
      <c r="B1001">
        <v>137910038</v>
      </c>
      <c r="C1001" t="s">
        <v>5289</v>
      </c>
      <c r="D1001" t="s">
        <v>5290</v>
      </c>
      <c r="E1001" t="s">
        <v>4105</v>
      </c>
      <c r="F1001" t="s">
        <v>514</v>
      </c>
      <c r="G1001" t="s">
        <v>136</v>
      </c>
      <c r="H1001" t="s">
        <v>137</v>
      </c>
      <c r="I1001" t="s">
        <v>34</v>
      </c>
      <c r="J1001" t="s">
        <v>138</v>
      </c>
      <c r="K1001" t="s">
        <v>41</v>
      </c>
      <c r="L1001" t="s">
        <v>5291</v>
      </c>
      <c r="M1001" t="s">
        <v>5292</v>
      </c>
      <c r="N1001" t="s">
        <v>516</v>
      </c>
      <c r="O1001" t="s">
        <v>64</v>
      </c>
      <c r="P1001" t="s">
        <v>5293</v>
      </c>
      <c r="Q1001" t="s">
        <v>110</v>
      </c>
      <c r="R1001" t="s">
        <v>4643</v>
      </c>
      <c r="S1001">
        <v>3.45</v>
      </c>
      <c r="T1001">
        <v>4630</v>
      </c>
      <c r="U1001">
        <v>224.95</v>
      </c>
      <c r="V1001">
        <v>4854.95</v>
      </c>
    </row>
    <row r="1002" spans="1:22" x14ac:dyDescent="0.3">
      <c r="A1002">
        <v>80147</v>
      </c>
      <c r="B1002">
        <v>137870417</v>
      </c>
      <c r="C1002" t="s">
        <v>5294</v>
      </c>
      <c r="D1002" t="s">
        <v>5295</v>
      </c>
      <c r="E1002" t="s">
        <v>4105</v>
      </c>
      <c r="F1002" t="s">
        <v>514</v>
      </c>
      <c r="G1002" t="s">
        <v>136</v>
      </c>
      <c r="H1002" t="s">
        <v>137</v>
      </c>
      <c r="I1002" t="s">
        <v>34</v>
      </c>
      <c r="J1002" t="s">
        <v>138</v>
      </c>
      <c r="K1002" t="s">
        <v>41</v>
      </c>
      <c r="L1002" t="s">
        <v>5296</v>
      </c>
      <c r="M1002" t="s">
        <v>5297</v>
      </c>
      <c r="N1002" t="s">
        <v>516</v>
      </c>
      <c r="O1002" t="s">
        <v>64</v>
      </c>
      <c r="P1002" t="s">
        <v>5298</v>
      </c>
      <c r="Q1002" t="s">
        <v>233</v>
      </c>
      <c r="R1002" t="s">
        <v>492</v>
      </c>
      <c r="S1002">
        <v>4.6100000000000003</v>
      </c>
      <c r="T1002">
        <v>10907</v>
      </c>
      <c r="U1002">
        <v>299.89999999999998</v>
      </c>
      <c r="V1002">
        <v>11206.9</v>
      </c>
    </row>
    <row r="1003" spans="1:22" x14ac:dyDescent="0.3">
      <c r="A1003">
        <v>80147</v>
      </c>
      <c r="B1003">
        <v>138410985</v>
      </c>
      <c r="C1003" t="s">
        <v>5299</v>
      </c>
      <c r="D1003" t="s">
        <v>5300</v>
      </c>
      <c r="E1003" t="s">
        <v>4105</v>
      </c>
      <c r="F1003" t="s">
        <v>514</v>
      </c>
      <c r="G1003" t="s">
        <v>69</v>
      </c>
      <c r="H1003" t="s">
        <v>70</v>
      </c>
      <c r="I1003" t="s">
        <v>34</v>
      </c>
      <c r="J1003" t="s">
        <v>139</v>
      </c>
      <c r="K1003" t="s">
        <v>41</v>
      </c>
      <c r="L1003" t="s">
        <v>71</v>
      </c>
      <c r="M1003" t="s">
        <v>5301</v>
      </c>
      <c r="N1003" t="s">
        <v>516</v>
      </c>
      <c r="O1003" t="s">
        <v>64</v>
      </c>
      <c r="P1003" t="s">
        <v>5302</v>
      </c>
      <c r="Q1003" t="s">
        <v>191</v>
      </c>
      <c r="R1003" t="s">
        <v>4246</v>
      </c>
      <c r="S1003">
        <v>0.86</v>
      </c>
      <c r="T1003">
        <v>7854</v>
      </c>
      <c r="U1003">
        <v>0</v>
      </c>
      <c r="V1003">
        <v>7854</v>
      </c>
    </row>
    <row r="1004" spans="1:22" x14ac:dyDescent="0.3">
      <c r="A1004">
        <v>80147</v>
      </c>
      <c r="B1004">
        <v>138410976</v>
      </c>
      <c r="C1004" t="s">
        <v>5303</v>
      </c>
      <c r="D1004" t="s">
        <v>5304</v>
      </c>
      <c r="E1004" t="s">
        <v>4105</v>
      </c>
      <c r="F1004" t="s">
        <v>514</v>
      </c>
      <c r="G1004" t="s">
        <v>69</v>
      </c>
      <c r="H1004" t="s">
        <v>70</v>
      </c>
      <c r="I1004" t="s">
        <v>34</v>
      </c>
      <c r="J1004" t="s">
        <v>139</v>
      </c>
      <c r="K1004" t="s">
        <v>41</v>
      </c>
      <c r="L1004" t="s">
        <v>71</v>
      </c>
      <c r="M1004" t="s">
        <v>5305</v>
      </c>
      <c r="N1004" t="s">
        <v>516</v>
      </c>
      <c r="O1004" t="s">
        <v>64</v>
      </c>
      <c r="P1004" t="s">
        <v>5306</v>
      </c>
      <c r="Q1004" t="s">
        <v>115</v>
      </c>
      <c r="R1004" t="s">
        <v>4246</v>
      </c>
      <c r="S1004">
        <v>3.14</v>
      </c>
      <c r="T1004">
        <v>8343</v>
      </c>
      <c r="U1004">
        <v>0</v>
      </c>
      <c r="V1004">
        <v>8343</v>
      </c>
    </row>
    <row r="1005" spans="1:22" x14ac:dyDescent="0.3">
      <c r="A1005">
        <v>80147</v>
      </c>
      <c r="B1005">
        <v>138431526</v>
      </c>
      <c r="C1005" t="s">
        <v>5307</v>
      </c>
      <c r="D1005" t="s">
        <v>5308</v>
      </c>
      <c r="E1005" t="s">
        <v>4105</v>
      </c>
      <c r="F1005" t="s">
        <v>514</v>
      </c>
      <c r="G1005" t="s">
        <v>69</v>
      </c>
      <c r="H1005" t="s">
        <v>70</v>
      </c>
      <c r="I1005" t="s">
        <v>34</v>
      </c>
      <c r="J1005" t="s">
        <v>139</v>
      </c>
      <c r="K1005" t="s">
        <v>41</v>
      </c>
      <c r="L1005" t="s">
        <v>71</v>
      </c>
      <c r="M1005" t="s">
        <v>5309</v>
      </c>
      <c r="N1005" t="s">
        <v>516</v>
      </c>
      <c r="O1005" t="s">
        <v>64</v>
      </c>
      <c r="P1005" t="s">
        <v>5310</v>
      </c>
      <c r="Q1005" t="s">
        <v>77</v>
      </c>
      <c r="R1005" t="s">
        <v>4164</v>
      </c>
      <c r="S1005">
        <v>6.3</v>
      </c>
      <c r="T1005">
        <v>5465</v>
      </c>
      <c r="U1005">
        <v>0</v>
      </c>
      <c r="V1005">
        <v>5465</v>
      </c>
    </row>
    <row r="1006" spans="1:22" x14ac:dyDescent="0.3">
      <c r="A1006">
        <v>80147</v>
      </c>
      <c r="B1006">
        <v>138498216</v>
      </c>
      <c r="C1006" t="s">
        <v>5311</v>
      </c>
      <c r="D1006" t="s">
        <v>5312</v>
      </c>
      <c r="E1006" t="s">
        <v>4105</v>
      </c>
      <c r="F1006" t="s">
        <v>514</v>
      </c>
      <c r="G1006" t="s">
        <v>69</v>
      </c>
      <c r="H1006" t="s">
        <v>70</v>
      </c>
      <c r="I1006" t="s">
        <v>34</v>
      </c>
      <c r="J1006" t="s">
        <v>139</v>
      </c>
      <c r="K1006" t="s">
        <v>41</v>
      </c>
      <c r="L1006" t="s">
        <v>71</v>
      </c>
      <c r="M1006" t="s">
        <v>5313</v>
      </c>
      <c r="N1006" t="s">
        <v>516</v>
      </c>
      <c r="O1006" t="s">
        <v>64</v>
      </c>
      <c r="P1006" t="s">
        <v>5314</v>
      </c>
      <c r="Q1006" t="s">
        <v>77</v>
      </c>
      <c r="R1006" t="s">
        <v>487</v>
      </c>
      <c r="S1006">
        <v>1.34</v>
      </c>
      <c r="T1006">
        <v>4072</v>
      </c>
      <c r="U1006">
        <v>0</v>
      </c>
      <c r="V1006">
        <v>4072</v>
      </c>
    </row>
    <row r="1007" spans="1:22" x14ac:dyDescent="0.3">
      <c r="A1007">
        <v>80147</v>
      </c>
      <c r="B1007">
        <v>138141919</v>
      </c>
      <c r="C1007" t="s">
        <v>5315</v>
      </c>
      <c r="D1007" t="s">
        <v>5316</v>
      </c>
      <c r="E1007" t="s">
        <v>4105</v>
      </c>
      <c r="F1007" t="s">
        <v>514</v>
      </c>
      <c r="G1007" t="s">
        <v>69</v>
      </c>
      <c r="H1007" t="s">
        <v>70</v>
      </c>
      <c r="I1007" t="s">
        <v>34</v>
      </c>
      <c r="J1007" t="s">
        <v>139</v>
      </c>
      <c r="K1007" t="s">
        <v>41</v>
      </c>
      <c r="L1007" t="s">
        <v>71</v>
      </c>
      <c r="M1007" t="s">
        <v>462</v>
      </c>
      <c r="N1007" t="s">
        <v>516</v>
      </c>
      <c r="O1007" t="s">
        <v>64</v>
      </c>
      <c r="P1007" t="s">
        <v>5317</v>
      </c>
      <c r="Q1007" t="s">
        <v>142</v>
      </c>
      <c r="R1007" t="s">
        <v>4380</v>
      </c>
      <c r="S1007">
        <v>6.26</v>
      </c>
      <c r="T1007">
        <v>5465</v>
      </c>
      <c r="U1007">
        <v>0</v>
      </c>
      <c r="V1007">
        <v>5465</v>
      </c>
    </row>
    <row r="1008" spans="1:22" x14ac:dyDescent="0.3">
      <c r="A1008">
        <v>80147</v>
      </c>
      <c r="B1008">
        <v>138169167</v>
      </c>
      <c r="C1008" t="s">
        <v>5318</v>
      </c>
      <c r="D1008" t="s">
        <v>5319</v>
      </c>
      <c r="E1008" t="s">
        <v>4105</v>
      </c>
      <c r="F1008" t="s">
        <v>514</v>
      </c>
      <c r="G1008" t="s">
        <v>69</v>
      </c>
      <c r="H1008" t="s">
        <v>70</v>
      </c>
      <c r="I1008" t="s">
        <v>34</v>
      </c>
      <c r="J1008" t="s">
        <v>139</v>
      </c>
      <c r="K1008" t="s">
        <v>41</v>
      </c>
      <c r="L1008" t="s">
        <v>71</v>
      </c>
      <c r="M1008" t="s">
        <v>5320</v>
      </c>
      <c r="N1008" t="s">
        <v>516</v>
      </c>
      <c r="O1008" t="s">
        <v>64</v>
      </c>
      <c r="P1008" t="s">
        <v>5321</v>
      </c>
      <c r="Q1008" t="s">
        <v>213</v>
      </c>
      <c r="R1008" t="s">
        <v>4374</v>
      </c>
      <c r="S1008">
        <v>7.85</v>
      </c>
      <c r="T1008">
        <v>9041</v>
      </c>
      <c r="U1008">
        <v>0</v>
      </c>
      <c r="V1008">
        <v>9041</v>
      </c>
    </row>
    <row r="1009" spans="1:22" x14ac:dyDescent="0.3">
      <c r="A1009">
        <v>80147</v>
      </c>
      <c r="B1009">
        <v>138096072</v>
      </c>
      <c r="C1009" t="s">
        <v>5322</v>
      </c>
      <c r="D1009" t="s">
        <v>5323</v>
      </c>
      <c r="E1009" t="s">
        <v>4105</v>
      </c>
      <c r="F1009" t="s">
        <v>514</v>
      </c>
      <c r="G1009" t="s">
        <v>69</v>
      </c>
      <c r="H1009" t="s">
        <v>70</v>
      </c>
      <c r="I1009" t="s">
        <v>34</v>
      </c>
      <c r="J1009" t="s">
        <v>139</v>
      </c>
      <c r="K1009" t="s">
        <v>41</v>
      </c>
      <c r="L1009" t="s">
        <v>71</v>
      </c>
      <c r="M1009" t="s">
        <v>5324</v>
      </c>
      <c r="N1009" t="s">
        <v>516</v>
      </c>
      <c r="O1009" t="s">
        <v>64</v>
      </c>
      <c r="P1009" t="s">
        <v>5325</v>
      </c>
      <c r="Q1009" t="s">
        <v>148</v>
      </c>
      <c r="R1009" t="s">
        <v>4575</v>
      </c>
      <c r="S1009">
        <v>9.02</v>
      </c>
      <c r="T1009">
        <v>9706</v>
      </c>
      <c r="U1009">
        <v>0</v>
      </c>
      <c r="V1009">
        <v>9706</v>
      </c>
    </row>
    <row r="1010" spans="1:22" x14ac:dyDescent="0.3">
      <c r="A1010">
        <v>80147</v>
      </c>
      <c r="B1010">
        <v>138275962</v>
      </c>
      <c r="C1010" t="s">
        <v>5326</v>
      </c>
      <c r="D1010" t="s">
        <v>5327</v>
      </c>
      <c r="E1010" t="s">
        <v>4105</v>
      </c>
      <c r="F1010" t="s">
        <v>514</v>
      </c>
      <c r="G1010" t="s">
        <v>69</v>
      </c>
      <c r="H1010" t="s">
        <v>70</v>
      </c>
      <c r="I1010" t="s">
        <v>34</v>
      </c>
      <c r="J1010" t="s">
        <v>139</v>
      </c>
      <c r="K1010" t="s">
        <v>41</v>
      </c>
      <c r="L1010" t="s">
        <v>71</v>
      </c>
      <c r="M1010" t="s">
        <v>5328</v>
      </c>
      <c r="N1010" t="s">
        <v>516</v>
      </c>
      <c r="O1010" t="s">
        <v>64</v>
      </c>
      <c r="P1010" t="s">
        <v>5329</v>
      </c>
      <c r="Q1010" t="s">
        <v>83</v>
      </c>
      <c r="R1010" t="s">
        <v>4362</v>
      </c>
      <c r="S1010">
        <v>4.7300000000000004</v>
      </c>
      <c r="T1010">
        <v>4718</v>
      </c>
      <c r="U1010">
        <v>0</v>
      </c>
      <c r="V1010">
        <v>4718</v>
      </c>
    </row>
    <row r="1011" spans="1:22" x14ac:dyDescent="0.3">
      <c r="A1011">
        <v>80147</v>
      </c>
      <c r="B1011">
        <v>138298718</v>
      </c>
      <c r="C1011" t="s">
        <v>5330</v>
      </c>
      <c r="D1011" t="s">
        <v>5331</v>
      </c>
      <c r="E1011" t="s">
        <v>4105</v>
      </c>
      <c r="F1011" t="s">
        <v>514</v>
      </c>
      <c r="G1011" t="s">
        <v>69</v>
      </c>
      <c r="H1011" t="s">
        <v>70</v>
      </c>
      <c r="I1011" t="s">
        <v>34</v>
      </c>
      <c r="J1011" t="s">
        <v>139</v>
      </c>
      <c r="K1011" t="s">
        <v>41</v>
      </c>
      <c r="L1011" t="s">
        <v>71</v>
      </c>
      <c r="M1011" t="s">
        <v>153</v>
      </c>
      <c r="N1011" t="s">
        <v>516</v>
      </c>
      <c r="O1011" t="s">
        <v>64</v>
      </c>
      <c r="P1011" t="s">
        <v>5332</v>
      </c>
      <c r="Q1011" t="s">
        <v>93</v>
      </c>
      <c r="R1011" t="s">
        <v>4317</v>
      </c>
      <c r="S1011">
        <v>4.3899999999999997</v>
      </c>
      <c r="T1011">
        <v>4718</v>
      </c>
      <c r="U1011">
        <v>0</v>
      </c>
      <c r="V1011">
        <v>4718</v>
      </c>
    </row>
    <row r="1012" spans="1:22" x14ac:dyDescent="0.3">
      <c r="A1012">
        <v>80147</v>
      </c>
      <c r="B1012">
        <v>138232616</v>
      </c>
      <c r="C1012" t="s">
        <v>5333</v>
      </c>
      <c r="D1012" t="s">
        <v>5334</v>
      </c>
      <c r="E1012" t="s">
        <v>4105</v>
      </c>
      <c r="F1012" t="s">
        <v>514</v>
      </c>
      <c r="G1012" t="s">
        <v>69</v>
      </c>
      <c r="H1012" t="s">
        <v>70</v>
      </c>
      <c r="I1012" t="s">
        <v>34</v>
      </c>
      <c r="J1012" t="s">
        <v>139</v>
      </c>
      <c r="K1012" t="s">
        <v>41</v>
      </c>
      <c r="L1012" t="s">
        <v>71</v>
      </c>
      <c r="M1012" t="s">
        <v>5335</v>
      </c>
      <c r="N1012" t="s">
        <v>516</v>
      </c>
      <c r="O1012" t="s">
        <v>64</v>
      </c>
      <c r="P1012" t="s">
        <v>5336</v>
      </c>
      <c r="Q1012" t="s">
        <v>148</v>
      </c>
      <c r="R1012" t="s">
        <v>4368</v>
      </c>
      <c r="S1012">
        <v>5.5</v>
      </c>
      <c r="T1012">
        <v>7747</v>
      </c>
      <c r="U1012">
        <v>0</v>
      </c>
      <c r="V1012">
        <v>7747</v>
      </c>
    </row>
    <row r="1013" spans="1:22" x14ac:dyDescent="0.3">
      <c r="A1013">
        <v>80147</v>
      </c>
      <c r="B1013">
        <v>138232622</v>
      </c>
      <c r="C1013" t="s">
        <v>5337</v>
      </c>
      <c r="D1013" t="s">
        <v>5338</v>
      </c>
      <c r="E1013" t="s">
        <v>4105</v>
      </c>
      <c r="F1013" t="s">
        <v>514</v>
      </c>
      <c r="G1013" t="s">
        <v>69</v>
      </c>
      <c r="H1013" t="s">
        <v>70</v>
      </c>
      <c r="I1013" t="s">
        <v>34</v>
      </c>
      <c r="J1013" t="s">
        <v>139</v>
      </c>
      <c r="K1013" t="s">
        <v>41</v>
      </c>
      <c r="L1013" t="s">
        <v>71</v>
      </c>
      <c r="M1013" t="s">
        <v>5339</v>
      </c>
      <c r="N1013" t="s">
        <v>516</v>
      </c>
      <c r="O1013" t="s">
        <v>64</v>
      </c>
      <c r="P1013" t="s">
        <v>5340</v>
      </c>
      <c r="Q1013" t="s">
        <v>77</v>
      </c>
      <c r="R1013" t="s">
        <v>4368</v>
      </c>
      <c r="S1013">
        <v>5.62</v>
      </c>
      <c r="T1013">
        <v>4718</v>
      </c>
      <c r="U1013">
        <v>0</v>
      </c>
      <c r="V1013">
        <v>4718</v>
      </c>
    </row>
    <row r="1014" spans="1:22" x14ac:dyDescent="0.3">
      <c r="A1014">
        <v>80147</v>
      </c>
      <c r="B1014">
        <v>138188837</v>
      </c>
      <c r="C1014" t="s">
        <v>5341</v>
      </c>
      <c r="D1014" t="s">
        <v>5342</v>
      </c>
      <c r="E1014" t="s">
        <v>4105</v>
      </c>
      <c r="F1014" t="s">
        <v>514</v>
      </c>
      <c r="G1014" t="s">
        <v>69</v>
      </c>
      <c r="H1014" t="s">
        <v>70</v>
      </c>
      <c r="I1014" t="s">
        <v>34</v>
      </c>
      <c r="J1014" t="s">
        <v>139</v>
      </c>
      <c r="K1014" t="s">
        <v>41</v>
      </c>
      <c r="L1014" t="s">
        <v>71</v>
      </c>
      <c r="M1014" t="s">
        <v>5343</v>
      </c>
      <c r="N1014" t="s">
        <v>516</v>
      </c>
      <c r="O1014" t="s">
        <v>64</v>
      </c>
      <c r="P1014" t="s">
        <v>5344</v>
      </c>
      <c r="Q1014" t="s">
        <v>83</v>
      </c>
      <c r="R1014" t="s">
        <v>4427</v>
      </c>
      <c r="S1014">
        <v>3.21</v>
      </c>
      <c r="T1014">
        <v>4718</v>
      </c>
      <c r="U1014">
        <v>0</v>
      </c>
      <c r="V1014">
        <v>4718</v>
      </c>
    </row>
    <row r="1015" spans="1:22" x14ac:dyDescent="0.3">
      <c r="A1015">
        <v>80147</v>
      </c>
      <c r="B1015">
        <v>137910030</v>
      </c>
      <c r="C1015" t="s">
        <v>5345</v>
      </c>
      <c r="D1015" t="s">
        <v>5346</v>
      </c>
      <c r="E1015" t="s">
        <v>4105</v>
      </c>
      <c r="F1015" t="s">
        <v>514</v>
      </c>
      <c r="G1015" t="s">
        <v>69</v>
      </c>
      <c r="H1015" t="s">
        <v>70</v>
      </c>
      <c r="I1015" t="s">
        <v>34</v>
      </c>
      <c r="J1015" t="s">
        <v>139</v>
      </c>
      <c r="K1015" t="s">
        <v>41</v>
      </c>
      <c r="L1015" t="s">
        <v>71</v>
      </c>
      <c r="M1015" t="s">
        <v>160</v>
      </c>
      <c r="N1015" t="s">
        <v>516</v>
      </c>
      <c r="O1015" t="s">
        <v>64</v>
      </c>
      <c r="P1015" t="s">
        <v>5347</v>
      </c>
      <c r="Q1015" t="s">
        <v>83</v>
      </c>
      <c r="R1015" t="s">
        <v>4643</v>
      </c>
      <c r="S1015">
        <v>7.41</v>
      </c>
      <c r="T1015">
        <v>5465</v>
      </c>
      <c r="U1015">
        <v>0</v>
      </c>
      <c r="V1015">
        <v>5465</v>
      </c>
    </row>
    <row r="1016" spans="1:22" x14ac:dyDescent="0.3">
      <c r="A1016">
        <v>80147</v>
      </c>
      <c r="B1016">
        <v>137963723</v>
      </c>
      <c r="C1016" t="s">
        <v>5348</v>
      </c>
      <c r="D1016" t="s">
        <v>5349</v>
      </c>
      <c r="E1016" t="s">
        <v>4105</v>
      </c>
      <c r="F1016" t="s">
        <v>514</v>
      </c>
      <c r="G1016" t="s">
        <v>69</v>
      </c>
      <c r="H1016" t="s">
        <v>70</v>
      </c>
      <c r="I1016" t="s">
        <v>34</v>
      </c>
      <c r="J1016" t="s">
        <v>139</v>
      </c>
      <c r="K1016" t="s">
        <v>41</v>
      </c>
      <c r="L1016" t="s">
        <v>71</v>
      </c>
      <c r="M1016" t="s">
        <v>5350</v>
      </c>
      <c r="N1016" t="s">
        <v>516</v>
      </c>
      <c r="O1016" t="s">
        <v>64</v>
      </c>
      <c r="P1016" t="s">
        <v>5351</v>
      </c>
      <c r="Q1016" t="s">
        <v>204</v>
      </c>
      <c r="R1016" t="s">
        <v>4704</v>
      </c>
      <c r="S1016">
        <v>7.19</v>
      </c>
      <c r="T1016">
        <v>10513</v>
      </c>
      <c r="U1016">
        <v>0</v>
      </c>
      <c r="V1016">
        <v>10513</v>
      </c>
    </row>
    <row r="1017" spans="1:22" x14ac:dyDescent="0.3">
      <c r="A1017">
        <v>80147</v>
      </c>
      <c r="B1017">
        <v>138070830</v>
      </c>
      <c r="C1017" t="s">
        <v>5352</v>
      </c>
      <c r="D1017" t="s">
        <v>5353</v>
      </c>
      <c r="E1017" t="s">
        <v>4105</v>
      </c>
      <c r="F1017" t="s">
        <v>514</v>
      </c>
      <c r="G1017" t="s">
        <v>69</v>
      </c>
      <c r="H1017" t="s">
        <v>70</v>
      </c>
      <c r="I1017" t="s">
        <v>34</v>
      </c>
      <c r="J1017" t="s">
        <v>139</v>
      </c>
      <c r="K1017" t="s">
        <v>41</v>
      </c>
      <c r="L1017" t="s">
        <v>71</v>
      </c>
      <c r="M1017" t="s">
        <v>5354</v>
      </c>
      <c r="N1017" t="s">
        <v>516</v>
      </c>
      <c r="O1017" t="s">
        <v>64</v>
      </c>
      <c r="P1017" t="s">
        <v>5355</v>
      </c>
      <c r="Q1017" t="s">
        <v>225</v>
      </c>
      <c r="R1017" t="s">
        <v>405</v>
      </c>
      <c r="S1017">
        <v>11.89</v>
      </c>
      <c r="T1017">
        <v>11161</v>
      </c>
      <c r="U1017">
        <v>0</v>
      </c>
      <c r="V1017">
        <v>11161</v>
      </c>
    </row>
    <row r="1018" spans="1:22" x14ac:dyDescent="0.3">
      <c r="A1018">
        <v>80147</v>
      </c>
      <c r="B1018">
        <v>138070834</v>
      </c>
      <c r="C1018" t="s">
        <v>5356</v>
      </c>
      <c r="D1018" t="s">
        <v>5357</v>
      </c>
      <c r="E1018" t="s">
        <v>4105</v>
      </c>
      <c r="F1018" t="s">
        <v>514</v>
      </c>
      <c r="G1018" t="s">
        <v>69</v>
      </c>
      <c r="H1018" t="s">
        <v>70</v>
      </c>
      <c r="I1018" t="s">
        <v>34</v>
      </c>
      <c r="J1018" t="s">
        <v>139</v>
      </c>
      <c r="K1018" t="s">
        <v>41</v>
      </c>
      <c r="L1018" t="s">
        <v>71</v>
      </c>
      <c r="M1018" t="s">
        <v>5358</v>
      </c>
      <c r="N1018" t="s">
        <v>516</v>
      </c>
      <c r="O1018" t="s">
        <v>64</v>
      </c>
      <c r="P1018" t="s">
        <v>5359</v>
      </c>
      <c r="Q1018" t="s">
        <v>249</v>
      </c>
      <c r="R1018" t="s">
        <v>405</v>
      </c>
      <c r="S1018">
        <v>9.5299999999999994</v>
      </c>
      <c r="T1018">
        <v>9041</v>
      </c>
      <c r="U1018">
        <v>0</v>
      </c>
      <c r="V1018">
        <v>9041</v>
      </c>
    </row>
    <row r="1019" spans="1:22" x14ac:dyDescent="0.3">
      <c r="A1019">
        <v>80147</v>
      </c>
      <c r="B1019">
        <v>137837298</v>
      </c>
      <c r="C1019" t="s">
        <v>5360</v>
      </c>
      <c r="D1019" t="s">
        <v>5361</v>
      </c>
      <c r="E1019" t="s">
        <v>4105</v>
      </c>
      <c r="F1019" t="s">
        <v>514</v>
      </c>
      <c r="G1019" t="s">
        <v>69</v>
      </c>
      <c r="H1019" t="s">
        <v>70</v>
      </c>
      <c r="I1019" t="s">
        <v>34</v>
      </c>
      <c r="J1019" t="s">
        <v>139</v>
      </c>
      <c r="K1019" t="s">
        <v>41</v>
      </c>
      <c r="L1019" t="s">
        <v>71</v>
      </c>
      <c r="M1019" t="s">
        <v>5362</v>
      </c>
      <c r="N1019" t="s">
        <v>516</v>
      </c>
      <c r="O1019" t="s">
        <v>64</v>
      </c>
      <c r="P1019" t="s">
        <v>5363</v>
      </c>
      <c r="Q1019" t="s">
        <v>93</v>
      </c>
      <c r="R1019" t="s">
        <v>4698</v>
      </c>
      <c r="S1019">
        <v>1.46</v>
      </c>
      <c r="T1019">
        <v>4072</v>
      </c>
      <c r="U1019">
        <v>0</v>
      </c>
      <c r="V1019">
        <v>4072</v>
      </c>
    </row>
    <row r="1020" spans="1:22" x14ac:dyDescent="0.3">
      <c r="A1020">
        <v>80147</v>
      </c>
      <c r="B1020">
        <v>138051751</v>
      </c>
      <c r="C1020" t="s">
        <v>5364</v>
      </c>
      <c r="D1020" t="s">
        <v>5365</v>
      </c>
      <c r="E1020" t="s">
        <v>4105</v>
      </c>
      <c r="F1020" t="s">
        <v>514</v>
      </c>
      <c r="G1020" t="s">
        <v>69</v>
      </c>
      <c r="H1020" t="s">
        <v>70</v>
      </c>
      <c r="I1020" t="s">
        <v>34</v>
      </c>
      <c r="J1020" t="s">
        <v>139</v>
      </c>
      <c r="K1020" t="s">
        <v>41</v>
      </c>
      <c r="L1020" t="s">
        <v>71</v>
      </c>
      <c r="M1020" t="s">
        <v>5366</v>
      </c>
      <c r="N1020" t="s">
        <v>516</v>
      </c>
      <c r="O1020" t="s">
        <v>64</v>
      </c>
      <c r="P1020" t="s">
        <v>5367</v>
      </c>
      <c r="Q1020" t="s">
        <v>210</v>
      </c>
      <c r="R1020" t="s">
        <v>4518</v>
      </c>
      <c r="S1020">
        <v>9.48</v>
      </c>
      <c r="T1020">
        <v>9041</v>
      </c>
      <c r="U1020">
        <v>0</v>
      </c>
      <c r="V1020">
        <v>9041</v>
      </c>
    </row>
    <row r="1021" spans="1:22" x14ac:dyDescent="0.3">
      <c r="A1021">
        <v>80147</v>
      </c>
      <c r="B1021">
        <v>138028194</v>
      </c>
      <c r="C1021" t="s">
        <v>5368</v>
      </c>
      <c r="D1021" t="s">
        <v>5369</v>
      </c>
      <c r="E1021" t="s">
        <v>4105</v>
      </c>
      <c r="F1021" t="s">
        <v>514</v>
      </c>
      <c r="G1021" t="s">
        <v>69</v>
      </c>
      <c r="H1021" t="s">
        <v>70</v>
      </c>
      <c r="I1021" t="s">
        <v>34</v>
      </c>
      <c r="J1021" t="s">
        <v>139</v>
      </c>
      <c r="K1021" t="s">
        <v>41</v>
      </c>
      <c r="L1021" t="s">
        <v>71</v>
      </c>
      <c r="M1021" t="s">
        <v>5370</v>
      </c>
      <c r="N1021" t="s">
        <v>516</v>
      </c>
      <c r="O1021" t="s">
        <v>64</v>
      </c>
      <c r="P1021" t="s">
        <v>5371</v>
      </c>
      <c r="Q1021" t="s">
        <v>115</v>
      </c>
      <c r="R1021" t="s">
        <v>4534</v>
      </c>
      <c r="S1021">
        <v>5.67</v>
      </c>
      <c r="T1021">
        <v>8343</v>
      </c>
      <c r="U1021">
        <v>0</v>
      </c>
      <c r="V1021">
        <v>8343</v>
      </c>
    </row>
    <row r="1022" spans="1:22" x14ac:dyDescent="0.3">
      <c r="A1022">
        <v>80147</v>
      </c>
      <c r="B1022">
        <v>137837287</v>
      </c>
      <c r="C1022" t="s">
        <v>5372</v>
      </c>
      <c r="D1022" t="s">
        <v>5373</v>
      </c>
      <c r="E1022" t="s">
        <v>4105</v>
      </c>
      <c r="F1022" t="s">
        <v>514</v>
      </c>
      <c r="G1022" t="s">
        <v>69</v>
      </c>
      <c r="H1022" t="s">
        <v>70</v>
      </c>
      <c r="I1022" t="s">
        <v>34</v>
      </c>
      <c r="J1022" t="s">
        <v>139</v>
      </c>
      <c r="K1022" t="s">
        <v>41</v>
      </c>
      <c r="L1022" t="s">
        <v>71</v>
      </c>
      <c r="M1022" t="s">
        <v>5374</v>
      </c>
      <c r="N1022" t="s">
        <v>516</v>
      </c>
      <c r="O1022" t="s">
        <v>64</v>
      </c>
      <c r="P1022" t="s">
        <v>5375</v>
      </c>
      <c r="Q1022" t="s">
        <v>194</v>
      </c>
      <c r="R1022" t="s">
        <v>4498</v>
      </c>
      <c r="S1022">
        <v>6.27</v>
      </c>
      <c r="T1022">
        <v>9706</v>
      </c>
      <c r="U1022">
        <v>0</v>
      </c>
      <c r="V1022">
        <v>9706</v>
      </c>
    </row>
    <row r="1023" spans="1:22" x14ac:dyDescent="0.3">
      <c r="A1023">
        <v>80147</v>
      </c>
      <c r="B1023">
        <v>137837293</v>
      </c>
      <c r="C1023" t="s">
        <v>5376</v>
      </c>
      <c r="D1023" t="s">
        <v>5377</v>
      </c>
      <c r="E1023" t="s">
        <v>4105</v>
      </c>
      <c r="F1023" t="s">
        <v>514</v>
      </c>
      <c r="G1023" t="s">
        <v>69</v>
      </c>
      <c r="H1023" t="s">
        <v>70</v>
      </c>
      <c r="I1023" t="s">
        <v>34</v>
      </c>
      <c r="J1023" t="s">
        <v>139</v>
      </c>
      <c r="K1023" t="s">
        <v>41</v>
      </c>
      <c r="L1023" t="s">
        <v>71</v>
      </c>
      <c r="M1023" t="s">
        <v>5378</v>
      </c>
      <c r="N1023" t="s">
        <v>516</v>
      </c>
      <c r="O1023" t="s">
        <v>64</v>
      </c>
      <c r="P1023" t="s">
        <v>5379</v>
      </c>
      <c r="Q1023" t="s">
        <v>93</v>
      </c>
      <c r="R1023" t="s">
        <v>4698</v>
      </c>
      <c r="S1023">
        <v>5.5</v>
      </c>
      <c r="T1023">
        <v>4718</v>
      </c>
      <c r="U1023">
        <v>0</v>
      </c>
      <c r="V1023">
        <v>4718</v>
      </c>
    </row>
    <row r="1024" spans="1:22" x14ac:dyDescent="0.3">
      <c r="A1024">
        <v>80147</v>
      </c>
      <c r="B1024">
        <v>138051761</v>
      </c>
      <c r="C1024" t="s">
        <v>5380</v>
      </c>
      <c r="D1024" t="s">
        <v>5381</v>
      </c>
      <c r="E1024" t="s">
        <v>4105</v>
      </c>
      <c r="F1024" t="s">
        <v>514</v>
      </c>
      <c r="G1024" t="s">
        <v>69</v>
      </c>
      <c r="H1024" t="s">
        <v>70</v>
      </c>
      <c r="I1024" t="s">
        <v>34</v>
      </c>
      <c r="J1024" t="s">
        <v>139</v>
      </c>
      <c r="K1024" t="s">
        <v>41</v>
      </c>
      <c r="L1024" t="s">
        <v>71</v>
      </c>
      <c r="M1024" t="s">
        <v>5382</v>
      </c>
      <c r="N1024" t="s">
        <v>516</v>
      </c>
      <c r="O1024" t="s">
        <v>64</v>
      </c>
      <c r="P1024" t="s">
        <v>5383</v>
      </c>
      <c r="Q1024" t="s">
        <v>93</v>
      </c>
      <c r="R1024" t="s">
        <v>4518</v>
      </c>
      <c r="S1024">
        <v>6.32</v>
      </c>
      <c r="T1024">
        <v>5465</v>
      </c>
      <c r="U1024">
        <v>0</v>
      </c>
      <c r="V1024">
        <v>5465</v>
      </c>
    </row>
    <row r="1025" spans="1:22" x14ac:dyDescent="0.3">
      <c r="A1025">
        <v>80147</v>
      </c>
      <c r="B1025">
        <v>137933865</v>
      </c>
      <c r="C1025" t="s">
        <v>5384</v>
      </c>
      <c r="D1025" t="s">
        <v>5385</v>
      </c>
      <c r="E1025" t="s">
        <v>4105</v>
      </c>
      <c r="F1025" t="s">
        <v>514</v>
      </c>
      <c r="G1025" t="s">
        <v>69</v>
      </c>
      <c r="H1025" t="s">
        <v>70</v>
      </c>
      <c r="I1025" t="s">
        <v>34</v>
      </c>
      <c r="J1025" t="s">
        <v>139</v>
      </c>
      <c r="K1025" t="s">
        <v>41</v>
      </c>
      <c r="L1025" t="s">
        <v>71</v>
      </c>
      <c r="M1025" t="s">
        <v>5386</v>
      </c>
      <c r="N1025" t="s">
        <v>516</v>
      </c>
      <c r="O1025" t="s">
        <v>64</v>
      </c>
      <c r="P1025" t="s">
        <v>5387</v>
      </c>
      <c r="Q1025" t="s">
        <v>51</v>
      </c>
      <c r="R1025" t="s">
        <v>4654</v>
      </c>
      <c r="S1025">
        <v>8.3000000000000007</v>
      </c>
      <c r="T1025">
        <v>9380</v>
      </c>
      <c r="U1025">
        <v>0</v>
      </c>
      <c r="V1025">
        <v>9380</v>
      </c>
    </row>
    <row r="1026" spans="1:22" x14ac:dyDescent="0.3">
      <c r="A1026">
        <v>80147</v>
      </c>
      <c r="B1026">
        <v>137933872</v>
      </c>
      <c r="C1026" t="s">
        <v>5388</v>
      </c>
      <c r="D1026" t="s">
        <v>5389</v>
      </c>
      <c r="E1026" t="s">
        <v>4105</v>
      </c>
      <c r="F1026" t="s">
        <v>514</v>
      </c>
      <c r="G1026" t="s">
        <v>69</v>
      </c>
      <c r="H1026" t="s">
        <v>70</v>
      </c>
      <c r="I1026" t="s">
        <v>34</v>
      </c>
      <c r="J1026" t="s">
        <v>139</v>
      </c>
      <c r="K1026" t="s">
        <v>41</v>
      </c>
      <c r="L1026" t="s">
        <v>71</v>
      </c>
      <c r="M1026" t="s">
        <v>5390</v>
      </c>
      <c r="N1026" t="s">
        <v>516</v>
      </c>
      <c r="O1026" t="s">
        <v>64</v>
      </c>
      <c r="P1026" t="s">
        <v>5391</v>
      </c>
      <c r="Q1026" t="s">
        <v>149</v>
      </c>
      <c r="R1026" t="s">
        <v>4654</v>
      </c>
      <c r="S1026">
        <v>5.44</v>
      </c>
      <c r="T1026">
        <v>8430</v>
      </c>
      <c r="U1026">
        <v>0</v>
      </c>
      <c r="V1026">
        <v>8430</v>
      </c>
    </row>
    <row r="1027" spans="1:22" x14ac:dyDescent="0.3">
      <c r="A1027">
        <v>80147</v>
      </c>
      <c r="B1027">
        <v>137837281</v>
      </c>
      <c r="C1027" t="s">
        <v>5392</v>
      </c>
      <c r="D1027" t="s">
        <v>5393</v>
      </c>
      <c r="E1027" t="s">
        <v>4105</v>
      </c>
      <c r="F1027" t="s">
        <v>514</v>
      </c>
      <c r="G1027" t="s">
        <v>69</v>
      </c>
      <c r="H1027" t="s">
        <v>70</v>
      </c>
      <c r="I1027" t="s">
        <v>34</v>
      </c>
      <c r="J1027" t="s">
        <v>139</v>
      </c>
      <c r="K1027" t="s">
        <v>41</v>
      </c>
      <c r="L1027" t="s">
        <v>71</v>
      </c>
      <c r="M1027" t="s">
        <v>5394</v>
      </c>
      <c r="N1027" t="s">
        <v>516</v>
      </c>
      <c r="O1027" t="s">
        <v>64</v>
      </c>
      <c r="P1027" t="s">
        <v>5395</v>
      </c>
      <c r="Q1027" t="s">
        <v>249</v>
      </c>
      <c r="R1027" t="s">
        <v>4498</v>
      </c>
      <c r="S1027">
        <v>7.04</v>
      </c>
      <c r="T1027">
        <v>9041</v>
      </c>
      <c r="U1027">
        <v>0</v>
      </c>
      <c r="V1027">
        <v>9041</v>
      </c>
    </row>
    <row r="1028" spans="1:22" x14ac:dyDescent="0.3">
      <c r="A1028">
        <v>80147</v>
      </c>
      <c r="B1028">
        <v>137701849</v>
      </c>
      <c r="C1028" t="s">
        <v>5396</v>
      </c>
      <c r="D1028" t="s">
        <v>5397</v>
      </c>
      <c r="E1028" t="s">
        <v>4105</v>
      </c>
      <c r="F1028" t="s">
        <v>514</v>
      </c>
      <c r="G1028" t="s">
        <v>69</v>
      </c>
      <c r="H1028" t="s">
        <v>70</v>
      </c>
      <c r="I1028" t="s">
        <v>34</v>
      </c>
      <c r="J1028" t="s">
        <v>139</v>
      </c>
      <c r="K1028" t="s">
        <v>41</v>
      </c>
      <c r="L1028" t="s">
        <v>71</v>
      </c>
      <c r="M1028" t="s">
        <v>5398</v>
      </c>
      <c r="N1028" t="s">
        <v>516</v>
      </c>
      <c r="O1028" t="s">
        <v>64</v>
      </c>
      <c r="P1028" t="s">
        <v>5399</v>
      </c>
      <c r="Q1028" t="s">
        <v>348</v>
      </c>
      <c r="R1028" t="s">
        <v>4845</v>
      </c>
      <c r="S1028">
        <v>0.7</v>
      </c>
      <c r="T1028">
        <v>16142</v>
      </c>
      <c r="U1028">
        <v>0</v>
      </c>
      <c r="V1028">
        <v>16142</v>
      </c>
    </row>
    <row r="1029" spans="1:22" x14ac:dyDescent="0.3">
      <c r="A1029">
        <v>80147</v>
      </c>
      <c r="B1029">
        <v>137820777</v>
      </c>
      <c r="C1029" t="s">
        <v>5400</v>
      </c>
      <c r="D1029" t="s">
        <v>5401</v>
      </c>
      <c r="E1029" t="s">
        <v>4105</v>
      </c>
      <c r="F1029" t="s">
        <v>514</v>
      </c>
      <c r="G1029" t="s">
        <v>69</v>
      </c>
      <c r="H1029" t="s">
        <v>70</v>
      </c>
      <c r="I1029" t="s">
        <v>34</v>
      </c>
      <c r="J1029" t="s">
        <v>139</v>
      </c>
      <c r="K1029" t="s">
        <v>41</v>
      </c>
      <c r="L1029" t="s">
        <v>71</v>
      </c>
      <c r="M1029" t="s">
        <v>5402</v>
      </c>
      <c r="N1029" t="s">
        <v>516</v>
      </c>
      <c r="O1029" t="s">
        <v>64</v>
      </c>
      <c r="P1029" t="s">
        <v>5403</v>
      </c>
      <c r="Q1029" t="s">
        <v>235</v>
      </c>
      <c r="R1029" t="s">
        <v>4865</v>
      </c>
      <c r="S1029">
        <v>6.99</v>
      </c>
      <c r="T1029">
        <v>5465</v>
      </c>
      <c r="U1029">
        <v>0</v>
      </c>
      <c r="V1029">
        <v>5465</v>
      </c>
    </row>
    <row r="1030" spans="1:22" x14ac:dyDescent="0.3">
      <c r="A1030">
        <v>80147</v>
      </c>
      <c r="B1030">
        <v>137726444</v>
      </c>
      <c r="C1030" t="s">
        <v>5404</v>
      </c>
      <c r="D1030" t="s">
        <v>5405</v>
      </c>
      <c r="E1030" t="s">
        <v>4105</v>
      </c>
      <c r="F1030" t="s">
        <v>514</v>
      </c>
      <c r="G1030" t="s">
        <v>69</v>
      </c>
      <c r="H1030" t="s">
        <v>70</v>
      </c>
      <c r="I1030" t="s">
        <v>34</v>
      </c>
      <c r="J1030" t="s">
        <v>139</v>
      </c>
      <c r="K1030" t="s">
        <v>41</v>
      </c>
      <c r="L1030" t="s">
        <v>71</v>
      </c>
      <c r="M1030" t="s">
        <v>5406</v>
      </c>
      <c r="N1030" t="s">
        <v>516</v>
      </c>
      <c r="O1030" t="s">
        <v>64</v>
      </c>
      <c r="P1030" t="s">
        <v>5407</v>
      </c>
      <c r="Q1030" t="s">
        <v>171</v>
      </c>
      <c r="R1030" t="s">
        <v>4825</v>
      </c>
      <c r="S1030">
        <v>1.34</v>
      </c>
      <c r="T1030">
        <v>6146</v>
      </c>
      <c r="U1030">
        <v>0</v>
      </c>
      <c r="V1030">
        <v>6146</v>
      </c>
    </row>
    <row r="1031" spans="1:22" x14ac:dyDescent="0.3">
      <c r="A1031">
        <v>80147</v>
      </c>
      <c r="B1031">
        <v>137556543</v>
      </c>
      <c r="C1031" t="s">
        <v>5408</v>
      </c>
      <c r="D1031" t="s">
        <v>5409</v>
      </c>
      <c r="E1031" t="s">
        <v>4105</v>
      </c>
      <c r="F1031" t="s">
        <v>514</v>
      </c>
      <c r="G1031" t="s">
        <v>69</v>
      </c>
      <c r="H1031" t="s">
        <v>70</v>
      </c>
      <c r="I1031" t="s">
        <v>34</v>
      </c>
      <c r="J1031" t="s">
        <v>139</v>
      </c>
      <c r="K1031" t="s">
        <v>41</v>
      </c>
      <c r="L1031" t="s">
        <v>71</v>
      </c>
      <c r="M1031" t="s">
        <v>5410</v>
      </c>
      <c r="N1031" t="s">
        <v>516</v>
      </c>
      <c r="O1031" t="s">
        <v>64</v>
      </c>
      <c r="P1031" t="s">
        <v>5411</v>
      </c>
      <c r="Q1031" t="s">
        <v>77</v>
      </c>
      <c r="R1031" t="s">
        <v>5136</v>
      </c>
      <c r="S1031">
        <v>7.41</v>
      </c>
      <c r="T1031">
        <v>5255</v>
      </c>
      <c r="U1031">
        <v>0</v>
      </c>
      <c r="V1031">
        <v>5255</v>
      </c>
    </row>
    <row r="1032" spans="1:22" x14ac:dyDescent="0.3">
      <c r="A1032">
        <v>80147</v>
      </c>
      <c r="B1032">
        <v>137669787</v>
      </c>
      <c r="C1032" t="s">
        <v>5412</v>
      </c>
      <c r="D1032" t="s">
        <v>5413</v>
      </c>
      <c r="E1032" t="s">
        <v>4105</v>
      </c>
      <c r="F1032" t="s">
        <v>514</v>
      </c>
      <c r="G1032" t="s">
        <v>69</v>
      </c>
      <c r="H1032" t="s">
        <v>70</v>
      </c>
      <c r="I1032" t="s">
        <v>34</v>
      </c>
      <c r="J1032" t="s">
        <v>139</v>
      </c>
      <c r="K1032" t="s">
        <v>41</v>
      </c>
      <c r="L1032" t="s">
        <v>71</v>
      </c>
      <c r="M1032" t="s">
        <v>5414</v>
      </c>
      <c r="N1032" t="s">
        <v>516</v>
      </c>
      <c r="O1032" t="s">
        <v>64</v>
      </c>
      <c r="P1032" t="s">
        <v>5415</v>
      </c>
      <c r="Q1032" t="s">
        <v>115</v>
      </c>
      <c r="R1032" t="s">
        <v>4422</v>
      </c>
      <c r="S1032">
        <v>9.15</v>
      </c>
      <c r="T1032">
        <v>10173</v>
      </c>
      <c r="U1032">
        <v>0</v>
      </c>
      <c r="V1032">
        <v>10173</v>
      </c>
    </row>
    <row r="1033" spans="1:22" x14ac:dyDescent="0.3">
      <c r="A1033">
        <v>80147</v>
      </c>
      <c r="B1033">
        <v>137701823</v>
      </c>
      <c r="C1033" t="s">
        <v>5416</v>
      </c>
      <c r="D1033" t="s">
        <v>5417</v>
      </c>
      <c r="E1033" t="s">
        <v>4105</v>
      </c>
      <c r="F1033" t="s">
        <v>514</v>
      </c>
      <c r="G1033" t="s">
        <v>69</v>
      </c>
      <c r="H1033" t="s">
        <v>70</v>
      </c>
      <c r="I1033" t="s">
        <v>34</v>
      </c>
      <c r="J1033" t="s">
        <v>139</v>
      </c>
      <c r="K1033" t="s">
        <v>41</v>
      </c>
      <c r="L1033" t="s">
        <v>71</v>
      </c>
      <c r="M1033" t="s">
        <v>5301</v>
      </c>
      <c r="N1033" t="s">
        <v>516</v>
      </c>
      <c r="O1033" t="s">
        <v>64</v>
      </c>
      <c r="P1033" t="s">
        <v>5302</v>
      </c>
      <c r="Q1033" t="s">
        <v>191</v>
      </c>
      <c r="R1033" t="s">
        <v>4845</v>
      </c>
      <c r="S1033">
        <v>7.52</v>
      </c>
      <c r="T1033">
        <v>10865</v>
      </c>
      <c r="U1033">
        <v>0</v>
      </c>
      <c r="V1033">
        <v>10865</v>
      </c>
    </row>
    <row r="1034" spans="1:22" x14ac:dyDescent="0.3">
      <c r="A1034">
        <v>80147</v>
      </c>
      <c r="B1034">
        <v>137820787</v>
      </c>
      <c r="C1034" t="s">
        <v>5418</v>
      </c>
      <c r="D1034" t="s">
        <v>5419</v>
      </c>
      <c r="E1034" t="s">
        <v>4105</v>
      </c>
      <c r="F1034" t="s">
        <v>514</v>
      </c>
      <c r="G1034" t="s">
        <v>69</v>
      </c>
      <c r="H1034" t="s">
        <v>70</v>
      </c>
      <c r="I1034" t="s">
        <v>34</v>
      </c>
      <c r="J1034" t="s">
        <v>139</v>
      </c>
      <c r="K1034" t="s">
        <v>41</v>
      </c>
      <c r="L1034" t="s">
        <v>71</v>
      </c>
      <c r="M1034" t="s">
        <v>5420</v>
      </c>
      <c r="N1034" t="s">
        <v>516</v>
      </c>
      <c r="O1034" t="s">
        <v>64</v>
      </c>
      <c r="P1034" t="s">
        <v>5421</v>
      </c>
      <c r="Q1034" t="s">
        <v>115</v>
      </c>
      <c r="R1034" t="s">
        <v>4865</v>
      </c>
      <c r="S1034">
        <v>9.5399999999999991</v>
      </c>
      <c r="T1034">
        <v>10173</v>
      </c>
      <c r="U1034">
        <v>0</v>
      </c>
      <c r="V1034">
        <v>10173</v>
      </c>
    </row>
    <row r="1035" spans="1:22" x14ac:dyDescent="0.3">
      <c r="A1035">
        <v>80147</v>
      </c>
      <c r="B1035">
        <v>137757310</v>
      </c>
      <c r="C1035" t="s">
        <v>5422</v>
      </c>
      <c r="D1035" t="s">
        <v>5423</v>
      </c>
      <c r="E1035" t="s">
        <v>4105</v>
      </c>
      <c r="F1035" t="s">
        <v>514</v>
      </c>
      <c r="G1035" t="s">
        <v>69</v>
      </c>
      <c r="H1035" t="s">
        <v>70</v>
      </c>
      <c r="I1035" t="s">
        <v>34</v>
      </c>
      <c r="J1035" t="s">
        <v>139</v>
      </c>
      <c r="K1035" t="s">
        <v>41</v>
      </c>
      <c r="L1035" t="s">
        <v>71</v>
      </c>
      <c r="M1035" t="s">
        <v>5424</v>
      </c>
      <c r="N1035" t="s">
        <v>516</v>
      </c>
      <c r="O1035" t="s">
        <v>64</v>
      </c>
      <c r="P1035" t="s">
        <v>5425</v>
      </c>
      <c r="Q1035" t="s">
        <v>190</v>
      </c>
      <c r="R1035" t="s">
        <v>4839</v>
      </c>
      <c r="S1035">
        <v>6.32</v>
      </c>
      <c r="T1035">
        <v>9706</v>
      </c>
      <c r="U1035">
        <v>0</v>
      </c>
      <c r="V1035">
        <v>9706</v>
      </c>
    </row>
    <row r="1036" spans="1:22" x14ac:dyDescent="0.3">
      <c r="A1036">
        <v>80147</v>
      </c>
      <c r="B1036">
        <v>137556556</v>
      </c>
      <c r="C1036" t="s">
        <v>5426</v>
      </c>
      <c r="D1036" t="s">
        <v>5427</v>
      </c>
      <c r="E1036" t="s">
        <v>4105</v>
      </c>
      <c r="F1036" t="s">
        <v>514</v>
      </c>
      <c r="G1036" t="s">
        <v>69</v>
      </c>
      <c r="H1036" t="s">
        <v>70</v>
      </c>
      <c r="I1036" t="s">
        <v>34</v>
      </c>
      <c r="J1036" t="s">
        <v>139</v>
      </c>
      <c r="K1036" t="s">
        <v>41</v>
      </c>
      <c r="L1036" t="s">
        <v>71</v>
      </c>
      <c r="M1036" t="s">
        <v>5428</v>
      </c>
      <c r="N1036" t="s">
        <v>516</v>
      </c>
      <c r="O1036" t="s">
        <v>64</v>
      </c>
      <c r="P1036" t="s">
        <v>5429</v>
      </c>
      <c r="Q1036" t="s">
        <v>117</v>
      </c>
      <c r="R1036" t="s">
        <v>5136</v>
      </c>
      <c r="S1036">
        <v>7.32</v>
      </c>
      <c r="T1036">
        <v>9333</v>
      </c>
      <c r="U1036">
        <v>0</v>
      </c>
      <c r="V1036">
        <v>9333</v>
      </c>
    </row>
    <row r="1037" spans="1:22" x14ac:dyDescent="0.3">
      <c r="A1037">
        <v>187694</v>
      </c>
      <c r="B1037">
        <v>138559826</v>
      </c>
      <c r="C1037" t="s">
        <v>5430</v>
      </c>
      <c r="D1037" t="s">
        <v>5431</v>
      </c>
      <c r="E1037" t="s">
        <v>5432</v>
      </c>
      <c r="F1037" t="s">
        <v>514</v>
      </c>
      <c r="G1037" t="s">
        <v>43</v>
      </c>
      <c r="H1037" t="s">
        <v>44</v>
      </c>
      <c r="I1037" t="s">
        <v>34</v>
      </c>
      <c r="J1037" t="s">
        <v>45</v>
      </c>
      <c r="K1037" t="s">
        <v>41</v>
      </c>
      <c r="L1037" t="s">
        <v>5433</v>
      </c>
      <c r="M1037" t="s">
        <v>5434</v>
      </c>
      <c r="N1037" t="s">
        <v>516</v>
      </c>
      <c r="O1037" t="s">
        <v>64</v>
      </c>
      <c r="P1037" t="s">
        <v>5435</v>
      </c>
      <c r="Q1037" t="s">
        <v>61</v>
      </c>
      <c r="R1037" t="s">
        <v>264</v>
      </c>
      <c r="S1037">
        <v>1.52</v>
      </c>
      <c r="T1037">
        <v>3501</v>
      </c>
      <c r="U1037">
        <v>0</v>
      </c>
      <c r="V1037">
        <v>3501</v>
      </c>
    </row>
    <row r="1038" spans="1:22" x14ac:dyDescent="0.3">
      <c r="A1038">
        <v>187694</v>
      </c>
      <c r="B1038">
        <v>138443256</v>
      </c>
      <c r="C1038" t="s">
        <v>5436</v>
      </c>
      <c r="D1038" t="s">
        <v>5437</v>
      </c>
      <c r="E1038" t="s">
        <v>5432</v>
      </c>
      <c r="F1038" t="s">
        <v>514</v>
      </c>
      <c r="G1038" t="s">
        <v>43</v>
      </c>
      <c r="H1038" t="s">
        <v>44</v>
      </c>
      <c r="I1038" t="s">
        <v>34</v>
      </c>
      <c r="J1038" t="s">
        <v>45</v>
      </c>
      <c r="K1038" t="s">
        <v>54</v>
      </c>
      <c r="L1038" t="s">
        <v>55</v>
      </c>
      <c r="M1038" t="s">
        <v>5438</v>
      </c>
      <c r="N1038" t="s">
        <v>516</v>
      </c>
      <c r="O1038" t="s">
        <v>64</v>
      </c>
      <c r="P1038" t="s">
        <v>5439</v>
      </c>
      <c r="Q1038" t="s">
        <v>46</v>
      </c>
      <c r="R1038" t="s">
        <v>5440</v>
      </c>
      <c r="S1038">
        <v>0.42</v>
      </c>
      <c r="T1038">
        <v>3431</v>
      </c>
      <c r="U1038">
        <v>0</v>
      </c>
      <c r="V1038">
        <v>3431</v>
      </c>
    </row>
    <row r="1039" spans="1:22" x14ac:dyDescent="0.3">
      <c r="A1039">
        <v>187694</v>
      </c>
      <c r="B1039">
        <v>138324690</v>
      </c>
      <c r="C1039" t="s">
        <v>5441</v>
      </c>
      <c r="D1039" t="s">
        <v>5442</v>
      </c>
      <c r="E1039" t="s">
        <v>5432</v>
      </c>
      <c r="F1039" t="s">
        <v>514</v>
      </c>
      <c r="G1039" t="s">
        <v>43</v>
      </c>
      <c r="H1039" t="s">
        <v>44</v>
      </c>
      <c r="I1039" t="s">
        <v>34</v>
      </c>
      <c r="J1039" t="s">
        <v>45</v>
      </c>
      <c r="K1039" t="s">
        <v>41</v>
      </c>
      <c r="L1039" t="s">
        <v>5443</v>
      </c>
      <c r="M1039" t="s">
        <v>5438</v>
      </c>
      <c r="N1039" t="s">
        <v>516</v>
      </c>
      <c r="O1039" t="s">
        <v>64</v>
      </c>
      <c r="P1039" t="s">
        <v>5439</v>
      </c>
      <c r="Q1039" t="s">
        <v>46</v>
      </c>
      <c r="R1039" t="s">
        <v>5444</v>
      </c>
      <c r="S1039">
        <v>1.1599999999999999</v>
      </c>
      <c r="T1039">
        <v>3501</v>
      </c>
      <c r="U1039">
        <v>0</v>
      </c>
      <c r="V1039">
        <v>3501</v>
      </c>
    </row>
    <row r="1040" spans="1:22" x14ac:dyDescent="0.3">
      <c r="A1040">
        <v>187694</v>
      </c>
      <c r="B1040">
        <v>138080074</v>
      </c>
      <c r="C1040" t="s">
        <v>5445</v>
      </c>
      <c r="D1040" t="s">
        <v>5446</v>
      </c>
      <c r="E1040" t="s">
        <v>5432</v>
      </c>
      <c r="F1040" t="s">
        <v>514</v>
      </c>
      <c r="G1040" t="s">
        <v>43</v>
      </c>
      <c r="H1040" t="s">
        <v>44</v>
      </c>
      <c r="I1040" t="s">
        <v>34</v>
      </c>
      <c r="J1040" t="s">
        <v>45</v>
      </c>
      <c r="K1040" t="s">
        <v>41</v>
      </c>
      <c r="L1040" t="s">
        <v>5447</v>
      </c>
      <c r="M1040" t="s">
        <v>5448</v>
      </c>
      <c r="N1040" t="s">
        <v>516</v>
      </c>
      <c r="O1040" t="s">
        <v>64</v>
      </c>
      <c r="P1040" t="s">
        <v>5449</v>
      </c>
      <c r="Q1040" t="s">
        <v>90</v>
      </c>
      <c r="R1040" t="s">
        <v>510</v>
      </c>
      <c r="S1040">
        <v>2.2999999999999998</v>
      </c>
      <c r="T1040">
        <v>3904</v>
      </c>
      <c r="U1040">
        <v>0</v>
      </c>
      <c r="V1040">
        <v>3904</v>
      </c>
    </row>
    <row r="1041" spans="1:22" x14ac:dyDescent="0.3">
      <c r="A1041">
        <v>187694</v>
      </c>
      <c r="B1041">
        <v>137992312</v>
      </c>
      <c r="C1041" t="s">
        <v>5450</v>
      </c>
      <c r="D1041" t="s">
        <v>5451</v>
      </c>
      <c r="E1041" t="s">
        <v>5432</v>
      </c>
      <c r="F1041" t="s">
        <v>514</v>
      </c>
      <c r="G1041" t="s">
        <v>43</v>
      </c>
      <c r="H1041" t="s">
        <v>44</v>
      </c>
      <c r="I1041" t="s">
        <v>34</v>
      </c>
      <c r="J1041" t="s">
        <v>45</v>
      </c>
      <c r="K1041" t="s">
        <v>41</v>
      </c>
      <c r="L1041" t="s">
        <v>284</v>
      </c>
      <c r="M1041" t="s">
        <v>5452</v>
      </c>
      <c r="N1041" t="s">
        <v>516</v>
      </c>
      <c r="O1041" t="s">
        <v>64</v>
      </c>
      <c r="P1041" t="s">
        <v>5453</v>
      </c>
      <c r="Q1041" t="s">
        <v>230</v>
      </c>
      <c r="R1041" t="s">
        <v>5454</v>
      </c>
      <c r="S1041">
        <v>1.2</v>
      </c>
      <c r="T1041">
        <v>4230</v>
      </c>
      <c r="U1041">
        <v>0</v>
      </c>
      <c r="V1041">
        <v>4230</v>
      </c>
    </row>
    <row r="1042" spans="1:22" x14ac:dyDescent="0.3">
      <c r="A1042">
        <v>187694</v>
      </c>
      <c r="B1042">
        <v>137857786</v>
      </c>
      <c r="C1042" t="s">
        <v>5455</v>
      </c>
      <c r="D1042" t="s">
        <v>5456</v>
      </c>
      <c r="E1042" t="s">
        <v>5432</v>
      </c>
      <c r="F1042" t="s">
        <v>514</v>
      </c>
      <c r="G1042" t="s">
        <v>43</v>
      </c>
      <c r="H1042" t="s">
        <v>44</v>
      </c>
      <c r="I1042" t="s">
        <v>34</v>
      </c>
      <c r="J1042" t="s">
        <v>45</v>
      </c>
      <c r="K1042" t="s">
        <v>41</v>
      </c>
      <c r="L1042" t="s">
        <v>5457</v>
      </c>
      <c r="M1042" t="s">
        <v>5458</v>
      </c>
      <c r="N1042" t="s">
        <v>516</v>
      </c>
      <c r="O1042" t="s">
        <v>64</v>
      </c>
      <c r="P1042" t="s">
        <v>5459</v>
      </c>
      <c r="Q1042" t="s">
        <v>60</v>
      </c>
      <c r="R1042" t="s">
        <v>5460</v>
      </c>
      <c r="S1042">
        <v>2.2999999999999998</v>
      </c>
      <c r="T1042">
        <v>4520</v>
      </c>
      <c r="U1042">
        <v>0</v>
      </c>
      <c r="V1042">
        <v>4520</v>
      </c>
    </row>
    <row r="1043" spans="1:22" x14ac:dyDescent="0.3">
      <c r="A1043">
        <v>187694</v>
      </c>
      <c r="B1043">
        <v>137857791</v>
      </c>
      <c r="C1043" t="s">
        <v>5461</v>
      </c>
      <c r="D1043" t="s">
        <v>5462</v>
      </c>
      <c r="E1043" t="s">
        <v>5432</v>
      </c>
      <c r="F1043" t="s">
        <v>514</v>
      </c>
      <c r="G1043" t="s">
        <v>43</v>
      </c>
      <c r="H1043" t="s">
        <v>44</v>
      </c>
      <c r="I1043" t="s">
        <v>34</v>
      </c>
      <c r="J1043" t="s">
        <v>45</v>
      </c>
      <c r="K1043" t="s">
        <v>41</v>
      </c>
      <c r="L1043" t="s">
        <v>5463</v>
      </c>
      <c r="M1043" t="s">
        <v>5464</v>
      </c>
      <c r="N1043" t="s">
        <v>516</v>
      </c>
      <c r="O1043" t="s">
        <v>64</v>
      </c>
      <c r="P1043" t="s">
        <v>5465</v>
      </c>
      <c r="Q1043" t="s">
        <v>118</v>
      </c>
      <c r="R1043" t="s">
        <v>5460</v>
      </c>
      <c r="S1043">
        <v>1.48</v>
      </c>
      <c r="T1043">
        <v>4230</v>
      </c>
      <c r="U1043">
        <v>0</v>
      </c>
      <c r="V1043">
        <v>4230</v>
      </c>
    </row>
    <row r="1044" spans="1:22" x14ac:dyDescent="0.3">
      <c r="A1044">
        <v>187694</v>
      </c>
      <c r="B1044">
        <v>137739916</v>
      </c>
      <c r="C1044" t="s">
        <v>5466</v>
      </c>
      <c r="D1044" t="s">
        <v>5467</v>
      </c>
      <c r="E1044" t="s">
        <v>5432</v>
      </c>
      <c r="F1044" t="s">
        <v>514</v>
      </c>
      <c r="G1044" t="s">
        <v>43</v>
      </c>
      <c r="H1044" t="s">
        <v>44</v>
      </c>
      <c r="I1044" t="s">
        <v>34</v>
      </c>
      <c r="J1044" t="s">
        <v>45</v>
      </c>
      <c r="K1044" t="s">
        <v>41</v>
      </c>
      <c r="L1044" t="s">
        <v>5468</v>
      </c>
      <c r="M1044" t="s">
        <v>5469</v>
      </c>
      <c r="N1044" t="s">
        <v>516</v>
      </c>
      <c r="O1044" t="s">
        <v>64</v>
      </c>
      <c r="P1044" t="s">
        <v>5470</v>
      </c>
      <c r="Q1044" t="s">
        <v>42</v>
      </c>
      <c r="R1044" t="s">
        <v>5471</v>
      </c>
      <c r="S1044">
        <v>2.0499999999999998</v>
      </c>
      <c r="T1044">
        <v>3784</v>
      </c>
      <c r="U1044">
        <v>0</v>
      </c>
      <c r="V1044">
        <v>3784</v>
      </c>
    </row>
    <row r="1045" spans="1:22" x14ac:dyDescent="0.3">
      <c r="A1045">
        <v>187694</v>
      </c>
      <c r="B1045">
        <v>137646271</v>
      </c>
      <c r="C1045" t="s">
        <v>5472</v>
      </c>
      <c r="D1045" t="s">
        <v>5473</v>
      </c>
      <c r="E1045" t="s">
        <v>5432</v>
      </c>
      <c r="F1045" t="s">
        <v>514</v>
      </c>
      <c r="G1045" t="s">
        <v>43</v>
      </c>
      <c r="H1045" t="s">
        <v>44</v>
      </c>
      <c r="I1045" t="s">
        <v>34</v>
      </c>
      <c r="J1045" t="s">
        <v>45</v>
      </c>
      <c r="K1045" t="s">
        <v>41</v>
      </c>
      <c r="L1045" t="s">
        <v>5474</v>
      </c>
      <c r="M1045" t="s">
        <v>5475</v>
      </c>
      <c r="N1045" t="s">
        <v>516</v>
      </c>
      <c r="O1045" t="s">
        <v>64</v>
      </c>
      <c r="P1045" t="s">
        <v>5476</v>
      </c>
      <c r="Q1045" t="s">
        <v>82</v>
      </c>
      <c r="R1045" t="s">
        <v>259</v>
      </c>
      <c r="S1045">
        <v>4.8099999999999996</v>
      </c>
      <c r="T1045">
        <v>8008</v>
      </c>
      <c r="U1045">
        <v>0</v>
      </c>
      <c r="V1045">
        <v>8008</v>
      </c>
    </row>
    <row r="1046" spans="1:22" x14ac:dyDescent="0.3">
      <c r="A1046">
        <v>187694</v>
      </c>
      <c r="B1046">
        <v>137646268</v>
      </c>
      <c r="C1046" t="s">
        <v>5477</v>
      </c>
      <c r="D1046" t="s">
        <v>5478</v>
      </c>
      <c r="E1046" t="s">
        <v>5432</v>
      </c>
      <c r="F1046" t="s">
        <v>514</v>
      </c>
      <c r="G1046" t="s">
        <v>43</v>
      </c>
      <c r="H1046" t="s">
        <v>44</v>
      </c>
      <c r="I1046" t="s">
        <v>34</v>
      </c>
      <c r="J1046" t="s">
        <v>45</v>
      </c>
      <c r="K1046" t="s">
        <v>41</v>
      </c>
      <c r="L1046" t="s">
        <v>5479</v>
      </c>
      <c r="M1046" t="s">
        <v>5480</v>
      </c>
      <c r="N1046" t="s">
        <v>516</v>
      </c>
      <c r="O1046" t="s">
        <v>64</v>
      </c>
      <c r="P1046" t="s">
        <v>5481</v>
      </c>
      <c r="Q1046" t="s">
        <v>73</v>
      </c>
      <c r="R1046" t="s">
        <v>259</v>
      </c>
      <c r="S1046">
        <v>0.62</v>
      </c>
      <c r="T1046">
        <v>3753</v>
      </c>
      <c r="U1046">
        <v>0</v>
      </c>
      <c r="V1046">
        <v>3753</v>
      </c>
    </row>
    <row r="1047" spans="1:22" x14ac:dyDescent="0.3">
      <c r="A1047">
        <v>187694</v>
      </c>
      <c r="B1047">
        <v>137646267</v>
      </c>
      <c r="C1047" t="s">
        <v>5482</v>
      </c>
      <c r="D1047" t="s">
        <v>5483</v>
      </c>
      <c r="E1047" t="s">
        <v>5432</v>
      </c>
      <c r="F1047" t="s">
        <v>514</v>
      </c>
      <c r="G1047" t="s">
        <v>43</v>
      </c>
      <c r="H1047" t="s">
        <v>44</v>
      </c>
      <c r="I1047" t="s">
        <v>34</v>
      </c>
      <c r="J1047" t="s">
        <v>45</v>
      </c>
      <c r="K1047" t="s">
        <v>41</v>
      </c>
      <c r="L1047" t="s">
        <v>5484</v>
      </c>
      <c r="M1047" t="s">
        <v>5485</v>
      </c>
      <c r="N1047" t="s">
        <v>516</v>
      </c>
      <c r="O1047" t="s">
        <v>64</v>
      </c>
      <c r="P1047" t="s">
        <v>5481</v>
      </c>
      <c r="Q1047" t="s">
        <v>73</v>
      </c>
      <c r="R1047" t="s">
        <v>259</v>
      </c>
      <c r="S1047">
        <v>2.6</v>
      </c>
      <c r="T1047">
        <v>3753</v>
      </c>
      <c r="U1047">
        <v>0</v>
      </c>
      <c r="V1047">
        <v>3753</v>
      </c>
    </row>
    <row r="1048" spans="1:22" x14ac:dyDescent="0.3">
      <c r="A1048">
        <v>152577</v>
      </c>
      <c r="B1048">
        <v>135126194</v>
      </c>
      <c r="C1048" t="s">
        <v>5486</v>
      </c>
      <c r="D1048" t="s">
        <v>5487</v>
      </c>
      <c r="E1048" t="s">
        <v>5488</v>
      </c>
      <c r="F1048" t="s">
        <v>514</v>
      </c>
      <c r="G1048" t="s">
        <v>43</v>
      </c>
      <c r="H1048" t="s">
        <v>44</v>
      </c>
      <c r="I1048" t="s">
        <v>34</v>
      </c>
      <c r="J1048" t="s">
        <v>45</v>
      </c>
      <c r="K1048" t="s">
        <v>127</v>
      </c>
      <c r="L1048" t="s">
        <v>353</v>
      </c>
      <c r="M1048" t="s">
        <v>5489</v>
      </c>
      <c r="N1048" t="s">
        <v>516</v>
      </c>
      <c r="O1048" t="s">
        <v>64</v>
      </c>
      <c r="P1048" t="s">
        <v>5490</v>
      </c>
      <c r="Q1048" t="s">
        <v>212</v>
      </c>
      <c r="R1048" t="s">
        <v>5491</v>
      </c>
      <c r="S1048">
        <v>1.89</v>
      </c>
      <c r="T1048">
        <v>10714.29</v>
      </c>
      <c r="U1048">
        <v>0</v>
      </c>
      <c r="V1048">
        <v>10714.29</v>
      </c>
    </row>
    <row r="1049" spans="1:22" x14ac:dyDescent="0.3">
      <c r="A1049">
        <v>187830</v>
      </c>
      <c r="B1049">
        <v>137359949</v>
      </c>
      <c r="C1049" t="s">
        <v>5492</v>
      </c>
      <c r="D1049" t="s">
        <v>5493</v>
      </c>
      <c r="E1049" t="s">
        <v>5494</v>
      </c>
      <c r="F1049" t="s">
        <v>514</v>
      </c>
      <c r="G1049" t="s">
        <v>43</v>
      </c>
      <c r="H1049" t="s">
        <v>44</v>
      </c>
      <c r="I1049" t="s">
        <v>34</v>
      </c>
      <c r="J1049" t="s">
        <v>45</v>
      </c>
      <c r="K1049" t="s">
        <v>54</v>
      </c>
      <c r="L1049" t="s">
        <v>55</v>
      </c>
      <c r="M1049" t="s">
        <v>5495</v>
      </c>
      <c r="N1049" t="s">
        <v>516</v>
      </c>
      <c r="O1049" t="s">
        <v>64</v>
      </c>
      <c r="P1049" t="s">
        <v>5496</v>
      </c>
      <c r="Q1049" t="s">
        <v>53</v>
      </c>
      <c r="R1049" t="s">
        <v>5497</v>
      </c>
      <c r="S1049">
        <v>0.22</v>
      </c>
      <c r="T1049">
        <v>3449</v>
      </c>
      <c r="U1049">
        <v>0</v>
      </c>
      <c r="V1049">
        <v>3449</v>
      </c>
    </row>
    <row r="1050" spans="1:22" x14ac:dyDescent="0.3">
      <c r="A1050">
        <v>187830</v>
      </c>
      <c r="B1050">
        <v>138498438</v>
      </c>
      <c r="C1050" t="s">
        <v>5498</v>
      </c>
      <c r="D1050" t="s">
        <v>5499</v>
      </c>
      <c r="E1050" t="s">
        <v>5494</v>
      </c>
      <c r="F1050" t="s">
        <v>514</v>
      </c>
      <c r="G1050" t="s">
        <v>43</v>
      </c>
      <c r="H1050" t="s">
        <v>44</v>
      </c>
      <c r="I1050" t="s">
        <v>34</v>
      </c>
      <c r="J1050" t="s">
        <v>45</v>
      </c>
      <c r="K1050" t="s">
        <v>41</v>
      </c>
      <c r="L1050" t="s">
        <v>5500</v>
      </c>
      <c r="M1050" t="s">
        <v>5501</v>
      </c>
      <c r="N1050" t="s">
        <v>516</v>
      </c>
      <c r="O1050" t="s">
        <v>64</v>
      </c>
      <c r="P1050" t="s">
        <v>5502</v>
      </c>
      <c r="Q1050" t="s">
        <v>108</v>
      </c>
      <c r="R1050" t="s">
        <v>5503</v>
      </c>
      <c r="S1050">
        <v>0.57999999999999996</v>
      </c>
      <c r="T1050">
        <v>3501</v>
      </c>
      <c r="U1050">
        <v>0</v>
      </c>
      <c r="V1050">
        <v>3501</v>
      </c>
    </row>
    <row r="1051" spans="1:22" x14ac:dyDescent="0.3">
      <c r="A1051">
        <v>187830</v>
      </c>
      <c r="B1051">
        <v>138373839</v>
      </c>
      <c r="C1051" t="s">
        <v>5504</v>
      </c>
      <c r="D1051" t="s">
        <v>5505</v>
      </c>
      <c r="E1051" t="s">
        <v>5494</v>
      </c>
      <c r="F1051" t="s">
        <v>514</v>
      </c>
      <c r="G1051" t="s">
        <v>43</v>
      </c>
      <c r="H1051" t="s">
        <v>44</v>
      </c>
      <c r="I1051" t="s">
        <v>34</v>
      </c>
      <c r="J1051" t="s">
        <v>45</v>
      </c>
      <c r="K1051" t="s">
        <v>41</v>
      </c>
      <c r="L1051" t="s">
        <v>5506</v>
      </c>
      <c r="M1051" t="s">
        <v>5507</v>
      </c>
      <c r="N1051" t="s">
        <v>516</v>
      </c>
      <c r="O1051" t="s">
        <v>64</v>
      </c>
      <c r="P1051" t="s">
        <v>5508</v>
      </c>
      <c r="Q1051" t="s">
        <v>98</v>
      </c>
      <c r="R1051" t="s">
        <v>5509</v>
      </c>
      <c r="S1051">
        <v>1.07</v>
      </c>
      <c r="T1051">
        <v>5990</v>
      </c>
      <c r="U1051">
        <v>0</v>
      </c>
      <c r="V1051">
        <v>5990</v>
      </c>
    </row>
    <row r="1052" spans="1:22" x14ac:dyDescent="0.3">
      <c r="A1052">
        <v>187830</v>
      </c>
      <c r="B1052">
        <v>138373840</v>
      </c>
      <c r="C1052" t="s">
        <v>5510</v>
      </c>
      <c r="D1052" t="s">
        <v>5511</v>
      </c>
      <c r="E1052" t="s">
        <v>5494</v>
      </c>
      <c r="F1052" t="s">
        <v>514</v>
      </c>
      <c r="G1052" t="s">
        <v>43</v>
      </c>
      <c r="H1052" t="s">
        <v>44</v>
      </c>
      <c r="I1052" t="s">
        <v>34</v>
      </c>
      <c r="J1052" t="s">
        <v>45</v>
      </c>
      <c r="K1052" t="s">
        <v>41</v>
      </c>
      <c r="L1052" t="s">
        <v>5512</v>
      </c>
      <c r="M1052" t="s">
        <v>5513</v>
      </c>
      <c r="N1052" t="s">
        <v>516</v>
      </c>
      <c r="O1052" t="s">
        <v>64</v>
      </c>
      <c r="P1052" t="s">
        <v>5514</v>
      </c>
      <c r="Q1052" t="s">
        <v>108</v>
      </c>
      <c r="R1052" t="s">
        <v>5509</v>
      </c>
      <c r="S1052">
        <v>0.56999999999999995</v>
      </c>
      <c r="T1052">
        <v>3501</v>
      </c>
      <c r="U1052">
        <v>0</v>
      </c>
      <c r="V1052">
        <v>3501</v>
      </c>
    </row>
    <row r="1053" spans="1:22" x14ac:dyDescent="0.3">
      <c r="A1053">
        <v>187830</v>
      </c>
      <c r="B1053">
        <v>138459127</v>
      </c>
      <c r="C1053" t="s">
        <v>5515</v>
      </c>
      <c r="D1053" t="s">
        <v>5516</v>
      </c>
      <c r="E1053" t="s">
        <v>5494</v>
      </c>
      <c r="F1053" t="s">
        <v>514</v>
      </c>
      <c r="G1053" t="s">
        <v>43</v>
      </c>
      <c r="H1053" t="s">
        <v>44</v>
      </c>
      <c r="I1053" t="s">
        <v>34</v>
      </c>
      <c r="J1053" t="s">
        <v>45</v>
      </c>
      <c r="K1053" t="s">
        <v>41</v>
      </c>
      <c r="L1053" t="s">
        <v>5517</v>
      </c>
      <c r="M1053" t="s">
        <v>5518</v>
      </c>
      <c r="N1053" t="s">
        <v>516</v>
      </c>
      <c r="O1053" t="s">
        <v>64</v>
      </c>
      <c r="P1053" t="s">
        <v>5519</v>
      </c>
      <c r="Q1053" t="s">
        <v>50</v>
      </c>
      <c r="R1053" t="s">
        <v>5520</v>
      </c>
      <c r="S1053">
        <v>3.31</v>
      </c>
      <c r="T1053">
        <v>7784</v>
      </c>
      <c r="U1053">
        <v>0</v>
      </c>
      <c r="V1053">
        <v>7784</v>
      </c>
    </row>
    <row r="1054" spans="1:22" x14ac:dyDescent="0.3">
      <c r="A1054">
        <v>187830</v>
      </c>
      <c r="B1054">
        <v>138498441</v>
      </c>
      <c r="C1054" t="s">
        <v>5521</v>
      </c>
      <c r="D1054" t="s">
        <v>5522</v>
      </c>
      <c r="E1054" t="s">
        <v>5494</v>
      </c>
      <c r="F1054" t="s">
        <v>514</v>
      </c>
      <c r="G1054" t="s">
        <v>43</v>
      </c>
      <c r="H1054" t="s">
        <v>44</v>
      </c>
      <c r="I1054" t="s">
        <v>34</v>
      </c>
      <c r="J1054" t="s">
        <v>45</v>
      </c>
      <c r="K1054" t="s">
        <v>41</v>
      </c>
      <c r="L1054" t="s">
        <v>5523</v>
      </c>
      <c r="M1054" t="s">
        <v>5524</v>
      </c>
      <c r="N1054" t="s">
        <v>516</v>
      </c>
      <c r="O1054" t="s">
        <v>64</v>
      </c>
      <c r="P1054" t="s">
        <v>5525</v>
      </c>
      <c r="Q1054" t="s">
        <v>46</v>
      </c>
      <c r="R1054" t="s">
        <v>5503</v>
      </c>
      <c r="S1054">
        <v>2.2000000000000002</v>
      </c>
      <c r="T1054">
        <v>3501</v>
      </c>
      <c r="U1054">
        <v>0</v>
      </c>
      <c r="V1054">
        <v>3501</v>
      </c>
    </row>
    <row r="1055" spans="1:22" x14ac:dyDescent="0.3">
      <c r="A1055">
        <v>187830</v>
      </c>
      <c r="B1055">
        <v>138517347</v>
      </c>
      <c r="C1055" t="s">
        <v>5526</v>
      </c>
      <c r="D1055" t="s">
        <v>5527</v>
      </c>
      <c r="E1055" t="s">
        <v>5494</v>
      </c>
      <c r="F1055" t="s">
        <v>514</v>
      </c>
      <c r="G1055" t="s">
        <v>43</v>
      </c>
      <c r="H1055" t="s">
        <v>44</v>
      </c>
      <c r="I1055" t="s">
        <v>34</v>
      </c>
      <c r="J1055" t="s">
        <v>45</v>
      </c>
      <c r="K1055" t="s">
        <v>41</v>
      </c>
      <c r="L1055" t="s">
        <v>5528</v>
      </c>
      <c r="M1055" t="s">
        <v>5529</v>
      </c>
      <c r="N1055" t="s">
        <v>516</v>
      </c>
      <c r="O1055" t="s">
        <v>64</v>
      </c>
      <c r="P1055" t="s">
        <v>5530</v>
      </c>
      <c r="Q1055" t="s">
        <v>56</v>
      </c>
      <c r="R1055" t="s">
        <v>390</v>
      </c>
      <c r="S1055">
        <v>1</v>
      </c>
      <c r="T1055">
        <v>3904</v>
      </c>
      <c r="U1055">
        <v>0</v>
      </c>
      <c r="V1055">
        <v>3904</v>
      </c>
    </row>
    <row r="1056" spans="1:22" x14ac:dyDescent="0.3">
      <c r="A1056">
        <v>187830</v>
      </c>
      <c r="B1056">
        <v>138517346</v>
      </c>
      <c r="C1056" t="s">
        <v>5531</v>
      </c>
      <c r="D1056" t="s">
        <v>5532</v>
      </c>
      <c r="E1056" t="s">
        <v>5494</v>
      </c>
      <c r="F1056" t="s">
        <v>514</v>
      </c>
      <c r="G1056" t="s">
        <v>43</v>
      </c>
      <c r="H1056" t="s">
        <v>44</v>
      </c>
      <c r="I1056" t="s">
        <v>34</v>
      </c>
      <c r="J1056" t="s">
        <v>45</v>
      </c>
      <c r="K1056" t="s">
        <v>41</v>
      </c>
      <c r="L1056" t="s">
        <v>5533</v>
      </c>
      <c r="M1056" t="s">
        <v>5534</v>
      </c>
      <c r="N1056" t="s">
        <v>516</v>
      </c>
      <c r="O1056" t="s">
        <v>64</v>
      </c>
      <c r="P1056" t="s">
        <v>5535</v>
      </c>
      <c r="Q1056" t="s">
        <v>124</v>
      </c>
      <c r="R1056" t="s">
        <v>390</v>
      </c>
      <c r="S1056">
        <v>1</v>
      </c>
      <c r="T1056">
        <v>3904</v>
      </c>
      <c r="U1056">
        <v>0</v>
      </c>
      <c r="V1056">
        <v>3904</v>
      </c>
    </row>
    <row r="1057" spans="1:22" x14ac:dyDescent="0.3">
      <c r="A1057">
        <v>187830</v>
      </c>
      <c r="B1057">
        <v>138538531</v>
      </c>
      <c r="C1057" t="s">
        <v>5536</v>
      </c>
      <c r="D1057" t="s">
        <v>5537</v>
      </c>
      <c r="E1057" t="s">
        <v>5494</v>
      </c>
      <c r="F1057" t="s">
        <v>514</v>
      </c>
      <c r="G1057" t="s">
        <v>43</v>
      </c>
      <c r="H1057" t="s">
        <v>44</v>
      </c>
      <c r="I1057" t="s">
        <v>34</v>
      </c>
      <c r="J1057" t="s">
        <v>45</v>
      </c>
      <c r="K1057" t="s">
        <v>41</v>
      </c>
      <c r="L1057" t="s">
        <v>5538</v>
      </c>
      <c r="M1057" t="s">
        <v>503</v>
      </c>
      <c r="N1057" t="s">
        <v>516</v>
      </c>
      <c r="O1057" t="s">
        <v>64</v>
      </c>
      <c r="P1057" t="s">
        <v>5539</v>
      </c>
      <c r="Q1057" t="s">
        <v>61</v>
      </c>
      <c r="R1057" t="s">
        <v>5540</v>
      </c>
      <c r="S1057">
        <v>1</v>
      </c>
      <c r="T1057">
        <v>3501</v>
      </c>
      <c r="U1057">
        <v>0</v>
      </c>
      <c r="V1057">
        <v>3501</v>
      </c>
    </row>
    <row r="1058" spans="1:22" x14ac:dyDescent="0.3">
      <c r="A1058">
        <v>187830</v>
      </c>
      <c r="B1058">
        <v>138498444</v>
      </c>
      <c r="C1058" t="s">
        <v>5541</v>
      </c>
      <c r="D1058" t="s">
        <v>5542</v>
      </c>
      <c r="E1058" t="s">
        <v>5494</v>
      </c>
      <c r="F1058" t="s">
        <v>514</v>
      </c>
      <c r="G1058" t="s">
        <v>43</v>
      </c>
      <c r="H1058" t="s">
        <v>44</v>
      </c>
      <c r="I1058" t="s">
        <v>34</v>
      </c>
      <c r="J1058" t="s">
        <v>45</v>
      </c>
      <c r="K1058" t="s">
        <v>41</v>
      </c>
      <c r="L1058" t="s">
        <v>5543</v>
      </c>
      <c r="M1058" t="s">
        <v>5544</v>
      </c>
      <c r="N1058" t="s">
        <v>516</v>
      </c>
      <c r="O1058" t="s">
        <v>64</v>
      </c>
      <c r="P1058" t="s">
        <v>5545</v>
      </c>
      <c r="Q1058" t="s">
        <v>97</v>
      </c>
      <c r="R1058" t="s">
        <v>5503</v>
      </c>
      <c r="S1058">
        <v>1.44</v>
      </c>
      <c r="T1058">
        <v>4520</v>
      </c>
      <c r="U1058">
        <v>0</v>
      </c>
      <c r="V1058">
        <v>4520</v>
      </c>
    </row>
    <row r="1059" spans="1:22" x14ac:dyDescent="0.3">
      <c r="A1059">
        <v>187830</v>
      </c>
      <c r="B1059">
        <v>138479275</v>
      </c>
      <c r="C1059" t="s">
        <v>5546</v>
      </c>
      <c r="D1059" t="s">
        <v>5547</v>
      </c>
      <c r="E1059" t="s">
        <v>5494</v>
      </c>
      <c r="F1059" t="s">
        <v>514</v>
      </c>
      <c r="G1059" t="s">
        <v>43</v>
      </c>
      <c r="H1059" t="s">
        <v>44</v>
      </c>
      <c r="I1059" t="s">
        <v>34</v>
      </c>
      <c r="J1059" t="s">
        <v>45</v>
      </c>
      <c r="K1059" t="s">
        <v>41</v>
      </c>
      <c r="L1059" t="s">
        <v>5548</v>
      </c>
      <c r="M1059" t="s">
        <v>5549</v>
      </c>
      <c r="N1059" t="s">
        <v>516</v>
      </c>
      <c r="O1059" t="s">
        <v>64</v>
      </c>
      <c r="P1059" t="s">
        <v>5550</v>
      </c>
      <c r="Q1059" t="s">
        <v>46</v>
      </c>
      <c r="R1059" t="s">
        <v>301</v>
      </c>
      <c r="S1059">
        <v>1.1499999999999999</v>
      </c>
      <c r="T1059">
        <v>3501</v>
      </c>
      <c r="U1059">
        <v>0</v>
      </c>
      <c r="V1059">
        <v>3501</v>
      </c>
    </row>
    <row r="1060" spans="1:22" x14ac:dyDescent="0.3">
      <c r="A1060">
        <v>187830</v>
      </c>
      <c r="B1060">
        <v>138556840</v>
      </c>
      <c r="C1060" t="s">
        <v>5551</v>
      </c>
      <c r="D1060" t="s">
        <v>5552</v>
      </c>
      <c r="E1060" t="s">
        <v>5494</v>
      </c>
      <c r="F1060" t="s">
        <v>514</v>
      </c>
      <c r="G1060" t="s">
        <v>43</v>
      </c>
      <c r="H1060" t="s">
        <v>44</v>
      </c>
      <c r="I1060" t="s">
        <v>34</v>
      </c>
      <c r="J1060" t="s">
        <v>45</v>
      </c>
      <c r="K1060" t="s">
        <v>41</v>
      </c>
      <c r="L1060" t="s">
        <v>5553</v>
      </c>
      <c r="M1060" t="s">
        <v>5554</v>
      </c>
      <c r="N1060" t="s">
        <v>516</v>
      </c>
      <c r="O1060" t="s">
        <v>64</v>
      </c>
      <c r="P1060" t="s">
        <v>5555</v>
      </c>
      <c r="Q1060" t="s">
        <v>73</v>
      </c>
      <c r="R1060" t="s">
        <v>281</v>
      </c>
      <c r="S1060">
        <v>2.34</v>
      </c>
      <c r="T1060">
        <v>3904</v>
      </c>
      <c r="U1060">
        <v>0</v>
      </c>
      <c r="V1060">
        <v>3904</v>
      </c>
    </row>
    <row r="1061" spans="1:22" x14ac:dyDescent="0.3">
      <c r="A1061">
        <v>187830</v>
      </c>
      <c r="B1061">
        <v>138556848</v>
      </c>
      <c r="C1061" t="s">
        <v>5556</v>
      </c>
      <c r="D1061" t="s">
        <v>5557</v>
      </c>
      <c r="E1061" t="s">
        <v>5494</v>
      </c>
      <c r="F1061" t="s">
        <v>514</v>
      </c>
      <c r="G1061" t="s">
        <v>43</v>
      </c>
      <c r="H1061" t="s">
        <v>44</v>
      </c>
      <c r="I1061" t="s">
        <v>34</v>
      </c>
      <c r="J1061" t="s">
        <v>45</v>
      </c>
      <c r="K1061" t="s">
        <v>41</v>
      </c>
      <c r="L1061" t="s">
        <v>5558</v>
      </c>
      <c r="M1061" t="s">
        <v>5559</v>
      </c>
      <c r="N1061" t="s">
        <v>516</v>
      </c>
      <c r="O1061" t="s">
        <v>64</v>
      </c>
      <c r="P1061" t="s">
        <v>5560</v>
      </c>
      <c r="Q1061" t="s">
        <v>61</v>
      </c>
      <c r="R1061" t="s">
        <v>281</v>
      </c>
      <c r="S1061">
        <v>1.82</v>
      </c>
      <c r="T1061">
        <v>3501</v>
      </c>
      <c r="U1061">
        <v>0</v>
      </c>
      <c r="V1061">
        <v>3501</v>
      </c>
    </row>
    <row r="1062" spans="1:22" x14ac:dyDescent="0.3">
      <c r="A1062">
        <v>187830</v>
      </c>
      <c r="B1062">
        <v>138479273</v>
      </c>
      <c r="C1062" t="s">
        <v>5561</v>
      </c>
      <c r="D1062" t="s">
        <v>5562</v>
      </c>
      <c r="E1062" t="s">
        <v>5494</v>
      </c>
      <c r="F1062" t="s">
        <v>514</v>
      </c>
      <c r="G1062" t="s">
        <v>43</v>
      </c>
      <c r="H1062" t="s">
        <v>44</v>
      </c>
      <c r="I1062" t="s">
        <v>34</v>
      </c>
      <c r="J1062" t="s">
        <v>45</v>
      </c>
      <c r="K1062" t="s">
        <v>41</v>
      </c>
      <c r="L1062" t="s">
        <v>5563</v>
      </c>
      <c r="M1062" t="s">
        <v>5564</v>
      </c>
      <c r="N1062" t="s">
        <v>516</v>
      </c>
      <c r="O1062" t="s">
        <v>64</v>
      </c>
      <c r="P1062" t="s">
        <v>5565</v>
      </c>
      <c r="Q1062" t="s">
        <v>208</v>
      </c>
      <c r="R1062" t="s">
        <v>301</v>
      </c>
      <c r="S1062">
        <v>1.97</v>
      </c>
      <c r="T1062">
        <v>3936</v>
      </c>
      <c r="U1062">
        <v>0</v>
      </c>
      <c r="V1062">
        <v>3936</v>
      </c>
    </row>
    <row r="1063" spans="1:22" x14ac:dyDescent="0.3">
      <c r="A1063">
        <v>187830</v>
      </c>
      <c r="B1063">
        <v>138479267</v>
      </c>
      <c r="C1063" t="s">
        <v>5566</v>
      </c>
      <c r="D1063" t="s">
        <v>5567</v>
      </c>
      <c r="E1063" t="s">
        <v>5494</v>
      </c>
      <c r="F1063" t="s">
        <v>514</v>
      </c>
      <c r="G1063" t="s">
        <v>43</v>
      </c>
      <c r="H1063" t="s">
        <v>44</v>
      </c>
      <c r="I1063" t="s">
        <v>34</v>
      </c>
      <c r="J1063" t="s">
        <v>45</v>
      </c>
      <c r="K1063" t="s">
        <v>41</v>
      </c>
      <c r="L1063" t="s">
        <v>5568</v>
      </c>
      <c r="M1063" t="s">
        <v>5569</v>
      </c>
      <c r="N1063" t="s">
        <v>516</v>
      </c>
      <c r="O1063" t="s">
        <v>64</v>
      </c>
      <c r="P1063" t="s">
        <v>5570</v>
      </c>
      <c r="Q1063" t="s">
        <v>90</v>
      </c>
      <c r="R1063" t="s">
        <v>301</v>
      </c>
      <c r="S1063">
        <v>2.17</v>
      </c>
      <c r="T1063">
        <v>3904</v>
      </c>
      <c r="U1063">
        <v>0</v>
      </c>
      <c r="V1063">
        <v>3904</v>
      </c>
    </row>
    <row r="1064" spans="1:22" x14ac:dyDescent="0.3">
      <c r="A1064">
        <v>187830</v>
      </c>
      <c r="B1064">
        <v>138459125</v>
      </c>
      <c r="C1064" t="s">
        <v>5571</v>
      </c>
      <c r="D1064" t="s">
        <v>5572</v>
      </c>
      <c r="E1064" t="s">
        <v>5494</v>
      </c>
      <c r="F1064" t="s">
        <v>514</v>
      </c>
      <c r="G1064" t="s">
        <v>43</v>
      </c>
      <c r="H1064" t="s">
        <v>44</v>
      </c>
      <c r="I1064" t="s">
        <v>34</v>
      </c>
      <c r="J1064" t="s">
        <v>45</v>
      </c>
      <c r="K1064" t="s">
        <v>41</v>
      </c>
      <c r="L1064" t="s">
        <v>5573</v>
      </c>
      <c r="M1064" t="s">
        <v>5574</v>
      </c>
      <c r="N1064" t="s">
        <v>516</v>
      </c>
      <c r="O1064" t="s">
        <v>64</v>
      </c>
      <c r="P1064" t="s">
        <v>5575</v>
      </c>
      <c r="Q1064" t="s">
        <v>125</v>
      </c>
      <c r="R1064" t="s">
        <v>5520</v>
      </c>
      <c r="S1064">
        <v>2.12</v>
      </c>
      <c r="T1064">
        <v>4230</v>
      </c>
      <c r="U1064">
        <v>0</v>
      </c>
      <c r="V1064">
        <v>4230</v>
      </c>
    </row>
    <row r="1065" spans="1:22" x14ac:dyDescent="0.3">
      <c r="A1065">
        <v>187830</v>
      </c>
      <c r="B1065">
        <v>138051899</v>
      </c>
      <c r="C1065" t="s">
        <v>5576</v>
      </c>
      <c r="D1065" t="s">
        <v>5577</v>
      </c>
      <c r="E1065" t="s">
        <v>5494</v>
      </c>
      <c r="F1065" t="s">
        <v>514</v>
      </c>
      <c r="G1065" t="s">
        <v>43</v>
      </c>
      <c r="H1065" t="s">
        <v>44</v>
      </c>
      <c r="I1065" t="s">
        <v>34</v>
      </c>
      <c r="J1065" t="s">
        <v>45</v>
      </c>
      <c r="K1065" t="s">
        <v>41</v>
      </c>
      <c r="L1065" t="s">
        <v>5578</v>
      </c>
      <c r="M1065" t="s">
        <v>5579</v>
      </c>
      <c r="N1065" t="s">
        <v>516</v>
      </c>
      <c r="O1065" t="s">
        <v>64</v>
      </c>
      <c r="P1065" t="s">
        <v>5580</v>
      </c>
      <c r="Q1065" t="s">
        <v>68</v>
      </c>
      <c r="R1065" t="s">
        <v>5581</v>
      </c>
      <c r="S1065">
        <v>2.61</v>
      </c>
      <c r="T1065">
        <v>5990</v>
      </c>
      <c r="U1065">
        <v>0</v>
      </c>
      <c r="V1065">
        <v>5990</v>
      </c>
    </row>
    <row r="1066" spans="1:22" x14ac:dyDescent="0.3">
      <c r="A1066">
        <v>187830</v>
      </c>
      <c r="B1066">
        <v>135667744</v>
      </c>
      <c r="C1066" t="s">
        <v>5582</v>
      </c>
      <c r="D1066" t="s">
        <v>5583</v>
      </c>
      <c r="E1066" t="s">
        <v>5494</v>
      </c>
      <c r="F1066" t="s">
        <v>514</v>
      </c>
      <c r="G1066" t="s">
        <v>69</v>
      </c>
      <c r="H1066" t="s">
        <v>70</v>
      </c>
      <c r="I1066" t="s">
        <v>34</v>
      </c>
      <c r="J1066" t="s">
        <v>139</v>
      </c>
      <c r="K1066" t="s">
        <v>41</v>
      </c>
      <c r="L1066" t="s">
        <v>71</v>
      </c>
      <c r="M1066" t="s">
        <v>5584</v>
      </c>
      <c r="N1066" t="s">
        <v>516</v>
      </c>
      <c r="O1066" t="s">
        <v>64</v>
      </c>
      <c r="P1066" t="s">
        <v>5585</v>
      </c>
      <c r="Q1066" t="s">
        <v>126</v>
      </c>
      <c r="R1066" t="s">
        <v>5586</v>
      </c>
      <c r="S1066">
        <v>2.17</v>
      </c>
      <c r="T1066">
        <v>6800</v>
      </c>
      <c r="U1066">
        <v>0</v>
      </c>
      <c r="V1066">
        <v>6800</v>
      </c>
    </row>
    <row r="1067" spans="1:22" x14ac:dyDescent="0.3">
      <c r="A1067">
        <v>187830</v>
      </c>
      <c r="B1067">
        <v>138096178</v>
      </c>
      <c r="C1067" t="s">
        <v>5587</v>
      </c>
      <c r="D1067" t="s">
        <v>5588</v>
      </c>
      <c r="E1067" t="s">
        <v>5494</v>
      </c>
      <c r="F1067" t="s">
        <v>514</v>
      </c>
      <c r="G1067" t="s">
        <v>43</v>
      </c>
      <c r="H1067" t="s">
        <v>44</v>
      </c>
      <c r="I1067" t="s">
        <v>34</v>
      </c>
      <c r="J1067" t="s">
        <v>45</v>
      </c>
      <c r="K1067" t="s">
        <v>41</v>
      </c>
      <c r="L1067" t="s">
        <v>5589</v>
      </c>
      <c r="M1067" t="s">
        <v>5590</v>
      </c>
      <c r="N1067" t="s">
        <v>516</v>
      </c>
      <c r="O1067" t="s">
        <v>64</v>
      </c>
      <c r="P1067" t="s">
        <v>5591</v>
      </c>
      <c r="Q1067" t="s">
        <v>201</v>
      </c>
      <c r="R1067" t="s">
        <v>5592</v>
      </c>
      <c r="S1067">
        <v>3.21</v>
      </c>
      <c r="T1067">
        <v>8329</v>
      </c>
      <c r="U1067">
        <v>0</v>
      </c>
      <c r="V1067">
        <v>8329</v>
      </c>
    </row>
    <row r="1068" spans="1:22" x14ac:dyDescent="0.3">
      <c r="A1068">
        <v>187830</v>
      </c>
      <c r="B1068">
        <v>138479274</v>
      </c>
      <c r="C1068" t="s">
        <v>5593</v>
      </c>
      <c r="D1068" t="s">
        <v>5594</v>
      </c>
      <c r="E1068" t="s">
        <v>5494</v>
      </c>
      <c r="F1068" t="s">
        <v>514</v>
      </c>
      <c r="G1068" t="s">
        <v>43</v>
      </c>
      <c r="H1068" t="s">
        <v>44</v>
      </c>
      <c r="I1068" t="s">
        <v>34</v>
      </c>
      <c r="J1068" t="s">
        <v>45</v>
      </c>
      <c r="K1068" t="s">
        <v>41</v>
      </c>
      <c r="L1068" t="s">
        <v>5595</v>
      </c>
      <c r="M1068" t="s">
        <v>163</v>
      </c>
      <c r="N1068" t="s">
        <v>516</v>
      </c>
      <c r="O1068" t="s">
        <v>64</v>
      </c>
      <c r="P1068" t="s">
        <v>5596</v>
      </c>
      <c r="Q1068" t="s">
        <v>108</v>
      </c>
      <c r="R1068" t="s">
        <v>301</v>
      </c>
      <c r="S1068">
        <v>2.44</v>
      </c>
      <c r="T1068">
        <v>3501</v>
      </c>
      <c r="U1068">
        <v>0</v>
      </c>
      <c r="V1068">
        <v>3501</v>
      </c>
    </row>
    <row r="1069" spans="1:22" x14ac:dyDescent="0.3">
      <c r="A1069">
        <v>187830</v>
      </c>
      <c r="B1069">
        <v>138479265</v>
      </c>
      <c r="C1069" t="s">
        <v>5597</v>
      </c>
      <c r="D1069" t="s">
        <v>5598</v>
      </c>
      <c r="E1069" t="s">
        <v>5494</v>
      </c>
      <c r="F1069" t="s">
        <v>514</v>
      </c>
      <c r="G1069" t="s">
        <v>43</v>
      </c>
      <c r="H1069" t="s">
        <v>44</v>
      </c>
      <c r="I1069" t="s">
        <v>34</v>
      </c>
      <c r="J1069" t="s">
        <v>45</v>
      </c>
      <c r="K1069" t="s">
        <v>41</v>
      </c>
      <c r="L1069" t="s">
        <v>5599</v>
      </c>
      <c r="M1069" t="s">
        <v>5600</v>
      </c>
      <c r="N1069" t="s">
        <v>516</v>
      </c>
      <c r="O1069" t="s">
        <v>64</v>
      </c>
      <c r="P1069" t="s">
        <v>5601</v>
      </c>
      <c r="Q1069" t="s">
        <v>42</v>
      </c>
      <c r="R1069" t="s">
        <v>301</v>
      </c>
      <c r="S1069">
        <v>2.59</v>
      </c>
      <c r="T1069">
        <v>3936</v>
      </c>
      <c r="U1069">
        <v>0</v>
      </c>
      <c r="V1069">
        <v>3936</v>
      </c>
    </row>
    <row r="1070" spans="1:22" x14ac:dyDescent="0.3">
      <c r="A1070">
        <v>187830</v>
      </c>
      <c r="B1070">
        <v>138459128</v>
      </c>
      <c r="C1070" t="s">
        <v>5602</v>
      </c>
      <c r="D1070" t="s">
        <v>5603</v>
      </c>
      <c r="E1070" t="s">
        <v>5494</v>
      </c>
      <c r="F1070" t="s">
        <v>514</v>
      </c>
      <c r="G1070" t="s">
        <v>43</v>
      </c>
      <c r="H1070" t="s">
        <v>44</v>
      </c>
      <c r="I1070" t="s">
        <v>34</v>
      </c>
      <c r="J1070" t="s">
        <v>45</v>
      </c>
      <c r="K1070" t="s">
        <v>41</v>
      </c>
      <c r="L1070" t="s">
        <v>5604</v>
      </c>
      <c r="M1070" t="s">
        <v>5605</v>
      </c>
      <c r="N1070" t="s">
        <v>516</v>
      </c>
      <c r="O1070" t="s">
        <v>64</v>
      </c>
      <c r="P1070" t="s">
        <v>5606</v>
      </c>
      <c r="Q1070" t="s">
        <v>90</v>
      </c>
      <c r="R1070" t="s">
        <v>5520</v>
      </c>
      <c r="S1070">
        <v>1</v>
      </c>
      <c r="T1070">
        <v>3904</v>
      </c>
      <c r="U1070">
        <v>0</v>
      </c>
      <c r="V1070">
        <v>3904</v>
      </c>
    </row>
    <row r="1071" spans="1:22" x14ac:dyDescent="0.3">
      <c r="A1071">
        <v>187830</v>
      </c>
      <c r="B1071">
        <v>138436226</v>
      </c>
      <c r="C1071" t="s">
        <v>5607</v>
      </c>
      <c r="D1071" t="s">
        <v>5608</v>
      </c>
      <c r="E1071" t="s">
        <v>5494</v>
      </c>
      <c r="F1071" t="s">
        <v>514</v>
      </c>
      <c r="G1071" t="s">
        <v>43</v>
      </c>
      <c r="H1071" t="s">
        <v>44</v>
      </c>
      <c r="I1071" t="s">
        <v>34</v>
      </c>
      <c r="J1071" t="s">
        <v>45</v>
      </c>
      <c r="K1071" t="s">
        <v>41</v>
      </c>
      <c r="L1071" t="s">
        <v>5609</v>
      </c>
      <c r="M1071" t="s">
        <v>5610</v>
      </c>
      <c r="N1071" t="s">
        <v>516</v>
      </c>
      <c r="O1071" t="s">
        <v>64</v>
      </c>
      <c r="P1071" t="s">
        <v>5611</v>
      </c>
      <c r="Q1071" t="s">
        <v>111</v>
      </c>
      <c r="R1071" t="s">
        <v>391</v>
      </c>
      <c r="S1071">
        <v>0.65</v>
      </c>
      <c r="T1071">
        <v>5696</v>
      </c>
      <c r="U1071">
        <v>0</v>
      </c>
      <c r="V1071">
        <v>5696</v>
      </c>
    </row>
    <row r="1072" spans="1:22" x14ac:dyDescent="0.3">
      <c r="A1072">
        <v>187830</v>
      </c>
      <c r="B1072">
        <v>138436224</v>
      </c>
      <c r="C1072" t="s">
        <v>5612</v>
      </c>
      <c r="D1072" t="s">
        <v>5613</v>
      </c>
      <c r="E1072" t="s">
        <v>5494</v>
      </c>
      <c r="F1072" t="s">
        <v>514</v>
      </c>
      <c r="G1072" t="s">
        <v>43</v>
      </c>
      <c r="H1072" t="s">
        <v>44</v>
      </c>
      <c r="I1072" t="s">
        <v>34</v>
      </c>
      <c r="J1072" t="s">
        <v>45</v>
      </c>
      <c r="K1072" t="s">
        <v>41</v>
      </c>
      <c r="L1072" t="s">
        <v>5614</v>
      </c>
      <c r="M1072" t="s">
        <v>5615</v>
      </c>
      <c r="N1072" t="s">
        <v>516</v>
      </c>
      <c r="O1072" t="s">
        <v>64</v>
      </c>
      <c r="P1072" t="s">
        <v>5616</v>
      </c>
      <c r="Q1072" t="s">
        <v>50</v>
      </c>
      <c r="R1072" t="s">
        <v>391</v>
      </c>
      <c r="S1072">
        <v>2.92</v>
      </c>
      <c r="T1072">
        <v>5406</v>
      </c>
      <c r="U1072">
        <v>0</v>
      </c>
      <c r="V1072">
        <v>5406</v>
      </c>
    </row>
    <row r="1073" spans="1:22" x14ac:dyDescent="0.3">
      <c r="A1073">
        <v>187830</v>
      </c>
      <c r="B1073">
        <v>138436232</v>
      </c>
      <c r="C1073" t="s">
        <v>5617</v>
      </c>
      <c r="D1073" t="s">
        <v>5618</v>
      </c>
      <c r="E1073" t="s">
        <v>5494</v>
      </c>
      <c r="F1073" t="s">
        <v>514</v>
      </c>
      <c r="G1073" t="s">
        <v>43</v>
      </c>
      <c r="H1073" t="s">
        <v>44</v>
      </c>
      <c r="I1073" t="s">
        <v>34</v>
      </c>
      <c r="J1073" t="s">
        <v>45</v>
      </c>
      <c r="K1073" t="s">
        <v>41</v>
      </c>
      <c r="L1073" t="s">
        <v>5619</v>
      </c>
      <c r="M1073" t="s">
        <v>5620</v>
      </c>
      <c r="N1073" t="s">
        <v>516</v>
      </c>
      <c r="O1073" t="s">
        <v>64</v>
      </c>
      <c r="P1073" t="s">
        <v>5621</v>
      </c>
      <c r="Q1073" t="s">
        <v>58</v>
      </c>
      <c r="R1073" t="s">
        <v>391</v>
      </c>
      <c r="S1073">
        <v>1.83</v>
      </c>
      <c r="T1073">
        <v>3501</v>
      </c>
      <c r="U1073">
        <v>0</v>
      </c>
      <c r="V1073">
        <v>3501</v>
      </c>
    </row>
    <row r="1074" spans="1:22" x14ac:dyDescent="0.3">
      <c r="A1074">
        <v>187830</v>
      </c>
      <c r="B1074">
        <v>138373836</v>
      </c>
      <c r="C1074" t="s">
        <v>5622</v>
      </c>
      <c r="D1074" t="s">
        <v>5623</v>
      </c>
      <c r="E1074" t="s">
        <v>5494</v>
      </c>
      <c r="F1074" t="s">
        <v>514</v>
      </c>
      <c r="G1074" t="s">
        <v>43</v>
      </c>
      <c r="H1074" t="s">
        <v>44</v>
      </c>
      <c r="I1074" t="s">
        <v>34</v>
      </c>
      <c r="J1074" t="s">
        <v>45</v>
      </c>
      <c r="K1074" t="s">
        <v>41</v>
      </c>
      <c r="L1074" t="s">
        <v>5624</v>
      </c>
      <c r="M1074" t="s">
        <v>5625</v>
      </c>
      <c r="N1074" t="s">
        <v>516</v>
      </c>
      <c r="O1074" t="s">
        <v>64</v>
      </c>
      <c r="P1074" t="s">
        <v>5626</v>
      </c>
      <c r="Q1074" t="s">
        <v>89</v>
      </c>
      <c r="R1074" t="s">
        <v>5509</v>
      </c>
      <c r="S1074">
        <v>0.81</v>
      </c>
      <c r="T1074">
        <v>3936</v>
      </c>
      <c r="U1074">
        <v>0</v>
      </c>
      <c r="V1074">
        <v>3936</v>
      </c>
    </row>
    <row r="1075" spans="1:22" x14ac:dyDescent="0.3">
      <c r="A1075">
        <v>187830</v>
      </c>
      <c r="B1075">
        <v>138411179</v>
      </c>
      <c r="C1075" t="s">
        <v>5627</v>
      </c>
      <c r="D1075" t="s">
        <v>5628</v>
      </c>
      <c r="E1075" t="s">
        <v>5494</v>
      </c>
      <c r="F1075" t="s">
        <v>514</v>
      </c>
      <c r="G1075" t="s">
        <v>43</v>
      </c>
      <c r="H1075" t="s">
        <v>44</v>
      </c>
      <c r="I1075" t="s">
        <v>34</v>
      </c>
      <c r="J1075" t="s">
        <v>45</v>
      </c>
      <c r="K1075" t="s">
        <v>41</v>
      </c>
      <c r="L1075" t="s">
        <v>5629</v>
      </c>
      <c r="M1075" t="s">
        <v>5630</v>
      </c>
      <c r="N1075" t="s">
        <v>516</v>
      </c>
      <c r="O1075" t="s">
        <v>64</v>
      </c>
      <c r="P1075" t="s">
        <v>5631</v>
      </c>
      <c r="Q1075" t="s">
        <v>97</v>
      </c>
      <c r="R1075" t="s">
        <v>5632</v>
      </c>
      <c r="S1075">
        <v>1.1299999999999999</v>
      </c>
      <c r="T1075">
        <v>4520</v>
      </c>
      <c r="U1075">
        <v>0</v>
      </c>
      <c r="V1075">
        <v>4520</v>
      </c>
    </row>
    <row r="1076" spans="1:22" x14ac:dyDescent="0.3">
      <c r="A1076">
        <v>187830</v>
      </c>
      <c r="B1076">
        <v>138373837</v>
      </c>
      <c r="C1076" t="s">
        <v>5633</v>
      </c>
      <c r="D1076" t="s">
        <v>5634</v>
      </c>
      <c r="E1076" t="s">
        <v>5494</v>
      </c>
      <c r="F1076" t="s">
        <v>514</v>
      </c>
      <c r="G1076" t="s">
        <v>43</v>
      </c>
      <c r="H1076" t="s">
        <v>44</v>
      </c>
      <c r="I1076" t="s">
        <v>34</v>
      </c>
      <c r="J1076" t="s">
        <v>45</v>
      </c>
      <c r="K1076" t="s">
        <v>41</v>
      </c>
      <c r="L1076" t="s">
        <v>5635</v>
      </c>
      <c r="M1076" t="s">
        <v>5636</v>
      </c>
      <c r="N1076" t="s">
        <v>516</v>
      </c>
      <c r="O1076" t="s">
        <v>64</v>
      </c>
      <c r="P1076" t="s">
        <v>5637</v>
      </c>
      <c r="Q1076" t="s">
        <v>90</v>
      </c>
      <c r="R1076" t="s">
        <v>5509</v>
      </c>
      <c r="S1076">
        <v>2.0299999999999998</v>
      </c>
      <c r="T1076">
        <v>3904</v>
      </c>
      <c r="U1076">
        <v>0</v>
      </c>
      <c r="V1076">
        <v>3904</v>
      </c>
    </row>
    <row r="1077" spans="1:22" x14ac:dyDescent="0.3">
      <c r="A1077">
        <v>187830</v>
      </c>
      <c r="B1077">
        <v>138385105</v>
      </c>
      <c r="C1077" t="s">
        <v>5638</v>
      </c>
      <c r="D1077" t="s">
        <v>5639</v>
      </c>
      <c r="E1077" t="s">
        <v>5494</v>
      </c>
      <c r="F1077" t="s">
        <v>514</v>
      </c>
      <c r="G1077" t="s">
        <v>43</v>
      </c>
      <c r="H1077" t="s">
        <v>44</v>
      </c>
      <c r="I1077" t="s">
        <v>34</v>
      </c>
      <c r="J1077" t="s">
        <v>45</v>
      </c>
      <c r="K1077" t="s">
        <v>41</v>
      </c>
      <c r="L1077" t="s">
        <v>5640</v>
      </c>
      <c r="M1077" t="s">
        <v>5641</v>
      </c>
      <c r="N1077" t="s">
        <v>516</v>
      </c>
      <c r="O1077" t="s">
        <v>64</v>
      </c>
      <c r="P1077" t="s">
        <v>5642</v>
      </c>
      <c r="Q1077" t="s">
        <v>66</v>
      </c>
      <c r="R1077" t="s">
        <v>5643</v>
      </c>
      <c r="S1077">
        <v>1.87</v>
      </c>
      <c r="T1077">
        <v>3936</v>
      </c>
      <c r="U1077">
        <v>0</v>
      </c>
      <c r="V1077">
        <v>3936</v>
      </c>
    </row>
    <row r="1078" spans="1:22" x14ac:dyDescent="0.3">
      <c r="A1078">
        <v>187830</v>
      </c>
      <c r="B1078">
        <v>137963793</v>
      </c>
      <c r="C1078" t="s">
        <v>5644</v>
      </c>
      <c r="D1078" t="s">
        <v>5645</v>
      </c>
      <c r="E1078" t="s">
        <v>5494</v>
      </c>
      <c r="F1078" t="s">
        <v>514</v>
      </c>
      <c r="G1078" t="s">
        <v>43</v>
      </c>
      <c r="H1078" t="s">
        <v>44</v>
      </c>
      <c r="I1078" t="s">
        <v>34</v>
      </c>
      <c r="J1078" t="s">
        <v>45</v>
      </c>
      <c r="K1078" t="s">
        <v>41</v>
      </c>
      <c r="L1078" t="s">
        <v>5646</v>
      </c>
      <c r="M1078" t="s">
        <v>5647</v>
      </c>
      <c r="N1078" t="s">
        <v>516</v>
      </c>
      <c r="O1078" t="s">
        <v>64</v>
      </c>
      <c r="P1078" t="s">
        <v>5648</v>
      </c>
      <c r="Q1078" t="s">
        <v>118</v>
      </c>
      <c r="R1078" t="s">
        <v>5649</v>
      </c>
      <c r="S1078">
        <v>1.43</v>
      </c>
      <c r="T1078">
        <v>4230</v>
      </c>
      <c r="U1078">
        <v>0</v>
      </c>
      <c r="V1078">
        <v>4230</v>
      </c>
    </row>
    <row r="1079" spans="1:22" x14ac:dyDescent="0.3">
      <c r="A1079">
        <v>187830</v>
      </c>
      <c r="B1079">
        <v>138357715</v>
      </c>
      <c r="C1079" t="s">
        <v>5650</v>
      </c>
      <c r="D1079" t="s">
        <v>5651</v>
      </c>
      <c r="E1079" t="s">
        <v>5494</v>
      </c>
      <c r="F1079" t="s">
        <v>514</v>
      </c>
      <c r="G1079" t="s">
        <v>43</v>
      </c>
      <c r="H1079" t="s">
        <v>44</v>
      </c>
      <c r="I1079" t="s">
        <v>34</v>
      </c>
      <c r="J1079" t="s">
        <v>45</v>
      </c>
      <c r="K1079" t="s">
        <v>41</v>
      </c>
      <c r="L1079" t="s">
        <v>5652</v>
      </c>
      <c r="M1079" t="s">
        <v>5653</v>
      </c>
      <c r="N1079" t="s">
        <v>516</v>
      </c>
      <c r="O1079" t="s">
        <v>64</v>
      </c>
      <c r="P1079" t="s">
        <v>5654</v>
      </c>
      <c r="Q1079" t="s">
        <v>50</v>
      </c>
      <c r="R1079" t="s">
        <v>401</v>
      </c>
      <c r="S1079">
        <v>2.1</v>
      </c>
      <c r="T1079">
        <v>5406</v>
      </c>
      <c r="U1079">
        <v>0</v>
      </c>
      <c r="V1079">
        <v>5406</v>
      </c>
    </row>
    <row r="1080" spans="1:22" x14ac:dyDescent="0.3">
      <c r="A1080">
        <v>187830</v>
      </c>
      <c r="B1080">
        <v>138357714</v>
      </c>
      <c r="C1080" t="s">
        <v>5655</v>
      </c>
      <c r="D1080" t="s">
        <v>5656</v>
      </c>
      <c r="E1080" t="s">
        <v>5494</v>
      </c>
      <c r="F1080" t="s">
        <v>514</v>
      </c>
      <c r="G1080" t="s">
        <v>43</v>
      </c>
      <c r="H1080" t="s">
        <v>44</v>
      </c>
      <c r="I1080" t="s">
        <v>34</v>
      </c>
      <c r="J1080" t="s">
        <v>45</v>
      </c>
      <c r="K1080" t="s">
        <v>41</v>
      </c>
      <c r="L1080" t="s">
        <v>5657</v>
      </c>
      <c r="M1080" t="s">
        <v>5658</v>
      </c>
      <c r="N1080" t="s">
        <v>516</v>
      </c>
      <c r="O1080" t="s">
        <v>64</v>
      </c>
      <c r="P1080" t="s">
        <v>5659</v>
      </c>
      <c r="Q1080" t="s">
        <v>97</v>
      </c>
      <c r="R1080" t="s">
        <v>401</v>
      </c>
      <c r="S1080">
        <v>1.22</v>
      </c>
      <c r="T1080">
        <v>4520</v>
      </c>
      <c r="U1080">
        <v>0</v>
      </c>
      <c r="V1080">
        <v>4520</v>
      </c>
    </row>
    <row r="1081" spans="1:22" x14ac:dyDescent="0.3">
      <c r="A1081">
        <v>187830</v>
      </c>
      <c r="B1081">
        <v>138357712</v>
      </c>
      <c r="C1081" t="s">
        <v>5660</v>
      </c>
      <c r="D1081" t="s">
        <v>5661</v>
      </c>
      <c r="E1081" t="s">
        <v>5494</v>
      </c>
      <c r="F1081" t="s">
        <v>514</v>
      </c>
      <c r="G1081" t="s">
        <v>43</v>
      </c>
      <c r="H1081" t="s">
        <v>44</v>
      </c>
      <c r="I1081" t="s">
        <v>34</v>
      </c>
      <c r="J1081" t="s">
        <v>45</v>
      </c>
      <c r="K1081" t="s">
        <v>41</v>
      </c>
      <c r="L1081" t="s">
        <v>5662</v>
      </c>
      <c r="M1081" t="s">
        <v>5663</v>
      </c>
      <c r="N1081" t="s">
        <v>516</v>
      </c>
      <c r="O1081" t="s">
        <v>64</v>
      </c>
      <c r="P1081" t="s">
        <v>5664</v>
      </c>
      <c r="Q1081" t="s">
        <v>90</v>
      </c>
      <c r="R1081" t="s">
        <v>5665</v>
      </c>
      <c r="S1081">
        <v>1.5</v>
      </c>
      <c r="T1081">
        <v>3904</v>
      </c>
      <c r="U1081">
        <v>0</v>
      </c>
      <c r="V1081">
        <v>3904</v>
      </c>
    </row>
    <row r="1082" spans="1:22" x14ac:dyDescent="0.3">
      <c r="A1082">
        <v>187830</v>
      </c>
      <c r="B1082">
        <v>137616791</v>
      </c>
      <c r="C1082" t="s">
        <v>5666</v>
      </c>
      <c r="D1082" t="s">
        <v>5667</v>
      </c>
      <c r="E1082" t="s">
        <v>5494</v>
      </c>
      <c r="F1082" t="s">
        <v>514</v>
      </c>
      <c r="G1082" t="s">
        <v>43</v>
      </c>
      <c r="H1082" t="s">
        <v>44</v>
      </c>
      <c r="I1082" t="s">
        <v>34</v>
      </c>
      <c r="J1082" t="s">
        <v>45</v>
      </c>
      <c r="K1082" t="s">
        <v>41</v>
      </c>
      <c r="L1082" t="s">
        <v>5668</v>
      </c>
      <c r="M1082" t="s">
        <v>5669</v>
      </c>
      <c r="N1082" t="s">
        <v>516</v>
      </c>
      <c r="O1082" t="s">
        <v>64</v>
      </c>
      <c r="P1082" t="s">
        <v>5670</v>
      </c>
      <c r="Q1082" t="s">
        <v>90</v>
      </c>
      <c r="R1082" t="s">
        <v>5671</v>
      </c>
      <c r="S1082">
        <v>1.49</v>
      </c>
      <c r="T1082">
        <v>3904</v>
      </c>
      <c r="U1082">
        <v>0</v>
      </c>
      <c r="V1082">
        <v>3904</v>
      </c>
    </row>
    <row r="1083" spans="1:22" x14ac:dyDescent="0.3">
      <c r="A1083">
        <v>187830</v>
      </c>
      <c r="B1083">
        <v>138338294</v>
      </c>
      <c r="C1083" t="s">
        <v>5672</v>
      </c>
      <c r="D1083" t="s">
        <v>5673</v>
      </c>
      <c r="E1083" t="s">
        <v>5494</v>
      </c>
      <c r="F1083" t="s">
        <v>514</v>
      </c>
      <c r="G1083" t="s">
        <v>43</v>
      </c>
      <c r="H1083" t="s">
        <v>44</v>
      </c>
      <c r="I1083" t="s">
        <v>34</v>
      </c>
      <c r="J1083" t="s">
        <v>45</v>
      </c>
      <c r="K1083" t="s">
        <v>41</v>
      </c>
      <c r="L1083" t="s">
        <v>5674</v>
      </c>
      <c r="M1083" t="s">
        <v>5675</v>
      </c>
      <c r="N1083" t="s">
        <v>516</v>
      </c>
      <c r="O1083" t="s">
        <v>64</v>
      </c>
      <c r="P1083" t="s">
        <v>5676</v>
      </c>
      <c r="Q1083" t="s">
        <v>61</v>
      </c>
      <c r="R1083" t="s">
        <v>5677</v>
      </c>
      <c r="S1083">
        <v>1.45</v>
      </c>
      <c r="T1083">
        <v>3501</v>
      </c>
      <c r="U1083">
        <v>0</v>
      </c>
      <c r="V1083">
        <v>3501</v>
      </c>
    </row>
    <row r="1084" spans="1:22" x14ac:dyDescent="0.3">
      <c r="A1084">
        <v>187830</v>
      </c>
      <c r="B1084">
        <v>138338290</v>
      </c>
      <c r="C1084" t="s">
        <v>5678</v>
      </c>
      <c r="D1084" t="s">
        <v>5679</v>
      </c>
      <c r="E1084" t="s">
        <v>5494</v>
      </c>
      <c r="F1084" t="s">
        <v>514</v>
      </c>
      <c r="G1084" t="s">
        <v>43</v>
      </c>
      <c r="H1084" t="s">
        <v>44</v>
      </c>
      <c r="I1084" t="s">
        <v>34</v>
      </c>
      <c r="J1084" t="s">
        <v>45</v>
      </c>
      <c r="K1084" t="s">
        <v>41</v>
      </c>
      <c r="L1084" t="s">
        <v>5680</v>
      </c>
      <c r="M1084" t="s">
        <v>5681</v>
      </c>
      <c r="N1084" t="s">
        <v>516</v>
      </c>
      <c r="O1084" t="s">
        <v>64</v>
      </c>
      <c r="P1084" t="s">
        <v>5682</v>
      </c>
      <c r="Q1084" t="s">
        <v>202</v>
      </c>
      <c r="R1084" t="s">
        <v>5677</v>
      </c>
      <c r="S1084">
        <v>3.83</v>
      </c>
      <c r="T1084">
        <v>4635</v>
      </c>
      <c r="U1084">
        <v>0</v>
      </c>
      <c r="V1084">
        <v>4635</v>
      </c>
    </row>
    <row r="1085" spans="1:22" x14ac:dyDescent="0.3">
      <c r="A1085">
        <v>187830</v>
      </c>
      <c r="B1085">
        <v>138338292</v>
      </c>
      <c r="C1085" t="s">
        <v>5683</v>
      </c>
      <c r="D1085" t="s">
        <v>5684</v>
      </c>
      <c r="E1085" t="s">
        <v>5494</v>
      </c>
      <c r="F1085" t="s">
        <v>514</v>
      </c>
      <c r="G1085" t="s">
        <v>43</v>
      </c>
      <c r="H1085" t="s">
        <v>44</v>
      </c>
      <c r="I1085" t="s">
        <v>34</v>
      </c>
      <c r="J1085" t="s">
        <v>45</v>
      </c>
      <c r="K1085" t="s">
        <v>41</v>
      </c>
      <c r="L1085" t="s">
        <v>5685</v>
      </c>
      <c r="M1085" t="s">
        <v>5686</v>
      </c>
      <c r="N1085" t="s">
        <v>516</v>
      </c>
      <c r="O1085" t="s">
        <v>64</v>
      </c>
      <c r="P1085" t="s">
        <v>5687</v>
      </c>
      <c r="Q1085" t="s">
        <v>61</v>
      </c>
      <c r="R1085" t="s">
        <v>5677</v>
      </c>
      <c r="S1085">
        <v>3.08</v>
      </c>
      <c r="T1085">
        <v>3949</v>
      </c>
      <c r="U1085">
        <v>0</v>
      </c>
      <c r="V1085">
        <v>3949</v>
      </c>
    </row>
    <row r="1086" spans="1:22" x14ac:dyDescent="0.3">
      <c r="A1086">
        <v>187830</v>
      </c>
      <c r="B1086">
        <v>138279468</v>
      </c>
      <c r="C1086" t="s">
        <v>5688</v>
      </c>
      <c r="D1086" t="s">
        <v>5689</v>
      </c>
      <c r="E1086" t="s">
        <v>5494</v>
      </c>
      <c r="F1086" t="s">
        <v>514</v>
      </c>
      <c r="G1086" t="s">
        <v>43</v>
      </c>
      <c r="H1086" t="s">
        <v>44</v>
      </c>
      <c r="I1086" t="s">
        <v>34</v>
      </c>
      <c r="J1086" t="s">
        <v>45</v>
      </c>
      <c r="K1086" t="s">
        <v>41</v>
      </c>
      <c r="L1086" t="s">
        <v>5690</v>
      </c>
      <c r="M1086" t="s">
        <v>5691</v>
      </c>
      <c r="N1086" t="s">
        <v>516</v>
      </c>
      <c r="O1086" t="s">
        <v>64</v>
      </c>
      <c r="P1086" t="s">
        <v>5692</v>
      </c>
      <c r="Q1086" t="s">
        <v>62</v>
      </c>
      <c r="R1086" t="s">
        <v>446</v>
      </c>
      <c r="S1086">
        <v>1</v>
      </c>
      <c r="T1086">
        <v>3936</v>
      </c>
      <c r="U1086">
        <v>0</v>
      </c>
      <c r="V1086">
        <v>3936</v>
      </c>
    </row>
    <row r="1087" spans="1:22" x14ac:dyDescent="0.3">
      <c r="A1087">
        <v>187830</v>
      </c>
      <c r="B1087">
        <v>138298813</v>
      </c>
      <c r="C1087" t="s">
        <v>5693</v>
      </c>
      <c r="D1087" t="s">
        <v>5694</v>
      </c>
      <c r="E1087" t="s">
        <v>5494</v>
      </c>
      <c r="F1087" t="s">
        <v>514</v>
      </c>
      <c r="G1087" t="s">
        <v>43</v>
      </c>
      <c r="H1087" t="s">
        <v>44</v>
      </c>
      <c r="I1087" t="s">
        <v>34</v>
      </c>
      <c r="J1087" t="s">
        <v>45</v>
      </c>
      <c r="K1087" t="s">
        <v>41</v>
      </c>
      <c r="L1087" t="s">
        <v>5695</v>
      </c>
      <c r="M1087" t="s">
        <v>5696</v>
      </c>
      <c r="N1087" t="s">
        <v>516</v>
      </c>
      <c r="O1087" t="s">
        <v>64</v>
      </c>
      <c r="P1087" t="s">
        <v>5697</v>
      </c>
      <c r="Q1087" t="s">
        <v>62</v>
      </c>
      <c r="R1087" t="s">
        <v>5698</v>
      </c>
      <c r="S1087">
        <v>1</v>
      </c>
      <c r="T1087">
        <v>3936</v>
      </c>
      <c r="U1087">
        <v>0</v>
      </c>
      <c r="V1087">
        <v>3936</v>
      </c>
    </row>
    <row r="1088" spans="1:22" x14ac:dyDescent="0.3">
      <c r="A1088">
        <v>187830</v>
      </c>
      <c r="B1088">
        <v>138298812</v>
      </c>
      <c r="C1088" t="s">
        <v>5699</v>
      </c>
      <c r="D1088" t="s">
        <v>5700</v>
      </c>
      <c r="E1088" t="s">
        <v>5494</v>
      </c>
      <c r="F1088" t="s">
        <v>514</v>
      </c>
      <c r="G1088" t="s">
        <v>43</v>
      </c>
      <c r="H1088" t="s">
        <v>44</v>
      </c>
      <c r="I1088" t="s">
        <v>34</v>
      </c>
      <c r="J1088" t="s">
        <v>45</v>
      </c>
      <c r="K1088" t="s">
        <v>41</v>
      </c>
      <c r="L1088" t="s">
        <v>5701</v>
      </c>
      <c r="M1088" t="s">
        <v>5702</v>
      </c>
      <c r="N1088" t="s">
        <v>516</v>
      </c>
      <c r="O1088" t="s">
        <v>64</v>
      </c>
      <c r="P1088" t="s">
        <v>5703</v>
      </c>
      <c r="Q1088" t="s">
        <v>108</v>
      </c>
      <c r="R1088" t="s">
        <v>5698</v>
      </c>
      <c r="S1088">
        <v>2.02</v>
      </c>
      <c r="T1088">
        <v>3501</v>
      </c>
      <c r="U1088">
        <v>0</v>
      </c>
      <c r="V1088">
        <v>3501</v>
      </c>
    </row>
    <row r="1089" spans="1:22" x14ac:dyDescent="0.3">
      <c r="A1089">
        <v>187830</v>
      </c>
      <c r="B1089">
        <v>138279471</v>
      </c>
      <c r="C1089" t="s">
        <v>5704</v>
      </c>
      <c r="D1089" t="s">
        <v>5705</v>
      </c>
      <c r="E1089" t="s">
        <v>5494</v>
      </c>
      <c r="F1089" t="s">
        <v>514</v>
      </c>
      <c r="G1089" t="s">
        <v>43</v>
      </c>
      <c r="H1089" t="s">
        <v>44</v>
      </c>
      <c r="I1089" t="s">
        <v>34</v>
      </c>
      <c r="J1089" t="s">
        <v>45</v>
      </c>
      <c r="K1089" t="s">
        <v>41</v>
      </c>
      <c r="L1089" t="s">
        <v>5706</v>
      </c>
      <c r="M1089" t="s">
        <v>5707</v>
      </c>
      <c r="N1089" t="s">
        <v>516</v>
      </c>
      <c r="O1089" t="s">
        <v>64</v>
      </c>
      <c r="P1089" t="s">
        <v>5708</v>
      </c>
      <c r="Q1089" t="s">
        <v>94</v>
      </c>
      <c r="R1089" t="s">
        <v>446</v>
      </c>
      <c r="S1089">
        <v>1</v>
      </c>
      <c r="T1089">
        <v>3904</v>
      </c>
      <c r="U1089">
        <v>0</v>
      </c>
      <c r="V1089">
        <v>3904</v>
      </c>
    </row>
    <row r="1090" spans="1:22" x14ac:dyDescent="0.3">
      <c r="A1090">
        <v>187830</v>
      </c>
      <c r="B1090">
        <v>138257468</v>
      </c>
      <c r="C1090" t="s">
        <v>5709</v>
      </c>
      <c r="D1090" t="s">
        <v>5710</v>
      </c>
      <c r="E1090" t="s">
        <v>5494</v>
      </c>
      <c r="F1090" t="s">
        <v>514</v>
      </c>
      <c r="G1090" t="s">
        <v>43</v>
      </c>
      <c r="H1090" t="s">
        <v>44</v>
      </c>
      <c r="I1090" t="s">
        <v>34</v>
      </c>
      <c r="J1090" t="s">
        <v>45</v>
      </c>
      <c r="K1090" t="s">
        <v>41</v>
      </c>
      <c r="L1090" t="s">
        <v>5711</v>
      </c>
      <c r="M1090" t="s">
        <v>5712</v>
      </c>
      <c r="N1090" t="s">
        <v>516</v>
      </c>
      <c r="O1090" t="s">
        <v>64</v>
      </c>
      <c r="P1090" t="s">
        <v>5713</v>
      </c>
      <c r="Q1090" t="s">
        <v>97</v>
      </c>
      <c r="R1090" t="s">
        <v>474</v>
      </c>
      <c r="S1090">
        <v>0.85</v>
      </c>
      <c r="T1090">
        <v>4520</v>
      </c>
      <c r="U1090">
        <v>0</v>
      </c>
      <c r="V1090">
        <v>4520</v>
      </c>
    </row>
    <row r="1091" spans="1:22" x14ac:dyDescent="0.3">
      <c r="A1091">
        <v>187830</v>
      </c>
      <c r="B1091">
        <v>138192876</v>
      </c>
      <c r="C1091" t="s">
        <v>5714</v>
      </c>
      <c r="D1091" t="s">
        <v>5715</v>
      </c>
      <c r="E1091" t="s">
        <v>5494</v>
      </c>
      <c r="F1091" t="s">
        <v>514</v>
      </c>
      <c r="G1091" t="s">
        <v>43</v>
      </c>
      <c r="H1091" t="s">
        <v>44</v>
      </c>
      <c r="I1091" t="s">
        <v>34</v>
      </c>
      <c r="J1091" t="s">
        <v>45</v>
      </c>
      <c r="K1091" t="s">
        <v>41</v>
      </c>
      <c r="L1091" t="s">
        <v>5716</v>
      </c>
      <c r="M1091" t="s">
        <v>5717</v>
      </c>
      <c r="N1091" t="s">
        <v>516</v>
      </c>
      <c r="O1091" t="s">
        <v>64</v>
      </c>
      <c r="P1091" t="s">
        <v>5718</v>
      </c>
      <c r="Q1091" t="s">
        <v>118</v>
      </c>
      <c r="R1091" t="s">
        <v>388</v>
      </c>
      <c r="S1091">
        <v>1.2</v>
      </c>
      <c r="T1091">
        <v>4230</v>
      </c>
      <c r="U1091">
        <v>0</v>
      </c>
      <c r="V1091">
        <v>4230</v>
      </c>
    </row>
    <row r="1092" spans="1:22" x14ac:dyDescent="0.3">
      <c r="A1092">
        <v>187830</v>
      </c>
      <c r="B1092">
        <v>138257469</v>
      </c>
      <c r="C1092" t="s">
        <v>5719</v>
      </c>
      <c r="D1092" t="s">
        <v>5720</v>
      </c>
      <c r="E1092" t="s">
        <v>5494</v>
      </c>
      <c r="F1092" t="s">
        <v>514</v>
      </c>
      <c r="G1092" t="s">
        <v>43</v>
      </c>
      <c r="H1092" t="s">
        <v>44</v>
      </c>
      <c r="I1092" t="s">
        <v>34</v>
      </c>
      <c r="J1092" t="s">
        <v>45</v>
      </c>
      <c r="K1092" t="s">
        <v>41</v>
      </c>
      <c r="L1092" t="s">
        <v>5721</v>
      </c>
      <c r="M1092" t="s">
        <v>5722</v>
      </c>
      <c r="N1092" t="s">
        <v>516</v>
      </c>
      <c r="O1092" t="s">
        <v>64</v>
      </c>
      <c r="P1092" t="s">
        <v>5723</v>
      </c>
      <c r="Q1092" t="s">
        <v>56</v>
      </c>
      <c r="R1092" t="s">
        <v>474</v>
      </c>
      <c r="S1092">
        <v>0.68</v>
      </c>
      <c r="T1092">
        <v>3904</v>
      </c>
      <c r="U1092">
        <v>0</v>
      </c>
      <c r="V1092">
        <v>3904</v>
      </c>
    </row>
    <row r="1093" spans="1:22" x14ac:dyDescent="0.3">
      <c r="A1093">
        <v>187830</v>
      </c>
      <c r="B1093">
        <v>138212181</v>
      </c>
      <c r="C1093" t="s">
        <v>5724</v>
      </c>
      <c r="D1093" t="s">
        <v>5725</v>
      </c>
      <c r="E1093" t="s">
        <v>5494</v>
      </c>
      <c r="F1093" t="s">
        <v>514</v>
      </c>
      <c r="G1093" t="s">
        <v>43</v>
      </c>
      <c r="H1093" t="s">
        <v>44</v>
      </c>
      <c r="I1093" t="s">
        <v>34</v>
      </c>
      <c r="J1093" t="s">
        <v>45</v>
      </c>
      <c r="K1093" t="s">
        <v>41</v>
      </c>
      <c r="L1093" t="s">
        <v>422</v>
      </c>
      <c r="M1093" t="s">
        <v>5726</v>
      </c>
      <c r="N1093" t="s">
        <v>516</v>
      </c>
      <c r="O1093" t="s">
        <v>64</v>
      </c>
      <c r="P1093" t="s">
        <v>5727</v>
      </c>
      <c r="Q1093" t="s">
        <v>90</v>
      </c>
      <c r="R1093" t="s">
        <v>5728</v>
      </c>
      <c r="S1093">
        <v>1.94</v>
      </c>
      <c r="T1093">
        <v>3904</v>
      </c>
      <c r="U1093">
        <v>0</v>
      </c>
      <c r="V1093">
        <v>3904</v>
      </c>
    </row>
    <row r="1094" spans="1:22" x14ac:dyDescent="0.3">
      <c r="A1094">
        <v>187830</v>
      </c>
      <c r="B1094">
        <v>138212179</v>
      </c>
      <c r="C1094" t="s">
        <v>5729</v>
      </c>
      <c r="D1094" t="s">
        <v>5730</v>
      </c>
      <c r="E1094" t="s">
        <v>5494</v>
      </c>
      <c r="F1094" t="s">
        <v>514</v>
      </c>
      <c r="G1094" t="s">
        <v>43</v>
      </c>
      <c r="H1094" t="s">
        <v>44</v>
      </c>
      <c r="I1094" t="s">
        <v>34</v>
      </c>
      <c r="J1094" t="s">
        <v>45</v>
      </c>
      <c r="K1094" t="s">
        <v>41</v>
      </c>
      <c r="L1094" t="s">
        <v>5731</v>
      </c>
      <c r="M1094" t="s">
        <v>5732</v>
      </c>
      <c r="N1094" t="s">
        <v>516</v>
      </c>
      <c r="O1094" t="s">
        <v>64</v>
      </c>
      <c r="P1094" t="s">
        <v>5733</v>
      </c>
      <c r="Q1094" t="s">
        <v>56</v>
      </c>
      <c r="R1094" t="s">
        <v>5728</v>
      </c>
      <c r="S1094">
        <v>1.1200000000000001</v>
      </c>
      <c r="T1094">
        <v>3904</v>
      </c>
      <c r="U1094">
        <v>0</v>
      </c>
      <c r="V1094">
        <v>3904</v>
      </c>
    </row>
    <row r="1095" spans="1:22" x14ac:dyDescent="0.3">
      <c r="A1095">
        <v>187830</v>
      </c>
      <c r="B1095">
        <v>138236166</v>
      </c>
      <c r="C1095" t="s">
        <v>5734</v>
      </c>
      <c r="D1095" t="s">
        <v>5735</v>
      </c>
      <c r="E1095" t="s">
        <v>5494</v>
      </c>
      <c r="F1095" t="s">
        <v>514</v>
      </c>
      <c r="G1095" t="s">
        <v>43</v>
      </c>
      <c r="H1095" t="s">
        <v>44</v>
      </c>
      <c r="I1095" t="s">
        <v>34</v>
      </c>
      <c r="J1095" t="s">
        <v>45</v>
      </c>
      <c r="K1095" t="s">
        <v>41</v>
      </c>
      <c r="L1095" t="s">
        <v>5736</v>
      </c>
      <c r="M1095" t="s">
        <v>5737</v>
      </c>
      <c r="N1095" t="s">
        <v>516</v>
      </c>
      <c r="O1095" t="s">
        <v>64</v>
      </c>
      <c r="P1095" t="s">
        <v>5738</v>
      </c>
      <c r="Q1095" t="s">
        <v>143</v>
      </c>
      <c r="R1095" t="s">
        <v>360</v>
      </c>
      <c r="S1095">
        <v>0.75</v>
      </c>
      <c r="T1095">
        <v>4724</v>
      </c>
      <c r="U1095">
        <v>0</v>
      </c>
      <c r="V1095">
        <v>4724</v>
      </c>
    </row>
    <row r="1096" spans="1:22" x14ac:dyDescent="0.3">
      <c r="A1096">
        <v>187830</v>
      </c>
      <c r="B1096">
        <v>138212184</v>
      </c>
      <c r="C1096" t="s">
        <v>5739</v>
      </c>
      <c r="D1096" t="s">
        <v>5740</v>
      </c>
      <c r="E1096" t="s">
        <v>5494</v>
      </c>
      <c r="F1096" t="s">
        <v>514</v>
      </c>
      <c r="G1096" t="s">
        <v>43</v>
      </c>
      <c r="H1096" t="s">
        <v>44</v>
      </c>
      <c r="I1096" t="s">
        <v>34</v>
      </c>
      <c r="J1096" t="s">
        <v>45</v>
      </c>
      <c r="K1096" t="s">
        <v>41</v>
      </c>
      <c r="L1096" t="s">
        <v>5741</v>
      </c>
      <c r="M1096" t="s">
        <v>5742</v>
      </c>
      <c r="N1096" t="s">
        <v>516</v>
      </c>
      <c r="O1096" t="s">
        <v>64</v>
      </c>
      <c r="P1096" t="s">
        <v>5743</v>
      </c>
      <c r="Q1096" t="s">
        <v>42</v>
      </c>
      <c r="R1096" t="s">
        <v>5728</v>
      </c>
      <c r="S1096">
        <v>0.75</v>
      </c>
      <c r="T1096">
        <v>3936</v>
      </c>
      <c r="U1096">
        <v>0</v>
      </c>
      <c r="V1096">
        <v>3936</v>
      </c>
    </row>
    <row r="1097" spans="1:22" x14ac:dyDescent="0.3">
      <c r="A1097">
        <v>187830</v>
      </c>
      <c r="B1097">
        <v>138212182</v>
      </c>
      <c r="C1097" t="s">
        <v>5744</v>
      </c>
      <c r="D1097" t="s">
        <v>5745</v>
      </c>
      <c r="E1097" t="s">
        <v>5494</v>
      </c>
      <c r="F1097" t="s">
        <v>514</v>
      </c>
      <c r="G1097" t="s">
        <v>43</v>
      </c>
      <c r="H1097" t="s">
        <v>44</v>
      </c>
      <c r="I1097" t="s">
        <v>34</v>
      </c>
      <c r="J1097" t="s">
        <v>45</v>
      </c>
      <c r="K1097" t="s">
        <v>41</v>
      </c>
      <c r="L1097" t="s">
        <v>5746</v>
      </c>
      <c r="M1097" t="s">
        <v>5747</v>
      </c>
      <c r="N1097" t="s">
        <v>516</v>
      </c>
      <c r="O1097" t="s">
        <v>64</v>
      </c>
      <c r="P1097" t="s">
        <v>5748</v>
      </c>
      <c r="Q1097" t="s">
        <v>170</v>
      </c>
      <c r="R1097" t="s">
        <v>5728</v>
      </c>
      <c r="S1097">
        <v>5.53</v>
      </c>
      <c r="T1097">
        <v>4495</v>
      </c>
      <c r="U1097">
        <v>0</v>
      </c>
      <c r="V1097">
        <v>4495</v>
      </c>
    </row>
    <row r="1098" spans="1:22" x14ac:dyDescent="0.3">
      <c r="A1098">
        <v>187830</v>
      </c>
      <c r="B1098">
        <v>138192870</v>
      </c>
      <c r="C1098" t="s">
        <v>5749</v>
      </c>
      <c r="D1098" t="s">
        <v>5750</v>
      </c>
      <c r="E1098" t="s">
        <v>5494</v>
      </c>
      <c r="F1098" t="s">
        <v>514</v>
      </c>
      <c r="G1098" t="s">
        <v>43</v>
      </c>
      <c r="H1098" t="s">
        <v>44</v>
      </c>
      <c r="I1098" t="s">
        <v>34</v>
      </c>
      <c r="J1098" t="s">
        <v>45</v>
      </c>
      <c r="K1098" t="s">
        <v>41</v>
      </c>
      <c r="L1098" t="s">
        <v>5751</v>
      </c>
      <c r="M1098" t="s">
        <v>5752</v>
      </c>
      <c r="N1098" t="s">
        <v>516</v>
      </c>
      <c r="O1098" t="s">
        <v>64</v>
      </c>
      <c r="P1098" t="s">
        <v>5753</v>
      </c>
      <c r="Q1098" t="s">
        <v>130</v>
      </c>
      <c r="R1098" t="s">
        <v>388</v>
      </c>
      <c r="S1098">
        <v>3.16</v>
      </c>
      <c r="T1098">
        <v>4635</v>
      </c>
      <c r="U1098">
        <v>0</v>
      </c>
      <c r="V1098">
        <v>4635</v>
      </c>
    </row>
    <row r="1099" spans="1:22" x14ac:dyDescent="0.3">
      <c r="A1099">
        <v>187830</v>
      </c>
      <c r="B1099">
        <v>138192867</v>
      </c>
      <c r="C1099" t="s">
        <v>5754</v>
      </c>
      <c r="D1099" t="s">
        <v>5755</v>
      </c>
      <c r="E1099" t="s">
        <v>5494</v>
      </c>
      <c r="F1099" t="s">
        <v>514</v>
      </c>
      <c r="G1099" t="s">
        <v>43</v>
      </c>
      <c r="H1099" t="s">
        <v>44</v>
      </c>
      <c r="I1099" t="s">
        <v>34</v>
      </c>
      <c r="J1099" t="s">
        <v>45</v>
      </c>
      <c r="K1099" t="s">
        <v>41</v>
      </c>
      <c r="L1099" t="s">
        <v>5756</v>
      </c>
      <c r="M1099" t="s">
        <v>5757</v>
      </c>
      <c r="N1099" t="s">
        <v>516</v>
      </c>
      <c r="O1099" t="s">
        <v>64</v>
      </c>
      <c r="P1099" t="s">
        <v>5758</v>
      </c>
      <c r="Q1099" t="s">
        <v>151</v>
      </c>
      <c r="R1099" t="s">
        <v>388</v>
      </c>
      <c r="S1099">
        <v>0.63</v>
      </c>
      <c r="T1099">
        <v>4230</v>
      </c>
      <c r="U1099">
        <v>0</v>
      </c>
      <c r="V1099">
        <v>4230</v>
      </c>
    </row>
    <row r="1100" spans="1:22" x14ac:dyDescent="0.3">
      <c r="A1100">
        <v>187830</v>
      </c>
      <c r="B1100">
        <v>138143278</v>
      </c>
      <c r="C1100" t="s">
        <v>5759</v>
      </c>
      <c r="D1100" t="s">
        <v>5760</v>
      </c>
      <c r="E1100" t="s">
        <v>5494</v>
      </c>
      <c r="F1100" t="s">
        <v>514</v>
      </c>
      <c r="G1100" t="s">
        <v>43</v>
      </c>
      <c r="H1100" t="s">
        <v>44</v>
      </c>
      <c r="I1100" t="s">
        <v>34</v>
      </c>
      <c r="J1100" t="s">
        <v>45</v>
      </c>
      <c r="K1100" t="s">
        <v>41</v>
      </c>
      <c r="L1100" t="s">
        <v>5761</v>
      </c>
      <c r="M1100" t="s">
        <v>5762</v>
      </c>
      <c r="N1100" t="s">
        <v>516</v>
      </c>
      <c r="O1100" t="s">
        <v>64</v>
      </c>
      <c r="P1100" t="s">
        <v>5763</v>
      </c>
      <c r="Q1100" t="s">
        <v>61</v>
      </c>
      <c r="R1100" t="s">
        <v>5764</v>
      </c>
      <c r="S1100">
        <v>0.71</v>
      </c>
      <c r="T1100">
        <v>3501</v>
      </c>
      <c r="U1100">
        <v>0</v>
      </c>
      <c r="V1100">
        <v>3501</v>
      </c>
    </row>
    <row r="1101" spans="1:22" x14ac:dyDescent="0.3">
      <c r="A1101">
        <v>187830</v>
      </c>
      <c r="B1101">
        <v>137329053</v>
      </c>
      <c r="C1101" t="s">
        <v>5765</v>
      </c>
      <c r="D1101" t="s">
        <v>5766</v>
      </c>
      <c r="E1101" t="s">
        <v>5494</v>
      </c>
      <c r="F1101" t="s">
        <v>514</v>
      </c>
      <c r="G1101" t="s">
        <v>43</v>
      </c>
      <c r="H1101" t="s">
        <v>44</v>
      </c>
      <c r="I1101" t="s">
        <v>34</v>
      </c>
      <c r="J1101" t="s">
        <v>45</v>
      </c>
      <c r="K1101" t="s">
        <v>41</v>
      </c>
      <c r="L1101" t="s">
        <v>5767</v>
      </c>
      <c r="M1101" t="s">
        <v>5768</v>
      </c>
      <c r="N1101" t="s">
        <v>516</v>
      </c>
      <c r="O1101" t="s">
        <v>64</v>
      </c>
      <c r="P1101" t="s">
        <v>5769</v>
      </c>
      <c r="Q1101" t="s">
        <v>118</v>
      </c>
      <c r="R1101" t="s">
        <v>5770</v>
      </c>
      <c r="S1101">
        <v>1.92</v>
      </c>
      <c r="T1101">
        <v>4230</v>
      </c>
      <c r="U1101">
        <v>0</v>
      </c>
      <c r="V1101">
        <v>4230</v>
      </c>
    </row>
    <row r="1102" spans="1:22" x14ac:dyDescent="0.3">
      <c r="A1102">
        <v>187830</v>
      </c>
      <c r="B1102">
        <v>138116024</v>
      </c>
      <c r="C1102" t="s">
        <v>5771</v>
      </c>
      <c r="D1102" t="s">
        <v>5772</v>
      </c>
      <c r="E1102" t="s">
        <v>5494</v>
      </c>
      <c r="F1102" t="s">
        <v>514</v>
      </c>
      <c r="G1102" t="s">
        <v>43</v>
      </c>
      <c r="H1102" t="s">
        <v>44</v>
      </c>
      <c r="I1102" t="s">
        <v>34</v>
      </c>
      <c r="J1102" t="s">
        <v>45</v>
      </c>
      <c r="K1102" t="s">
        <v>41</v>
      </c>
      <c r="L1102" t="s">
        <v>5773</v>
      </c>
      <c r="M1102" t="s">
        <v>5774</v>
      </c>
      <c r="N1102" t="s">
        <v>516</v>
      </c>
      <c r="O1102" t="s">
        <v>64</v>
      </c>
      <c r="P1102" t="s">
        <v>5775</v>
      </c>
      <c r="Q1102" t="s">
        <v>97</v>
      </c>
      <c r="R1102" t="s">
        <v>497</v>
      </c>
      <c r="S1102">
        <v>3.54</v>
      </c>
      <c r="T1102">
        <v>5592</v>
      </c>
      <c r="U1102">
        <v>0</v>
      </c>
      <c r="V1102">
        <v>5592</v>
      </c>
    </row>
    <row r="1103" spans="1:22" x14ac:dyDescent="0.3">
      <c r="A1103">
        <v>187830</v>
      </c>
      <c r="B1103">
        <v>138096174</v>
      </c>
      <c r="C1103" t="s">
        <v>5776</v>
      </c>
      <c r="D1103" t="s">
        <v>5777</v>
      </c>
      <c r="E1103" t="s">
        <v>5494</v>
      </c>
      <c r="F1103" t="s">
        <v>514</v>
      </c>
      <c r="G1103" t="s">
        <v>43</v>
      </c>
      <c r="H1103" t="s">
        <v>44</v>
      </c>
      <c r="I1103" t="s">
        <v>34</v>
      </c>
      <c r="J1103" t="s">
        <v>45</v>
      </c>
      <c r="K1103" t="s">
        <v>41</v>
      </c>
      <c r="L1103" t="s">
        <v>5778</v>
      </c>
      <c r="M1103" t="s">
        <v>5779</v>
      </c>
      <c r="N1103" t="s">
        <v>516</v>
      </c>
      <c r="O1103" t="s">
        <v>64</v>
      </c>
      <c r="P1103" t="s">
        <v>5780</v>
      </c>
      <c r="Q1103" t="s">
        <v>67</v>
      </c>
      <c r="R1103" t="s">
        <v>5592</v>
      </c>
      <c r="S1103">
        <v>2.88</v>
      </c>
      <c r="T1103">
        <v>3936</v>
      </c>
      <c r="U1103">
        <v>0</v>
      </c>
      <c r="V1103">
        <v>3936</v>
      </c>
    </row>
    <row r="1104" spans="1:22" x14ac:dyDescent="0.3">
      <c r="A1104">
        <v>187830</v>
      </c>
      <c r="B1104">
        <v>138051897</v>
      </c>
      <c r="C1104" t="s">
        <v>5781</v>
      </c>
      <c r="D1104" t="s">
        <v>5782</v>
      </c>
      <c r="E1104" t="s">
        <v>5494</v>
      </c>
      <c r="F1104" t="s">
        <v>514</v>
      </c>
      <c r="G1104" t="s">
        <v>43</v>
      </c>
      <c r="H1104" t="s">
        <v>44</v>
      </c>
      <c r="I1104" t="s">
        <v>34</v>
      </c>
      <c r="J1104" t="s">
        <v>45</v>
      </c>
      <c r="K1104" t="s">
        <v>41</v>
      </c>
      <c r="L1104" t="s">
        <v>5783</v>
      </c>
      <c r="M1104" t="s">
        <v>5784</v>
      </c>
      <c r="N1104" t="s">
        <v>516</v>
      </c>
      <c r="O1104" t="s">
        <v>64</v>
      </c>
      <c r="P1104" t="s">
        <v>5785</v>
      </c>
      <c r="Q1104" t="s">
        <v>97</v>
      </c>
      <c r="R1104" t="s">
        <v>5581</v>
      </c>
      <c r="S1104">
        <v>3.28</v>
      </c>
      <c r="T1104">
        <v>5592</v>
      </c>
      <c r="U1104">
        <v>0</v>
      </c>
      <c r="V1104">
        <v>5592</v>
      </c>
    </row>
    <row r="1105" spans="1:22" x14ac:dyDescent="0.3">
      <c r="A1105">
        <v>187830</v>
      </c>
      <c r="B1105">
        <v>138116026</v>
      </c>
      <c r="C1105" t="s">
        <v>5786</v>
      </c>
      <c r="D1105" t="s">
        <v>5787</v>
      </c>
      <c r="E1105" t="s">
        <v>5494</v>
      </c>
      <c r="F1105" t="s">
        <v>514</v>
      </c>
      <c r="G1105" t="s">
        <v>43</v>
      </c>
      <c r="H1105" t="s">
        <v>44</v>
      </c>
      <c r="I1105" t="s">
        <v>34</v>
      </c>
      <c r="J1105" t="s">
        <v>45</v>
      </c>
      <c r="K1105" t="s">
        <v>41</v>
      </c>
      <c r="L1105" t="s">
        <v>5788</v>
      </c>
      <c r="M1105" t="s">
        <v>5789</v>
      </c>
      <c r="N1105" t="s">
        <v>516</v>
      </c>
      <c r="O1105" t="s">
        <v>64</v>
      </c>
      <c r="P1105" t="s">
        <v>5790</v>
      </c>
      <c r="Q1105" t="s">
        <v>97</v>
      </c>
      <c r="R1105" t="s">
        <v>497</v>
      </c>
      <c r="S1105">
        <v>1.4</v>
      </c>
      <c r="T1105">
        <v>4520</v>
      </c>
      <c r="U1105">
        <v>0</v>
      </c>
      <c r="V1105">
        <v>4520</v>
      </c>
    </row>
    <row r="1106" spans="1:22" x14ac:dyDescent="0.3">
      <c r="A1106">
        <v>187830</v>
      </c>
      <c r="B1106">
        <v>137963790</v>
      </c>
      <c r="C1106" t="s">
        <v>5791</v>
      </c>
      <c r="D1106" t="s">
        <v>5792</v>
      </c>
      <c r="E1106" t="s">
        <v>5494</v>
      </c>
      <c r="F1106" t="s">
        <v>514</v>
      </c>
      <c r="G1106" t="s">
        <v>43</v>
      </c>
      <c r="H1106" t="s">
        <v>44</v>
      </c>
      <c r="I1106" t="s">
        <v>34</v>
      </c>
      <c r="J1106" t="s">
        <v>45</v>
      </c>
      <c r="K1106" t="s">
        <v>41</v>
      </c>
      <c r="L1106" t="s">
        <v>5793</v>
      </c>
      <c r="M1106" t="s">
        <v>5794</v>
      </c>
      <c r="N1106" t="s">
        <v>516</v>
      </c>
      <c r="O1106" t="s">
        <v>64</v>
      </c>
      <c r="P1106" t="s">
        <v>5795</v>
      </c>
      <c r="Q1106" t="s">
        <v>82</v>
      </c>
      <c r="R1106" t="s">
        <v>5649</v>
      </c>
      <c r="S1106">
        <v>3.2</v>
      </c>
      <c r="T1106">
        <v>8329</v>
      </c>
      <c r="U1106">
        <v>0</v>
      </c>
      <c r="V1106">
        <v>8329</v>
      </c>
    </row>
    <row r="1107" spans="1:22" x14ac:dyDescent="0.3">
      <c r="A1107">
        <v>187830</v>
      </c>
      <c r="B1107">
        <v>137359944</v>
      </c>
      <c r="C1107" t="s">
        <v>5796</v>
      </c>
      <c r="D1107" t="s">
        <v>5797</v>
      </c>
      <c r="E1107" t="s">
        <v>5494</v>
      </c>
      <c r="F1107" t="s">
        <v>514</v>
      </c>
      <c r="G1107" t="s">
        <v>43</v>
      </c>
      <c r="H1107" t="s">
        <v>44</v>
      </c>
      <c r="I1107" t="s">
        <v>34</v>
      </c>
      <c r="J1107" t="s">
        <v>45</v>
      </c>
      <c r="K1107" t="s">
        <v>41</v>
      </c>
      <c r="L1107" t="s">
        <v>5798</v>
      </c>
      <c r="M1107" t="s">
        <v>5799</v>
      </c>
      <c r="N1107" t="s">
        <v>516</v>
      </c>
      <c r="O1107" t="s">
        <v>64</v>
      </c>
      <c r="P1107" t="s">
        <v>5800</v>
      </c>
      <c r="Q1107" t="s">
        <v>67</v>
      </c>
      <c r="R1107" t="s">
        <v>5497</v>
      </c>
      <c r="S1107">
        <v>2.84</v>
      </c>
      <c r="T1107">
        <v>3936</v>
      </c>
      <c r="U1107">
        <v>0</v>
      </c>
      <c r="V1107">
        <v>3936</v>
      </c>
    </row>
    <row r="1108" spans="1:22" x14ac:dyDescent="0.3">
      <c r="A1108">
        <v>187830</v>
      </c>
      <c r="B1108">
        <v>138051900</v>
      </c>
      <c r="C1108" t="s">
        <v>5801</v>
      </c>
      <c r="D1108" t="s">
        <v>5802</v>
      </c>
      <c r="E1108" t="s">
        <v>5494</v>
      </c>
      <c r="F1108" t="s">
        <v>514</v>
      </c>
      <c r="G1108" t="s">
        <v>43</v>
      </c>
      <c r="H1108" t="s">
        <v>44</v>
      </c>
      <c r="I1108" t="s">
        <v>34</v>
      </c>
      <c r="J1108" t="s">
        <v>45</v>
      </c>
      <c r="K1108" t="s">
        <v>41</v>
      </c>
      <c r="L1108" t="s">
        <v>5803</v>
      </c>
      <c r="M1108" t="s">
        <v>423</v>
      </c>
      <c r="N1108" t="s">
        <v>516</v>
      </c>
      <c r="O1108" t="s">
        <v>64</v>
      </c>
      <c r="P1108" t="s">
        <v>5804</v>
      </c>
      <c r="Q1108" t="s">
        <v>90</v>
      </c>
      <c r="R1108" t="s">
        <v>5581</v>
      </c>
      <c r="S1108">
        <v>1.96</v>
      </c>
      <c r="T1108">
        <v>3904</v>
      </c>
      <c r="U1108">
        <v>0</v>
      </c>
      <c r="V1108">
        <v>3904</v>
      </c>
    </row>
    <row r="1109" spans="1:22" x14ac:dyDescent="0.3">
      <c r="A1109">
        <v>187830</v>
      </c>
      <c r="B1109">
        <v>138009124</v>
      </c>
      <c r="C1109" t="s">
        <v>5805</v>
      </c>
      <c r="D1109" t="s">
        <v>5806</v>
      </c>
      <c r="E1109" t="s">
        <v>5494</v>
      </c>
      <c r="F1109" t="s">
        <v>514</v>
      </c>
      <c r="G1109" t="s">
        <v>43</v>
      </c>
      <c r="H1109" t="s">
        <v>44</v>
      </c>
      <c r="I1109" t="s">
        <v>34</v>
      </c>
      <c r="J1109" t="s">
        <v>45</v>
      </c>
      <c r="K1109" t="s">
        <v>41</v>
      </c>
      <c r="L1109" t="s">
        <v>5807</v>
      </c>
      <c r="M1109" t="s">
        <v>5808</v>
      </c>
      <c r="N1109" t="s">
        <v>516</v>
      </c>
      <c r="O1109" t="s">
        <v>64</v>
      </c>
      <c r="P1109" t="s">
        <v>5809</v>
      </c>
      <c r="Q1109" t="s">
        <v>48</v>
      </c>
      <c r="R1109" t="s">
        <v>481</v>
      </c>
      <c r="S1109">
        <v>1</v>
      </c>
      <c r="T1109">
        <v>4230</v>
      </c>
      <c r="U1109">
        <v>0</v>
      </c>
      <c r="V1109">
        <v>4230</v>
      </c>
    </row>
    <row r="1110" spans="1:22" x14ac:dyDescent="0.3">
      <c r="A1110">
        <v>187830</v>
      </c>
      <c r="B1110">
        <v>138031300</v>
      </c>
      <c r="C1110" t="s">
        <v>5810</v>
      </c>
      <c r="D1110" t="s">
        <v>5811</v>
      </c>
      <c r="E1110" t="s">
        <v>5494</v>
      </c>
      <c r="F1110" t="s">
        <v>514</v>
      </c>
      <c r="G1110" t="s">
        <v>43</v>
      </c>
      <c r="H1110" t="s">
        <v>44</v>
      </c>
      <c r="I1110" t="s">
        <v>34</v>
      </c>
      <c r="J1110" t="s">
        <v>45</v>
      </c>
      <c r="K1110" t="s">
        <v>41</v>
      </c>
      <c r="L1110" t="s">
        <v>5812</v>
      </c>
      <c r="M1110" t="s">
        <v>5813</v>
      </c>
      <c r="N1110" t="s">
        <v>516</v>
      </c>
      <c r="O1110" t="s">
        <v>64</v>
      </c>
      <c r="P1110" t="s">
        <v>5814</v>
      </c>
      <c r="Q1110" t="s">
        <v>48</v>
      </c>
      <c r="R1110" t="s">
        <v>5815</v>
      </c>
      <c r="S1110">
        <v>3.19</v>
      </c>
      <c r="T1110">
        <v>5047</v>
      </c>
      <c r="U1110">
        <v>0</v>
      </c>
      <c r="V1110">
        <v>5047</v>
      </c>
    </row>
    <row r="1111" spans="1:22" x14ac:dyDescent="0.3">
      <c r="A1111">
        <v>187830</v>
      </c>
      <c r="B1111">
        <v>137963791</v>
      </c>
      <c r="C1111" t="s">
        <v>5816</v>
      </c>
      <c r="D1111" t="s">
        <v>5817</v>
      </c>
      <c r="E1111" t="s">
        <v>5494</v>
      </c>
      <c r="F1111" t="s">
        <v>514</v>
      </c>
      <c r="G1111" t="s">
        <v>43</v>
      </c>
      <c r="H1111" t="s">
        <v>44</v>
      </c>
      <c r="I1111" t="s">
        <v>34</v>
      </c>
      <c r="J1111" t="s">
        <v>45</v>
      </c>
      <c r="K1111" t="s">
        <v>41</v>
      </c>
      <c r="L1111" t="s">
        <v>5818</v>
      </c>
      <c r="M1111" t="s">
        <v>5819</v>
      </c>
      <c r="N1111" t="s">
        <v>516</v>
      </c>
      <c r="O1111" t="s">
        <v>64</v>
      </c>
      <c r="P1111" t="s">
        <v>5820</v>
      </c>
      <c r="Q1111" t="s">
        <v>97</v>
      </c>
      <c r="R1111" t="s">
        <v>5649</v>
      </c>
      <c r="S1111">
        <v>1.08</v>
      </c>
      <c r="T1111">
        <v>4520</v>
      </c>
      <c r="U1111">
        <v>0</v>
      </c>
      <c r="V1111">
        <v>4520</v>
      </c>
    </row>
    <row r="1112" spans="1:22" x14ac:dyDescent="0.3">
      <c r="A1112">
        <v>187830</v>
      </c>
      <c r="B1112">
        <v>138031306</v>
      </c>
      <c r="C1112" t="s">
        <v>5821</v>
      </c>
      <c r="D1112" t="s">
        <v>5822</v>
      </c>
      <c r="E1112" t="s">
        <v>5494</v>
      </c>
      <c r="F1112" t="s">
        <v>514</v>
      </c>
      <c r="G1112" t="s">
        <v>43</v>
      </c>
      <c r="H1112" t="s">
        <v>44</v>
      </c>
      <c r="I1112" t="s">
        <v>34</v>
      </c>
      <c r="J1112" t="s">
        <v>45</v>
      </c>
      <c r="K1112" t="s">
        <v>41</v>
      </c>
      <c r="L1112" t="s">
        <v>5823</v>
      </c>
      <c r="M1112" t="s">
        <v>5824</v>
      </c>
      <c r="N1112" t="s">
        <v>516</v>
      </c>
      <c r="O1112" t="s">
        <v>64</v>
      </c>
      <c r="P1112" t="s">
        <v>5825</v>
      </c>
      <c r="Q1112" t="s">
        <v>47</v>
      </c>
      <c r="R1112" t="s">
        <v>5815</v>
      </c>
      <c r="S1112">
        <v>7.46</v>
      </c>
      <c r="T1112">
        <v>7164</v>
      </c>
      <c r="U1112">
        <v>0</v>
      </c>
      <c r="V1112">
        <v>7164</v>
      </c>
    </row>
    <row r="1113" spans="1:22" x14ac:dyDescent="0.3">
      <c r="A1113">
        <v>187830</v>
      </c>
      <c r="B1113">
        <v>138031308</v>
      </c>
      <c r="C1113" t="s">
        <v>5826</v>
      </c>
      <c r="D1113" t="s">
        <v>5827</v>
      </c>
      <c r="E1113" t="s">
        <v>5494</v>
      </c>
      <c r="F1113" t="s">
        <v>514</v>
      </c>
      <c r="G1113" t="s">
        <v>43</v>
      </c>
      <c r="H1113" t="s">
        <v>44</v>
      </c>
      <c r="I1113" t="s">
        <v>34</v>
      </c>
      <c r="J1113" t="s">
        <v>45</v>
      </c>
      <c r="K1113" t="s">
        <v>41</v>
      </c>
      <c r="L1113" t="s">
        <v>5828</v>
      </c>
      <c r="M1113" t="s">
        <v>5829</v>
      </c>
      <c r="N1113" t="s">
        <v>516</v>
      </c>
      <c r="O1113" t="s">
        <v>64</v>
      </c>
      <c r="P1113" t="s">
        <v>5830</v>
      </c>
      <c r="Q1113" t="s">
        <v>49</v>
      </c>
      <c r="R1113" t="s">
        <v>5815</v>
      </c>
      <c r="S1113">
        <v>0.22</v>
      </c>
      <c r="T1113">
        <v>3587</v>
      </c>
      <c r="U1113">
        <v>0</v>
      </c>
      <c r="V1113">
        <v>3587</v>
      </c>
    </row>
    <row r="1114" spans="1:22" x14ac:dyDescent="0.3">
      <c r="A1114">
        <v>187830</v>
      </c>
      <c r="B1114">
        <v>138031295</v>
      </c>
      <c r="C1114" t="s">
        <v>5831</v>
      </c>
      <c r="D1114" t="s">
        <v>5832</v>
      </c>
      <c r="E1114" t="s">
        <v>5494</v>
      </c>
      <c r="F1114" t="s">
        <v>514</v>
      </c>
      <c r="G1114" t="s">
        <v>43</v>
      </c>
      <c r="H1114" t="s">
        <v>44</v>
      </c>
      <c r="I1114" t="s">
        <v>34</v>
      </c>
      <c r="J1114" t="s">
        <v>45</v>
      </c>
      <c r="K1114" t="s">
        <v>41</v>
      </c>
      <c r="L1114" t="s">
        <v>5833</v>
      </c>
      <c r="M1114" t="s">
        <v>5834</v>
      </c>
      <c r="N1114" t="s">
        <v>516</v>
      </c>
      <c r="O1114" t="s">
        <v>64</v>
      </c>
      <c r="P1114" t="s">
        <v>5835</v>
      </c>
      <c r="Q1114" t="s">
        <v>61</v>
      </c>
      <c r="R1114" t="s">
        <v>5815</v>
      </c>
      <c r="S1114">
        <v>1</v>
      </c>
      <c r="T1114">
        <v>3501</v>
      </c>
      <c r="U1114">
        <v>0</v>
      </c>
      <c r="V1114">
        <v>3501</v>
      </c>
    </row>
    <row r="1115" spans="1:22" x14ac:dyDescent="0.3">
      <c r="A1115">
        <v>187830</v>
      </c>
      <c r="B1115">
        <v>138031302</v>
      </c>
      <c r="C1115" t="s">
        <v>5836</v>
      </c>
      <c r="D1115" t="s">
        <v>5837</v>
      </c>
      <c r="E1115" t="s">
        <v>5494</v>
      </c>
      <c r="F1115" t="s">
        <v>514</v>
      </c>
      <c r="G1115" t="s">
        <v>43</v>
      </c>
      <c r="H1115" t="s">
        <v>44</v>
      </c>
      <c r="I1115" t="s">
        <v>34</v>
      </c>
      <c r="J1115" t="s">
        <v>45</v>
      </c>
      <c r="K1115" t="s">
        <v>41</v>
      </c>
      <c r="L1115" t="s">
        <v>5838</v>
      </c>
      <c r="M1115" t="s">
        <v>5839</v>
      </c>
      <c r="N1115" t="s">
        <v>516</v>
      </c>
      <c r="O1115" t="s">
        <v>64</v>
      </c>
      <c r="P1115" t="s">
        <v>5840</v>
      </c>
      <c r="Q1115" t="s">
        <v>178</v>
      </c>
      <c r="R1115" t="s">
        <v>5815</v>
      </c>
      <c r="S1115">
        <v>1.51</v>
      </c>
      <c r="T1115">
        <v>7807</v>
      </c>
      <c r="U1115">
        <v>0</v>
      </c>
      <c r="V1115">
        <v>7807</v>
      </c>
    </row>
    <row r="1116" spans="1:22" x14ac:dyDescent="0.3">
      <c r="A1116">
        <v>187830</v>
      </c>
      <c r="B1116">
        <v>138037532</v>
      </c>
      <c r="C1116" t="s">
        <v>5841</v>
      </c>
      <c r="D1116" t="s">
        <v>5842</v>
      </c>
      <c r="E1116" t="s">
        <v>5494</v>
      </c>
      <c r="F1116" t="s">
        <v>514</v>
      </c>
      <c r="G1116" t="s">
        <v>43</v>
      </c>
      <c r="H1116" t="s">
        <v>44</v>
      </c>
      <c r="I1116" t="s">
        <v>34</v>
      </c>
      <c r="J1116" t="s">
        <v>45</v>
      </c>
      <c r="K1116" t="s">
        <v>41</v>
      </c>
      <c r="L1116" t="s">
        <v>5843</v>
      </c>
      <c r="M1116" t="s">
        <v>5844</v>
      </c>
      <c r="N1116" t="s">
        <v>516</v>
      </c>
      <c r="O1116" t="s">
        <v>64</v>
      </c>
      <c r="P1116" t="s">
        <v>5845</v>
      </c>
      <c r="Q1116" t="s">
        <v>120</v>
      </c>
      <c r="R1116" t="s">
        <v>5846</v>
      </c>
      <c r="S1116">
        <v>2.4</v>
      </c>
      <c r="T1116">
        <v>3904</v>
      </c>
      <c r="U1116">
        <v>0</v>
      </c>
      <c r="V1116">
        <v>3904</v>
      </c>
    </row>
    <row r="1117" spans="1:22" x14ac:dyDescent="0.3">
      <c r="A1117">
        <v>187830</v>
      </c>
      <c r="B1117">
        <v>137963792</v>
      </c>
      <c r="C1117" t="s">
        <v>5847</v>
      </c>
      <c r="D1117" t="s">
        <v>5848</v>
      </c>
      <c r="E1117" t="s">
        <v>5494</v>
      </c>
      <c r="F1117" t="s">
        <v>514</v>
      </c>
      <c r="G1117" t="s">
        <v>43</v>
      </c>
      <c r="H1117" t="s">
        <v>44</v>
      </c>
      <c r="I1117" t="s">
        <v>34</v>
      </c>
      <c r="J1117" t="s">
        <v>45</v>
      </c>
      <c r="K1117" t="s">
        <v>41</v>
      </c>
      <c r="L1117" t="s">
        <v>5849</v>
      </c>
      <c r="M1117" t="s">
        <v>5850</v>
      </c>
      <c r="N1117" t="s">
        <v>516</v>
      </c>
      <c r="O1117" t="s">
        <v>64</v>
      </c>
      <c r="P1117" t="s">
        <v>5851</v>
      </c>
      <c r="Q1117" t="s">
        <v>184</v>
      </c>
      <c r="R1117" t="s">
        <v>5649</v>
      </c>
      <c r="S1117">
        <v>1</v>
      </c>
      <c r="T1117">
        <v>3642</v>
      </c>
      <c r="U1117">
        <v>0</v>
      </c>
      <c r="V1117">
        <v>3642</v>
      </c>
    </row>
    <row r="1118" spans="1:22" x14ac:dyDescent="0.3">
      <c r="A1118">
        <v>187830</v>
      </c>
      <c r="B1118">
        <v>137939340</v>
      </c>
      <c r="C1118" t="s">
        <v>5852</v>
      </c>
      <c r="D1118" t="s">
        <v>5853</v>
      </c>
      <c r="E1118" t="s">
        <v>5494</v>
      </c>
      <c r="F1118" t="s">
        <v>514</v>
      </c>
      <c r="G1118" t="s">
        <v>43</v>
      </c>
      <c r="H1118" t="s">
        <v>44</v>
      </c>
      <c r="I1118" t="s">
        <v>34</v>
      </c>
      <c r="J1118" t="s">
        <v>45</v>
      </c>
      <c r="K1118" t="s">
        <v>41</v>
      </c>
      <c r="L1118" t="s">
        <v>5854</v>
      </c>
      <c r="M1118" t="s">
        <v>5855</v>
      </c>
      <c r="N1118" t="s">
        <v>516</v>
      </c>
      <c r="O1118" t="s">
        <v>64</v>
      </c>
      <c r="P1118" t="s">
        <v>5856</v>
      </c>
      <c r="Q1118" t="s">
        <v>193</v>
      </c>
      <c r="R1118" t="s">
        <v>5857</v>
      </c>
      <c r="S1118">
        <v>0.7</v>
      </c>
      <c r="T1118">
        <v>3936</v>
      </c>
      <c r="U1118">
        <v>0</v>
      </c>
      <c r="V1118">
        <v>3936</v>
      </c>
    </row>
    <row r="1119" spans="1:22" x14ac:dyDescent="0.3">
      <c r="A1119">
        <v>187830</v>
      </c>
      <c r="B1119">
        <v>137939349</v>
      </c>
      <c r="C1119" t="s">
        <v>5858</v>
      </c>
      <c r="D1119" t="s">
        <v>5859</v>
      </c>
      <c r="E1119" t="s">
        <v>5494</v>
      </c>
      <c r="F1119" t="s">
        <v>514</v>
      </c>
      <c r="G1119" t="s">
        <v>43</v>
      </c>
      <c r="H1119" t="s">
        <v>44</v>
      </c>
      <c r="I1119" t="s">
        <v>34</v>
      </c>
      <c r="J1119" t="s">
        <v>45</v>
      </c>
      <c r="K1119" t="s">
        <v>41</v>
      </c>
      <c r="L1119" t="s">
        <v>5860</v>
      </c>
      <c r="M1119" t="s">
        <v>5861</v>
      </c>
      <c r="N1119" t="s">
        <v>516</v>
      </c>
      <c r="O1119" t="s">
        <v>64</v>
      </c>
      <c r="P1119" t="s">
        <v>5862</v>
      </c>
      <c r="Q1119" t="s">
        <v>82</v>
      </c>
      <c r="R1119" t="s">
        <v>5857</v>
      </c>
      <c r="S1119">
        <v>1.77</v>
      </c>
      <c r="T1119">
        <v>5990</v>
      </c>
      <c r="U1119">
        <v>0</v>
      </c>
      <c r="V1119">
        <v>5990</v>
      </c>
    </row>
    <row r="1120" spans="1:22" x14ac:dyDescent="0.3">
      <c r="A1120">
        <v>187830</v>
      </c>
      <c r="B1120">
        <v>137910301</v>
      </c>
      <c r="C1120" t="s">
        <v>5863</v>
      </c>
      <c r="D1120" t="s">
        <v>5864</v>
      </c>
      <c r="E1120" t="s">
        <v>5494</v>
      </c>
      <c r="F1120" t="s">
        <v>514</v>
      </c>
      <c r="G1120" t="s">
        <v>43</v>
      </c>
      <c r="H1120" t="s">
        <v>44</v>
      </c>
      <c r="I1120" t="s">
        <v>34</v>
      </c>
      <c r="J1120" t="s">
        <v>45</v>
      </c>
      <c r="K1120" t="s">
        <v>41</v>
      </c>
      <c r="L1120" t="s">
        <v>5865</v>
      </c>
      <c r="M1120" t="s">
        <v>5866</v>
      </c>
      <c r="N1120" t="s">
        <v>516</v>
      </c>
      <c r="O1120" t="s">
        <v>64</v>
      </c>
      <c r="P1120" t="s">
        <v>5867</v>
      </c>
      <c r="Q1120" t="s">
        <v>197</v>
      </c>
      <c r="R1120" t="s">
        <v>5868</v>
      </c>
      <c r="S1120">
        <v>0.86</v>
      </c>
      <c r="T1120">
        <v>4520</v>
      </c>
      <c r="U1120">
        <v>0</v>
      </c>
      <c r="V1120">
        <v>4520</v>
      </c>
    </row>
    <row r="1121" spans="1:22" x14ac:dyDescent="0.3">
      <c r="A1121">
        <v>187830</v>
      </c>
      <c r="B1121">
        <v>137986572</v>
      </c>
      <c r="C1121" t="s">
        <v>5869</v>
      </c>
      <c r="D1121" t="s">
        <v>5870</v>
      </c>
      <c r="E1121" t="s">
        <v>5494</v>
      </c>
      <c r="F1121" t="s">
        <v>514</v>
      </c>
      <c r="G1121" t="s">
        <v>43</v>
      </c>
      <c r="H1121" t="s">
        <v>44</v>
      </c>
      <c r="I1121" t="s">
        <v>34</v>
      </c>
      <c r="J1121" t="s">
        <v>45</v>
      </c>
      <c r="K1121" t="s">
        <v>41</v>
      </c>
      <c r="L1121" t="s">
        <v>5871</v>
      </c>
      <c r="M1121" t="s">
        <v>5872</v>
      </c>
      <c r="N1121" t="s">
        <v>516</v>
      </c>
      <c r="O1121" t="s">
        <v>64</v>
      </c>
      <c r="P1121" t="s">
        <v>5873</v>
      </c>
      <c r="Q1121" t="s">
        <v>108</v>
      </c>
      <c r="R1121" t="s">
        <v>419</v>
      </c>
      <c r="S1121">
        <v>1.08</v>
      </c>
      <c r="T1121">
        <v>3501</v>
      </c>
      <c r="U1121">
        <v>0</v>
      </c>
      <c r="V1121">
        <v>3501</v>
      </c>
    </row>
    <row r="1122" spans="1:22" x14ac:dyDescent="0.3">
      <c r="A1122">
        <v>187830</v>
      </c>
      <c r="B1122">
        <v>137963789</v>
      </c>
      <c r="C1122" t="s">
        <v>5874</v>
      </c>
      <c r="D1122" t="s">
        <v>5875</v>
      </c>
      <c r="E1122" t="s">
        <v>5494</v>
      </c>
      <c r="F1122" t="s">
        <v>514</v>
      </c>
      <c r="G1122" t="s">
        <v>43</v>
      </c>
      <c r="H1122" t="s">
        <v>44</v>
      </c>
      <c r="I1122" t="s">
        <v>34</v>
      </c>
      <c r="J1122" t="s">
        <v>45</v>
      </c>
      <c r="K1122" t="s">
        <v>41</v>
      </c>
      <c r="L1122" t="s">
        <v>5876</v>
      </c>
      <c r="M1122" t="s">
        <v>5877</v>
      </c>
      <c r="N1122" t="s">
        <v>516</v>
      </c>
      <c r="O1122" t="s">
        <v>64</v>
      </c>
      <c r="P1122" t="s">
        <v>5878</v>
      </c>
      <c r="Q1122" t="s">
        <v>125</v>
      </c>
      <c r="R1122" t="s">
        <v>5649</v>
      </c>
      <c r="S1122">
        <v>1.04</v>
      </c>
      <c r="T1122">
        <v>4230</v>
      </c>
      <c r="U1122">
        <v>0</v>
      </c>
      <c r="V1122">
        <v>4230</v>
      </c>
    </row>
    <row r="1123" spans="1:22" x14ac:dyDescent="0.3">
      <c r="A1123">
        <v>187830</v>
      </c>
      <c r="B1123">
        <v>137939354</v>
      </c>
      <c r="C1123" t="s">
        <v>5879</v>
      </c>
      <c r="D1123" t="s">
        <v>5880</v>
      </c>
      <c r="E1123" t="s">
        <v>5494</v>
      </c>
      <c r="F1123" t="s">
        <v>514</v>
      </c>
      <c r="G1123" t="s">
        <v>43</v>
      </c>
      <c r="H1123" t="s">
        <v>44</v>
      </c>
      <c r="I1123" t="s">
        <v>34</v>
      </c>
      <c r="J1123" t="s">
        <v>45</v>
      </c>
      <c r="K1123" t="s">
        <v>41</v>
      </c>
      <c r="L1123" t="s">
        <v>5881</v>
      </c>
      <c r="M1123" t="s">
        <v>5882</v>
      </c>
      <c r="N1123" t="s">
        <v>516</v>
      </c>
      <c r="O1123" t="s">
        <v>64</v>
      </c>
      <c r="P1123" t="s">
        <v>5883</v>
      </c>
      <c r="Q1123" t="s">
        <v>98</v>
      </c>
      <c r="R1123" t="s">
        <v>5857</v>
      </c>
      <c r="S1123">
        <v>4.57</v>
      </c>
      <c r="T1123">
        <v>8880</v>
      </c>
      <c r="U1123">
        <v>0</v>
      </c>
      <c r="V1123">
        <v>8880</v>
      </c>
    </row>
    <row r="1124" spans="1:22" x14ac:dyDescent="0.3">
      <c r="A1124">
        <v>187830</v>
      </c>
      <c r="B1124">
        <v>137659354</v>
      </c>
      <c r="C1124" t="s">
        <v>5884</v>
      </c>
      <c r="D1124" t="s">
        <v>5885</v>
      </c>
      <c r="E1124" t="s">
        <v>5494</v>
      </c>
      <c r="F1124" t="s">
        <v>514</v>
      </c>
      <c r="G1124" t="s">
        <v>43</v>
      </c>
      <c r="H1124" t="s">
        <v>44</v>
      </c>
      <c r="I1124" t="s">
        <v>34</v>
      </c>
      <c r="J1124" t="s">
        <v>45</v>
      </c>
      <c r="K1124" t="s">
        <v>41</v>
      </c>
      <c r="L1124" t="s">
        <v>5886</v>
      </c>
      <c r="M1124" t="s">
        <v>5887</v>
      </c>
      <c r="N1124" t="s">
        <v>516</v>
      </c>
      <c r="O1124" t="s">
        <v>64</v>
      </c>
      <c r="P1124" t="s">
        <v>5888</v>
      </c>
      <c r="Q1124" t="s">
        <v>223</v>
      </c>
      <c r="R1124" t="s">
        <v>5889</v>
      </c>
      <c r="S1124">
        <v>1.1399999999999999</v>
      </c>
      <c r="T1124">
        <v>3753</v>
      </c>
      <c r="U1124">
        <v>0</v>
      </c>
      <c r="V1124">
        <v>3753</v>
      </c>
    </row>
    <row r="1125" spans="1:22" x14ac:dyDescent="0.3">
      <c r="A1125">
        <v>187830</v>
      </c>
      <c r="B1125">
        <v>137870499</v>
      </c>
      <c r="C1125" t="s">
        <v>5890</v>
      </c>
      <c r="D1125" t="s">
        <v>5891</v>
      </c>
      <c r="E1125" t="s">
        <v>5494</v>
      </c>
      <c r="F1125" t="s">
        <v>514</v>
      </c>
      <c r="G1125" t="s">
        <v>43</v>
      </c>
      <c r="H1125" t="s">
        <v>44</v>
      </c>
      <c r="I1125" t="s">
        <v>34</v>
      </c>
      <c r="J1125" t="s">
        <v>45</v>
      </c>
      <c r="K1125" t="s">
        <v>41</v>
      </c>
      <c r="L1125" t="s">
        <v>5892</v>
      </c>
      <c r="M1125" t="s">
        <v>5893</v>
      </c>
      <c r="N1125" t="s">
        <v>516</v>
      </c>
      <c r="O1125" t="s">
        <v>64</v>
      </c>
      <c r="P1125" t="s">
        <v>5894</v>
      </c>
      <c r="Q1125" t="s">
        <v>61</v>
      </c>
      <c r="R1125" t="s">
        <v>5895</v>
      </c>
      <c r="S1125">
        <v>1</v>
      </c>
      <c r="T1125">
        <v>3501</v>
      </c>
      <c r="U1125">
        <v>0</v>
      </c>
      <c r="V1125">
        <v>3501</v>
      </c>
    </row>
    <row r="1126" spans="1:22" x14ac:dyDescent="0.3">
      <c r="A1126">
        <v>187830</v>
      </c>
      <c r="B1126">
        <v>137870497</v>
      </c>
      <c r="C1126" t="s">
        <v>5896</v>
      </c>
      <c r="D1126" t="s">
        <v>5897</v>
      </c>
      <c r="E1126" t="s">
        <v>5494</v>
      </c>
      <c r="F1126" t="s">
        <v>514</v>
      </c>
      <c r="G1126" t="s">
        <v>43</v>
      </c>
      <c r="H1126" t="s">
        <v>44</v>
      </c>
      <c r="I1126" t="s">
        <v>34</v>
      </c>
      <c r="J1126" t="s">
        <v>45</v>
      </c>
      <c r="K1126" t="s">
        <v>41</v>
      </c>
      <c r="L1126" t="s">
        <v>5898</v>
      </c>
      <c r="M1126" t="s">
        <v>5899</v>
      </c>
      <c r="N1126" t="s">
        <v>516</v>
      </c>
      <c r="O1126" t="s">
        <v>64</v>
      </c>
      <c r="P1126" t="s">
        <v>5900</v>
      </c>
      <c r="Q1126" t="s">
        <v>72</v>
      </c>
      <c r="R1126" t="s">
        <v>5895</v>
      </c>
      <c r="S1126">
        <v>3.25</v>
      </c>
      <c r="T1126">
        <v>4769</v>
      </c>
      <c r="U1126">
        <v>0</v>
      </c>
      <c r="V1126">
        <v>4769</v>
      </c>
    </row>
    <row r="1127" spans="1:22" x14ac:dyDescent="0.3">
      <c r="A1127">
        <v>187830</v>
      </c>
      <c r="B1127">
        <v>137910299</v>
      </c>
      <c r="C1127" t="s">
        <v>5901</v>
      </c>
      <c r="D1127" t="s">
        <v>5902</v>
      </c>
      <c r="E1127" t="s">
        <v>5494</v>
      </c>
      <c r="F1127" t="s">
        <v>514</v>
      </c>
      <c r="G1127" t="s">
        <v>43</v>
      </c>
      <c r="H1127" t="s">
        <v>44</v>
      </c>
      <c r="I1127" t="s">
        <v>34</v>
      </c>
      <c r="J1127" t="s">
        <v>45</v>
      </c>
      <c r="K1127" t="s">
        <v>41</v>
      </c>
      <c r="L1127" t="s">
        <v>5903</v>
      </c>
      <c r="M1127" t="s">
        <v>5904</v>
      </c>
      <c r="N1127" t="s">
        <v>516</v>
      </c>
      <c r="O1127" t="s">
        <v>64</v>
      </c>
      <c r="P1127" t="s">
        <v>5905</v>
      </c>
      <c r="Q1127" t="s">
        <v>49</v>
      </c>
      <c r="R1127" t="s">
        <v>5868</v>
      </c>
      <c r="S1127">
        <v>2.17</v>
      </c>
      <c r="T1127">
        <v>3642</v>
      </c>
      <c r="U1127">
        <v>0</v>
      </c>
      <c r="V1127">
        <v>3642</v>
      </c>
    </row>
    <row r="1128" spans="1:22" x14ac:dyDescent="0.3">
      <c r="A1128">
        <v>187830</v>
      </c>
      <c r="B1128">
        <v>137910293</v>
      </c>
      <c r="C1128" t="s">
        <v>5906</v>
      </c>
      <c r="D1128" t="s">
        <v>5907</v>
      </c>
      <c r="E1128" t="s">
        <v>5494</v>
      </c>
      <c r="F1128" t="s">
        <v>514</v>
      </c>
      <c r="G1128" t="s">
        <v>43</v>
      </c>
      <c r="H1128" t="s">
        <v>44</v>
      </c>
      <c r="I1128" t="s">
        <v>34</v>
      </c>
      <c r="J1128" t="s">
        <v>45</v>
      </c>
      <c r="K1128" t="s">
        <v>41</v>
      </c>
      <c r="L1128" t="s">
        <v>5908</v>
      </c>
      <c r="M1128" t="s">
        <v>5909</v>
      </c>
      <c r="N1128" t="s">
        <v>516</v>
      </c>
      <c r="O1128" t="s">
        <v>64</v>
      </c>
      <c r="P1128" t="s">
        <v>5910</v>
      </c>
      <c r="Q1128" t="s">
        <v>81</v>
      </c>
      <c r="R1128" t="s">
        <v>5868</v>
      </c>
      <c r="S1128">
        <v>2.4900000000000002</v>
      </c>
      <c r="T1128">
        <v>3501</v>
      </c>
      <c r="U1128">
        <v>0</v>
      </c>
      <c r="V1128">
        <v>3501</v>
      </c>
    </row>
    <row r="1129" spans="1:22" x14ac:dyDescent="0.3">
      <c r="A1129">
        <v>187830</v>
      </c>
      <c r="B1129">
        <v>137910298</v>
      </c>
      <c r="C1129" t="s">
        <v>5911</v>
      </c>
      <c r="D1129" t="s">
        <v>5912</v>
      </c>
      <c r="E1129" t="s">
        <v>5494</v>
      </c>
      <c r="F1129" t="s">
        <v>514</v>
      </c>
      <c r="G1129" t="s">
        <v>43</v>
      </c>
      <c r="H1129" t="s">
        <v>44</v>
      </c>
      <c r="I1129" t="s">
        <v>34</v>
      </c>
      <c r="J1129" t="s">
        <v>45</v>
      </c>
      <c r="K1129" t="s">
        <v>41</v>
      </c>
      <c r="L1129" t="s">
        <v>5913</v>
      </c>
      <c r="M1129" t="s">
        <v>5914</v>
      </c>
      <c r="N1129" t="s">
        <v>516</v>
      </c>
      <c r="O1129" t="s">
        <v>64</v>
      </c>
      <c r="P1129" t="s">
        <v>5915</v>
      </c>
      <c r="Q1129" t="s">
        <v>73</v>
      </c>
      <c r="R1129" t="s">
        <v>5868</v>
      </c>
      <c r="S1129">
        <v>0.22</v>
      </c>
      <c r="T1129">
        <v>3828</v>
      </c>
      <c r="U1129">
        <v>0</v>
      </c>
      <c r="V1129">
        <v>3828</v>
      </c>
    </row>
    <row r="1130" spans="1:22" x14ac:dyDescent="0.3">
      <c r="A1130">
        <v>187830</v>
      </c>
      <c r="B1130">
        <v>137837555</v>
      </c>
      <c r="C1130" t="s">
        <v>5916</v>
      </c>
      <c r="D1130" t="s">
        <v>5917</v>
      </c>
      <c r="E1130" t="s">
        <v>5494</v>
      </c>
      <c r="F1130" t="s">
        <v>514</v>
      </c>
      <c r="G1130" t="s">
        <v>43</v>
      </c>
      <c r="H1130" t="s">
        <v>44</v>
      </c>
      <c r="I1130" t="s">
        <v>34</v>
      </c>
      <c r="J1130" t="s">
        <v>45</v>
      </c>
      <c r="K1130" t="s">
        <v>41</v>
      </c>
      <c r="L1130" t="s">
        <v>5918</v>
      </c>
      <c r="M1130" t="s">
        <v>5919</v>
      </c>
      <c r="N1130" t="s">
        <v>516</v>
      </c>
      <c r="O1130" t="s">
        <v>64</v>
      </c>
      <c r="P1130" t="s">
        <v>5920</v>
      </c>
      <c r="Q1130" t="s">
        <v>90</v>
      </c>
      <c r="R1130" t="s">
        <v>262</v>
      </c>
      <c r="S1130">
        <v>1</v>
      </c>
      <c r="T1130">
        <v>3904</v>
      </c>
      <c r="U1130">
        <v>0</v>
      </c>
      <c r="V1130">
        <v>3904</v>
      </c>
    </row>
    <row r="1131" spans="1:22" x14ac:dyDescent="0.3">
      <c r="A1131">
        <v>187830</v>
      </c>
      <c r="B1131">
        <v>137939348</v>
      </c>
      <c r="C1131" t="s">
        <v>5921</v>
      </c>
      <c r="D1131" t="s">
        <v>5922</v>
      </c>
      <c r="E1131" t="s">
        <v>5494</v>
      </c>
      <c r="F1131" t="s">
        <v>514</v>
      </c>
      <c r="G1131" t="s">
        <v>43</v>
      </c>
      <c r="H1131" t="s">
        <v>44</v>
      </c>
      <c r="I1131" t="s">
        <v>34</v>
      </c>
      <c r="J1131" t="s">
        <v>45</v>
      </c>
      <c r="K1131" t="s">
        <v>41</v>
      </c>
      <c r="L1131" t="s">
        <v>5923</v>
      </c>
      <c r="M1131" t="s">
        <v>5924</v>
      </c>
      <c r="N1131" t="s">
        <v>516</v>
      </c>
      <c r="O1131" t="s">
        <v>64</v>
      </c>
      <c r="P1131" t="s">
        <v>5925</v>
      </c>
      <c r="Q1131" t="s">
        <v>108</v>
      </c>
      <c r="R1131" t="s">
        <v>5857</v>
      </c>
      <c r="S1131">
        <v>1.87</v>
      </c>
      <c r="T1131">
        <v>3501</v>
      </c>
      <c r="U1131">
        <v>0</v>
      </c>
      <c r="V1131">
        <v>3501</v>
      </c>
    </row>
    <row r="1132" spans="1:22" x14ac:dyDescent="0.3">
      <c r="A1132">
        <v>187830</v>
      </c>
      <c r="B1132">
        <v>137880863</v>
      </c>
      <c r="C1132" t="s">
        <v>5926</v>
      </c>
      <c r="D1132" t="s">
        <v>5927</v>
      </c>
      <c r="E1132" t="s">
        <v>5494</v>
      </c>
      <c r="F1132" t="s">
        <v>514</v>
      </c>
      <c r="G1132" t="s">
        <v>43</v>
      </c>
      <c r="H1132" t="s">
        <v>44</v>
      </c>
      <c r="I1132" t="s">
        <v>34</v>
      </c>
      <c r="J1132" t="s">
        <v>45</v>
      </c>
      <c r="K1132" t="s">
        <v>41</v>
      </c>
      <c r="L1132" t="s">
        <v>5928</v>
      </c>
      <c r="M1132" t="s">
        <v>5929</v>
      </c>
      <c r="N1132" t="s">
        <v>516</v>
      </c>
      <c r="O1132" t="s">
        <v>64</v>
      </c>
      <c r="P1132" t="s">
        <v>5930</v>
      </c>
      <c r="Q1132" t="s">
        <v>56</v>
      </c>
      <c r="R1132" t="s">
        <v>5931</v>
      </c>
      <c r="S1132">
        <v>2</v>
      </c>
      <c r="T1132">
        <v>3904</v>
      </c>
      <c r="U1132">
        <v>0</v>
      </c>
      <c r="V1132">
        <v>3904</v>
      </c>
    </row>
    <row r="1133" spans="1:22" x14ac:dyDescent="0.3">
      <c r="A1133">
        <v>187830</v>
      </c>
      <c r="B1133">
        <v>137849022</v>
      </c>
      <c r="C1133" t="s">
        <v>5932</v>
      </c>
      <c r="D1133" t="s">
        <v>5933</v>
      </c>
      <c r="E1133" t="s">
        <v>5494</v>
      </c>
      <c r="F1133" t="s">
        <v>514</v>
      </c>
      <c r="G1133" t="s">
        <v>43</v>
      </c>
      <c r="H1133" t="s">
        <v>44</v>
      </c>
      <c r="I1133" t="s">
        <v>34</v>
      </c>
      <c r="J1133" t="s">
        <v>45</v>
      </c>
      <c r="K1133" t="s">
        <v>41</v>
      </c>
      <c r="L1133" t="s">
        <v>5934</v>
      </c>
      <c r="M1133" t="s">
        <v>5935</v>
      </c>
      <c r="N1133" t="s">
        <v>516</v>
      </c>
      <c r="O1133" t="s">
        <v>64</v>
      </c>
      <c r="P1133" t="s">
        <v>5936</v>
      </c>
      <c r="Q1133" t="s">
        <v>98</v>
      </c>
      <c r="R1133" t="s">
        <v>435</v>
      </c>
      <c r="S1133">
        <v>2.3199999999999998</v>
      </c>
      <c r="T1133">
        <v>5990</v>
      </c>
      <c r="U1133">
        <v>0</v>
      </c>
      <c r="V1133">
        <v>5990</v>
      </c>
    </row>
    <row r="1134" spans="1:22" x14ac:dyDescent="0.3">
      <c r="A1134">
        <v>187830</v>
      </c>
      <c r="B1134">
        <v>137880862</v>
      </c>
      <c r="C1134" t="s">
        <v>5937</v>
      </c>
      <c r="D1134" t="s">
        <v>5938</v>
      </c>
      <c r="E1134" t="s">
        <v>5494</v>
      </c>
      <c r="F1134" t="s">
        <v>514</v>
      </c>
      <c r="G1134" t="s">
        <v>43</v>
      </c>
      <c r="H1134" t="s">
        <v>44</v>
      </c>
      <c r="I1134" t="s">
        <v>34</v>
      </c>
      <c r="J1134" t="s">
        <v>45</v>
      </c>
      <c r="K1134" t="s">
        <v>41</v>
      </c>
      <c r="L1134" t="s">
        <v>5939</v>
      </c>
      <c r="M1134" t="s">
        <v>5940</v>
      </c>
      <c r="N1134" t="s">
        <v>516</v>
      </c>
      <c r="O1134" t="s">
        <v>64</v>
      </c>
      <c r="P1134" t="s">
        <v>5941</v>
      </c>
      <c r="Q1134" t="s">
        <v>49</v>
      </c>
      <c r="R1134" t="s">
        <v>5931</v>
      </c>
      <c r="S1134">
        <v>2</v>
      </c>
      <c r="T1134">
        <v>3642</v>
      </c>
      <c r="U1134">
        <v>0</v>
      </c>
      <c r="V1134">
        <v>3642</v>
      </c>
    </row>
    <row r="1135" spans="1:22" x14ac:dyDescent="0.3">
      <c r="A1135">
        <v>187830</v>
      </c>
      <c r="B1135">
        <v>137468974</v>
      </c>
      <c r="C1135" t="s">
        <v>5942</v>
      </c>
      <c r="D1135" t="s">
        <v>5943</v>
      </c>
      <c r="E1135" t="s">
        <v>5494</v>
      </c>
      <c r="F1135" t="s">
        <v>514</v>
      </c>
      <c r="G1135" t="s">
        <v>43</v>
      </c>
      <c r="H1135" t="s">
        <v>44</v>
      </c>
      <c r="I1135" t="s">
        <v>34</v>
      </c>
      <c r="J1135" t="s">
        <v>45</v>
      </c>
      <c r="K1135" t="s">
        <v>41</v>
      </c>
      <c r="L1135" t="s">
        <v>5944</v>
      </c>
      <c r="M1135" t="s">
        <v>5945</v>
      </c>
      <c r="N1135" t="s">
        <v>516</v>
      </c>
      <c r="O1135" t="s">
        <v>64</v>
      </c>
      <c r="P1135" t="s">
        <v>5946</v>
      </c>
      <c r="Q1135" t="s">
        <v>112</v>
      </c>
      <c r="R1135" t="s">
        <v>5947</v>
      </c>
      <c r="S1135">
        <v>2.04</v>
      </c>
      <c r="T1135">
        <v>3501</v>
      </c>
      <c r="U1135">
        <v>0</v>
      </c>
      <c r="V1135">
        <v>3501</v>
      </c>
    </row>
    <row r="1136" spans="1:22" x14ac:dyDescent="0.3">
      <c r="A1136">
        <v>187830</v>
      </c>
      <c r="B1136">
        <v>137910292</v>
      </c>
      <c r="C1136" t="s">
        <v>5948</v>
      </c>
      <c r="D1136" t="s">
        <v>5949</v>
      </c>
      <c r="E1136" t="s">
        <v>5494</v>
      </c>
      <c r="F1136" t="s">
        <v>514</v>
      </c>
      <c r="G1136" t="s">
        <v>43</v>
      </c>
      <c r="H1136" t="s">
        <v>44</v>
      </c>
      <c r="I1136" t="s">
        <v>34</v>
      </c>
      <c r="J1136" t="s">
        <v>45</v>
      </c>
      <c r="K1136" t="s">
        <v>41</v>
      </c>
      <c r="L1136" t="s">
        <v>5950</v>
      </c>
      <c r="M1136" t="s">
        <v>5951</v>
      </c>
      <c r="N1136" t="s">
        <v>516</v>
      </c>
      <c r="O1136" t="s">
        <v>64</v>
      </c>
      <c r="P1136" t="s">
        <v>5952</v>
      </c>
      <c r="Q1136" t="s">
        <v>67</v>
      </c>
      <c r="R1136" t="s">
        <v>5868</v>
      </c>
      <c r="S1136">
        <v>1.04</v>
      </c>
      <c r="T1136">
        <v>3936</v>
      </c>
      <c r="U1136">
        <v>0</v>
      </c>
      <c r="V1136">
        <v>3936</v>
      </c>
    </row>
    <row r="1137" spans="1:22" x14ac:dyDescent="0.3">
      <c r="A1137">
        <v>187830</v>
      </c>
      <c r="B1137">
        <v>137910300</v>
      </c>
      <c r="C1137" t="s">
        <v>5953</v>
      </c>
      <c r="D1137" t="s">
        <v>5954</v>
      </c>
      <c r="E1137" t="s">
        <v>5494</v>
      </c>
      <c r="F1137" t="s">
        <v>514</v>
      </c>
      <c r="G1137" t="s">
        <v>43</v>
      </c>
      <c r="H1137" t="s">
        <v>44</v>
      </c>
      <c r="I1137" t="s">
        <v>34</v>
      </c>
      <c r="J1137" t="s">
        <v>45</v>
      </c>
      <c r="K1137" t="s">
        <v>41</v>
      </c>
      <c r="L1137" t="s">
        <v>5955</v>
      </c>
      <c r="M1137" t="s">
        <v>5956</v>
      </c>
      <c r="N1137" t="s">
        <v>516</v>
      </c>
      <c r="O1137" t="s">
        <v>64</v>
      </c>
      <c r="P1137" t="s">
        <v>5957</v>
      </c>
      <c r="Q1137" t="s">
        <v>112</v>
      </c>
      <c r="R1137" t="s">
        <v>5868</v>
      </c>
      <c r="S1137">
        <v>0.64</v>
      </c>
      <c r="T1137">
        <v>3501</v>
      </c>
      <c r="U1137">
        <v>0</v>
      </c>
      <c r="V1137">
        <v>3501</v>
      </c>
    </row>
    <row r="1138" spans="1:22" x14ac:dyDescent="0.3">
      <c r="A1138">
        <v>187830</v>
      </c>
      <c r="B1138">
        <v>137837553</v>
      </c>
      <c r="C1138" t="s">
        <v>5958</v>
      </c>
      <c r="D1138" t="s">
        <v>5959</v>
      </c>
      <c r="E1138" t="s">
        <v>5494</v>
      </c>
      <c r="F1138" t="s">
        <v>514</v>
      </c>
      <c r="G1138" t="s">
        <v>43</v>
      </c>
      <c r="H1138" t="s">
        <v>44</v>
      </c>
      <c r="I1138" t="s">
        <v>34</v>
      </c>
      <c r="J1138" t="s">
        <v>45</v>
      </c>
      <c r="K1138" t="s">
        <v>41</v>
      </c>
      <c r="L1138" t="s">
        <v>5960</v>
      </c>
      <c r="M1138" t="s">
        <v>5961</v>
      </c>
      <c r="N1138" t="s">
        <v>516</v>
      </c>
      <c r="O1138" t="s">
        <v>64</v>
      </c>
      <c r="P1138" t="s">
        <v>5962</v>
      </c>
      <c r="Q1138" t="s">
        <v>168</v>
      </c>
      <c r="R1138" t="s">
        <v>262</v>
      </c>
      <c r="S1138">
        <v>0.84</v>
      </c>
      <c r="T1138">
        <v>4230</v>
      </c>
      <c r="U1138">
        <v>0</v>
      </c>
      <c r="V1138">
        <v>4230</v>
      </c>
    </row>
    <row r="1139" spans="1:22" x14ac:dyDescent="0.3">
      <c r="A1139">
        <v>187830</v>
      </c>
      <c r="B1139">
        <v>137820934</v>
      </c>
      <c r="C1139" t="s">
        <v>5963</v>
      </c>
      <c r="D1139" t="s">
        <v>5964</v>
      </c>
      <c r="E1139" t="s">
        <v>5494</v>
      </c>
      <c r="F1139" t="s">
        <v>514</v>
      </c>
      <c r="G1139" t="s">
        <v>43</v>
      </c>
      <c r="H1139" t="s">
        <v>44</v>
      </c>
      <c r="I1139" t="s">
        <v>34</v>
      </c>
      <c r="J1139" t="s">
        <v>45</v>
      </c>
      <c r="K1139" t="s">
        <v>41</v>
      </c>
      <c r="L1139" t="s">
        <v>5965</v>
      </c>
      <c r="M1139" t="s">
        <v>5966</v>
      </c>
      <c r="N1139" t="s">
        <v>516</v>
      </c>
      <c r="O1139" t="s">
        <v>64</v>
      </c>
      <c r="P1139" t="s">
        <v>5967</v>
      </c>
      <c r="Q1139" t="s">
        <v>111</v>
      </c>
      <c r="R1139" t="s">
        <v>5968</v>
      </c>
      <c r="S1139">
        <v>1</v>
      </c>
      <c r="T1139">
        <v>5696</v>
      </c>
      <c r="U1139">
        <v>0</v>
      </c>
      <c r="V1139">
        <v>5696</v>
      </c>
    </row>
    <row r="1140" spans="1:22" x14ac:dyDescent="0.3">
      <c r="A1140">
        <v>187830</v>
      </c>
      <c r="B1140">
        <v>137820932</v>
      </c>
      <c r="C1140" t="s">
        <v>5969</v>
      </c>
      <c r="D1140" t="s">
        <v>5970</v>
      </c>
      <c r="E1140" t="s">
        <v>5494</v>
      </c>
      <c r="F1140" t="s">
        <v>514</v>
      </c>
      <c r="G1140" t="s">
        <v>43</v>
      </c>
      <c r="H1140" t="s">
        <v>44</v>
      </c>
      <c r="I1140" t="s">
        <v>34</v>
      </c>
      <c r="J1140" t="s">
        <v>45</v>
      </c>
      <c r="K1140" t="s">
        <v>41</v>
      </c>
      <c r="L1140" t="s">
        <v>5971</v>
      </c>
      <c r="M1140" t="s">
        <v>5972</v>
      </c>
      <c r="N1140" t="s">
        <v>516</v>
      </c>
      <c r="O1140" t="s">
        <v>64</v>
      </c>
      <c r="P1140" t="s">
        <v>5973</v>
      </c>
      <c r="Q1140" t="s">
        <v>215</v>
      </c>
      <c r="R1140" t="s">
        <v>5968</v>
      </c>
      <c r="S1140">
        <v>2.19</v>
      </c>
      <c r="T1140">
        <v>5077</v>
      </c>
      <c r="U1140">
        <v>0</v>
      </c>
      <c r="V1140">
        <v>5077</v>
      </c>
    </row>
    <row r="1141" spans="1:22" x14ac:dyDescent="0.3">
      <c r="A1141">
        <v>187830</v>
      </c>
      <c r="B1141">
        <v>137659351</v>
      </c>
      <c r="C1141" t="s">
        <v>5974</v>
      </c>
      <c r="D1141" t="s">
        <v>5975</v>
      </c>
      <c r="E1141" t="s">
        <v>5494</v>
      </c>
      <c r="F1141" t="s">
        <v>514</v>
      </c>
      <c r="G1141" t="s">
        <v>43</v>
      </c>
      <c r="H1141" t="s">
        <v>44</v>
      </c>
      <c r="I1141" t="s">
        <v>34</v>
      </c>
      <c r="J1141" t="s">
        <v>45</v>
      </c>
      <c r="K1141" t="s">
        <v>41</v>
      </c>
      <c r="L1141" t="s">
        <v>5976</v>
      </c>
      <c r="M1141" t="s">
        <v>5977</v>
      </c>
      <c r="N1141" t="s">
        <v>516</v>
      </c>
      <c r="O1141" t="s">
        <v>64</v>
      </c>
      <c r="P1141" t="s">
        <v>5978</v>
      </c>
      <c r="Q1141" t="s">
        <v>223</v>
      </c>
      <c r="R1141" t="s">
        <v>5889</v>
      </c>
      <c r="S1141">
        <v>1</v>
      </c>
      <c r="T1141">
        <v>3753</v>
      </c>
      <c r="U1141">
        <v>0</v>
      </c>
      <c r="V1141">
        <v>3753</v>
      </c>
    </row>
    <row r="1142" spans="1:22" x14ac:dyDescent="0.3">
      <c r="A1142">
        <v>187830</v>
      </c>
      <c r="B1142">
        <v>137837554</v>
      </c>
      <c r="C1142" t="s">
        <v>5979</v>
      </c>
      <c r="D1142" t="s">
        <v>5980</v>
      </c>
      <c r="E1142" t="s">
        <v>5494</v>
      </c>
      <c r="F1142" t="s">
        <v>514</v>
      </c>
      <c r="G1142" t="s">
        <v>43</v>
      </c>
      <c r="H1142" t="s">
        <v>44</v>
      </c>
      <c r="I1142" t="s">
        <v>34</v>
      </c>
      <c r="J1142" t="s">
        <v>45</v>
      </c>
      <c r="K1142" t="s">
        <v>54</v>
      </c>
      <c r="L1142" t="s">
        <v>55</v>
      </c>
      <c r="M1142" t="s">
        <v>5981</v>
      </c>
      <c r="N1142" t="s">
        <v>516</v>
      </c>
      <c r="O1142" t="s">
        <v>64</v>
      </c>
      <c r="P1142" t="s">
        <v>5982</v>
      </c>
      <c r="Q1142" t="s">
        <v>208</v>
      </c>
      <c r="R1142" t="s">
        <v>262</v>
      </c>
      <c r="S1142">
        <v>0.22</v>
      </c>
      <c r="T1142">
        <v>3828</v>
      </c>
      <c r="U1142">
        <v>0</v>
      </c>
      <c r="V1142">
        <v>3828</v>
      </c>
    </row>
    <row r="1143" spans="1:22" x14ac:dyDescent="0.3">
      <c r="A1143">
        <v>187830</v>
      </c>
      <c r="B1143">
        <v>137798710</v>
      </c>
      <c r="C1143" t="s">
        <v>5983</v>
      </c>
      <c r="D1143" t="s">
        <v>5984</v>
      </c>
      <c r="E1143" t="s">
        <v>5494</v>
      </c>
      <c r="F1143" t="s">
        <v>514</v>
      </c>
      <c r="G1143" t="s">
        <v>43</v>
      </c>
      <c r="H1143" t="s">
        <v>44</v>
      </c>
      <c r="I1143" t="s">
        <v>34</v>
      </c>
      <c r="J1143" t="s">
        <v>45</v>
      </c>
      <c r="K1143" t="s">
        <v>41</v>
      </c>
      <c r="L1143" t="s">
        <v>5985</v>
      </c>
      <c r="M1143" t="s">
        <v>5986</v>
      </c>
      <c r="N1143" t="s">
        <v>516</v>
      </c>
      <c r="O1143" t="s">
        <v>64</v>
      </c>
      <c r="P1143" t="s">
        <v>5987</v>
      </c>
      <c r="Q1143" t="s">
        <v>60</v>
      </c>
      <c r="R1143" t="s">
        <v>5988</v>
      </c>
      <c r="S1143">
        <v>1.86</v>
      </c>
      <c r="T1143">
        <v>4520</v>
      </c>
      <c r="U1143">
        <v>0</v>
      </c>
      <c r="V1143">
        <v>4520</v>
      </c>
    </row>
    <row r="1144" spans="1:22" x14ac:dyDescent="0.3">
      <c r="A1144">
        <v>187830</v>
      </c>
      <c r="B1144">
        <v>137798699</v>
      </c>
      <c r="C1144" t="s">
        <v>5989</v>
      </c>
      <c r="D1144" t="s">
        <v>5990</v>
      </c>
      <c r="E1144" t="s">
        <v>5494</v>
      </c>
      <c r="F1144" t="s">
        <v>514</v>
      </c>
      <c r="G1144" t="s">
        <v>43</v>
      </c>
      <c r="H1144" t="s">
        <v>44</v>
      </c>
      <c r="I1144" t="s">
        <v>34</v>
      </c>
      <c r="J1144" t="s">
        <v>45</v>
      </c>
      <c r="K1144" t="s">
        <v>41</v>
      </c>
      <c r="L1144" t="s">
        <v>5991</v>
      </c>
      <c r="M1144" t="s">
        <v>468</v>
      </c>
      <c r="N1144" t="s">
        <v>516</v>
      </c>
      <c r="O1144" t="s">
        <v>64</v>
      </c>
      <c r="P1144" t="s">
        <v>5992</v>
      </c>
      <c r="Q1144" t="s">
        <v>208</v>
      </c>
      <c r="R1144" t="s">
        <v>5988</v>
      </c>
      <c r="S1144">
        <v>3.13</v>
      </c>
      <c r="T1144">
        <v>4769</v>
      </c>
      <c r="U1144">
        <v>0</v>
      </c>
      <c r="V1144">
        <v>4769</v>
      </c>
    </row>
    <row r="1145" spans="1:22" x14ac:dyDescent="0.3">
      <c r="A1145">
        <v>187830</v>
      </c>
      <c r="B1145">
        <v>137556804</v>
      </c>
      <c r="C1145" t="s">
        <v>5993</v>
      </c>
      <c r="D1145" t="s">
        <v>5994</v>
      </c>
      <c r="E1145" t="s">
        <v>5494</v>
      </c>
      <c r="F1145" t="s">
        <v>514</v>
      </c>
      <c r="G1145" t="s">
        <v>43</v>
      </c>
      <c r="H1145" t="s">
        <v>44</v>
      </c>
      <c r="I1145" t="s">
        <v>34</v>
      </c>
      <c r="J1145" t="s">
        <v>45</v>
      </c>
      <c r="K1145" t="s">
        <v>41</v>
      </c>
      <c r="L1145" t="s">
        <v>5995</v>
      </c>
      <c r="M1145" t="s">
        <v>5996</v>
      </c>
      <c r="N1145" t="s">
        <v>516</v>
      </c>
      <c r="O1145" t="s">
        <v>64</v>
      </c>
      <c r="P1145" t="s">
        <v>5997</v>
      </c>
      <c r="Q1145" t="s">
        <v>62</v>
      </c>
      <c r="R1145" t="s">
        <v>354</v>
      </c>
      <c r="S1145">
        <v>1</v>
      </c>
      <c r="T1145">
        <v>3784</v>
      </c>
      <c r="U1145">
        <v>0</v>
      </c>
      <c r="V1145">
        <v>3784</v>
      </c>
    </row>
    <row r="1146" spans="1:22" x14ac:dyDescent="0.3">
      <c r="A1146">
        <v>187830</v>
      </c>
      <c r="B1146">
        <v>137798709</v>
      </c>
      <c r="C1146" t="s">
        <v>5998</v>
      </c>
      <c r="D1146" t="s">
        <v>5999</v>
      </c>
      <c r="E1146" t="s">
        <v>5494</v>
      </c>
      <c r="F1146" t="s">
        <v>514</v>
      </c>
      <c r="G1146" t="s">
        <v>43</v>
      </c>
      <c r="H1146" t="s">
        <v>44</v>
      </c>
      <c r="I1146" t="s">
        <v>34</v>
      </c>
      <c r="J1146" t="s">
        <v>45</v>
      </c>
      <c r="K1146" t="s">
        <v>41</v>
      </c>
      <c r="L1146" t="s">
        <v>6000</v>
      </c>
      <c r="M1146" t="s">
        <v>6001</v>
      </c>
      <c r="N1146" t="s">
        <v>516</v>
      </c>
      <c r="O1146" t="s">
        <v>64</v>
      </c>
      <c r="P1146" t="s">
        <v>6002</v>
      </c>
      <c r="Q1146" t="s">
        <v>49</v>
      </c>
      <c r="R1146" t="s">
        <v>5988</v>
      </c>
      <c r="S1146">
        <v>1</v>
      </c>
      <c r="T1146">
        <v>3642</v>
      </c>
      <c r="U1146">
        <v>0</v>
      </c>
      <c r="V1146">
        <v>3642</v>
      </c>
    </row>
    <row r="1147" spans="1:22" x14ac:dyDescent="0.3">
      <c r="A1147">
        <v>187830</v>
      </c>
      <c r="B1147">
        <v>137798702</v>
      </c>
      <c r="C1147" t="s">
        <v>6003</v>
      </c>
      <c r="D1147" t="s">
        <v>6004</v>
      </c>
      <c r="E1147" t="s">
        <v>5494</v>
      </c>
      <c r="F1147" t="s">
        <v>514</v>
      </c>
      <c r="G1147" t="s">
        <v>43</v>
      </c>
      <c r="H1147" t="s">
        <v>44</v>
      </c>
      <c r="I1147" t="s">
        <v>34</v>
      </c>
      <c r="J1147" t="s">
        <v>45</v>
      </c>
      <c r="K1147" t="s">
        <v>41</v>
      </c>
      <c r="L1147" t="s">
        <v>6005</v>
      </c>
      <c r="M1147" t="s">
        <v>6006</v>
      </c>
      <c r="N1147" t="s">
        <v>516</v>
      </c>
      <c r="O1147" t="s">
        <v>64</v>
      </c>
      <c r="P1147" t="s">
        <v>6007</v>
      </c>
      <c r="Q1147" t="s">
        <v>75</v>
      </c>
      <c r="R1147" t="s">
        <v>5988</v>
      </c>
      <c r="S1147">
        <v>1.56</v>
      </c>
      <c r="T1147">
        <v>3904</v>
      </c>
      <c r="U1147">
        <v>0</v>
      </c>
      <c r="V1147">
        <v>3904</v>
      </c>
    </row>
    <row r="1148" spans="1:22" x14ac:dyDescent="0.3">
      <c r="A1148">
        <v>187830</v>
      </c>
      <c r="B1148">
        <v>137820931</v>
      </c>
      <c r="C1148" t="s">
        <v>6008</v>
      </c>
      <c r="D1148" t="s">
        <v>6009</v>
      </c>
      <c r="E1148" t="s">
        <v>5494</v>
      </c>
      <c r="F1148" t="s">
        <v>514</v>
      </c>
      <c r="G1148" t="s">
        <v>43</v>
      </c>
      <c r="H1148" t="s">
        <v>44</v>
      </c>
      <c r="I1148" t="s">
        <v>34</v>
      </c>
      <c r="J1148" t="s">
        <v>45</v>
      </c>
      <c r="K1148" t="s">
        <v>41</v>
      </c>
      <c r="L1148" t="s">
        <v>6010</v>
      </c>
      <c r="M1148" t="s">
        <v>6011</v>
      </c>
      <c r="N1148" t="s">
        <v>516</v>
      </c>
      <c r="O1148" t="s">
        <v>64</v>
      </c>
      <c r="P1148" t="s">
        <v>6012</v>
      </c>
      <c r="Q1148" t="s">
        <v>46</v>
      </c>
      <c r="R1148" t="s">
        <v>5968</v>
      </c>
      <c r="S1148">
        <v>0.74</v>
      </c>
      <c r="T1148">
        <v>3501</v>
      </c>
      <c r="U1148">
        <v>0</v>
      </c>
      <c r="V1148">
        <v>3501</v>
      </c>
    </row>
    <row r="1149" spans="1:22" x14ac:dyDescent="0.3">
      <c r="A1149">
        <v>187830</v>
      </c>
      <c r="B1149">
        <v>137837557</v>
      </c>
      <c r="C1149" t="s">
        <v>6013</v>
      </c>
      <c r="D1149" t="s">
        <v>6014</v>
      </c>
      <c r="E1149" t="s">
        <v>5494</v>
      </c>
      <c r="F1149" t="s">
        <v>514</v>
      </c>
      <c r="G1149" t="s">
        <v>43</v>
      </c>
      <c r="H1149" t="s">
        <v>44</v>
      </c>
      <c r="I1149" t="s">
        <v>34</v>
      </c>
      <c r="J1149" t="s">
        <v>45</v>
      </c>
      <c r="K1149" t="s">
        <v>41</v>
      </c>
      <c r="L1149" t="s">
        <v>6015</v>
      </c>
      <c r="M1149" t="s">
        <v>293</v>
      </c>
      <c r="N1149" t="s">
        <v>516</v>
      </c>
      <c r="O1149" t="s">
        <v>64</v>
      </c>
      <c r="P1149" t="s">
        <v>6016</v>
      </c>
      <c r="Q1149" t="s">
        <v>106</v>
      </c>
      <c r="R1149" t="s">
        <v>262</v>
      </c>
      <c r="S1149">
        <v>0.79</v>
      </c>
      <c r="T1149">
        <v>4025</v>
      </c>
      <c r="U1149">
        <v>0</v>
      </c>
      <c r="V1149">
        <v>4025</v>
      </c>
    </row>
    <row r="1150" spans="1:22" x14ac:dyDescent="0.3">
      <c r="A1150">
        <v>187830</v>
      </c>
      <c r="B1150">
        <v>137798703</v>
      </c>
      <c r="C1150" t="s">
        <v>6017</v>
      </c>
      <c r="D1150" t="s">
        <v>6018</v>
      </c>
      <c r="E1150" t="s">
        <v>5494</v>
      </c>
      <c r="F1150" t="s">
        <v>514</v>
      </c>
      <c r="G1150" t="s">
        <v>43</v>
      </c>
      <c r="H1150" t="s">
        <v>44</v>
      </c>
      <c r="I1150" t="s">
        <v>34</v>
      </c>
      <c r="J1150" t="s">
        <v>45</v>
      </c>
      <c r="K1150" t="s">
        <v>41</v>
      </c>
      <c r="L1150" t="s">
        <v>6019</v>
      </c>
      <c r="M1150" t="s">
        <v>6020</v>
      </c>
      <c r="N1150" t="s">
        <v>516</v>
      </c>
      <c r="O1150" t="s">
        <v>64</v>
      </c>
      <c r="P1150" t="s">
        <v>6021</v>
      </c>
      <c r="Q1150" t="s">
        <v>56</v>
      </c>
      <c r="R1150" t="s">
        <v>5988</v>
      </c>
      <c r="S1150">
        <v>1</v>
      </c>
      <c r="T1150">
        <v>3904</v>
      </c>
      <c r="U1150">
        <v>0</v>
      </c>
      <c r="V1150">
        <v>3904</v>
      </c>
    </row>
    <row r="1151" spans="1:22" x14ac:dyDescent="0.3">
      <c r="A1151">
        <v>187830</v>
      </c>
      <c r="B1151">
        <v>137616781</v>
      </c>
      <c r="C1151" t="s">
        <v>6022</v>
      </c>
      <c r="D1151" t="s">
        <v>6023</v>
      </c>
      <c r="E1151" t="s">
        <v>5494</v>
      </c>
      <c r="F1151" t="s">
        <v>514</v>
      </c>
      <c r="G1151" t="s">
        <v>43</v>
      </c>
      <c r="H1151" t="s">
        <v>44</v>
      </c>
      <c r="I1151" t="s">
        <v>34</v>
      </c>
      <c r="J1151" t="s">
        <v>45</v>
      </c>
      <c r="K1151" t="s">
        <v>41</v>
      </c>
      <c r="L1151" t="s">
        <v>6024</v>
      </c>
      <c r="M1151" t="s">
        <v>6025</v>
      </c>
      <c r="N1151" t="s">
        <v>516</v>
      </c>
      <c r="O1151" t="s">
        <v>64</v>
      </c>
      <c r="P1151" t="s">
        <v>6026</v>
      </c>
      <c r="Q1151" t="s">
        <v>49</v>
      </c>
      <c r="R1151" t="s">
        <v>5671</v>
      </c>
      <c r="S1151">
        <v>1.88</v>
      </c>
      <c r="T1151">
        <v>3501</v>
      </c>
      <c r="U1151">
        <v>0</v>
      </c>
      <c r="V1151">
        <v>3501</v>
      </c>
    </row>
    <row r="1152" spans="1:22" x14ac:dyDescent="0.3">
      <c r="A1152">
        <v>187830</v>
      </c>
      <c r="B1152">
        <v>137670014</v>
      </c>
      <c r="C1152" t="s">
        <v>6027</v>
      </c>
      <c r="D1152" t="s">
        <v>6028</v>
      </c>
      <c r="E1152" t="s">
        <v>5494</v>
      </c>
      <c r="F1152" t="s">
        <v>514</v>
      </c>
      <c r="G1152" t="s">
        <v>43</v>
      </c>
      <c r="H1152" t="s">
        <v>44</v>
      </c>
      <c r="I1152" t="s">
        <v>34</v>
      </c>
      <c r="J1152" t="s">
        <v>45</v>
      </c>
      <c r="K1152" t="s">
        <v>41</v>
      </c>
      <c r="L1152" t="s">
        <v>6029</v>
      </c>
      <c r="M1152" t="s">
        <v>6030</v>
      </c>
      <c r="N1152" t="s">
        <v>516</v>
      </c>
      <c r="O1152" t="s">
        <v>64</v>
      </c>
      <c r="P1152" t="s">
        <v>6031</v>
      </c>
      <c r="Q1152" t="s">
        <v>111</v>
      </c>
      <c r="R1152" t="s">
        <v>6032</v>
      </c>
      <c r="S1152">
        <v>2.4900000000000002</v>
      </c>
      <c r="T1152">
        <v>5476</v>
      </c>
      <c r="U1152">
        <v>0</v>
      </c>
      <c r="V1152">
        <v>5476</v>
      </c>
    </row>
    <row r="1153" spans="1:22" x14ac:dyDescent="0.3">
      <c r="A1153">
        <v>187830</v>
      </c>
      <c r="B1153">
        <v>137556798</v>
      </c>
      <c r="C1153" t="s">
        <v>6033</v>
      </c>
      <c r="D1153" t="s">
        <v>6034</v>
      </c>
      <c r="E1153" t="s">
        <v>5494</v>
      </c>
      <c r="F1153" t="s">
        <v>514</v>
      </c>
      <c r="G1153" t="s">
        <v>43</v>
      </c>
      <c r="H1153" t="s">
        <v>44</v>
      </c>
      <c r="I1153" t="s">
        <v>34</v>
      </c>
      <c r="J1153" t="s">
        <v>45</v>
      </c>
      <c r="K1153" t="s">
        <v>41</v>
      </c>
      <c r="L1153" t="s">
        <v>6035</v>
      </c>
      <c r="M1153" t="s">
        <v>6036</v>
      </c>
      <c r="N1153" t="s">
        <v>516</v>
      </c>
      <c r="O1153" t="s">
        <v>64</v>
      </c>
      <c r="P1153" t="s">
        <v>6037</v>
      </c>
      <c r="Q1153" t="s">
        <v>118</v>
      </c>
      <c r="R1153" t="s">
        <v>354</v>
      </c>
      <c r="S1153">
        <v>1.58</v>
      </c>
      <c r="T1153">
        <v>4067</v>
      </c>
      <c r="U1153">
        <v>0</v>
      </c>
      <c r="V1153">
        <v>4067</v>
      </c>
    </row>
    <row r="1154" spans="1:22" x14ac:dyDescent="0.3">
      <c r="A1154">
        <v>187830</v>
      </c>
      <c r="B1154">
        <v>137616789</v>
      </c>
      <c r="C1154" t="s">
        <v>6038</v>
      </c>
      <c r="D1154" t="s">
        <v>6039</v>
      </c>
      <c r="E1154" t="s">
        <v>5494</v>
      </c>
      <c r="F1154" t="s">
        <v>514</v>
      </c>
      <c r="G1154" t="s">
        <v>43</v>
      </c>
      <c r="H1154" t="s">
        <v>44</v>
      </c>
      <c r="I1154" t="s">
        <v>34</v>
      </c>
      <c r="J1154" t="s">
        <v>45</v>
      </c>
      <c r="K1154" t="s">
        <v>41</v>
      </c>
      <c r="L1154" t="s">
        <v>6040</v>
      </c>
      <c r="M1154" t="s">
        <v>6041</v>
      </c>
      <c r="N1154" t="s">
        <v>516</v>
      </c>
      <c r="O1154" t="s">
        <v>64</v>
      </c>
      <c r="P1154" t="s">
        <v>6042</v>
      </c>
      <c r="Q1154" t="s">
        <v>50</v>
      </c>
      <c r="R1154" t="s">
        <v>5671</v>
      </c>
      <c r="S1154">
        <v>3.01</v>
      </c>
      <c r="T1154">
        <v>7484</v>
      </c>
      <c r="U1154">
        <v>0</v>
      </c>
      <c r="V1154">
        <v>7484</v>
      </c>
    </row>
    <row r="1155" spans="1:22" x14ac:dyDescent="0.3">
      <c r="A1155">
        <v>187830</v>
      </c>
      <c r="B1155">
        <v>137535998</v>
      </c>
      <c r="C1155" t="s">
        <v>6043</v>
      </c>
      <c r="D1155" t="s">
        <v>6044</v>
      </c>
      <c r="E1155" t="s">
        <v>5494</v>
      </c>
      <c r="F1155" t="s">
        <v>514</v>
      </c>
      <c r="G1155" t="s">
        <v>43</v>
      </c>
      <c r="H1155" t="s">
        <v>44</v>
      </c>
      <c r="I1155" t="s">
        <v>34</v>
      </c>
      <c r="J1155" t="s">
        <v>45</v>
      </c>
      <c r="K1155" t="s">
        <v>41</v>
      </c>
      <c r="L1155" t="s">
        <v>6045</v>
      </c>
      <c r="M1155" t="s">
        <v>6046</v>
      </c>
      <c r="N1155" t="s">
        <v>516</v>
      </c>
      <c r="O1155" t="s">
        <v>64</v>
      </c>
      <c r="P1155" t="s">
        <v>6047</v>
      </c>
      <c r="Q1155" t="s">
        <v>118</v>
      </c>
      <c r="R1155" t="s">
        <v>6048</v>
      </c>
      <c r="S1155">
        <v>0.99</v>
      </c>
      <c r="T1155">
        <v>4067</v>
      </c>
      <c r="U1155">
        <v>0</v>
      </c>
      <c r="V1155">
        <v>4067</v>
      </c>
    </row>
    <row r="1156" spans="1:22" x14ac:dyDescent="0.3">
      <c r="A1156">
        <v>187830</v>
      </c>
      <c r="B1156">
        <v>137593199</v>
      </c>
      <c r="C1156" t="s">
        <v>6049</v>
      </c>
      <c r="D1156" t="s">
        <v>6050</v>
      </c>
      <c r="E1156" t="s">
        <v>5494</v>
      </c>
      <c r="F1156" t="s">
        <v>514</v>
      </c>
      <c r="G1156" t="s">
        <v>43</v>
      </c>
      <c r="H1156" t="s">
        <v>44</v>
      </c>
      <c r="I1156" t="s">
        <v>34</v>
      </c>
      <c r="J1156" t="s">
        <v>45</v>
      </c>
      <c r="K1156" t="s">
        <v>41</v>
      </c>
      <c r="L1156" t="s">
        <v>6051</v>
      </c>
      <c r="M1156" t="s">
        <v>6052</v>
      </c>
      <c r="N1156" t="s">
        <v>516</v>
      </c>
      <c r="O1156" t="s">
        <v>64</v>
      </c>
      <c r="P1156" t="s">
        <v>6053</v>
      </c>
      <c r="Q1156" t="s">
        <v>118</v>
      </c>
      <c r="R1156" t="s">
        <v>313</v>
      </c>
      <c r="S1156">
        <v>1.97</v>
      </c>
      <c r="T1156">
        <v>4067</v>
      </c>
      <c r="U1156">
        <v>0</v>
      </c>
      <c r="V1156">
        <v>4067</v>
      </c>
    </row>
    <row r="1157" spans="1:22" x14ac:dyDescent="0.3">
      <c r="A1157">
        <v>187830</v>
      </c>
      <c r="B1157">
        <v>137616785</v>
      </c>
      <c r="C1157" t="s">
        <v>6054</v>
      </c>
      <c r="D1157" t="s">
        <v>6055</v>
      </c>
      <c r="E1157" t="s">
        <v>5494</v>
      </c>
      <c r="F1157" t="s">
        <v>514</v>
      </c>
      <c r="G1157" t="s">
        <v>43</v>
      </c>
      <c r="H1157" t="s">
        <v>44</v>
      </c>
      <c r="I1157" t="s">
        <v>34</v>
      </c>
      <c r="J1157" t="s">
        <v>45</v>
      </c>
      <c r="K1157" t="s">
        <v>41</v>
      </c>
      <c r="L1157" t="s">
        <v>6056</v>
      </c>
      <c r="M1157" t="s">
        <v>6057</v>
      </c>
      <c r="N1157" t="s">
        <v>516</v>
      </c>
      <c r="O1157" t="s">
        <v>64</v>
      </c>
      <c r="P1157" t="s">
        <v>6058</v>
      </c>
      <c r="Q1157" t="s">
        <v>66</v>
      </c>
      <c r="R1157" t="s">
        <v>5671</v>
      </c>
      <c r="S1157">
        <v>2</v>
      </c>
      <c r="T1157">
        <v>3784</v>
      </c>
      <c r="U1157">
        <v>0</v>
      </c>
      <c r="V1157">
        <v>3784</v>
      </c>
    </row>
    <row r="1158" spans="1:22" x14ac:dyDescent="0.3">
      <c r="A1158">
        <v>187830</v>
      </c>
      <c r="B1158">
        <v>137535999</v>
      </c>
      <c r="C1158" t="s">
        <v>6059</v>
      </c>
      <c r="D1158" t="s">
        <v>6060</v>
      </c>
      <c r="E1158" t="s">
        <v>5494</v>
      </c>
      <c r="F1158" t="s">
        <v>514</v>
      </c>
      <c r="G1158" t="s">
        <v>43</v>
      </c>
      <c r="H1158" t="s">
        <v>44</v>
      </c>
      <c r="I1158" t="s">
        <v>34</v>
      </c>
      <c r="J1158" t="s">
        <v>45</v>
      </c>
      <c r="K1158" t="s">
        <v>41</v>
      </c>
      <c r="L1158" t="s">
        <v>6061</v>
      </c>
      <c r="M1158" t="s">
        <v>6062</v>
      </c>
      <c r="N1158" t="s">
        <v>516</v>
      </c>
      <c r="O1158" t="s">
        <v>64</v>
      </c>
      <c r="P1158" t="s">
        <v>6063</v>
      </c>
      <c r="Q1158" t="s">
        <v>53</v>
      </c>
      <c r="R1158" t="s">
        <v>6048</v>
      </c>
      <c r="S1158">
        <v>1</v>
      </c>
      <c r="T1158">
        <v>3501</v>
      </c>
      <c r="U1158">
        <v>0</v>
      </c>
      <c r="V1158">
        <v>3501</v>
      </c>
    </row>
    <row r="1159" spans="1:22" x14ac:dyDescent="0.3">
      <c r="A1159">
        <v>187830</v>
      </c>
      <c r="B1159">
        <v>137468953</v>
      </c>
      <c r="C1159" t="s">
        <v>6064</v>
      </c>
      <c r="D1159" t="s">
        <v>6065</v>
      </c>
      <c r="E1159" t="s">
        <v>5494</v>
      </c>
      <c r="F1159" t="s">
        <v>514</v>
      </c>
      <c r="G1159" t="s">
        <v>69</v>
      </c>
      <c r="H1159" t="s">
        <v>70</v>
      </c>
      <c r="I1159" t="s">
        <v>34</v>
      </c>
      <c r="J1159" t="s">
        <v>139</v>
      </c>
      <c r="K1159" t="s">
        <v>41</v>
      </c>
      <c r="L1159" t="s">
        <v>71</v>
      </c>
      <c r="M1159" t="s">
        <v>6066</v>
      </c>
      <c r="N1159" t="s">
        <v>516</v>
      </c>
      <c r="O1159" t="s">
        <v>64</v>
      </c>
      <c r="P1159" t="s">
        <v>6067</v>
      </c>
      <c r="Q1159" t="s">
        <v>126</v>
      </c>
      <c r="R1159" t="s">
        <v>5947</v>
      </c>
      <c r="S1159">
        <v>0.42</v>
      </c>
      <c r="T1159">
        <v>5601</v>
      </c>
      <c r="U1159">
        <v>0</v>
      </c>
      <c r="V1159">
        <v>5601</v>
      </c>
    </row>
    <row r="1160" spans="1:22" x14ac:dyDescent="0.3">
      <c r="A1160">
        <v>187830</v>
      </c>
      <c r="B1160">
        <v>137702012</v>
      </c>
      <c r="C1160" t="s">
        <v>6068</v>
      </c>
      <c r="D1160" t="s">
        <v>6069</v>
      </c>
      <c r="E1160" t="s">
        <v>5494</v>
      </c>
      <c r="F1160" t="s">
        <v>514</v>
      </c>
      <c r="G1160" t="s">
        <v>43</v>
      </c>
      <c r="H1160" t="s">
        <v>44</v>
      </c>
      <c r="I1160" t="s">
        <v>34</v>
      </c>
      <c r="J1160" t="s">
        <v>45</v>
      </c>
      <c r="K1160" t="s">
        <v>41</v>
      </c>
      <c r="L1160" t="s">
        <v>6070</v>
      </c>
      <c r="M1160" t="s">
        <v>6071</v>
      </c>
      <c r="N1160" t="s">
        <v>516</v>
      </c>
      <c r="O1160" t="s">
        <v>64</v>
      </c>
      <c r="P1160" t="s">
        <v>6072</v>
      </c>
      <c r="Q1160" t="s">
        <v>56</v>
      </c>
      <c r="R1160" t="s">
        <v>6073</v>
      </c>
      <c r="S1160">
        <v>0.91</v>
      </c>
      <c r="T1160">
        <v>3753</v>
      </c>
      <c r="U1160">
        <v>0</v>
      </c>
      <c r="V1160">
        <v>3753</v>
      </c>
    </row>
    <row r="1161" spans="1:22" x14ac:dyDescent="0.3">
      <c r="A1161">
        <v>187830</v>
      </c>
      <c r="B1161">
        <v>137702019</v>
      </c>
      <c r="C1161" t="s">
        <v>6074</v>
      </c>
      <c r="D1161" t="s">
        <v>6075</v>
      </c>
      <c r="E1161" t="s">
        <v>5494</v>
      </c>
      <c r="F1161" t="s">
        <v>514</v>
      </c>
      <c r="G1161" t="s">
        <v>43</v>
      </c>
      <c r="H1161" t="s">
        <v>44</v>
      </c>
      <c r="I1161" t="s">
        <v>34</v>
      </c>
      <c r="J1161" t="s">
        <v>45</v>
      </c>
      <c r="K1161" t="s">
        <v>41</v>
      </c>
      <c r="L1161" t="s">
        <v>6076</v>
      </c>
      <c r="M1161" t="s">
        <v>6077</v>
      </c>
      <c r="N1161" t="s">
        <v>516</v>
      </c>
      <c r="O1161" t="s">
        <v>64</v>
      </c>
      <c r="P1161" t="s">
        <v>6078</v>
      </c>
      <c r="Q1161" t="s">
        <v>81</v>
      </c>
      <c r="R1161" t="s">
        <v>6073</v>
      </c>
      <c r="S1161">
        <v>0.59</v>
      </c>
      <c r="T1161">
        <v>3366</v>
      </c>
      <c r="U1161">
        <v>0</v>
      </c>
      <c r="V1161">
        <v>3366</v>
      </c>
    </row>
    <row r="1162" spans="1:22" x14ac:dyDescent="0.3">
      <c r="A1162">
        <v>187830</v>
      </c>
      <c r="B1162">
        <v>137616787</v>
      </c>
      <c r="C1162" t="s">
        <v>6079</v>
      </c>
      <c r="D1162" t="s">
        <v>6080</v>
      </c>
      <c r="E1162" t="s">
        <v>5494</v>
      </c>
      <c r="F1162" t="s">
        <v>514</v>
      </c>
      <c r="G1162" t="s">
        <v>43</v>
      </c>
      <c r="H1162" t="s">
        <v>44</v>
      </c>
      <c r="I1162" t="s">
        <v>34</v>
      </c>
      <c r="J1162" t="s">
        <v>45</v>
      </c>
      <c r="K1162" t="s">
        <v>41</v>
      </c>
      <c r="L1162" t="s">
        <v>6081</v>
      </c>
      <c r="M1162" t="s">
        <v>6082</v>
      </c>
      <c r="N1162" t="s">
        <v>516</v>
      </c>
      <c r="O1162" t="s">
        <v>64</v>
      </c>
      <c r="P1162" t="s">
        <v>6083</v>
      </c>
      <c r="Q1162" t="s">
        <v>56</v>
      </c>
      <c r="R1162" t="s">
        <v>5671</v>
      </c>
      <c r="S1162">
        <v>1.31</v>
      </c>
      <c r="T1162">
        <v>3753</v>
      </c>
      <c r="U1162">
        <v>0</v>
      </c>
      <c r="V1162">
        <v>3753</v>
      </c>
    </row>
    <row r="1163" spans="1:22" x14ac:dyDescent="0.3">
      <c r="A1163">
        <v>187830</v>
      </c>
      <c r="B1163">
        <v>137702013</v>
      </c>
      <c r="C1163" t="s">
        <v>6084</v>
      </c>
      <c r="D1163" t="s">
        <v>6085</v>
      </c>
      <c r="E1163" t="s">
        <v>5494</v>
      </c>
      <c r="F1163" t="s">
        <v>514</v>
      </c>
      <c r="G1163" t="s">
        <v>43</v>
      </c>
      <c r="H1163" t="s">
        <v>44</v>
      </c>
      <c r="I1163" t="s">
        <v>34</v>
      </c>
      <c r="J1163" t="s">
        <v>45</v>
      </c>
      <c r="K1163" t="s">
        <v>41</v>
      </c>
      <c r="L1163" t="s">
        <v>6086</v>
      </c>
      <c r="M1163" t="s">
        <v>6087</v>
      </c>
      <c r="N1163" t="s">
        <v>516</v>
      </c>
      <c r="O1163" t="s">
        <v>64</v>
      </c>
      <c r="P1163" t="s">
        <v>6088</v>
      </c>
      <c r="Q1163" t="s">
        <v>73</v>
      </c>
      <c r="R1163" t="s">
        <v>6073</v>
      </c>
      <c r="S1163">
        <v>2.69</v>
      </c>
      <c r="T1163">
        <v>3753</v>
      </c>
      <c r="U1163">
        <v>0</v>
      </c>
      <c r="V1163">
        <v>3753</v>
      </c>
    </row>
    <row r="1164" spans="1:22" x14ac:dyDescent="0.3">
      <c r="A1164">
        <v>187830</v>
      </c>
      <c r="B1164">
        <v>137556807</v>
      </c>
      <c r="C1164" t="s">
        <v>6089</v>
      </c>
      <c r="D1164" t="s">
        <v>6090</v>
      </c>
      <c r="E1164" t="s">
        <v>5494</v>
      </c>
      <c r="F1164" t="s">
        <v>514</v>
      </c>
      <c r="G1164" t="s">
        <v>43</v>
      </c>
      <c r="H1164" t="s">
        <v>44</v>
      </c>
      <c r="I1164" t="s">
        <v>34</v>
      </c>
      <c r="J1164" t="s">
        <v>45</v>
      </c>
      <c r="K1164" t="s">
        <v>41</v>
      </c>
      <c r="L1164" t="s">
        <v>5828</v>
      </c>
      <c r="M1164" t="s">
        <v>5829</v>
      </c>
      <c r="N1164" t="s">
        <v>516</v>
      </c>
      <c r="O1164" t="s">
        <v>64</v>
      </c>
      <c r="P1164" t="s">
        <v>5830</v>
      </c>
      <c r="Q1164" t="s">
        <v>49</v>
      </c>
      <c r="R1164" t="s">
        <v>354</v>
      </c>
      <c r="S1164">
        <v>1.59</v>
      </c>
      <c r="T1164">
        <v>3501</v>
      </c>
      <c r="U1164">
        <v>0</v>
      </c>
      <c r="V1164">
        <v>3501</v>
      </c>
    </row>
    <row r="1165" spans="1:22" x14ac:dyDescent="0.3">
      <c r="A1165">
        <v>187830</v>
      </c>
      <c r="B1165">
        <v>137468961</v>
      </c>
      <c r="C1165" t="s">
        <v>6091</v>
      </c>
      <c r="D1165" t="s">
        <v>6092</v>
      </c>
      <c r="E1165" t="s">
        <v>5494</v>
      </c>
      <c r="F1165" t="s">
        <v>514</v>
      </c>
      <c r="G1165" t="s">
        <v>43</v>
      </c>
      <c r="H1165" t="s">
        <v>44</v>
      </c>
      <c r="I1165" t="s">
        <v>34</v>
      </c>
      <c r="J1165" t="s">
        <v>45</v>
      </c>
      <c r="K1165" t="s">
        <v>54</v>
      </c>
      <c r="L1165" t="s">
        <v>55</v>
      </c>
      <c r="M1165" t="s">
        <v>6093</v>
      </c>
      <c r="N1165" t="s">
        <v>516</v>
      </c>
      <c r="O1165" t="s">
        <v>64</v>
      </c>
      <c r="P1165" t="s">
        <v>6094</v>
      </c>
      <c r="Q1165" t="s">
        <v>82</v>
      </c>
      <c r="R1165" t="s">
        <v>5947</v>
      </c>
      <c r="S1165">
        <v>1.5</v>
      </c>
      <c r="T1165">
        <v>5759</v>
      </c>
      <c r="U1165">
        <v>0</v>
      </c>
      <c r="V1165">
        <v>5759</v>
      </c>
    </row>
    <row r="1166" spans="1:22" x14ac:dyDescent="0.3">
      <c r="A1166">
        <v>187830</v>
      </c>
      <c r="B1166">
        <v>137616795</v>
      </c>
      <c r="C1166" t="s">
        <v>6095</v>
      </c>
      <c r="D1166" t="s">
        <v>6096</v>
      </c>
      <c r="E1166" t="s">
        <v>5494</v>
      </c>
      <c r="F1166" t="s">
        <v>514</v>
      </c>
      <c r="G1166" t="s">
        <v>43</v>
      </c>
      <c r="H1166" t="s">
        <v>44</v>
      </c>
      <c r="I1166" t="s">
        <v>34</v>
      </c>
      <c r="J1166" t="s">
        <v>45</v>
      </c>
      <c r="K1166" t="s">
        <v>41</v>
      </c>
      <c r="L1166" t="s">
        <v>6097</v>
      </c>
      <c r="M1166" t="s">
        <v>6098</v>
      </c>
      <c r="N1166" t="s">
        <v>516</v>
      </c>
      <c r="O1166" t="s">
        <v>64</v>
      </c>
      <c r="P1166" t="s">
        <v>6099</v>
      </c>
      <c r="Q1166" t="s">
        <v>90</v>
      </c>
      <c r="R1166" t="s">
        <v>5671</v>
      </c>
      <c r="S1166">
        <v>2.56</v>
      </c>
      <c r="T1166">
        <v>3753</v>
      </c>
      <c r="U1166">
        <v>0</v>
      </c>
      <c r="V1166">
        <v>3753</v>
      </c>
    </row>
    <row r="1167" spans="1:22" x14ac:dyDescent="0.3">
      <c r="A1167">
        <v>187830</v>
      </c>
      <c r="B1167">
        <v>137468977</v>
      </c>
      <c r="C1167" t="s">
        <v>6100</v>
      </c>
      <c r="D1167" t="s">
        <v>6101</v>
      </c>
      <c r="E1167" t="s">
        <v>5494</v>
      </c>
      <c r="F1167" t="s">
        <v>514</v>
      </c>
      <c r="G1167" t="s">
        <v>43</v>
      </c>
      <c r="H1167" t="s">
        <v>44</v>
      </c>
      <c r="I1167" t="s">
        <v>34</v>
      </c>
      <c r="J1167" t="s">
        <v>45</v>
      </c>
      <c r="K1167" t="s">
        <v>41</v>
      </c>
      <c r="L1167" t="s">
        <v>6102</v>
      </c>
      <c r="M1167" t="s">
        <v>6103</v>
      </c>
      <c r="N1167" t="s">
        <v>516</v>
      </c>
      <c r="O1167" t="s">
        <v>64</v>
      </c>
      <c r="P1167" t="s">
        <v>6104</v>
      </c>
      <c r="Q1167" t="s">
        <v>98</v>
      </c>
      <c r="R1167" t="s">
        <v>5947</v>
      </c>
      <c r="S1167">
        <v>1.03</v>
      </c>
      <c r="T1167">
        <v>5759</v>
      </c>
      <c r="U1167">
        <v>0</v>
      </c>
      <c r="V1167">
        <v>5759</v>
      </c>
    </row>
    <row r="1168" spans="1:22" x14ac:dyDescent="0.3">
      <c r="A1168">
        <v>187830</v>
      </c>
      <c r="B1168">
        <v>137616788</v>
      </c>
      <c r="C1168" t="s">
        <v>6105</v>
      </c>
      <c r="D1168" t="s">
        <v>6106</v>
      </c>
      <c r="E1168" t="s">
        <v>5494</v>
      </c>
      <c r="F1168" t="s">
        <v>514</v>
      </c>
      <c r="G1168" t="s">
        <v>43</v>
      </c>
      <c r="H1168" t="s">
        <v>44</v>
      </c>
      <c r="I1168" t="s">
        <v>34</v>
      </c>
      <c r="J1168" t="s">
        <v>45</v>
      </c>
      <c r="K1168" t="s">
        <v>41</v>
      </c>
      <c r="L1168" t="s">
        <v>6107</v>
      </c>
      <c r="M1168" t="s">
        <v>6108</v>
      </c>
      <c r="N1168" t="s">
        <v>516</v>
      </c>
      <c r="O1168" t="s">
        <v>64</v>
      </c>
      <c r="P1168" t="s">
        <v>6109</v>
      </c>
      <c r="Q1168" t="s">
        <v>49</v>
      </c>
      <c r="R1168" t="s">
        <v>5671</v>
      </c>
      <c r="S1168">
        <v>1.23</v>
      </c>
      <c r="T1168">
        <v>3501</v>
      </c>
      <c r="U1168">
        <v>0</v>
      </c>
      <c r="V1168">
        <v>3501</v>
      </c>
    </row>
    <row r="1169" spans="1:22" x14ac:dyDescent="0.3">
      <c r="A1169">
        <v>187830</v>
      </c>
      <c r="B1169">
        <v>137775523</v>
      </c>
      <c r="C1169" t="s">
        <v>6110</v>
      </c>
      <c r="D1169" t="s">
        <v>6111</v>
      </c>
      <c r="E1169" t="s">
        <v>5494</v>
      </c>
      <c r="F1169" t="s">
        <v>514</v>
      </c>
      <c r="G1169" t="s">
        <v>43</v>
      </c>
      <c r="H1169" t="s">
        <v>44</v>
      </c>
      <c r="I1169" t="s">
        <v>34</v>
      </c>
      <c r="J1169" t="s">
        <v>45</v>
      </c>
      <c r="K1169" t="s">
        <v>41</v>
      </c>
      <c r="L1169" t="s">
        <v>6112</v>
      </c>
      <c r="M1169" t="s">
        <v>6113</v>
      </c>
      <c r="N1169" t="s">
        <v>516</v>
      </c>
      <c r="O1169" t="s">
        <v>64</v>
      </c>
      <c r="P1169" t="s">
        <v>6114</v>
      </c>
      <c r="Q1169" t="s">
        <v>56</v>
      </c>
      <c r="R1169" t="s">
        <v>6115</v>
      </c>
      <c r="S1169">
        <v>1.64</v>
      </c>
      <c r="T1169">
        <v>3753</v>
      </c>
      <c r="U1169">
        <v>0</v>
      </c>
      <c r="V1169">
        <v>3753</v>
      </c>
    </row>
    <row r="1170" spans="1:22" x14ac:dyDescent="0.3">
      <c r="A1170">
        <v>187830</v>
      </c>
      <c r="B1170">
        <v>137616779</v>
      </c>
      <c r="C1170" t="s">
        <v>6116</v>
      </c>
      <c r="D1170" t="s">
        <v>6117</v>
      </c>
      <c r="E1170" t="s">
        <v>5494</v>
      </c>
      <c r="F1170" t="s">
        <v>514</v>
      </c>
      <c r="G1170" t="s">
        <v>43</v>
      </c>
      <c r="H1170" t="s">
        <v>44</v>
      </c>
      <c r="I1170" t="s">
        <v>34</v>
      </c>
      <c r="J1170" t="s">
        <v>45</v>
      </c>
      <c r="K1170" t="s">
        <v>41</v>
      </c>
      <c r="L1170" t="s">
        <v>6118</v>
      </c>
      <c r="M1170" t="s">
        <v>6119</v>
      </c>
      <c r="N1170" t="s">
        <v>516</v>
      </c>
      <c r="O1170" t="s">
        <v>64</v>
      </c>
      <c r="P1170" t="s">
        <v>6120</v>
      </c>
      <c r="Q1170" t="s">
        <v>87</v>
      </c>
      <c r="R1170" t="s">
        <v>5671</v>
      </c>
      <c r="S1170">
        <v>1.32</v>
      </c>
      <c r="T1170">
        <v>3870</v>
      </c>
      <c r="U1170">
        <v>0</v>
      </c>
      <c r="V1170">
        <v>3870</v>
      </c>
    </row>
    <row r="1171" spans="1:22" x14ac:dyDescent="0.3">
      <c r="A1171">
        <v>187830</v>
      </c>
      <c r="B1171">
        <v>137702021</v>
      </c>
      <c r="C1171" t="s">
        <v>6121</v>
      </c>
      <c r="D1171" t="s">
        <v>6122</v>
      </c>
      <c r="E1171" t="s">
        <v>5494</v>
      </c>
      <c r="F1171" t="s">
        <v>514</v>
      </c>
      <c r="G1171" t="s">
        <v>43</v>
      </c>
      <c r="H1171" t="s">
        <v>44</v>
      </c>
      <c r="I1171" t="s">
        <v>34</v>
      </c>
      <c r="J1171" t="s">
        <v>45</v>
      </c>
      <c r="K1171" t="s">
        <v>41</v>
      </c>
      <c r="L1171" t="s">
        <v>6123</v>
      </c>
      <c r="M1171" t="s">
        <v>6124</v>
      </c>
      <c r="N1171" t="s">
        <v>516</v>
      </c>
      <c r="O1171" t="s">
        <v>64</v>
      </c>
      <c r="P1171" t="s">
        <v>6125</v>
      </c>
      <c r="Q1171" t="s">
        <v>208</v>
      </c>
      <c r="R1171" t="s">
        <v>6073</v>
      </c>
      <c r="S1171">
        <v>1.37</v>
      </c>
      <c r="T1171">
        <v>3784</v>
      </c>
      <c r="U1171">
        <v>0</v>
      </c>
      <c r="V1171">
        <v>3784</v>
      </c>
    </row>
    <row r="1172" spans="1:22" x14ac:dyDescent="0.3">
      <c r="A1172">
        <v>187830</v>
      </c>
      <c r="B1172">
        <v>137206673</v>
      </c>
      <c r="C1172" t="s">
        <v>6126</v>
      </c>
      <c r="D1172" t="s">
        <v>6127</v>
      </c>
      <c r="E1172" t="s">
        <v>5494</v>
      </c>
      <c r="F1172" t="s">
        <v>514</v>
      </c>
      <c r="G1172" t="s">
        <v>43</v>
      </c>
      <c r="H1172" t="s">
        <v>44</v>
      </c>
      <c r="I1172" t="s">
        <v>34</v>
      </c>
      <c r="J1172" t="s">
        <v>45</v>
      </c>
      <c r="K1172" t="s">
        <v>41</v>
      </c>
      <c r="L1172" t="s">
        <v>6128</v>
      </c>
      <c r="M1172" t="s">
        <v>6129</v>
      </c>
      <c r="N1172" t="s">
        <v>516</v>
      </c>
      <c r="O1172" t="s">
        <v>64</v>
      </c>
      <c r="P1172" t="s">
        <v>6130</v>
      </c>
      <c r="Q1172" t="s">
        <v>68</v>
      </c>
      <c r="R1172" t="s">
        <v>6131</v>
      </c>
      <c r="S1172">
        <v>0.74</v>
      </c>
      <c r="T1172">
        <v>5759</v>
      </c>
      <c r="U1172">
        <v>0</v>
      </c>
      <c r="V1172">
        <v>5759</v>
      </c>
    </row>
    <row r="1173" spans="1:22" x14ac:dyDescent="0.3">
      <c r="A1173">
        <v>187830</v>
      </c>
      <c r="B1173">
        <v>137659355</v>
      </c>
      <c r="C1173" t="s">
        <v>6132</v>
      </c>
      <c r="D1173" t="s">
        <v>6133</v>
      </c>
      <c r="E1173" t="s">
        <v>5494</v>
      </c>
      <c r="F1173" t="s">
        <v>514</v>
      </c>
      <c r="G1173" t="s">
        <v>43</v>
      </c>
      <c r="H1173" t="s">
        <v>44</v>
      </c>
      <c r="I1173" t="s">
        <v>34</v>
      </c>
      <c r="J1173" t="s">
        <v>45</v>
      </c>
      <c r="K1173" t="s">
        <v>41</v>
      </c>
      <c r="L1173" t="s">
        <v>6134</v>
      </c>
      <c r="M1173" t="s">
        <v>6135</v>
      </c>
      <c r="N1173" t="s">
        <v>516</v>
      </c>
      <c r="O1173" t="s">
        <v>64</v>
      </c>
      <c r="P1173" t="s">
        <v>6136</v>
      </c>
      <c r="Q1173" t="s">
        <v>47</v>
      </c>
      <c r="R1173" t="s">
        <v>5889</v>
      </c>
      <c r="S1173">
        <v>1.76</v>
      </c>
      <c r="T1173">
        <v>4067</v>
      </c>
      <c r="U1173">
        <v>0</v>
      </c>
      <c r="V1173">
        <v>4067</v>
      </c>
    </row>
    <row r="1174" spans="1:22" x14ac:dyDescent="0.3">
      <c r="A1174">
        <v>187830</v>
      </c>
      <c r="B1174">
        <v>137702018</v>
      </c>
      <c r="C1174" t="s">
        <v>6137</v>
      </c>
      <c r="D1174" t="s">
        <v>6138</v>
      </c>
      <c r="E1174" t="s">
        <v>5494</v>
      </c>
      <c r="F1174" t="s">
        <v>514</v>
      </c>
      <c r="G1174" t="s">
        <v>43</v>
      </c>
      <c r="H1174" t="s">
        <v>44</v>
      </c>
      <c r="I1174" t="s">
        <v>34</v>
      </c>
      <c r="J1174" t="s">
        <v>45</v>
      </c>
      <c r="K1174" t="s">
        <v>41</v>
      </c>
      <c r="L1174" t="s">
        <v>6139</v>
      </c>
      <c r="M1174" t="s">
        <v>6140</v>
      </c>
      <c r="N1174" t="s">
        <v>516</v>
      </c>
      <c r="O1174" t="s">
        <v>64</v>
      </c>
      <c r="P1174" t="s">
        <v>6141</v>
      </c>
      <c r="Q1174" t="s">
        <v>90</v>
      </c>
      <c r="R1174" t="s">
        <v>6073</v>
      </c>
      <c r="S1174">
        <v>1.2</v>
      </c>
      <c r="T1174">
        <v>3753</v>
      </c>
      <c r="U1174">
        <v>0</v>
      </c>
      <c r="V1174">
        <v>3753</v>
      </c>
    </row>
    <row r="1175" spans="1:22" x14ac:dyDescent="0.3">
      <c r="A1175">
        <v>187830</v>
      </c>
      <c r="B1175">
        <v>137726635</v>
      </c>
      <c r="C1175" t="s">
        <v>6142</v>
      </c>
      <c r="D1175" t="s">
        <v>6143</v>
      </c>
      <c r="E1175" t="s">
        <v>5494</v>
      </c>
      <c r="F1175" t="s">
        <v>514</v>
      </c>
      <c r="G1175" t="s">
        <v>43</v>
      </c>
      <c r="H1175" t="s">
        <v>44</v>
      </c>
      <c r="I1175" t="s">
        <v>34</v>
      </c>
      <c r="J1175" t="s">
        <v>45</v>
      </c>
      <c r="K1175" t="s">
        <v>41</v>
      </c>
      <c r="L1175" t="s">
        <v>6144</v>
      </c>
      <c r="M1175" t="s">
        <v>6145</v>
      </c>
      <c r="N1175" t="s">
        <v>516</v>
      </c>
      <c r="O1175" t="s">
        <v>64</v>
      </c>
      <c r="P1175" t="s">
        <v>6146</v>
      </c>
      <c r="Q1175" t="s">
        <v>60</v>
      </c>
      <c r="R1175" t="s">
        <v>6147</v>
      </c>
      <c r="S1175">
        <v>1.5</v>
      </c>
      <c r="T1175">
        <v>4346</v>
      </c>
      <c r="U1175">
        <v>0</v>
      </c>
      <c r="V1175">
        <v>4346</v>
      </c>
    </row>
    <row r="1176" spans="1:22" x14ac:dyDescent="0.3">
      <c r="A1176">
        <v>187830</v>
      </c>
      <c r="B1176">
        <v>137556803</v>
      </c>
      <c r="C1176" t="s">
        <v>6148</v>
      </c>
      <c r="D1176" t="s">
        <v>6149</v>
      </c>
      <c r="E1176" t="s">
        <v>5494</v>
      </c>
      <c r="F1176" t="s">
        <v>514</v>
      </c>
      <c r="G1176" t="s">
        <v>43</v>
      </c>
      <c r="H1176" t="s">
        <v>44</v>
      </c>
      <c r="I1176" t="s">
        <v>34</v>
      </c>
      <c r="J1176" t="s">
        <v>45</v>
      </c>
      <c r="K1176" t="s">
        <v>41</v>
      </c>
      <c r="L1176" t="s">
        <v>6150</v>
      </c>
      <c r="M1176" t="s">
        <v>6151</v>
      </c>
      <c r="N1176" t="s">
        <v>516</v>
      </c>
      <c r="O1176" t="s">
        <v>64</v>
      </c>
      <c r="P1176" t="s">
        <v>6152</v>
      </c>
      <c r="Q1176" t="s">
        <v>87</v>
      </c>
      <c r="R1176" t="s">
        <v>354</v>
      </c>
      <c r="S1176">
        <v>1.4</v>
      </c>
      <c r="T1176">
        <v>3870</v>
      </c>
      <c r="U1176">
        <v>0</v>
      </c>
      <c r="V1176">
        <v>3870</v>
      </c>
    </row>
    <row r="1177" spans="1:22" x14ac:dyDescent="0.3">
      <c r="A1177">
        <v>187830</v>
      </c>
      <c r="B1177">
        <v>137535997</v>
      </c>
      <c r="C1177" t="s">
        <v>6153</v>
      </c>
      <c r="D1177" t="s">
        <v>6154</v>
      </c>
      <c r="E1177" t="s">
        <v>5494</v>
      </c>
      <c r="F1177" t="s">
        <v>514</v>
      </c>
      <c r="G1177" t="s">
        <v>43</v>
      </c>
      <c r="H1177" t="s">
        <v>44</v>
      </c>
      <c r="I1177" t="s">
        <v>34</v>
      </c>
      <c r="J1177" t="s">
        <v>45</v>
      </c>
      <c r="K1177" t="s">
        <v>41</v>
      </c>
      <c r="L1177" t="s">
        <v>6155</v>
      </c>
      <c r="M1177" t="s">
        <v>459</v>
      </c>
      <c r="N1177" t="s">
        <v>516</v>
      </c>
      <c r="O1177" t="s">
        <v>64</v>
      </c>
      <c r="P1177" t="s">
        <v>6156</v>
      </c>
      <c r="Q1177" t="s">
        <v>48</v>
      </c>
      <c r="R1177" t="s">
        <v>6048</v>
      </c>
      <c r="S1177">
        <v>1.28</v>
      </c>
      <c r="T1177">
        <v>4067</v>
      </c>
      <c r="U1177">
        <v>0</v>
      </c>
      <c r="V1177">
        <v>4067</v>
      </c>
    </row>
    <row r="1178" spans="1:22" x14ac:dyDescent="0.3">
      <c r="A1178">
        <v>187830</v>
      </c>
      <c r="B1178">
        <v>137578008</v>
      </c>
      <c r="C1178" t="s">
        <v>6157</v>
      </c>
      <c r="D1178" t="s">
        <v>6158</v>
      </c>
      <c r="E1178" t="s">
        <v>5494</v>
      </c>
      <c r="F1178" t="s">
        <v>514</v>
      </c>
      <c r="G1178" t="s">
        <v>43</v>
      </c>
      <c r="H1178" t="s">
        <v>44</v>
      </c>
      <c r="I1178" t="s">
        <v>34</v>
      </c>
      <c r="J1178" t="s">
        <v>45</v>
      </c>
      <c r="K1178" t="s">
        <v>41</v>
      </c>
      <c r="L1178" t="s">
        <v>6159</v>
      </c>
      <c r="M1178" t="s">
        <v>6160</v>
      </c>
      <c r="N1178" t="s">
        <v>516</v>
      </c>
      <c r="O1178" t="s">
        <v>64</v>
      </c>
      <c r="P1178" t="s">
        <v>6161</v>
      </c>
      <c r="Q1178" t="s">
        <v>90</v>
      </c>
      <c r="R1178" t="s">
        <v>6162</v>
      </c>
      <c r="S1178">
        <v>1.96</v>
      </c>
      <c r="T1178">
        <v>3753</v>
      </c>
      <c r="U1178">
        <v>0</v>
      </c>
      <c r="V1178">
        <v>3753</v>
      </c>
    </row>
    <row r="1179" spans="1:22" x14ac:dyDescent="0.3">
      <c r="A1179">
        <v>187830</v>
      </c>
      <c r="B1179">
        <v>137556786</v>
      </c>
      <c r="C1179" t="s">
        <v>6163</v>
      </c>
      <c r="D1179" t="s">
        <v>6164</v>
      </c>
      <c r="E1179" t="s">
        <v>5494</v>
      </c>
      <c r="F1179" t="s">
        <v>514</v>
      </c>
      <c r="G1179" t="s">
        <v>43</v>
      </c>
      <c r="H1179" t="s">
        <v>44</v>
      </c>
      <c r="I1179" t="s">
        <v>34</v>
      </c>
      <c r="J1179" t="s">
        <v>45</v>
      </c>
      <c r="K1179" t="s">
        <v>41</v>
      </c>
      <c r="L1179" t="s">
        <v>6165</v>
      </c>
      <c r="M1179" t="s">
        <v>6166</v>
      </c>
      <c r="N1179" t="s">
        <v>516</v>
      </c>
      <c r="O1179" t="s">
        <v>64</v>
      </c>
      <c r="P1179" t="s">
        <v>6167</v>
      </c>
      <c r="Q1179" t="s">
        <v>125</v>
      </c>
      <c r="R1179" t="s">
        <v>354</v>
      </c>
      <c r="S1179">
        <v>1.69</v>
      </c>
      <c r="T1179">
        <v>4067</v>
      </c>
      <c r="U1179">
        <v>0</v>
      </c>
      <c r="V1179">
        <v>4067</v>
      </c>
    </row>
    <row r="1180" spans="1:22" x14ac:dyDescent="0.3">
      <c r="A1180">
        <v>187830</v>
      </c>
      <c r="B1180">
        <v>137535984</v>
      </c>
      <c r="C1180" t="s">
        <v>6168</v>
      </c>
      <c r="D1180" t="s">
        <v>6169</v>
      </c>
      <c r="E1180" t="s">
        <v>5494</v>
      </c>
      <c r="F1180" t="s">
        <v>514</v>
      </c>
      <c r="G1180" t="s">
        <v>43</v>
      </c>
      <c r="H1180" t="s">
        <v>44</v>
      </c>
      <c r="I1180" t="s">
        <v>34</v>
      </c>
      <c r="J1180" t="s">
        <v>45</v>
      </c>
      <c r="K1180" t="s">
        <v>41</v>
      </c>
      <c r="L1180" t="s">
        <v>6170</v>
      </c>
      <c r="M1180" t="s">
        <v>6171</v>
      </c>
      <c r="N1180" t="s">
        <v>516</v>
      </c>
      <c r="O1180" t="s">
        <v>64</v>
      </c>
      <c r="P1180" t="s">
        <v>6172</v>
      </c>
      <c r="Q1180" t="s">
        <v>90</v>
      </c>
      <c r="R1180" t="s">
        <v>6048</v>
      </c>
      <c r="S1180">
        <v>2.25</v>
      </c>
      <c r="T1180">
        <v>3753</v>
      </c>
      <c r="U1180">
        <v>0</v>
      </c>
      <c r="V1180">
        <v>3753</v>
      </c>
    </row>
    <row r="1181" spans="1:22" x14ac:dyDescent="0.3">
      <c r="A1181">
        <v>187830</v>
      </c>
      <c r="B1181">
        <v>137468933</v>
      </c>
      <c r="C1181" t="s">
        <v>6173</v>
      </c>
      <c r="D1181" t="s">
        <v>6174</v>
      </c>
      <c r="E1181" t="s">
        <v>5494</v>
      </c>
      <c r="F1181" t="s">
        <v>514</v>
      </c>
      <c r="G1181" t="s">
        <v>43</v>
      </c>
      <c r="H1181" t="s">
        <v>44</v>
      </c>
      <c r="I1181" t="s">
        <v>34</v>
      </c>
      <c r="J1181" t="s">
        <v>45</v>
      </c>
      <c r="K1181" t="s">
        <v>41</v>
      </c>
      <c r="L1181" t="s">
        <v>6175</v>
      </c>
      <c r="M1181" t="s">
        <v>5935</v>
      </c>
      <c r="N1181" t="s">
        <v>516</v>
      </c>
      <c r="O1181" t="s">
        <v>64</v>
      </c>
      <c r="P1181" t="s">
        <v>5936</v>
      </c>
      <c r="Q1181" t="s">
        <v>98</v>
      </c>
      <c r="R1181" t="s">
        <v>6176</v>
      </c>
      <c r="S1181">
        <v>2.61</v>
      </c>
      <c r="T1181">
        <v>5759</v>
      </c>
      <c r="U1181">
        <v>0</v>
      </c>
      <c r="V1181">
        <v>5759</v>
      </c>
    </row>
    <row r="1182" spans="1:22" x14ac:dyDescent="0.3">
      <c r="A1182">
        <v>187830</v>
      </c>
      <c r="B1182">
        <v>137578004</v>
      </c>
      <c r="C1182" t="s">
        <v>6177</v>
      </c>
      <c r="D1182" t="s">
        <v>6178</v>
      </c>
      <c r="E1182" t="s">
        <v>5494</v>
      </c>
      <c r="F1182" t="s">
        <v>514</v>
      </c>
      <c r="G1182" t="s">
        <v>43</v>
      </c>
      <c r="H1182" t="s">
        <v>44</v>
      </c>
      <c r="I1182" t="s">
        <v>34</v>
      </c>
      <c r="J1182" t="s">
        <v>45</v>
      </c>
      <c r="K1182" t="s">
        <v>41</v>
      </c>
      <c r="L1182" t="s">
        <v>6179</v>
      </c>
      <c r="M1182" t="s">
        <v>6180</v>
      </c>
      <c r="N1182" t="s">
        <v>516</v>
      </c>
      <c r="O1182" t="s">
        <v>64</v>
      </c>
      <c r="P1182" t="s">
        <v>6181</v>
      </c>
      <c r="Q1182" t="s">
        <v>61</v>
      </c>
      <c r="R1182" t="s">
        <v>6162</v>
      </c>
      <c r="S1182">
        <v>2.02</v>
      </c>
      <c r="T1182">
        <v>3366</v>
      </c>
      <c r="U1182">
        <v>0</v>
      </c>
      <c r="V1182">
        <v>3366</v>
      </c>
    </row>
    <row r="1183" spans="1:22" x14ac:dyDescent="0.3">
      <c r="A1183">
        <v>187830</v>
      </c>
      <c r="B1183">
        <v>137556809</v>
      </c>
      <c r="C1183" t="s">
        <v>6182</v>
      </c>
      <c r="D1183" t="s">
        <v>6183</v>
      </c>
      <c r="E1183" t="s">
        <v>5494</v>
      </c>
      <c r="F1183" t="s">
        <v>514</v>
      </c>
      <c r="G1183" t="s">
        <v>43</v>
      </c>
      <c r="H1183" t="s">
        <v>44</v>
      </c>
      <c r="I1183" t="s">
        <v>34</v>
      </c>
      <c r="J1183" t="s">
        <v>45</v>
      </c>
      <c r="K1183" t="s">
        <v>41</v>
      </c>
      <c r="L1183" t="s">
        <v>6184</v>
      </c>
      <c r="M1183" t="s">
        <v>6185</v>
      </c>
      <c r="N1183" t="s">
        <v>516</v>
      </c>
      <c r="O1183" t="s">
        <v>64</v>
      </c>
      <c r="P1183" t="s">
        <v>6186</v>
      </c>
      <c r="Q1183" t="s">
        <v>212</v>
      </c>
      <c r="R1183" t="s">
        <v>354</v>
      </c>
      <c r="S1183">
        <v>1.65</v>
      </c>
      <c r="T1183">
        <v>3870</v>
      </c>
      <c r="U1183">
        <v>0</v>
      </c>
      <c r="V1183">
        <v>3870</v>
      </c>
    </row>
    <row r="1184" spans="1:22" x14ac:dyDescent="0.3">
      <c r="A1184">
        <v>187830</v>
      </c>
      <c r="B1184">
        <v>137556801</v>
      </c>
      <c r="C1184" t="s">
        <v>6187</v>
      </c>
      <c r="D1184" t="s">
        <v>6188</v>
      </c>
      <c r="E1184" t="s">
        <v>5494</v>
      </c>
      <c r="F1184" t="s">
        <v>514</v>
      </c>
      <c r="G1184" t="s">
        <v>43</v>
      </c>
      <c r="H1184" t="s">
        <v>44</v>
      </c>
      <c r="I1184" t="s">
        <v>34</v>
      </c>
      <c r="J1184" t="s">
        <v>45</v>
      </c>
      <c r="K1184" t="s">
        <v>41</v>
      </c>
      <c r="L1184" t="s">
        <v>6189</v>
      </c>
      <c r="M1184" t="s">
        <v>6190</v>
      </c>
      <c r="N1184" t="s">
        <v>516</v>
      </c>
      <c r="O1184" t="s">
        <v>64</v>
      </c>
      <c r="P1184" t="s">
        <v>6191</v>
      </c>
      <c r="Q1184" t="s">
        <v>199</v>
      </c>
      <c r="R1184" t="s">
        <v>354</v>
      </c>
      <c r="S1184">
        <v>1.8</v>
      </c>
      <c r="T1184">
        <v>4346</v>
      </c>
      <c r="U1184">
        <v>0</v>
      </c>
      <c r="V1184">
        <v>4346</v>
      </c>
    </row>
    <row r="1185" spans="1:22" x14ac:dyDescent="0.3">
      <c r="A1185">
        <v>187830</v>
      </c>
      <c r="B1185">
        <v>137593201</v>
      </c>
      <c r="C1185" t="s">
        <v>6192</v>
      </c>
      <c r="D1185" t="s">
        <v>6193</v>
      </c>
      <c r="E1185" t="s">
        <v>5494</v>
      </c>
      <c r="F1185" t="s">
        <v>514</v>
      </c>
      <c r="G1185" t="s">
        <v>43</v>
      </c>
      <c r="H1185" t="s">
        <v>44</v>
      </c>
      <c r="I1185" t="s">
        <v>34</v>
      </c>
      <c r="J1185" t="s">
        <v>45</v>
      </c>
      <c r="K1185" t="s">
        <v>41</v>
      </c>
      <c r="L1185" t="s">
        <v>6194</v>
      </c>
      <c r="M1185" t="s">
        <v>6195</v>
      </c>
      <c r="N1185" t="s">
        <v>516</v>
      </c>
      <c r="O1185" t="s">
        <v>64</v>
      </c>
      <c r="P1185" t="s">
        <v>6196</v>
      </c>
      <c r="Q1185" t="s">
        <v>181</v>
      </c>
      <c r="R1185" t="s">
        <v>313</v>
      </c>
      <c r="S1185">
        <v>1.46</v>
      </c>
      <c r="T1185">
        <v>3753</v>
      </c>
      <c r="U1185">
        <v>0</v>
      </c>
      <c r="V1185">
        <v>3753</v>
      </c>
    </row>
    <row r="1186" spans="1:22" x14ac:dyDescent="0.3">
      <c r="A1186">
        <v>187830</v>
      </c>
      <c r="B1186">
        <v>137702022</v>
      </c>
      <c r="C1186" t="s">
        <v>6197</v>
      </c>
      <c r="D1186" t="s">
        <v>6198</v>
      </c>
      <c r="E1186" t="s">
        <v>5494</v>
      </c>
      <c r="F1186" t="s">
        <v>514</v>
      </c>
      <c r="G1186" t="s">
        <v>43</v>
      </c>
      <c r="H1186" t="s">
        <v>44</v>
      </c>
      <c r="I1186" t="s">
        <v>34</v>
      </c>
      <c r="J1186" t="s">
        <v>45</v>
      </c>
      <c r="K1186" t="s">
        <v>41</v>
      </c>
      <c r="L1186" t="s">
        <v>6199</v>
      </c>
      <c r="M1186" t="s">
        <v>6200</v>
      </c>
      <c r="N1186" t="s">
        <v>516</v>
      </c>
      <c r="O1186" t="s">
        <v>64</v>
      </c>
      <c r="P1186" t="s">
        <v>6201</v>
      </c>
      <c r="Q1186" t="s">
        <v>46</v>
      </c>
      <c r="R1186" t="s">
        <v>6073</v>
      </c>
      <c r="S1186">
        <v>1.47</v>
      </c>
      <c r="T1186">
        <v>3366</v>
      </c>
      <c r="U1186">
        <v>0</v>
      </c>
      <c r="V1186">
        <v>3366</v>
      </c>
    </row>
    <row r="1187" spans="1:22" x14ac:dyDescent="0.3">
      <c r="A1187">
        <v>187830</v>
      </c>
      <c r="B1187">
        <v>137616786</v>
      </c>
      <c r="C1187" t="s">
        <v>6202</v>
      </c>
      <c r="D1187" t="s">
        <v>6203</v>
      </c>
      <c r="E1187" t="s">
        <v>5494</v>
      </c>
      <c r="F1187" t="s">
        <v>514</v>
      </c>
      <c r="G1187" t="s">
        <v>43</v>
      </c>
      <c r="H1187" t="s">
        <v>44</v>
      </c>
      <c r="I1187" t="s">
        <v>34</v>
      </c>
      <c r="J1187" t="s">
        <v>45</v>
      </c>
      <c r="K1187" t="s">
        <v>41</v>
      </c>
      <c r="L1187" t="s">
        <v>6204</v>
      </c>
      <c r="M1187" t="s">
        <v>6205</v>
      </c>
      <c r="N1187" t="s">
        <v>516</v>
      </c>
      <c r="O1187" t="s">
        <v>64</v>
      </c>
      <c r="P1187" t="s">
        <v>6206</v>
      </c>
      <c r="Q1187" t="s">
        <v>49</v>
      </c>
      <c r="R1187" t="s">
        <v>5671</v>
      </c>
      <c r="S1187">
        <v>2.0699999999999998</v>
      </c>
      <c r="T1187">
        <v>3501</v>
      </c>
      <c r="U1187">
        <v>0</v>
      </c>
      <c r="V1187">
        <v>3501</v>
      </c>
    </row>
    <row r="1188" spans="1:22" x14ac:dyDescent="0.3">
      <c r="A1188">
        <v>187830</v>
      </c>
      <c r="B1188">
        <v>136273958</v>
      </c>
      <c r="C1188" t="s">
        <v>6207</v>
      </c>
      <c r="D1188" t="s">
        <v>6208</v>
      </c>
      <c r="E1188" t="s">
        <v>5494</v>
      </c>
      <c r="F1188" t="s">
        <v>514</v>
      </c>
      <c r="G1188" t="s">
        <v>43</v>
      </c>
      <c r="H1188" t="s">
        <v>44</v>
      </c>
      <c r="I1188" t="s">
        <v>34</v>
      </c>
      <c r="J1188" t="s">
        <v>45</v>
      </c>
      <c r="K1188" t="s">
        <v>41</v>
      </c>
      <c r="L1188" t="s">
        <v>6209</v>
      </c>
      <c r="M1188" t="s">
        <v>6210</v>
      </c>
      <c r="N1188" t="s">
        <v>516</v>
      </c>
      <c r="O1188" t="s">
        <v>64</v>
      </c>
      <c r="P1188" t="s">
        <v>6211</v>
      </c>
      <c r="Q1188" t="s">
        <v>62</v>
      </c>
      <c r="R1188" t="s">
        <v>6212</v>
      </c>
      <c r="S1188">
        <v>2.4700000000000002</v>
      </c>
      <c r="T1188">
        <v>3784</v>
      </c>
      <c r="U1188">
        <v>0</v>
      </c>
      <c r="V1188">
        <v>3784</v>
      </c>
    </row>
    <row r="1189" spans="1:22" x14ac:dyDescent="0.3">
      <c r="A1189">
        <v>187830</v>
      </c>
      <c r="B1189">
        <v>137468971</v>
      </c>
      <c r="C1189" t="s">
        <v>6213</v>
      </c>
      <c r="D1189" t="s">
        <v>6214</v>
      </c>
      <c r="E1189" t="s">
        <v>5494</v>
      </c>
      <c r="F1189" t="s">
        <v>514</v>
      </c>
      <c r="G1189" t="s">
        <v>43</v>
      </c>
      <c r="H1189" t="s">
        <v>44</v>
      </c>
      <c r="I1189" t="s">
        <v>34</v>
      </c>
      <c r="J1189" t="s">
        <v>45</v>
      </c>
      <c r="K1189" t="s">
        <v>41</v>
      </c>
      <c r="L1189" t="s">
        <v>6215</v>
      </c>
      <c r="M1189" t="s">
        <v>6216</v>
      </c>
      <c r="N1189" t="s">
        <v>516</v>
      </c>
      <c r="O1189" t="s">
        <v>64</v>
      </c>
      <c r="P1189" t="s">
        <v>6217</v>
      </c>
      <c r="Q1189" t="s">
        <v>218</v>
      </c>
      <c r="R1189" t="s">
        <v>5947</v>
      </c>
      <c r="S1189">
        <v>1.65</v>
      </c>
      <c r="T1189">
        <v>3784</v>
      </c>
      <c r="U1189">
        <v>0</v>
      </c>
      <c r="V1189">
        <v>3784</v>
      </c>
    </row>
    <row r="1190" spans="1:22" x14ac:dyDescent="0.3">
      <c r="A1190">
        <v>187830</v>
      </c>
      <c r="B1190">
        <v>137468934</v>
      </c>
      <c r="C1190" t="s">
        <v>6218</v>
      </c>
      <c r="D1190" t="s">
        <v>6219</v>
      </c>
      <c r="E1190" t="s">
        <v>5494</v>
      </c>
      <c r="F1190" t="s">
        <v>514</v>
      </c>
      <c r="G1190" t="s">
        <v>43</v>
      </c>
      <c r="H1190" t="s">
        <v>44</v>
      </c>
      <c r="I1190" t="s">
        <v>34</v>
      </c>
      <c r="J1190" t="s">
        <v>45</v>
      </c>
      <c r="K1190" t="s">
        <v>41</v>
      </c>
      <c r="L1190" t="s">
        <v>6220</v>
      </c>
      <c r="M1190" t="s">
        <v>6221</v>
      </c>
      <c r="N1190" t="s">
        <v>516</v>
      </c>
      <c r="O1190" t="s">
        <v>64</v>
      </c>
      <c r="P1190" t="s">
        <v>6222</v>
      </c>
      <c r="Q1190" t="s">
        <v>208</v>
      </c>
      <c r="R1190" t="s">
        <v>6176</v>
      </c>
      <c r="S1190">
        <v>1.27</v>
      </c>
      <c r="T1190">
        <v>3784</v>
      </c>
      <c r="U1190">
        <v>0</v>
      </c>
      <c r="V1190">
        <v>3784</v>
      </c>
    </row>
    <row r="1191" spans="1:22" x14ac:dyDescent="0.3">
      <c r="A1191">
        <v>187830</v>
      </c>
      <c r="B1191">
        <v>137468942</v>
      </c>
      <c r="C1191" t="s">
        <v>6223</v>
      </c>
      <c r="D1191" t="s">
        <v>6224</v>
      </c>
      <c r="E1191" t="s">
        <v>5494</v>
      </c>
      <c r="F1191" t="s">
        <v>514</v>
      </c>
      <c r="G1191" t="s">
        <v>43</v>
      </c>
      <c r="H1191" t="s">
        <v>44</v>
      </c>
      <c r="I1191" t="s">
        <v>34</v>
      </c>
      <c r="J1191" t="s">
        <v>45</v>
      </c>
      <c r="K1191" t="s">
        <v>41</v>
      </c>
      <c r="L1191" t="s">
        <v>6225</v>
      </c>
      <c r="M1191" t="s">
        <v>6226</v>
      </c>
      <c r="N1191" t="s">
        <v>516</v>
      </c>
      <c r="O1191" t="s">
        <v>64</v>
      </c>
      <c r="P1191" t="s">
        <v>6227</v>
      </c>
      <c r="Q1191" t="s">
        <v>112</v>
      </c>
      <c r="R1191" t="s">
        <v>6176</v>
      </c>
      <c r="S1191">
        <v>1.79</v>
      </c>
      <c r="T1191">
        <v>3366</v>
      </c>
      <c r="U1191">
        <v>0</v>
      </c>
      <c r="V1191">
        <v>3366</v>
      </c>
    </row>
    <row r="1192" spans="1:22" x14ac:dyDescent="0.3">
      <c r="A1192">
        <v>187830</v>
      </c>
      <c r="B1192">
        <v>137468936</v>
      </c>
      <c r="C1192" t="s">
        <v>6228</v>
      </c>
      <c r="D1192" t="s">
        <v>6229</v>
      </c>
      <c r="E1192" t="s">
        <v>5494</v>
      </c>
      <c r="F1192" t="s">
        <v>514</v>
      </c>
      <c r="G1192" t="s">
        <v>43</v>
      </c>
      <c r="H1192" t="s">
        <v>44</v>
      </c>
      <c r="I1192" t="s">
        <v>34</v>
      </c>
      <c r="J1192" t="s">
        <v>45</v>
      </c>
      <c r="K1192" t="s">
        <v>54</v>
      </c>
      <c r="L1192" t="s">
        <v>55</v>
      </c>
      <c r="M1192" t="s">
        <v>6230</v>
      </c>
      <c r="N1192" t="s">
        <v>516</v>
      </c>
      <c r="O1192" t="s">
        <v>64</v>
      </c>
      <c r="P1192" t="s">
        <v>6231</v>
      </c>
      <c r="Q1192" t="s">
        <v>118</v>
      </c>
      <c r="R1192" t="s">
        <v>6176</v>
      </c>
      <c r="S1192">
        <v>0.91</v>
      </c>
      <c r="T1192">
        <v>4067</v>
      </c>
      <c r="U1192">
        <v>0</v>
      </c>
      <c r="V1192">
        <v>4067</v>
      </c>
    </row>
    <row r="1193" spans="1:22" x14ac:dyDescent="0.3">
      <c r="A1193">
        <v>187830</v>
      </c>
      <c r="B1193">
        <v>137468950</v>
      </c>
      <c r="C1193" t="s">
        <v>6232</v>
      </c>
      <c r="D1193" t="s">
        <v>6233</v>
      </c>
      <c r="E1193" t="s">
        <v>5494</v>
      </c>
      <c r="F1193" t="s">
        <v>514</v>
      </c>
      <c r="G1193" t="s">
        <v>43</v>
      </c>
      <c r="H1193" t="s">
        <v>44</v>
      </c>
      <c r="I1193" t="s">
        <v>34</v>
      </c>
      <c r="J1193" t="s">
        <v>45</v>
      </c>
      <c r="K1193" t="s">
        <v>41</v>
      </c>
      <c r="L1193" t="s">
        <v>6234</v>
      </c>
      <c r="M1193" t="s">
        <v>6235</v>
      </c>
      <c r="N1193" t="s">
        <v>516</v>
      </c>
      <c r="O1193" t="s">
        <v>64</v>
      </c>
      <c r="P1193" t="s">
        <v>6236</v>
      </c>
      <c r="Q1193" t="s">
        <v>50</v>
      </c>
      <c r="R1193" t="s">
        <v>6176</v>
      </c>
      <c r="S1193">
        <v>3.05</v>
      </c>
      <c r="T1193">
        <v>7484</v>
      </c>
      <c r="U1193">
        <v>0</v>
      </c>
      <c r="V1193">
        <v>7484</v>
      </c>
    </row>
    <row r="1194" spans="1:22" x14ac:dyDescent="0.3">
      <c r="A1194">
        <v>187830</v>
      </c>
      <c r="B1194">
        <v>136637668</v>
      </c>
      <c r="C1194" t="s">
        <v>6237</v>
      </c>
      <c r="D1194" t="s">
        <v>6238</v>
      </c>
      <c r="E1194" t="s">
        <v>5494</v>
      </c>
      <c r="F1194" t="s">
        <v>514</v>
      </c>
      <c r="G1194" t="s">
        <v>43</v>
      </c>
      <c r="H1194" t="s">
        <v>44</v>
      </c>
      <c r="I1194" t="s">
        <v>34</v>
      </c>
      <c r="J1194" t="s">
        <v>45</v>
      </c>
      <c r="K1194" t="s">
        <v>41</v>
      </c>
      <c r="L1194" t="s">
        <v>6239</v>
      </c>
      <c r="M1194" t="s">
        <v>6240</v>
      </c>
      <c r="N1194" t="s">
        <v>516</v>
      </c>
      <c r="O1194" t="s">
        <v>64</v>
      </c>
      <c r="P1194" t="s">
        <v>6241</v>
      </c>
      <c r="Q1194" t="s">
        <v>61</v>
      </c>
      <c r="R1194" t="s">
        <v>6242</v>
      </c>
      <c r="S1194">
        <v>1.07</v>
      </c>
      <c r="T1194">
        <v>3366</v>
      </c>
      <c r="U1194">
        <v>0</v>
      </c>
      <c r="V1194">
        <v>3366</v>
      </c>
    </row>
    <row r="1195" spans="1:22" x14ac:dyDescent="0.3">
      <c r="A1195">
        <v>187830</v>
      </c>
      <c r="B1195">
        <v>136637672</v>
      </c>
      <c r="C1195" t="s">
        <v>6243</v>
      </c>
      <c r="D1195" t="s">
        <v>6244</v>
      </c>
      <c r="E1195" t="s">
        <v>5494</v>
      </c>
      <c r="F1195" t="s">
        <v>514</v>
      </c>
      <c r="G1195" t="s">
        <v>43</v>
      </c>
      <c r="H1195" t="s">
        <v>44</v>
      </c>
      <c r="I1195" t="s">
        <v>34</v>
      </c>
      <c r="J1195" t="s">
        <v>45</v>
      </c>
      <c r="K1195" t="s">
        <v>41</v>
      </c>
      <c r="L1195" t="s">
        <v>6245</v>
      </c>
      <c r="M1195" t="s">
        <v>6246</v>
      </c>
      <c r="N1195" t="s">
        <v>516</v>
      </c>
      <c r="O1195" t="s">
        <v>64</v>
      </c>
      <c r="P1195" t="s">
        <v>6247</v>
      </c>
      <c r="Q1195" t="s">
        <v>108</v>
      </c>
      <c r="R1195" t="s">
        <v>6242</v>
      </c>
      <c r="S1195">
        <v>2.35</v>
      </c>
      <c r="T1195">
        <v>3366</v>
      </c>
      <c r="U1195">
        <v>0</v>
      </c>
      <c r="V1195">
        <v>3366</v>
      </c>
    </row>
    <row r="1196" spans="1:22" x14ac:dyDescent="0.3">
      <c r="A1196">
        <v>187830</v>
      </c>
      <c r="B1196">
        <v>137468969</v>
      </c>
      <c r="C1196" t="s">
        <v>6248</v>
      </c>
      <c r="D1196" t="s">
        <v>6249</v>
      </c>
      <c r="E1196" t="s">
        <v>5494</v>
      </c>
      <c r="F1196" t="s">
        <v>514</v>
      </c>
      <c r="G1196" t="s">
        <v>43</v>
      </c>
      <c r="H1196" t="s">
        <v>44</v>
      </c>
      <c r="I1196" t="s">
        <v>34</v>
      </c>
      <c r="J1196" t="s">
        <v>45</v>
      </c>
      <c r="K1196" t="s">
        <v>41</v>
      </c>
      <c r="L1196" t="s">
        <v>6250</v>
      </c>
      <c r="M1196" t="s">
        <v>6251</v>
      </c>
      <c r="N1196" t="s">
        <v>516</v>
      </c>
      <c r="O1196" t="s">
        <v>64</v>
      </c>
      <c r="P1196" t="s">
        <v>6252</v>
      </c>
      <c r="Q1196" t="s">
        <v>81</v>
      </c>
      <c r="R1196" t="s">
        <v>5947</v>
      </c>
      <c r="S1196">
        <v>1</v>
      </c>
      <c r="T1196">
        <v>3366</v>
      </c>
      <c r="U1196">
        <v>0</v>
      </c>
      <c r="V1196">
        <v>3366</v>
      </c>
    </row>
    <row r="1197" spans="1:22" x14ac:dyDescent="0.3">
      <c r="A1197">
        <v>187830</v>
      </c>
      <c r="B1197">
        <v>137409421</v>
      </c>
      <c r="C1197" t="s">
        <v>6253</v>
      </c>
      <c r="D1197" t="s">
        <v>6254</v>
      </c>
      <c r="E1197" t="s">
        <v>5494</v>
      </c>
      <c r="F1197" t="s">
        <v>514</v>
      </c>
      <c r="G1197" t="s">
        <v>43</v>
      </c>
      <c r="H1197" t="s">
        <v>44</v>
      </c>
      <c r="I1197" t="s">
        <v>34</v>
      </c>
      <c r="J1197" t="s">
        <v>45</v>
      </c>
      <c r="K1197" t="s">
        <v>41</v>
      </c>
      <c r="L1197" t="s">
        <v>6255</v>
      </c>
      <c r="M1197" t="s">
        <v>6256</v>
      </c>
      <c r="N1197" t="s">
        <v>516</v>
      </c>
      <c r="O1197" t="s">
        <v>64</v>
      </c>
      <c r="P1197" t="s">
        <v>6257</v>
      </c>
      <c r="Q1197" t="s">
        <v>118</v>
      </c>
      <c r="R1197" t="s">
        <v>6258</v>
      </c>
      <c r="S1197">
        <v>2.46</v>
      </c>
      <c r="T1197">
        <v>4067</v>
      </c>
      <c r="U1197">
        <v>0</v>
      </c>
      <c r="V1197">
        <v>4067</v>
      </c>
    </row>
    <row r="1198" spans="1:22" x14ac:dyDescent="0.3">
      <c r="A1198">
        <v>187830</v>
      </c>
      <c r="B1198">
        <v>137468957</v>
      </c>
      <c r="C1198" t="s">
        <v>6259</v>
      </c>
      <c r="D1198" t="s">
        <v>6260</v>
      </c>
      <c r="E1198" t="s">
        <v>5494</v>
      </c>
      <c r="F1198" t="s">
        <v>514</v>
      </c>
      <c r="G1198" t="s">
        <v>43</v>
      </c>
      <c r="H1198" t="s">
        <v>44</v>
      </c>
      <c r="I1198" t="s">
        <v>34</v>
      </c>
      <c r="J1198" t="s">
        <v>45</v>
      </c>
      <c r="K1198" t="s">
        <v>41</v>
      </c>
      <c r="L1198" t="s">
        <v>6261</v>
      </c>
      <c r="M1198" t="s">
        <v>6262</v>
      </c>
      <c r="N1198" t="s">
        <v>516</v>
      </c>
      <c r="O1198" t="s">
        <v>64</v>
      </c>
      <c r="P1198" t="s">
        <v>6263</v>
      </c>
      <c r="Q1198" t="s">
        <v>42</v>
      </c>
      <c r="R1198" t="s">
        <v>5947</v>
      </c>
      <c r="S1198">
        <v>2.27</v>
      </c>
      <c r="T1198">
        <v>3784</v>
      </c>
      <c r="U1198">
        <v>0</v>
      </c>
      <c r="V1198">
        <v>3784</v>
      </c>
    </row>
    <row r="1199" spans="1:22" x14ac:dyDescent="0.3">
      <c r="A1199">
        <v>187830</v>
      </c>
      <c r="B1199">
        <v>137499210</v>
      </c>
      <c r="C1199" t="s">
        <v>6264</v>
      </c>
      <c r="D1199" t="s">
        <v>6265</v>
      </c>
      <c r="E1199" t="s">
        <v>5494</v>
      </c>
      <c r="F1199" t="s">
        <v>514</v>
      </c>
      <c r="G1199" t="s">
        <v>43</v>
      </c>
      <c r="H1199" t="s">
        <v>44</v>
      </c>
      <c r="I1199" t="s">
        <v>34</v>
      </c>
      <c r="J1199" t="s">
        <v>45</v>
      </c>
      <c r="K1199" t="s">
        <v>41</v>
      </c>
      <c r="L1199" t="s">
        <v>6266</v>
      </c>
      <c r="M1199" t="s">
        <v>378</v>
      </c>
      <c r="N1199" t="s">
        <v>516</v>
      </c>
      <c r="O1199" t="s">
        <v>64</v>
      </c>
      <c r="P1199" t="s">
        <v>6267</v>
      </c>
      <c r="Q1199" t="s">
        <v>118</v>
      </c>
      <c r="R1199" t="s">
        <v>6268</v>
      </c>
      <c r="S1199">
        <v>1.83</v>
      </c>
      <c r="T1199">
        <v>4067</v>
      </c>
      <c r="U1199">
        <v>0</v>
      </c>
      <c r="V1199">
        <v>4067</v>
      </c>
    </row>
    <row r="1200" spans="1:22" x14ac:dyDescent="0.3">
      <c r="A1200">
        <v>187830</v>
      </c>
      <c r="B1200">
        <v>137499187</v>
      </c>
      <c r="C1200" t="s">
        <v>6269</v>
      </c>
      <c r="D1200" t="s">
        <v>6270</v>
      </c>
      <c r="E1200" t="s">
        <v>5494</v>
      </c>
      <c r="F1200" t="s">
        <v>514</v>
      </c>
      <c r="G1200" t="s">
        <v>43</v>
      </c>
      <c r="H1200" t="s">
        <v>44</v>
      </c>
      <c r="I1200" t="s">
        <v>34</v>
      </c>
      <c r="J1200" t="s">
        <v>45</v>
      </c>
      <c r="K1200" t="s">
        <v>41</v>
      </c>
      <c r="L1200" t="s">
        <v>6271</v>
      </c>
      <c r="M1200" t="s">
        <v>6272</v>
      </c>
      <c r="N1200" t="s">
        <v>516</v>
      </c>
      <c r="O1200" t="s">
        <v>64</v>
      </c>
      <c r="P1200" t="s">
        <v>6273</v>
      </c>
      <c r="Q1200" t="s">
        <v>42</v>
      </c>
      <c r="R1200" t="s">
        <v>6268</v>
      </c>
      <c r="S1200">
        <v>0.54</v>
      </c>
      <c r="T1200">
        <v>3784</v>
      </c>
      <c r="U1200">
        <v>0</v>
      </c>
      <c r="V1200">
        <v>3784</v>
      </c>
    </row>
    <row r="1201" spans="1:22" x14ac:dyDescent="0.3">
      <c r="A1201">
        <v>187830</v>
      </c>
      <c r="B1201">
        <v>137499215</v>
      </c>
      <c r="C1201" t="s">
        <v>6274</v>
      </c>
      <c r="D1201" t="s">
        <v>6275</v>
      </c>
      <c r="E1201" t="s">
        <v>5494</v>
      </c>
      <c r="F1201" t="s">
        <v>514</v>
      </c>
      <c r="G1201" t="s">
        <v>43</v>
      </c>
      <c r="H1201" t="s">
        <v>44</v>
      </c>
      <c r="I1201" t="s">
        <v>34</v>
      </c>
      <c r="J1201" t="s">
        <v>45</v>
      </c>
      <c r="K1201" t="s">
        <v>41</v>
      </c>
      <c r="L1201" t="s">
        <v>6276</v>
      </c>
      <c r="M1201" t="s">
        <v>5850</v>
      </c>
      <c r="N1201" t="s">
        <v>516</v>
      </c>
      <c r="O1201" t="s">
        <v>64</v>
      </c>
      <c r="P1201" t="s">
        <v>5851</v>
      </c>
      <c r="Q1201" t="s">
        <v>184</v>
      </c>
      <c r="R1201" t="s">
        <v>6268</v>
      </c>
      <c r="S1201">
        <v>0.98</v>
      </c>
      <c r="T1201">
        <v>3501</v>
      </c>
      <c r="U1201">
        <v>0</v>
      </c>
      <c r="V1201">
        <v>3501</v>
      </c>
    </row>
    <row r="1202" spans="1:22" x14ac:dyDescent="0.3">
      <c r="A1202">
        <v>187830</v>
      </c>
      <c r="B1202">
        <v>137390309</v>
      </c>
      <c r="C1202" t="s">
        <v>6277</v>
      </c>
      <c r="D1202" t="s">
        <v>6278</v>
      </c>
      <c r="E1202" t="s">
        <v>5494</v>
      </c>
      <c r="F1202" t="s">
        <v>514</v>
      </c>
      <c r="G1202" t="s">
        <v>43</v>
      </c>
      <c r="H1202" t="s">
        <v>44</v>
      </c>
      <c r="I1202" t="s">
        <v>34</v>
      </c>
      <c r="J1202" t="s">
        <v>45</v>
      </c>
      <c r="K1202" t="s">
        <v>41</v>
      </c>
      <c r="L1202" t="s">
        <v>6279</v>
      </c>
      <c r="M1202" t="s">
        <v>6280</v>
      </c>
      <c r="N1202" t="s">
        <v>516</v>
      </c>
      <c r="O1202" t="s">
        <v>64</v>
      </c>
      <c r="P1202" t="s">
        <v>6281</v>
      </c>
      <c r="Q1202" t="s">
        <v>120</v>
      </c>
      <c r="R1202" t="s">
        <v>6282</v>
      </c>
      <c r="S1202">
        <v>1</v>
      </c>
      <c r="T1202">
        <v>3753</v>
      </c>
      <c r="U1202">
        <v>0</v>
      </c>
      <c r="V1202">
        <v>3753</v>
      </c>
    </row>
    <row r="1203" spans="1:22" x14ac:dyDescent="0.3">
      <c r="A1203">
        <v>187830</v>
      </c>
      <c r="B1203">
        <v>137468931</v>
      </c>
      <c r="C1203" t="s">
        <v>6283</v>
      </c>
      <c r="D1203" t="s">
        <v>6284</v>
      </c>
      <c r="E1203" t="s">
        <v>5494</v>
      </c>
      <c r="F1203" t="s">
        <v>514</v>
      </c>
      <c r="G1203" t="s">
        <v>43</v>
      </c>
      <c r="H1203" t="s">
        <v>44</v>
      </c>
      <c r="I1203" t="s">
        <v>34</v>
      </c>
      <c r="J1203" t="s">
        <v>45</v>
      </c>
      <c r="K1203" t="s">
        <v>41</v>
      </c>
      <c r="L1203" t="s">
        <v>6285</v>
      </c>
      <c r="M1203" t="s">
        <v>6286</v>
      </c>
      <c r="N1203" t="s">
        <v>516</v>
      </c>
      <c r="O1203" t="s">
        <v>64</v>
      </c>
      <c r="P1203" t="s">
        <v>6287</v>
      </c>
      <c r="Q1203" t="s">
        <v>67</v>
      </c>
      <c r="R1203" t="s">
        <v>6176</v>
      </c>
      <c r="S1203">
        <v>2.62</v>
      </c>
      <c r="T1203">
        <v>3784</v>
      </c>
      <c r="U1203">
        <v>0</v>
      </c>
      <c r="V1203">
        <v>3784</v>
      </c>
    </row>
    <row r="1204" spans="1:22" x14ac:dyDescent="0.3">
      <c r="A1204">
        <v>187830</v>
      </c>
      <c r="B1204">
        <v>137468984</v>
      </c>
      <c r="C1204" t="s">
        <v>6288</v>
      </c>
      <c r="D1204" t="s">
        <v>6289</v>
      </c>
      <c r="E1204" t="s">
        <v>5494</v>
      </c>
      <c r="F1204" t="s">
        <v>514</v>
      </c>
      <c r="G1204" t="s">
        <v>43</v>
      </c>
      <c r="H1204" t="s">
        <v>44</v>
      </c>
      <c r="I1204" t="s">
        <v>34</v>
      </c>
      <c r="J1204" t="s">
        <v>45</v>
      </c>
      <c r="K1204" t="s">
        <v>41</v>
      </c>
      <c r="L1204" t="s">
        <v>6290</v>
      </c>
      <c r="M1204" t="s">
        <v>6140</v>
      </c>
      <c r="N1204" t="s">
        <v>516</v>
      </c>
      <c r="O1204" t="s">
        <v>64</v>
      </c>
      <c r="P1204" t="s">
        <v>6141</v>
      </c>
      <c r="Q1204" t="s">
        <v>90</v>
      </c>
      <c r="R1204" t="s">
        <v>5947</v>
      </c>
      <c r="S1204">
        <v>1</v>
      </c>
      <c r="T1204">
        <v>3753</v>
      </c>
      <c r="U1204">
        <v>0</v>
      </c>
      <c r="V1204">
        <v>3753</v>
      </c>
    </row>
    <row r="1205" spans="1:22" x14ac:dyDescent="0.3">
      <c r="A1205">
        <v>187830</v>
      </c>
      <c r="B1205">
        <v>137390298</v>
      </c>
      <c r="C1205" t="s">
        <v>6291</v>
      </c>
      <c r="D1205" t="s">
        <v>6292</v>
      </c>
      <c r="E1205" t="s">
        <v>5494</v>
      </c>
      <c r="F1205" t="s">
        <v>514</v>
      </c>
      <c r="G1205" t="s">
        <v>43</v>
      </c>
      <c r="H1205" t="s">
        <v>44</v>
      </c>
      <c r="I1205" t="s">
        <v>34</v>
      </c>
      <c r="J1205" t="s">
        <v>45</v>
      </c>
      <c r="K1205" t="s">
        <v>54</v>
      </c>
      <c r="L1205" t="s">
        <v>55</v>
      </c>
      <c r="M1205" t="s">
        <v>6293</v>
      </c>
      <c r="N1205" t="s">
        <v>516</v>
      </c>
      <c r="O1205" t="s">
        <v>64</v>
      </c>
      <c r="P1205" t="s">
        <v>6294</v>
      </c>
      <c r="Q1205" t="s">
        <v>46</v>
      </c>
      <c r="R1205" t="s">
        <v>6282</v>
      </c>
      <c r="S1205">
        <v>1</v>
      </c>
      <c r="T1205">
        <v>3366</v>
      </c>
      <c r="U1205">
        <v>0</v>
      </c>
      <c r="V1205">
        <v>3366</v>
      </c>
    </row>
    <row r="1206" spans="1:22" x14ac:dyDescent="0.3">
      <c r="A1206">
        <v>187830</v>
      </c>
      <c r="B1206">
        <v>137468970</v>
      </c>
      <c r="C1206" t="s">
        <v>6295</v>
      </c>
      <c r="D1206" t="s">
        <v>6296</v>
      </c>
      <c r="E1206" t="s">
        <v>5494</v>
      </c>
      <c r="F1206" t="s">
        <v>514</v>
      </c>
      <c r="G1206" t="s">
        <v>43</v>
      </c>
      <c r="H1206" t="s">
        <v>44</v>
      </c>
      <c r="I1206" t="s">
        <v>34</v>
      </c>
      <c r="J1206" t="s">
        <v>45</v>
      </c>
      <c r="K1206" t="s">
        <v>41</v>
      </c>
      <c r="L1206" t="s">
        <v>6297</v>
      </c>
      <c r="M1206" t="s">
        <v>6298</v>
      </c>
      <c r="N1206" t="s">
        <v>516</v>
      </c>
      <c r="O1206" t="s">
        <v>64</v>
      </c>
      <c r="P1206" t="s">
        <v>6299</v>
      </c>
      <c r="Q1206" t="s">
        <v>73</v>
      </c>
      <c r="R1206" t="s">
        <v>5947</v>
      </c>
      <c r="S1206">
        <v>0.89</v>
      </c>
      <c r="T1206">
        <v>3753</v>
      </c>
      <c r="U1206">
        <v>0</v>
      </c>
      <c r="V1206">
        <v>3753</v>
      </c>
    </row>
    <row r="1207" spans="1:22" x14ac:dyDescent="0.3">
      <c r="A1207">
        <v>187830</v>
      </c>
      <c r="B1207">
        <v>137468951</v>
      </c>
      <c r="C1207" t="s">
        <v>6300</v>
      </c>
      <c r="D1207" t="s">
        <v>6301</v>
      </c>
      <c r="E1207" t="s">
        <v>5494</v>
      </c>
      <c r="F1207" t="s">
        <v>514</v>
      </c>
      <c r="G1207" t="s">
        <v>43</v>
      </c>
      <c r="H1207" t="s">
        <v>44</v>
      </c>
      <c r="I1207" t="s">
        <v>34</v>
      </c>
      <c r="J1207" t="s">
        <v>45</v>
      </c>
      <c r="K1207" t="s">
        <v>54</v>
      </c>
      <c r="L1207" t="s">
        <v>55</v>
      </c>
      <c r="M1207" t="s">
        <v>6302</v>
      </c>
      <c r="N1207" t="s">
        <v>516</v>
      </c>
      <c r="O1207" t="s">
        <v>64</v>
      </c>
      <c r="P1207" t="s">
        <v>6303</v>
      </c>
      <c r="Q1207" t="s">
        <v>46</v>
      </c>
      <c r="R1207" t="s">
        <v>6176</v>
      </c>
      <c r="S1207">
        <v>1</v>
      </c>
      <c r="T1207">
        <v>3366</v>
      </c>
      <c r="U1207">
        <v>0</v>
      </c>
      <c r="V1207">
        <v>3366</v>
      </c>
    </row>
    <row r="1208" spans="1:22" x14ac:dyDescent="0.3">
      <c r="A1208">
        <v>187830</v>
      </c>
      <c r="B1208">
        <v>138459129</v>
      </c>
      <c r="C1208" t="s">
        <v>6304</v>
      </c>
      <c r="D1208" t="s">
        <v>6305</v>
      </c>
      <c r="E1208" t="s">
        <v>5494</v>
      </c>
      <c r="F1208" t="s">
        <v>514</v>
      </c>
      <c r="G1208" t="s">
        <v>136</v>
      </c>
      <c r="H1208" t="s">
        <v>137</v>
      </c>
      <c r="I1208" t="s">
        <v>34</v>
      </c>
      <c r="J1208" t="s">
        <v>138</v>
      </c>
      <c r="K1208" t="s">
        <v>41</v>
      </c>
      <c r="L1208" t="s">
        <v>6306</v>
      </c>
      <c r="M1208" t="s">
        <v>6307</v>
      </c>
      <c r="N1208" t="s">
        <v>516</v>
      </c>
      <c r="O1208" t="s">
        <v>64</v>
      </c>
      <c r="P1208" t="s">
        <v>6308</v>
      </c>
      <c r="Q1208" t="s">
        <v>104</v>
      </c>
      <c r="R1208" t="s">
        <v>5520</v>
      </c>
      <c r="S1208">
        <v>0.48</v>
      </c>
      <c r="T1208">
        <v>4661</v>
      </c>
      <c r="U1208">
        <v>119.5</v>
      </c>
      <c r="V1208">
        <v>4780.5</v>
      </c>
    </row>
    <row r="1209" spans="1:22" x14ac:dyDescent="0.3">
      <c r="A1209">
        <v>187830</v>
      </c>
      <c r="B1209">
        <v>138319120</v>
      </c>
      <c r="C1209" t="s">
        <v>6309</v>
      </c>
      <c r="D1209" t="s">
        <v>6310</v>
      </c>
      <c r="E1209" t="s">
        <v>5494</v>
      </c>
      <c r="F1209" t="s">
        <v>514</v>
      </c>
      <c r="G1209" t="s">
        <v>136</v>
      </c>
      <c r="H1209" t="s">
        <v>137</v>
      </c>
      <c r="I1209" t="s">
        <v>34</v>
      </c>
      <c r="J1209" t="s">
        <v>138</v>
      </c>
      <c r="K1209" t="s">
        <v>41</v>
      </c>
      <c r="L1209" t="s">
        <v>6311</v>
      </c>
      <c r="M1209" t="s">
        <v>456</v>
      </c>
      <c r="N1209" t="s">
        <v>516</v>
      </c>
      <c r="O1209" t="s">
        <v>64</v>
      </c>
      <c r="P1209" t="s">
        <v>6312</v>
      </c>
      <c r="Q1209" t="s">
        <v>105</v>
      </c>
      <c r="R1209" t="s">
        <v>6313</v>
      </c>
      <c r="S1209">
        <v>1.03</v>
      </c>
      <c r="T1209">
        <v>4108</v>
      </c>
      <c r="U1209">
        <v>174.5</v>
      </c>
      <c r="V1209">
        <v>4282.5</v>
      </c>
    </row>
    <row r="1210" spans="1:22" x14ac:dyDescent="0.3">
      <c r="A1210">
        <v>187830</v>
      </c>
      <c r="B1210">
        <v>138236168</v>
      </c>
      <c r="C1210" t="s">
        <v>6314</v>
      </c>
      <c r="D1210" t="s">
        <v>6315</v>
      </c>
      <c r="E1210" t="s">
        <v>5494</v>
      </c>
      <c r="F1210" t="s">
        <v>514</v>
      </c>
      <c r="G1210" t="s">
        <v>136</v>
      </c>
      <c r="H1210" t="s">
        <v>137</v>
      </c>
      <c r="I1210" t="s">
        <v>34</v>
      </c>
      <c r="J1210" t="s">
        <v>138</v>
      </c>
      <c r="K1210" t="s">
        <v>41</v>
      </c>
      <c r="L1210" t="s">
        <v>6316</v>
      </c>
      <c r="M1210" t="s">
        <v>6317</v>
      </c>
      <c r="N1210" t="s">
        <v>516</v>
      </c>
      <c r="O1210" t="s">
        <v>64</v>
      </c>
      <c r="P1210" t="s">
        <v>6318</v>
      </c>
      <c r="Q1210" t="s">
        <v>211</v>
      </c>
      <c r="R1210" t="s">
        <v>360</v>
      </c>
      <c r="S1210">
        <v>1.1000000000000001</v>
      </c>
      <c r="T1210">
        <v>8969</v>
      </c>
      <c r="U1210">
        <v>403.5</v>
      </c>
      <c r="V1210">
        <v>9372.5</v>
      </c>
    </row>
    <row r="1211" spans="1:22" x14ac:dyDescent="0.3">
      <c r="A1211">
        <v>187830</v>
      </c>
      <c r="B1211">
        <v>138279465</v>
      </c>
      <c r="C1211" t="s">
        <v>6319</v>
      </c>
      <c r="D1211" t="s">
        <v>6320</v>
      </c>
      <c r="E1211" t="s">
        <v>5494</v>
      </c>
      <c r="F1211" t="s">
        <v>514</v>
      </c>
      <c r="G1211" t="s">
        <v>136</v>
      </c>
      <c r="H1211" t="s">
        <v>137</v>
      </c>
      <c r="I1211" t="s">
        <v>34</v>
      </c>
      <c r="J1211" t="s">
        <v>138</v>
      </c>
      <c r="K1211" t="s">
        <v>41</v>
      </c>
      <c r="L1211" t="s">
        <v>6321</v>
      </c>
      <c r="M1211" t="s">
        <v>6293</v>
      </c>
      <c r="N1211" t="s">
        <v>516</v>
      </c>
      <c r="O1211" t="s">
        <v>64</v>
      </c>
      <c r="P1211" t="s">
        <v>6294</v>
      </c>
      <c r="Q1211" t="s">
        <v>88</v>
      </c>
      <c r="R1211" t="s">
        <v>446</v>
      </c>
      <c r="S1211">
        <v>0.55000000000000004</v>
      </c>
      <c r="T1211">
        <v>5267</v>
      </c>
      <c r="U1211">
        <v>219.9</v>
      </c>
      <c r="V1211">
        <v>5486.9</v>
      </c>
    </row>
    <row r="1212" spans="1:22" x14ac:dyDescent="0.3">
      <c r="A1212">
        <v>187830</v>
      </c>
      <c r="B1212">
        <v>138169260</v>
      </c>
      <c r="C1212" t="s">
        <v>6322</v>
      </c>
      <c r="D1212" t="s">
        <v>6323</v>
      </c>
      <c r="E1212" t="s">
        <v>5494</v>
      </c>
      <c r="F1212" t="s">
        <v>514</v>
      </c>
      <c r="G1212" t="s">
        <v>136</v>
      </c>
      <c r="H1212" t="s">
        <v>137</v>
      </c>
      <c r="I1212" t="s">
        <v>34</v>
      </c>
      <c r="J1212" t="s">
        <v>138</v>
      </c>
      <c r="K1212" t="s">
        <v>41</v>
      </c>
      <c r="L1212" t="s">
        <v>6324</v>
      </c>
      <c r="M1212" t="s">
        <v>6325</v>
      </c>
      <c r="N1212" t="s">
        <v>516</v>
      </c>
      <c r="O1212" t="s">
        <v>64</v>
      </c>
      <c r="P1212" t="s">
        <v>6326</v>
      </c>
      <c r="Q1212" t="s">
        <v>104</v>
      </c>
      <c r="R1212" t="s">
        <v>376</v>
      </c>
      <c r="S1212">
        <v>1.54</v>
      </c>
      <c r="T1212">
        <v>4928</v>
      </c>
      <c r="U1212">
        <v>474.5</v>
      </c>
      <c r="V1212">
        <v>5402.5</v>
      </c>
    </row>
    <row r="1213" spans="1:22" x14ac:dyDescent="0.3">
      <c r="A1213">
        <v>187830</v>
      </c>
      <c r="B1213">
        <v>137986591</v>
      </c>
      <c r="C1213" t="s">
        <v>6327</v>
      </c>
      <c r="D1213" t="s">
        <v>6328</v>
      </c>
      <c r="E1213" t="s">
        <v>5494</v>
      </c>
      <c r="F1213" t="s">
        <v>514</v>
      </c>
      <c r="G1213" t="s">
        <v>136</v>
      </c>
      <c r="H1213" t="s">
        <v>137</v>
      </c>
      <c r="I1213" t="s">
        <v>34</v>
      </c>
      <c r="J1213" t="s">
        <v>138</v>
      </c>
      <c r="K1213" t="s">
        <v>41</v>
      </c>
      <c r="L1213" t="s">
        <v>6329</v>
      </c>
      <c r="M1213" t="s">
        <v>6330</v>
      </c>
      <c r="N1213" t="s">
        <v>516</v>
      </c>
      <c r="O1213" t="s">
        <v>64</v>
      </c>
      <c r="P1213" t="s">
        <v>6331</v>
      </c>
      <c r="Q1213" t="s">
        <v>132</v>
      </c>
      <c r="R1213" t="s">
        <v>419</v>
      </c>
      <c r="S1213">
        <v>0.91</v>
      </c>
      <c r="T1213">
        <v>6859</v>
      </c>
      <c r="U1213">
        <v>348.95</v>
      </c>
      <c r="V1213">
        <v>7207.95</v>
      </c>
    </row>
    <row r="1214" spans="1:22" x14ac:dyDescent="0.3">
      <c r="A1214">
        <v>187830</v>
      </c>
      <c r="B1214">
        <v>137939360</v>
      </c>
      <c r="C1214" t="s">
        <v>6332</v>
      </c>
      <c r="D1214" t="s">
        <v>6333</v>
      </c>
      <c r="E1214" t="s">
        <v>5494</v>
      </c>
      <c r="F1214" t="s">
        <v>514</v>
      </c>
      <c r="G1214" t="s">
        <v>136</v>
      </c>
      <c r="H1214" t="s">
        <v>137</v>
      </c>
      <c r="I1214" t="s">
        <v>34</v>
      </c>
      <c r="J1214" t="s">
        <v>138</v>
      </c>
      <c r="K1214" t="s">
        <v>41</v>
      </c>
      <c r="L1214" t="s">
        <v>6334</v>
      </c>
      <c r="M1214" t="s">
        <v>6335</v>
      </c>
      <c r="N1214" t="s">
        <v>516</v>
      </c>
      <c r="O1214" t="s">
        <v>64</v>
      </c>
      <c r="P1214" t="s">
        <v>6336</v>
      </c>
      <c r="Q1214" t="s">
        <v>167</v>
      </c>
      <c r="R1214" t="s">
        <v>5857</v>
      </c>
      <c r="S1214">
        <v>1.3</v>
      </c>
      <c r="T1214">
        <v>6360</v>
      </c>
      <c r="U1214">
        <v>349</v>
      </c>
      <c r="V1214">
        <v>6709</v>
      </c>
    </row>
    <row r="1215" spans="1:22" x14ac:dyDescent="0.3">
      <c r="A1215">
        <v>187830</v>
      </c>
      <c r="B1215">
        <v>137820929</v>
      </c>
      <c r="C1215" t="s">
        <v>6337</v>
      </c>
      <c r="D1215" t="s">
        <v>6338</v>
      </c>
      <c r="E1215" t="s">
        <v>5494</v>
      </c>
      <c r="F1215" t="s">
        <v>514</v>
      </c>
      <c r="G1215" t="s">
        <v>136</v>
      </c>
      <c r="H1215" t="s">
        <v>137</v>
      </c>
      <c r="I1215" t="s">
        <v>34</v>
      </c>
      <c r="J1215" t="s">
        <v>138</v>
      </c>
      <c r="K1215" t="s">
        <v>127</v>
      </c>
      <c r="L1215" t="s">
        <v>258</v>
      </c>
      <c r="M1215" t="s">
        <v>6339</v>
      </c>
      <c r="N1215" t="s">
        <v>516</v>
      </c>
      <c r="O1215" t="s">
        <v>64</v>
      </c>
      <c r="P1215" t="s">
        <v>6340</v>
      </c>
      <c r="Q1215" t="s">
        <v>179</v>
      </c>
      <c r="R1215" t="s">
        <v>5968</v>
      </c>
      <c r="S1215">
        <v>0.77</v>
      </c>
      <c r="T1215">
        <v>6637</v>
      </c>
      <c r="U1215">
        <v>289</v>
      </c>
      <c r="V1215">
        <v>6926</v>
      </c>
    </row>
    <row r="1216" spans="1:22" x14ac:dyDescent="0.3">
      <c r="A1216">
        <v>187830</v>
      </c>
      <c r="B1216">
        <v>138436222</v>
      </c>
      <c r="C1216" t="s">
        <v>6341</v>
      </c>
      <c r="D1216" t="s">
        <v>6342</v>
      </c>
      <c r="E1216" t="s">
        <v>5494</v>
      </c>
      <c r="F1216" t="s">
        <v>514</v>
      </c>
      <c r="G1216" t="s">
        <v>69</v>
      </c>
      <c r="H1216" t="s">
        <v>70</v>
      </c>
      <c r="I1216" t="s">
        <v>34</v>
      </c>
      <c r="J1216" t="s">
        <v>139</v>
      </c>
      <c r="K1216" t="s">
        <v>41</v>
      </c>
      <c r="L1216" t="s">
        <v>71</v>
      </c>
      <c r="M1216" t="s">
        <v>6343</v>
      </c>
      <c r="N1216" t="s">
        <v>516</v>
      </c>
      <c r="O1216" t="s">
        <v>64</v>
      </c>
      <c r="P1216" t="s">
        <v>6344</v>
      </c>
      <c r="Q1216" t="s">
        <v>107</v>
      </c>
      <c r="R1216" t="s">
        <v>391</v>
      </c>
      <c r="S1216">
        <v>1.22</v>
      </c>
      <c r="T1216">
        <v>6307</v>
      </c>
      <c r="U1216">
        <v>0</v>
      </c>
      <c r="V1216">
        <v>6307</v>
      </c>
    </row>
    <row r="1217" spans="1:22" x14ac:dyDescent="0.3">
      <c r="A1217">
        <v>187830</v>
      </c>
      <c r="B1217">
        <v>138411182</v>
      </c>
      <c r="C1217" t="s">
        <v>6345</v>
      </c>
      <c r="D1217" t="s">
        <v>6346</v>
      </c>
      <c r="E1217" t="s">
        <v>5494</v>
      </c>
      <c r="F1217" t="s">
        <v>514</v>
      </c>
      <c r="G1217" t="s">
        <v>69</v>
      </c>
      <c r="H1217" t="s">
        <v>70</v>
      </c>
      <c r="I1217" t="s">
        <v>34</v>
      </c>
      <c r="J1217" t="s">
        <v>139</v>
      </c>
      <c r="K1217" t="s">
        <v>41</v>
      </c>
      <c r="L1217" t="s">
        <v>71</v>
      </c>
      <c r="M1217" t="s">
        <v>6347</v>
      </c>
      <c r="N1217" t="s">
        <v>516</v>
      </c>
      <c r="O1217" t="s">
        <v>64</v>
      </c>
      <c r="P1217" t="s">
        <v>6348</v>
      </c>
      <c r="Q1217" t="s">
        <v>191</v>
      </c>
      <c r="R1217" t="s">
        <v>5632</v>
      </c>
      <c r="S1217">
        <v>5.18</v>
      </c>
      <c r="T1217">
        <v>8777</v>
      </c>
      <c r="U1217">
        <v>0</v>
      </c>
      <c r="V1217">
        <v>8777</v>
      </c>
    </row>
    <row r="1218" spans="1:22" x14ac:dyDescent="0.3">
      <c r="A1218">
        <v>187830</v>
      </c>
      <c r="B1218">
        <v>138373833</v>
      </c>
      <c r="C1218" t="s">
        <v>6349</v>
      </c>
      <c r="D1218" t="s">
        <v>6350</v>
      </c>
      <c r="E1218" t="s">
        <v>5494</v>
      </c>
      <c r="F1218" t="s">
        <v>514</v>
      </c>
      <c r="G1218" t="s">
        <v>69</v>
      </c>
      <c r="H1218" t="s">
        <v>70</v>
      </c>
      <c r="I1218" t="s">
        <v>34</v>
      </c>
      <c r="J1218" t="s">
        <v>139</v>
      </c>
      <c r="K1218" t="s">
        <v>41</v>
      </c>
      <c r="L1218" t="s">
        <v>71</v>
      </c>
      <c r="M1218" t="s">
        <v>6351</v>
      </c>
      <c r="N1218" t="s">
        <v>516</v>
      </c>
      <c r="O1218" t="s">
        <v>64</v>
      </c>
      <c r="P1218" t="s">
        <v>6352</v>
      </c>
      <c r="Q1218" t="s">
        <v>126</v>
      </c>
      <c r="R1218" t="s">
        <v>5509</v>
      </c>
      <c r="S1218">
        <v>1.1399999999999999</v>
      </c>
      <c r="T1218">
        <v>6232</v>
      </c>
      <c r="U1218">
        <v>0</v>
      </c>
      <c r="V1218">
        <v>6232</v>
      </c>
    </row>
    <row r="1219" spans="1:22" x14ac:dyDescent="0.3">
      <c r="A1219">
        <v>187830</v>
      </c>
      <c r="B1219">
        <v>138479264</v>
      </c>
      <c r="C1219" t="s">
        <v>6353</v>
      </c>
      <c r="D1219" t="s">
        <v>6354</v>
      </c>
      <c r="E1219" t="s">
        <v>5494</v>
      </c>
      <c r="F1219" t="s">
        <v>514</v>
      </c>
      <c r="G1219" t="s">
        <v>69</v>
      </c>
      <c r="H1219" t="s">
        <v>70</v>
      </c>
      <c r="I1219" t="s">
        <v>34</v>
      </c>
      <c r="J1219" t="s">
        <v>139</v>
      </c>
      <c r="K1219" t="s">
        <v>41</v>
      </c>
      <c r="L1219" t="s">
        <v>71</v>
      </c>
      <c r="M1219" t="s">
        <v>6355</v>
      </c>
      <c r="N1219" t="s">
        <v>516</v>
      </c>
      <c r="O1219" t="s">
        <v>64</v>
      </c>
      <c r="P1219" t="s">
        <v>6356</v>
      </c>
      <c r="Q1219" t="s">
        <v>83</v>
      </c>
      <c r="R1219" t="s">
        <v>301</v>
      </c>
      <c r="S1219">
        <v>1.37</v>
      </c>
      <c r="T1219">
        <v>4072</v>
      </c>
      <c r="U1219">
        <v>0</v>
      </c>
      <c r="V1219">
        <v>4072</v>
      </c>
    </row>
    <row r="1220" spans="1:22" x14ac:dyDescent="0.3">
      <c r="A1220">
        <v>187830</v>
      </c>
      <c r="B1220">
        <v>138357710</v>
      </c>
      <c r="C1220" t="s">
        <v>6357</v>
      </c>
      <c r="D1220" t="s">
        <v>6358</v>
      </c>
      <c r="E1220" t="s">
        <v>5494</v>
      </c>
      <c r="F1220" t="s">
        <v>514</v>
      </c>
      <c r="G1220" t="s">
        <v>69</v>
      </c>
      <c r="H1220" t="s">
        <v>70</v>
      </c>
      <c r="I1220" t="s">
        <v>34</v>
      </c>
      <c r="J1220" t="s">
        <v>139</v>
      </c>
      <c r="K1220" t="s">
        <v>41</v>
      </c>
      <c r="L1220" t="s">
        <v>71</v>
      </c>
      <c r="M1220" t="s">
        <v>6359</v>
      </c>
      <c r="N1220" t="s">
        <v>516</v>
      </c>
      <c r="O1220" t="s">
        <v>64</v>
      </c>
      <c r="P1220" t="s">
        <v>6360</v>
      </c>
      <c r="Q1220" t="s">
        <v>190</v>
      </c>
      <c r="R1220" t="s">
        <v>5665</v>
      </c>
      <c r="S1220">
        <v>0.35</v>
      </c>
      <c r="T1220">
        <v>6203</v>
      </c>
      <c r="U1220">
        <v>0</v>
      </c>
      <c r="V1220">
        <v>6203</v>
      </c>
    </row>
    <row r="1221" spans="1:22" x14ac:dyDescent="0.3">
      <c r="A1221">
        <v>187830</v>
      </c>
      <c r="B1221">
        <v>138411188</v>
      </c>
      <c r="C1221" t="s">
        <v>6361</v>
      </c>
      <c r="D1221" t="s">
        <v>6362</v>
      </c>
      <c r="E1221" t="s">
        <v>5494</v>
      </c>
      <c r="F1221" t="s">
        <v>514</v>
      </c>
      <c r="G1221" t="s">
        <v>69</v>
      </c>
      <c r="H1221" t="s">
        <v>70</v>
      </c>
      <c r="I1221" t="s">
        <v>34</v>
      </c>
      <c r="J1221" t="s">
        <v>139</v>
      </c>
      <c r="K1221" t="s">
        <v>41</v>
      </c>
      <c r="L1221" t="s">
        <v>71</v>
      </c>
      <c r="M1221" t="s">
        <v>6363</v>
      </c>
      <c r="N1221" t="s">
        <v>516</v>
      </c>
      <c r="O1221" t="s">
        <v>64</v>
      </c>
      <c r="P1221" t="s">
        <v>6364</v>
      </c>
      <c r="Q1221" t="s">
        <v>270</v>
      </c>
      <c r="R1221" t="s">
        <v>5632</v>
      </c>
      <c r="S1221">
        <v>3.26</v>
      </c>
      <c r="T1221">
        <v>7589</v>
      </c>
      <c r="U1221">
        <v>0</v>
      </c>
      <c r="V1221">
        <v>7589</v>
      </c>
    </row>
    <row r="1222" spans="1:22" x14ac:dyDescent="0.3">
      <c r="A1222">
        <v>187830</v>
      </c>
      <c r="B1222">
        <v>138133307</v>
      </c>
      <c r="C1222" t="s">
        <v>6365</v>
      </c>
      <c r="D1222" t="s">
        <v>6366</v>
      </c>
      <c r="E1222" t="s">
        <v>5494</v>
      </c>
      <c r="F1222" t="s">
        <v>514</v>
      </c>
      <c r="G1222" t="s">
        <v>69</v>
      </c>
      <c r="H1222" t="s">
        <v>70</v>
      </c>
      <c r="I1222" t="s">
        <v>34</v>
      </c>
      <c r="J1222" t="s">
        <v>139</v>
      </c>
      <c r="K1222" t="s">
        <v>41</v>
      </c>
      <c r="L1222" t="s">
        <v>71</v>
      </c>
      <c r="M1222" t="s">
        <v>336</v>
      </c>
      <c r="N1222" t="s">
        <v>516</v>
      </c>
      <c r="O1222" t="s">
        <v>64</v>
      </c>
      <c r="P1222" t="s">
        <v>6367</v>
      </c>
      <c r="Q1222" t="s">
        <v>126</v>
      </c>
      <c r="R1222" t="s">
        <v>6368</v>
      </c>
      <c r="S1222">
        <v>2.27</v>
      </c>
      <c r="T1222">
        <v>7072</v>
      </c>
      <c r="U1222">
        <v>0</v>
      </c>
      <c r="V1222">
        <v>7072</v>
      </c>
    </row>
    <row r="1223" spans="1:22" x14ac:dyDescent="0.3">
      <c r="A1223">
        <v>187830</v>
      </c>
      <c r="B1223">
        <v>138212178</v>
      </c>
      <c r="C1223" t="s">
        <v>6369</v>
      </c>
      <c r="D1223" t="s">
        <v>6370</v>
      </c>
      <c r="E1223" t="s">
        <v>5494</v>
      </c>
      <c r="F1223" t="s">
        <v>514</v>
      </c>
      <c r="G1223" t="s">
        <v>69</v>
      </c>
      <c r="H1223" t="s">
        <v>70</v>
      </c>
      <c r="I1223" t="s">
        <v>34</v>
      </c>
      <c r="J1223" t="s">
        <v>139</v>
      </c>
      <c r="K1223" t="s">
        <v>41</v>
      </c>
      <c r="L1223" t="s">
        <v>71</v>
      </c>
      <c r="M1223" t="s">
        <v>6371</v>
      </c>
      <c r="N1223" t="s">
        <v>516</v>
      </c>
      <c r="O1223" t="s">
        <v>64</v>
      </c>
      <c r="P1223" t="s">
        <v>6372</v>
      </c>
      <c r="Q1223" t="s">
        <v>126</v>
      </c>
      <c r="R1223" t="s">
        <v>5728</v>
      </c>
      <c r="S1223">
        <v>0.28000000000000003</v>
      </c>
      <c r="T1223">
        <v>5825</v>
      </c>
      <c r="U1223">
        <v>0</v>
      </c>
      <c r="V1223">
        <v>5825</v>
      </c>
    </row>
    <row r="1224" spans="1:22" x14ac:dyDescent="0.3">
      <c r="A1224">
        <v>187830</v>
      </c>
      <c r="B1224">
        <v>138051895</v>
      </c>
      <c r="C1224" t="s">
        <v>6373</v>
      </c>
      <c r="D1224" t="s">
        <v>6374</v>
      </c>
      <c r="E1224" t="s">
        <v>5494</v>
      </c>
      <c r="F1224" t="s">
        <v>514</v>
      </c>
      <c r="G1224" t="s">
        <v>69</v>
      </c>
      <c r="H1224" t="s">
        <v>70</v>
      </c>
      <c r="I1224" t="s">
        <v>34</v>
      </c>
      <c r="J1224" t="s">
        <v>139</v>
      </c>
      <c r="K1224" t="s">
        <v>41</v>
      </c>
      <c r="L1224" t="s">
        <v>71</v>
      </c>
      <c r="M1224" t="s">
        <v>6375</v>
      </c>
      <c r="N1224" t="s">
        <v>516</v>
      </c>
      <c r="O1224" t="s">
        <v>64</v>
      </c>
      <c r="P1224" t="s">
        <v>6364</v>
      </c>
      <c r="Q1224" t="s">
        <v>270</v>
      </c>
      <c r="R1224" t="s">
        <v>5581</v>
      </c>
      <c r="S1224">
        <v>1.1499999999999999</v>
      </c>
      <c r="T1224">
        <v>6370</v>
      </c>
      <c r="U1224">
        <v>0</v>
      </c>
      <c r="V1224">
        <v>6370</v>
      </c>
    </row>
    <row r="1225" spans="1:22" x14ac:dyDescent="0.3">
      <c r="A1225">
        <v>187830</v>
      </c>
      <c r="B1225">
        <v>138071046</v>
      </c>
      <c r="C1225" t="s">
        <v>6376</v>
      </c>
      <c r="D1225" t="s">
        <v>6377</v>
      </c>
      <c r="E1225" t="s">
        <v>5494</v>
      </c>
      <c r="F1225" t="s">
        <v>514</v>
      </c>
      <c r="G1225" t="s">
        <v>69</v>
      </c>
      <c r="H1225" t="s">
        <v>70</v>
      </c>
      <c r="I1225" t="s">
        <v>34</v>
      </c>
      <c r="J1225" t="s">
        <v>139</v>
      </c>
      <c r="K1225" t="s">
        <v>41</v>
      </c>
      <c r="L1225" t="s">
        <v>71</v>
      </c>
      <c r="M1225" t="s">
        <v>6378</v>
      </c>
      <c r="N1225" t="s">
        <v>516</v>
      </c>
      <c r="O1225" t="s">
        <v>64</v>
      </c>
      <c r="P1225" t="s">
        <v>6379</v>
      </c>
      <c r="Q1225" t="s">
        <v>126</v>
      </c>
      <c r="R1225" t="s">
        <v>276</v>
      </c>
      <c r="S1225">
        <v>0.45</v>
      </c>
      <c r="T1225">
        <v>5825</v>
      </c>
      <c r="U1225">
        <v>0</v>
      </c>
      <c r="V1225">
        <v>5825</v>
      </c>
    </row>
    <row r="1226" spans="1:22" x14ac:dyDescent="0.3">
      <c r="A1226">
        <v>187830</v>
      </c>
      <c r="B1226">
        <v>137939343</v>
      </c>
      <c r="C1226" t="s">
        <v>6380</v>
      </c>
      <c r="D1226" t="s">
        <v>6381</v>
      </c>
      <c r="E1226" t="s">
        <v>5494</v>
      </c>
      <c r="F1226" t="s">
        <v>514</v>
      </c>
      <c r="G1226" t="s">
        <v>69</v>
      </c>
      <c r="H1226" t="s">
        <v>70</v>
      </c>
      <c r="I1226" t="s">
        <v>34</v>
      </c>
      <c r="J1226" t="s">
        <v>139</v>
      </c>
      <c r="K1226" t="s">
        <v>41</v>
      </c>
      <c r="L1226" t="s">
        <v>71</v>
      </c>
      <c r="M1226" t="s">
        <v>6382</v>
      </c>
      <c r="N1226" t="s">
        <v>516</v>
      </c>
      <c r="O1226" t="s">
        <v>64</v>
      </c>
      <c r="P1226" t="s">
        <v>6383</v>
      </c>
      <c r="Q1226" t="s">
        <v>113</v>
      </c>
      <c r="R1226" t="s">
        <v>5857</v>
      </c>
      <c r="S1226">
        <v>1.1499999999999999</v>
      </c>
      <c r="T1226">
        <v>6636</v>
      </c>
      <c r="U1226">
        <v>0</v>
      </c>
      <c r="V1226">
        <v>6636</v>
      </c>
    </row>
    <row r="1227" spans="1:22" x14ac:dyDescent="0.3">
      <c r="A1227">
        <v>187830</v>
      </c>
      <c r="B1227">
        <v>137820935</v>
      </c>
      <c r="C1227" t="s">
        <v>6384</v>
      </c>
      <c r="D1227" t="s">
        <v>6385</v>
      </c>
      <c r="E1227" t="s">
        <v>5494</v>
      </c>
      <c r="F1227" t="s">
        <v>514</v>
      </c>
      <c r="G1227" t="s">
        <v>69</v>
      </c>
      <c r="H1227" t="s">
        <v>70</v>
      </c>
      <c r="I1227" t="s">
        <v>34</v>
      </c>
      <c r="J1227" t="s">
        <v>139</v>
      </c>
      <c r="K1227" t="s">
        <v>41</v>
      </c>
      <c r="L1227" t="s">
        <v>71</v>
      </c>
      <c r="M1227" t="s">
        <v>6386</v>
      </c>
      <c r="N1227" t="s">
        <v>516</v>
      </c>
      <c r="O1227" t="s">
        <v>64</v>
      </c>
      <c r="P1227" t="s">
        <v>6387</v>
      </c>
      <c r="Q1227" t="s">
        <v>110</v>
      </c>
      <c r="R1227" t="s">
        <v>5968</v>
      </c>
      <c r="S1227">
        <v>0.79</v>
      </c>
      <c r="T1227">
        <v>4072</v>
      </c>
      <c r="U1227">
        <v>0</v>
      </c>
      <c r="V1227">
        <v>4072</v>
      </c>
    </row>
    <row r="1228" spans="1:22" x14ac:dyDescent="0.3">
      <c r="A1228">
        <v>187830</v>
      </c>
      <c r="B1228">
        <v>137578001</v>
      </c>
      <c r="C1228" t="s">
        <v>6388</v>
      </c>
      <c r="D1228" t="s">
        <v>6389</v>
      </c>
      <c r="E1228" t="s">
        <v>5494</v>
      </c>
      <c r="F1228" t="s">
        <v>514</v>
      </c>
      <c r="G1228" t="s">
        <v>69</v>
      </c>
      <c r="H1228" t="s">
        <v>70</v>
      </c>
      <c r="I1228" t="s">
        <v>34</v>
      </c>
      <c r="J1228" t="s">
        <v>139</v>
      </c>
      <c r="K1228" t="s">
        <v>41</v>
      </c>
      <c r="L1228" t="s">
        <v>71</v>
      </c>
      <c r="M1228" t="s">
        <v>6390</v>
      </c>
      <c r="N1228" t="s">
        <v>516</v>
      </c>
      <c r="O1228" t="s">
        <v>64</v>
      </c>
      <c r="P1228" t="s">
        <v>6391</v>
      </c>
      <c r="Q1228" t="s">
        <v>126</v>
      </c>
      <c r="R1228" t="s">
        <v>6162</v>
      </c>
      <c r="S1228">
        <v>0.93</v>
      </c>
      <c r="T1228">
        <v>5992</v>
      </c>
      <c r="U1228">
        <v>0</v>
      </c>
      <c r="V1228">
        <v>5992</v>
      </c>
    </row>
    <row r="1229" spans="1:22" x14ac:dyDescent="0.3">
      <c r="A1229">
        <v>187830</v>
      </c>
      <c r="B1229">
        <v>137702015</v>
      </c>
      <c r="C1229" t="s">
        <v>6392</v>
      </c>
      <c r="D1229" t="s">
        <v>6393</v>
      </c>
      <c r="E1229" t="s">
        <v>5494</v>
      </c>
      <c r="F1229" t="s">
        <v>514</v>
      </c>
      <c r="G1229" t="s">
        <v>69</v>
      </c>
      <c r="H1229" t="s">
        <v>70</v>
      </c>
      <c r="I1229" t="s">
        <v>34</v>
      </c>
      <c r="J1229" t="s">
        <v>139</v>
      </c>
      <c r="K1229" t="s">
        <v>41</v>
      </c>
      <c r="L1229" t="s">
        <v>71</v>
      </c>
      <c r="M1229" t="s">
        <v>6394</v>
      </c>
      <c r="N1229" t="s">
        <v>516</v>
      </c>
      <c r="O1229" t="s">
        <v>64</v>
      </c>
      <c r="P1229" t="s">
        <v>6395</v>
      </c>
      <c r="Q1229" t="s">
        <v>142</v>
      </c>
      <c r="R1229" t="s">
        <v>6073</v>
      </c>
      <c r="S1229">
        <v>4.1399999999999997</v>
      </c>
      <c r="T1229">
        <v>4537</v>
      </c>
      <c r="U1229">
        <v>0</v>
      </c>
      <c r="V1229">
        <v>4537</v>
      </c>
    </row>
    <row r="1230" spans="1:22" x14ac:dyDescent="0.3">
      <c r="A1230">
        <v>148303</v>
      </c>
      <c r="B1230">
        <v>137088194</v>
      </c>
      <c r="C1230" t="s">
        <v>6396</v>
      </c>
      <c r="D1230" t="s">
        <v>6397</v>
      </c>
      <c r="E1230" t="s">
        <v>6398</v>
      </c>
      <c r="F1230" t="s">
        <v>514</v>
      </c>
      <c r="G1230" t="s">
        <v>69</v>
      </c>
      <c r="H1230" t="s">
        <v>70</v>
      </c>
      <c r="I1230" t="s">
        <v>34</v>
      </c>
      <c r="J1230" t="s">
        <v>139</v>
      </c>
      <c r="K1230" t="s">
        <v>95</v>
      </c>
      <c r="L1230" t="s">
        <v>96</v>
      </c>
      <c r="M1230" t="s">
        <v>2184</v>
      </c>
      <c r="N1230" t="s">
        <v>516</v>
      </c>
      <c r="O1230" t="s">
        <v>64</v>
      </c>
      <c r="P1230" t="s">
        <v>6399</v>
      </c>
      <c r="Q1230" t="s">
        <v>67</v>
      </c>
      <c r="R1230" t="s">
        <v>6400</v>
      </c>
      <c r="S1230">
        <v>8.4700000000000006</v>
      </c>
      <c r="T1230">
        <v>11871.5</v>
      </c>
      <c r="U1230">
        <v>0</v>
      </c>
      <c r="V1230">
        <v>11871.5</v>
      </c>
    </row>
    <row r="1231" spans="1:22" x14ac:dyDescent="0.3">
      <c r="A1231">
        <v>148303</v>
      </c>
      <c r="B1231">
        <v>137370185</v>
      </c>
      <c r="C1231" t="s">
        <v>6401</v>
      </c>
      <c r="D1231" t="s">
        <v>6402</v>
      </c>
      <c r="E1231" t="s">
        <v>6398</v>
      </c>
      <c r="F1231" t="s">
        <v>514</v>
      </c>
      <c r="G1231" t="s">
        <v>69</v>
      </c>
      <c r="H1231" t="s">
        <v>70</v>
      </c>
      <c r="I1231" t="s">
        <v>34</v>
      </c>
      <c r="J1231" t="s">
        <v>139</v>
      </c>
      <c r="K1231" t="s">
        <v>41</v>
      </c>
      <c r="L1231" t="s">
        <v>71</v>
      </c>
      <c r="M1231" t="s">
        <v>6403</v>
      </c>
      <c r="N1231" t="s">
        <v>516</v>
      </c>
      <c r="O1231" t="s">
        <v>64</v>
      </c>
      <c r="P1231" t="s">
        <v>6404</v>
      </c>
      <c r="Q1231" t="s">
        <v>347</v>
      </c>
      <c r="R1231" t="s">
        <v>6405</v>
      </c>
      <c r="S1231">
        <v>2.66</v>
      </c>
      <c r="T1231">
        <v>13974</v>
      </c>
      <c r="U1231">
        <v>0</v>
      </c>
      <c r="V1231">
        <v>13974</v>
      </c>
    </row>
    <row r="1232" spans="1:22" x14ac:dyDescent="0.3">
      <c r="A1232">
        <v>148303</v>
      </c>
      <c r="B1232">
        <v>138443088</v>
      </c>
      <c r="C1232" t="s">
        <v>6406</v>
      </c>
      <c r="D1232" t="s">
        <v>6407</v>
      </c>
      <c r="E1232" t="s">
        <v>6398</v>
      </c>
      <c r="F1232" t="s">
        <v>514</v>
      </c>
      <c r="G1232" t="s">
        <v>69</v>
      </c>
      <c r="H1232" t="s">
        <v>70</v>
      </c>
      <c r="I1232" t="s">
        <v>34</v>
      </c>
      <c r="J1232" t="s">
        <v>139</v>
      </c>
      <c r="K1232" t="s">
        <v>41</v>
      </c>
      <c r="L1232" t="s">
        <v>71</v>
      </c>
      <c r="M1232" t="s">
        <v>6408</v>
      </c>
      <c r="N1232" t="s">
        <v>516</v>
      </c>
      <c r="O1232" t="s">
        <v>64</v>
      </c>
      <c r="P1232" t="s">
        <v>6409</v>
      </c>
      <c r="Q1232" t="s">
        <v>82</v>
      </c>
      <c r="R1232" t="s">
        <v>6410</v>
      </c>
      <c r="S1232">
        <v>4.17</v>
      </c>
      <c r="T1232">
        <v>11151</v>
      </c>
      <c r="U1232">
        <v>0</v>
      </c>
      <c r="V1232">
        <v>11151</v>
      </c>
    </row>
    <row r="1233" spans="1:22" x14ac:dyDescent="0.3">
      <c r="A1233">
        <v>148303</v>
      </c>
      <c r="B1233">
        <v>138481303</v>
      </c>
      <c r="C1233" t="s">
        <v>6411</v>
      </c>
      <c r="D1233" t="s">
        <v>6412</v>
      </c>
      <c r="E1233" t="s">
        <v>6398</v>
      </c>
      <c r="F1233" t="s">
        <v>514</v>
      </c>
      <c r="G1233" t="s">
        <v>69</v>
      </c>
      <c r="H1233" t="s">
        <v>70</v>
      </c>
      <c r="I1233" t="s">
        <v>34</v>
      </c>
      <c r="J1233" t="s">
        <v>139</v>
      </c>
      <c r="K1233" t="s">
        <v>41</v>
      </c>
      <c r="L1233" t="s">
        <v>71</v>
      </c>
      <c r="M1233" t="s">
        <v>6413</v>
      </c>
      <c r="N1233" t="s">
        <v>516</v>
      </c>
      <c r="O1233" t="s">
        <v>64</v>
      </c>
      <c r="P1233" t="s">
        <v>6414</v>
      </c>
      <c r="Q1233" t="s">
        <v>89</v>
      </c>
      <c r="R1233" t="s">
        <v>374</v>
      </c>
      <c r="S1233">
        <v>1.31</v>
      </c>
      <c r="T1233">
        <v>7698</v>
      </c>
      <c r="U1233">
        <v>0</v>
      </c>
      <c r="V1233">
        <v>7698</v>
      </c>
    </row>
    <row r="1234" spans="1:22" x14ac:dyDescent="0.3">
      <c r="A1234">
        <v>148303</v>
      </c>
      <c r="B1234">
        <v>138488869</v>
      </c>
      <c r="C1234" t="s">
        <v>6415</v>
      </c>
      <c r="D1234" t="s">
        <v>6416</v>
      </c>
      <c r="E1234" t="s">
        <v>6398</v>
      </c>
      <c r="F1234" t="s">
        <v>514</v>
      </c>
      <c r="G1234" t="s">
        <v>69</v>
      </c>
      <c r="H1234" t="s">
        <v>70</v>
      </c>
      <c r="I1234" t="s">
        <v>34</v>
      </c>
      <c r="J1234" t="s">
        <v>139</v>
      </c>
      <c r="K1234" t="s">
        <v>41</v>
      </c>
      <c r="L1234" t="s">
        <v>71</v>
      </c>
      <c r="M1234" t="s">
        <v>6417</v>
      </c>
      <c r="N1234" t="s">
        <v>516</v>
      </c>
      <c r="O1234" t="s">
        <v>64</v>
      </c>
      <c r="P1234" t="s">
        <v>6418</v>
      </c>
      <c r="Q1234" t="s">
        <v>62</v>
      </c>
      <c r="R1234" t="s">
        <v>6419</v>
      </c>
      <c r="S1234">
        <v>0.23</v>
      </c>
      <c r="T1234">
        <v>6888</v>
      </c>
      <c r="U1234">
        <v>0</v>
      </c>
      <c r="V1234">
        <v>6888</v>
      </c>
    </row>
    <row r="1235" spans="1:22" x14ac:dyDescent="0.3">
      <c r="A1235">
        <v>148303</v>
      </c>
      <c r="B1235">
        <v>138440673</v>
      </c>
      <c r="C1235" t="s">
        <v>6420</v>
      </c>
      <c r="D1235" t="s">
        <v>6421</v>
      </c>
      <c r="E1235" t="s">
        <v>6398</v>
      </c>
      <c r="F1235" t="s">
        <v>514</v>
      </c>
      <c r="G1235" t="s">
        <v>69</v>
      </c>
      <c r="H1235" t="s">
        <v>70</v>
      </c>
      <c r="I1235" t="s">
        <v>34</v>
      </c>
      <c r="J1235" t="s">
        <v>139</v>
      </c>
      <c r="K1235" t="s">
        <v>41</v>
      </c>
      <c r="L1235" t="s">
        <v>71</v>
      </c>
      <c r="M1235" t="s">
        <v>6422</v>
      </c>
      <c r="N1235" t="s">
        <v>516</v>
      </c>
      <c r="O1235" t="s">
        <v>64</v>
      </c>
      <c r="P1235" t="s">
        <v>6423</v>
      </c>
      <c r="Q1235" t="s">
        <v>73</v>
      </c>
      <c r="R1235" t="s">
        <v>387</v>
      </c>
      <c r="S1235">
        <v>1.23</v>
      </c>
      <c r="T1235">
        <v>7432</v>
      </c>
      <c r="U1235">
        <v>0</v>
      </c>
      <c r="V1235">
        <v>7432</v>
      </c>
    </row>
    <row r="1236" spans="1:22" x14ac:dyDescent="0.3">
      <c r="A1236">
        <v>148303</v>
      </c>
      <c r="B1236">
        <v>138399741</v>
      </c>
      <c r="C1236" t="s">
        <v>6424</v>
      </c>
      <c r="D1236" t="s">
        <v>6425</v>
      </c>
      <c r="E1236" t="s">
        <v>6398</v>
      </c>
      <c r="F1236" t="s">
        <v>514</v>
      </c>
      <c r="G1236" t="s">
        <v>69</v>
      </c>
      <c r="H1236" t="s">
        <v>70</v>
      </c>
      <c r="I1236" t="s">
        <v>34</v>
      </c>
      <c r="J1236" t="s">
        <v>139</v>
      </c>
      <c r="K1236" t="s">
        <v>41</v>
      </c>
      <c r="L1236" t="s">
        <v>71</v>
      </c>
      <c r="M1236" t="s">
        <v>6426</v>
      </c>
      <c r="N1236" t="s">
        <v>516</v>
      </c>
      <c r="O1236" t="s">
        <v>64</v>
      </c>
      <c r="P1236" t="s">
        <v>6427</v>
      </c>
      <c r="Q1236" t="s">
        <v>227</v>
      </c>
      <c r="R1236" t="s">
        <v>6428</v>
      </c>
      <c r="S1236">
        <v>1.93</v>
      </c>
      <c r="T1236">
        <v>12395</v>
      </c>
      <c r="U1236">
        <v>0</v>
      </c>
      <c r="V1236">
        <v>12395</v>
      </c>
    </row>
    <row r="1237" spans="1:22" x14ac:dyDescent="0.3">
      <c r="A1237">
        <v>148303</v>
      </c>
      <c r="B1237">
        <v>138488988</v>
      </c>
      <c r="C1237" t="s">
        <v>6429</v>
      </c>
      <c r="D1237" t="s">
        <v>6430</v>
      </c>
      <c r="E1237" t="s">
        <v>6398</v>
      </c>
      <c r="F1237" t="s">
        <v>514</v>
      </c>
      <c r="G1237" t="s">
        <v>69</v>
      </c>
      <c r="H1237" t="s">
        <v>70</v>
      </c>
      <c r="I1237" t="s">
        <v>34</v>
      </c>
      <c r="J1237" t="s">
        <v>139</v>
      </c>
      <c r="K1237" t="s">
        <v>41</v>
      </c>
      <c r="L1237" t="s">
        <v>71</v>
      </c>
      <c r="M1237" t="s">
        <v>6431</v>
      </c>
      <c r="N1237" t="s">
        <v>516</v>
      </c>
      <c r="O1237" t="s">
        <v>64</v>
      </c>
      <c r="P1237" t="s">
        <v>6432</v>
      </c>
      <c r="Q1237" t="s">
        <v>47</v>
      </c>
      <c r="R1237" t="s">
        <v>486</v>
      </c>
      <c r="S1237">
        <v>2.89</v>
      </c>
      <c r="T1237">
        <v>9514</v>
      </c>
      <c r="U1237">
        <v>0</v>
      </c>
      <c r="V1237">
        <v>9514</v>
      </c>
    </row>
    <row r="1238" spans="1:22" x14ac:dyDescent="0.3">
      <c r="A1238">
        <v>148303</v>
      </c>
      <c r="B1238">
        <v>138487854</v>
      </c>
      <c r="C1238" t="s">
        <v>6433</v>
      </c>
      <c r="D1238" t="s">
        <v>6434</v>
      </c>
      <c r="E1238" t="s">
        <v>6398</v>
      </c>
      <c r="F1238" t="s">
        <v>514</v>
      </c>
      <c r="G1238" t="s">
        <v>69</v>
      </c>
      <c r="H1238" t="s">
        <v>70</v>
      </c>
      <c r="I1238" t="s">
        <v>34</v>
      </c>
      <c r="J1238" t="s">
        <v>139</v>
      </c>
      <c r="K1238" t="s">
        <v>41</v>
      </c>
      <c r="L1238" t="s">
        <v>71</v>
      </c>
      <c r="M1238" t="s">
        <v>6435</v>
      </c>
      <c r="N1238" t="s">
        <v>516</v>
      </c>
      <c r="O1238" t="s">
        <v>64</v>
      </c>
      <c r="P1238" t="s">
        <v>6436</v>
      </c>
      <c r="Q1238" t="s">
        <v>232</v>
      </c>
      <c r="R1238" t="s">
        <v>315</v>
      </c>
      <c r="S1238">
        <v>2.42</v>
      </c>
      <c r="T1238">
        <v>7619</v>
      </c>
      <c r="U1238">
        <v>0</v>
      </c>
      <c r="V1238">
        <v>7619</v>
      </c>
    </row>
    <row r="1239" spans="1:22" x14ac:dyDescent="0.3">
      <c r="A1239">
        <v>148303</v>
      </c>
      <c r="B1239">
        <v>138412642</v>
      </c>
      <c r="C1239" t="s">
        <v>6437</v>
      </c>
      <c r="D1239" t="s">
        <v>6438</v>
      </c>
      <c r="E1239" t="s">
        <v>6398</v>
      </c>
      <c r="F1239" t="s">
        <v>514</v>
      </c>
      <c r="G1239" t="s">
        <v>69</v>
      </c>
      <c r="H1239" t="s">
        <v>70</v>
      </c>
      <c r="I1239" t="s">
        <v>34</v>
      </c>
      <c r="J1239" t="s">
        <v>139</v>
      </c>
      <c r="K1239" t="s">
        <v>41</v>
      </c>
      <c r="L1239" t="s">
        <v>71</v>
      </c>
      <c r="M1239" t="s">
        <v>6439</v>
      </c>
      <c r="N1239" t="s">
        <v>516</v>
      </c>
      <c r="O1239" t="s">
        <v>64</v>
      </c>
      <c r="P1239" t="s">
        <v>6440</v>
      </c>
      <c r="Q1239" t="s">
        <v>49</v>
      </c>
      <c r="R1239" t="s">
        <v>6441</v>
      </c>
      <c r="S1239">
        <v>1.23</v>
      </c>
      <c r="T1239">
        <v>6636</v>
      </c>
      <c r="U1239">
        <v>0</v>
      </c>
      <c r="V1239">
        <v>6636</v>
      </c>
    </row>
    <row r="1240" spans="1:22" x14ac:dyDescent="0.3">
      <c r="A1240">
        <v>148303</v>
      </c>
      <c r="B1240">
        <v>138248232</v>
      </c>
      <c r="C1240" t="s">
        <v>6442</v>
      </c>
      <c r="D1240" t="s">
        <v>6443</v>
      </c>
      <c r="E1240" t="s">
        <v>6398</v>
      </c>
      <c r="F1240" t="s">
        <v>514</v>
      </c>
      <c r="G1240" t="s">
        <v>69</v>
      </c>
      <c r="H1240" t="s">
        <v>70</v>
      </c>
      <c r="I1240" t="s">
        <v>34</v>
      </c>
      <c r="J1240" t="s">
        <v>139</v>
      </c>
      <c r="K1240" t="s">
        <v>41</v>
      </c>
      <c r="L1240" t="s">
        <v>71</v>
      </c>
      <c r="M1240" t="s">
        <v>6444</v>
      </c>
      <c r="N1240" t="s">
        <v>516</v>
      </c>
      <c r="O1240" t="s">
        <v>64</v>
      </c>
      <c r="P1240" t="s">
        <v>6445</v>
      </c>
      <c r="Q1240" t="s">
        <v>67</v>
      </c>
      <c r="R1240" t="s">
        <v>305</v>
      </c>
      <c r="S1240">
        <v>6.12</v>
      </c>
      <c r="T1240">
        <v>10346</v>
      </c>
      <c r="U1240">
        <v>0</v>
      </c>
      <c r="V1240">
        <v>10346</v>
      </c>
    </row>
    <row r="1241" spans="1:22" x14ac:dyDescent="0.3">
      <c r="A1241">
        <v>148303</v>
      </c>
      <c r="B1241">
        <v>138142383</v>
      </c>
      <c r="C1241" t="s">
        <v>6446</v>
      </c>
      <c r="D1241" t="s">
        <v>6447</v>
      </c>
      <c r="E1241" t="s">
        <v>6398</v>
      </c>
      <c r="F1241" t="s">
        <v>514</v>
      </c>
      <c r="G1241" t="s">
        <v>69</v>
      </c>
      <c r="H1241" t="s">
        <v>70</v>
      </c>
      <c r="I1241" t="s">
        <v>34</v>
      </c>
      <c r="J1241" t="s">
        <v>139</v>
      </c>
      <c r="K1241" t="s">
        <v>41</v>
      </c>
      <c r="L1241" t="s">
        <v>71</v>
      </c>
      <c r="M1241" t="s">
        <v>6448</v>
      </c>
      <c r="N1241" t="s">
        <v>516</v>
      </c>
      <c r="O1241" t="s">
        <v>64</v>
      </c>
      <c r="P1241" t="s">
        <v>6449</v>
      </c>
      <c r="Q1241" t="s">
        <v>102</v>
      </c>
      <c r="R1241" t="s">
        <v>6450</v>
      </c>
      <c r="S1241">
        <v>2.91</v>
      </c>
      <c r="T1241">
        <v>7072</v>
      </c>
      <c r="U1241">
        <v>0</v>
      </c>
      <c r="V1241">
        <v>7072</v>
      </c>
    </row>
    <row r="1242" spans="1:22" x14ac:dyDescent="0.3">
      <c r="A1242">
        <v>148303</v>
      </c>
      <c r="B1242">
        <v>138144555</v>
      </c>
      <c r="C1242" t="s">
        <v>6451</v>
      </c>
      <c r="D1242" t="s">
        <v>6452</v>
      </c>
      <c r="E1242" t="s">
        <v>6398</v>
      </c>
      <c r="F1242" t="s">
        <v>514</v>
      </c>
      <c r="G1242" t="s">
        <v>69</v>
      </c>
      <c r="H1242" t="s">
        <v>70</v>
      </c>
      <c r="I1242" t="s">
        <v>34</v>
      </c>
      <c r="J1242" t="s">
        <v>139</v>
      </c>
      <c r="K1242" t="s">
        <v>41</v>
      </c>
      <c r="L1242" t="s">
        <v>71</v>
      </c>
      <c r="M1242" t="s">
        <v>6453</v>
      </c>
      <c r="N1242" t="s">
        <v>516</v>
      </c>
      <c r="O1242" t="s">
        <v>64</v>
      </c>
      <c r="P1242" t="s">
        <v>6454</v>
      </c>
      <c r="Q1242" t="s">
        <v>68</v>
      </c>
      <c r="R1242" t="s">
        <v>6455</v>
      </c>
      <c r="S1242">
        <v>1.29</v>
      </c>
      <c r="T1242">
        <v>10760</v>
      </c>
      <c r="U1242">
        <v>0</v>
      </c>
      <c r="V1242">
        <v>10760</v>
      </c>
    </row>
    <row r="1243" spans="1:22" x14ac:dyDescent="0.3">
      <c r="A1243">
        <v>148303</v>
      </c>
      <c r="B1243">
        <v>138166409</v>
      </c>
      <c r="C1243" t="s">
        <v>6456</v>
      </c>
      <c r="D1243" t="s">
        <v>6457</v>
      </c>
      <c r="E1243" t="s">
        <v>6398</v>
      </c>
      <c r="F1243" t="s">
        <v>514</v>
      </c>
      <c r="G1243" t="s">
        <v>69</v>
      </c>
      <c r="H1243" t="s">
        <v>70</v>
      </c>
      <c r="I1243" t="s">
        <v>34</v>
      </c>
      <c r="J1243" t="s">
        <v>139</v>
      </c>
      <c r="K1243" t="s">
        <v>41</v>
      </c>
      <c r="L1243" t="s">
        <v>71</v>
      </c>
      <c r="M1243" t="s">
        <v>6458</v>
      </c>
      <c r="N1243" t="s">
        <v>516</v>
      </c>
      <c r="O1243" t="s">
        <v>64</v>
      </c>
      <c r="P1243" t="s">
        <v>6459</v>
      </c>
      <c r="Q1243" t="s">
        <v>177</v>
      </c>
      <c r="R1243" t="s">
        <v>6460</v>
      </c>
      <c r="S1243">
        <v>2.93</v>
      </c>
      <c r="T1243">
        <v>7296</v>
      </c>
      <c r="U1243">
        <v>0</v>
      </c>
      <c r="V1243">
        <v>7296</v>
      </c>
    </row>
    <row r="1244" spans="1:22" x14ac:dyDescent="0.3">
      <c r="A1244">
        <v>148303</v>
      </c>
      <c r="B1244">
        <v>138169599</v>
      </c>
      <c r="C1244" t="s">
        <v>6461</v>
      </c>
      <c r="D1244" t="s">
        <v>6462</v>
      </c>
      <c r="E1244" t="s">
        <v>6398</v>
      </c>
      <c r="F1244" t="s">
        <v>514</v>
      </c>
      <c r="G1244" t="s">
        <v>69</v>
      </c>
      <c r="H1244" t="s">
        <v>70</v>
      </c>
      <c r="I1244" t="s">
        <v>34</v>
      </c>
      <c r="J1244" t="s">
        <v>139</v>
      </c>
      <c r="K1244" t="s">
        <v>41</v>
      </c>
      <c r="L1244" t="s">
        <v>71</v>
      </c>
      <c r="M1244" t="s">
        <v>6463</v>
      </c>
      <c r="N1244" t="s">
        <v>516</v>
      </c>
      <c r="O1244" t="s">
        <v>64</v>
      </c>
      <c r="P1244" t="s">
        <v>6464</v>
      </c>
      <c r="Q1244" t="s">
        <v>112</v>
      </c>
      <c r="R1244" t="s">
        <v>318</v>
      </c>
      <c r="S1244">
        <v>1.59</v>
      </c>
      <c r="T1244">
        <v>7296</v>
      </c>
      <c r="U1244">
        <v>0</v>
      </c>
      <c r="V1244">
        <v>7296</v>
      </c>
    </row>
    <row r="1245" spans="1:22" x14ac:dyDescent="0.3">
      <c r="A1245">
        <v>148303</v>
      </c>
      <c r="B1245">
        <v>138270087</v>
      </c>
      <c r="C1245" t="s">
        <v>6465</v>
      </c>
      <c r="D1245" t="s">
        <v>6466</v>
      </c>
      <c r="E1245" t="s">
        <v>6398</v>
      </c>
      <c r="F1245" t="s">
        <v>514</v>
      </c>
      <c r="G1245" t="s">
        <v>69</v>
      </c>
      <c r="H1245" t="s">
        <v>70</v>
      </c>
      <c r="I1245" t="s">
        <v>34</v>
      </c>
      <c r="J1245" t="s">
        <v>139</v>
      </c>
      <c r="K1245" t="s">
        <v>41</v>
      </c>
      <c r="L1245" t="s">
        <v>71</v>
      </c>
      <c r="M1245" t="s">
        <v>6467</v>
      </c>
      <c r="N1245" t="s">
        <v>516</v>
      </c>
      <c r="O1245" t="s">
        <v>64</v>
      </c>
      <c r="P1245" t="s">
        <v>6468</v>
      </c>
      <c r="Q1245" t="s">
        <v>49</v>
      </c>
      <c r="R1245" t="s">
        <v>417</v>
      </c>
      <c r="S1245">
        <v>0.27</v>
      </c>
      <c r="T1245">
        <v>6203</v>
      </c>
      <c r="U1245">
        <v>0</v>
      </c>
      <c r="V1245">
        <v>6203</v>
      </c>
    </row>
    <row r="1246" spans="1:22" x14ac:dyDescent="0.3">
      <c r="A1246">
        <v>148303</v>
      </c>
      <c r="B1246">
        <v>138212637</v>
      </c>
      <c r="C1246" t="s">
        <v>6469</v>
      </c>
      <c r="D1246" t="s">
        <v>6470</v>
      </c>
      <c r="E1246" t="s">
        <v>6398</v>
      </c>
      <c r="F1246" t="s">
        <v>514</v>
      </c>
      <c r="G1246" t="s">
        <v>69</v>
      </c>
      <c r="H1246" t="s">
        <v>70</v>
      </c>
      <c r="I1246" t="s">
        <v>34</v>
      </c>
      <c r="J1246" t="s">
        <v>139</v>
      </c>
      <c r="K1246" t="s">
        <v>41</v>
      </c>
      <c r="L1246" t="s">
        <v>71</v>
      </c>
      <c r="M1246" t="s">
        <v>6471</v>
      </c>
      <c r="N1246" t="s">
        <v>516</v>
      </c>
      <c r="O1246" t="s">
        <v>64</v>
      </c>
      <c r="P1246" t="s">
        <v>6472</v>
      </c>
      <c r="Q1246" t="s">
        <v>210</v>
      </c>
      <c r="R1246" t="s">
        <v>349</v>
      </c>
      <c r="S1246">
        <v>1.0900000000000001</v>
      </c>
      <c r="T1246">
        <v>6232</v>
      </c>
      <c r="U1246">
        <v>0</v>
      </c>
      <c r="V1246">
        <v>6232</v>
      </c>
    </row>
    <row r="1247" spans="1:22" x14ac:dyDescent="0.3">
      <c r="A1247">
        <v>148303</v>
      </c>
      <c r="B1247">
        <v>138257257</v>
      </c>
      <c r="C1247" t="s">
        <v>6473</v>
      </c>
      <c r="D1247" t="s">
        <v>6474</v>
      </c>
      <c r="E1247" t="s">
        <v>6398</v>
      </c>
      <c r="F1247" t="s">
        <v>514</v>
      </c>
      <c r="G1247" t="s">
        <v>69</v>
      </c>
      <c r="H1247" t="s">
        <v>70</v>
      </c>
      <c r="I1247" t="s">
        <v>34</v>
      </c>
      <c r="J1247" t="s">
        <v>139</v>
      </c>
      <c r="K1247" t="s">
        <v>41</v>
      </c>
      <c r="L1247" t="s">
        <v>71</v>
      </c>
      <c r="M1247" t="s">
        <v>2184</v>
      </c>
      <c r="N1247" t="s">
        <v>516</v>
      </c>
      <c r="O1247" t="s">
        <v>64</v>
      </c>
      <c r="P1247" t="s">
        <v>6475</v>
      </c>
      <c r="Q1247" t="s">
        <v>67</v>
      </c>
      <c r="R1247" t="s">
        <v>1223</v>
      </c>
      <c r="S1247">
        <v>8.5299999999999994</v>
      </c>
      <c r="T1247">
        <v>10346</v>
      </c>
      <c r="U1247">
        <v>0</v>
      </c>
      <c r="V1247">
        <v>10346</v>
      </c>
    </row>
    <row r="1248" spans="1:22" x14ac:dyDescent="0.3">
      <c r="A1248">
        <v>148303</v>
      </c>
      <c r="B1248">
        <v>138309853</v>
      </c>
      <c r="C1248" t="s">
        <v>6476</v>
      </c>
      <c r="D1248" t="s">
        <v>6477</v>
      </c>
      <c r="E1248" t="s">
        <v>6398</v>
      </c>
      <c r="F1248" t="s">
        <v>514</v>
      </c>
      <c r="G1248" t="s">
        <v>69</v>
      </c>
      <c r="H1248" t="s">
        <v>70</v>
      </c>
      <c r="I1248" t="s">
        <v>34</v>
      </c>
      <c r="J1248" t="s">
        <v>139</v>
      </c>
      <c r="K1248" t="s">
        <v>41</v>
      </c>
      <c r="L1248" t="s">
        <v>71</v>
      </c>
      <c r="M1248" t="s">
        <v>6478</v>
      </c>
      <c r="N1248" t="s">
        <v>516</v>
      </c>
      <c r="O1248" t="s">
        <v>64</v>
      </c>
      <c r="P1248" t="s">
        <v>6479</v>
      </c>
      <c r="Q1248" t="s">
        <v>166</v>
      </c>
      <c r="R1248" t="s">
        <v>273</v>
      </c>
      <c r="S1248">
        <v>1.46</v>
      </c>
      <c r="T1248">
        <v>10760</v>
      </c>
      <c r="U1248">
        <v>0</v>
      </c>
      <c r="V1248">
        <v>10760</v>
      </c>
    </row>
    <row r="1249" spans="1:22" x14ac:dyDescent="0.3">
      <c r="A1249">
        <v>148303</v>
      </c>
      <c r="B1249">
        <v>138071183</v>
      </c>
      <c r="C1249" t="s">
        <v>6480</v>
      </c>
      <c r="D1249" t="s">
        <v>6481</v>
      </c>
      <c r="E1249" t="s">
        <v>6398</v>
      </c>
      <c r="F1249" t="s">
        <v>514</v>
      </c>
      <c r="G1249" t="s">
        <v>69</v>
      </c>
      <c r="H1249" t="s">
        <v>70</v>
      </c>
      <c r="I1249" t="s">
        <v>34</v>
      </c>
      <c r="J1249" t="s">
        <v>139</v>
      </c>
      <c r="K1249" t="s">
        <v>41</v>
      </c>
      <c r="L1249" t="s">
        <v>71</v>
      </c>
      <c r="M1249" t="s">
        <v>6482</v>
      </c>
      <c r="N1249" t="s">
        <v>516</v>
      </c>
      <c r="O1249" t="s">
        <v>64</v>
      </c>
      <c r="P1249" t="s">
        <v>6483</v>
      </c>
      <c r="Q1249" t="s">
        <v>68</v>
      </c>
      <c r="R1249" t="s">
        <v>6484</v>
      </c>
      <c r="S1249">
        <v>1.1399999999999999</v>
      </c>
      <c r="T1249">
        <v>10760</v>
      </c>
      <c r="U1249">
        <v>0</v>
      </c>
      <c r="V1249">
        <v>10760</v>
      </c>
    </row>
    <row r="1250" spans="1:22" x14ac:dyDescent="0.3">
      <c r="A1250">
        <v>148303</v>
      </c>
      <c r="B1250">
        <v>137972287</v>
      </c>
      <c r="C1250" t="s">
        <v>6485</v>
      </c>
      <c r="D1250" t="s">
        <v>6486</v>
      </c>
      <c r="E1250" t="s">
        <v>6398</v>
      </c>
      <c r="F1250" t="s">
        <v>514</v>
      </c>
      <c r="G1250" t="s">
        <v>69</v>
      </c>
      <c r="H1250" t="s">
        <v>70</v>
      </c>
      <c r="I1250" t="s">
        <v>34</v>
      </c>
      <c r="J1250" t="s">
        <v>139</v>
      </c>
      <c r="K1250" t="s">
        <v>41</v>
      </c>
      <c r="L1250" t="s">
        <v>71</v>
      </c>
      <c r="M1250" t="s">
        <v>154</v>
      </c>
      <c r="N1250" t="s">
        <v>516</v>
      </c>
      <c r="O1250" t="s">
        <v>64</v>
      </c>
      <c r="P1250" t="s">
        <v>6487</v>
      </c>
      <c r="Q1250" t="s">
        <v>56</v>
      </c>
      <c r="R1250" t="s">
        <v>6488</v>
      </c>
      <c r="S1250">
        <v>1.54</v>
      </c>
      <c r="T1250">
        <v>8263</v>
      </c>
      <c r="U1250">
        <v>0</v>
      </c>
      <c r="V1250">
        <v>8263</v>
      </c>
    </row>
    <row r="1251" spans="1:22" x14ac:dyDescent="0.3">
      <c r="A1251">
        <v>148303</v>
      </c>
      <c r="B1251">
        <v>137963256</v>
      </c>
      <c r="C1251" t="s">
        <v>6489</v>
      </c>
      <c r="D1251" t="s">
        <v>6490</v>
      </c>
      <c r="E1251" t="s">
        <v>6398</v>
      </c>
      <c r="F1251" t="s">
        <v>514</v>
      </c>
      <c r="G1251" t="s">
        <v>69</v>
      </c>
      <c r="H1251" t="s">
        <v>70</v>
      </c>
      <c r="I1251" t="s">
        <v>34</v>
      </c>
      <c r="J1251" t="s">
        <v>139</v>
      </c>
      <c r="K1251" t="s">
        <v>41</v>
      </c>
      <c r="L1251" t="s">
        <v>71</v>
      </c>
      <c r="M1251" t="s">
        <v>6491</v>
      </c>
      <c r="N1251" t="s">
        <v>516</v>
      </c>
      <c r="O1251" t="s">
        <v>64</v>
      </c>
      <c r="P1251" t="s">
        <v>6492</v>
      </c>
      <c r="Q1251" t="s">
        <v>174</v>
      </c>
      <c r="R1251" t="s">
        <v>6493</v>
      </c>
      <c r="S1251">
        <v>1.52</v>
      </c>
      <c r="T1251">
        <v>4335</v>
      </c>
      <c r="U1251">
        <v>0</v>
      </c>
      <c r="V1251">
        <v>4335</v>
      </c>
    </row>
    <row r="1252" spans="1:22" x14ac:dyDescent="0.3">
      <c r="A1252">
        <v>148303</v>
      </c>
      <c r="B1252">
        <v>137963007</v>
      </c>
      <c r="C1252" t="s">
        <v>6494</v>
      </c>
      <c r="D1252" t="s">
        <v>6495</v>
      </c>
      <c r="E1252" t="s">
        <v>6398</v>
      </c>
      <c r="F1252" t="s">
        <v>514</v>
      </c>
      <c r="G1252" t="s">
        <v>69</v>
      </c>
      <c r="H1252" t="s">
        <v>70</v>
      </c>
      <c r="I1252" t="s">
        <v>34</v>
      </c>
      <c r="J1252" t="s">
        <v>139</v>
      </c>
      <c r="K1252" t="s">
        <v>41</v>
      </c>
      <c r="L1252" t="s">
        <v>71</v>
      </c>
      <c r="M1252" t="s">
        <v>6496</v>
      </c>
      <c r="N1252" t="s">
        <v>516</v>
      </c>
      <c r="O1252" t="s">
        <v>64</v>
      </c>
      <c r="P1252" t="s">
        <v>6497</v>
      </c>
      <c r="Q1252" t="s">
        <v>203</v>
      </c>
      <c r="R1252" t="s">
        <v>6498</v>
      </c>
      <c r="S1252">
        <v>2.88</v>
      </c>
      <c r="T1252">
        <v>14533</v>
      </c>
      <c r="U1252">
        <v>0</v>
      </c>
      <c r="V1252">
        <v>14533</v>
      </c>
    </row>
    <row r="1253" spans="1:22" x14ac:dyDescent="0.3">
      <c r="A1253">
        <v>148303</v>
      </c>
      <c r="B1253">
        <v>138042185</v>
      </c>
      <c r="C1253" t="s">
        <v>6499</v>
      </c>
      <c r="D1253" t="s">
        <v>6500</v>
      </c>
      <c r="E1253" t="s">
        <v>6398</v>
      </c>
      <c r="F1253" t="s">
        <v>514</v>
      </c>
      <c r="G1253" t="s">
        <v>69</v>
      </c>
      <c r="H1253" t="s">
        <v>70</v>
      </c>
      <c r="I1253" t="s">
        <v>34</v>
      </c>
      <c r="J1253" t="s">
        <v>139</v>
      </c>
      <c r="K1253" t="s">
        <v>41</v>
      </c>
      <c r="L1253" t="s">
        <v>71</v>
      </c>
      <c r="M1253" t="s">
        <v>6501</v>
      </c>
      <c r="N1253" t="s">
        <v>516</v>
      </c>
      <c r="O1253" t="s">
        <v>64</v>
      </c>
      <c r="P1253" t="s">
        <v>6502</v>
      </c>
      <c r="Q1253" t="s">
        <v>56</v>
      </c>
      <c r="R1253" t="s">
        <v>6503</v>
      </c>
      <c r="S1253">
        <v>1.28</v>
      </c>
      <c r="T1253">
        <v>7432</v>
      </c>
      <c r="U1253">
        <v>0</v>
      </c>
      <c r="V1253">
        <v>7432</v>
      </c>
    </row>
    <row r="1254" spans="1:22" x14ac:dyDescent="0.3">
      <c r="A1254">
        <v>148303</v>
      </c>
      <c r="B1254">
        <v>135820388</v>
      </c>
      <c r="C1254" t="s">
        <v>6504</v>
      </c>
      <c r="D1254" t="s">
        <v>6505</v>
      </c>
      <c r="E1254" t="s">
        <v>6398</v>
      </c>
      <c r="F1254" t="s">
        <v>514</v>
      </c>
      <c r="G1254" t="s">
        <v>69</v>
      </c>
      <c r="H1254" t="s">
        <v>70</v>
      </c>
      <c r="I1254" t="s">
        <v>34</v>
      </c>
      <c r="J1254" t="s">
        <v>139</v>
      </c>
      <c r="K1254" t="s">
        <v>41</v>
      </c>
      <c r="L1254" t="s">
        <v>71</v>
      </c>
      <c r="M1254" t="s">
        <v>6506</v>
      </c>
      <c r="N1254" t="s">
        <v>516</v>
      </c>
      <c r="O1254" t="s">
        <v>64</v>
      </c>
      <c r="P1254" t="s">
        <v>6507</v>
      </c>
      <c r="Q1254" t="s">
        <v>67</v>
      </c>
      <c r="R1254" t="s">
        <v>6508</v>
      </c>
      <c r="S1254">
        <v>2.76</v>
      </c>
      <c r="T1254">
        <v>8425</v>
      </c>
      <c r="U1254">
        <v>0</v>
      </c>
      <c r="V1254">
        <v>8425</v>
      </c>
    </row>
    <row r="1255" spans="1:22" x14ac:dyDescent="0.3">
      <c r="A1255">
        <v>148303</v>
      </c>
      <c r="B1255">
        <v>138056761</v>
      </c>
      <c r="C1255" t="s">
        <v>6509</v>
      </c>
      <c r="D1255" t="s">
        <v>6510</v>
      </c>
      <c r="E1255" t="s">
        <v>6398</v>
      </c>
      <c r="F1255" t="s">
        <v>514</v>
      </c>
      <c r="G1255" t="s">
        <v>69</v>
      </c>
      <c r="H1255" t="s">
        <v>70</v>
      </c>
      <c r="I1255" t="s">
        <v>34</v>
      </c>
      <c r="J1255" t="s">
        <v>139</v>
      </c>
      <c r="K1255" t="s">
        <v>41</v>
      </c>
      <c r="L1255" t="s">
        <v>71</v>
      </c>
      <c r="M1255" t="s">
        <v>6511</v>
      </c>
      <c r="N1255" t="s">
        <v>516</v>
      </c>
      <c r="O1255" t="s">
        <v>64</v>
      </c>
      <c r="P1255" t="s">
        <v>6512</v>
      </c>
      <c r="Q1255" t="s">
        <v>251</v>
      </c>
      <c r="R1255" t="s">
        <v>6513</v>
      </c>
      <c r="S1255">
        <v>1.2</v>
      </c>
      <c r="T1255">
        <v>11146</v>
      </c>
      <c r="U1255">
        <v>0</v>
      </c>
      <c r="V1255">
        <v>11146</v>
      </c>
    </row>
    <row r="1256" spans="1:22" x14ac:dyDescent="0.3">
      <c r="A1256">
        <v>148303</v>
      </c>
      <c r="B1256">
        <v>137960028</v>
      </c>
      <c r="C1256" t="s">
        <v>6514</v>
      </c>
      <c r="D1256" t="s">
        <v>6515</v>
      </c>
      <c r="E1256" t="s">
        <v>6398</v>
      </c>
      <c r="F1256" t="s">
        <v>514</v>
      </c>
      <c r="G1256" t="s">
        <v>69</v>
      </c>
      <c r="H1256" t="s">
        <v>70</v>
      </c>
      <c r="I1256" t="s">
        <v>34</v>
      </c>
      <c r="J1256" t="s">
        <v>139</v>
      </c>
      <c r="K1256" t="s">
        <v>41</v>
      </c>
      <c r="L1256" t="s">
        <v>71</v>
      </c>
      <c r="M1256" t="s">
        <v>6417</v>
      </c>
      <c r="N1256" t="s">
        <v>516</v>
      </c>
      <c r="O1256" t="s">
        <v>64</v>
      </c>
      <c r="P1256" t="s">
        <v>6516</v>
      </c>
      <c r="Q1256" t="s">
        <v>240</v>
      </c>
      <c r="R1256" t="s">
        <v>6517</v>
      </c>
      <c r="S1256">
        <v>2.1800000000000002</v>
      </c>
      <c r="T1256">
        <v>12638</v>
      </c>
      <c r="U1256">
        <v>0</v>
      </c>
      <c r="V1256">
        <v>12638</v>
      </c>
    </row>
    <row r="1257" spans="1:22" x14ac:dyDescent="0.3">
      <c r="A1257">
        <v>148303</v>
      </c>
      <c r="B1257">
        <v>137609325</v>
      </c>
      <c r="C1257" t="s">
        <v>6518</v>
      </c>
      <c r="D1257" t="s">
        <v>6519</v>
      </c>
      <c r="E1257" t="s">
        <v>6398</v>
      </c>
      <c r="F1257" t="s">
        <v>514</v>
      </c>
      <c r="G1257" t="s">
        <v>69</v>
      </c>
      <c r="H1257" t="s">
        <v>70</v>
      </c>
      <c r="I1257" t="s">
        <v>34</v>
      </c>
      <c r="J1257" t="s">
        <v>139</v>
      </c>
      <c r="K1257" t="s">
        <v>41</v>
      </c>
      <c r="L1257" t="s">
        <v>71</v>
      </c>
      <c r="M1257" t="s">
        <v>6520</v>
      </c>
      <c r="N1257" t="s">
        <v>516</v>
      </c>
      <c r="O1257" t="s">
        <v>64</v>
      </c>
      <c r="P1257" t="s">
        <v>6521</v>
      </c>
      <c r="Q1257" t="s">
        <v>74</v>
      </c>
      <c r="R1257" t="s">
        <v>6522</v>
      </c>
      <c r="S1257">
        <v>1.66</v>
      </c>
      <c r="T1257">
        <v>7370</v>
      </c>
      <c r="U1257">
        <v>0</v>
      </c>
      <c r="V1257">
        <v>7370</v>
      </c>
    </row>
    <row r="1258" spans="1:22" x14ac:dyDescent="0.3">
      <c r="A1258">
        <v>148303</v>
      </c>
      <c r="B1258">
        <v>137718949</v>
      </c>
      <c r="C1258" t="s">
        <v>6523</v>
      </c>
      <c r="D1258" t="s">
        <v>6524</v>
      </c>
      <c r="E1258" t="s">
        <v>6398</v>
      </c>
      <c r="F1258" t="s">
        <v>514</v>
      </c>
      <c r="G1258" t="s">
        <v>69</v>
      </c>
      <c r="H1258" t="s">
        <v>70</v>
      </c>
      <c r="I1258" t="s">
        <v>34</v>
      </c>
      <c r="J1258" t="s">
        <v>139</v>
      </c>
      <c r="K1258" t="s">
        <v>41</v>
      </c>
      <c r="L1258" t="s">
        <v>71</v>
      </c>
      <c r="M1258" t="s">
        <v>6525</v>
      </c>
      <c r="N1258" t="s">
        <v>516</v>
      </c>
      <c r="O1258" t="s">
        <v>64</v>
      </c>
      <c r="P1258" t="s">
        <v>6526</v>
      </c>
      <c r="Q1258" t="s">
        <v>62</v>
      </c>
      <c r="R1258" t="s">
        <v>6527</v>
      </c>
      <c r="S1258">
        <v>1.79</v>
      </c>
      <c r="T1258">
        <v>8425</v>
      </c>
      <c r="U1258">
        <v>0</v>
      </c>
      <c r="V1258">
        <v>8425</v>
      </c>
    </row>
    <row r="1259" spans="1:22" x14ac:dyDescent="0.3">
      <c r="A1259">
        <v>148303</v>
      </c>
      <c r="B1259">
        <v>137614070</v>
      </c>
      <c r="C1259" t="s">
        <v>6528</v>
      </c>
      <c r="D1259" t="s">
        <v>6529</v>
      </c>
      <c r="E1259" t="s">
        <v>6398</v>
      </c>
      <c r="F1259" t="s">
        <v>514</v>
      </c>
      <c r="G1259" t="s">
        <v>69</v>
      </c>
      <c r="H1259" t="s">
        <v>70</v>
      </c>
      <c r="I1259" t="s">
        <v>34</v>
      </c>
      <c r="J1259" t="s">
        <v>139</v>
      </c>
      <c r="K1259" t="s">
        <v>41</v>
      </c>
      <c r="L1259" t="s">
        <v>71</v>
      </c>
      <c r="M1259" t="s">
        <v>6530</v>
      </c>
      <c r="N1259" t="s">
        <v>516</v>
      </c>
      <c r="O1259" t="s">
        <v>64</v>
      </c>
      <c r="P1259" t="s">
        <v>6531</v>
      </c>
      <c r="Q1259" t="s">
        <v>50</v>
      </c>
      <c r="R1259" t="s">
        <v>6532</v>
      </c>
      <c r="S1259">
        <v>2.5099999999999998</v>
      </c>
      <c r="T1259">
        <v>9317</v>
      </c>
      <c r="U1259">
        <v>0</v>
      </c>
      <c r="V1259">
        <v>9317</v>
      </c>
    </row>
    <row r="1260" spans="1:22" x14ac:dyDescent="0.3">
      <c r="A1260">
        <v>148303</v>
      </c>
      <c r="B1260">
        <v>137701616</v>
      </c>
      <c r="C1260" t="s">
        <v>6533</v>
      </c>
      <c r="D1260" t="s">
        <v>6534</v>
      </c>
      <c r="E1260" t="s">
        <v>6398</v>
      </c>
      <c r="F1260" t="s">
        <v>514</v>
      </c>
      <c r="G1260" t="s">
        <v>69</v>
      </c>
      <c r="H1260" t="s">
        <v>70</v>
      </c>
      <c r="I1260" t="s">
        <v>34</v>
      </c>
      <c r="J1260" t="s">
        <v>139</v>
      </c>
      <c r="K1260" t="s">
        <v>41</v>
      </c>
      <c r="L1260" t="s">
        <v>71</v>
      </c>
      <c r="M1260" t="s">
        <v>6535</v>
      </c>
      <c r="N1260" t="s">
        <v>516</v>
      </c>
      <c r="O1260" t="s">
        <v>64</v>
      </c>
      <c r="P1260" t="s">
        <v>6536</v>
      </c>
      <c r="Q1260" t="s">
        <v>130</v>
      </c>
      <c r="R1260" t="s">
        <v>6537</v>
      </c>
      <c r="S1260">
        <v>0.1</v>
      </c>
      <c r="T1260">
        <v>6960</v>
      </c>
      <c r="U1260">
        <v>0</v>
      </c>
      <c r="V1260">
        <v>6960</v>
      </c>
    </row>
    <row r="1261" spans="1:22" x14ac:dyDescent="0.3">
      <c r="A1261">
        <v>148303</v>
      </c>
      <c r="B1261">
        <v>137607651</v>
      </c>
      <c r="C1261" t="s">
        <v>6538</v>
      </c>
      <c r="D1261" t="s">
        <v>6539</v>
      </c>
      <c r="E1261" t="s">
        <v>6398</v>
      </c>
      <c r="F1261" t="s">
        <v>514</v>
      </c>
      <c r="G1261" t="s">
        <v>69</v>
      </c>
      <c r="H1261" t="s">
        <v>70</v>
      </c>
      <c r="I1261" t="s">
        <v>34</v>
      </c>
      <c r="J1261" t="s">
        <v>139</v>
      </c>
      <c r="K1261" t="s">
        <v>41</v>
      </c>
      <c r="L1261" t="s">
        <v>71</v>
      </c>
      <c r="M1261" t="s">
        <v>6540</v>
      </c>
      <c r="N1261" t="s">
        <v>516</v>
      </c>
      <c r="O1261" t="s">
        <v>64</v>
      </c>
      <c r="P1261" t="s">
        <v>6541</v>
      </c>
      <c r="Q1261" t="s">
        <v>83</v>
      </c>
      <c r="R1261" t="s">
        <v>6542</v>
      </c>
      <c r="S1261">
        <v>2.3199999999999998</v>
      </c>
      <c r="T1261">
        <v>4168</v>
      </c>
      <c r="U1261">
        <v>0</v>
      </c>
      <c r="V1261">
        <v>4168</v>
      </c>
    </row>
    <row r="1262" spans="1:22" x14ac:dyDescent="0.3">
      <c r="A1262">
        <v>186607</v>
      </c>
      <c r="B1262">
        <v>136328563</v>
      </c>
      <c r="C1262" t="s">
        <v>6543</v>
      </c>
      <c r="D1262" t="s">
        <v>6544</v>
      </c>
      <c r="E1262" t="s">
        <v>6545</v>
      </c>
      <c r="F1262" t="s">
        <v>514</v>
      </c>
      <c r="G1262" t="s">
        <v>43</v>
      </c>
      <c r="H1262" t="s">
        <v>44</v>
      </c>
      <c r="I1262" t="s">
        <v>34</v>
      </c>
      <c r="J1262" t="s">
        <v>45</v>
      </c>
      <c r="K1262" t="s">
        <v>152</v>
      </c>
      <c r="L1262" t="s">
        <v>379</v>
      </c>
      <c r="M1262" t="s">
        <v>6546</v>
      </c>
      <c r="N1262" t="s">
        <v>6547</v>
      </c>
      <c r="O1262" t="s">
        <v>80</v>
      </c>
      <c r="P1262" t="s">
        <v>6548</v>
      </c>
      <c r="Q1262" t="s">
        <v>215</v>
      </c>
      <c r="R1262" t="s">
        <v>6549</v>
      </c>
      <c r="S1262">
        <v>1</v>
      </c>
      <c r="T1262">
        <v>14401.26</v>
      </c>
      <c r="U1262">
        <v>0</v>
      </c>
      <c r="V1262">
        <v>14401.26</v>
      </c>
    </row>
    <row r="1263" spans="1:22" x14ac:dyDescent="0.3">
      <c r="A1263">
        <v>186607</v>
      </c>
      <c r="B1263">
        <v>138586896</v>
      </c>
      <c r="C1263" t="s">
        <v>6550</v>
      </c>
      <c r="D1263" t="s">
        <v>6551</v>
      </c>
      <c r="E1263" t="s">
        <v>6545</v>
      </c>
      <c r="F1263" t="s">
        <v>514</v>
      </c>
      <c r="G1263" t="s">
        <v>43</v>
      </c>
      <c r="H1263" t="s">
        <v>44</v>
      </c>
      <c r="I1263" t="s">
        <v>34</v>
      </c>
      <c r="J1263" t="s">
        <v>45</v>
      </c>
      <c r="K1263" t="s">
        <v>41</v>
      </c>
      <c r="L1263" t="s">
        <v>6552</v>
      </c>
      <c r="M1263" t="s">
        <v>6553</v>
      </c>
      <c r="N1263" t="s">
        <v>6547</v>
      </c>
      <c r="O1263" t="s">
        <v>80</v>
      </c>
      <c r="P1263" t="s">
        <v>6554</v>
      </c>
      <c r="Q1263" t="s">
        <v>48</v>
      </c>
      <c r="R1263" t="s">
        <v>384</v>
      </c>
      <c r="S1263">
        <v>0.5</v>
      </c>
      <c r="T1263">
        <v>3828</v>
      </c>
      <c r="U1263">
        <v>0</v>
      </c>
      <c r="V1263">
        <v>3828</v>
      </c>
    </row>
    <row r="1264" spans="1:22" x14ac:dyDescent="0.3">
      <c r="A1264">
        <v>186607</v>
      </c>
      <c r="B1264">
        <v>138586889</v>
      </c>
      <c r="C1264" t="s">
        <v>6555</v>
      </c>
      <c r="D1264" t="s">
        <v>6556</v>
      </c>
      <c r="E1264" t="s">
        <v>6545</v>
      </c>
      <c r="F1264" t="s">
        <v>514</v>
      </c>
      <c r="G1264" t="s">
        <v>43</v>
      </c>
      <c r="H1264" t="s">
        <v>44</v>
      </c>
      <c r="I1264" t="s">
        <v>34</v>
      </c>
      <c r="J1264" t="s">
        <v>45</v>
      </c>
      <c r="K1264" t="s">
        <v>41</v>
      </c>
      <c r="L1264" t="s">
        <v>6557</v>
      </c>
      <c r="M1264" t="s">
        <v>6558</v>
      </c>
      <c r="N1264" t="s">
        <v>6547</v>
      </c>
      <c r="O1264" t="s">
        <v>80</v>
      </c>
      <c r="P1264" t="s">
        <v>6559</v>
      </c>
      <c r="Q1264" t="s">
        <v>48</v>
      </c>
      <c r="R1264" t="s">
        <v>384</v>
      </c>
      <c r="S1264">
        <v>1</v>
      </c>
      <c r="T1264">
        <v>4230</v>
      </c>
      <c r="U1264">
        <v>0</v>
      </c>
      <c r="V1264">
        <v>4230</v>
      </c>
    </row>
    <row r="1265" spans="1:22" x14ac:dyDescent="0.3">
      <c r="A1265">
        <v>186607</v>
      </c>
      <c r="B1265">
        <v>138586897</v>
      </c>
      <c r="C1265" t="s">
        <v>6560</v>
      </c>
      <c r="D1265" t="s">
        <v>6561</v>
      </c>
      <c r="E1265" t="s">
        <v>6545</v>
      </c>
      <c r="F1265" t="s">
        <v>514</v>
      </c>
      <c r="G1265" t="s">
        <v>43</v>
      </c>
      <c r="H1265" t="s">
        <v>44</v>
      </c>
      <c r="I1265" t="s">
        <v>34</v>
      </c>
      <c r="J1265" t="s">
        <v>45</v>
      </c>
      <c r="K1265" t="s">
        <v>41</v>
      </c>
      <c r="L1265" t="s">
        <v>6562</v>
      </c>
      <c r="M1265" t="s">
        <v>6563</v>
      </c>
      <c r="N1265" t="s">
        <v>6547</v>
      </c>
      <c r="O1265" t="s">
        <v>80</v>
      </c>
      <c r="P1265" t="s">
        <v>6564</v>
      </c>
      <c r="Q1265" t="s">
        <v>62</v>
      </c>
      <c r="R1265" t="s">
        <v>384</v>
      </c>
      <c r="S1265">
        <v>0.5</v>
      </c>
      <c r="T1265">
        <v>3587</v>
      </c>
      <c r="U1265">
        <v>0</v>
      </c>
      <c r="V1265">
        <v>3587</v>
      </c>
    </row>
    <row r="1266" spans="1:22" x14ac:dyDescent="0.3">
      <c r="A1266">
        <v>186607</v>
      </c>
      <c r="B1266">
        <v>138586886</v>
      </c>
      <c r="C1266" t="s">
        <v>6565</v>
      </c>
      <c r="D1266" t="s">
        <v>6566</v>
      </c>
      <c r="E1266" t="s">
        <v>6545</v>
      </c>
      <c r="F1266" t="s">
        <v>514</v>
      </c>
      <c r="G1266" t="s">
        <v>43</v>
      </c>
      <c r="H1266" t="s">
        <v>44</v>
      </c>
      <c r="I1266" t="s">
        <v>34</v>
      </c>
      <c r="J1266" t="s">
        <v>45</v>
      </c>
      <c r="K1266" t="s">
        <v>41</v>
      </c>
      <c r="L1266" t="s">
        <v>6567</v>
      </c>
      <c r="M1266" t="s">
        <v>6568</v>
      </c>
      <c r="N1266" t="s">
        <v>6547</v>
      </c>
      <c r="O1266" t="s">
        <v>80</v>
      </c>
      <c r="P1266" t="s">
        <v>6569</v>
      </c>
      <c r="Q1266" t="s">
        <v>47</v>
      </c>
      <c r="R1266" t="s">
        <v>384</v>
      </c>
      <c r="S1266">
        <v>0.5</v>
      </c>
      <c r="T1266">
        <v>3828</v>
      </c>
      <c r="U1266">
        <v>0</v>
      </c>
      <c r="V1266">
        <v>3828</v>
      </c>
    </row>
    <row r="1267" spans="1:22" x14ac:dyDescent="0.3">
      <c r="A1267">
        <v>186607</v>
      </c>
      <c r="B1267">
        <v>138586881</v>
      </c>
      <c r="C1267" t="s">
        <v>6570</v>
      </c>
      <c r="D1267" t="s">
        <v>6571</v>
      </c>
      <c r="E1267" t="s">
        <v>6545</v>
      </c>
      <c r="F1267" t="s">
        <v>514</v>
      </c>
      <c r="G1267" t="s">
        <v>43</v>
      </c>
      <c r="H1267" t="s">
        <v>44</v>
      </c>
      <c r="I1267" t="s">
        <v>34</v>
      </c>
      <c r="J1267" t="s">
        <v>45</v>
      </c>
      <c r="K1267" t="s">
        <v>41</v>
      </c>
      <c r="L1267" t="s">
        <v>6572</v>
      </c>
      <c r="M1267" t="s">
        <v>119</v>
      </c>
      <c r="N1267" t="s">
        <v>6547</v>
      </c>
      <c r="O1267" t="s">
        <v>80</v>
      </c>
      <c r="P1267" t="s">
        <v>6573</v>
      </c>
      <c r="Q1267" t="s">
        <v>144</v>
      </c>
      <c r="R1267" t="s">
        <v>384</v>
      </c>
      <c r="S1267">
        <v>0.5</v>
      </c>
      <c r="T1267">
        <v>3828</v>
      </c>
      <c r="U1267">
        <v>0</v>
      </c>
      <c r="V1267">
        <v>3828</v>
      </c>
    </row>
    <row r="1268" spans="1:22" x14ac:dyDescent="0.3">
      <c r="A1268">
        <v>186607</v>
      </c>
      <c r="B1268">
        <v>138554567</v>
      </c>
      <c r="C1268" t="s">
        <v>6574</v>
      </c>
      <c r="D1268" t="s">
        <v>6575</v>
      </c>
      <c r="E1268" t="s">
        <v>6545</v>
      </c>
      <c r="F1268" t="s">
        <v>514</v>
      </c>
      <c r="G1268" t="s">
        <v>43</v>
      </c>
      <c r="H1268" t="s">
        <v>44</v>
      </c>
      <c r="I1268" t="s">
        <v>34</v>
      </c>
      <c r="J1268" t="s">
        <v>45</v>
      </c>
      <c r="K1268" t="s">
        <v>41</v>
      </c>
      <c r="L1268" t="s">
        <v>6576</v>
      </c>
      <c r="M1268" t="s">
        <v>6577</v>
      </c>
      <c r="N1268" t="s">
        <v>6547</v>
      </c>
      <c r="O1268" t="s">
        <v>80</v>
      </c>
      <c r="P1268" t="s">
        <v>6578</v>
      </c>
      <c r="Q1268" t="s">
        <v>98</v>
      </c>
      <c r="R1268" t="s">
        <v>362</v>
      </c>
      <c r="S1268">
        <v>3</v>
      </c>
      <c r="T1268">
        <v>5990</v>
      </c>
      <c r="U1268">
        <v>0</v>
      </c>
      <c r="V1268">
        <v>5990</v>
      </c>
    </row>
    <row r="1269" spans="1:22" x14ac:dyDescent="0.3">
      <c r="A1269">
        <v>186607</v>
      </c>
      <c r="B1269">
        <v>138554582</v>
      </c>
      <c r="C1269" t="s">
        <v>6579</v>
      </c>
      <c r="D1269" t="s">
        <v>6580</v>
      </c>
      <c r="E1269" t="s">
        <v>6545</v>
      </c>
      <c r="F1269" t="s">
        <v>514</v>
      </c>
      <c r="G1269" t="s">
        <v>43</v>
      </c>
      <c r="H1269" t="s">
        <v>44</v>
      </c>
      <c r="I1269" t="s">
        <v>34</v>
      </c>
      <c r="J1269" t="s">
        <v>45</v>
      </c>
      <c r="K1269" t="s">
        <v>41</v>
      </c>
      <c r="L1269" t="s">
        <v>6581</v>
      </c>
      <c r="M1269" t="s">
        <v>6582</v>
      </c>
      <c r="N1269" t="s">
        <v>6547</v>
      </c>
      <c r="O1269" t="s">
        <v>80</v>
      </c>
      <c r="P1269" t="s">
        <v>6583</v>
      </c>
      <c r="Q1269" t="s">
        <v>82</v>
      </c>
      <c r="R1269" t="s">
        <v>362</v>
      </c>
      <c r="S1269">
        <v>2.78</v>
      </c>
      <c r="T1269">
        <v>5990</v>
      </c>
      <c r="U1269">
        <v>0</v>
      </c>
      <c r="V1269">
        <v>5990</v>
      </c>
    </row>
    <row r="1270" spans="1:22" x14ac:dyDescent="0.3">
      <c r="A1270">
        <v>186607</v>
      </c>
      <c r="B1270">
        <v>138586890</v>
      </c>
      <c r="C1270" t="s">
        <v>6584</v>
      </c>
      <c r="D1270" t="s">
        <v>6585</v>
      </c>
      <c r="E1270" t="s">
        <v>6545</v>
      </c>
      <c r="F1270" t="s">
        <v>514</v>
      </c>
      <c r="G1270" t="s">
        <v>43</v>
      </c>
      <c r="H1270" t="s">
        <v>44</v>
      </c>
      <c r="I1270" t="s">
        <v>34</v>
      </c>
      <c r="J1270" t="s">
        <v>45</v>
      </c>
      <c r="K1270" t="s">
        <v>41</v>
      </c>
      <c r="L1270" t="s">
        <v>6586</v>
      </c>
      <c r="M1270" t="s">
        <v>6587</v>
      </c>
      <c r="N1270" t="s">
        <v>6547</v>
      </c>
      <c r="O1270" t="s">
        <v>80</v>
      </c>
      <c r="P1270" t="s">
        <v>6588</v>
      </c>
      <c r="Q1270" t="s">
        <v>118</v>
      </c>
      <c r="R1270" t="s">
        <v>384</v>
      </c>
      <c r="S1270">
        <v>0.5</v>
      </c>
      <c r="T1270">
        <v>3828</v>
      </c>
      <c r="U1270">
        <v>0</v>
      </c>
      <c r="V1270">
        <v>3828</v>
      </c>
    </row>
    <row r="1271" spans="1:22" x14ac:dyDescent="0.3">
      <c r="A1271">
        <v>186607</v>
      </c>
      <c r="B1271">
        <v>138554580</v>
      </c>
      <c r="C1271" t="s">
        <v>6589</v>
      </c>
      <c r="D1271" t="s">
        <v>6590</v>
      </c>
      <c r="E1271" t="s">
        <v>6545</v>
      </c>
      <c r="F1271" t="s">
        <v>514</v>
      </c>
      <c r="G1271" t="s">
        <v>43</v>
      </c>
      <c r="H1271" t="s">
        <v>44</v>
      </c>
      <c r="I1271" t="s">
        <v>34</v>
      </c>
      <c r="J1271" t="s">
        <v>45</v>
      </c>
      <c r="K1271" t="s">
        <v>41</v>
      </c>
      <c r="L1271" t="s">
        <v>6591</v>
      </c>
      <c r="M1271" t="s">
        <v>6592</v>
      </c>
      <c r="N1271" t="s">
        <v>6547</v>
      </c>
      <c r="O1271" t="s">
        <v>80</v>
      </c>
      <c r="P1271" t="s">
        <v>6593</v>
      </c>
      <c r="Q1271" t="s">
        <v>50</v>
      </c>
      <c r="R1271" t="s">
        <v>362</v>
      </c>
      <c r="S1271">
        <v>1.8</v>
      </c>
      <c r="T1271">
        <v>5406</v>
      </c>
      <c r="U1271">
        <v>0</v>
      </c>
      <c r="V1271">
        <v>5406</v>
      </c>
    </row>
    <row r="1272" spans="1:22" x14ac:dyDescent="0.3">
      <c r="A1272">
        <v>186607</v>
      </c>
      <c r="B1272">
        <v>138498378</v>
      </c>
      <c r="C1272" t="s">
        <v>6594</v>
      </c>
      <c r="D1272" t="s">
        <v>6595</v>
      </c>
      <c r="E1272" t="s">
        <v>6545</v>
      </c>
      <c r="F1272" t="s">
        <v>514</v>
      </c>
      <c r="G1272" t="s">
        <v>43</v>
      </c>
      <c r="H1272" t="s">
        <v>44</v>
      </c>
      <c r="I1272" t="s">
        <v>34</v>
      </c>
      <c r="J1272" t="s">
        <v>45</v>
      </c>
      <c r="K1272" t="s">
        <v>41</v>
      </c>
      <c r="L1272" t="s">
        <v>6596</v>
      </c>
      <c r="M1272" t="s">
        <v>6597</v>
      </c>
      <c r="N1272" t="s">
        <v>6547</v>
      </c>
      <c r="O1272" t="s">
        <v>80</v>
      </c>
      <c r="P1272" t="s">
        <v>6598</v>
      </c>
      <c r="Q1272" t="s">
        <v>50</v>
      </c>
      <c r="R1272" t="s">
        <v>6599</v>
      </c>
      <c r="S1272">
        <v>1</v>
      </c>
      <c r="T1272">
        <v>5406</v>
      </c>
      <c r="U1272">
        <v>0</v>
      </c>
      <c r="V1272">
        <v>5406</v>
      </c>
    </row>
    <row r="1273" spans="1:22" x14ac:dyDescent="0.3">
      <c r="A1273">
        <v>186607</v>
      </c>
      <c r="B1273">
        <v>138554584</v>
      </c>
      <c r="C1273" t="s">
        <v>6600</v>
      </c>
      <c r="D1273" t="s">
        <v>6601</v>
      </c>
      <c r="E1273" t="s">
        <v>6545</v>
      </c>
      <c r="F1273" t="s">
        <v>514</v>
      </c>
      <c r="G1273" t="s">
        <v>43</v>
      </c>
      <c r="H1273" t="s">
        <v>44</v>
      </c>
      <c r="I1273" t="s">
        <v>34</v>
      </c>
      <c r="J1273" t="s">
        <v>45</v>
      </c>
      <c r="K1273" t="s">
        <v>41</v>
      </c>
      <c r="L1273" t="s">
        <v>6602</v>
      </c>
      <c r="M1273" t="s">
        <v>6603</v>
      </c>
      <c r="N1273" t="s">
        <v>6547</v>
      </c>
      <c r="O1273" t="s">
        <v>80</v>
      </c>
      <c r="P1273" t="s">
        <v>6604</v>
      </c>
      <c r="Q1273" t="s">
        <v>48</v>
      </c>
      <c r="R1273" t="s">
        <v>362</v>
      </c>
      <c r="S1273">
        <v>2.73</v>
      </c>
      <c r="T1273">
        <v>4230</v>
      </c>
      <c r="U1273">
        <v>0</v>
      </c>
      <c r="V1273">
        <v>4230</v>
      </c>
    </row>
    <row r="1274" spans="1:22" x14ac:dyDescent="0.3">
      <c r="A1274">
        <v>186607</v>
      </c>
      <c r="B1274">
        <v>138538496</v>
      </c>
      <c r="C1274" t="s">
        <v>6605</v>
      </c>
      <c r="D1274" t="s">
        <v>6606</v>
      </c>
      <c r="E1274" t="s">
        <v>6545</v>
      </c>
      <c r="F1274" t="s">
        <v>514</v>
      </c>
      <c r="G1274" t="s">
        <v>43</v>
      </c>
      <c r="H1274" t="s">
        <v>44</v>
      </c>
      <c r="I1274" t="s">
        <v>34</v>
      </c>
      <c r="J1274" t="s">
        <v>45</v>
      </c>
      <c r="K1274" t="s">
        <v>41</v>
      </c>
      <c r="L1274" t="s">
        <v>6607</v>
      </c>
      <c r="M1274" t="s">
        <v>6608</v>
      </c>
      <c r="N1274" t="s">
        <v>6547</v>
      </c>
      <c r="O1274" t="s">
        <v>80</v>
      </c>
      <c r="P1274" t="s">
        <v>6609</v>
      </c>
      <c r="Q1274" t="s">
        <v>118</v>
      </c>
      <c r="R1274" t="s">
        <v>6610</v>
      </c>
      <c r="S1274">
        <v>0.5</v>
      </c>
      <c r="T1274">
        <v>3828</v>
      </c>
      <c r="U1274">
        <v>0</v>
      </c>
      <c r="V1274">
        <v>3828</v>
      </c>
    </row>
    <row r="1275" spans="1:22" x14ac:dyDescent="0.3">
      <c r="A1275">
        <v>186607</v>
      </c>
      <c r="B1275">
        <v>138538481</v>
      </c>
      <c r="C1275" t="s">
        <v>6611</v>
      </c>
      <c r="D1275" t="s">
        <v>6612</v>
      </c>
      <c r="E1275" t="s">
        <v>6545</v>
      </c>
      <c r="F1275" t="s">
        <v>514</v>
      </c>
      <c r="G1275" t="s">
        <v>43</v>
      </c>
      <c r="H1275" t="s">
        <v>44</v>
      </c>
      <c r="I1275" t="s">
        <v>34</v>
      </c>
      <c r="J1275" t="s">
        <v>45</v>
      </c>
      <c r="K1275" t="s">
        <v>41</v>
      </c>
      <c r="L1275" t="s">
        <v>6613</v>
      </c>
      <c r="M1275" t="s">
        <v>6614</v>
      </c>
      <c r="N1275" t="s">
        <v>6547</v>
      </c>
      <c r="O1275" t="s">
        <v>80</v>
      </c>
      <c r="P1275" t="s">
        <v>6615</v>
      </c>
      <c r="Q1275" t="s">
        <v>118</v>
      </c>
      <c r="R1275" t="s">
        <v>6610</v>
      </c>
      <c r="S1275">
        <v>2.78</v>
      </c>
      <c r="T1275">
        <v>4230</v>
      </c>
      <c r="U1275">
        <v>0</v>
      </c>
      <c r="V1275">
        <v>4230</v>
      </c>
    </row>
    <row r="1276" spans="1:22" x14ac:dyDescent="0.3">
      <c r="A1276">
        <v>186607</v>
      </c>
      <c r="B1276">
        <v>138538485</v>
      </c>
      <c r="C1276" t="s">
        <v>6616</v>
      </c>
      <c r="D1276" t="s">
        <v>6617</v>
      </c>
      <c r="E1276" t="s">
        <v>6545</v>
      </c>
      <c r="F1276" t="s">
        <v>514</v>
      </c>
      <c r="G1276" t="s">
        <v>43</v>
      </c>
      <c r="H1276" t="s">
        <v>44</v>
      </c>
      <c r="I1276" t="s">
        <v>34</v>
      </c>
      <c r="J1276" t="s">
        <v>45</v>
      </c>
      <c r="K1276" t="s">
        <v>41</v>
      </c>
      <c r="L1276" t="s">
        <v>6618</v>
      </c>
      <c r="M1276" t="s">
        <v>6619</v>
      </c>
      <c r="N1276" t="s">
        <v>6547</v>
      </c>
      <c r="O1276" t="s">
        <v>80</v>
      </c>
      <c r="P1276" t="s">
        <v>6620</v>
      </c>
      <c r="Q1276" t="s">
        <v>58</v>
      </c>
      <c r="R1276" t="s">
        <v>6610</v>
      </c>
      <c r="S1276">
        <v>0.5</v>
      </c>
      <c r="T1276">
        <v>3431</v>
      </c>
      <c r="U1276">
        <v>0</v>
      </c>
      <c r="V1276">
        <v>3431</v>
      </c>
    </row>
    <row r="1277" spans="1:22" x14ac:dyDescent="0.3">
      <c r="A1277">
        <v>186607</v>
      </c>
      <c r="B1277">
        <v>138498394</v>
      </c>
      <c r="C1277" t="s">
        <v>6621</v>
      </c>
      <c r="D1277" t="s">
        <v>6622</v>
      </c>
      <c r="E1277" t="s">
        <v>6545</v>
      </c>
      <c r="F1277" t="s">
        <v>514</v>
      </c>
      <c r="G1277" t="s">
        <v>43</v>
      </c>
      <c r="H1277" t="s">
        <v>44</v>
      </c>
      <c r="I1277" t="s">
        <v>34</v>
      </c>
      <c r="J1277" t="s">
        <v>45</v>
      </c>
      <c r="K1277" t="s">
        <v>41</v>
      </c>
      <c r="L1277" t="s">
        <v>6623</v>
      </c>
      <c r="M1277" t="s">
        <v>6624</v>
      </c>
      <c r="N1277" t="s">
        <v>6547</v>
      </c>
      <c r="O1277" t="s">
        <v>80</v>
      </c>
      <c r="P1277" t="s">
        <v>6625</v>
      </c>
      <c r="Q1277" t="s">
        <v>50</v>
      </c>
      <c r="R1277" t="s">
        <v>6599</v>
      </c>
      <c r="S1277">
        <v>0.5</v>
      </c>
      <c r="T1277">
        <v>4230</v>
      </c>
      <c r="U1277">
        <v>0</v>
      </c>
      <c r="V1277">
        <v>4230</v>
      </c>
    </row>
    <row r="1278" spans="1:22" x14ac:dyDescent="0.3">
      <c r="A1278">
        <v>186607</v>
      </c>
      <c r="B1278">
        <v>138538494</v>
      </c>
      <c r="C1278" t="s">
        <v>6626</v>
      </c>
      <c r="D1278" t="s">
        <v>6627</v>
      </c>
      <c r="E1278" t="s">
        <v>6545</v>
      </c>
      <c r="F1278" t="s">
        <v>514</v>
      </c>
      <c r="G1278" t="s">
        <v>43</v>
      </c>
      <c r="H1278" t="s">
        <v>44</v>
      </c>
      <c r="I1278" t="s">
        <v>34</v>
      </c>
      <c r="J1278" t="s">
        <v>45</v>
      </c>
      <c r="K1278" t="s">
        <v>41</v>
      </c>
      <c r="L1278" t="s">
        <v>6628</v>
      </c>
      <c r="M1278" t="s">
        <v>6629</v>
      </c>
      <c r="N1278" t="s">
        <v>6547</v>
      </c>
      <c r="O1278" t="s">
        <v>80</v>
      </c>
      <c r="P1278" t="s">
        <v>6630</v>
      </c>
      <c r="Q1278" t="s">
        <v>67</v>
      </c>
      <c r="R1278" t="s">
        <v>6610</v>
      </c>
      <c r="S1278">
        <v>1.67</v>
      </c>
      <c r="T1278">
        <v>3936</v>
      </c>
      <c r="U1278">
        <v>0</v>
      </c>
      <c r="V1278">
        <v>3936</v>
      </c>
    </row>
    <row r="1279" spans="1:22" x14ac:dyDescent="0.3">
      <c r="A1279">
        <v>186607</v>
      </c>
      <c r="B1279">
        <v>138538479</v>
      </c>
      <c r="C1279" t="s">
        <v>6631</v>
      </c>
      <c r="D1279" t="s">
        <v>6632</v>
      </c>
      <c r="E1279" t="s">
        <v>6545</v>
      </c>
      <c r="F1279" t="s">
        <v>514</v>
      </c>
      <c r="G1279" t="s">
        <v>43</v>
      </c>
      <c r="H1279" t="s">
        <v>44</v>
      </c>
      <c r="I1279" t="s">
        <v>34</v>
      </c>
      <c r="J1279" t="s">
        <v>45</v>
      </c>
      <c r="K1279" t="s">
        <v>41</v>
      </c>
      <c r="L1279" t="s">
        <v>6633</v>
      </c>
      <c r="M1279" t="s">
        <v>6634</v>
      </c>
      <c r="N1279" t="s">
        <v>6547</v>
      </c>
      <c r="O1279" t="s">
        <v>80</v>
      </c>
      <c r="P1279" t="s">
        <v>6635</v>
      </c>
      <c r="Q1279" t="s">
        <v>130</v>
      </c>
      <c r="R1279" t="s">
        <v>6610</v>
      </c>
      <c r="S1279">
        <v>3.34</v>
      </c>
      <c r="T1279">
        <v>4635</v>
      </c>
      <c r="U1279">
        <v>0</v>
      </c>
      <c r="V1279">
        <v>4635</v>
      </c>
    </row>
    <row r="1280" spans="1:22" x14ac:dyDescent="0.3">
      <c r="A1280">
        <v>186607</v>
      </c>
      <c r="B1280">
        <v>138554565</v>
      </c>
      <c r="C1280" t="s">
        <v>6636</v>
      </c>
      <c r="D1280" t="s">
        <v>6637</v>
      </c>
      <c r="E1280" t="s">
        <v>6545</v>
      </c>
      <c r="F1280" t="s">
        <v>514</v>
      </c>
      <c r="G1280" t="s">
        <v>43</v>
      </c>
      <c r="H1280" t="s">
        <v>44</v>
      </c>
      <c r="I1280" t="s">
        <v>34</v>
      </c>
      <c r="J1280" t="s">
        <v>45</v>
      </c>
      <c r="K1280" t="s">
        <v>41</v>
      </c>
      <c r="L1280" t="s">
        <v>6638</v>
      </c>
      <c r="M1280" t="s">
        <v>6639</v>
      </c>
      <c r="N1280" t="s">
        <v>6547</v>
      </c>
      <c r="O1280" t="s">
        <v>80</v>
      </c>
      <c r="P1280" t="s">
        <v>6640</v>
      </c>
      <c r="Q1280" t="s">
        <v>53</v>
      </c>
      <c r="R1280" t="s">
        <v>362</v>
      </c>
      <c r="S1280">
        <v>0.5</v>
      </c>
      <c r="T1280">
        <v>3587</v>
      </c>
      <c r="U1280">
        <v>0</v>
      </c>
      <c r="V1280">
        <v>3587</v>
      </c>
    </row>
    <row r="1281" spans="1:22" x14ac:dyDescent="0.3">
      <c r="A1281">
        <v>186607</v>
      </c>
      <c r="B1281">
        <v>138554588</v>
      </c>
      <c r="C1281" t="s">
        <v>6641</v>
      </c>
      <c r="D1281" t="s">
        <v>6642</v>
      </c>
      <c r="E1281" t="s">
        <v>6545</v>
      </c>
      <c r="F1281" t="s">
        <v>514</v>
      </c>
      <c r="G1281" t="s">
        <v>43</v>
      </c>
      <c r="H1281" t="s">
        <v>44</v>
      </c>
      <c r="I1281" t="s">
        <v>34</v>
      </c>
      <c r="J1281" t="s">
        <v>45</v>
      </c>
      <c r="K1281" t="s">
        <v>41</v>
      </c>
      <c r="L1281" t="s">
        <v>6643</v>
      </c>
      <c r="M1281" t="s">
        <v>6644</v>
      </c>
      <c r="N1281" t="s">
        <v>6547</v>
      </c>
      <c r="O1281" t="s">
        <v>80</v>
      </c>
      <c r="P1281" t="s">
        <v>6645</v>
      </c>
      <c r="Q1281" t="s">
        <v>102</v>
      </c>
      <c r="R1281" t="s">
        <v>362</v>
      </c>
      <c r="S1281">
        <v>2.65</v>
      </c>
      <c r="T1281">
        <v>3501</v>
      </c>
      <c r="U1281">
        <v>0</v>
      </c>
      <c r="V1281">
        <v>3501</v>
      </c>
    </row>
    <row r="1282" spans="1:22" x14ac:dyDescent="0.3">
      <c r="A1282">
        <v>186607</v>
      </c>
      <c r="B1282">
        <v>138554573</v>
      </c>
      <c r="C1282" t="s">
        <v>6646</v>
      </c>
      <c r="D1282" t="s">
        <v>6647</v>
      </c>
      <c r="E1282" t="s">
        <v>6545</v>
      </c>
      <c r="F1282" t="s">
        <v>514</v>
      </c>
      <c r="G1282" t="s">
        <v>43</v>
      </c>
      <c r="H1282" t="s">
        <v>44</v>
      </c>
      <c r="I1282" t="s">
        <v>34</v>
      </c>
      <c r="J1282" t="s">
        <v>45</v>
      </c>
      <c r="K1282" t="s">
        <v>41</v>
      </c>
      <c r="L1282" t="s">
        <v>6648</v>
      </c>
      <c r="M1282" t="s">
        <v>6649</v>
      </c>
      <c r="N1282" t="s">
        <v>6547</v>
      </c>
      <c r="O1282" t="s">
        <v>80</v>
      </c>
      <c r="P1282" t="s">
        <v>6650</v>
      </c>
      <c r="Q1282" t="s">
        <v>56</v>
      </c>
      <c r="R1282" t="s">
        <v>362</v>
      </c>
      <c r="S1282">
        <v>1</v>
      </c>
      <c r="T1282">
        <v>3904</v>
      </c>
      <c r="U1282">
        <v>0</v>
      </c>
      <c r="V1282">
        <v>3904</v>
      </c>
    </row>
    <row r="1283" spans="1:22" x14ac:dyDescent="0.3">
      <c r="A1283">
        <v>186607</v>
      </c>
      <c r="B1283">
        <v>138538487</v>
      </c>
      <c r="C1283" t="s">
        <v>6651</v>
      </c>
      <c r="D1283" t="s">
        <v>6652</v>
      </c>
      <c r="E1283" t="s">
        <v>6545</v>
      </c>
      <c r="F1283" t="s">
        <v>514</v>
      </c>
      <c r="G1283" t="s">
        <v>43</v>
      </c>
      <c r="H1283" t="s">
        <v>44</v>
      </c>
      <c r="I1283" t="s">
        <v>34</v>
      </c>
      <c r="J1283" t="s">
        <v>45</v>
      </c>
      <c r="K1283" t="s">
        <v>41</v>
      </c>
      <c r="L1283" t="s">
        <v>6653</v>
      </c>
      <c r="M1283" t="s">
        <v>6654</v>
      </c>
      <c r="N1283" t="s">
        <v>6547</v>
      </c>
      <c r="O1283" t="s">
        <v>80</v>
      </c>
      <c r="P1283" t="s">
        <v>6655</v>
      </c>
      <c r="Q1283" t="s">
        <v>81</v>
      </c>
      <c r="R1283" t="s">
        <v>6610</v>
      </c>
      <c r="S1283">
        <v>1</v>
      </c>
      <c r="T1283">
        <v>3501</v>
      </c>
      <c r="U1283">
        <v>0</v>
      </c>
      <c r="V1283">
        <v>3501</v>
      </c>
    </row>
    <row r="1284" spans="1:22" x14ac:dyDescent="0.3">
      <c r="A1284">
        <v>186607</v>
      </c>
      <c r="B1284">
        <v>138411074</v>
      </c>
      <c r="C1284" t="s">
        <v>6656</v>
      </c>
      <c r="D1284" t="s">
        <v>6657</v>
      </c>
      <c r="E1284" t="s">
        <v>6545</v>
      </c>
      <c r="F1284" t="s">
        <v>514</v>
      </c>
      <c r="G1284" t="s">
        <v>43</v>
      </c>
      <c r="H1284" t="s">
        <v>44</v>
      </c>
      <c r="I1284" t="s">
        <v>34</v>
      </c>
      <c r="J1284" t="s">
        <v>45</v>
      </c>
      <c r="K1284" t="s">
        <v>41</v>
      </c>
      <c r="L1284" t="s">
        <v>6658</v>
      </c>
      <c r="M1284" t="s">
        <v>6659</v>
      </c>
      <c r="N1284" t="s">
        <v>6547</v>
      </c>
      <c r="O1284" t="s">
        <v>80</v>
      </c>
      <c r="P1284" t="s">
        <v>6660</v>
      </c>
      <c r="Q1284" t="s">
        <v>50</v>
      </c>
      <c r="R1284" t="s">
        <v>6661</v>
      </c>
      <c r="S1284">
        <v>0.5</v>
      </c>
      <c r="T1284">
        <v>4230</v>
      </c>
      <c r="U1284">
        <v>0</v>
      </c>
      <c r="V1284">
        <v>4230</v>
      </c>
    </row>
    <row r="1285" spans="1:22" x14ac:dyDescent="0.3">
      <c r="A1285">
        <v>186607</v>
      </c>
      <c r="B1285">
        <v>138554566</v>
      </c>
      <c r="C1285" t="s">
        <v>6662</v>
      </c>
      <c r="D1285" t="s">
        <v>6663</v>
      </c>
      <c r="E1285" t="s">
        <v>6545</v>
      </c>
      <c r="F1285" t="s">
        <v>514</v>
      </c>
      <c r="G1285" t="s">
        <v>43</v>
      </c>
      <c r="H1285" t="s">
        <v>44</v>
      </c>
      <c r="I1285" t="s">
        <v>34</v>
      </c>
      <c r="J1285" t="s">
        <v>45</v>
      </c>
      <c r="K1285" t="s">
        <v>41</v>
      </c>
      <c r="L1285" t="s">
        <v>6664</v>
      </c>
      <c r="M1285" t="s">
        <v>6665</v>
      </c>
      <c r="N1285" t="s">
        <v>6547</v>
      </c>
      <c r="O1285" t="s">
        <v>80</v>
      </c>
      <c r="P1285" t="s">
        <v>6666</v>
      </c>
      <c r="Q1285" t="s">
        <v>112</v>
      </c>
      <c r="R1285" t="s">
        <v>362</v>
      </c>
      <c r="S1285">
        <v>1</v>
      </c>
      <c r="T1285">
        <v>3501</v>
      </c>
      <c r="U1285">
        <v>0</v>
      </c>
      <c r="V1285">
        <v>3501</v>
      </c>
    </row>
    <row r="1286" spans="1:22" x14ac:dyDescent="0.3">
      <c r="A1286">
        <v>186607</v>
      </c>
      <c r="B1286">
        <v>138554571</v>
      </c>
      <c r="C1286" t="s">
        <v>6667</v>
      </c>
      <c r="D1286" t="s">
        <v>6668</v>
      </c>
      <c r="E1286" t="s">
        <v>6545</v>
      </c>
      <c r="F1286" t="s">
        <v>514</v>
      </c>
      <c r="G1286" t="s">
        <v>43</v>
      </c>
      <c r="H1286" t="s">
        <v>44</v>
      </c>
      <c r="I1286" t="s">
        <v>34</v>
      </c>
      <c r="J1286" t="s">
        <v>45</v>
      </c>
      <c r="K1286" t="s">
        <v>54</v>
      </c>
      <c r="L1286" t="s">
        <v>55</v>
      </c>
      <c r="M1286" t="s">
        <v>6669</v>
      </c>
      <c r="N1286" t="s">
        <v>6547</v>
      </c>
      <c r="O1286" t="s">
        <v>80</v>
      </c>
      <c r="P1286" t="s">
        <v>6670</v>
      </c>
      <c r="Q1286" t="s">
        <v>112</v>
      </c>
      <c r="R1286" t="s">
        <v>362</v>
      </c>
      <c r="S1286">
        <v>0.5</v>
      </c>
      <c r="T1286">
        <v>3431</v>
      </c>
      <c r="U1286">
        <v>0</v>
      </c>
      <c r="V1286">
        <v>3431</v>
      </c>
    </row>
    <row r="1287" spans="1:22" x14ac:dyDescent="0.3">
      <c r="A1287">
        <v>186607</v>
      </c>
      <c r="B1287">
        <v>138411089</v>
      </c>
      <c r="C1287" t="s">
        <v>6671</v>
      </c>
      <c r="D1287" t="s">
        <v>6672</v>
      </c>
      <c r="E1287" t="s">
        <v>6545</v>
      </c>
      <c r="F1287" t="s">
        <v>514</v>
      </c>
      <c r="G1287" t="s">
        <v>43</v>
      </c>
      <c r="H1287" t="s">
        <v>44</v>
      </c>
      <c r="I1287" t="s">
        <v>34</v>
      </c>
      <c r="J1287" t="s">
        <v>45</v>
      </c>
      <c r="K1287" t="s">
        <v>41</v>
      </c>
      <c r="L1287" t="s">
        <v>6673</v>
      </c>
      <c r="M1287" t="s">
        <v>6674</v>
      </c>
      <c r="N1287" t="s">
        <v>6547</v>
      </c>
      <c r="O1287" t="s">
        <v>80</v>
      </c>
      <c r="P1287" t="s">
        <v>6675</v>
      </c>
      <c r="Q1287" t="s">
        <v>82</v>
      </c>
      <c r="R1287" t="s">
        <v>6661</v>
      </c>
      <c r="S1287">
        <v>0.5</v>
      </c>
      <c r="T1287">
        <v>4230</v>
      </c>
      <c r="U1287">
        <v>0</v>
      </c>
      <c r="V1287">
        <v>4230</v>
      </c>
    </row>
    <row r="1288" spans="1:22" x14ac:dyDescent="0.3">
      <c r="A1288">
        <v>186607</v>
      </c>
      <c r="B1288">
        <v>138515296</v>
      </c>
      <c r="C1288" t="s">
        <v>6676</v>
      </c>
      <c r="D1288" t="s">
        <v>6677</v>
      </c>
      <c r="E1288" t="s">
        <v>6545</v>
      </c>
      <c r="F1288" t="s">
        <v>514</v>
      </c>
      <c r="G1288" t="s">
        <v>43</v>
      </c>
      <c r="H1288" t="s">
        <v>44</v>
      </c>
      <c r="I1288" t="s">
        <v>34</v>
      </c>
      <c r="J1288" t="s">
        <v>45</v>
      </c>
      <c r="K1288" t="s">
        <v>41</v>
      </c>
      <c r="L1288" t="s">
        <v>6678</v>
      </c>
      <c r="M1288" t="s">
        <v>6679</v>
      </c>
      <c r="N1288" t="s">
        <v>6547</v>
      </c>
      <c r="O1288" t="s">
        <v>80</v>
      </c>
      <c r="P1288" t="s">
        <v>6680</v>
      </c>
      <c r="Q1288" t="s">
        <v>244</v>
      </c>
      <c r="R1288" t="s">
        <v>352</v>
      </c>
      <c r="S1288">
        <v>0.5</v>
      </c>
      <c r="T1288">
        <v>3828</v>
      </c>
      <c r="U1288">
        <v>0</v>
      </c>
      <c r="V1288">
        <v>3828</v>
      </c>
    </row>
    <row r="1289" spans="1:22" x14ac:dyDescent="0.3">
      <c r="A1289">
        <v>186607</v>
      </c>
      <c r="B1289">
        <v>138431755</v>
      </c>
      <c r="C1289" t="s">
        <v>6681</v>
      </c>
      <c r="D1289" t="s">
        <v>6682</v>
      </c>
      <c r="E1289" t="s">
        <v>6545</v>
      </c>
      <c r="F1289" t="s">
        <v>514</v>
      </c>
      <c r="G1289" t="s">
        <v>43</v>
      </c>
      <c r="H1289" t="s">
        <v>44</v>
      </c>
      <c r="I1289" t="s">
        <v>34</v>
      </c>
      <c r="J1289" t="s">
        <v>45</v>
      </c>
      <c r="K1289" t="s">
        <v>41</v>
      </c>
      <c r="L1289" t="s">
        <v>6683</v>
      </c>
      <c r="M1289" t="s">
        <v>6684</v>
      </c>
      <c r="N1289" t="s">
        <v>6547</v>
      </c>
      <c r="O1289" t="s">
        <v>80</v>
      </c>
      <c r="P1289" t="s">
        <v>6685</v>
      </c>
      <c r="Q1289" t="s">
        <v>50</v>
      </c>
      <c r="R1289" t="s">
        <v>316</v>
      </c>
      <c r="S1289">
        <v>1.6</v>
      </c>
      <c r="T1289">
        <v>5406</v>
      </c>
      <c r="U1289">
        <v>0</v>
      </c>
      <c r="V1289">
        <v>5406</v>
      </c>
    </row>
    <row r="1290" spans="1:22" x14ac:dyDescent="0.3">
      <c r="A1290">
        <v>186607</v>
      </c>
      <c r="B1290">
        <v>138515321</v>
      </c>
      <c r="C1290" t="s">
        <v>6686</v>
      </c>
      <c r="D1290" t="s">
        <v>6687</v>
      </c>
      <c r="E1290" t="s">
        <v>6545</v>
      </c>
      <c r="F1290" t="s">
        <v>514</v>
      </c>
      <c r="G1290" t="s">
        <v>43</v>
      </c>
      <c r="H1290" t="s">
        <v>44</v>
      </c>
      <c r="I1290" t="s">
        <v>34</v>
      </c>
      <c r="J1290" t="s">
        <v>45</v>
      </c>
      <c r="K1290" t="s">
        <v>41</v>
      </c>
      <c r="L1290" t="s">
        <v>6688</v>
      </c>
      <c r="M1290" t="s">
        <v>291</v>
      </c>
      <c r="N1290" t="s">
        <v>6547</v>
      </c>
      <c r="O1290" t="s">
        <v>80</v>
      </c>
      <c r="P1290" t="s">
        <v>6689</v>
      </c>
      <c r="Q1290" t="s">
        <v>48</v>
      </c>
      <c r="R1290" t="s">
        <v>352</v>
      </c>
      <c r="S1290">
        <v>0.5</v>
      </c>
      <c r="T1290">
        <v>3828</v>
      </c>
      <c r="U1290">
        <v>0</v>
      </c>
      <c r="V1290">
        <v>3828</v>
      </c>
    </row>
    <row r="1291" spans="1:22" x14ac:dyDescent="0.3">
      <c r="A1291">
        <v>186607</v>
      </c>
      <c r="B1291">
        <v>138498389</v>
      </c>
      <c r="C1291" t="s">
        <v>6690</v>
      </c>
      <c r="D1291" t="s">
        <v>6691</v>
      </c>
      <c r="E1291" t="s">
        <v>6545</v>
      </c>
      <c r="F1291" t="s">
        <v>514</v>
      </c>
      <c r="G1291" t="s">
        <v>43</v>
      </c>
      <c r="H1291" t="s">
        <v>44</v>
      </c>
      <c r="I1291" t="s">
        <v>34</v>
      </c>
      <c r="J1291" t="s">
        <v>45</v>
      </c>
      <c r="K1291" t="s">
        <v>41</v>
      </c>
      <c r="L1291" t="s">
        <v>6692</v>
      </c>
      <c r="M1291" t="s">
        <v>6693</v>
      </c>
      <c r="N1291" t="s">
        <v>6547</v>
      </c>
      <c r="O1291" t="s">
        <v>80</v>
      </c>
      <c r="P1291" t="s">
        <v>6694</v>
      </c>
      <c r="Q1291" t="s">
        <v>75</v>
      </c>
      <c r="R1291" t="s">
        <v>6599</v>
      </c>
      <c r="S1291">
        <v>0.5</v>
      </c>
      <c r="T1291">
        <v>3828</v>
      </c>
      <c r="U1291">
        <v>0</v>
      </c>
      <c r="V1291">
        <v>3828</v>
      </c>
    </row>
    <row r="1292" spans="1:22" x14ac:dyDescent="0.3">
      <c r="A1292">
        <v>186607</v>
      </c>
      <c r="B1292">
        <v>138373733</v>
      </c>
      <c r="C1292" t="s">
        <v>6695</v>
      </c>
      <c r="D1292" t="s">
        <v>6696</v>
      </c>
      <c r="E1292" t="s">
        <v>6545</v>
      </c>
      <c r="F1292" t="s">
        <v>514</v>
      </c>
      <c r="G1292" t="s">
        <v>43</v>
      </c>
      <c r="H1292" t="s">
        <v>44</v>
      </c>
      <c r="I1292" t="s">
        <v>34</v>
      </c>
      <c r="J1292" t="s">
        <v>45</v>
      </c>
      <c r="K1292" t="s">
        <v>41</v>
      </c>
      <c r="L1292" t="s">
        <v>6697</v>
      </c>
      <c r="M1292" t="s">
        <v>6698</v>
      </c>
      <c r="N1292" t="s">
        <v>6547</v>
      </c>
      <c r="O1292" t="s">
        <v>80</v>
      </c>
      <c r="P1292" t="s">
        <v>6699</v>
      </c>
      <c r="Q1292" t="s">
        <v>145</v>
      </c>
      <c r="R1292" t="s">
        <v>493</v>
      </c>
      <c r="S1292">
        <v>0.5</v>
      </c>
      <c r="T1292">
        <v>3828</v>
      </c>
      <c r="U1292">
        <v>0</v>
      </c>
      <c r="V1292">
        <v>3828</v>
      </c>
    </row>
    <row r="1293" spans="1:22" x14ac:dyDescent="0.3">
      <c r="A1293">
        <v>186607</v>
      </c>
      <c r="B1293">
        <v>138383396</v>
      </c>
      <c r="C1293" t="s">
        <v>6700</v>
      </c>
      <c r="D1293" t="s">
        <v>6701</v>
      </c>
      <c r="E1293" t="s">
        <v>6545</v>
      </c>
      <c r="F1293" t="s">
        <v>514</v>
      </c>
      <c r="G1293" t="s">
        <v>43</v>
      </c>
      <c r="H1293" t="s">
        <v>44</v>
      </c>
      <c r="I1293" t="s">
        <v>34</v>
      </c>
      <c r="J1293" t="s">
        <v>45</v>
      </c>
      <c r="K1293" t="s">
        <v>41</v>
      </c>
      <c r="L1293" t="s">
        <v>6702</v>
      </c>
      <c r="M1293" t="s">
        <v>6703</v>
      </c>
      <c r="N1293" t="s">
        <v>6547</v>
      </c>
      <c r="O1293" t="s">
        <v>80</v>
      </c>
      <c r="P1293" t="s">
        <v>6704</v>
      </c>
      <c r="Q1293" t="s">
        <v>145</v>
      </c>
      <c r="R1293" t="s">
        <v>6705</v>
      </c>
      <c r="S1293">
        <v>0.5</v>
      </c>
      <c r="T1293">
        <v>3828</v>
      </c>
      <c r="U1293">
        <v>0</v>
      </c>
      <c r="V1293">
        <v>3828</v>
      </c>
    </row>
    <row r="1294" spans="1:22" x14ac:dyDescent="0.3">
      <c r="A1294">
        <v>186607</v>
      </c>
      <c r="B1294">
        <v>138515298</v>
      </c>
      <c r="C1294" t="s">
        <v>6706</v>
      </c>
      <c r="D1294" t="s">
        <v>6707</v>
      </c>
      <c r="E1294" t="s">
        <v>6545</v>
      </c>
      <c r="F1294" t="s">
        <v>514</v>
      </c>
      <c r="G1294" t="s">
        <v>43</v>
      </c>
      <c r="H1294" t="s">
        <v>44</v>
      </c>
      <c r="I1294" t="s">
        <v>34</v>
      </c>
      <c r="J1294" t="s">
        <v>45</v>
      </c>
      <c r="K1294" t="s">
        <v>41</v>
      </c>
      <c r="L1294" t="s">
        <v>6708</v>
      </c>
      <c r="M1294" t="s">
        <v>6709</v>
      </c>
      <c r="N1294" t="s">
        <v>6547</v>
      </c>
      <c r="O1294" t="s">
        <v>80</v>
      </c>
      <c r="P1294" t="s">
        <v>6710</v>
      </c>
      <c r="Q1294" t="s">
        <v>58</v>
      </c>
      <c r="R1294" t="s">
        <v>352</v>
      </c>
      <c r="S1294">
        <v>0.5</v>
      </c>
      <c r="T1294">
        <v>3431</v>
      </c>
      <c r="U1294">
        <v>0</v>
      </c>
      <c r="V1294">
        <v>3431</v>
      </c>
    </row>
    <row r="1295" spans="1:22" x14ac:dyDescent="0.3">
      <c r="A1295">
        <v>186607</v>
      </c>
      <c r="B1295">
        <v>138498384</v>
      </c>
      <c r="C1295" t="s">
        <v>6711</v>
      </c>
      <c r="D1295" t="s">
        <v>6712</v>
      </c>
      <c r="E1295" t="s">
        <v>6545</v>
      </c>
      <c r="F1295" t="s">
        <v>514</v>
      </c>
      <c r="G1295" t="s">
        <v>43</v>
      </c>
      <c r="H1295" t="s">
        <v>44</v>
      </c>
      <c r="I1295" t="s">
        <v>34</v>
      </c>
      <c r="J1295" t="s">
        <v>45</v>
      </c>
      <c r="K1295" t="s">
        <v>41</v>
      </c>
      <c r="L1295" t="s">
        <v>6713</v>
      </c>
      <c r="M1295" t="s">
        <v>6714</v>
      </c>
      <c r="N1295" t="s">
        <v>6547</v>
      </c>
      <c r="O1295" t="s">
        <v>80</v>
      </c>
      <c r="P1295" t="s">
        <v>6715</v>
      </c>
      <c r="Q1295" t="s">
        <v>53</v>
      </c>
      <c r="R1295" t="s">
        <v>6599</v>
      </c>
      <c r="S1295">
        <v>0.5</v>
      </c>
      <c r="T1295">
        <v>3587</v>
      </c>
      <c r="U1295">
        <v>0</v>
      </c>
      <c r="V1295">
        <v>3587</v>
      </c>
    </row>
    <row r="1296" spans="1:22" x14ac:dyDescent="0.3">
      <c r="A1296">
        <v>186607</v>
      </c>
      <c r="B1296">
        <v>138373729</v>
      </c>
      <c r="C1296" t="s">
        <v>6716</v>
      </c>
      <c r="D1296" t="s">
        <v>6717</v>
      </c>
      <c r="E1296" t="s">
        <v>6545</v>
      </c>
      <c r="F1296" t="s">
        <v>514</v>
      </c>
      <c r="G1296" t="s">
        <v>43</v>
      </c>
      <c r="H1296" t="s">
        <v>44</v>
      </c>
      <c r="I1296" t="s">
        <v>34</v>
      </c>
      <c r="J1296" t="s">
        <v>45</v>
      </c>
      <c r="K1296" t="s">
        <v>41</v>
      </c>
      <c r="L1296" t="s">
        <v>6718</v>
      </c>
      <c r="M1296" t="s">
        <v>333</v>
      </c>
      <c r="N1296" t="s">
        <v>6547</v>
      </c>
      <c r="O1296" t="s">
        <v>80</v>
      </c>
      <c r="P1296" t="s">
        <v>6719</v>
      </c>
      <c r="Q1296" t="s">
        <v>168</v>
      </c>
      <c r="R1296" t="s">
        <v>493</v>
      </c>
      <c r="S1296">
        <v>1.6</v>
      </c>
      <c r="T1296">
        <v>4230</v>
      </c>
      <c r="U1296">
        <v>0</v>
      </c>
      <c r="V1296">
        <v>4230</v>
      </c>
    </row>
    <row r="1297" spans="1:22" x14ac:dyDescent="0.3">
      <c r="A1297">
        <v>186607</v>
      </c>
      <c r="B1297">
        <v>138411096</v>
      </c>
      <c r="C1297" t="s">
        <v>6720</v>
      </c>
      <c r="D1297" t="s">
        <v>6721</v>
      </c>
      <c r="E1297" t="s">
        <v>6545</v>
      </c>
      <c r="F1297" t="s">
        <v>514</v>
      </c>
      <c r="G1297" t="s">
        <v>43</v>
      </c>
      <c r="H1297" t="s">
        <v>44</v>
      </c>
      <c r="I1297" t="s">
        <v>34</v>
      </c>
      <c r="J1297" t="s">
        <v>45</v>
      </c>
      <c r="K1297" t="s">
        <v>41</v>
      </c>
      <c r="L1297" t="s">
        <v>6722</v>
      </c>
      <c r="M1297" t="s">
        <v>6723</v>
      </c>
      <c r="N1297" t="s">
        <v>6547</v>
      </c>
      <c r="O1297" t="s">
        <v>80</v>
      </c>
      <c r="P1297" t="s">
        <v>6724</v>
      </c>
      <c r="Q1297" t="s">
        <v>50</v>
      </c>
      <c r="R1297" t="s">
        <v>6661</v>
      </c>
      <c r="S1297">
        <v>1</v>
      </c>
      <c r="T1297">
        <v>5406</v>
      </c>
      <c r="U1297">
        <v>0</v>
      </c>
      <c r="V1297">
        <v>5406</v>
      </c>
    </row>
    <row r="1298" spans="1:22" x14ac:dyDescent="0.3">
      <c r="A1298">
        <v>186607</v>
      </c>
      <c r="B1298">
        <v>138373742</v>
      </c>
      <c r="C1298" t="s">
        <v>6725</v>
      </c>
      <c r="D1298" t="s">
        <v>6726</v>
      </c>
      <c r="E1298" t="s">
        <v>6545</v>
      </c>
      <c r="F1298" t="s">
        <v>514</v>
      </c>
      <c r="G1298" t="s">
        <v>43</v>
      </c>
      <c r="H1298" t="s">
        <v>44</v>
      </c>
      <c r="I1298" t="s">
        <v>34</v>
      </c>
      <c r="J1298" t="s">
        <v>45</v>
      </c>
      <c r="K1298" t="s">
        <v>41</v>
      </c>
      <c r="L1298" t="s">
        <v>6727</v>
      </c>
      <c r="M1298" t="s">
        <v>6728</v>
      </c>
      <c r="N1298" t="s">
        <v>6547</v>
      </c>
      <c r="O1298" t="s">
        <v>80</v>
      </c>
      <c r="P1298" t="s">
        <v>6729</v>
      </c>
      <c r="Q1298" t="s">
        <v>50</v>
      </c>
      <c r="R1298" t="s">
        <v>493</v>
      </c>
      <c r="S1298">
        <v>1</v>
      </c>
      <c r="T1298">
        <v>5406</v>
      </c>
      <c r="U1298">
        <v>0</v>
      </c>
      <c r="V1298">
        <v>5406</v>
      </c>
    </row>
    <row r="1299" spans="1:22" x14ac:dyDescent="0.3">
      <c r="A1299">
        <v>186607</v>
      </c>
      <c r="B1299">
        <v>138515302</v>
      </c>
      <c r="C1299" t="s">
        <v>6730</v>
      </c>
      <c r="D1299" t="s">
        <v>6731</v>
      </c>
      <c r="E1299" t="s">
        <v>6545</v>
      </c>
      <c r="F1299" t="s">
        <v>514</v>
      </c>
      <c r="G1299" t="s">
        <v>43</v>
      </c>
      <c r="H1299" t="s">
        <v>44</v>
      </c>
      <c r="I1299" t="s">
        <v>34</v>
      </c>
      <c r="J1299" t="s">
        <v>45</v>
      </c>
      <c r="K1299" t="s">
        <v>41</v>
      </c>
      <c r="L1299" t="s">
        <v>6732</v>
      </c>
      <c r="M1299" t="s">
        <v>6733</v>
      </c>
      <c r="N1299" t="s">
        <v>6547</v>
      </c>
      <c r="O1299" t="s">
        <v>80</v>
      </c>
      <c r="P1299" t="s">
        <v>6734</v>
      </c>
      <c r="Q1299" t="s">
        <v>108</v>
      </c>
      <c r="R1299" t="s">
        <v>352</v>
      </c>
      <c r="S1299">
        <v>0.5</v>
      </c>
      <c r="T1299">
        <v>3431</v>
      </c>
      <c r="U1299">
        <v>0</v>
      </c>
      <c r="V1299">
        <v>3431</v>
      </c>
    </row>
    <row r="1300" spans="1:22" x14ac:dyDescent="0.3">
      <c r="A1300">
        <v>186607</v>
      </c>
      <c r="B1300">
        <v>138515312</v>
      </c>
      <c r="C1300" t="s">
        <v>6735</v>
      </c>
      <c r="D1300" t="s">
        <v>6736</v>
      </c>
      <c r="E1300" t="s">
        <v>6545</v>
      </c>
      <c r="F1300" t="s">
        <v>514</v>
      </c>
      <c r="G1300" t="s">
        <v>43</v>
      </c>
      <c r="H1300" t="s">
        <v>44</v>
      </c>
      <c r="I1300" t="s">
        <v>34</v>
      </c>
      <c r="J1300" t="s">
        <v>45</v>
      </c>
      <c r="K1300" t="s">
        <v>41</v>
      </c>
      <c r="L1300" t="s">
        <v>6737</v>
      </c>
      <c r="M1300" t="s">
        <v>6738</v>
      </c>
      <c r="N1300" t="s">
        <v>6547</v>
      </c>
      <c r="O1300" t="s">
        <v>80</v>
      </c>
      <c r="P1300" t="s">
        <v>6739</v>
      </c>
      <c r="Q1300" t="s">
        <v>61</v>
      </c>
      <c r="R1300" t="s">
        <v>352</v>
      </c>
      <c r="S1300">
        <v>0.5</v>
      </c>
      <c r="T1300">
        <v>3431</v>
      </c>
      <c r="U1300">
        <v>0</v>
      </c>
      <c r="V1300">
        <v>3431</v>
      </c>
    </row>
    <row r="1301" spans="1:22" x14ac:dyDescent="0.3">
      <c r="A1301">
        <v>186607</v>
      </c>
      <c r="B1301">
        <v>138498396</v>
      </c>
      <c r="C1301" t="s">
        <v>6740</v>
      </c>
      <c r="D1301" t="s">
        <v>6741</v>
      </c>
      <c r="E1301" t="s">
        <v>6545</v>
      </c>
      <c r="F1301" t="s">
        <v>514</v>
      </c>
      <c r="G1301" t="s">
        <v>43</v>
      </c>
      <c r="H1301" t="s">
        <v>44</v>
      </c>
      <c r="I1301" t="s">
        <v>34</v>
      </c>
      <c r="J1301" t="s">
        <v>45</v>
      </c>
      <c r="K1301" t="s">
        <v>41</v>
      </c>
      <c r="L1301" t="s">
        <v>6742</v>
      </c>
      <c r="M1301" t="s">
        <v>6743</v>
      </c>
      <c r="N1301" t="s">
        <v>6547</v>
      </c>
      <c r="O1301" t="s">
        <v>80</v>
      </c>
      <c r="P1301" t="s">
        <v>6744</v>
      </c>
      <c r="Q1301" t="s">
        <v>108</v>
      </c>
      <c r="R1301" t="s">
        <v>6599</v>
      </c>
      <c r="S1301">
        <v>0.5</v>
      </c>
      <c r="T1301">
        <v>3431</v>
      </c>
      <c r="U1301">
        <v>0</v>
      </c>
      <c r="V1301">
        <v>3431</v>
      </c>
    </row>
    <row r="1302" spans="1:22" x14ac:dyDescent="0.3">
      <c r="A1302">
        <v>186607</v>
      </c>
      <c r="B1302">
        <v>138515315</v>
      </c>
      <c r="C1302" t="s">
        <v>6745</v>
      </c>
      <c r="D1302" t="s">
        <v>6746</v>
      </c>
      <c r="E1302" t="s">
        <v>6545</v>
      </c>
      <c r="F1302" t="s">
        <v>514</v>
      </c>
      <c r="G1302" t="s">
        <v>43</v>
      </c>
      <c r="H1302" t="s">
        <v>44</v>
      </c>
      <c r="I1302" t="s">
        <v>34</v>
      </c>
      <c r="J1302" t="s">
        <v>45</v>
      </c>
      <c r="K1302" t="s">
        <v>41</v>
      </c>
      <c r="L1302" t="s">
        <v>6747</v>
      </c>
      <c r="M1302" t="s">
        <v>6748</v>
      </c>
      <c r="N1302" t="s">
        <v>6547</v>
      </c>
      <c r="O1302" t="s">
        <v>80</v>
      </c>
      <c r="P1302" t="s">
        <v>6749</v>
      </c>
      <c r="Q1302" t="s">
        <v>97</v>
      </c>
      <c r="R1302" t="s">
        <v>352</v>
      </c>
      <c r="S1302">
        <v>0.5</v>
      </c>
      <c r="T1302">
        <v>3828</v>
      </c>
      <c r="U1302">
        <v>0</v>
      </c>
      <c r="V1302">
        <v>3828</v>
      </c>
    </row>
    <row r="1303" spans="1:22" x14ac:dyDescent="0.3">
      <c r="A1303">
        <v>186607</v>
      </c>
      <c r="B1303">
        <v>138515290</v>
      </c>
      <c r="C1303" t="s">
        <v>6750</v>
      </c>
      <c r="D1303" t="s">
        <v>6751</v>
      </c>
      <c r="E1303" t="s">
        <v>6545</v>
      </c>
      <c r="F1303" t="s">
        <v>514</v>
      </c>
      <c r="G1303" t="s">
        <v>43</v>
      </c>
      <c r="H1303" t="s">
        <v>44</v>
      </c>
      <c r="I1303" t="s">
        <v>34</v>
      </c>
      <c r="J1303" t="s">
        <v>45</v>
      </c>
      <c r="K1303" t="s">
        <v>41</v>
      </c>
      <c r="L1303" t="s">
        <v>6752</v>
      </c>
      <c r="M1303" t="s">
        <v>6669</v>
      </c>
      <c r="N1303" t="s">
        <v>6547</v>
      </c>
      <c r="O1303" t="s">
        <v>80</v>
      </c>
      <c r="P1303" t="s">
        <v>6670</v>
      </c>
      <c r="Q1303" t="s">
        <v>112</v>
      </c>
      <c r="R1303" t="s">
        <v>352</v>
      </c>
      <c r="S1303">
        <v>0.5</v>
      </c>
      <c r="T1303">
        <v>3431</v>
      </c>
      <c r="U1303">
        <v>0</v>
      </c>
      <c r="V1303">
        <v>3431</v>
      </c>
    </row>
    <row r="1304" spans="1:22" x14ac:dyDescent="0.3">
      <c r="A1304">
        <v>186607</v>
      </c>
      <c r="B1304">
        <v>138377504</v>
      </c>
      <c r="C1304" t="s">
        <v>6753</v>
      </c>
      <c r="D1304" t="s">
        <v>6754</v>
      </c>
      <c r="E1304" t="s">
        <v>6545</v>
      </c>
      <c r="F1304" t="s">
        <v>514</v>
      </c>
      <c r="G1304" t="s">
        <v>43</v>
      </c>
      <c r="H1304" t="s">
        <v>44</v>
      </c>
      <c r="I1304" t="s">
        <v>34</v>
      </c>
      <c r="J1304" t="s">
        <v>45</v>
      </c>
      <c r="K1304" t="s">
        <v>41</v>
      </c>
      <c r="L1304" t="s">
        <v>6755</v>
      </c>
      <c r="M1304" t="s">
        <v>6756</v>
      </c>
      <c r="N1304" t="s">
        <v>6547</v>
      </c>
      <c r="O1304" t="s">
        <v>80</v>
      </c>
      <c r="P1304" t="s">
        <v>6757</v>
      </c>
      <c r="Q1304" t="s">
        <v>67</v>
      </c>
      <c r="R1304" t="s">
        <v>6758</v>
      </c>
      <c r="S1304">
        <v>1</v>
      </c>
      <c r="T1304">
        <v>3936</v>
      </c>
      <c r="U1304">
        <v>0</v>
      </c>
      <c r="V1304">
        <v>3936</v>
      </c>
    </row>
    <row r="1305" spans="1:22" x14ac:dyDescent="0.3">
      <c r="A1305">
        <v>186607</v>
      </c>
      <c r="B1305">
        <v>138475690</v>
      </c>
      <c r="C1305" t="s">
        <v>6759</v>
      </c>
      <c r="D1305" t="s">
        <v>6760</v>
      </c>
      <c r="E1305" t="s">
        <v>6545</v>
      </c>
      <c r="F1305" t="s">
        <v>514</v>
      </c>
      <c r="G1305" t="s">
        <v>43</v>
      </c>
      <c r="H1305" t="s">
        <v>44</v>
      </c>
      <c r="I1305" t="s">
        <v>34</v>
      </c>
      <c r="J1305" t="s">
        <v>45</v>
      </c>
      <c r="K1305" t="s">
        <v>54</v>
      </c>
      <c r="L1305" t="s">
        <v>55</v>
      </c>
      <c r="M1305" t="s">
        <v>6761</v>
      </c>
      <c r="N1305" t="s">
        <v>6547</v>
      </c>
      <c r="O1305" t="s">
        <v>80</v>
      </c>
      <c r="P1305" t="s">
        <v>6762</v>
      </c>
      <c r="Q1305" t="s">
        <v>118</v>
      </c>
      <c r="R1305" t="s">
        <v>411</v>
      </c>
      <c r="S1305">
        <v>0.5</v>
      </c>
      <c r="T1305">
        <v>3828</v>
      </c>
      <c r="U1305">
        <v>0</v>
      </c>
      <c r="V1305">
        <v>3828</v>
      </c>
    </row>
    <row r="1306" spans="1:22" x14ac:dyDescent="0.3">
      <c r="A1306">
        <v>186607</v>
      </c>
      <c r="B1306">
        <v>138411094</v>
      </c>
      <c r="C1306" t="s">
        <v>6763</v>
      </c>
      <c r="D1306" t="s">
        <v>6764</v>
      </c>
      <c r="E1306" t="s">
        <v>6545</v>
      </c>
      <c r="F1306" t="s">
        <v>514</v>
      </c>
      <c r="G1306" t="s">
        <v>43</v>
      </c>
      <c r="H1306" t="s">
        <v>44</v>
      </c>
      <c r="I1306" t="s">
        <v>34</v>
      </c>
      <c r="J1306" t="s">
        <v>45</v>
      </c>
      <c r="K1306" t="s">
        <v>41</v>
      </c>
      <c r="L1306" t="s">
        <v>6765</v>
      </c>
      <c r="M1306" t="s">
        <v>6766</v>
      </c>
      <c r="N1306" t="s">
        <v>6547</v>
      </c>
      <c r="O1306" t="s">
        <v>80</v>
      </c>
      <c r="P1306" t="s">
        <v>6767</v>
      </c>
      <c r="Q1306" t="s">
        <v>124</v>
      </c>
      <c r="R1306" t="s">
        <v>6661</v>
      </c>
      <c r="S1306">
        <v>0.5</v>
      </c>
      <c r="T1306">
        <v>3828</v>
      </c>
      <c r="U1306">
        <v>0</v>
      </c>
      <c r="V1306">
        <v>3828</v>
      </c>
    </row>
    <row r="1307" spans="1:22" x14ac:dyDescent="0.3">
      <c r="A1307">
        <v>186607</v>
      </c>
      <c r="B1307">
        <v>138431740</v>
      </c>
      <c r="C1307" t="s">
        <v>6768</v>
      </c>
      <c r="D1307" t="s">
        <v>6769</v>
      </c>
      <c r="E1307" t="s">
        <v>6545</v>
      </c>
      <c r="F1307" t="s">
        <v>514</v>
      </c>
      <c r="G1307" t="s">
        <v>43</v>
      </c>
      <c r="H1307" t="s">
        <v>44</v>
      </c>
      <c r="I1307" t="s">
        <v>34</v>
      </c>
      <c r="J1307" t="s">
        <v>45</v>
      </c>
      <c r="K1307" t="s">
        <v>41</v>
      </c>
      <c r="L1307" t="s">
        <v>6770</v>
      </c>
      <c r="M1307" t="s">
        <v>6771</v>
      </c>
      <c r="N1307" t="s">
        <v>6547</v>
      </c>
      <c r="O1307" t="s">
        <v>80</v>
      </c>
      <c r="P1307" t="s">
        <v>6772</v>
      </c>
      <c r="Q1307" t="s">
        <v>151</v>
      </c>
      <c r="R1307" t="s">
        <v>316</v>
      </c>
      <c r="S1307">
        <v>0.5</v>
      </c>
      <c r="T1307">
        <v>3828</v>
      </c>
      <c r="U1307">
        <v>0</v>
      </c>
      <c r="V1307">
        <v>3828</v>
      </c>
    </row>
    <row r="1308" spans="1:22" x14ac:dyDescent="0.3">
      <c r="A1308">
        <v>186607</v>
      </c>
      <c r="B1308">
        <v>138373732</v>
      </c>
      <c r="C1308" t="s">
        <v>6773</v>
      </c>
      <c r="D1308" t="s">
        <v>6774</v>
      </c>
      <c r="E1308" t="s">
        <v>6545</v>
      </c>
      <c r="F1308" t="s">
        <v>514</v>
      </c>
      <c r="G1308" t="s">
        <v>43</v>
      </c>
      <c r="H1308" t="s">
        <v>44</v>
      </c>
      <c r="I1308" t="s">
        <v>34</v>
      </c>
      <c r="J1308" t="s">
        <v>45</v>
      </c>
      <c r="K1308" t="s">
        <v>41</v>
      </c>
      <c r="L1308" t="s">
        <v>6775</v>
      </c>
      <c r="M1308" t="s">
        <v>368</v>
      </c>
      <c r="N1308" t="s">
        <v>6547</v>
      </c>
      <c r="O1308" t="s">
        <v>80</v>
      </c>
      <c r="P1308" t="s">
        <v>6776</v>
      </c>
      <c r="Q1308" t="s">
        <v>125</v>
      </c>
      <c r="R1308" t="s">
        <v>493</v>
      </c>
      <c r="S1308">
        <v>1</v>
      </c>
      <c r="T1308">
        <v>4230</v>
      </c>
      <c r="U1308">
        <v>0</v>
      </c>
      <c r="V1308">
        <v>4230</v>
      </c>
    </row>
    <row r="1309" spans="1:22" x14ac:dyDescent="0.3">
      <c r="A1309">
        <v>186607</v>
      </c>
      <c r="B1309">
        <v>138373744</v>
      </c>
      <c r="C1309" t="s">
        <v>6777</v>
      </c>
      <c r="D1309" t="s">
        <v>6778</v>
      </c>
      <c r="E1309" t="s">
        <v>6545</v>
      </c>
      <c r="F1309" t="s">
        <v>514</v>
      </c>
      <c r="G1309" t="s">
        <v>43</v>
      </c>
      <c r="H1309" t="s">
        <v>44</v>
      </c>
      <c r="I1309" t="s">
        <v>34</v>
      </c>
      <c r="J1309" t="s">
        <v>45</v>
      </c>
      <c r="K1309" t="s">
        <v>41</v>
      </c>
      <c r="L1309" t="s">
        <v>6779</v>
      </c>
      <c r="M1309" t="s">
        <v>6780</v>
      </c>
      <c r="N1309" t="s">
        <v>6547</v>
      </c>
      <c r="O1309" t="s">
        <v>80</v>
      </c>
      <c r="P1309" t="s">
        <v>6781</v>
      </c>
      <c r="Q1309" t="s">
        <v>46</v>
      </c>
      <c r="R1309" t="s">
        <v>493</v>
      </c>
      <c r="S1309">
        <v>1.6</v>
      </c>
      <c r="T1309">
        <v>3501</v>
      </c>
      <c r="U1309">
        <v>0</v>
      </c>
      <c r="V1309">
        <v>3501</v>
      </c>
    </row>
    <row r="1310" spans="1:22" x14ac:dyDescent="0.3">
      <c r="A1310">
        <v>186607</v>
      </c>
      <c r="B1310">
        <v>138373731</v>
      </c>
      <c r="C1310" t="s">
        <v>6782</v>
      </c>
      <c r="D1310" t="s">
        <v>6783</v>
      </c>
      <c r="E1310" t="s">
        <v>6545</v>
      </c>
      <c r="F1310" t="s">
        <v>514</v>
      </c>
      <c r="G1310" t="s">
        <v>43</v>
      </c>
      <c r="H1310" t="s">
        <v>44</v>
      </c>
      <c r="I1310" t="s">
        <v>34</v>
      </c>
      <c r="J1310" t="s">
        <v>45</v>
      </c>
      <c r="K1310" t="s">
        <v>41</v>
      </c>
      <c r="L1310" t="s">
        <v>6784</v>
      </c>
      <c r="M1310" t="s">
        <v>6785</v>
      </c>
      <c r="N1310" t="s">
        <v>6547</v>
      </c>
      <c r="O1310" t="s">
        <v>80</v>
      </c>
      <c r="P1310" t="s">
        <v>6786</v>
      </c>
      <c r="Q1310" t="s">
        <v>144</v>
      </c>
      <c r="R1310" t="s">
        <v>493</v>
      </c>
      <c r="S1310">
        <v>0.5</v>
      </c>
      <c r="T1310">
        <v>3828</v>
      </c>
      <c r="U1310">
        <v>0</v>
      </c>
      <c r="V1310">
        <v>3828</v>
      </c>
    </row>
    <row r="1311" spans="1:22" x14ac:dyDescent="0.3">
      <c r="A1311">
        <v>186607</v>
      </c>
      <c r="B1311">
        <v>138475688</v>
      </c>
      <c r="C1311" t="s">
        <v>6787</v>
      </c>
      <c r="D1311" t="s">
        <v>6788</v>
      </c>
      <c r="E1311" t="s">
        <v>6545</v>
      </c>
      <c r="F1311" t="s">
        <v>514</v>
      </c>
      <c r="G1311" t="s">
        <v>43</v>
      </c>
      <c r="H1311" t="s">
        <v>44</v>
      </c>
      <c r="I1311" t="s">
        <v>34</v>
      </c>
      <c r="J1311" t="s">
        <v>45</v>
      </c>
      <c r="K1311" t="s">
        <v>41</v>
      </c>
      <c r="L1311" t="s">
        <v>6789</v>
      </c>
      <c r="M1311" t="s">
        <v>6790</v>
      </c>
      <c r="N1311" t="s">
        <v>6547</v>
      </c>
      <c r="O1311" t="s">
        <v>80</v>
      </c>
      <c r="P1311" t="s">
        <v>6791</v>
      </c>
      <c r="Q1311" t="s">
        <v>47</v>
      </c>
      <c r="R1311" t="s">
        <v>411</v>
      </c>
      <c r="S1311">
        <v>0.5</v>
      </c>
      <c r="T1311">
        <v>3828</v>
      </c>
      <c r="U1311">
        <v>0</v>
      </c>
      <c r="V1311">
        <v>3828</v>
      </c>
    </row>
    <row r="1312" spans="1:22" x14ac:dyDescent="0.3">
      <c r="A1312">
        <v>186607</v>
      </c>
      <c r="B1312">
        <v>138431742</v>
      </c>
      <c r="C1312" t="s">
        <v>6792</v>
      </c>
      <c r="D1312" t="s">
        <v>6793</v>
      </c>
      <c r="E1312" t="s">
        <v>6545</v>
      </c>
      <c r="F1312" t="s">
        <v>514</v>
      </c>
      <c r="G1312" t="s">
        <v>43</v>
      </c>
      <c r="H1312" t="s">
        <v>44</v>
      </c>
      <c r="I1312" t="s">
        <v>34</v>
      </c>
      <c r="J1312" t="s">
        <v>45</v>
      </c>
      <c r="K1312" t="s">
        <v>41</v>
      </c>
      <c r="L1312" t="s">
        <v>942</v>
      </c>
      <c r="M1312" t="s">
        <v>6794</v>
      </c>
      <c r="N1312" t="s">
        <v>6547</v>
      </c>
      <c r="O1312" t="s">
        <v>80</v>
      </c>
      <c r="P1312" t="s">
        <v>6795</v>
      </c>
      <c r="Q1312" t="s">
        <v>97</v>
      </c>
      <c r="R1312" t="s">
        <v>316</v>
      </c>
      <c r="S1312">
        <v>0.5</v>
      </c>
      <c r="T1312">
        <v>3828</v>
      </c>
      <c r="U1312">
        <v>0</v>
      </c>
      <c r="V1312">
        <v>3828</v>
      </c>
    </row>
    <row r="1313" spans="1:22" x14ac:dyDescent="0.3">
      <c r="A1313">
        <v>186607</v>
      </c>
      <c r="B1313">
        <v>138411102</v>
      </c>
      <c r="C1313" t="s">
        <v>6796</v>
      </c>
      <c r="D1313" t="s">
        <v>6797</v>
      </c>
      <c r="E1313" t="s">
        <v>6545</v>
      </c>
      <c r="F1313" t="s">
        <v>514</v>
      </c>
      <c r="G1313" t="s">
        <v>43</v>
      </c>
      <c r="H1313" t="s">
        <v>44</v>
      </c>
      <c r="I1313" t="s">
        <v>34</v>
      </c>
      <c r="J1313" t="s">
        <v>45</v>
      </c>
      <c r="K1313" t="s">
        <v>41</v>
      </c>
      <c r="L1313" t="s">
        <v>6798</v>
      </c>
      <c r="M1313" t="s">
        <v>6799</v>
      </c>
      <c r="N1313" t="s">
        <v>6547</v>
      </c>
      <c r="O1313" t="s">
        <v>80</v>
      </c>
      <c r="P1313" t="s">
        <v>6800</v>
      </c>
      <c r="Q1313" t="s">
        <v>49</v>
      </c>
      <c r="R1313" t="s">
        <v>6661</v>
      </c>
      <c r="S1313">
        <v>0.5</v>
      </c>
      <c r="T1313">
        <v>3587</v>
      </c>
      <c r="U1313">
        <v>0</v>
      </c>
      <c r="V1313">
        <v>3587</v>
      </c>
    </row>
    <row r="1314" spans="1:22" x14ac:dyDescent="0.3">
      <c r="A1314">
        <v>186607</v>
      </c>
      <c r="B1314">
        <v>138373727</v>
      </c>
      <c r="C1314" t="s">
        <v>6801</v>
      </c>
      <c r="D1314" t="s">
        <v>6802</v>
      </c>
      <c r="E1314" t="s">
        <v>6545</v>
      </c>
      <c r="F1314" t="s">
        <v>514</v>
      </c>
      <c r="G1314" t="s">
        <v>43</v>
      </c>
      <c r="H1314" t="s">
        <v>44</v>
      </c>
      <c r="I1314" t="s">
        <v>34</v>
      </c>
      <c r="J1314" t="s">
        <v>45</v>
      </c>
      <c r="K1314" t="s">
        <v>41</v>
      </c>
      <c r="L1314" t="s">
        <v>6803</v>
      </c>
      <c r="M1314" t="s">
        <v>6804</v>
      </c>
      <c r="N1314" t="s">
        <v>6547</v>
      </c>
      <c r="O1314" t="s">
        <v>80</v>
      </c>
      <c r="P1314" t="s">
        <v>6805</v>
      </c>
      <c r="Q1314" t="s">
        <v>49</v>
      </c>
      <c r="R1314" t="s">
        <v>493</v>
      </c>
      <c r="S1314">
        <v>0.5</v>
      </c>
      <c r="T1314">
        <v>3587</v>
      </c>
      <c r="U1314">
        <v>0</v>
      </c>
      <c r="V1314">
        <v>3587</v>
      </c>
    </row>
    <row r="1315" spans="1:22" x14ac:dyDescent="0.3">
      <c r="A1315">
        <v>186607</v>
      </c>
      <c r="B1315">
        <v>138431751</v>
      </c>
      <c r="C1315" t="s">
        <v>6806</v>
      </c>
      <c r="D1315" t="s">
        <v>6807</v>
      </c>
      <c r="E1315" t="s">
        <v>6545</v>
      </c>
      <c r="F1315" t="s">
        <v>514</v>
      </c>
      <c r="G1315" t="s">
        <v>43</v>
      </c>
      <c r="H1315" t="s">
        <v>44</v>
      </c>
      <c r="I1315" t="s">
        <v>34</v>
      </c>
      <c r="J1315" t="s">
        <v>45</v>
      </c>
      <c r="K1315" t="s">
        <v>41</v>
      </c>
      <c r="L1315" t="s">
        <v>6808</v>
      </c>
      <c r="M1315" t="s">
        <v>6809</v>
      </c>
      <c r="N1315" t="s">
        <v>6547</v>
      </c>
      <c r="O1315" t="s">
        <v>80</v>
      </c>
      <c r="P1315" t="s">
        <v>6810</v>
      </c>
      <c r="Q1315" t="s">
        <v>42</v>
      </c>
      <c r="R1315" t="s">
        <v>316</v>
      </c>
      <c r="S1315">
        <v>1</v>
      </c>
      <c r="T1315">
        <v>3936</v>
      </c>
      <c r="U1315">
        <v>0</v>
      </c>
      <c r="V1315">
        <v>3936</v>
      </c>
    </row>
    <row r="1316" spans="1:22" x14ac:dyDescent="0.3">
      <c r="A1316">
        <v>186607</v>
      </c>
      <c r="B1316">
        <v>138383394</v>
      </c>
      <c r="C1316" t="s">
        <v>6811</v>
      </c>
      <c r="D1316" t="s">
        <v>6812</v>
      </c>
      <c r="E1316" t="s">
        <v>6545</v>
      </c>
      <c r="F1316" t="s">
        <v>514</v>
      </c>
      <c r="G1316" t="s">
        <v>43</v>
      </c>
      <c r="H1316" t="s">
        <v>44</v>
      </c>
      <c r="I1316" t="s">
        <v>34</v>
      </c>
      <c r="J1316" t="s">
        <v>45</v>
      </c>
      <c r="K1316" t="s">
        <v>41</v>
      </c>
      <c r="L1316" t="s">
        <v>6813</v>
      </c>
      <c r="M1316" t="s">
        <v>6814</v>
      </c>
      <c r="N1316" t="s">
        <v>6547</v>
      </c>
      <c r="O1316" t="s">
        <v>80</v>
      </c>
      <c r="P1316" t="s">
        <v>6815</v>
      </c>
      <c r="Q1316" t="s">
        <v>61</v>
      </c>
      <c r="R1316" t="s">
        <v>6705</v>
      </c>
      <c r="S1316">
        <v>1.6</v>
      </c>
      <c r="T1316">
        <v>3501</v>
      </c>
      <c r="U1316">
        <v>0</v>
      </c>
      <c r="V1316">
        <v>3501</v>
      </c>
    </row>
    <row r="1317" spans="1:22" x14ac:dyDescent="0.3">
      <c r="A1317">
        <v>186607</v>
      </c>
      <c r="B1317">
        <v>138411085</v>
      </c>
      <c r="C1317" t="s">
        <v>6816</v>
      </c>
      <c r="D1317" t="s">
        <v>6817</v>
      </c>
      <c r="E1317" t="s">
        <v>6545</v>
      </c>
      <c r="F1317" t="s">
        <v>514</v>
      </c>
      <c r="G1317" t="s">
        <v>43</v>
      </c>
      <c r="H1317" t="s">
        <v>44</v>
      </c>
      <c r="I1317" t="s">
        <v>34</v>
      </c>
      <c r="J1317" t="s">
        <v>45</v>
      </c>
      <c r="K1317" t="s">
        <v>41</v>
      </c>
      <c r="L1317" t="s">
        <v>6818</v>
      </c>
      <c r="M1317" t="s">
        <v>6819</v>
      </c>
      <c r="N1317" t="s">
        <v>6547</v>
      </c>
      <c r="O1317" t="s">
        <v>80</v>
      </c>
      <c r="P1317" t="s">
        <v>6820</v>
      </c>
      <c r="Q1317" t="s">
        <v>61</v>
      </c>
      <c r="R1317" t="s">
        <v>6661</v>
      </c>
      <c r="S1317">
        <v>1</v>
      </c>
      <c r="T1317">
        <v>3501</v>
      </c>
      <c r="U1317">
        <v>0</v>
      </c>
      <c r="V1317">
        <v>3501</v>
      </c>
    </row>
    <row r="1318" spans="1:22" x14ac:dyDescent="0.3">
      <c r="A1318">
        <v>186607</v>
      </c>
      <c r="B1318">
        <v>138411075</v>
      </c>
      <c r="C1318" t="s">
        <v>6821</v>
      </c>
      <c r="D1318" t="s">
        <v>6822</v>
      </c>
      <c r="E1318" t="s">
        <v>6545</v>
      </c>
      <c r="F1318" t="s">
        <v>514</v>
      </c>
      <c r="G1318" t="s">
        <v>43</v>
      </c>
      <c r="H1318" t="s">
        <v>44</v>
      </c>
      <c r="I1318" t="s">
        <v>34</v>
      </c>
      <c r="J1318" t="s">
        <v>45</v>
      </c>
      <c r="K1318" t="s">
        <v>41</v>
      </c>
      <c r="L1318" t="s">
        <v>6823</v>
      </c>
      <c r="M1318" t="s">
        <v>397</v>
      </c>
      <c r="N1318" t="s">
        <v>6547</v>
      </c>
      <c r="O1318" t="s">
        <v>80</v>
      </c>
      <c r="P1318" t="s">
        <v>6824</v>
      </c>
      <c r="Q1318" t="s">
        <v>97</v>
      </c>
      <c r="R1318" t="s">
        <v>6661</v>
      </c>
      <c r="S1318">
        <v>1</v>
      </c>
      <c r="T1318">
        <v>4520</v>
      </c>
      <c r="U1318">
        <v>0</v>
      </c>
      <c r="V1318">
        <v>4520</v>
      </c>
    </row>
    <row r="1319" spans="1:22" x14ac:dyDescent="0.3">
      <c r="A1319">
        <v>186607</v>
      </c>
      <c r="B1319">
        <v>138377506</v>
      </c>
      <c r="C1319" t="s">
        <v>6825</v>
      </c>
      <c r="D1319" t="s">
        <v>6826</v>
      </c>
      <c r="E1319" t="s">
        <v>6545</v>
      </c>
      <c r="F1319" t="s">
        <v>514</v>
      </c>
      <c r="G1319" t="s">
        <v>43</v>
      </c>
      <c r="H1319" t="s">
        <v>44</v>
      </c>
      <c r="I1319" t="s">
        <v>34</v>
      </c>
      <c r="J1319" t="s">
        <v>45</v>
      </c>
      <c r="K1319" t="s">
        <v>41</v>
      </c>
      <c r="L1319" t="s">
        <v>6827</v>
      </c>
      <c r="M1319" t="s">
        <v>309</v>
      </c>
      <c r="N1319" t="s">
        <v>6547</v>
      </c>
      <c r="O1319" t="s">
        <v>80</v>
      </c>
      <c r="P1319" t="s">
        <v>6828</v>
      </c>
      <c r="Q1319" t="s">
        <v>75</v>
      </c>
      <c r="R1319" t="s">
        <v>6758</v>
      </c>
      <c r="S1319">
        <v>0.5</v>
      </c>
      <c r="T1319">
        <v>3828</v>
      </c>
      <c r="U1319">
        <v>0</v>
      </c>
      <c r="V1319">
        <v>3828</v>
      </c>
    </row>
    <row r="1320" spans="1:22" x14ac:dyDescent="0.3">
      <c r="A1320">
        <v>186607</v>
      </c>
      <c r="B1320">
        <v>138373747</v>
      </c>
      <c r="C1320" t="s">
        <v>6829</v>
      </c>
      <c r="D1320" t="s">
        <v>6830</v>
      </c>
      <c r="E1320" t="s">
        <v>6545</v>
      </c>
      <c r="F1320" t="s">
        <v>514</v>
      </c>
      <c r="G1320" t="s">
        <v>43</v>
      </c>
      <c r="H1320" t="s">
        <v>44</v>
      </c>
      <c r="I1320" t="s">
        <v>34</v>
      </c>
      <c r="J1320" t="s">
        <v>45</v>
      </c>
      <c r="K1320" t="s">
        <v>41</v>
      </c>
      <c r="L1320" t="s">
        <v>6831</v>
      </c>
      <c r="M1320" t="s">
        <v>6832</v>
      </c>
      <c r="N1320" t="s">
        <v>6547</v>
      </c>
      <c r="O1320" t="s">
        <v>80</v>
      </c>
      <c r="P1320" t="s">
        <v>6833</v>
      </c>
      <c r="Q1320" t="s">
        <v>67</v>
      </c>
      <c r="R1320" t="s">
        <v>493</v>
      </c>
      <c r="S1320">
        <v>0.5</v>
      </c>
      <c r="T1320">
        <v>3587</v>
      </c>
      <c r="U1320">
        <v>0</v>
      </c>
      <c r="V1320">
        <v>3587</v>
      </c>
    </row>
    <row r="1321" spans="1:22" x14ac:dyDescent="0.3">
      <c r="A1321">
        <v>186607</v>
      </c>
      <c r="B1321">
        <v>138383398</v>
      </c>
      <c r="C1321" t="s">
        <v>6834</v>
      </c>
      <c r="D1321" t="s">
        <v>6835</v>
      </c>
      <c r="E1321" t="s">
        <v>6545</v>
      </c>
      <c r="F1321" t="s">
        <v>514</v>
      </c>
      <c r="G1321" t="s">
        <v>43</v>
      </c>
      <c r="H1321" t="s">
        <v>44</v>
      </c>
      <c r="I1321" t="s">
        <v>34</v>
      </c>
      <c r="J1321" t="s">
        <v>45</v>
      </c>
      <c r="K1321" t="s">
        <v>41</v>
      </c>
      <c r="L1321" t="s">
        <v>6836</v>
      </c>
      <c r="M1321" t="s">
        <v>6837</v>
      </c>
      <c r="N1321" t="s">
        <v>6547</v>
      </c>
      <c r="O1321" t="s">
        <v>80</v>
      </c>
      <c r="P1321" t="s">
        <v>6838</v>
      </c>
      <c r="Q1321" t="s">
        <v>47</v>
      </c>
      <c r="R1321" t="s">
        <v>6705</v>
      </c>
      <c r="S1321">
        <v>0.5</v>
      </c>
      <c r="T1321">
        <v>3828</v>
      </c>
      <c r="U1321">
        <v>0</v>
      </c>
      <c r="V1321">
        <v>3828</v>
      </c>
    </row>
    <row r="1322" spans="1:22" x14ac:dyDescent="0.3">
      <c r="A1322">
        <v>186607</v>
      </c>
      <c r="B1322">
        <v>138411105</v>
      </c>
      <c r="C1322" t="s">
        <v>6839</v>
      </c>
      <c r="D1322" t="s">
        <v>6840</v>
      </c>
      <c r="E1322" t="s">
        <v>6545</v>
      </c>
      <c r="F1322" t="s">
        <v>514</v>
      </c>
      <c r="G1322" t="s">
        <v>43</v>
      </c>
      <c r="H1322" t="s">
        <v>44</v>
      </c>
      <c r="I1322" t="s">
        <v>34</v>
      </c>
      <c r="J1322" t="s">
        <v>45</v>
      </c>
      <c r="K1322" t="s">
        <v>41</v>
      </c>
      <c r="L1322" t="s">
        <v>6841</v>
      </c>
      <c r="M1322" t="s">
        <v>6842</v>
      </c>
      <c r="N1322" t="s">
        <v>6547</v>
      </c>
      <c r="O1322" t="s">
        <v>80</v>
      </c>
      <c r="P1322" t="s">
        <v>6843</v>
      </c>
      <c r="Q1322" t="s">
        <v>58</v>
      </c>
      <c r="R1322" t="s">
        <v>6661</v>
      </c>
      <c r="S1322">
        <v>0.5</v>
      </c>
      <c r="T1322">
        <v>3431</v>
      </c>
      <c r="U1322">
        <v>0</v>
      </c>
      <c r="V1322">
        <v>3431</v>
      </c>
    </row>
    <row r="1323" spans="1:22" x14ac:dyDescent="0.3">
      <c r="A1323">
        <v>186607</v>
      </c>
      <c r="B1323">
        <v>138411106</v>
      </c>
      <c r="C1323" t="s">
        <v>6844</v>
      </c>
      <c r="D1323" t="s">
        <v>6845</v>
      </c>
      <c r="E1323" t="s">
        <v>6545</v>
      </c>
      <c r="F1323" t="s">
        <v>514</v>
      </c>
      <c r="G1323" t="s">
        <v>43</v>
      </c>
      <c r="H1323" t="s">
        <v>44</v>
      </c>
      <c r="I1323" t="s">
        <v>34</v>
      </c>
      <c r="J1323" t="s">
        <v>45</v>
      </c>
      <c r="K1323" t="s">
        <v>41</v>
      </c>
      <c r="L1323" t="s">
        <v>6846</v>
      </c>
      <c r="M1323" t="s">
        <v>6847</v>
      </c>
      <c r="N1323" t="s">
        <v>6547</v>
      </c>
      <c r="O1323" t="s">
        <v>80</v>
      </c>
      <c r="P1323" t="s">
        <v>6848</v>
      </c>
      <c r="Q1323" t="s">
        <v>59</v>
      </c>
      <c r="R1323" t="s">
        <v>6661</v>
      </c>
      <c r="S1323">
        <v>4.26</v>
      </c>
      <c r="T1323">
        <v>3949</v>
      </c>
      <c r="U1323">
        <v>0</v>
      </c>
      <c r="V1323">
        <v>3949</v>
      </c>
    </row>
    <row r="1324" spans="1:22" x14ac:dyDescent="0.3">
      <c r="A1324">
        <v>186607</v>
      </c>
      <c r="B1324">
        <v>138411095</v>
      </c>
      <c r="C1324" t="s">
        <v>6849</v>
      </c>
      <c r="D1324" t="s">
        <v>6850</v>
      </c>
      <c r="E1324" t="s">
        <v>6545</v>
      </c>
      <c r="F1324" t="s">
        <v>514</v>
      </c>
      <c r="G1324" t="s">
        <v>43</v>
      </c>
      <c r="H1324" t="s">
        <v>44</v>
      </c>
      <c r="I1324" t="s">
        <v>34</v>
      </c>
      <c r="J1324" t="s">
        <v>45</v>
      </c>
      <c r="K1324" t="s">
        <v>41</v>
      </c>
      <c r="L1324" t="s">
        <v>6851</v>
      </c>
      <c r="M1324" t="s">
        <v>6852</v>
      </c>
      <c r="N1324" t="s">
        <v>6547</v>
      </c>
      <c r="O1324" t="s">
        <v>80</v>
      </c>
      <c r="P1324" t="s">
        <v>6853</v>
      </c>
      <c r="Q1324" t="s">
        <v>61</v>
      </c>
      <c r="R1324" t="s">
        <v>6661</v>
      </c>
      <c r="S1324">
        <v>0.5</v>
      </c>
      <c r="T1324">
        <v>3431</v>
      </c>
      <c r="U1324">
        <v>0</v>
      </c>
      <c r="V1324">
        <v>3431</v>
      </c>
    </row>
    <row r="1325" spans="1:22" x14ac:dyDescent="0.3">
      <c r="A1325">
        <v>186607</v>
      </c>
      <c r="B1325">
        <v>138411098</v>
      </c>
      <c r="C1325" t="s">
        <v>6854</v>
      </c>
      <c r="D1325" t="s">
        <v>6855</v>
      </c>
      <c r="E1325" t="s">
        <v>6545</v>
      </c>
      <c r="F1325" t="s">
        <v>514</v>
      </c>
      <c r="G1325" t="s">
        <v>43</v>
      </c>
      <c r="H1325" t="s">
        <v>44</v>
      </c>
      <c r="I1325" t="s">
        <v>34</v>
      </c>
      <c r="J1325" t="s">
        <v>45</v>
      </c>
      <c r="K1325" t="s">
        <v>41</v>
      </c>
      <c r="L1325" t="s">
        <v>6856</v>
      </c>
      <c r="M1325" t="s">
        <v>6857</v>
      </c>
      <c r="N1325" t="s">
        <v>6547</v>
      </c>
      <c r="O1325" t="s">
        <v>80</v>
      </c>
      <c r="P1325" t="s">
        <v>6858</v>
      </c>
      <c r="Q1325" t="s">
        <v>61</v>
      </c>
      <c r="R1325" t="s">
        <v>6661</v>
      </c>
      <c r="S1325">
        <v>1</v>
      </c>
      <c r="T1325">
        <v>3501</v>
      </c>
      <c r="U1325">
        <v>0</v>
      </c>
      <c r="V1325">
        <v>3501</v>
      </c>
    </row>
    <row r="1326" spans="1:22" x14ac:dyDescent="0.3">
      <c r="A1326">
        <v>186607</v>
      </c>
      <c r="B1326">
        <v>138431734</v>
      </c>
      <c r="C1326" t="s">
        <v>6859</v>
      </c>
      <c r="D1326" t="s">
        <v>6860</v>
      </c>
      <c r="E1326" t="s">
        <v>6545</v>
      </c>
      <c r="F1326" t="s">
        <v>514</v>
      </c>
      <c r="G1326" t="s">
        <v>43</v>
      </c>
      <c r="H1326" t="s">
        <v>44</v>
      </c>
      <c r="I1326" t="s">
        <v>34</v>
      </c>
      <c r="J1326" t="s">
        <v>45</v>
      </c>
      <c r="K1326" t="s">
        <v>41</v>
      </c>
      <c r="L1326" t="s">
        <v>6861</v>
      </c>
      <c r="M1326" t="s">
        <v>6862</v>
      </c>
      <c r="N1326" t="s">
        <v>6547</v>
      </c>
      <c r="O1326" t="s">
        <v>80</v>
      </c>
      <c r="P1326" t="s">
        <v>6863</v>
      </c>
      <c r="Q1326" t="s">
        <v>208</v>
      </c>
      <c r="R1326" t="s">
        <v>316</v>
      </c>
      <c r="S1326">
        <v>0.5</v>
      </c>
      <c r="T1326">
        <v>3828</v>
      </c>
      <c r="U1326">
        <v>0</v>
      </c>
      <c r="V1326">
        <v>3828</v>
      </c>
    </row>
    <row r="1327" spans="1:22" x14ac:dyDescent="0.3">
      <c r="A1327">
        <v>186607</v>
      </c>
      <c r="B1327">
        <v>138373749</v>
      </c>
      <c r="C1327" t="s">
        <v>6864</v>
      </c>
      <c r="D1327" t="s">
        <v>6865</v>
      </c>
      <c r="E1327" t="s">
        <v>6545</v>
      </c>
      <c r="F1327" t="s">
        <v>514</v>
      </c>
      <c r="G1327" t="s">
        <v>43</v>
      </c>
      <c r="H1327" t="s">
        <v>44</v>
      </c>
      <c r="I1327" t="s">
        <v>34</v>
      </c>
      <c r="J1327" t="s">
        <v>45</v>
      </c>
      <c r="K1327" t="s">
        <v>41</v>
      </c>
      <c r="L1327" t="s">
        <v>6866</v>
      </c>
      <c r="M1327" t="s">
        <v>6867</v>
      </c>
      <c r="N1327" t="s">
        <v>6547</v>
      </c>
      <c r="O1327" t="s">
        <v>80</v>
      </c>
      <c r="P1327" t="s">
        <v>6868</v>
      </c>
      <c r="Q1327" t="s">
        <v>101</v>
      </c>
      <c r="R1327" t="s">
        <v>493</v>
      </c>
      <c r="S1327">
        <v>0.5</v>
      </c>
      <c r="T1327">
        <v>3431</v>
      </c>
      <c r="U1327">
        <v>0</v>
      </c>
      <c r="V1327">
        <v>3431</v>
      </c>
    </row>
    <row r="1328" spans="1:22" x14ac:dyDescent="0.3">
      <c r="A1328">
        <v>186607</v>
      </c>
      <c r="B1328">
        <v>138383395</v>
      </c>
      <c r="C1328" t="s">
        <v>6869</v>
      </c>
      <c r="D1328" t="s">
        <v>6870</v>
      </c>
      <c r="E1328" t="s">
        <v>6545</v>
      </c>
      <c r="F1328" t="s">
        <v>514</v>
      </c>
      <c r="G1328" t="s">
        <v>43</v>
      </c>
      <c r="H1328" t="s">
        <v>44</v>
      </c>
      <c r="I1328" t="s">
        <v>34</v>
      </c>
      <c r="J1328" t="s">
        <v>45</v>
      </c>
      <c r="K1328" t="s">
        <v>41</v>
      </c>
      <c r="L1328" t="s">
        <v>6871</v>
      </c>
      <c r="M1328" t="s">
        <v>6872</v>
      </c>
      <c r="N1328" t="s">
        <v>6547</v>
      </c>
      <c r="O1328" t="s">
        <v>80</v>
      </c>
      <c r="P1328" t="s">
        <v>6873</v>
      </c>
      <c r="Q1328" t="s">
        <v>53</v>
      </c>
      <c r="R1328" t="s">
        <v>6705</v>
      </c>
      <c r="S1328">
        <v>0.5</v>
      </c>
      <c r="T1328">
        <v>3587</v>
      </c>
      <c r="U1328">
        <v>0</v>
      </c>
      <c r="V1328">
        <v>3587</v>
      </c>
    </row>
    <row r="1329" spans="1:22" x14ac:dyDescent="0.3">
      <c r="A1329">
        <v>186607</v>
      </c>
      <c r="B1329">
        <v>138373746</v>
      </c>
      <c r="C1329" t="s">
        <v>6874</v>
      </c>
      <c r="D1329" t="s">
        <v>6875</v>
      </c>
      <c r="E1329" t="s">
        <v>6545</v>
      </c>
      <c r="F1329" t="s">
        <v>514</v>
      </c>
      <c r="G1329" t="s">
        <v>43</v>
      </c>
      <c r="H1329" t="s">
        <v>44</v>
      </c>
      <c r="I1329" t="s">
        <v>34</v>
      </c>
      <c r="J1329" t="s">
        <v>45</v>
      </c>
      <c r="K1329" t="s">
        <v>41</v>
      </c>
      <c r="L1329" t="s">
        <v>6876</v>
      </c>
      <c r="M1329" t="s">
        <v>6877</v>
      </c>
      <c r="N1329" t="s">
        <v>6547</v>
      </c>
      <c r="O1329" t="s">
        <v>80</v>
      </c>
      <c r="P1329" t="s">
        <v>6878</v>
      </c>
      <c r="Q1329" t="s">
        <v>169</v>
      </c>
      <c r="R1329" t="s">
        <v>493</v>
      </c>
      <c r="S1329">
        <v>0.5</v>
      </c>
      <c r="T1329">
        <v>3828</v>
      </c>
      <c r="U1329">
        <v>0</v>
      </c>
      <c r="V1329">
        <v>3828</v>
      </c>
    </row>
    <row r="1330" spans="1:22" x14ac:dyDescent="0.3">
      <c r="A1330">
        <v>186607</v>
      </c>
      <c r="B1330">
        <v>138411103</v>
      </c>
      <c r="C1330" t="s">
        <v>6879</v>
      </c>
      <c r="D1330" t="s">
        <v>6880</v>
      </c>
      <c r="E1330" t="s">
        <v>6545</v>
      </c>
      <c r="F1330" t="s">
        <v>514</v>
      </c>
      <c r="G1330" t="s">
        <v>43</v>
      </c>
      <c r="H1330" t="s">
        <v>44</v>
      </c>
      <c r="I1330" t="s">
        <v>34</v>
      </c>
      <c r="J1330" t="s">
        <v>45</v>
      </c>
      <c r="K1330" t="s">
        <v>41</v>
      </c>
      <c r="L1330" t="s">
        <v>6881</v>
      </c>
      <c r="M1330" t="s">
        <v>6882</v>
      </c>
      <c r="N1330" t="s">
        <v>6547</v>
      </c>
      <c r="O1330" t="s">
        <v>80</v>
      </c>
      <c r="P1330" t="s">
        <v>6883</v>
      </c>
      <c r="Q1330" t="s">
        <v>79</v>
      </c>
      <c r="R1330" t="s">
        <v>6661</v>
      </c>
      <c r="S1330">
        <v>0.5</v>
      </c>
      <c r="T1330">
        <v>3431</v>
      </c>
      <c r="U1330">
        <v>0</v>
      </c>
      <c r="V1330">
        <v>3431</v>
      </c>
    </row>
    <row r="1331" spans="1:22" x14ac:dyDescent="0.3">
      <c r="A1331">
        <v>186607</v>
      </c>
      <c r="B1331">
        <v>138411090</v>
      </c>
      <c r="C1331" t="s">
        <v>6884</v>
      </c>
      <c r="D1331" t="s">
        <v>6885</v>
      </c>
      <c r="E1331" t="s">
        <v>6545</v>
      </c>
      <c r="F1331" t="s">
        <v>514</v>
      </c>
      <c r="G1331" t="s">
        <v>43</v>
      </c>
      <c r="H1331" t="s">
        <v>44</v>
      </c>
      <c r="I1331" t="s">
        <v>34</v>
      </c>
      <c r="J1331" t="s">
        <v>45</v>
      </c>
      <c r="K1331" t="s">
        <v>41</v>
      </c>
      <c r="L1331" t="s">
        <v>6886</v>
      </c>
      <c r="M1331" t="s">
        <v>6887</v>
      </c>
      <c r="N1331" t="s">
        <v>6547</v>
      </c>
      <c r="O1331" t="s">
        <v>80</v>
      </c>
      <c r="P1331" t="s">
        <v>6888</v>
      </c>
      <c r="Q1331" t="s">
        <v>181</v>
      </c>
      <c r="R1331" t="s">
        <v>6661</v>
      </c>
      <c r="S1331">
        <v>1</v>
      </c>
      <c r="T1331">
        <v>3904</v>
      </c>
      <c r="U1331">
        <v>0</v>
      </c>
      <c r="V1331">
        <v>3904</v>
      </c>
    </row>
    <row r="1332" spans="1:22" x14ac:dyDescent="0.3">
      <c r="A1332">
        <v>186607</v>
      </c>
      <c r="B1332">
        <v>138377515</v>
      </c>
      <c r="C1332" t="s">
        <v>6889</v>
      </c>
      <c r="D1332" t="s">
        <v>6890</v>
      </c>
      <c r="E1332" t="s">
        <v>6545</v>
      </c>
      <c r="F1332" t="s">
        <v>514</v>
      </c>
      <c r="G1332" t="s">
        <v>43</v>
      </c>
      <c r="H1332" t="s">
        <v>44</v>
      </c>
      <c r="I1332" t="s">
        <v>34</v>
      </c>
      <c r="J1332" t="s">
        <v>45</v>
      </c>
      <c r="K1332" t="s">
        <v>41</v>
      </c>
      <c r="L1332" t="s">
        <v>6891</v>
      </c>
      <c r="M1332" t="s">
        <v>6892</v>
      </c>
      <c r="N1332" t="s">
        <v>6547</v>
      </c>
      <c r="O1332" t="s">
        <v>80</v>
      </c>
      <c r="P1332" t="s">
        <v>6893</v>
      </c>
      <c r="Q1332" t="s">
        <v>42</v>
      </c>
      <c r="R1332" t="s">
        <v>6894</v>
      </c>
      <c r="S1332">
        <v>0.5</v>
      </c>
      <c r="T1332">
        <v>3828</v>
      </c>
      <c r="U1332">
        <v>0</v>
      </c>
      <c r="V1332">
        <v>3828</v>
      </c>
    </row>
    <row r="1333" spans="1:22" x14ac:dyDescent="0.3">
      <c r="A1333">
        <v>186607</v>
      </c>
      <c r="B1333">
        <v>138411078</v>
      </c>
      <c r="C1333" t="s">
        <v>6895</v>
      </c>
      <c r="D1333" t="s">
        <v>6896</v>
      </c>
      <c r="E1333" t="s">
        <v>6545</v>
      </c>
      <c r="F1333" t="s">
        <v>514</v>
      </c>
      <c r="G1333" t="s">
        <v>43</v>
      </c>
      <c r="H1333" t="s">
        <v>44</v>
      </c>
      <c r="I1333" t="s">
        <v>34</v>
      </c>
      <c r="J1333" t="s">
        <v>45</v>
      </c>
      <c r="K1333" t="s">
        <v>41</v>
      </c>
      <c r="L1333" t="s">
        <v>6897</v>
      </c>
      <c r="M1333" t="s">
        <v>6898</v>
      </c>
      <c r="N1333" t="s">
        <v>6547</v>
      </c>
      <c r="O1333" t="s">
        <v>80</v>
      </c>
      <c r="P1333" t="s">
        <v>6899</v>
      </c>
      <c r="Q1333" t="s">
        <v>241</v>
      </c>
      <c r="R1333" t="s">
        <v>6661</v>
      </c>
      <c r="S1333">
        <v>0.5</v>
      </c>
      <c r="T1333">
        <v>3431</v>
      </c>
      <c r="U1333">
        <v>0</v>
      </c>
      <c r="V1333">
        <v>3431</v>
      </c>
    </row>
    <row r="1334" spans="1:22" x14ac:dyDescent="0.3">
      <c r="A1334">
        <v>186607</v>
      </c>
      <c r="B1334">
        <v>138459071</v>
      </c>
      <c r="C1334" t="s">
        <v>6900</v>
      </c>
      <c r="D1334" t="s">
        <v>6901</v>
      </c>
      <c r="E1334" t="s">
        <v>6545</v>
      </c>
      <c r="F1334" t="s">
        <v>514</v>
      </c>
      <c r="G1334" t="s">
        <v>43</v>
      </c>
      <c r="H1334" t="s">
        <v>44</v>
      </c>
      <c r="I1334" t="s">
        <v>34</v>
      </c>
      <c r="J1334" t="s">
        <v>45</v>
      </c>
      <c r="K1334" t="s">
        <v>41</v>
      </c>
      <c r="L1334" t="s">
        <v>6902</v>
      </c>
      <c r="M1334" t="s">
        <v>6903</v>
      </c>
      <c r="N1334" t="s">
        <v>6547</v>
      </c>
      <c r="O1334" t="s">
        <v>80</v>
      </c>
      <c r="P1334" t="s">
        <v>6904</v>
      </c>
      <c r="Q1334" t="s">
        <v>87</v>
      </c>
      <c r="R1334" t="s">
        <v>6905</v>
      </c>
      <c r="S1334">
        <v>1.6</v>
      </c>
      <c r="T1334">
        <v>4025</v>
      </c>
      <c r="U1334">
        <v>0</v>
      </c>
      <c r="V1334">
        <v>4025</v>
      </c>
    </row>
    <row r="1335" spans="1:22" x14ac:dyDescent="0.3">
      <c r="A1335">
        <v>186607</v>
      </c>
      <c r="B1335">
        <v>138411101</v>
      </c>
      <c r="C1335" t="s">
        <v>6906</v>
      </c>
      <c r="D1335" t="s">
        <v>6907</v>
      </c>
      <c r="E1335" t="s">
        <v>6545</v>
      </c>
      <c r="F1335" t="s">
        <v>514</v>
      </c>
      <c r="G1335" t="s">
        <v>43</v>
      </c>
      <c r="H1335" t="s">
        <v>44</v>
      </c>
      <c r="I1335" t="s">
        <v>34</v>
      </c>
      <c r="J1335" t="s">
        <v>45</v>
      </c>
      <c r="K1335" t="s">
        <v>41</v>
      </c>
      <c r="L1335" t="s">
        <v>6908</v>
      </c>
      <c r="M1335" t="s">
        <v>6909</v>
      </c>
      <c r="N1335" t="s">
        <v>6547</v>
      </c>
      <c r="O1335" t="s">
        <v>80</v>
      </c>
      <c r="P1335" t="s">
        <v>6910</v>
      </c>
      <c r="Q1335" t="s">
        <v>102</v>
      </c>
      <c r="R1335" t="s">
        <v>6661</v>
      </c>
      <c r="S1335">
        <v>0.5</v>
      </c>
      <c r="T1335">
        <v>3431</v>
      </c>
      <c r="U1335">
        <v>0</v>
      </c>
      <c r="V1335">
        <v>3431</v>
      </c>
    </row>
    <row r="1336" spans="1:22" x14ac:dyDescent="0.3">
      <c r="A1336">
        <v>186607</v>
      </c>
      <c r="B1336">
        <v>138431757</v>
      </c>
      <c r="C1336" t="s">
        <v>6911</v>
      </c>
      <c r="D1336" t="s">
        <v>6912</v>
      </c>
      <c r="E1336" t="s">
        <v>6545</v>
      </c>
      <c r="F1336" t="s">
        <v>514</v>
      </c>
      <c r="G1336" t="s">
        <v>43</v>
      </c>
      <c r="H1336" t="s">
        <v>44</v>
      </c>
      <c r="I1336" t="s">
        <v>34</v>
      </c>
      <c r="J1336" t="s">
        <v>45</v>
      </c>
      <c r="K1336" t="s">
        <v>41</v>
      </c>
      <c r="L1336" t="s">
        <v>6913</v>
      </c>
      <c r="M1336" t="s">
        <v>6914</v>
      </c>
      <c r="N1336" t="s">
        <v>6547</v>
      </c>
      <c r="O1336" t="s">
        <v>80</v>
      </c>
      <c r="P1336" t="s">
        <v>6915</v>
      </c>
      <c r="Q1336" t="s">
        <v>46</v>
      </c>
      <c r="R1336" t="s">
        <v>316</v>
      </c>
      <c r="S1336">
        <v>1.6</v>
      </c>
      <c r="T1336">
        <v>3501</v>
      </c>
      <c r="U1336">
        <v>0</v>
      </c>
      <c r="V1336">
        <v>3501</v>
      </c>
    </row>
    <row r="1337" spans="1:22" x14ac:dyDescent="0.3">
      <c r="A1337">
        <v>186607</v>
      </c>
      <c r="B1337">
        <v>138338258</v>
      </c>
      <c r="C1337" t="s">
        <v>6916</v>
      </c>
      <c r="D1337" t="s">
        <v>6917</v>
      </c>
      <c r="E1337" t="s">
        <v>6545</v>
      </c>
      <c r="F1337" t="s">
        <v>514</v>
      </c>
      <c r="G1337" t="s">
        <v>43</v>
      </c>
      <c r="H1337" t="s">
        <v>44</v>
      </c>
      <c r="I1337" t="s">
        <v>34</v>
      </c>
      <c r="J1337" t="s">
        <v>45</v>
      </c>
      <c r="K1337" t="s">
        <v>41</v>
      </c>
      <c r="L1337" t="s">
        <v>6918</v>
      </c>
      <c r="M1337" t="s">
        <v>6919</v>
      </c>
      <c r="N1337" t="s">
        <v>6547</v>
      </c>
      <c r="O1337" t="s">
        <v>80</v>
      </c>
      <c r="P1337" t="s">
        <v>6920</v>
      </c>
      <c r="Q1337" t="s">
        <v>111</v>
      </c>
      <c r="R1337" t="s">
        <v>6921</v>
      </c>
      <c r="S1337">
        <v>1</v>
      </c>
      <c r="T1337">
        <v>5696</v>
      </c>
      <c r="U1337">
        <v>0</v>
      </c>
      <c r="V1337">
        <v>5696</v>
      </c>
    </row>
    <row r="1338" spans="1:22" x14ac:dyDescent="0.3">
      <c r="A1338">
        <v>186607</v>
      </c>
      <c r="B1338">
        <v>137122218</v>
      </c>
      <c r="C1338" t="s">
        <v>6922</v>
      </c>
      <c r="D1338" t="s">
        <v>6923</v>
      </c>
      <c r="E1338" t="s">
        <v>6545</v>
      </c>
      <c r="F1338" t="s">
        <v>514</v>
      </c>
      <c r="G1338" t="s">
        <v>43</v>
      </c>
      <c r="H1338" t="s">
        <v>44</v>
      </c>
      <c r="I1338" t="s">
        <v>34</v>
      </c>
      <c r="J1338" t="s">
        <v>45</v>
      </c>
      <c r="K1338" t="s">
        <v>41</v>
      </c>
      <c r="L1338" t="s">
        <v>6924</v>
      </c>
      <c r="M1338" t="s">
        <v>6925</v>
      </c>
      <c r="N1338" t="s">
        <v>6547</v>
      </c>
      <c r="O1338" t="s">
        <v>80</v>
      </c>
      <c r="P1338" t="s">
        <v>6926</v>
      </c>
      <c r="Q1338" t="s">
        <v>201</v>
      </c>
      <c r="R1338" t="s">
        <v>6927</v>
      </c>
      <c r="S1338">
        <v>3.56</v>
      </c>
      <c r="T1338">
        <v>8008</v>
      </c>
      <c r="U1338">
        <v>0</v>
      </c>
      <c r="V1338">
        <v>8008</v>
      </c>
    </row>
    <row r="1339" spans="1:22" x14ac:dyDescent="0.3">
      <c r="A1339">
        <v>186607</v>
      </c>
      <c r="B1339">
        <v>137821989</v>
      </c>
      <c r="C1339" t="s">
        <v>6928</v>
      </c>
      <c r="D1339" t="s">
        <v>6929</v>
      </c>
      <c r="E1339" t="s">
        <v>6545</v>
      </c>
      <c r="F1339" t="s">
        <v>514</v>
      </c>
      <c r="G1339" t="s">
        <v>43</v>
      </c>
      <c r="H1339" t="s">
        <v>44</v>
      </c>
      <c r="I1339" t="s">
        <v>34</v>
      </c>
      <c r="J1339" t="s">
        <v>45</v>
      </c>
      <c r="K1339" t="s">
        <v>41</v>
      </c>
      <c r="L1339" t="s">
        <v>6930</v>
      </c>
      <c r="M1339" t="s">
        <v>6931</v>
      </c>
      <c r="N1339" t="s">
        <v>6547</v>
      </c>
      <c r="O1339" t="s">
        <v>80</v>
      </c>
      <c r="P1339" t="s">
        <v>6932</v>
      </c>
      <c r="Q1339" t="s">
        <v>68</v>
      </c>
      <c r="R1339" t="s">
        <v>6933</v>
      </c>
      <c r="S1339">
        <v>0.5</v>
      </c>
      <c r="T1339">
        <v>5582</v>
      </c>
      <c r="U1339">
        <v>0</v>
      </c>
      <c r="V1339">
        <v>5582</v>
      </c>
    </row>
    <row r="1340" spans="1:22" x14ac:dyDescent="0.3">
      <c r="A1340">
        <v>186607</v>
      </c>
      <c r="B1340">
        <v>137934016</v>
      </c>
      <c r="C1340" t="s">
        <v>6934</v>
      </c>
      <c r="D1340" t="s">
        <v>6935</v>
      </c>
      <c r="E1340" t="s">
        <v>6545</v>
      </c>
      <c r="F1340" t="s">
        <v>514</v>
      </c>
      <c r="G1340" t="s">
        <v>43</v>
      </c>
      <c r="H1340" t="s">
        <v>44</v>
      </c>
      <c r="I1340" t="s">
        <v>34</v>
      </c>
      <c r="J1340" t="s">
        <v>45</v>
      </c>
      <c r="K1340" t="s">
        <v>41</v>
      </c>
      <c r="L1340" t="s">
        <v>6936</v>
      </c>
      <c r="M1340" t="s">
        <v>6937</v>
      </c>
      <c r="N1340" t="s">
        <v>6547</v>
      </c>
      <c r="O1340" t="s">
        <v>80</v>
      </c>
      <c r="P1340" t="s">
        <v>6938</v>
      </c>
      <c r="Q1340" t="s">
        <v>68</v>
      </c>
      <c r="R1340" t="s">
        <v>6939</v>
      </c>
      <c r="S1340">
        <v>1</v>
      </c>
      <c r="T1340">
        <v>5990</v>
      </c>
      <c r="U1340">
        <v>0</v>
      </c>
      <c r="V1340">
        <v>5990</v>
      </c>
    </row>
    <row r="1341" spans="1:22" x14ac:dyDescent="0.3">
      <c r="A1341">
        <v>186607</v>
      </c>
      <c r="B1341">
        <v>137616659</v>
      </c>
      <c r="C1341" t="s">
        <v>6940</v>
      </c>
      <c r="D1341" t="s">
        <v>6941</v>
      </c>
      <c r="E1341" t="s">
        <v>6545</v>
      </c>
      <c r="F1341" t="s">
        <v>514</v>
      </c>
      <c r="G1341" t="s">
        <v>43</v>
      </c>
      <c r="H1341" t="s">
        <v>44</v>
      </c>
      <c r="I1341" t="s">
        <v>34</v>
      </c>
      <c r="J1341" t="s">
        <v>45</v>
      </c>
      <c r="K1341" t="s">
        <v>41</v>
      </c>
      <c r="L1341" t="s">
        <v>6942</v>
      </c>
      <c r="M1341" t="s">
        <v>6943</v>
      </c>
      <c r="N1341" t="s">
        <v>6547</v>
      </c>
      <c r="O1341" t="s">
        <v>80</v>
      </c>
      <c r="P1341" t="s">
        <v>6944</v>
      </c>
      <c r="Q1341" t="s">
        <v>166</v>
      </c>
      <c r="R1341" t="s">
        <v>6945</v>
      </c>
      <c r="S1341">
        <v>0.5</v>
      </c>
      <c r="T1341">
        <v>5367</v>
      </c>
      <c r="U1341">
        <v>0</v>
      </c>
      <c r="V1341">
        <v>5367</v>
      </c>
    </row>
    <row r="1342" spans="1:22" x14ac:dyDescent="0.3">
      <c r="A1342">
        <v>186607</v>
      </c>
      <c r="B1342">
        <v>138133227</v>
      </c>
      <c r="C1342" t="s">
        <v>6946</v>
      </c>
      <c r="D1342" t="s">
        <v>6947</v>
      </c>
      <c r="E1342" t="s">
        <v>6545</v>
      </c>
      <c r="F1342" t="s">
        <v>514</v>
      </c>
      <c r="G1342" t="s">
        <v>43</v>
      </c>
      <c r="H1342" t="s">
        <v>44</v>
      </c>
      <c r="I1342" t="s">
        <v>34</v>
      </c>
      <c r="J1342" t="s">
        <v>45</v>
      </c>
      <c r="K1342" t="s">
        <v>41</v>
      </c>
      <c r="L1342" t="s">
        <v>6948</v>
      </c>
      <c r="M1342" t="s">
        <v>6949</v>
      </c>
      <c r="N1342" t="s">
        <v>6547</v>
      </c>
      <c r="O1342" t="s">
        <v>80</v>
      </c>
      <c r="P1342" t="s">
        <v>6950</v>
      </c>
      <c r="Q1342" t="s">
        <v>62</v>
      </c>
      <c r="R1342" t="s">
        <v>489</v>
      </c>
      <c r="S1342">
        <v>1.22</v>
      </c>
      <c r="T1342">
        <v>3936</v>
      </c>
      <c r="U1342">
        <v>0</v>
      </c>
      <c r="V1342">
        <v>3936</v>
      </c>
    </row>
    <row r="1343" spans="1:22" x14ac:dyDescent="0.3">
      <c r="A1343">
        <v>186607</v>
      </c>
      <c r="B1343">
        <v>137633898</v>
      </c>
      <c r="C1343" t="s">
        <v>6951</v>
      </c>
      <c r="D1343" t="s">
        <v>6952</v>
      </c>
      <c r="E1343" t="s">
        <v>6545</v>
      </c>
      <c r="F1343" t="s">
        <v>514</v>
      </c>
      <c r="G1343" t="s">
        <v>43</v>
      </c>
      <c r="H1343" t="s">
        <v>44</v>
      </c>
      <c r="I1343" t="s">
        <v>34</v>
      </c>
      <c r="J1343" t="s">
        <v>45</v>
      </c>
      <c r="K1343" t="s">
        <v>41</v>
      </c>
      <c r="L1343" t="s">
        <v>6953</v>
      </c>
      <c r="M1343" t="s">
        <v>6954</v>
      </c>
      <c r="N1343" t="s">
        <v>6547</v>
      </c>
      <c r="O1343" t="s">
        <v>80</v>
      </c>
      <c r="P1343" t="s">
        <v>6955</v>
      </c>
      <c r="Q1343" t="s">
        <v>166</v>
      </c>
      <c r="R1343" t="s">
        <v>6956</v>
      </c>
      <c r="S1343">
        <v>1</v>
      </c>
      <c r="T1343">
        <v>5759</v>
      </c>
      <c r="U1343">
        <v>0</v>
      </c>
      <c r="V1343">
        <v>5759</v>
      </c>
    </row>
    <row r="1344" spans="1:22" x14ac:dyDescent="0.3">
      <c r="A1344">
        <v>186607</v>
      </c>
      <c r="B1344">
        <v>137576383</v>
      </c>
      <c r="C1344" t="s">
        <v>6957</v>
      </c>
      <c r="D1344" t="s">
        <v>6958</v>
      </c>
      <c r="E1344" t="s">
        <v>6545</v>
      </c>
      <c r="F1344" t="s">
        <v>514</v>
      </c>
      <c r="G1344" t="s">
        <v>43</v>
      </c>
      <c r="H1344" t="s">
        <v>44</v>
      </c>
      <c r="I1344" t="s">
        <v>34</v>
      </c>
      <c r="J1344" t="s">
        <v>45</v>
      </c>
      <c r="K1344" t="s">
        <v>41</v>
      </c>
      <c r="L1344" t="s">
        <v>6959</v>
      </c>
      <c r="M1344" t="s">
        <v>6960</v>
      </c>
      <c r="N1344" t="s">
        <v>6547</v>
      </c>
      <c r="O1344" t="s">
        <v>80</v>
      </c>
      <c r="P1344" t="s">
        <v>6961</v>
      </c>
      <c r="Q1344" t="s">
        <v>166</v>
      </c>
      <c r="R1344" t="s">
        <v>6962</v>
      </c>
      <c r="S1344">
        <v>0.5</v>
      </c>
      <c r="T1344">
        <v>5367</v>
      </c>
      <c r="U1344">
        <v>0</v>
      </c>
      <c r="V1344">
        <v>5367</v>
      </c>
    </row>
    <row r="1345" spans="1:22" x14ac:dyDescent="0.3">
      <c r="A1345">
        <v>186607</v>
      </c>
      <c r="B1345">
        <v>137633903</v>
      </c>
      <c r="C1345" t="s">
        <v>6963</v>
      </c>
      <c r="D1345" t="s">
        <v>6964</v>
      </c>
      <c r="E1345" t="s">
        <v>6545</v>
      </c>
      <c r="F1345" t="s">
        <v>514</v>
      </c>
      <c r="G1345" t="s">
        <v>43</v>
      </c>
      <c r="H1345" t="s">
        <v>44</v>
      </c>
      <c r="I1345" t="s">
        <v>34</v>
      </c>
      <c r="J1345" t="s">
        <v>45</v>
      </c>
      <c r="K1345" t="s">
        <v>41</v>
      </c>
      <c r="L1345" t="s">
        <v>6965</v>
      </c>
      <c r="M1345" t="s">
        <v>6966</v>
      </c>
      <c r="N1345" t="s">
        <v>6547</v>
      </c>
      <c r="O1345" t="s">
        <v>80</v>
      </c>
      <c r="P1345" t="s">
        <v>6967</v>
      </c>
      <c r="Q1345" t="s">
        <v>166</v>
      </c>
      <c r="R1345" t="s">
        <v>6956</v>
      </c>
      <c r="S1345">
        <v>0.5</v>
      </c>
      <c r="T1345">
        <v>5367</v>
      </c>
      <c r="U1345">
        <v>0</v>
      </c>
      <c r="V1345">
        <v>5367</v>
      </c>
    </row>
    <row r="1346" spans="1:22" x14ac:dyDescent="0.3">
      <c r="A1346">
        <v>186607</v>
      </c>
      <c r="B1346">
        <v>138169222</v>
      </c>
      <c r="C1346" t="s">
        <v>6968</v>
      </c>
      <c r="D1346" t="s">
        <v>6969</v>
      </c>
      <c r="E1346" t="s">
        <v>6545</v>
      </c>
      <c r="F1346" t="s">
        <v>514</v>
      </c>
      <c r="G1346" t="s">
        <v>43</v>
      </c>
      <c r="H1346" t="s">
        <v>44</v>
      </c>
      <c r="I1346" t="s">
        <v>34</v>
      </c>
      <c r="J1346" t="s">
        <v>45</v>
      </c>
      <c r="K1346" t="s">
        <v>41</v>
      </c>
      <c r="L1346" t="s">
        <v>6970</v>
      </c>
      <c r="M1346" t="s">
        <v>6971</v>
      </c>
      <c r="N1346" t="s">
        <v>6547</v>
      </c>
      <c r="O1346" t="s">
        <v>80</v>
      </c>
      <c r="P1346" t="s">
        <v>6972</v>
      </c>
      <c r="Q1346" t="s">
        <v>49</v>
      </c>
      <c r="R1346" t="s">
        <v>443</v>
      </c>
      <c r="S1346">
        <v>1.22</v>
      </c>
      <c r="T1346">
        <v>3642</v>
      </c>
      <c r="U1346">
        <v>0</v>
      </c>
      <c r="V1346">
        <v>3642</v>
      </c>
    </row>
    <row r="1347" spans="1:22" x14ac:dyDescent="0.3">
      <c r="A1347">
        <v>186607</v>
      </c>
      <c r="B1347">
        <v>138169223</v>
      </c>
      <c r="C1347" t="s">
        <v>6973</v>
      </c>
      <c r="D1347" t="s">
        <v>6974</v>
      </c>
      <c r="E1347" t="s">
        <v>6545</v>
      </c>
      <c r="F1347" t="s">
        <v>514</v>
      </c>
      <c r="G1347" t="s">
        <v>43</v>
      </c>
      <c r="H1347" t="s">
        <v>44</v>
      </c>
      <c r="I1347" t="s">
        <v>34</v>
      </c>
      <c r="J1347" t="s">
        <v>45</v>
      </c>
      <c r="K1347" t="s">
        <v>41</v>
      </c>
      <c r="L1347" t="s">
        <v>6975</v>
      </c>
      <c r="M1347" t="s">
        <v>6976</v>
      </c>
      <c r="N1347" t="s">
        <v>6547</v>
      </c>
      <c r="O1347" t="s">
        <v>80</v>
      </c>
      <c r="P1347" t="s">
        <v>6977</v>
      </c>
      <c r="Q1347" t="s">
        <v>52</v>
      </c>
      <c r="R1347" t="s">
        <v>443</v>
      </c>
      <c r="S1347">
        <v>1.22</v>
      </c>
      <c r="T1347">
        <v>4230</v>
      </c>
      <c r="U1347">
        <v>0</v>
      </c>
      <c r="V1347">
        <v>4230</v>
      </c>
    </row>
    <row r="1348" spans="1:22" x14ac:dyDescent="0.3">
      <c r="A1348">
        <v>186607</v>
      </c>
      <c r="B1348">
        <v>137669976</v>
      </c>
      <c r="C1348" t="s">
        <v>6978</v>
      </c>
      <c r="D1348" t="s">
        <v>6979</v>
      </c>
      <c r="E1348" t="s">
        <v>6545</v>
      </c>
      <c r="F1348" t="s">
        <v>514</v>
      </c>
      <c r="G1348" t="s">
        <v>43</v>
      </c>
      <c r="H1348" t="s">
        <v>44</v>
      </c>
      <c r="I1348" t="s">
        <v>34</v>
      </c>
      <c r="J1348" t="s">
        <v>45</v>
      </c>
      <c r="K1348" t="s">
        <v>41</v>
      </c>
      <c r="L1348" t="s">
        <v>6980</v>
      </c>
      <c r="M1348" t="s">
        <v>6981</v>
      </c>
      <c r="N1348" t="s">
        <v>6547</v>
      </c>
      <c r="O1348" t="s">
        <v>80</v>
      </c>
      <c r="P1348" t="s">
        <v>6982</v>
      </c>
      <c r="Q1348" t="s">
        <v>68</v>
      </c>
      <c r="R1348" t="s">
        <v>6983</v>
      </c>
      <c r="S1348">
        <v>0.5</v>
      </c>
      <c r="T1348">
        <v>5367</v>
      </c>
      <c r="U1348">
        <v>0</v>
      </c>
      <c r="V1348">
        <v>5367</v>
      </c>
    </row>
    <row r="1349" spans="1:22" x14ac:dyDescent="0.3">
      <c r="A1349">
        <v>186607</v>
      </c>
      <c r="B1349">
        <v>138141964</v>
      </c>
      <c r="C1349" t="s">
        <v>6984</v>
      </c>
      <c r="D1349" t="s">
        <v>6985</v>
      </c>
      <c r="E1349" t="s">
        <v>6545</v>
      </c>
      <c r="F1349" t="s">
        <v>514</v>
      </c>
      <c r="G1349" t="s">
        <v>43</v>
      </c>
      <c r="H1349" t="s">
        <v>44</v>
      </c>
      <c r="I1349" t="s">
        <v>34</v>
      </c>
      <c r="J1349" t="s">
        <v>45</v>
      </c>
      <c r="K1349" t="s">
        <v>41</v>
      </c>
      <c r="L1349" t="s">
        <v>6986</v>
      </c>
      <c r="M1349" t="s">
        <v>6987</v>
      </c>
      <c r="N1349" t="s">
        <v>6547</v>
      </c>
      <c r="O1349" t="s">
        <v>80</v>
      </c>
      <c r="P1349" t="s">
        <v>6988</v>
      </c>
      <c r="Q1349" t="s">
        <v>103</v>
      </c>
      <c r="R1349" t="s">
        <v>6989</v>
      </c>
      <c r="S1349">
        <v>0.5</v>
      </c>
      <c r="T1349">
        <v>3431</v>
      </c>
      <c r="U1349">
        <v>0</v>
      </c>
      <c r="V1349">
        <v>3431</v>
      </c>
    </row>
    <row r="1350" spans="1:22" x14ac:dyDescent="0.3">
      <c r="A1350">
        <v>186607</v>
      </c>
      <c r="B1350">
        <v>138070941</v>
      </c>
      <c r="C1350" t="s">
        <v>6990</v>
      </c>
      <c r="D1350" t="s">
        <v>6991</v>
      </c>
      <c r="E1350" t="s">
        <v>6545</v>
      </c>
      <c r="F1350" t="s">
        <v>514</v>
      </c>
      <c r="G1350" t="s">
        <v>43</v>
      </c>
      <c r="H1350" t="s">
        <v>44</v>
      </c>
      <c r="I1350" t="s">
        <v>34</v>
      </c>
      <c r="J1350" t="s">
        <v>45</v>
      </c>
      <c r="K1350" t="s">
        <v>41</v>
      </c>
      <c r="L1350" t="s">
        <v>6992</v>
      </c>
      <c r="M1350" t="s">
        <v>6674</v>
      </c>
      <c r="N1350" t="s">
        <v>6547</v>
      </c>
      <c r="O1350" t="s">
        <v>80</v>
      </c>
      <c r="P1350" t="s">
        <v>6993</v>
      </c>
      <c r="Q1350" t="s">
        <v>82</v>
      </c>
      <c r="R1350" t="s">
        <v>402</v>
      </c>
      <c r="S1350">
        <v>1.98</v>
      </c>
      <c r="T1350">
        <v>5990</v>
      </c>
      <c r="U1350">
        <v>0</v>
      </c>
      <c r="V1350">
        <v>5990</v>
      </c>
    </row>
    <row r="1351" spans="1:22" x14ac:dyDescent="0.3">
      <c r="A1351">
        <v>186607</v>
      </c>
      <c r="B1351">
        <v>138051813</v>
      </c>
      <c r="C1351" t="s">
        <v>6994</v>
      </c>
      <c r="D1351" t="s">
        <v>6995</v>
      </c>
      <c r="E1351" t="s">
        <v>6545</v>
      </c>
      <c r="F1351" t="s">
        <v>514</v>
      </c>
      <c r="G1351" t="s">
        <v>43</v>
      </c>
      <c r="H1351" t="s">
        <v>44</v>
      </c>
      <c r="I1351" t="s">
        <v>34</v>
      </c>
      <c r="J1351" t="s">
        <v>45</v>
      </c>
      <c r="K1351" t="s">
        <v>41</v>
      </c>
      <c r="L1351" t="s">
        <v>6996</v>
      </c>
      <c r="M1351" t="s">
        <v>6997</v>
      </c>
      <c r="N1351" t="s">
        <v>6547</v>
      </c>
      <c r="O1351" t="s">
        <v>80</v>
      </c>
      <c r="P1351" t="s">
        <v>6998</v>
      </c>
      <c r="Q1351" t="s">
        <v>111</v>
      </c>
      <c r="R1351" t="s">
        <v>6999</v>
      </c>
      <c r="S1351">
        <v>2.46</v>
      </c>
      <c r="T1351">
        <v>5696</v>
      </c>
      <c r="U1351">
        <v>0</v>
      </c>
      <c r="V1351">
        <v>5696</v>
      </c>
    </row>
    <row r="1352" spans="1:22" x14ac:dyDescent="0.3">
      <c r="A1352">
        <v>186607</v>
      </c>
      <c r="B1352">
        <v>138051805</v>
      </c>
      <c r="C1352" t="s">
        <v>7000</v>
      </c>
      <c r="D1352" t="s">
        <v>7001</v>
      </c>
      <c r="E1352" t="s">
        <v>6545</v>
      </c>
      <c r="F1352" t="s">
        <v>514</v>
      </c>
      <c r="G1352" t="s">
        <v>43</v>
      </c>
      <c r="H1352" t="s">
        <v>44</v>
      </c>
      <c r="I1352" t="s">
        <v>34</v>
      </c>
      <c r="J1352" t="s">
        <v>45</v>
      </c>
      <c r="K1352" t="s">
        <v>41</v>
      </c>
      <c r="L1352" t="s">
        <v>7002</v>
      </c>
      <c r="M1352" t="s">
        <v>7003</v>
      </c>
      <c r="N1352" t="s">
        <v>6547</v>
      </c>
      <c r="O1352" t="s">
        <v>80</v>
      </c>
      <c r="P1352" t="s">
        <v>7004</v>
      </c>
      <c r="Q1352" t="s">
        <v>102</v>
      </c>
      <c r="R1352" t="s">
        <v>6999</v>
      </c>
      <c r="S1352">
        <v>0.5</v>
      </c>
      <c r="T1352">
        <v>3431</v>
      </c>
      <c r="U1352">
        <v>0</v>
      </c>
      <c r="V1352">
        <v>3431</v>
      </c>
    </row>
    <row r="1353" spans="1:22" x14ac:dyDescent="0.3">
      <c r="A1353">
        <v>186607</v>
      </c>
      <c r="B1353">
        <v>138096145</v>
      </c>
      <c r="C1353" t="s">
        <v>7005</v>
      </c>
      <c r="D1353" t="s">
        <v>7006</v>
      </c>
      <c r="E1353" t="s">
        <v>6545</v>
      </c>
      <c r="F1353" t="s">
        <v>514</v>
      </c>
      <c r="G1353" t="s">
        <v>43</v>
      </c>
      <c r="H1353" t="s">
        <v>44</v>
      </c>
      <c r="I1353" t="s">
        <v>34</v>
      </c>
      <c r="J1353" t="s">
        <v>45</v>
      </c>
      <c r="K1353" t="s">
        <v>41</v>
      </c>
      <c r="L1353" t="s">
        <v>7007</v>
      </c>
      <c r="M1353" t="s">
        <v>7008</v>
      </c>
      <c r="N1353" t="s">
        <v>6547</v>
      </c>
      <c r="O1353" t="s">
        <v>80</v>
      </c>
      <c r="P1353" t="s">
        <v>7009</v>
      </c>
      <c r="Q1353" t="s">
        <v>50</v>
      </c>
      <c r="R1353" t="s">
        <v>7010</v>
      </c>
      <c r="S1353">
        <v>1</v>
      </c>
      <c r="T1353">
        <v>5406</v>
      </c>
      <c r="U1353">
        <v>0</v>
      </c>
      <c r="V1353">
        <v>5406</v>
      </c>
    </row>
    <row r="1354" spans="1:22" x14ac:dyDescent="0.3">
      <c r="A1354">
        <v>186607</v>
      </c>
      <c r="B1354">
        <v>138051809</v>
      </c>
      <c r="C1354" t="s">
        <v>7011</v>
      </c>
      <c r="D1354" t="s">
        <v>7012</v>
      </c>
      <c r="E1354" t="s">
        <v>6545</v>
      </c>
      <c r="F1354" t="s">
        <v>514</v>
      </c>
      <c r="G1354" t="s">
        <v>43</v>
      </c>
      <c r="H1354" t="s">
        <v>44</v>
      </c>
      <c r="I1354" t="s">
        <v>34</v>
      </c>
      <c r="J1354" t="s">
        <v>45</v>
      </c>
      <c r="K1354" t="s">
        <v>41</v>
      </c>
      <c r="L1354" t="s">
        <v>7013</v>
      </c>
      <c r="M1354" t="s">
        <v>7014</v>
      </c>
      <c r="N1354" t="s">
        <v>6547</v>
      </c>
      <c r="O1354" t="s">
        <v>80</v>
      </c>
      <c r="P1354" t="s">
        <v>7015</v>
      </c>
      <c r="Q1354" t="s">
        <v>108</v>
      </c>
      <c r="R1354" t="s">
        <v>6999</v>
      </c>
      <c r="S1354">
        <v>1.7</v>
      </c>
      <c r="T1354">
        <v>3501</v>
      </c>
      <c r="U1354">
        <v>0</v>
      </c>
      <c r="V1354">
        <v>3501</v>
      </c>
    </row>
    <row r="1355" spans="1:22" x14ac:dyDescent="0.3">
      <c r="A1355">
        <v>186607</v>
      </c>
      <c r="B1355">
        <v>138096144</v>
      </c>
      <c r="C1355" t="s">
        <v>7016</v>
      </c>
      <c r="D1355" t="s">
        <v>7017</v>
      </c>
      <c r="E1355" t="s">
        <v>6545</v>
      </c>
      <c r="F1355" t="s">
        <v>514</v>
      </c>
      <c r="G1355" t="s">
        <v>43</v>
      </c>
      <c r="H1355" t="s">
        <v>44</v>
      </c>
      <c r="I1355" t="s">
        <v>34</v>
      </c>
      <c r="J1355" t="s">
        <v>45</v>
      </c>
      <c r="K1355" t="s">
        <v>41</v>
      </c>
      <c r="L1355" t="s">
        <v>7018</v>
      </c>
      <c r="M1355" t="s">
        <v>7019</v>
      </c>
      <c r="N1355" t="s">
        <v>6547</v>
      </c>
      <c r="O1355" t="s">
        <v>80</v>
      </c>
      <c r="P1355" t="s">
        <v>7020</v>
      </c>
      <c r="Q1355" t="s">
        <v>58</v>
      </c>
      <c r="R1355" t="s">
        <v>7010</v>
      </c>
      <c r="S1355">
        <v>1.25</v>
      </c>
      <c r="T1355">
        <v>3501</v>
      </c>
      <c r="U1355">
        <v>0</v>
      </c>
      <c r="V1355">
        <v>3501</v>
      </c>
    </row>
    <row r="1356" spans="1:22" x14ac:dyDescent="0.3">
      <c r="A1356">
        <v>186607</v>
      </c>
      <c r="B1356">
        <v>138096139</v>
      </c>
      <c r="C1356" t="s">
        <v>7021</v>
      </c>
      <c r="D1356" t="s">
        <v>7022</v>
      </c>
      <c r="E1356" t="s">
        <v>6545</v>
      </c>
      <c r="F1356" t="s">
        <v>514</v>
      </c>
      <c r="G1356" t="s">
        <v>43</v>
      </c>
      <c r="H1356" t="s">
        <v>44</v>
      </c>
      <c r="I1356" t="s">
        <v>34</v>
      </c>
      <c r="J1356" t="s">
        <v>45</v>
      </c>
      <c r="K1356" t="s">
        <v>41</v>
      </c>
      <c r="L1356" t="s">
        <v>7023</v>
      </c>
      <c r="M1356" t="s">
        <v>7024</v>
      </c>
      <c r="N1356" t="s">
        <v>6547</v>
      </c>
      <c r="O1356" t="s">
        <v>80</v>
      </c>
      <c r="P1356" t="s">
        <v>7025</v>
      </c>
      <c r="Q1356" t="s">
        <v>73</v>
      </c>
      <c r="R1356" t="s">
        <v>7010</v>
      </c>
      <c r="S1356">
        <v>2.69</v>
      </c>
      <c r="T1356">
        <v>3904</v>
      </c>
      <c r="U1356">
        <v>0</v>
      </c>
      <c r="V1356">
        <v>3904</v>
      </c>
    </row>
    <row r="1357" spans="1:22" x14ac:dyDescent="0.3">
      <c r="A1357">
        <v>186607</v>
      </c>
      <c r="B1357">
        <v>138051808</v>
      </c>
      <c r="C1357" t="s">
        <v>7026</v>
      </c>
      <c r="D1357" t="s">
        <v>7027</v>
      </c>
      <c r="E1357" t="s">
        <v>6545</v>
      </c>
      <c r="F1357" t="s">
        <v>514</v>
      </c>
      <c r="G1357" t="s">
        <v>43</v>
      </c>
      <c r="H1357" t="s">
        <v>44</v>
      </c>
      <c r="I1357" t="s">
        <v>34</v>
      </c>
      <c r="J1357" t="s">
        <v>45</v>
      </c>
      <c r="K1357" t="s">
        <v>41</v>
      </c>
      <c r="L1357" t="s">
        <v>7028</v>
      </c>
      <c r="M1357" t="s">
        <v>7029</v>
      </c>
      <c r="N1357" t="s">
        <v>6547</v>
      </c>
      <c r="O1357" t="s">
        <v>80</v>
      </c>
      <c r="P1357" t="s">
        <v>7030</v>
      </c>
      <c r="Q1357" t="s">
        <v>46</v>
      </c>
      <c r="R1357" t="s">
        <v>6999</v>
      </c>
      <c r="S1357">
        <v>2.31</v>
      </c>
      <c r="T1357">
        <v>3501</v>
      </c>
      <c r="U1357">
        <v>0</v>
      </c>
      <c r="V1357">
        <v>3501</v>
      </c>
    </row>
    <row r="1358" spans="1:22" x14ac:dyDescent="0.3">
      <c r="A1358">
        <v>186607</v>
      </c>
      <c r="B1358">
        <v>138096138</v>
      </c>
      <c r="C1358" t="s">
        <v>7031</v>
      </c>
      <c r="D1358" t="s">
        <v>7032</v>
      </c>
      <c r="E1358" t="s">
        <v>6545</v>
      </c>
      <c r="F1358" t="s">
        <v>514</v>
      </c>
      <c r="G1358" t="s">
        <v>43</v>
      </c>
      <c r="H1358" t="s">
        <v>44</v>
      </c>
      <c r="I1358" t="s">
        <v>34</v>
      </c>
      <c r="J1358" t="s">
        <v>45</v>
      </c>
      <c r="K1358" t="s">
        <v>41</v>
      </c>
      <c r="L1358" t="s">
        <v>7033</v>
      </c>
      <c r="M1358" t="s">
        <v>7034</v>
      </c>
      <c r="N1358" t="s">
        <v>6547</v>
      </c>
      <c r="O1358" t="s">
        <v>80</v>
      </c>
      <c r="P1358" t="s">
        <v>7035</v>
      </c>
      <c r="Q1358" t="s">
        <v>72</v>
      </c>
      <c r="R1358" t="s">
        <v>7010</v>
      </c>
      <c r="S1358">
        <v>2.1</v>
      </c>
      <c r="T1358">
        <v>3936</v>
      </c>
      <c r="U1358">
        <v>0</v>
      </c>
      <c r="V1358">
        <v>3936</v>
      </c>
    </row>
    <row r="1359" spans="1:22" x14ac:dyDescent="0.3">
      <c r="A1359">
        <v>186607</v>
      </c>
      <c r="B1359">
        <v>138070935</v>
      </c>
      <c r="C1359" t="s">
        <v>7036</v>
      </c>
      <c r="D1359" t="s">
        <v>7037</v>
      </c>
      <c r="E1359" t="s">
        <v>6545</v>
      </c>
      <c r="F1359" t="s">
        <v>514</v>
      </c>
      <c r="G1359" t="s">
        <v>43</v>
      </c>
      <c r="H1359" t="s">
        <v>44</v>
      </c>
      <c r="I1359" t="s">
        <v>34</v>
      </c>
      <c r="J1359" t="s">
        <v>45</v>
      </c>
      <c r="K1359" t="s">
        <v>41</v>
      </c>
      <c r="L1359" t="s">
        <v>7038</v>
      </c>
      <c r="M1359" t="s">
        <v>6892</v>
      </c>
      <c r="N1359" t="s">
        <v>6547</v>
      </c>
      <c r="O1359" t="s">
        <v>80</v>
      </c>
      <c r="P1359" t="s">
        <v>6893</v>
      </c>
      <c r="Q1359" t="s">
        <v>42</v>
      </c>
      <c r="R1359" t="s">
        <v>402</v>
      </c>
      <c r="S1359">
        <v>1.48</v>
      </c>
      <c r="T1359">
        <v>3936</v>
      </c>
      <c r="U1359">
        <v>0</v>
      </c>
      <c r="V1359">
        <v>3936</v>
      </c>
    </row>
    <row r="1360" spans="1:22" x14ac:dyDescent="0.3">
      <c r="A1360">
        <v>186607</v>
      </c>
      <c r="B1360">
        <v>138028467</v>
      </c>
      <c r="C1360" t="s">
        <v>7039</v>
      </c>
      <c r="D1360" t="s">
        <v>7040</v>
      </c>
      <c r="E1360" t="s">
        <v>6545</v>
      </c>
      <c r="F1360" t="s">
        <v>514</v>
      </c>
      <c r="G1360" t="s">
        <v>43</v>
      </c>
      <c r="H1360" t="s">
        <v>44</v>
      </c>
      <c r="I1360" t="s">
        <v>34</v>
      </c>
      <c r="J1360" t="s">
        <v>45</v>
      </c>
      <c r="K1360" t="s">
        <v>41</v>
      </c>
      <c r="L1360" t="s">
        <v>7041</v>
      </c>
      <c r="M1360" t="s">
        <v>7042</v>
      </c>
      <c r="N1360" t="s">
        <v>6547</v>
      </c>
      <c r="O1360" t="s">
        <v>80</v>
      </c>
      <c r="P1360" t="s">
        <v>7043</v>
      </c>
      <c r="Q1360" t="s">
        <v>97</v>
      </c>
      <c r="R1360" t="s">
        <v>274</v>
      </c>
      <c r="S1360">
        <v>0.5</v>
      </c>
      <c r="T1360">
        <v>3828</v>
      </c>
      <c r="U1360">
        <v>0</v>
      </c>
      <c r="V1360">
        <v>3828</v>
      </c>
    </row>
    <row r="1361" spans="1:22" x14ac:dyDescent="0.3">
      <c r="A1361">
        <v>186607</v>
      </c>
      <c r="B1361">
        <v>137910149</v>
      </c>
      <c r="C1361" t="s">
        <v>7044</v>
      </c>
      <c r="D1361" t="s">
        <v>7045</v>
      </c>
      <c r="E1361" t="s">
        <v>6545</v>
      </c>
      <c r="F1361" t="s">
        <v>514</v>
      </c>
      <c r="G1361" t="s">
        <v>43</v>
      </c>
      <c r="H1361" t="s">
        <v>44</v>
      </c>
      <c r="I1361" t="s">
        <v>34</v>
      </c>
      <c r="J1361" t="s">
        <v>45</v>
      </c>
      <c r="K1361" t="s">
        <v>41</v>
      </c>
      <c r="L1361" t="s">
        <v>7046</v>
      </c>
      <c r="M1361" t="s">
        <v>7047</v>
      </c>
      <c r="N1361" t="s">
        <v>6547</v>
      </c>
      <c r="O1361" t="s">
        <v>80</v>
      </c>
      <c r="P1361" t="s">
        <v>7048</v>
      </c>
      <c r="Q1361" t="s">
        <v>98</v>
      </c>
      <c r="R1361" t="s">
        <v>7049</v>
      </c>
      <c r="S1361">
        <v>0.5</v>
      </c>
      <c r="T1361">
        <v>4230</v>
      </c>
      <c r="U1361">
        <v>0</v>
      </c>
      <c r="V1361">
        <v>4230</v>
      </c>
    </row>
    <row r="1362" spans="1:22" x14ac:dyDescent="0.3">
      <c r="A1362">
        <v>186607</v>
      </c>
      <c r="B1362">
        <v>138009066</v>
      </c>
      <c r="C1362" t="s">
        <v>7050</v>
      </c>
      <c r="D1362" t="s">
        <v>7051</v>
      </c>
      <c r="E1362" t="s">
        <v>6545</v>
      </c>
      <c r="F1362" t="s">
        <v>514</v>
      </c>
      <c r="G1362" t="s">
        <v>43</v>
      </c>
      <c r="H1362" t="s">
        <v>44</v>
      </c>
      <c r="I1362" t="s">
        <v>34</v>
      </c>
      <c r="J1362" t="s">
        <v>45</v>
      </c>
      <c r="K1362" t="s">
        <v>41</v>
      </c>
      <c r="L1362" t="s">
        <v>7052</v>
      </c>
      <c r="M1362" t="s">
        <v>7053</v>
      </c>
      <c r="N1362" t="s">
        <v>6547</v>
      </c>
      <c r="O1362" t="s">
        <v>80</v>
      </c>
      <c r="P1362" t="s">
        <v>7054</v>
      </c>
      <c r="Q1362" t="s">
        <v>52</v>
      </c>
      <c r="R1362" t="s">
        <v>7055</v>
      </c>
      <c r="S1362">
        <v>1.8</v>
      </c>
      <c r="T1362">
        <v>4230</v>
      </c>
      <c r="U1362">
        <v>0</v>
      </c>
      <c r="V1362">
        <v>4230</v>
      </c>
    </row>
    <row r="1363" spans="1:22" x14ac:dyDescent="0.3">
      <c r="A1363">
        <v>186607</v>
      </c>
      <c r="B1363">
        <v>138009076</v>
      </c>
      <c r="C1363" t="s">
        <v>7056</v>
      </c>
      <c r="D1363" t="s">
        <v>7057</v>
      </c>
      <c r="E1363" t="s">
        <v>6545</v>
      </c>
      <c r="F1363" t="s">
        <v>514</v>
      </c>
      <c r="G1363" t="s">
        <v>43</v>
      </c>
      <c r="H1363" t="s">
        <v>44</v>
      </c>
      <c r="I1363" t="s">
        <v>34</v>
      </c>
      <c r="J1363" t="s">
        <v>45</v>
      </c>
      <c r="K1363" t="s">
        <v>41</v>
      </c>
      <c r="L1363" t="s">
        <v>7058</v>
      </c>
      <c r="M1363" t="s">
        <v>7059</v>
      </c>
      <c r="N1363" t="s">
        <v>6547</v>
      </c>
      <c r="O1363" t="s">
        <v>80</v>
      </c>
      <c r="P1363" t="s">
        <v>7060</v>
      </c>
      <c r="Q1363" t="s">
        <v>118</v>
      </c>
      <c r="R1363" t="s">
        <v>7055</v>
      </c>
      <c r="S1363">
        <v>3.77</v>
      </c>
      <c r="T1363">
        <v>5316</v>
      </c>
      <c r="U1363">
        <v>0</v>
      </c>
      <c r="V1363">
        <v>5316</v>
      </c>
    </row>
    <row r="1364" spans="1:22" x14ac:dyDescent="0.3">
      <c r="A1364">
        <v>186607</v>
      </c>
      <c r="B1364">
        <v>138028471</v>
      </c>
      <c r="C1364" t="s">
        <v>7061</v>
      </c>
      <c r="D1364" t="s">
        <v>7062</v>
      </c>
      <c r="E1364" t="s">
        <v>6545</v>
      </c>
      <c r="F1364" t="s">
        <v>514</v>
      </c>
      <c r="G1364" t="s">
        <v>43</v>
      </c>
      <c r="H1364" t="s">
        <v>44</v>
      </c>
      <c r="I1364" t="s">
        <v>34</v>
      </c>
      <c r="J1364" t="s">
        <v>45</v>
      </c>
      <c r="K1364" t="s">
        <v>41</v>
      </c>
      <c r="L1364" t="s">
        <v>7063</v>
      </c>
      <c r="M1364" t="s">
        <v>7064</v>
      </c>
      <c r="N1364" t="s">
        <v>6547</v>
      </c>
      <c r="O1364" t="s">
        <v>80</v>
      </c>
      <c r="P1364" t="s">
        <v>7065</v>
      </c>
      <c r="Q1364" t="s">
        <v>151</v>
      </c>
      <c r="R1364" t="s">
        <v>274</v>
      </c>
      <c r="S1364">
        <v>0.5</v>
      </c>
      <c r="T1364">
        <v>3828</v>
      </c>
      <c r="U1364">
        <v>0</v>
      </c>
      <c r="V1364">
        <v>3828</v>
      </c>
    </row>
    <row r="1365" spans="1:22" x14ac:dyDescent="0.3">
      <c r="A1365">
        <v>186607</v>
      </c>
      <c r="B1365">
        <v>137910143</v>
      </c>
      <c r="C1365" t="s">
        <v>7066</v>
      </c>
      <c r="D1365" t="s">
        <v>7067</v>
      </c>
      <c r="E1365" t="s">
        <v>6545</v>
      </c>
      <c r="F1365" t="s">
        <v>514</v>
      </c>
      <c r="G1365" t="s">
        <v>43</v>
      </c>
      <c r="H1365" t="s">
        <v>44</v>
      </c>
      <c r="I1365" t="s">
        <v>34</v>
      </c>
      <c r="J1365" t="s">
        <v>45</v>
      </c>
      <c r="K1365" t="s">
        <v>41</v>
      </c>
      <c r="L1365" t="s">
        <v>7068</v>
      </c>
      <c r="M1365" t="s">
        <v>7069</v>
      </c>
      <c r="N1365" t="s">
        <v>6547</v>
      </c>
      <c r="O1365" t="s">
        <v>80</v>
      </c>
      <c r="P1365" t="s">
        <v>7070</v>
      </c>
      <c r="Q1365" t="s">
        <v>98</v>
      </c>
      <c r="R1365" t="s">
        <v>7049</v>
      </c>
      <c r="S1365">
        <v>0.5</v>
      </c>
      <c r="T1365">
        <v>4230</v>
      </c>
      <c r="U1365">
        <v>0</v>
      </c>
      <c r="V1365">
        <v>4230</v>
      </c>
    </row>
    <row r="1366" spans="1:22" x14ac:dyDescent="0.3">
      <c r="A1366">
        <v>186607</v>
      </c>
      <c r="B1366">
        <v>138028477</v>
      </c>
      <c r="C1366" t="s">
        <v>7071</v>
      </c>
      <c r="D1366" t="s">
        <v>7072</v>
      </c>
      <c r="E1366" t="s">
        <v>6545</v>
      </c>
      <c r="F1366" t="s">
        <v>514</v>
      </c>
      <c r="G1366" t="s">
        <v>43</v>
      </c>
      <c r="H1366" t="s">
        <v>44</v>
      </c>
      <c r="I1366" t="s">
        <v>34</v>
      </c>
      <c r="J1366" t="s">
        <v>45</v>
      </c>
      <c r="K1366" t="s">
        <v>41</v>
      </c>
      <c r="L1366" t="s">
        <v>7073</v>
      </c>
      <c r="M1366" t="s">
        <v>7074</v>
      </c>
      <c r="N1366" t="s">
        <v>6547</v>
      </c>
      <c r="O1366" t="s">
        <v>80</v>
      </c>
      <c r="P1366" t="s">
        <v>7075</v>
      </c>
      <c r="Q1366" t="s">
        <v>122</v>
      </c>
      <c r="R1366" t="s">
        <v>274</v>
      </c>
      <c r="S1366">
        <v>2.19</v>
      </c>
      <c r="T1366">
        <v>5077</v>
      </c>
      <c r="U1366">
        <v>0</v>
      </c>
      <c r="V1366">
        <v>5077</v>
      </c>
    </row>
    <row r="1367" spans="1:22" x14ac:dyDescent="0.3">
      <c r="A1367">
        <v>186607</v>
      </c>
      <c r="B1367">
        <v>138009067</v>
      </c>
      <c r="C1367" t="s">
        <v>7076</v>
      </c>
      <c r="D1367" t="s">
        <v>7077</v>
      </c>
      <c r="E1367" t="s">
        <v>6545</v>
      </c>
      <c r="F1367" t="s">
        <v>514</v>
      </c>
      <c r="G1367" t="s">
        <v>43</v>
      </c>
      <c r="H1367" t="s">
        <v>44</v>
      </c>
      <c r="I1367" t="s">
        <v>34</v>
      </c>
      <c r="J1367" t="s">
        <v>45</v>
      </c>
      <c r="K1367" t="s">
        <v>41</v>
      </c>
      <c r="L1367" t="s">
        <v>7078</v>
      </c>
      <c r="M1367" t="s">
        <v>7079</v>
      </c>
      <c r="N1367" t="s">
        <v>6547</v>
      </c>
      <c r="O1367" t="s">
        <v>80</v>
      </c>
      <c r="P1367" t="s">
        <v>7080</v>
      </c>
      <c r="Q1367" t="s">
        <v>118</v>
      </c>
      <c r="R1367" t="s">
        <v>7055</v>
      </c>
      <c r="S1367">
        <v>1.43</v>
      </c>
      <c r="T1367">
        <v>4230</v>
      </c>
      <c r="U1367">
        <v>0</v>
      </c>
      <c r="V1367">
        <v>4230</v>
      </c>
    </row>
    <row r="1368" spans="1:22" x14ac:dyDescent="0.3">
      <c r="A1368">
        <v>186607</v>
      </c>
      <c r="B1368">
        <v>137934001</v>
      </c>
      <c r="C1368" t="s">
        <v>7081</v>
      </c>
      <c r="D1368" t="s">
        <v>7082</v>
      </c>
      <c r="E1368" t="s">
        <v>6545</v>
      </c>
      <c r="F1368" t="s">
        <v>514</v>
      </c>
      <c r="G1368" t="s">
        <v>43</v>
      </c>
      <c r="H1368" t="s">
        <v>44</v>
      </c>
      <c r="I1368" t="s">
        <v>34</v>
      </c>
      <c r="J1368" t="s">
        <v>45</v>
      </c>
      <c r="K1368" t="s">
        <v>41</v>
      </c>
      <c r="L1368" t="s">
        <v>7083</v>
      </c>
      <c r="M1368" t="s">
        <v>7084</v>
      </c>
      <c r="N1368" t="s">
        <v>6547</v>
      </c>
      <c r="O1368" t="s">
        <v>80</v>
      </c>
      <c r="P1368" t="s">
        <v>7085</v>
      </c>
      <c r="Q1368" t="s">
        <v>48</v>
      </c>
      <c r="R1368" t="s">
        <v>6939</v>
      </c>
      <c r="S1368">
        <v>0.5</v>
      </c>
      <c r="T1368">
        <v>3828</v>
      </c>
      <c r="U1368">
        <v>0</v>
      </c>
      <c r="V1368">
        <v>3828</v>
      </c>
    </row>
    <row r="1369" spans="1:22" x14ac:dyDescent="0.3">
      <c r="A1369">
        <v>186607</v>
      </c>
      <c r="B1369">
        <v>138028473</v>
      </c>
      <c r="C1369" t="s">
        <v>7086</v>
      </c>
      <c r="D1369" t="s">
        <v>7087</v>
      </c>
      <c r="E1369" t="s">
        <v>6545</v>
      </c>
      <c r="F1369" t="s">
        <v>514</v>
      </c>
      <c r="G1369" t="s">
        <v>43</v>
      </c>
      <c r="H1369" t="s">
        <v>44</v>
      </c>
      <c r="I1369" t="s">
        <v>34</v>
      </c>
      <c r="J1369" t="s">
        <v>45</v>
      </c>
      <c r="K1369" t="s">
        <v>41</v>
      </c>
      <c r="L1369" t="s">
        <v>7088</v>
      </c>
      <c r="M1369" t="s">
        <v>7089</v>
      </c>
      <c r="N1369" t="s">
        <v>6547</v>
      </c>
      <c r="O1369" t="s">
        <v>80</v>
      </c>
      <c r="P1369" t="s">
        <v>7090</v>
      </c>
      <c r="Q1369" t="s">
        <v>97</v>
      </c>
      <c r="R1369" t="s">
        <v>274</v>
      </c>
      <c r="S1369">
        <v>2.96</v>
      </c>
      <c r="T1369">
        <v>4520</v>
      </c>
      <c r="U1369">
        <v>0</v>
      </c>
      <c r="V1369">
        <v>4520</v>
      </c>
    </row>
    <row r="1370" spans="1:22" x14ac:dyDescent="0.3">
      <c r="A1370">
        <v>186607</v>
      </c>
      <c r="B1370">
        <v>137963657</v>
      </c>
      <c r="C1370" t="s">
        <v>7091</v>
      </c>
      <c r="D1370" t="s">
        <v>7092</v>
      </c>
      <c r="E1370" t="s">
        <v>6545</v>
      </c>
      <c r="F1370" t="s">
        <v>514</v>
      </c>
      <c r="G1370" t="s">
        <v>43</v>
      </c>
      <c r="H1370" t="s">
        <v>44</v>
      </c>
      <c r="I1370" t="s">
        <v>34</v>
      </c>
      <c r="J1370" t="s">
        <v>45</v>
      </c>
      <c r="K1370" t="s">
        <v>41</v>
      </c>
      <c r="L1370" t="s">
        <v>7093</v>
      </c>
      <c r="M1370" t="s">
        <v>7094</v>
      </c>
      <c r="N1370" t="s">
        <v>6547</v>
      </c>
      <c r="O1370" t="s">
        <v>80</v>
      </c>
      <c r="P1370" t="s">
        <v>7095</v>
      </c>
      <c r="Q1370" t="s">
        <v>125</v>
      </c>
      <c r="R1370" t="s">
        <v>323</v>
      </c>
      <c r="S1370">
        <v>0.5</v>
      </c>
      <c r="T1370">
        <v>3828</v>
      </c>
      <c r="U1370">
        <v>0</v>
      </c>
      <c r="V1370">
        <v>3828</v>
      </c>
    </row>
    <row r="1371" spans="1:22" x14ac:dyDescent="0.3">
      <c r="A1371">
        <v>186607</v>
      </c>
      <c r="B1371">
        <v>137934020</v>
      </c>
      <c r="C1371" t="s">
        <v>7096</v>
      </c>
      <c r="D1371" t="s">
        <v>7097</v>
      </c>
      <c r="E1371" t="s">
        <v>6545</v>
      </c>
      <c r="F1371" t="s">
        <v>514</v>
      </c>
      <c r="G1371" t="s">
        <v>43</v>
      </c>
      <c r="H1371" t="s">
        <v>44</v>
      </c>
      <c r="I1371" t="s">
        <v>34</v>
      </c>
      <c r="J1371" t="s">
        <v>45</v>
      </c>
      <c r="K1371" t="s">
        <v>41</v>
      </c>
      <c r="L1371" t="s">
        <v>7098</v>
      </c>
      <c r="M1371" t="s">
        <v>7099</v>
      </c>
      <c r="N1371" t="s">
        <v>6547</v>
      </c>
      <c r="O1371" t="s">
        <v>80</v>
      </c>
      <c r="P1371" t="s">
        <v>7100</v>
      </c>
      <c r="Q1371" t="s">
        <v>82</v>
      </c>
      <c r="R1371" t="s">
        <v>6939</v>
      </c>
      <c r="S1371">
        <v>1</v>
      </c>
      <c r="T1371">
        <v>5990</v>
      </c>
      <c r="U1371">
        <v>0</v>
      </c>
      <c r="V1371">
        <v>5990</v>
      </c>
    </row>
    <row r="1372" spans="1:22" x14ac:dyDescent="0.3">
      <c r="A1372">
        <v>186607</v>
      </c>
      <c r="B1372">
        <v>137910113</v>
      </c>
      <c r="C1372" t="s">
        <v>7101</v>
      </c>
      <c r="D1372" t="s">
        <v>7102</v>
      </c>
      <c r="E1372" t="s">
        <v>6545</v>
      </c>
      <c r="F1372" t="s">
        <v>514</v>
      </c>
      <c r="G1372" t="s">
        <v>43</v>
      </c>
      <c r="H1372" t="s">
        <v>44</v>
      </c>
      <c r="I1372" t="s">
        <v>34</v>
      </c>
      <c r="J1372" t="s">
        <v>45</v>
      </c>
      <c r="K1372" t="s">
        <v>41</v>
      </c>
      <c r="L1372" t="s">
        <v>7103</v>
      </c>
      <c r="M1372" t="s">
        <v>7104</v>
      </c>
      <c r="N1372" t="s">
        <v>6547</v>
      </c>
      <c r="O1372" t="s">
        <v>80</v>
      </c>
      <c r="P1372" t="s">
        <v>7105</v>
      </c>
      <c r="Q1372" t="s">
        <v>50</v>
      </c>
      <c r="R1372" t="s">
        <v>7049</v>
      </c>
      <c r="S1372">
        <v>1</v>
      </c>
      <c r="T1372">
        <v>5406</v>
      </c>
      <c r="U1372">
        <v>0</v>
      </c>
      <c r="V1372">
        <v>5406</v>
      </c>
    </row>
    <row r="1373" spans="1:22" x14ac:dyDescent="0.3">
      <c r="A1373">
        <v>186607</v>
      </c>
      <c r="B1373">
        <v>137252925</v>
      </c>
      <c r="C1373" t="s">
        <v>7106</v>
      </c>
      <c r="D1373" t="s">
        <v>7107</v>
      </c>
      <c r="E1373" t="s">
        <v>6545</v>
      </c>
      <c r="F1373" t="s">
        <v>514</v>
      </c>
      <c r="G1373" t="s">
        <v>43</v>
      </c>
      <c r="H1373" t="s">
        <v>44</v>
      </c>
      <c r="I1373" t="s">
        <v>34</v>
      </c>
      <c r="J1373" t="s">
        <v>45</v>
      </c>
      <c r="K1373" t="s">
        <v>41</v>
      </c>
      <c r="L1373" t="s">
        <v>7108</v>
      </c>
      <c r="M1373" t="s">
        <v>7109</v>
      </c>
      <c r="N1373" t="s">
        <v>6547</v>
      </c>
      <c r="O1373" t="s">
        <v>80</v>
      </c>
      <c r="P1373" t="s">
        <v>7110</v>
      </c>
      <c r="Q1373" t="s">
        <v>201</v>
      </c>
      <c r="R1373" t="s">
        <v>7111</v>
      </c>
      <c r="S1373">
        <v>0.5</v>
      </c>
      <c r="T1373">
        <v>5367</v>
      </c>
      <c r="U1373">
        <v>0</v>
      </c>
      <c r="V1373">
        <v>5367</v>
      </c>
    </row>
    <row r="1374" spans="1:22" x14ac:dyDescent="0.3">
      <c r="A1374">
        <v>186607</v>
      </c>
      <c r="B1374">
        <v>137870470</v>
      </c>
      <c r="C1374" t="s">
        <v>7112</v>
      </c>
      <c r="D1374" t="s">
        <v>7113</v>
      </c>
      <c r="E1374" t="s">
        <v>6545</v>
      </c>
      <c r="F1374" t="s">
        <v>514</v>
      </c>
      <c r="G1374" t="s">
        <v>43</v>
      </c>
      <c r="H1374" t="s">
        <v>44</v>
      </c>
      <c r="I1374" t="s">
        <v>34</v>
      </c>
      <c r="J1374" t="s">
        <v>45</v>
      </c>
      <c r="K1374" t="s">
        <v>41</v>
      </c>
      <c r="L1374" t="s">
        <v>7114</v>
      </c>
      <c r="M1374" t="s">
        <v>7115</v>
      </c>
      <c r="N1374" t="s">
        <v>6547</v>
      </c>
      <c r="O1374" t="s">
        <v>80</v>
      </c>
      <c r="P1374" t="s">
        <v>7116</v>
      </c>
      <c r="Q1374" t="s">
        <v>125</v>
      </c>
      <c r="R1374" t="s">
        <v>444</v>
      </c>
      <c r="S1374">
        <v>0.5</v>
      </c>
      <c r="T1374">
        <v>3828</v>
      </c>
      <c r="U1374">
        <v>0</v>
      </c>
      <c r="V1374">
        <v>3828</v>
      </c>
    </row>
    <row r="1375" spans="1:22" x14ac:dyDescent="0.3">
      <c r="A1375">
        <v>186607</v>
      </c>
      <c r="B1375">
        <v>138009078</v>
      </c>
      <c r="C1375" t="s">
        <v>7117</v>
      </c>
      <c r="D1375" t="s">
        <v>7118</v>
      </c>
      <c r="E1375" t="s">
        <v>6545</v>
      </c>
      <c r="F1375" t="s">
        <v>514</v>
      </c>
      <c r="G1375" t="s">
        <v>43</v>
      </c>
      <c r="H1375" t="s">
        <v>44</v>
      </c>
      <c r="I1375" t="s">
        <v>34</v>
      </c>
      <c r="J1375" t="s">
        <v>45</v>
      </c>
      <c r="K1375" t="s">
        <v>41</v>
      </c>
      <c r="L1375" t="s">
        <v>7119</v>
      </c>
      <c r="M1375" t="s">
        <v>7120</v>
      </c>
      <c r="N1375" t="s">
        <v>6547</v>
      </c>
      <c r="O1375" t="s">
        <v>80</v>
      </c>
      <c r="P1375" t="s">
        <v>7121</v>
      </c>
      <c r="Q1375" t="s">
        <v>108</v>
      </c>
      <c r="R1375" t="s">
        <v>7055</v>
      </c>
      <c r="S1375">
        <v>4.12</v>
      </c>
      <c r="T1375">
        <v>3949</v>
      </c>
      <c r="U1375">
        <v>0</v>
      </c>
      <c r="V1375">
        <v>3949</v>
      </c>
    </row>
    <row r="1376" spans="1:22" x14ac:dyDescent="0.3">
      <c r="A1376">
        <v>186607</v>
      </c>
      <c r="B1376">
        <v>137910131</v>
      </c>
      <c r="C1376" t="s">
        <v>7122</v>
      </c>
      <c r="D1376" t="s">
        <v>7123</v>
      </c>
      <c r="E1376" t="s">
        <v>6545</v>
      </c>
      <c r="F1376" t="s">
        <v>514</v>
      </c>
      <c r="G1376" t="s">
        <v>43</v>
      </c>
      <c r="H1376" t="s">
        <v>44</v>
      </c>
      <c r="I1376" t="s">
        <v>34</v>
      </c>
      <c r="J1376" t="s">
        <v>45</v>
      </c>
      <c r="K1376" t="s">
        <v>41</v>
      </c>
      <c r="L1376" t="s">
        <v>7124</v>
      </c>
      <c r="M1376" t="s">
        <v>7125</v>
      </c>
      <c r="N1376" t="s">
        <v>6547</v>
      </c>
      <c r="O1376" t="s">
        <v>80</v>
      </c>
      <c r="P1376" t="s">
        <v>7126</v>
      </c>
      <c r="Q1376" t="s">
        <v>50</v>
      </c>
      <c r="R1376" t="s">
        <v>7049</v>
      </c>
      <c r="S1376">
        <v>0.5</v>
      </c>
      <c r="T1376">
        <v>4230</v>
      </c>
      <c r="U1376">
        <v>0</v>
      </c>
      <c r="V1376">
        <v>4230</v>
      </c>
    </row>
    <row r="1377" spans="1:22" x14ac:dyDescent="0.3">
      <c r="A1377">
        <v>186607</v>
      </c>
      <c r="B1377">
        <v>138009068</v>
      </c>
      <c r="C1377" t="s">
        <v>7127</v>
      </c>
      <c r="D1377" t="s">
        <v>7128</v>
      </c>
      <c r="E1377" t="s">
        <v>6545</v>
      </c>
      <c r="F1377" t="s">
        <v>514</v>
      </c>
      <c r="G1377" t="s">
        <v>43</v>
      </c>
      <c r="H1377" t="s">
        <v>44</v>
      </c>
      <c r="I1377" t="s">
        <v>34</v>
      </c>
      <c r="J1377" t="s">
        <v>45</v>
      </c>
      <c r="K1377" t="s">
        <v>41</v>
      </c>
      <c r="L1377" t="s">
        <v>7129</v>
      </c>
      <c r="M1377" t="s">
        <v>7130</v>
      </c>
      <c r="N1377" t="s">
        <v>6547</v>
      </c>
      <c r="O1377" t="s">
        <v>80</v>
      </c>
      <c r="P1377" t="s">
        <v>7131</v>
      </c>
      <c r="Q1377" t="s">
        <v>118</v>
      </c>
      <c r="R1377" t="s">
        <v>7055</v>
      </c>
      <c r="S1377">
        <v>4.03</v>
      </c>
      <c r="T1377">
        <v>5316</v>
      </c>
      <c r="U1377">
        <v>0</v>
      </c>
      <c r="V1377">
        <v>5316</v>
      </c>
    </row>
    <row r="1378" spans="1:22" x14ac:dyDescent="0.3">
      <c r="A1378">
        <v>186607</v>
      </c>
      <c r="B1378">
        <v>137837427</v>
      </c>
      <c r="C1378" t="s">
        <v>7132</v>
      </c>
      <c r="D1378" t="s">
        <v>7133</v>
      </c>
      <c r="E1378" t="s">
        <v>6545</v>
      </c>
      <c r="F1378" t="s">
        <v>514</v>
      </c>
      <c r="G1378" t="s">
        <v>43</v>
      </c>
      <c r="H1378" t="s">
        <v>44</v>
      </c>
      <c r="I1378" t="s">
        <v>34</v>
      </c>
      <c r="J1378" t="s">
        <v>45</v>
      </c>
      <c r="K1378" t="s">
        <v>41</v>
      </c>
      <c r="L1378" t="s">
        <v>7134</v>
      </c>
      <c r="M1378" t="s">
        <v>7135</v>
      </c>
      <c r="N1378" t="s">
        <v>6547</v>
      </c>
      <c r="O1378" t="s">
        <v>80</v>
      </c>
      <c r="P1378" t="s">
        <v>7136</v>
      </c>
      <c r="Q1378" t="s">
        <v>108</v>
      </c>
      <c r="R1378" t="s">
        <v>7137</v>
      </c>
      <c r="S1378">
        <v>0.5</v>
      </c>
      <c r="T1378">
        <v>3431</v>
      </c>
      <c r="U1378">
        <v>0</v>
      </c>
      <c r="V1378">
        <v>3431</v>
      </c>
    </row>
    <row r="1379" spans="1:22" x14ac:dyDescent="0.3">
      <c r="A1379">
        <v>186607</v>
      </c>
      <c r="B1379">
        <v>137983178</v>
      </c>
      <c r="C1379" t="s">
        <v>7138</v>
      </c>
      <c r="D1379" t="s">
        <v>7139</v>
      </c>
      <c r="E1379" t="s">
        <v>6545</v>
      </c>
      <c r="F1379" t="s">
        <v>514</v>
      </c>
      <c r="G1379" t="s">
        <v>43</v>
      </c>
      <c r="H1379" t="s">
        <v>44</v>
      </c>
      <c r="I1379" t="s">
        <v>34</v>
      </c>
      <c r="J1379" t="s">
        <v>45</v>
      </c>
      <c r="K1379" t="s">
        <v>41</v>
      </c>
      <c r="L1379" t="s">
        <v>7140</v>
      </c>
      <c r="M1379" t="s">
        <v>7141</v>
      </c>
      <c r="N1379" t="s">
        <v>6547</v>
      </c>
      <c r="O1379" t="s">
        <v>80</v>
      </c>
      <c r="P1379" t="s">
        <v>7142</v>
      </c>
      <c r="Q1379" t="s">
        <v>205</v>
      </c>
      <c r="R1379" t="s">
        <v>7143</v>
      </c>
      <c r="S1379">
        <v>0.5</v>
      </c>
      <c r="T1379">
        <v>3828</v>
      </c>
      <c r="U1379">
        <v>0</v>
      </c>
      <c r="V1379">
        <v>3828</v>
      </c>
    </row>
    <row r="1380" spans="1:22" x14ac:dyDescent="0.3">
      <c r="A1380">
        <v>186607</v>
      </c>
      <c r="B1380">
        <v>137837418</v>
      </c>
      <c r="C1380" t="s">
        <v>7144</v>
      </c>
      <c r="D1380" t="s">
        <v>7145</v>
      </c>
      <c r="E1380" t="s">
        <v>6545</v>
      </c>
      <c r="F1380" t="s">
        <v>514</v>
      </c>
      <c r="G1380" t="s">
        <v>43</v>
      </c>
      <c r="H1380" t="s">
        <v>44</v>
      </c>
      <c r="I1380" t="s">
        <v>34</v>
      </c>
      <c r="J1380" t="s">
        <v>45</v>
      </c>
      <c r="K1380" t="s">
        <v>41</v>
      </c>
      <c r="L1380" t="s">
        <v>7146</v>
      </c>
      <c r="M1380" t="s">
        <v>7147</v>
      </c>
      <c r="N1380" t="s">
        <v>6547</v>
      </c>
      <c r="O1380" t="s">
        <v>80</v>
      </c>
      <c r="P1380" t="s">
        <v>7148</v>
      </c>
      <c r="Q1380" t="s">
        <v>61</v>
      </c>
      <c r="R1380" t="s">
        <v>7137</v>
      </c>
      <c r="S1380">
        <v>0.5</v>
      </c>
      <c r="T1380">
        <v>3431</v>
      </c>
      <c r="U1380">
        <v>0</v>
      </c>
      <c r="V1380">
        <v>3431</v>
      </c>
    </row>
    <row r="1381" spans="1:22" x14ac:dyDescent="0.3">
      <c r="A1381">
        <v>186607</v>
      </c>
      <c r="B1381">
        <v>137910122</v>
      </c>
      <c r="C1381" t="s">
        <v>7149</v>
      </c>
      <c r="D1381" t="s">
        <v>7150</v>
      </c>
      <c r="E1381" t="s">
        <v>6545</v>
      </c>
      <c r="F1381" t="s">
        <v>514</v>
      </c>
      <c r="G1381" t="s">
        <v>43</v>
      </c>
      <c r="H1381" t="s">
        <v>44</v>
      </c>
      <c r="I1381" t="s">
        <v>34</v>
      </c>
      <c r="J1381" t="s">
        <v>45</v>
      </c>
      <c r="K1381" t="s">
        <v>41</v>
      </c>
      <c r="L1381" t="s">
        <v>7151</v>
      </c>
      <c r="M1381" t="s">
        <v>7152</v>
      </c>
      <c r="N1381" t="s">
        <v>6547</v>
      </c>
      <c r="O1381" t="s">
        <v>80</v>
      </c>
      <c r="P1381" t="s">
        <v>7153</v>
      </c>
      <c r="Q1381" t="s">
        <v>58</v>
      </c>
      <c r="R1381" t="s">
        <v>7049</v>
      </c>
      <c r="S1381">
        <v>0.5</v>
      </c>
      <c r="T1381">
        <v>3431</v>
      </c>
      <c r="U1381">
        <v>0</v>
      </c>
      <c r="V1381">
        <v>3431</v>
      </c>
    </row>
    <row r="1382" spans="1:22" x14ac:dyDescent="0.3">
      <c r="A1382">
        <v>186607</v>
      </c>
      <c r="B1382">
        <v>137910146</v>
      </c>
      <c r="C1382" t="s">
        <v>7154</v>
      </c>
      <c r="D1382" t="s">
        <v>7155</v>
      </c>
      <c r="E1382" t="s">
        <v>6545</v>
      </c>
      <c r="F1382" t="s">
        <v>514</v>
      </c>
      <c r="G1382" t="s">
        <v>43</v>
      </c>
      <c r="H1382" t="s">
        <v>44</v>
      </c>
      <c r="I1382" t="s">
        <v>34</v>
      </c>
      <c r="J1382" t="s">
        <v>45</v>
      </c>
      <c r="K1382" t="s">
        <v>41</v>
      </c>
      <c r="L1382" t="s">
        <v>7156</v>
      </c>
      <c r="M1382" t="s">
        <v>7157</v>
      </c>
      <c r="N1382" t="s">
        <v>6547</v>
      </c>
      <c r="O1382" t="s">
        <v>80</v>
      </c>
      <c r="P1382" t="s">
        <v>7158</v>
      </c>
      <c r="Q1382" t="s">
        <v>61</v>
      </c>
      <c r="R1382" t="s">
        <v>7049</v>
      </c>
      <c r="S1382">
        <v>1</v>
      </c>
      <c r="T1382">
        <v>3501</v>
      </c>
      <c r="U1382">
        <v>0</v>
      </c>
      <c r="V1382">
        <v>3501</v>
      </c>
    </row>
    <row r="1383" spans="1:22" x14ac:dyDescent="0.3">
      <c r="A1383">
        <v>186607</v>
      </c>
      <c r="B1383">
        <v>137910130</v>
      </c>
      <c r="C1383" t="s">
        <v>7159</v>
      </c>
      <c r="D1383" t="s">
        <v>7160</v>
      </c>
      <c r="E1383" t="s">
        <v>6545</v>
      </c>
      <c r="F1383" t="s">
        <v>514</v>
      </c>
      <c r="G1383" t="s">
        <v>43</v>
      </c>
      <c r="H1383" t="s">
        <v>44</v>
      </c>
      <c r="I1383" t="s">
        <v>34</v>
      </c>
      <c r="J1383" t="s">
        <v>45</v>
      </c>
      <c r="K1383" t="s">
        <v>41</v>
      </c>
      <c r="L1383" t="s">
        <v>7161</v>
      </c>
      <c r="M1383" t="s">
        <v>7162</v>
      </c>
      <c r="N1383" t="s">
        <v>6547</v>
      </c>
      <c r="O1383" t="s">
        <v>80</v>
      </c>
      <c r="P1383" t="s">
        <v>7163</v>
      </c>
      <c r="Q1383" t="s">
        <v>48</v>
      </c>
      <c r="R1383" t="s">
        <v>7049</v>
      </c>
      <c r="S1383">
        <v>0.5</v>
      </c>
      <c r="T1383">
        <v>3828</v>
      </c>
      <c r="U1383">
        <v>0</v>
      </c>
      <c r="V1383">
        <v>3828</v>
      </c>
    </row>
    <row r="1384" spans="1:22" x14ac:dyDescent="0.3">
      <c r="A1384">
        <v>186607</v>
      </c>
      <c r="B1384">
        <v>137963664</v>
      </c>
      <c r="C1384" t="s">
        <v>7164</v>
      </c>
      <c r="D1384" t="s">
        <v>7165</v>
      </c>
      <c r="E1384" t="s">
        <v>6545</v>
      </c>
      <c r="F1384" t="s">
        <v>514</v>
      </c>
      <c r="G1384" t="s">
        <v>43</v>
      </c>
      <c r="H1384" t="s">
        <v>44</v>
      </c>
      <c r="I1384" t="s">
        <v>34</v>
      </c>
      <c r="J1384" t="s">
        <v>45</v>
      </c>
      <c r="K1384" t="s">
        <v>41</v>
      </c>
      <c r="L1384" t="s">
        <v>7166</v>
      </c>
      <c r="M1384" t="s">
        <v>7167</v>
      </c>
      <c r="N1384" t="s">
        <v>6547</v>
      </c>
      <c r="O1384" t="s">
        <v>80</v>
      </c>
      <c r="P1384" t="s">
        <v>7168</v>
      </c>
      <c r="Q1384" t="s">
        <v>90</v>
      </c>
      <c r="R1384" t="s">
        <v>323</v>
      </c>
      <c r="S1384">
        <v>0.5</v>
      </c>
      <c r="T1384">
        <v>3828</v>
      </c>
      <c r="U1384">
        <v>0</v>
      </c>
      <c r="V1384">
        <v>3828</v>
      </c>
    </row>
    <row r="1385" spans="1:22" x14ac:dyDescent="0.3">
      <c r="A1385">
        <v>186607</v>
      </c>
      <c r="B1385">
        <v>137837416</v>
      </c>
      <c r="C1385" t="s">
        <v>7169</v>
      </c>
      <c r="D1385" t="s">
        <v>7170</v>
      </c>
      <c r="E1385" t="s">
        <v>6545</v>
      </c>
      <c r="F1385" t="s">
        <v>514</v>
      </c>
      <c r="G1385" t="s">
        <v>43</v>
      </c>
      <c r="H1385" t="s">
        <v>44</v>
      </c>
      <c r="I1385" t="s">
        <v>34</v>
      </c>
      <c r="J1385" t="s">
        <v>45</v>
      </c>
      <c r="K1385" t="s">
        <v>54</v>
      </c>
      <c r="L1385" t="s">
        <v>55</v>
      </c>
      <c r="M1385" t="s">
        <v>7171</v>
      </c>
      <c r="N1385" t="s">
        <v>6547</v>
      </c>
      <c r="O1385" t="s">
        <v>80</v>
      </c>
      <c r="P1385" t="s">
        <v>7172</v>
      </c>
      <c r="Q1385" t="s">
        <v>47</v>
      </c>
      <c r="R1385" t="s">
        <v>7137</v>
      </c>
      <c r="S1385">
        <v>0.5</v>
      </c>
      <c r="T1385">
        <v>3828</v>
      </c>
      <c r="U1385">
        <v>0</v>
      </c>
      <c r="V1385">
        <v>3828</v>
      </c>
    </row>
    <row r="1386" spans="1:22" x14ac:dyDescent="0.3">
      <c r="A1386">
        <v>186607</v>
      </c>
      <c r="B1386">
        <v>137963669</v>
      </c>
      <c r="C1386" t="s">
        <v>7173</v>
      </c>
      <c r="D1386" t="s">
        <v>7174</v>
      </c>
      <c r="E1386" t="s">
        <v>6545</v>
      </c>
      <c r="F1386" t="s">
        <v>514</v>
      </c>
      <c r="G1386" t="s">
        <v>43</v>
      </c>
      <c r="H1386" t="s">
        <v>44</v>
      </c>
      <c r="I1386" t="s">
        <v>34</v>
      </c>
      <c r="J1386" t="s">
        <v>45</v>
      </c>
      <c r="K1386" t="s">
        <v>41</v>
      </c>
      <c r="L1386" t="s">
        <v>7175</v>
      </c>
      <c r="M1386" t="s">
        <v>7176</v>
      </c>
      <c r="N1386" t="s">
        <v>6547</v>
      </c>
      <c r="O1386" t="s">
        <v>80</v>
      </c>
      <c r="P1386" t="s">
        <v>7177</v>
      </c>
      <c r="Q1386" t="s">
        <v>97</v>
      </c>
      <c r="R1386" t="s">
        <v>323</v>
      </c>
      <c r="S1386">
        <v>0.5</v>
      </c>
      <c r="T1386">
        <v>3828</v>
      </c>
      <c r="U1386">
        <v>0</v>
      </c>
      <c r="V1386">
        <v>3828</v>
      </c>
    </row>
    <row r="1387" spans="1:22" x14ac:dyDescent="0.3">
      <c r="A1387">
        <v>186607</v>
      </c>
      <c r="B1387">
        <v>137910140</v>
      </c>
      <c r="C1387" t="s">
        <v>7178</v>
      </c>
      <c r="D1387" t="s">
        <v>7179</v>
      </c>
      <c r="E1387" t="s">
        <v>6545</v>
      </c>
      <c r="F1387" t="s">
        <v>514</v>
      </c>
      <c r="G1387" t="s">
        <v>43</v>
      </c>
      <c r="H1387" t="s">
        <v>44</v>
      </c>
      <c r="I1387" t="s">
        <v>34</v>
      </c>
      <c r="J1387" t="s">
        <v>45</v>
      </c>
      <c r="K1387" t="s">
        <v>41</v>
      </c>
      <c r="L1387" t="s">
        <v>7180</v>
      </c>
      <c r="M1387" t="s">
        <v>7181</v>
      </c>
      <c r="N1387" t="s">
        <v>6547</v>
      </c>
      <c r="O1387" t="s">
        <v>80</v>
      </c>
      <c r="P1387" t="s">
        <v>7182</v>
      </c>
      <c r="Q1387" t="s">
        <v>90</v>
      </c>
      <c r="R1387" t="s">
        <v>7049</v>
      </c>
      <c r="S1387">
        <v>1</v>
      </c>
      <c r="T1387">
        <v>3904</v>
      </c>
      <c r="U1387">
        <v>0</v>
      </c>
      <c r="V1387">
        <v>3904</v>
      </c>
    </row>
    <row r="1388" spans="1:22" x14ac:dyDescent="0.3">
      <c r="A1388">
        <v>186607</v>
      </c>
      <c r="B1388">
        <v>137870469</v>
      </c>
      <c r="C1388" t="s">
        <v>7183</v>
      </c>
      <c r="D1388" t="s">
        <v>7184</v>
      </c>
      <c r="E1388" t="s">
        <v>6545</v>
      </c>
      <c r="F1388" t="s">
        <v>514</v>
      </c>
      <c r="G1388" t="s">
        <v>43</v>
      </c>
      <c r="H1388" t="s">
        <v>44</v>
      </c>
      <c r="I1388" t="s">
        <v>34</v>
      </c>
      <c r="J1388" t="s">
        <v>45</v>
      </c>
      <c r="K1388" t="s">
        <v>41</v>
      </c>
      <c r="L1388" t="s">
        <v>7185</v>
      </c>
      <c r="M1388" t="s">
        <v>7186</v>
      </c>
      <c r="N1388" t="s">
        <v>6547</v>
      </c>
      <c r="O1388" t="s">
        <v>80</v>
      </c>
      <c r="P1388" t="s">
        <v>7187</v>
      </c>
      <c r="Q1388" t="s">
        <v>56</v>
      </c>
      <c r="R1388" t="s">
        <v>444</v>
      </c>
      <c r="S1388">
        <v>0.5</v>
      </c>
      <c r="T1388">
        <v>3828</v>
      </c>
      <c r="U1388">
        <v>0</v>
      </c>
      <c r="V1388">
        <v>3828</v>
      </c>
    </row>
    <row r="1389" spans="1:22" x14ac:dyDescent="0.3">
      <c r="A1389">
        <v>186607</v>
      </c>
      <c r="B1389">
        <v>137837428</v>
      </c>
      <c r="C1389" t="s">
        <v>7188</v>
      </c>
      <c r="D1389" t="s">
        <v>7189</v>
      </c>
      <c r="E1389" t="s">
        <v>6545</v>
      </c>
      <c r="F1389" t="s">
        <v>514</v>
      </c>
      <c r="G1389" t="s">
        <v>43</v>
      </c>
      <c r="H1389" t="s">
        <v>44</v>
      </c>
      <c r="I1389" t="s">
        <v>34</v>
      </c>
      <c r="J1389" t="s">
        <v>45</v>
      </c>
      <c r="K1389" t="s">
        <v>41</v>
      </c>
      <c r="L1389" t="s">
        <v>7190</v>
      </c>
      <c r="M1389" t="s">
        <v>7191</v>
      </c>
      <c r="N1389" t="s">
        <v>6547</v>
      </c>
      <c r="O1389" t="s">
        <v>80</v>
      </c>
      <c r="P1389" t="s">
        <v>7192</v>
      </c>
      <c r="Q1389" t="s">
        <v>61</v>
      </c>
      <c r="R1389" t="s">
        <v>7137</v>
      </c>
      <c r="S1389">
        <v>0.5</v>
      </c>
      <c r="T1389">
        <v>3431</v>
      </c>
      <c r="U1389">
        <v>0</v>
      </c>
      <c r="V1389">
        <v>3431</v>
      </c>
    </row>
    <row r="1390" spans="1:22" x14ac:dyDescent="0.3">
      <c r="A1390">
        <v>186607</v>
      </c>
      <c r="B1390">
        <v>137837424</v>
      </c>
      <c r="C1390" t="s">
        <v>7193</v>
      </c>
      <c r="D1390" t="s">
        <v>7194</v>
      </c>
      <c r="E1390" t="s">
        <v>6545</v>
      </c>
      <c r="F1390" t="s">
        <v>514</v>
      </c>
      <c r="G1390" t="s">
        <v>43</v>
      </c>
      <c r="H1390" t="s">
        <v>44</v>
      </c>
      <c r="I1390" t="s">
        <v>34</v>
      </c>
      <c r="J1390" t="s">
        <v>45</v>
      </c>
      <c r="K1390" t="s">
        <v>41</v>
      </c>
      <c r="L1390" t="s">
        <v>7195</v>
      </c>
      <c r="M1390" t="s">
        <v>7196</v>
      </c>
      <c r="N1390" t="s">
        <v>6547</v>
      </c>
      <c r="O1390" t="s">
        <v>80</v>
      </c>
      <c r="P1390" t="s">
        <v>7197</v>
      </c>
      <c r="Q1390" t="s">
        <v>58</v>
      </c>
      <c r="R1390" t="s">
        <v>7137</v>
      </c>
      <c r="S1390">
        <v>0.5</v>
      </c>
      <c r="T1390">
        <v>3431</v>
      </c>
      <c r="U1390">
        <v>0</v>
      </c>
      <c r="V1390">
        <v>3431</v>
      </c>
    </row>
    <row r="1391" spans="1:22" x14ac:dyDescent="0.3">
      <c r="A1391">
        <v>186607</v>
      </c>
      <c r="B1391">
        <v>137934022</v>
      </c>
      <c r="C1391" t="s">
        <v>7198</v>
      </c>
      <c r="D1391" t="s">
        <v>7199</v>
      </c>
      <c r="E1391" t="s">
        <v>6545</v>
      </c>
      <c r="F1391" t="s">
        <v>514</v>
      </c>
      <c r="G1391" t="s">
        <v>43</v>
      </c>
      <c r="H1391" t="s">
        <v>44</v>
      </c>
      <c r="I1391" t="s">
        <v>34</v>
      </c>
      <c r="J1391" t="s">
        <v>45</v>
      </c>
      <c r="K1391" t="s">
        <v>41</v>
      </c>
      <c r="L1391" t="s">
        <v>7200</v>
      </c>
      <c r="M1391" t="s">
        <v>346</v>
      </c>
      <c r="N1391" t="s">
        <v>6547</v>
      </c>
      <c r="O1391" t="s">
        <v>80</v>
      </c>
      <c r="P1391" t="s">
        <v>7201</v>
      </c>
      <c r="Q1391" t="s">
        <v>67</v>
      </c>
      <c r="R1391" t="s">
        <v>6939</v>
      </c>
      <c r="S1391">
        <v>1</v>
      </c>
      <c r="T1391">
        <v>3936</v>
      </c>
      <c r="U1391">
        <v>0</v>
      </c>
      <c r="V1391">
        <v>3936</v>
      </c>
    </row>
    <row r="1392" spans="1:22" x14ac:dyDescent="0.3">
      <c r="A1392">
        <v>186607</v>
      </c>
      <c r="B1392">
        <v>137983187</v>
      </c>
      <c r="C1392" t="s">
        <v>7202</v>
      </c>
      <c r="D1392" t="s">
        <v>7203</v>
      </c>
      <c r="E1392" t="s">
        <v>6545</v>
      </c>
      <c r="F1392" t="s">
        <v>514</v>
      </c>
      <c r="G1392" t="s">
        <v>43</v>
      </c>
      <c r="H1392" t="s">
        <v>44</v>
      </c>
      <c r="I1392" t="s">
        <v>34</v>
      </c>
      <c r="J1392" t="s">
        <v>45</v>
      </c>
      <c r="K1392" t="s">
        <v>41</v>
      </c>
      <c r="L1392" t="s">
        <v>7204</v>
      </c>
      <c r="M1392" t="s">
        <v>7205</v>
      </c>
      <c r="N1392" t="s">
        <v>6547</v>
      </c>
      <c r="O1392" t="s">
        <v>80</v>
      </c>
      <c r="P1392" t="s">
        <v>7206</v>
      </c>
      <c r="Q1392" t="s">
        <v>58</v>
      </c>
      <c r="R1392" t="s">
        <v>7143</v>
      </c>
      <c r="S1392">
        <v>0.5</v>
      </c>
      <c r="T1392">
        <v>3431</v>
      </c>
      <c r="U1392">
        <v>0</v>
      </c>
      <c r="V1392">
        <v>3431</v>
      </c>
    </row>
    <row r="1393" spans="1:22" x14ac:dyDescent="0.3">
      <c r="A1393">
        <v>186607</v>
      </c>
      <c r="B1393">
        <v>137910136</v>
      </c>
      <c r="C1393" t="s">
        <v>7207</v>
      </c>
      <c r="D1393" t="s">
        <v>7208</v>
      </c>
      <c r="E1393" t="s">
        <v>6545</v>
      </c>
      <c r="F1393" t="s">
        <v>514</v>
      </c>
      <c r="G1393" t="s">
        <v>43</v>
      </c>
      <c r="H1393" t="s">
        <v>44</v>
      </c>
      <c r="I1393" t="s">
        <v>34</v>
      </c>
      <c r="J1393" t="s">
        <v>45</v>
      </c>
      <c r="K1393" t="s">
        <v>41</v>
      </c>
      <c r="L1393" t="s">
        <v>7209</v>
      </c>
      <c r="M1393" t="s">
        <v>7210</v>
      </c>
      <c r="N1393" t="s">
        <v>6547</v>
      </c>
      <c r="O1393" t="s">
        <v>80</v>
      </c>
      <c r="P1393" t="s">
        <v>7211</v>
      </c>
      <c r="Q1393" t="s">
        <v>73</v>
      </c>
      <c r="R1393" t="s">
        <v>7049</v>
      </c>
      <c r="S1393">
        <v>1</v>
      </c>
      <c r="T1393">
        <v>3904</v>
      </c>
      <c r="U1393">
        <v>0</v>
      </c>
      <c r="V1393">
        <v>3904</v>
      </c>
    </row>
    <row r="1394" spans="1:22" x14ac:dyDescent="0.3">
      <c r="A1394">
        <v>186607</v>
      </c>
      <c r="B1394">
        <v>137879514</v>
      </c>
      <c r="C1394" t="s">
        <v>7212</v>
      </c>
      <c r="D1394" t="s">
        <v>7213</v>
      </c>
      <c r="E1394" t="s">
        <v>6545</v>
      </c>
      <c r="F1394" t="s">
        <v>514</v>
      </c>
      <c r="G1394" t="s">
        <v>43</v>
      </c>
      <c r="H1394" t="s">
        <v>44</v>
      </c>
      <c r="I1394" t="s">
        <v>34</v>
      </c>
      <c r="J1394" t="s">
        <v>45</v>
      </c>
      <c r="K1394" t="s">
        <v>41</v>
      </c>
      <c r="L1394" t="s">
        <v>7214</v>
      </c>
      <c r="M1394" t="s">
        <v>7215</v>
      </c>
      <c r="N1394" t="s">
        <v>6547</v>
      </c>
      <c r="O1394" t="s">
        <v>80</v>
      </c>
      <c r="P1394" t="s">
        <v>7216</v>
      </c>
      <c r="Q1394" t="s">
        <v>97</v>
      </c>
      <c r="R1394" t="s">
        <v>7217</v>
      </c>
      <c r="S1394">
        <v>0.5</v>
      </c>
      <c r="T1394">
        <v>3828</v>
      </c>
      <c r="U1394">
        <v>0</v>
      </c>
      <c r="V1394">
        <v>3828</v>
      </c>
    </row>
    <row r="1395" spans="1:22" x14ac:dyDescent="0.3">
      <c r="A1395">
        <v>186607</v>
      </c>
      <c r="B1395">
        <v>137934005</v>
      </c>
      <c r="C1395" t="s">
        <v>7218</v>
      </c>
      <c r="D1395" t="s">
        <v>7219</v>
      </c>
      <c r="E1395" t="s">
        <v>6545</v>
      </c>
      <c r="F1395" t="s">
        <v>514</v>
      </c>
      <c r="G1395" t="s">
        <v>43</v>
      </c>
      <c r="H1395" t="s">
        <v>44</v>
      </c>
      <c r="I1395" t="s">
        <v>34</v>
      </c>
      <c r="J1395" t="s">
        <v>45</v>
      </c>
      <c r="K1395" t="s">
        <v>41</v>
      </c>
      <c r="L1395" t="s">
        <v>7220</v>
      </c>
      <c r="M1395" t="s">
        <v>146</v>
      </c>
      <c r="N1395" t="s">
        <v>6547</v>
      </c>
      <c r="O1395" t="s">
        <v>80</v>
      </c>
      <c r="P1395" t="s">
        <v>7221</v>
      </c>
      <c r="Q1395" t="s">
        <v>90</v>
      </c>
      <c r="R1395" t="s">
        <v>6939</v>
      </c>
      <c r="S1395">
        <v>2</v>
      </c>
      <c r="T1395">
        <v>3904</v>
      </c>
      <c r="U1395">
        <v>0</v>
      </c>
      <c r="V1395">
        <v>3904</v>
      </c>
    </row>
    <row r="1396" spans="1:22" x14ac:dyDescent="0.3">
      <c r="A1396">
        <v>186607</v>
      </c>
      <c r="B1396">
        <v>137934003</v>
      </c>
      <c r="C1396" t="s">
        <v>7222</v>
      </c>
      <c r="D1396" t="s">
        <v>7223</v>
      </c>
      <c r="E1396" t="s">
        <v>6545</v>
      </c>
      <c r="F1396" t="s">
        <v>514</v>
      </c>
      <c r="G1396" t="s">
        <v>43</v>
      </c>
      <c r="H1396" t="s">
        <v>44</v>
      </c>
      <c r="I1396" t="s">
        <v>34</v>
      </c>
      <c r="J1396" t="s">
        <v>45</v>
      </c>
      <c r="K1396" t="s">
        <v>41</v>
      </c>
      <c r="L1396" t="s">
        <v>7224</v>
      </c>
      <c r="M1396" t="s">
        <v>7225</v>
      </c>
      <c r="N1396" t="s">
        <v>6547</v>
      </c>
      <c r="O1396" t="s">
        <v>80</v>
      </c>
      <c r="P1396" t="s">
        <v>7226</v>
      </c>
      <c r="Q1396" t="s">
        <v>187</v>
      </c>
      <c r="R1396" t="s">
        <v>6939</v>
      </c>
      <c r="S1396">
        <v>0.5</v>
      </c>
      <c r="T1396">
        <v>3828</v>
      </c>
      <c r="U1396">
        <v>0</v>
      </c>
      <c r="V1396">
        <v>3828</v>
      </c>
    </row>
    <row r="1397" spans="1:22" x14ac:dyDescent="0.3">
      <c r="A1397">
        <v>186607</v>
      </c>
      <c r="B1397">
        <v>137879510</v>
      </c>
      <c r="C1397" t="s">
        <v>7227</v>
      </c>
      <c r="D1397" t="s">
        <v>7228</v>
      </c>
      <c r="E1397" t="s">
        <v>6545</v>
      </c>
      <c r="F1397" t="s">
        <v>514</v>
      </c>
      <c r="G1397" t="s">
        <v>43</v>
      </c>
      <c r="H1397" t="s">
        <v>44</v>
      </c>
      <c r="I1397" t="s">
        <v>34</v>
      </c>
      <c r="J1397" t="s">
        <v>45</v>
      </c>
      <c r="K1397" t="s">
        <v>41</v>
      </c>
      <c r="L1397" t="s">
        <v>7229</v>
      </c>
      <c r="M1397" t="s">
        <v>7230</v>
      </c>
      <c r="N1397" t="s">
        <v>6547</v>
      </c>
      <c r="O1397" t="s">
        <v>80</v>
      </c>
      <c r="P1397" t="s">
        <v>7231</v>
      </c>
      <c r="Q1397" t="s">
        <v>112</v>
      </c>
      <c r="R1397" t="s">
        <v>7217</v>
      </c>
      <c r="S1397">
        <v>0.5</v>
      </c>
      <c r="T1397">
        <v>3431</v>
      </c>
      <c r="U1397">
        <v>0</v>
      </c>
      <c r="V1397">
        <v>3431</v>
      </c>
    </row>
    <row r="1398" spans="1:22" x14ac:dyDescent="0.3">
      <c r="A1398">
        <v>186607</v>
      </c>
      <c r="B1398">
        <v>137837430</v>
      </c>
      <c r="C1398" t="s">
        <v>7232</v>
      </c>
      <c r="D1398" t="s">
        <v>7233</v>
      </c>
      <c r="E1398" t="s">
        <v>6545</v>
      </c>
      <c r="F1398" t="s">
        <v>514</v>
      </c>
      <c r="G1398" t="s">
        <v>43</v>
      </c>
      <c r="H1398" t="s">
        <v>44</v>
      </c>
      <c r="I1398" t="s">
        <v>34</v>
      </c>
      <c r="J1398" t="s">
        <v>45</v>
      </c>
      <c r="K1398" t="s">
        <v>41</v>
      </c>
      <c r="L1398" t="s">
        <v>7234</v>
      </c>
      <c r="M1398" t="s">
        <v>7235</v>
      </c>
      <c r="N1398" t="s">
        <v>6547</v>
      </c>
      <c r="O1398" t="s">
        <v>80</v>
      </c>
      <c r="P1398" t="s">
        <v>7236</v>
      </c>
      <c r="Q1398" t="s">
        <v>49</v>
      </c>
      <c r="R1398" t="s">
        <v>7137</v>
      </c>
      <c r="S1398">
        <v>0.5</v>
      </c>
      <c r="T1398">
        <v>3587</v>
      </c>
      <c r="U1398">
        <v>0</v>
      </c>
      <c r="V1398">
        <v>3587</v>
      </c>
    </row>
    <row r="1399" spans="1:22" x14ac:dyDescent="0.3">
      <c r="A1399">
        <v>186607</v>
      </c>
      <c r="B1399">
        <v>137963666</v>
      </c>
      <c r="C1399" t="s">
        <v>7237</v>
      </c>
      <c r="D1399" t="s">
        <v>7238</v>
      </c>
      <c r="E1399" t="s">
        <v>6545</v>
      </c>
      <c r="F1399" t="s">
        <v>514</v>
      </c>
      <c r="G1399" t="s">
        <v>43</v>
      </c>
      <c r="H1399" t="s">
        <v>44</v>
      </c>
      <c r="I1399" t="s">
        <v>34</v>
      </c>
      <c r="J1399" t="s">
        <v>45</v>
      </c>
      <c r="K1399" t="s">
        <v>41</v>
      </c>
      <c r="L1399" t="s">
        <v>7239</v>
      </c>
      <c r="M1399" t="s">
        <v>7240</v>
      </c>
      <c r="N1399" t="s">
        <v>6547</v>
      </c>
      <c r="O1399" t="s">
        <v>80</v>
      </c>
      <c r="P1399" t="s">
        <v>7241</v>
      </c>
      <c r="Q1399" t="s">
        <v>62</v>
      </c>
      <c r="R1399" t="s">
        <v>323</v>
      </c>
      <c r="S1399">
        <v>0.5</v>
      </c>
      <c r="T1399">
        <v>3587</v>
      </c>
      <c r="U1399">
        <v>0</v>
      </c>
      <c r="V1399">
        <v>3587</v>
      </c>
    </row>
    <row r="1400" spans="1:22" x14ac:dyDescent="0.3">
      <c r="A1400">
        <v>186607</v>
      </c>
      <c r="B1400">
        <v>137879509</v>
      </c>
      <c r="C1400" t="s">
        <v>7242</v>
      </c>
      <c r="D1400" t="s">
        <v>7243</v>
      </c>
      <c r="E1400" t="s">
        <v>6545</v>
      </c>
      <c r="F1400" t="s">
        <v>514</v>
      </c>
      <c r="G1400" t="s">
        <v>43</v>
      </c>
      <c r="H1400" t="s">
        <v>44</v>
      </c>
      <c r="I1400" t="s">
        <v>34</v>
      </c>
      <c r="J1400" t="s">
        <v>45</v>
      </c>
      <c r="K1400" t="s">
        <v>41</v>
      </c>
      <c r="L1400" t="s">
        <v>7244</v>
      </c>
      <c r="M1400" t="s">
        <v>7245</v>
      </c>
      <c r="N1400" t="s">
        <v>6547</v>
      </c>
      <c r="O1400" t="s">
        <v>80</v>
      </c>
      <c r="P1400" t="s">
        <v>7246</v>
      </c>
      <c r="Q1400" t="s">
        <v>53</v>
      </c>
      <c r="R1400" t="s">
        <v>7217</v>
      </c>
      <c r="S1400">
        <v>0.5</v>
      </c>
      <c r="T1400">
        <v>3587</v>
      </c>
      <c r="U1400">
        <v>0</v>
      </c>
      <c r="V1400">
        <v>3587</v>
      </c>
    </row>
    <row r="1401" spans="1:22" x14ac:dyDescent="0.3">
      <c r="A1401">
        <v>186607</v>
      </c>
      <c r="B1401">
        <v>137837431</v>
      </c>
      <c r="C1401" t="s">
        <v>7247</v>
      </c>
      <c r="D1401" t="s">
        <v>7248</v>
      </c>
      <c r="E1401" t="s">
        <v>6545</v>
      </c>
      <c r="F1401" t="s">
        <v>514</v>
      </c>
      <c r="G1401" t="s">
        <v>43</v>
      </c>
      <c r="H1401" t="s">
        <v>44</v>
      </c>
      <c r="I1401" t="s">
        <v>34</v>
      </c>
      <c r="J1401" t="s">
        <v>45</v>
      </c>
      <c r="K1401" t="s">
        <v>41</v>
      </c>
      <c r="L1401" t="s">
        <v>7249</v>
      </c>
      <c r="M1401" t="s">
        <v>7250</v>
      </c>
      <c r="N1401" t="s">
        <v>6547</v>
      </c>
      <c r="O1401" t="s">
        <v>80</v>
      </c>
      <c r="P1401" t="s">
        <v>7251</v>
      </c>
      <c r="Q1401" t="s">
        <v>62</v>
      </c>
      <c r="R1401" t="s">
        <v>7137</v>
      </c>
      <c r="S1401">
        <v>0.5</v>
      </c>
      <c r="T1401">
        <v>3587</v>
      </c>
      <c r="U1401">
        <v>0</v>
      </c>
      <c r="V1401">
        <v>3587</v>
      </c>
    </row>
    <row r="1402" spans="1:22" x14ac:dyDescent="0.3">
      <c r="A1402">
        <v>186607</v>
      </c>
      <c r="B1402">
        <v>137910142</v>
      </c>
      <c r="C1402" t="s">
        <v>7252</v>
      </c>
      <c r="D1402" t="s">
        <v>7253</v>
      </c>
      <c r="E1402" t="s">
        <v>6545</v>
      </c>
      <c r="F1402" t="s">
        <v>514</v>
      </c>
      <c r="G1402" t="s">
        <v>43</v>
      </c>
      <c r="H1402" t="s">
        <v>44</v>
      </c>
      <c r="I1402" t="s">
        <v>34</v>
      </c>
      <c r="J1402" t="s">
        <v>45</v>
      </c>
      <c r="K1402" t="s">
        <v>41</v>
      </c>
      <c r="L1402" t="s">
        <v>7254</v>
      </c>
      <c r="M1402" t="s">
        <v>338</v>
      </c>
      <c r="N1402" t="s">
        <v>6547</v>
      </c>
      <c r="O1402" t="s">
        <v>80</v>
      </c>
      <c r="P1402" t="s">
        <v>7255</v>
      </c>
      <c r="Q1402" t="s">
        <v>61</v>
      </c>
      <c r="R1402" t="s">
        <v>7049</v>
      </c>
      <c r="S1402">
        <v>0.5</v>
      </c>
      <c r="T1402">
        <v>3431</v>
      </c>
      <c r="U1402">
        <v>0</v>
      </c>
      <c r="V1402">
        <v>3431</v>
      </c>
    </row>
    <row r="1403" spans="1:22" x14ac:dyDescent="0.3">
      <c r="A1403">
        <v>186607</v>
      </c>
      <c r="B1403">
        <v>137963665</v>
      </c>
      <c r="C1403" t="s">
        <v>7256</v>
      </c>
      <c r="D1403" t="s">
        <v>7257</v>
      </c>
      <c r="E1403" t="s">
        <v>6545</v>
      </c>
      <c r="F1403" t="s">
        <v>514</v>
      </c>
      <c r="G1403" t="s">
        <v>43</v>
      </c>
      <c r="H1403" t="s">
        <v>44</v>
      </c>
      <c r="I1403" t="s">
        <v>34</v>
      </c>
      <c r="J1403" t="s">
        <v>45</v>
      </c>
      <c r="K1403" t="s">
        <v>41</v>
      </c>
      <c r="L1403" t="s">
        <v>7258</v>
      </c>
      <c r="M1403" t="s">
        <v>7259</v>
      </c>
      <c r="N1403" t="s">
        <v>6547</v>
      </c>
      <c r="O1403" t="s">
        <v>80</v>
      </c>
      <c r="P1403" t="s">
        <v>7260</v>
      </c>
      <c r="Q1403" t="s">
        <v>90</v>
      </c>
      <c r="R1403" t="s">
        <v>323</v>
      </c>
      <c r="S1403">
        <v>0.5</v>
      </c>
      <c r="T1403">
        <v>3828</v>
      </c>
      <c r="U1403">
        <v>0</v>
      </c>
      <c r="V1403">
        <v>3828</v>
      </c>
    </row>
    <row r="1404" spans="1:22" x14ac:dyDescent="0.3">
      <c r="A1404">
        <v>186607</v>
      </c>
      <c r="B1404">
        <v>137910116</v>
      </c>
      <c r="C1404" t="s">
        <v>7261</v>
      </c>
      <c r="D1404" t="s">
        <v>7262</v>
      </c>
      <c r="E1404" t="s">
        <v>6545</v>
      </c>
      <c r="F1404" t="s">
        <v>514</v>
      </c>
      <c r="G1404" t="s">
        <v>43</v>
      </c>
      <c r="H1404" t="s">
        <v>44</v>
      </c>
      <c r="I1404" t="s">
        <v>34</v>
      </c>
      <c r="J1404" t="s">
        <v>45</v>
      </c>
      <c r="K1404" t="s">
        <v>41</v>
      </c>
      <c r="L1404" t="s">
        <v>7263</v>
      </c>
      <c r="M1404" t="s">
        <v>7264</v>
      </c>
      <c r="N1404" t="s">
        <v>6547</v>
      </c>
      <c r="O1404" t="s">
        <v>80</v>
      </c>
      <c r="P1404" t="s">
        <v>7265</v>
      </c>
      <c r="Q1404" t="s">
        <v>102</v>
      </c>
      <c r="R1404" t="s">
        <v>7049</v>
      </c>
      <c r="S1404">
        <v>0.5</v>
      </c>
      <c r="T1404">
        <v>3431</v>
      </c>
      <c r="U1404">
        <v>0</v>
      </c>
      <c r="V1404">
        <v>3431</v>
      </c>
    </row>
    <row r="1405" spans="1:22" x14ac:dyDescent="0.3">
      <c r="A1405">
        <v>186607</v>
      </c>
      <c r="B1405">
        <v>137910141</v>
      </c>
      <c r="C1405" t="s">
        <v>7266</v>
      </c>
      <c r="D1405" t="s">
        <v>7267</v>
      </c>
      <c r="E1405" t="s">
        <v>6545</v>
      </c>
      <c r="F1405" t="s">
        <v>514</v>
      </c>
      <c r="G1405" t="s">
        <v>43</v>
      </c>
      <c r="H1405" t="s">
        <v>44</v>
      </c>
      <c r="I1405" t="s">
        <v>34</v>
      </c>
      <c r="J1405" t="s">
        <v>45</v>
      </c>
      <c r="K1405" t="s">
        <v>41</v>
      </c>
      <c r="L1405" t="s">
        <v>7268</v>
      </c>
      <c r="M1405" t="s">
        <v>7269</v>
      </c>
      <c r="N1405" t="s">
        <v>6547</v>
      </c>
      <c r="O1405" t="s">
        <v>80</v>
      </c>
      <c r="P1405" t="s">
        <v>7270</v>
      </c>
      <c r="Q1405" t="s">
        <v>56</v>
      </c>
      <c r="R1405" t="s">
        <v>7049</v>
      </c>
      <c r="S1405">
        <v>1</v>
      </c>
      <c r="T1405">
        <v>3904</v>
      </c>
      <c r="U1405">
        <v>0</v>
      </c>
      <c r="V1405">
        <v>3904</v>
      </c>
    </row>
    <row r="1406" spans="1:22" x14ac:dyDescent="0.3">
      <c r="A1406">
        <v>186607</v>
      </c>
      <c r="B1406">
        <v>137870468</v>
      </c>
      <c r="C1406" t="s">
        <v>7271</v>
      </c>
      <c r="D1406" t="s">
        <v>7272</v>
      </c>
      <c r="E1406" t="s">
        <v>6545</v>
      </c>
      <c r="F1406" t="s">
        <v>514</v>
      </c>
      <c r="G1406" t="s">
        <v>43</v>
      </c>
      <c r="H1406" t="s">
        <v>44</v>
      </c>
      <c r="I1406" t="s">
        <v>34</v>
      </c>
      <c r="J1406" t="s">
        <v>45</v>
      </c>
      <c r="K1406" t="s">
        <v>41</v>
      </c>
      <c r="L1406" t="s">
        <v>7273</v>
      </c>
      <c r="M1406" t="s">
        <v>7274</v>
      </c>
      <c r="N1406" t="s">
        <v>6547</v>
      </c>
      <c r="O1406" t="s">
        <v>80</v>
      </c>
      <c r="P1406" t="s">
        <v>7275</v>
      </c>
      <c r="Q1406" t="s">
        <v>90</v>
      </c>
      <c r="R1406" t="s">
        <v>444</v>
      </c>
      <c r="S1406">
        <v>0.5</v>
      </c>
      <c r="T1406">
        <v>3828</v>
      </c>
      <c r="U1406">
        <v>0</v>
      </c>
      <c r="V1406">
        <v>3828</v>
      </c>
    </row>
    <row r="1407" spans="1:22" x14ac:dyDescent="0.3">
      <c r="A1407">
        <v>186607</v>
      </c>
      <c r="B1407">
        <v>137910132</v>
      </c>
      <c r="C1407" t="s">
        <v>7276</v>
      </c>
      <c r="D1407" t="s">
        <v>7277</v>
      </c>
      <c r="E1407" t="s">
        <v>6545</v>
      </c>
      <c r="F1407" t="s">
        <v>514</v>
      </c>
      <c r="G1407" t="s">
        <v>43</v>
      </c>
      <c r="H1407" t="s">
        <v>44</v>
      </c>
      <c r="I1407" t="s">
        <v>34</v>
      </c>
      <c r="J1407" t="s">
        <v>45</v>
      </c>
      <c r="K1407" t="s">
        <v>41</v>
      </c>
      <c r="L1407" t="s">
        <v>7278</v>
      </c>
      <c r="M1407" t="s">
        <v>7279</v>
      </c>
      <c r="N1407" t="s">
        <v>6547</v>
      </c>
      <c r="O1407" t="s">
        <v>80</v>
      </c>
      <c r="P1407" t="s">
        <v>7280</v>
      </c>
      <c r="Q1407" t="s">
        <v>61</v>
      </c>
      <c r="R1407" t="s">
        <v>7049</v>
      </c>
      <c r="S1407">
        <v>1</v>
      </c>
      <c r="T1407">
        <v>3501</v>
      </c>
      <c r="U1407">
        <v>0</v>
      </c>
      <c r="V1407">
        <v>3501</v>
      </c>
    </row>
    <row r="1408" spans="1:22" x14ac:dyDescent="0.3">
      <c r="A1408">
        <v>186607</v>
      </c>
      <c r="B1408">
        <v>137870474</v>
      </c>
      <c r="C1408" t="s">
        <v>7281</v>
      </c>
      <c r="D1408" t="s">
        <v>7282</v>
      </c>
      <c r="E1408" t="s">
        <v>6545</v>
      </c>
      <c r="F1408" t="s">
        <v>514</v>
      </c>
      <c r="G1408" t="s">
        <v>43</v>
      </c>
      <c r="H1408" t="s">
        <v>44</v>
      </c>
      <c r="I1408" t="s">
        <v>34</v>
      </c>
      <c r="J1408" t="s">
        <v>45</v>
      </c>
      <c r="K1408" t="s">
        <v>41</v>
      </c>
      <c r="L1408" t="s">
        <v>7283</v>
      </c>
      <c r="M1408" t="s">
        <v>7284</v>
      </c>
      <c r="N1408" t="s">
        <v>6547</v>
      </c>
      <c r="O1408" t="s">
        <v>80</v>
      </c>
      <c r="P1408" t="s">
        <v>7285</v>
      </c>
      <c r="Q1408" t="s">
        <v>178</v>
      </c>
      <c r="R1408" t="s">
        <v>444</v>
      </c>
      <c r="S1408">
        <v>0.5</v>
      </c>
      <c r="T1408">
        <v>7654</v>
      </c>
      <c r="U1408">
        <v>0</v>
      </c>
      <c r="V1408">
        <v>7654</v>
      </c>
    </row>
    <row r="1409" spans="1:22" x14ac:dyDescent="0.3">
      <c r="A1409">
        <v>186607</v>
      </c>
      <c r="B1409">
        <v>137576399</v>
      </c>
      <c r="C1409" t="s">
        <v>7286</v>
      </c>
      <c r="D1409" t="s">
        <v>7287</v>
      </c>
      <c r="E1409" t="s">
        <v>6545</v>
      </c>
      <c r="F1409" t="s">
        <v>514</v>
      </c>
      <c r="G1409" t="s">
        <v>43</v>
      </c>
      <c r="H1409" t="s">
        <v>44</v>
      </c>
      <c r="I1409" t="s">
        <v>34</v>
      </c>
      <c r="J1409" t="s">
        <v>45</v>
      </c>
      <c r="K1409" t="s">
        <v>41</v>
      </c>
      <c r="L1409" t="s">
        <v>7288</v>
      </c>
      <c r="M1409" t="s">
        <v>7289</v>
      </c>
      <c r="N1409" t="s">
        <v>6547</v>
      </c>
      <c r="O1409" t="s">
        <v>80</v>
      </c>
      <c r="P1409" t="s">
        <v>7290</v>
      </c>
      <c r="Q1409" t="s">
        <v>98</v>
      </c>
      <c r="R1409" t="s">
        <v>6962</v>
      </c>
      <c r="S1409">
        <v>0.5</v>
      </c>
      <c r="T1409">
        <v>4067</v>
      </c>
      <c r="U1409">
        <v>0</v>
      </c>
      <c r="V1409">
        <v>4067</v>
      </c>
    </row>
    <row r="1410" spans="1:22" x14ac:dyDescent="0.3">
      <c r="A1410">
        <v>186607</v>
      </c>
      <c r="B1410">
        <v>137616653</v>
      </c>
      <c r="C1410" t="s">
        <v>7291</v>
      </c>
      <c r="D1410" t="s">
        <v>7292</v>
      </c>
      <c r="E1410" t="s">
        <v>6545</v>
      </c>
      <c r="F1410" t="s">
        <v>514</v>
      </c>
      <c r="G1410" t="s">
        <v>43</v>
      </c>
      <c r="H1410" t="s">
        <v>44</v>
      </c>
      <c r="I1410" t="s">
        <v>34</v>
      </c>
      <c r="J1410" t="s">
        <v>45</v>
      </c>
      <c r="K1410" t="s">
        <v>41</v>
      </c>
      <c r="L1410" t="s">
        <v>7293</v>
      </c>
      <c r="M1410" t="s">
        <v>7294</v>
      </c>
      <c r="N1410" t="s">
        <v>6547</v>
      </c>
      <c r="O1410" t="s">
        <v>80</v>
      </c>
      <c r="P1410" t="s">
        <v>7295</v>
      </c>
      <c r="Q1410" t="s">
        <v>98</v>
      </c>
      <c r="R1410" t="s">
        <v>6945</v>
      </c>
      <c r="S1410">
        <v>0.5</v>
      </c>
      <c r="T1410">
        <v>4067</v>
      </c>
      <c r="U1410">
        <v>0</v>
      </c>
      <c r="V1410">
        <v>4067</v>
      </c>
    </row>
    <row r="1411" spans="1:22" x14ac:dyDescent="0.3">
      <c r="A1411">
        <v>186607</v>
      </c>
      <c r="B1411">
        <v>137726301</v>
      </c>
      <c r="C1411" t="s">
        <v>7296</v>
      </c>
      <c r="D1411" t="s">
        <v>7297</v>
      </c>
      <c r="E1411" t="s">
        <v>6545</v>
      </c>
      <c r="F1411" t="s">
        <v>514</v>
      </c>
      <c r="G1411" t="s">
        <v>43</v>
      </c>
      <c r="H1411" t="s">
        <v>44</v>
      </c>
      <c r="I1411" t="s">
        <v>34</v>
      </c>
      <c r="J1411" t="s">
        <v>45</v>
      </c>
      <c r="K1411" t="s">
        <v>41</v>
      </c>
      <c r="L1411" t="s">
        <v>7298</v>
      </c>
      <c r="M1411" t="s">
        <v>7299</v>
      </c>
      <c r="N1411" t="s">
        <v>6547</v>
      </c>
      <c r="O1411" t="s">
        <v>80</v>
      </c>
      <c r="P1411" t="s">
        <v>7300</v>
      </c>
      <c r="Q1411" t="s">
        <v>176</v>
      </c>
      <c r="R1411" t="s">
        <v>290</v>
      </c>
      <c r="S1411">
        <v>1</v>
      </c>
      <c r="T1411">
        <v>4520</v>
      </c>
      <c r="U1411">
        <v>0</v>
      </c>
      <c r="V1411">
        <v>4520</v>
      </c>
    </row>
    <row r="1412" spans="1:22" x14ac:dyDescent="0.3">
      <c r="A1412">
        <v>186607</v>
      </c>
      <c r="B1412">
        <v>137513105</v>
      </c>
      <c r="C1412" t="s">
        <v>7301</v>
      </c>
      <c r="D1412" t="s">
        <v>7302</v>
      </c>
      <c r="E1412" t="s">
        <v>6545</v>
      </c>
      <c r="F1412" t="s">
        <v>514</v>
      </c>
      <c r="G1412" t="s">
        <v>43</v>
      </c>
      <c r="H1412" t="s">
        <v>44</v>
      </c>
      <c r="I1412" t="s">
        <v>34</v>
      </c>
      <c r="J1412" t="s">
        <v>45</v>
      </c>
      <c r="K1412" t="s">
        <v>41</v>
      </c>
      <c r="L1412" t="s">
        <v>7303</v>
      </c>
      <c r="M1412" t="s">
        <v>7304</v>
      </c>
      <c r="N1412" t="s">
        <v>6547</v>
      </c>
      <c r="O1412" t="s">
        <v>80</v>
      </c>
      <c r="P1412" t="s">
        <v>7305</v>
      </c>
      <c r="Q1412" t="s">
        <v>98</v>
      </c>
      <c r="R1412" t="s">
        <v>501</v>
      </c>
      <c r="S1412">
        <v>0.5</v>
      </c>
      <c r="T1412">
        <v>4067</v>
      </c>
      <c r="U1412">
        <v>0</v>
      </c>
      <c r="V1412">
        <v>4067</v>
      </c>
    </row>
    <row r="1413" spans="1:22" x14ac:dyDescent="0.3">
      <c r="A1413">
        <v>186607</v>
      </c>
      <c r="B1413">
        <v>137775325</v>
      </c>
      <c r="C1413" t="s">
        <v>7306</v>
      </c>
      <c r="D1413" t="s">
        <v>7307</v>
      </c>
      <c r="E1413" t="s">
        <v>6545</v>
      </c>
      <c r="F1413" t="s">
        <v>514</v>
      </c>
      <c r="G1413" t="s">
        <v>43</v>
      </c>
      <c r="H1413" t="s">
        <v>44</v>
      </c>
      <c r="I1413" t="s">
        <v>34</v>
      </c>
      <c r="J1413" t="s">
        <v>45</v>
      </c>
      <c r="K1413" t="s">
        <v>41</v>
      </c>
      <c r="L1413" t="s">
        <v>7308</v>
      </c>
      <c r="M1413" t="s">
        <v>7309</v>
      </c>
      <c r="N1413" t="s">
        <v>6547</v>
      </c>
      <c r="O1413" t="s">
        <v>80</v>
      </c>
      <c r="P1413" t="s">
        <v>7310</v>
      </c>
      <c r="Q1413" t="s">
        <v>53</v>
      </c>
      <c r="R1413" t="s">
        <v>7311</v>
      </c>
      <c r="S1413">
        <v>0.5</v>
      </c>
      <c r="T1413">
        <v>3587</v>
      </c>
      <c r="U1413">
        <v>0</v>
      </c>
      <c r="V1413">
        <v>3587</v>
      </c>
    </row>
    <row r="1414" spans="1:22" x14ac:dyDescent="0.3">
      <c r="A1414">
        <v>186607</v>
      </c>
      <c r="B1414">
        <v>137822000</v>
      </c>
      <c r="C1414" t="s">
        <v>7312</v>
      </c>
      <c r="D1414" t="s">
        <v>7313</v>
      </c>
      <c r="E1414" t="s">
        <v>6545</v>
      </c>
      <c r="F1414" t="s">
        <v>514</v>
      </c>
      <c r="G1414" t="s">
        <v>43</v>
      </c>
      <c r="H1414" t="s">
        <v>44</v>
      </c>
      <c r="I1414" t="s">
        <v>34</v>
      </c>
      <c r="J1414" t="s">
        <v>45</v>
      </c>
      <c r="K1414" t="s">
        <v>41</v>
      </c>
      <c r="L1414" t="s">
        <v>7314</v>
      </c>
      <c r="M1414" t="s">
        <v>7315</v>
      </c>
      <c r="N1414" t="s">
        <v>6547</v>
      </c>
      <c r="O1414" t="s">
        <v>80</v>
      </c>
      <c r="P1414" t="s">
        <v>7316</v>
      </c>
      <c r="Q1414" t="s">
        <v>50</v>
      </c>
      <c r="R1414" t="s">
        <v>6933</v>
      </c>
      <c r="S1414">
        <v>1</v>
      </c>
      <c r="T1414">
        <v>5406</v>
      </c>
      <c r="U1414">
        <v>0</v>
      </c>
      <c r="V1414">
        <v>5406</v>
      </c>
    </row>
    <row r="1415" spans="1:22" x14ac:dyDescent="0.3">
      <c r="A1415">
        <v>186607</v>
      </c>
      <c r="B1415">
        <v>137616663</v>
      </c>
      <c r="C1415" t="s">
        <v>7317</v>
      </c>
      <c r="D1415" t="s">
        <v>7318</v>
      </c>
      <c r="E1415" t="s">
        <v>6545</v>
      </c>
      <c r="F1415" t="s">
        <v>514</v>
      </c>
      <c r="G1415" t="s">
        <v>43</v>
      </c>
      <c r="H1415" t="s">
        <v>44</v>
      </c>
      <c r="I1415" t="s">
        <v>34</v>
      </c>
      <c r="J1415" t="s">
        <v>45</v>
      </c>
      <c r="K1415" t="s">
        <v>41</v>
      </c>
      <c r="L1415" t="s">
        <v>7319</v>
      </c>
      <c r="M1415" t="s">
        <v>7320</v>
      </c>
      <c r="N1415" t="s">
        <v>6547</v>
      </c>
      <c r="O1415" t="s">
        <v>80</v>
      </c>
      <c r="P1415" t="s">
        <v>7321</v>
      </c>
      <c r="Q1415" t="s">
        <v>50</v>
      </c>
      <c r="R1415" t="s">
        <v>6945</v>
      </c>
      <c r="S1415">
        <v>0.5</v>
      </c>
      <c r="T1415">
        <v>4067</v>
      </c>
      <c r="U1415">
        <v>0</v>
      </c>
      <c r="V1415">
        <v>4067</v>
      </c>
    </row>
    <row r="1416" spans="1:22" x14ac:dyDescent="0.3">
      <c r="A1416">
        <v>186607</v>
      </c>
      <c r="B1416">
        <v>137775332</v>
      </c>
      <c r="C1416" t="s">
        <v>7322</v>
      </c>
      <c r="D1416" t="s">
        <v>7323</v>
      </c>
      <c r="E1416" t="s">
        <v>6545</v>
      </c>
      <c r="F1416" t="s">
        <v>514</v>
      </c>
      <c r="G1416" t="s">
        <v>43</v>
      </c>
      <c r="H1416" t="s">
        <v>44</v>
      </c>
      <c r="I1416" t="s">
        <v>34</v>
      </c>
      <c r="J1416" t="s">
        <v>45</v>
      </c>
      <c r="K1416" t="s">
        <v>41</v>
      </c>
      <c r="L1416" t="s">
        <v>7324</v>
      </c>
      <c r="M1416" t="s">
        <v>7325</v>
      </c>
      <c r="N1416" t="s">
        <v>6547</v>
      </c>
      <c r="O1416" t="s">
        <v>80</v>
      </c>
      <c r="P1416" t="s">
        <v>7326</v>
      </c>
      <c r="Q1416" t="s">
        <v>221</v>
      </c>
      <c r="R1416" t="s">
        <v>7311</v>
      </c>
      <c r="S1416">
        <v>0.5</v>
      </c>
      <c r="T1416">
        <v>3828</v>
      </c>
      <c r="U1416">
        <v>0</v>
      </c>
      <c r="V1416">
        <v>3828</v>
      </c>
    </row>
    <row r="1417" spans="1:22" x14ac:dyDescent="0.3">
      <c r="A1417">
        <v>186607</v>
      </c>
      <c r="B1417">
        <v>137821986</v>
      </c>
      <c r="C1417" t="s">
        <v>7327</v>
      </c>
      <c r="D1417" t="s">
        <v>7328</v>
      </c>
      <c r="E1417" t="s">
        <v>6545</v>
      </c>
      <c r="F1417" t="s">
        <v>514</v>
      </c>
      <c r="G1417" t="s">
        <v>43</v>
      </c>
      <c r="H1417" t="s">
        <v>44</v>
      </c>
      <c r="I1417" t="s">
        <v>34</v>
      </c>
      <c r="J1417" t="s">
        <v>45</v>
      </c>
      <c r="K1417" t="s">
        <v>41</v>
      </c>
      <c r="L1417" t="s">
        <v>7329</v>
      </c>
      <c r="M1417" t="s">
        <v>7330</v>
      </c>
      <c r="N1417" t="s">
        <v>6547</v>
      </c>
      <c r="O1417" t="s">
        <v>80</v>
      </c>
      <c r="P1417" t="s">
        <v>7331</v>
      </c>
      <c r="Q1417" t="s">
        <v>63</v>
      </c>
      <c r="R1417" t="s">
        <v>6933</v>
      </c>
      <c r="S1417">
        <v>1.5</v>
      </c>
      <c r="T1417">
        <v>3501</v>
      </c>
      <c r="U1417">
        <v>0</v>
      </c>
      <c r="V1417">
        <v>3501</v>
      </c>
    </row>
    <row r="1418" spans="1:22" x14ac:dyDescent="0.3">
      <c r="A1418">
        <v>186607</v>
      </c>
      <c r="B1418">
        <v>137726298</v>
      </c>
      <c r="C1418" t="s">
        <v>7332</v>
      </c>
      <c r="D1418" t="s">
        <v>7333</v>
      </c>
      <c r="E1418" t="s">
        <v>6545</v>
      </c>
      <c r="F1418" t="s">
        <v>514</v>
      </c>
      <c r="G1418" t="s">
        <v>43</v>
      </c>
      <c r="H1418" t="s">
        <v>44</v>
      </c>
      <c r="I1418" t="s">
        <v>34</v>
      </c>
      <c r="J1418" t="s">
        <v>45</v>
      </c>
      <c r="K1418" t="s">
        <v>41</v>
      </c>
      <c r="L1418" t="s">
        <v>7334</v>
      </c>
      <c r="M1418" t="s">
        <v>7335</v>
      </c>
      <c r="N1418" t="s">
        <v>6547</v>
      </c>
      <c r="O1418" t="s">
        <v>80</v>
      </c>
      <c r="P1418" t="s">
        <v>7336</v>
      </c>
      <c r="Q1418" t="s">
        <v>90</v>
      </c>
      <c r="R1418" t="s">
        <v>290</v>
      </c>
      <c r="S1418">
        <v>0.5</v>
      </c>
      <c r="T1418">
        <v>3828</v>
      </c>
      <c r="U1418">
        <v>0</v>
      </c>
      <c r="V1418">
        <v>3828</v>
      </c>
    </row>
    <row r="1419" spans="1:22" x14ac:dyDescent="0.3">
      <c r="A1419">
        <v>186607</v>
      </c>
      <c r="B1419">
        <v>137084855</v>
      </c>
      <c r="C1419" t="s">
        <v>7337</v>
      </c>
      <c r="D1419" t="s">
        <v>7338</v>
      </c>
      <c r="E1419" t="s">
        <v>6545</v>
      </c>
      <c r="F1419" t="s">
        <v>514</v>
      </c>
      <c r="G1419" t="s">
        <v>43</v>
      </c>
      <c r="H1419" t="s">
        <v>44</v>
      </c>
      <c r="I1419" t="s">
        <v>34</v>
      </c>
      <c r="J1419" t="s">
        <v>45</v>
      </c>
      <c r="K1419" t="s">
        <v>41</v>
      </c>
      <c r="L1419" t="s">
        <v>7339</v>
      </c>
      <c r="M1419" t="s">
        <v>7340</v>
      </c>
      <c r="N1419" t="s">
        <v>6547</v>
      </c>
      <c r="O1419" t="s">
        <v>80</v>
      </c>
      <c r="P1419" t="s">
        <v>7341</v>
      </c>
      <c r="Q1419" t="s">
        <v>166</v>
      </c>
      <c r="R1419" t="s">
        <v>7342</v>
      </c>
      <c r="S1419">
        <v>2.4</v>
      </c>
      <c r="T1419">
        <v>5759</v>
      </c>
      <c r="U1419">
        <v>0</v>
      </c>
      <c r="V1419">
        <v>5759</v>
      </c>
    </row>
    <row r="1420" spans="1:22" x14ac:dyDescent="0.3">
      <c r="A1420">
        <v>186607</v>
      </c>
      <c r="B1420">
        <v>137775315</v>
      </c>
      <c r="C1420" t="s">
        <v>7343</v>
      </c>
      <c r="D1420" t="s">
        <v>7344</v>
      </c>
      <c r="E1420" t="s">
        <v>6545</v>
      </c>
      <c r="F1420" t="s">
        <v>514</v>
      </c>
      <c r="G1420" t="s">
        <v>43</v>
      </c>
      <c r="H1420" t="s">
        <v>44</v>
      </c>
      <c r="I1420" t="s">
        <v>34</v>
      </c>
      <c r="J1420" t="s">
        <v>45</v>
      </c>
      <c r="K1420" t="s">
        <v>41</v>
      </c>
      <c r="L1420" t="s">
        <v>7345</v>
      </c>
      <c r="M1420" t="s">
        <v>7346</v>
      </c>
      <c r="N1420" t="s">
        <v>6547</v>
      </c>
      <c r="O1420" t="s">
        <v>80</v>
      </c>
      <c r="P1420" t="s">
        <v>7347</v>
      </c>
      <c r="Q1420" t="s">
        <v>123</v>
      </c>
      <c r="R1420" t="s">
        <v>7311</v>
      </c>
      <c r="S1420">
        <v>0.5</v>
      </c>
      <c r="T1420">
        <v>4255</v>
      </c>
      <c r="U1420">
        <v>0</v>
      </c>
      <c r="V1420">
        <v>4255</v>
      </c>
    </row>
    <row r="1421" spans="1:22" x14ac:dyDescent="0.3">
      <c r="A1421">
        <v>186607</v>
      </c>
      <c r="B1421">
        <v>137798438</v>
      </c>
      <c r="C1421" t="s">
        <v>7348</v>
      </c>
      <c r="D1421" t="s">
        <v>7349</v>
      </c>
      <c r="E1421" t="s">
        <v>6545</v>
      </c>
      <c r="F1421" t="s">
        <v>514</v>
      </c>
      <c r="G1421" t="s">
        <v>43</v>
      </c>
      <c r="H1421" t="s">
        <v>44</v>
      </c>
      <c r="I1421" t="s">
        <v>34</v>
      </c>
      <c r="J1421" t="s">
        <v>45</v>
      </c>
      <c r="K1421" t="s">
        <v>41</v>
      </c>
      <c r="L1421" t="s">
        <v>7350</v>
      </c>
      <c r="M1421" t="s">
        <v>7351</v>
      </c>
      <c r="N1421" t="s">
        <v>6547</v>
      </c>
      <c r="O1421" t="s">
        <v>80</v>
      </c>
      <c r="P1421" t="s">
        <v>7352</v>
      </c>
      <c r="Q1421" t="s">
        <v>46</v>
      </c>
      <c r="R1421" t="s">
        <v>7353</v>
      </c>
      <c r="S1421">
        <v>0.5</v>
      </c>
      <c r="T1421">
        <v>3431</v>
      </c>
      <c r="U1421">
        <v>0</v>
      </c>
      <c r="V1421">
        <v>3431</v>
      </c>
    </row>
    <row r="1422" spans="1:22" x14ac:dyDescent="0.3">
      <c r="A1422">
        <v>186607</v>
      </c>
      <c r="B1422">
        <v>137252949</v>
      </c>
      <c r="C1422" t="s">
        <v>7354</v>
      </c>
      <c r="D1422" t="s">
        <v>7355</v>
      </c>
      <c r="E1422" t="s">
        <v>6545</v>
      </c>
      <c r="F1422" t="s">
        <v>514</v>
      </c>
      <c r="G1422" t="s">
        <v>43</v>
      </c>
      <c r="H1422" t="s">
        <v>44</v>
      </c>
      <c r="I1422" t="s">
        <v>34</v>
      </c>
      <c r="J1422" t="s">
        <v>45</v>
      </c>
      <c r="K1422" t="s">
        <v>41</v>
      </c>
      <c r="L1422" t="s">
        <v>7356</v>
      </c>
      <c r="M1422" t="s">
        <v>7357</v>
      </c>
      <c r="N1422" t="s">
        <v>6547</v>
      </c>
      <c r="O1422" t="s">
        <v>80</v>
      </c>
      <c r="P1422" t="s">
        <v>7358</v>
      </c>
      <c r="Q1422" t="s">
        <v>68</v>
      </c>
      <c r="R1422" t="s">
        <v>7111</v>
      </c>
      <c r="S1422">
        <v>1</v>
      </c>
      <c r="T1422">
        <v>5759</v>
      </c>
      <c r="U1422">
        <v>0</v>
      </c>
      <c r="V1422">
        <v>5759</v>
      </c>
    </row>
    <row r="1423" spans="1:22" x14ac:dyDescent="0.3">
      <c r="A1423">
        <v>186607</v>
      </c>
      <c r="B1423">
        <v>137616646</v>
      </c>
      <c r="C1423" t="s">
        <v>7359</v>
      </c>
      <c r="D1423" t="s">
        <v>7360</v>
      </c>
      <c r="E1423" t="s">
        <v>6545</v>
      </c>
      <c r="F1423" t="s">
        <v>514</v>
      </c>
      <c r="G1423" t="s">
        <v>43</v>
      </c>
      <c r="H1423" t="s">
        <v>44</v>
      </c>
      <c r="I1423" t="s">
        <v>34</v>
      </c>
      <c r="J1423" t="s">
        <v>45</v>
      </c>
      <c r="K1423" t="s">
        <v>41</v>
      </c>
      <c r="L1423" t="s">
        <v>7361</v>
      </c>
      <c r="M1423" t="s">
        <v>7362</v>
      </c>
      <c r="N1423" t="s">
        <v>6547</v>
      </c>
      <c r="O1423" t="s">
        <v>80</v>
      </c>
      <c r="P1423" t="s">
        <v>7363</v>
      </c>
      <c r="Q1423" t="s">
        <v>252</v>
      </c>
      <c r="R1423" t="s">
        <v>6945</v>
      </c>
      <c r="S1423">
        <v>0.5</v>
      </c>
      <c r="T1423">
        <v>4049</v>
      </c>
      <c r="U1423">
        <v>0</v>
      </c>
      <c r="V1423">
        <v>4049</v>
      </c>
    </row>
    <row r="1424" spans="1:22" x14ac:dyDescent="0.3">
      <c r="A1424">
        <v>186607</v>
      </c>
      <c r="B1424">
        <v>137822002</v>
      </c>
      <c r="C1424" t="s">
        <v>7364</v>
      </c>
      <c r="D1424" t="s">
        <v>7365</v>
      </c>
      <c r="E1424" t="s">
        <v>6545</v>
      </c>
      <c r="F1424" t="s">
        <v>514</v>
      </c>
      <c r="G1424" t="s">
        <v>43</v>
      </c>
      <c r="H1424" t="s">
        <v>44</v>
      </c>
      <c r="I1424" t="s">
        <v>34</v>
      </c>
      <c r="J1424" t="s">
        <v>45</v>
      </c>
      <c r="K1424" t="s">
        <v>41</v>
      </c>
      <c r="L1424" t="s">
        <v>7366</v>
      </c>
      <c r="M1424" t="s">
        <v>7367</v>
      </c>
      <c r="N1424" t="s">
        <v>6547</v>
      </c>
      <c r="O1424" t="s">
        <v>80</v>
      </c>
      <c r="P1424" t="s">
        <v>7368</v>
      </c>
      <c r="Q1424" t="s">
        <v>243</v>
      </c>
      <c r="R1424" t="s">
        <v>6933</v>
      </c>
      <c r="S1424">
        <v>0.5</v>
      </c>
      <c r="T1424">
        <v>3828</v>
      </c>
      <c r="U1424">
        <v>0</v>
      </c>
      <c r="V1424">
        <v>3828</v>
      </c>
    </row>
    <row r="1425" spans="1:22" x14ac:dyDescent="0.3">
      <c r="A1425">
        <v>186607</v>
      </c>
      <c r="B1425">
        <v>137576389</v>
      </c>
      <c r="C1425" t="s">
        <v>7369</v>
      </c>
      <c r="D1425" t="s">
        <v>7370</v>
      </c>
      <c r="E1425" t="s">
        <v>6545</v>
      </c>
      <c r="F1425" t="s">
        <v>514</v>
      </c>
      <c r="G1425" t="s">
        <v>43</v>
      </c>
      <c r="H1425" t="s">
        <v>44</v>
      </c>
      <c r="I1425" t="s">
        <v>34</v>
      </c>
      <c r="J1425" t="s">
        <v>45</v>
      </c>
      <c r="K1425" t="s">
        <v>41</v>
      </c>
      <c r="L1425" t="s">
        <v>7371</v>
      </c>
      <c r="M1425" t="s">
        <v>7372</v>
      </c>
      <c r="N1425" t="s">
        <v>6547</v>
      </c>
      <c r="O1425" t="s">
        <v>80</v>
      </c>
      <c r="P1425" t="s">
        <v>7373</v>
      </c>
      <c r="Q1425" t="s">
        <v>58</v>
      </c>
      <c r="R1425" t="s">
        <v>6962</v>
      </c>
      <c r="S1425">
        <v>0.5</v>
      </c>
      <c r="T1425">
        <v>3299</v>
      </c>
      <c r="U1425">
        <v>0</v>
      </c>
      <c r="V1425">
        <v>3299</v>
      </c>
    </row>
    <row r="1426" spans="1:22" x14ac:dyDescent="0.3">
      <c r="A1426">
        <v>186607</v>
      </c>
      <c r="B1426">
        <v>137659109</v>
      </c>
      <c r="C1426" t="s">
        <v>7374</v>
      </c>
      <c r="D1426" t="s">
        <v>7375</v>
      </c>
      <c r="E1426" t="s">
        <v>6545</v>
      </c>
      <c r="F1426" t="s">
        <v>514</v>
      </c>
      <c r="G1426" t="s">
        <v>43</v>
      </c>
      <c r="H1426" t="s">
        <v>44</v>
      </c>
      <c r="I1426" t="s">
        <v>34</v>
      </c>
      <c r="J1426" t="s">
        <v>45</v>
      </c>
      <c r="K1426" t="s">
        <v>41</v>
      </c>
      <c r="L1426" t="s">
        <v>7376</v>
      </c>
      <c r="M1426" t="s">
        <v>7377</v>
      </c>
      <c r="N1426" t="s">
        <v>6547</v>
      </c>
      <c r="O1426" t="s">
        <v>80</v>
      </c>
      <c r="P1426" t="s">
        <v>7378</v>
      </c>
      <c r="Q1426" t="s">
        <v>50</v>
      </c>
      <c r="R1426" t="s">
        <v>7379</v>
      </c>
      <c r="S1426">
        <v>0.5</v>
      </c>
      <c r="T1426">
        <v>4067</v>
      </c>
      <c r="U1426">
        <v>0</v>
      </c>
      <c r="V1426">
        <v>4067</v>
      </c>
    </row>
    <row r="1427" spans="1:22" x14ac:dyDescent="0.3">
      <c r="A1427">
        <v>186607</v>
      </c>
      <c r="B1427">
        <v>137821990</v>
      </c>
      <c r="C1427" t="s">
        <v>7380</v>
      </c>
      <c r="D1427" t="s">
        <v>7381</v>
      </c>
      <c r="E1427" t="s">
        <v>6545</v>
      </c>
      <c r="F1427" t="s">
        <v>514</v>
      </c>
      <c r="G1427" t="s">
        <v>43</v>
      </c>
      <c r="H1427" t="s">
        <v>44</v>
      </c>
      <c r="I1427" t="s">
        <v>34</v>
      </c>
      <c r="J1427" t="s">
        <v>45</v>
      </c>
      <c r="K1427" t="s">
        <v>41</v>
      </c>
      <c r="L1427" t="s">
        <v>7382</v>
      </c>
      <c r="M1427" t="s">
        <v>7383</v>
      </c>
      <c r="N1427" t="s">
        <v>6547</v>
      </c>
      <c r="O1427" t="s">
        <v>80</v>
      </c>
      <c r="P1427" t="s">
        <v>7384</v>
      </c>
      <c r="Q1427" t="s">
        <v>66</v>
      </c>
      <c r="R1427" t="s">
        <v>6933</v>
      </c>
      <c r="S1427">
        <v>1</v>
      </c>
      <c r="T1427">
        <v>3936</v>
      </c>
      <c r="U1427">
        <v>0</v>
      </c>
      <c r="V1427">
        <v>3936</v>
      </c>
    </row>
    <row r="1428" spans="1:22" x14ac:dyDescent="0.3">
      <c r="A1428">
        <v>186607</v>
      </c>
      <c r="B1428">
        <v>137659104</v>
      </c>
      <c r="C1428" t="s">
        <v>7385</v>
      </c>
      <c r="D1428" t="s">
        <v>7386</v>
      </c>
      <c r="E1428" t="s">
        <v>6545</v>
      </c>
      <c r="F1428" t="s">
        <v>514</v>
      </c>
      <c r="G1428" t="s">
        <v>43</v>
      </c>
      <c r="H1428" t="s">
        <v>44</v>
      </c>
      <c r="I1428" t="s">
        <v>34</v>
      </c>
      <c r="J1428" t="s">
        <v>45</v>
      </c>
      <c r="K1428" t="s">
        <v>41</v>
      </c>
      <c r="L1428" t="s">
        <v>7387</v>
      </c>
      <c r="M1428" t="s">
        <v>7388</v>
      </c>
      <c r="N1428" t="s">
        <v>6547</v>
      </c>
      <c r="O1428" t="s">
        <v>80</v>
      </c>
      <c r="P1428" t="s">
        <v>7389</v>
      </c>
      <c r="Q1428" t="s">
        <v>50</v>
      </c>
      <c r="R1428" t="s">
        <v>7379</v>
      </c>
      <c r="S1428">
        <v>0.5</v>
      </c>
      <c r="T1428">
        <v>4067</v>
      </c>
      <c r="U1428">
        <v>0</v>
      </c>
      <c r="V1428">
        <v>4067</v>
      </c>
    </row>
    <row r="1429" spans="1:22" x14ac:dyDescent="0.3">
      <c r="A1429">
        <v>186607</v>
      </c>
      <c r="B1429">
        <v>137821997</v>
      </c>
      <c r="C1429" t="s">
        <v>7390</v>
      </c>
      <c r="D1429" t="s">
        <v>7391</v>
      </c>
      <c r="E1429" t="s">
        <v>6545</v>
      </c>
      <c r="F1429" t="s">
        <v>514</v>
      </c>
      <c r="G1429" t="s">
        <v>43</v>
      </c>
      <c r="H1429" t="s">
        <v>44</v>
      </c>
      <c r="I1429" t="s">
        <v>34</v>
      </c>
      <c r="J1429" t="s">
        <v>45</v>
      </c>
      <c r="K1429" t="s">
        <v>41</v>
      </c>
      <c r="L1429" t="s">
        <v>7392</v>
      </c>
      <c r="M1429" t="s">
        <v>7393</v>
      </c>
      <c r="N1429" t="s">
        <v>6547</v>
      </c>
      <c r="O1429" t="s">
        <v>80</v>
      </c>
      <c r="P1429" t="s">
        <v>7394</v>
      </c>
      <c r="Q1429" t="s">
        <v>62</v>
      </c>
      <c r="R1429" t="s">
        <v>6933</v>
      </c>
      <c r="S1429">
        <v>0.5</v>
      </c>
      <c r="T1429">
        <v>3587</v>
      </c>
      <c r="U1429">
        <v>0</v>
      </c>
      <c r="V1429">
        <v>3587</v>
      </c>
    </row>
    <row r="1430" spans="1:22" x14ac:dyDescent="0.3">
      <c r="A1430">
        <v>186607</v>
      </c>
      <c r="B1430">
        <v>137821998</v>
      </c>
      <c r="C1430" t="s">
        <v>7395</v>
      </c>
      <c r="D1430" t="s">
        <v>7396</v>
      </c>
      <c r="E1430" t="s">
        <v>6545</v>
      </c>
      <c r="F1430" t="s">
        <v>514</v>
      </c>
      <c r="G1430" t="s">
        <v>43</v>
      </c>
      <c r="H1430" t="s">
        <v>44</v>
      </c>
      <c r="I1430" t="s">
        <v>34</v>
      </c>
      <c r="J1430" t="s">
        <v>45</v>
      </c>
      <c r="K1430" t="s">
        <v>135</v>
      </c>
      <c r="L1430" t="s">
        <v>261</v>
      </c>
      <c r="M1430" t="s">
        <v>7397</v>
      </c>
      <c r="N1430" t="s">
        <v>6547</v>
      </c>
      <c r="O1430" t="s">
        <v>80</v>
      </c>
      <c r="P1430" t="s">
        <v>7398</v>
      </c>
      <c r="Q1430" t="s">
        <v>217</v>
      </c>
      <c r="R1430" t="s">
        <v>6933</v>
      </c>
      <c r="S1430">
        <v>0.5</v>
      </c>
      <c r="T1430">
        <v>3828</v>
      </c>
      <c r="U1430">
        <v>0</v>
      </c>
      <c r="V1430">
        <v>3828</v>
      </c>
    </row>
    <row r="1431" spans="1:22" x14ac:dyDescent="0.3">
      <c r="A1431">
        <v>186607</v>
      </c>
      <c r="B1431">
        <v>137798437</v>
      </c>
      <c r="C1431" t="s">
        <v>7399</v>
      </c>
      <c r="D1431" t="s">
        <v>7400</v>
      </c>
      <c r="E1431" t="s">
        <v>6545</v>
      </c>
      <c r="F1431" t="s">
        <v>514</v>
      </c>
      <c r="G1431" t="s">
        <v>43</v>
      </c>
      <c r="H1431" t="s">
        <v>44</v>
      </c>
      <c r="I1431" t="s">
        <v>34</v>
      </c>
      <c r="J1431" t="s">
        <v>45</v>
      </c>
      <c r="K1431" t="s">
        <v>41</v>
      </c>
      <c r="L1431" t="s">
        <v>7401</v>
      </c>
      <c r="M1431" t="s">
        <v>7402</v>
      </c>
      <c r="N1431" t="s">
        <v>6547</v>
      </c>
      <c r="O1431" t="s">
        <v>80</v>
      </c>
      <c r="P1431" t="s">
        <v>7403</v>
      </c>
      <c r="Q1431" t="s">
        <v>125</v>
      </c>
      <c r="R1431" t="s">
        <v>7353</v>
      </c>
      <c r="S1431">
        <v>1</v>
      </c>
      <c r="T1431">
        <v>4230</v>
      </c>
      <c r="U1431">
        <v>0</v>
      </c>
      <c r="V1431">
        <v>4230</v>
      </c>
    </row>
    <row r="1432" spans="1:22" x14ac:dyDescent="0.3">
      <c r="A1432">
        <v>186607</v>
      </c>
      <c r="B1432">
        <v>137798440</v>
      </c>
      <c r="C1432" t="s">
        <v>7404</v>
      </c>
      <c r="D1432" t="s">
        <v>7405</v>
      </c>
      <c r="E1432" t="s">
        <v>6545</v>
      </c>
      <c r="F1432" t="s">
        <v>514</v>
      </c>
      <c r="G1432" t="s">
        <v>43</v>
      </c>
      <c r="H1432" t="s">
        <v>44</v>
      </c>
      <c r="I1432" t="s">
        <v>34</v>
      </c>
      <c r="J1432" t="s">
        <v>45</v>
      </c>
      <c r="K1432" t="s">
        <v>41</v>
      </c>
      <c r="L1432" t="s">
        <v>7406</v>
      </c>
      <c r="M1432" t="s">
        <v>7407</v>
      </c>
      <c r="N1432" t="s">
        <v>6547</v>
      </c>
      <c r="O1432" t="s">
        <v>80</v>
      </c>
      <c r="P1432" t="s">
        <v>7408</v>
      </c>
      <c r="Q1432" t="s">
        <v>56</v>
      </c>
      <c r="R1432" t="s">
        <v>7353</v>
      </c>
      <c r="S1432">
        <v>1</v>
      </c>
      <c r="T1432">
        <v>3904</v>
      </c>
      <c r="U1432">
        <v>0</v>
      </c>
      <c r="V1432">
        <v>3904</v>
      </c>
    </row>
    <row r="1433" spans="1:22" x14ac:dyDescent="0.3">
      <c r="A1433">
        <v>186607</v>
      </c>
      <c r="B1433">
        <v>137757115</v>
      </c>
      <c r="C1433" t="s">
        <v>7409</v>
      </c>
      <c r="D1433" t="s">
        <v>7410</v>
      </c>
      <c r="E1433" t="s">
        <v>6545</v>
      </c>
      <c r="F1433" t="s">
        <v>514</v>
      </c>
      <c r="G1433" t="s">
        <v>43</v>
      </c>
      <c r="H1433" t="s">
        <v>44</v>
      </c>
      <c r="I1433" t="s">
        <v>34</v>
      </c>
      <c r="J1433" t="s">
        <v>45</v>
      </c>
      <c r="K1433" t="s">
        <v>41</v>
      </c>
      <c r="L1433" t="s">
        <v>7411</v>
      </c>
      <c r="M1433" t="s">
        <v>7412</v>
      </c>
      <c r="N1433" t="s">
        <v>6547</v>
      </c>
      <c r="O1433" t="s">
        <v>80</v>
      </c>
      <c r="P1433" t="s">
        <v>7413</v>
      </c>
      <c r="Q1433" t="s">
        <v>178</v>
      </c>
      <c r="R1433" t="s">
        <v>7414</v>
      </c>
      <c r="S1433">
        <v>0.5</v>
      </c>
      <c r="T1433">
        <v>7654</v>
      </c>
      <c r="U1433">
        <v>0</v>
      </c>
      <c r="V1433">
        <v>7654</v>
      </c>
    </row>
    <row r="1434" spans="1:22" x14ac:dyDescent="0.3">
      <c r="A1434">
        <v>186607</v>
      </c>
      <c r="B1434">
        <v>137555190</v>
      </c>
      <c r="C1434" t="s">
        <v>7415</v>
      </c>
      <c r="D1434" t="s">
        <v>7416</v>
      </c>
      <c r="E1434" t="s">
        <v>6545</v>
      </c>
      <c r="F1434" t="s">
        <v>514</v>
      </c>
      <c r="G1434" t="s">
        <v>43</v>
      </c>
      <c r="H1434" t="s">
        <v>44</v>
      </c>
      <c r="I1434" t="s">
        <v>34</v>
      </c>
      <c r="J1434" t="s">
        <v>45</v>
      </c>
      <c r="K1434" t="s">
        <v>41</v>
      </c>
      <c r="L1434" t="s">
        <v>7417</v>
      </c>
      <c r="M1434" t="s">
        <v>339</v>
      </c>
      <c r="N1434" t="s">
        <v>6547</v>
      </c>
      <c r="O1434" t="s">
        <v>80</v>
      </c>
      <c r="P1434" t="s">
        <v>340</v>
      </c>
      <c r="Q1434" t="s">
        <v>58</v>
      </c>
      <c r="R1434" t="s">
        <v>7418</v>
      </c>
      <c r="S1434">
        <v>0.5</v>
      </c>
      <c r="T1434">
        <v>3299</v>
      </c>
      <c r="U1434">
        <v>0</v>
      </c>
      <c r="V1434">
        <v>3299</v>
      </c>
    </row>
    <row r="1435" spans="1:22" x14ac:dyDescent="0.3">
      <c r="A1435">
        <v>186607</v>
      </c>
      <c r="B1435">
        <v>137701710</v>
      </c>
      <c r="C1435" t="s">
        <v>7419</v>
      </c>
      <c r="D1435" t="s">
        <v>7420</v>
      </c>
      <c r="E1435" t="s">
        <v>6545</v>
      </c>
      <c r="F1435" t="s">
        <v>514</v>
      </c>
      <c r="G1435" t="s">
        <v>43</v>
      </c>
      <c r="H1435" t="s">
        <v>44</v>
      </c>
      <c r="I1435" t="s">
        <v>34</v>
      </c>
      <c r="J1435" t="s">
        <v>45</v>
      </c>
      <c r="K1435" t="s">
        <v>41</v>
      </c>
      <c r="L1435" t="s">
        <v>7421</v>
      </c>
      <c r="M1435" t="s">
        <v>7422</v>
      </c>
      <c r="N1435" t="s">
        <v>6547</v>
      </c>
      <c r="O1435" t="s">
        <v>80</v>
      </c>
      <c r="P1435" t="s">
        <v>7423</v>
      </c>
      <c r="Q1435" t="s">
        <v>82</v>
      </c>
      <c r="R1435" t="s">
        <v>7424</v>
      </c>
      <c r="S1435">
        <v>2.5</v>
      </c>
      <c r="T1435">
        <v>5759</v>
      </c>
      <c r="U1435">
        <v>0</v>
      </c>
      <c r="V1435">
        <v>5759</v>
      </c>
    </row>
    <row r="1436" spans="1:22" x14ac:dyDescent="0.3">
      <c r="A1436">
        <v>186607</v>
      </c>
      <c r="B1436">
        <v>137576403</v>
      </c>
      <c r="C1436" t="s">
        <v>7425</v>
      </c>
      <c r="D1436" t="s">
        <v>7426</v>
      </c>
      <c r="E1436" t="s">
        <v>6545</v>
      </c>
      <c r="F1436" t="s">
        <v>514</v>
      </c>
      <c r="G1436" t="s">
        <v>43</v>
      </c>
      <c r="H1436" t="s">
        <v>44</v>
      </c>
      <c r="I1436" t="s">
        <v>34</v>
      </c>
      <c r="J1436" t="s">
        <v>45</v>
      </c>
      <c r="K1436" t="s">
        <v>41</v>
      </c>
      <c r="L1436" t="s">
        <v>7427</v>
      </c>
      <c r="M1436" t="s">
        <v>5717</v>
      </c>
      <c r="N1436" t="s">
        <v>6547</v>
      </c>
      <c r="O1436" t="s">
        <v>80</v>
      </c>
      <c r="P1436" t="s">
        <v>7428</v>
      </c>
      <c r="Q1436" t="s">
        <v>97</v>
      </c>
      <c r="R1436" t="s">
        <v>6962</v>
      </c>
      <c r="S1436">
        <v>0.5</v>
      </c>
      <c r="T1436">
        <v>3680</v>
      </c>
      <c r="U1436">
        <v>0</v>
      </c>
      <c r="V1436">
        <v>3680</v>
      </c>
    </row>
    <row r="1437" spans="1:22" x14ac:dyDescent="0.3">
      <c r="A1437">
        <v>186607</v>
      </c>
      <c r="B1437">
        <v>137659110</v>
      </c>
      <c r="C1437" t="s">
        <v>7429</v>
      </c>
      <c r="D1437" t="s">
        <v>7430</v>
      </c>
      <c r="E1437" t="s">
        <v>6545</v>
      </c>
      <c r="F1437" t="s">
        <v>514</v>
      </c>
      <c r="G1437" t="s">
        <v>43</v>
      </c>
      <c r="H1437" t="s">
        <v>44</v>
      </c>
      <c r="I1437" t="s">
        <v>34</v>
      </c>
      <c r="J1437" t="s">
        <v>45</v>
      </c>
      <c r="K1437" t="s">
        <v>41</v>
      </c>
      <c r="L1437" t="s">
        <v>7431</v>
      </c>
      <c r="M1437" t="s">
        <v>7432</v>
      </c>
      <c r="N1437" t="s">
        <v>6547</v>
      </c>
      <c r="O1437" t="s">
        <v>80</v>
      </c>
      <c r="P1437" t="s">
        <v>7433</v>
      </c>
      <c r="Q1437" t="s">
        <v>172</v>
      </c>
      <c r="R1437" t="s">
        <v>7379</v>
      </c>
      <c r="S1437">
        <v>0.5</v>
      </c>
      <c r="T1437">
        <v>4562</v>
      </c>
      <c r="U1437">
        <v>0</v>
      </c>
      <c r="V1437">
        <v>4562</v>
      </c>
    </row>
    <row r="1438" spans="1:22" x14ac:dyDescent="0.3">
      <c r="A1438">
        <v>186607</v>
      </c>
      <c r="B1438">
        <v>137576393</v>
      </c>
      <c r="C1438" t="s">
        <v>7434</v>
      </c>
      <c r="D1438" t="s">
        <v>7435</v>
      </c>
      <c r="E1438" t="s">
        <v>6545</v>
      </c>
      <c r="F1438" t="s">
        <v>514</v>
      </c>
      <c r="G1438" t="s">
        <v>43</v>
      </c>
      <c r="H1438" t="s">
        <v>44</v>
      </c>
      <c r="I1438" t="s">
        <v>34</v>
      </c>
      <c r="J1438" t="s">
        <v>45</v>
      </c>
      <c r="K1438" t="s">
        <v>41</v>
      </c>
      <c r="L1438" t="s">
        <v>7436</v>
      </c>
      <c r="M1438" t="s">
        <v>7437</v>
      </c>
      <c r="N1438" t="s">
        <v>6547</v>
      </c>
      <c r="O1438" t="s">
        <v>80</v>
      </c>
      <c r="P1438" t="s">
        <v>7438</v>
      </c>
      <c r="Q1438" t="s">
        <v>75</v>
      </c>
      <c r="R1438" t="s">
        <v>6962</v>
      </c>
      <c r="S1438">
        <v>0.5</v>
      </c>
      <c r="T1438">
        <v>3680</v>
      </c>
      <c r="U1438">
        <v>0</v>
      </c>
      <c r="V1438">
        <v>3680</v>
      </c>
    </row>
    <row r="1439" spans="1:22" x14ac:dyDescent="0.3">
      <c r="A1439">
        <v>186607</v>
      </c>
      <c r="B1439">
        <v>137468340</v>
      </c>
      <c r="C1439" t="s">
        <v>7439</v>
      </c>
      <c r="D1439" t="s">
        <v>7440</v>
      </c>
      <c r="E1439" t="s">
        <v>6545</v>
      </c>
      <c r="F1439" t="s">
        <v>514</v>
      </c>
      <c r="G1439" t="s">
        <v>43</v>
      </c>
      <c r="H1439" t="s">
        <v>44</v>
      </c>
      <c r="I1439" t="s">
        <v>34</v>
      </c>
      <c r="J1439" t="s">
        <v>45</v>
      </c>
      <c r="K1439" t="s">
        <v>41</v>
      </c>
      <c r="L1439" t="s">
        <v>4940</v>
      </c>
      <c r="M1439" t="s">
        <v>7441</v>
      </c>
      <c r="N1439" t="s">
        <v>6547</v>
      </c>
      <c r="O1439" t="s">
        <v>80</v>
      </c>
      <c r="P1439" t="s">
        <v>7442</v>
      </c>
      <c r="Q1439" t="s">
        <v>82</v>
      </c>
      <c r="R1439" t="s">
        <v>7443</v>
      </c>
      <c r="S1439">
        <v>0.5</v>
      </c>
      <c r="T1439">
        <v>4067</v>
      </c>
      <c r="U1439">
        <v>0</v>
      </c>
      <c r="V1439">
        <v>4067</v>
      </c>
    </row>
    <row r="1440" spans="1:22" x14ac:dyDescent="0.3">
      <c r="A1440">
        <v>186607</v>
      </c>
      <c r="B1440">
        <v>137359209</v>
      </c>
      <c r="C1440" t="s">
        <v>7444</v>
      </c>
      <c r="D1440" t="s">
        <v>7445</v>
      </c>
      <c r="E1440" t="s">
        <v>6545</v>
      </c>
      <c r="F1440" t="s">
        <v>514</v>
      </c>
      <c r="G1440" t="s">
        <v>43</v>
      </c>
      <c r="H1440" t="s">
        <v>44</v>
      </c>
      <c r="I1440" t="s">
        <v>34</v>
      </c>
      <c r="J1440" t="s">
        <v>45</v>
      </c>
      <c r="K1440" t="s">
        <v>41</v>
      </c>
      <c r="L1440" t="s">
        <v>7446</v>
      </c>
      <c r="M1440" t="s">
        <v>7447</v>
      </c>
      <c r="N1440" t="s">
        <v>6547</v>
      </c>
      <c r="O1440" t="s">
        <v>80</v>
      </c>
      <c r="P1440" t="s">
        <v>7448</v>
      </c>
      <c r="Q1440" t="s">
        <v>166</v>
      </c>
      <c r="R1440" t="s">
        <v>507</v>
      </c>
      <c r="S1440">
        <v>0.5</v>
      </c>
      <c r="T1440">
        <v>5367</v>
      </c>
      <c r="U1440">
        <v>0</v>
      </c>
      <c r="V1440">
        <v>5367</v>
      </c>
    </row>
    <row r="1441" spans="1:22" x14ac:dyDescent="0.3">
      <c r="A1441">
        <v>186607</v>
      </c>
      <c r="B1441">
        <v>137669974</v>
      </c>
      <c r="C1441" t="s">
        <v>7449</v>
      </c>
      <c r="D1441" t="s">
        <v>7450</v>
      </c>
      <c r="E1441" t="s">
        <v>6545</v>
      </c>
      <c r="F1441" t="s">
        <v>514</v>
      </c>
      <c r="G1441" t="s">
        <v>43</v>
      </c>
      <c r="H1441" t="s">
        <v>44</v>
      </c>
      <c r="I1441" t="s">
        <v>34</v>
      </c>
      <c r="J1441" t="s">
        <v>45</v>
      </c>
      <c r="K1441" t="s">
        <v>41</v>
      </c>
      <c r="L1441" t="s">
        <v>7451</v>
      </c>
      <c r="M1441" t="s">
        <v>7452</v>
      </c>
      <c r="N1441" t="s">
        <v>6547</v>
      </c>
      <c r="O1441" t="s">
        <v>80</v>
      </c>
      <c r="P1441" t="s">
        <v>7453</v>
      </c>
      <c r="Q1441" t="s">
        <v>49</v>
      </c>
      <c r="R1441" t="s">
        <v>6983</v>
      </c>
      <c r="S1441">
        <v>0.5</v>
      </c>
      <c r="T1441">
        <v>3449</v>
      </c>
      <c r="U1441">
        <v>0</v>
      </c>
      <c r="V1441">
        <v>3449</v>
      </c>
    </row>
    <row r="1442" spans="1:22" x14ac:dyDescent="0.3">
      <c r="A1442">
        <v>186607</v>
      </c>
      <c r="B1442">
        <v>137701731</v>
      </c>
      <c r="C1442" t="s">
        <v>7454</v>
      </c>
      <c r="D1442" t="s">
        <v>7455</v>
      </c>
      <c r="E1442" t="s">
        <v>6545</v>
      </c>
      <c r="F1442" t="s">
        <v>514</v>
      </c>
      <c r="G1442" t="s">
        <v>43</v>
      </c>
      <c r="H1442" t="s">
        <v>44</v>
      </c>
      <c r="I1442" t="s">
        <v>34</v>
      </c>
      <c r="J1442" t="s">
        <v>45</v>
      </c>
      <c r="K1442" t="s">
        <v>41</v>
      </c>
      <c r="L1442" t="s">
        <v>7456</v>
      </c>
      <c r="M1442" t="s">
        <v>7457</v>
      </c>
      <c r="N1442" t="s">
        <v>6547</v>
      </c>
      <c r="O1442" t="s">
        <v>80</v>
      </c>
      <c r="P1442" t="s">
        <v>7458</v>
      </c>
      <c r="Q1442" t="s">
        <v>256</v>
      </c>
      <c r="R1442" t="s">
        <v>7424</v>
      </c>
      <c r="S1442">
        <v>3.29</v>
      </c>
      <c r="T1442">
        <v>5111</v>
      </c>
      <c r="U1442">
        <v>0</v>
      </c>
      <c r="V1442">
        <v>5111</v>
      </c>
    </row>
    <row r="1443" spans="1:22" x14ac:dyDescent="0.3">
      <c r="A1443">
        <v>186607</v>
      </c>
      <c r="B1443">
        <v>137701729</v>
      </c>
      <c r="C1443" t="s">
        <v>7459</v>
      </c>
      <c r="D1443" t="s">
        <v>7460</v>
      </c>
      <c r="E1443" t="s">
        <v>6545</v>
      </c>
      <c r="F1443" t="s">
        <v>514</v>
      </c>
      <c r="G1443" t="s">
        <v>43</v>
      </c>
      <c r="H1443" t="s">
        <v>44</v>
      </c>
      <c r="I1443" t="s">
        <v>34</v>
      </c>
      <c r="J1443" t="s">
        <v>45</v>
      </c>
      <c r="K1443" t="s">
        <v>41</v>
      </c>
      <c r="L1443" t="s">
        <v>7461</v>
      </c>
      <c r="M1443" t="s">
        <v>7462</v>
      </c>
      <c r="N1443" t="s">
        <v>6547</v>
      </c>
      <c r="O1443" t="s">
        <v>80</v>
      </c>
      <c r="P1443" t="s">
        <v>7463</v>
      </c>
      <c r="Q1443" t="s">
        <v>82</v>
      </c>
      <c r="R1443" t="s">
        <v>7424</v>
      </c>
      <c r="S1443">
        <v>2.83</v>
      </c>
      <c r="T1443">
        <v>5759</v>
      </c>
      <c r="U1443">
        <v>0</v>
      </c>
      <c r="V1443">
        <v>5759</v>
      </c>
    </row>
    <row r="1444" spans="1:22" x14ac:dyDescent="0.3">
      <c r="A1444">
        <v>186607</v>
      </c>
      <c r="B1444">
        <v>137468434</v>
      </c>
      <c r="C1444" t="s">
        <v>7464</v>
      </c>
      <c r="D1444" t="s">
        <v>7465</v>
      </c>
      <c r="E1444" t="s">
        <v>6545</v>
      </c>
      <c r="F1444" t="s">
        <v>514</v>
      </c>
      <c r="G1444" t="s">
        <v>43</v>
      </c>
      <c r="H1444" t="s">
        <v>44</v>
      </c>
      <c r="I1444" t="s">
        <v>34</v>
      </c>
      <c r="J1444" t="s">
        <v>45</v>
      </c>
      <c r="K1444" t="s">
        <v>41</v>
      </c>
      <c r="L1444" t="s">
        <v>7466</v>
      </c>
      <c r="M1444" t="s">
        <v>7467</v>
      </c>
      <c r="N1444" t="s">
        <v>6547</v>
      </c>
      <c r="O1444" t="s">
        <v>80</v>
      </c>
      <c r="P1444" t="s">
        <v>7468</v>
      </c>
      <c r="Q1444" t="s">
        <v>98</v>
      </c>
      <c r="R1444" t="s">
        <v>7443</v>
      </c>
      <c r="S1444">
        <v>0.5</v>
      </c>
      <c r="T1444">
        <v>4067</v>
      </c>
      <c r="U1444">
        <v>0</v>
      </c>
      <c r="V1444">
        <v>4067</v>
      </c>
    </row>
    <row r="1445" spans="1:22" x14ac:dyDescent="0.3">
      <c r="A1445">
        <v>186607</v>
      </c>
      <c r="B1445">
        <v>137701725</v>
      </c>
      <c r="C1445" t="s">
        <v>7469</v>
      </c>
      <c r="D1445" t="s">
        <v>7470</v>
      </c>
      <c r="E1445" t="s">
        <v>6545</v>
      </c>
      <c r="F1445" t="s">
        <v>514</v>
      </c>
      <c r="G1445" t="s">
        <v>43</v>
      </c>
      <c r="H1445" t="s">
        <v>44</v>
      </c>
      <c r="I1445" t="s">
        <v>34</v>
      </c>
      <c r="J1445" t="s">
        <v>45</v>
      </c>
      <c r="K1445" t="s">
        <v>41</v>
      </c>
      <c r="L1445" t="s">
        <v>7471</v>
      </c>
      <c r="M1445" t="s">
        <v>7472</v>
      </c>
      <c r="N1445" t="s">
        <v>6547</v>
      </c>
      <c r="O1445" t="s">
        <v>80</v>
      </c>
      <c r="P1445" t="s">
        <v>7473</v>
      </c>
      <c r="Q1445" t="s">
        <v>118</v>
      </c>
      <c r="R1445" t="s">
        <v>7424</v>
      </c>
      <c r="S1445">
        <v>1.84</v>
      </c>
      <c r="T1445">
        <v>4067</v>
      </c>
      <c r="U1445">
        <v>0</v>
      </c>
      <c r="V1445">
        <v>4067</v>
      </c>
    </row>
    <row r="1446" spans="1:22" x14ac:dyDescent="0.3">
      <c r="A1446">
        <v>186607</v>
      </c>
      <c r="B1446">
        <v>137701706</v>
      </c>
      <c r="C1446" t="s">
        <v>7474</v>
      </c>
      <c r="D1446" t="s">
        <v>7475</v>
      </c>
      <c r="E1446" t="s">
        <v>6545</v>
      </c>
      <c r="F1446" t="s">
        <v>514</v>
      </c>
      <c r="G1446" t="s">
        <v>43</v>
      </c>
      <c r="H1446" t="s">
        <v>44</v>
      </c>
      <c r="I1446" t="s">
        <v>34</v>
      </c>
      <c r="J1446" t="s">
        <v>45</v>
      </c>
      <c r="K1446" t="s">
        <v>41</v>
      </c>
      <c r="L1446" t="s">
        <v>7476</v>
      </c>
      <c r="M1446" t="s">
        <v>7477</v>
      </c>
      <c r="N1446" t="s">
        <v>6547</v>
      </c>
      <c r="O1446" t="s">
        <v>80</v>
      </c>
      <c r="P1446" t="s">
        <v>7478</v>
      </c>
      <c r="Q1446" t="s">
        <v>56</v>
      </c>
      <c r="R1446" t="s">
        <v>7424</v>
      </c>
      <c r="S1446">
        <v>1.43</v>
      </c>
      <c r="T1446">
        <v>3753</v>
      </c>
      <c r="U1446">
        <v>0</v>
      </c>
      <c r="V1446">
        <v>3753</v>
      </c>
    </row>
    <row r="1447" spans="1:22" x14ac:dyDescent="0.3">
      <c r="A1447">
        <v>186607</v>
      </c>
      <c r="B1447">
        <v>137468363</v>
      </c>
      <c r="C1447" t="s">
        <v>7479</v>
      </c>
      <c r="D1447" t="s">
        <v>7480</v>
      </c>
      <c r="E1447" t="s">
        <v>6545</v>
      </c>
      <c r="F1447" t="s">
        <v>514</v>
      </c>
      <c r="G1447" t="s">
        <v>69</v>
      </c>
      <c r="H1447" t="s">
        <v>70</v>
      </c>
      <c r="I1447" t="s">
        <v>34</v>
      </c>
      <c r="J1447" t="s">
        <v>139</v>
      </c>
      <c r="K1447" t="s">
        <v>41</v>
      </c>
      <c r="L1447" t="s">
        <v>71</v>
      </c>
      <c r="M1447" t="s">
        <v>7481</v>
      </c>
      <c r="N1447" t="s">
        <v>6547</v>
      </c>
      <c r="O1447" t="s">
        <v>80</v>
      </c>
      <c r="P1447" t="s">
        <v>7482</v>
      </c>
      <c r="Q1447" t="s">
        <v>235</v>
      </c>
      <c r="R1447" t="s">
        <v>7443</v>
      </c>
      <c r="S1447">
        <v>4.1399999999999997</v>
      </c>
      <c r="T1447">
        <v>4537</v>
      </c>
      <c r="U1447">
        <v>0</v>
      </c>
      <c r="V1447">
        <v>4537</v>
      </c>
    </row>
    <row r="1448" spans="1:22" x14ac:dyDescent="0.3">
      <c r="A1448">
        <v>186607</v>
      </c>
      <c r="B1448">
        <v>137389908</v>
      </c>
      <c r="C1448" t="s">
        <v>7483</v>
      </c>
      <c r="D1448" t="s">
        <v>7484</v>
      </c>
      <c r="E1448" t="s">
        <v>6545</v>
      </c>
      <c r="F1448" t="s">
        <v>514</v>
      </c>
      <c r="G1448" t="s">
        <v>69</v>
      </c>
      <c r="H1448" t="s">
        <v>70</v>
      </c>
      <c r="I1448" t="s">
        <v>34</v>
      </c>
      <c r="J1448" t="s">
        <v>139</v>
      </c>
      <c r="K1448" t="s">
        <v>41</v>
      </c>
      <c r="L1448" t="s">
        <v>71</v>
      </c>
      <c r="M1448" t="s">
        <v>7485</v>
      </c>
      <c r="N1448" t="s">
        <v>6547</v>
      </c>
      <c r="O1448" t="s">
        <v>80</v>
      </c>
      <c r="P1448" t="s">
        <v>7486</v>
      </c>
      <c r="Q1448" t="s">
        <v>242</v>
      </c>
      <c r="R1448" t="s">
        <v>7487</v>
      </c>
      <c r="S1448">
        <v>3.18</v>
      </c>
      <c r="T1448">
        <v>7224</v>
      </c>
      <c r="U1448">
        <v>0</v>
      </c>
      <c r="V1448">
        <v>7224</v>
      </c>
    </row>
    <row r="1449" spans="1:22" x14ac:dyDescent="0.3">
      <c r="A1449">
        <v>186607</v>
      </c>
      <c r="B1449">
        <v>137389934</v>
      </c>
      <c r="C1449" t="s">
        <v>7488</v>
      </c>
      <c r="D1449" t="s">
        <v>7489</v>
      </c>
      <c r="E1449" t="s">
        <v>6545</v>
      </c>
      <c r="F1449" t="s">
        <v>514</v>
      </c>
      <c r="G1449" t="s">
        <v>43</v>
      </c>
      <c r="H1449" t="s">
        <v>44</v>
      </c>
      <c r="I1449" t="s">
        <v>34</v>
      </c>
      <c r="J1449" t="s">
        <v>45</v>
      </c>
      <c r="K1449" t="s">
        <v>41</v>
      </c>
      <c r="L1449" t="s">
        <v>7490</v>
      </c>
      <c r="M1449" t="s">
        <v>7491</v>
      </c>
      <c r="N1449" t="s">
        <v>6547</v>
      </c>
      <c r="O1449" t="s">
        <v>80</v>
      </c>
      <c r="P1449" t="s">
        <v>7492</v>
      </c>
      <c r="Q1449" t="s">
        <v>98</v>
      </c>
      <c r="R1449" t="s">
        <v>7493</v>
      </c>
      <c r="S1449">
        <v>1</v>
      </c>
      <c r="T1449">
        <v>5759</v>
      </c>
      <c r="U1449">
        <v>0</v>
      </c>
      <c r="V1449">
        <v>5759</v>
      </c>
    </row>
    <row r="1450" spans="1:22" x14ac:dyDescent="0.3">
      <c r="A1450">
        <v>186607</v>
      </c>
      <c r="B1450">
        <v>137633908</v>
      </c>
      <c r="C1450" t="s">
        <v>7494</v>
      </c>
      <c r="D1450" t="s">
        <v>7495</v>
      </c>
      <c r="E1450" t="s">
        <v>6545</v>
      </c>
      <c r="F1450" t="s">
        <v>514</v>
      </c>
      <c r="G1450" t="s">
        <v>43</v>
      </c>
      <c r="H1450" t="s">
        <v>44</v>
      </c>
      <c r="I1450" t="s">
        <v>34</v>
      </c>
      <c r="J1450" t="s">
        <v>45</v>
      </c>
      <c r="K1450" t="s">
        <v>41</v>
      </c>
      <c r="L1450" t="s">
        <v>7496</v>
      </c>
      <c r="M1450" t="s">
        <v>7497</v>
      </c>
      <c r="N1450" t="s">
        <v>6547</v>
      </c>
      <c r="O1450" t="s">
        <v>80</v>
      </c>
      <c r="P1450" t="s">
        <v>7498</v>
      </c>
      <c r="Q1450" t="s">
        <v>56</v>
      </c>
      <c r="R1450" t="s">
        <v>6956</v>
      </c>
      <c r="S1450">
        <v>0.5</v>
      </c>
      <c r="T1450">
        <v>3680</v>
      </c>
      <c r="U1450">
        <v>0</v>
      </c>
      <c r="V1450">
        <v>3680</v>
      </c>
    </row>
    <row r="1451" spans="1:22" x14ac:dyDescent="0.3">
      <c r="A1451">
        <v>186607</v>
      </c>
      <c r="B1451">
        <v>137616654</v>
      </c>
      <c r="C1451" t="s">
        <v>7499</v>
      </c>
      <c r="D1451" t="s">
        <v>7500</v>
      </c>
      <c r="E1451" t="s">
        <v>6545</v>
      </c>
      <c r="F1451" t="s">
        <v>514</v>
      </c>
      <c r="G1451" t="s">
        <v>43</v>
      </c>
      <c r="H1451" t="s">
        <v>44</v>
      </c>
      <c r="I1451" t="s">
        <v>34</v>
      </c>
      <c r="J1451" t="s">
        <v>45</v>
      </c>
      <c r="K1451" t="s">
        <v>41</v>
      </c>
      <c r="L1451" t="s">
        <v>7501</v>
      </c>
      <c r="M1451" t="s">
        <v>7502</v>
      </c>
      <c r="N1451" t="s">
        <v>6547</v>
      </c>
      <c r="O1451" t="s">
        <v>80</v>
      </c>
      <c r="P1451" t="s">
        <v>7503</v>
      </c>
      <c r="Q1451" t="s">
        <v>48</v>
      </c>
      <c r="R1451" t="s">
        <v>6945</v>
      </c>
      <c r="S1451">
        <v>0.5</v>
      </c>
      <c r="T1451">
        <v>3680</v>
      </c>
      <c r="U1451">
        <v>0</v>
      </c>
      <c r="V1451">
        <v>3680</v>
      </c>
    </row>
    <row r="1452" spans="1:22" x14ac:dyDescent="0.3">
      <c r="A1452">
        <v>186607</v>
      </c>
      <c r="B1452">
        <v>137701721</v>
      </c>
      <c r="C1452" t="s">
        <v>7504</v>
      </c>
      <c r="D1452" t="s">
        <v>7505</v>
      </c>
      <c r="E1452" t="s">
        <v>6545</v>
      </c>
      <c r="F1452" t="s">
        <v>514</v>
      </c>
      <c r="G1452" t="s">
        <v>43</v>
      </c>
      <c r="H1452" t="s">
        <v>44</v>
      </c>
      <c r="I1452" t="s">
        <v>34</v>
      </c>
      <c r="J1452" t="s">
        <v>45</v>
      </c>
      <c r="K1452" t="s">
        <v>41</v>
      </c>
      <c r="L1452" t="s">
        <v>7506</v>
      </c>
      <c r="M1452" t="s">
        <v>7507</v>
      </c>
      <c r="N1452" t="s">
        <v>6547</v>
      </c>
      <c r="O1452" t="s">
        <v>80</v>
      </c>
      <c r="P1452" t="s">
        <v>7508</v>
      </c>
      <c r="Q1452" t="s">
        <v>90</v>
      </c>
      <c r="R1452" t="s">
        <v>7424</v>
      </c>
      <c r="S1452">
        <v>3.92</v>
      </c>
      <c r="T1452">
        <v>4456</v>
      </c>
      <c r="U1452">
        <v>0</v>
      </c>
      <c r="V1452">
        <v>4456</v>
      </c>
    </row>
    <row r="1453" spans="1:22" x14ac:dyDescent="0.3">
      <c r="A1453">
        <v>186607</v>
      </c>
      <c r="B1453">
        <v>137633900</v>
      </c>
      <c r="C1453" t="s">
        <v>7509</v>
      </c>
      <c r="D1453" t="s">
        <v>7510</v>
      </c>
      <c r="E1453" t="s">
        <v>6545</v>
      </c>
      <c r="F1453" t="s">
        <v>514</v>
      </c>
      <c r="G1453" t="s">
        <v>43</v>
      </c>
      <c r="H1453" t="s">
        <v>44</v>
      </c>
      <c r="I1453" t="s">
        <v>34</v>
      </c>
      <c r="J1453" t="s">
        <v>45</v>
      </c>
      <c r="K1453" t="s">
        <v>41</v>
      </c>
      <c r="L1453" t="s">
        <v>7511</v>
      </c>
      <c r="M1453" t="s">
        <v>7512</v>
      </c>
      <c r="N1453" t="s">
        <v>6547</v>
      </c>
      <c r="O1453" t="s">
        <v>80</v>
      </c>
      <c r="P1453" t="s">
        <v>7513</v>
      </c>
      <c r="Q1453" t="s">
        <v>97</v>
      </c>
      <c r="R1453" t="s">
        <v>6956</v>
      </c>
      <c r="S1453">
        <v>0.5</v>
      </c>
      <c r="T1453">
        <v>3680</v>
      </c>
      <c r="U1453">
        <v>0</v>
      </c>
      <c r="V1453">
        <v>3680</v>
      </c>
    </row>
    <row r="1454" spans="1:22" x14ac:dyDescent="0.3">
      <c r="A1454">
        <v>186607</v>
      </c>
      <c r="B1454">
        <v>137084834</v>
      </c>
      <c r="C1454" t="s">
        <v>7514</v>
      </c>
      <c r="D1454" t="s">
        <v>7515</v>
      </c>
      <c r="E1454" t="s">
        <v>6545</v>
      </c>
      <c r="F1454" t="s">
        <v>514</v>
      </c>
      <c r="G1454" t="s">
        <v>43</v>
      </c>
      <c r="H1454" t="s">
        <v>44</v>
      </c>
      <c r="I1454" t="s">
        <v>34</v>
      </c>
      <c r="J1454" t="s">
        <v>45</v>
      </c>
      <c r="K1454" t="s">
        <v>41</v>
      </c>
      <c r="L1454" t="s">
        <v>7516</v>
      </c>
      <c r="M1454" t="s">
        <v>7517</v>
      </c>
      <c r="N1454" t="s">
        <v>6547</v>
      </c>
      <c r="O1454" t="s">
        <v>80</v>
      </c>
      <c r="P1454" t="s">
        <v>7518</v>
      </c>
      <c r="Q1454" t="s">
        <v>166</v>
      </c>
      <c r="R1454" t="s">
        <v>7342</v>
      </c>
      <c r="S1454">
        <v>3.7</v>
      </c>
      <c r="T1454">
        <v>8008</v>
      </c>
      <c r="U1454">
        <v>0</v>
      </c>
      <c r="V1454">
        <v>8008</v>
      </c>
    </row>
    <row r="1455" spans="1:22" x14ac:dyDescent="0.3">
      <c r="A1455">
        <v>186607</v>
      </c>
      <c r="B1455">
        <v>137468323</v>
      </c>
      <c r="C1455" t="s">
        <v>7519</v>
      </c>
      <c r="D1455" t="s">
        <v>7520</v>
      </c>
      <c r="E1455" t="s">
        <v>6545</v>
      </c>
      <c r="F1455" t="s">
        <v>514</v>
      </c>
      <c r="G1455" t="s">
        <v>43</v>
      </c>
      <c r="H1455" t="s">
        <v>44</v>
      </c>
      <c r="I1455" t="s">
        <v>34</v>
      </c>
      <c r="J1455" t="s">
        <v>45</v>
      </c>
      <c r="K1455" t="s">
        <v>41</v>
      </c>
      <c r="L1455" t="s">
        <v>7521</v>
      </c>
      <c r="M1455" t="s">
        <v>7522</v>
      </c>
      <c r="N1455" t="s">
        <v>6547</v>
      </c>
      <c r="O1455" t="s">
        <v>80</v>
      </c>
      <c r="P1455" t="s">
        <v>7523</v>
      </c>
      <c r="Q1455" t="s">
        <v>168</v>
      </c>
      <c r="R1455" t="s">
        <v>7524</v>
      </c>
      <c r="S1455">
        <v>0.5</v>
      </c>
      <c r="T1455">
        <v>3680</v>
      </c>
      <c r="U1455">
        <v>0</v>
      </c>
      <c r="V1455">
        <v>3680</v>
      </c>
    </row>
    <row r="1456" spans="1:22" x14ac:dyDescent="0.3">
      <c r="A1456">
        <v>186607</v>
      </c>
      <c r="B1456">
        <v>137616658</v>
      </c>
      <c r="C1456" t="s">
        <v>7525</v>
      </c>
      <c r="D1456" t="s">
        <v>7526</v>
      </c>
      <c r="E1456" t="s">
        <v>6545</v>
      </c>
      <c r="F1456" t="s">
        <v>514</v>
      </c>
      <c r="G1456" t="s">
        <v>43</v>
      </c>
      <c r="H1456" t="s">
        <v>44</v>
      </c>
      <c r="I1456" t="s">
        <v>34</v>
      </c>
      <c r="J1456" t="s">
        <v>45</v>
      </c>
      <c r="K1456" t="s">
        <v>41</v>
      </c>
      <c r="L1456" t="s">
        <v>7527</v>
      </c>
      <c r="M1456" t="s">
        <v>7528</v>
      </c>
      <c r="N1456" t="s">
        <v>6547</v>
      </c>
      <c r="O1456" t="s">
        <v>80</v>
      </c>
      <c r="P1456" t="s">
        <v>7529</v>
      </c>
      <c r="Q1456" t="s">
        <v>73</v>
      </c>
      <c r="R1456" t="s">
        <v>6945</v>
      </c>
      <c r="S1456">
        <v>0.5</v>
      </c>
      <c r="T1456">
        <v>3680</v>
      </c>
      <c r="U1456">
        <v>0</v>
      </c>
      <c r="V1456">
        <v>3680</v>
      </c>
    </row>
    <row r="1457" spans="1:22" x14ac:dyDescent="0.3">
      <c r="A1457">
        <v>186607</v>
      </c>
      <c r="B1457">
        <v>137468330</v>
      </c>
      <c r="C1457" t="s">
        <v>7530</v>
      </c>
      <c r="D1457" t="s">
        <v>7531</v>
      </c>
      <c r="E1457" t="s">
        <v>6545</v>
      </c>
      <c r="F1457" t="s">
        <v>514</v>
      </c>
      <c r="G1457" t="s">
        <v>43</v>
      </c>
      <c r="H1457" t="s">
        <v>44</v>
      </c>
      <c r="I1457" t="s">
        <v>34</v>
      </c>
      <c r="J1457" t="s">
        <v>45</v>
      </c>
      <c r="K1457" t="s">
        <v>41</v>
      </c>
      <c r="L1457" t="s">
        <v>7532</v>
      </c>
      <c r="M1457" t="s">
        <v>7533</v>
      </c>
      <c r="N1457" t="s">
        <v>6547</v>
      </c>
      <c r="O1457" t="s">
        <v>80</v>
      </c>
      <c r="P1457" t="s">
        <v>7534</v>
      </c>
      <c r="Q1457" t="s">
        <v>50</v>
      </c>
      <c r="R1457" t="s">
        <v>7443</v>
      </c>
      <c r="S1457">
        <v>0.5</v>
      </c>
      <c r="T1457">
        <v>4067</v>
      </c>
      <c r="U1457">
        <v>0</v>
      </c>
      <c r="V1457">
        <v>4067</v>
      </c>
    </row>
    <row r="1458" spans="1:22" x14ac:dyDescent="0.3">
      <c r="A1458">
        <v>186607</v>
      </c>
      <c r="B1458">
        <v>137468390</v>
      </c>
      <c r="C1458" t="s">
        <v>7535</v>
      </c>
      <c r="D1458" t="s">
        <v>7536</v>
      </c>
      <c r="E1458" t="s">
        <v>6545</v>
      </c>
      <c r="F1458" t="s">
        <v>514</v>
      </c>
      <c r="G1458" t="s">
        <v>43</v>
      </c>
      <c r="H1458" t="s">
        <v>44</v>
      </c>
      <c r="I1458" t="s">
        <v>34</v>
      </c>
      <c r="J1458" t="s">
        <v>45</v>
      </c>
      <c r="K1458" t="s">
        <v>41</v>
      </c>
      <c r="L1458" t="s">
        <v>7537</v>
      </c>
      <c r="M1458" t="s">
        <v>7538</v>
      </c>
      <c r="N1458" t="s">
        <v>6547</v>
      </c>
      <c r="O1458" t="s">
        <v>80</v>
      </c>
      <c r="P1458" t="s">
        <v>7539</v>
      </c>
      <c r="Q1458" t="s">
        <v>50</v>
      </c>
      <c r="R1458" t="s">
        <v>7443</v>
      </c>
      <c r="S1458">
        <v>0.5</v>
      </c>
      <c r="T1458">
        <v>4067</v>
      </c>
      <c r="U1458">
        <v>0</v>
      </c>
      <c r="V1458">
        <v>4067</v>
      </c>
    </row>
    <row r="1459" spans="1:22" x14ac:dyDescent="0.3">
      <c r="A1459">
        <v>186607</v>
      </c>
      <c r="B1459">
        <v>137408952</v>
      </c>
      <c r="C1459" t="s">
        <v>7540</v>
      </c>
      <c r="D1459" t="s">
        <v>7541</v>
      </c>
      <c r="E1459" t="s">
        <v>6545</v>
      </c>
      <c r="F1459" t="s">
        <v>514</v>
      </c>
      <c r="G1459" t="s">
        <v>43</v>
      </c>
      <c r="H1459" t="s">
        <v>44</v>
      </c>
      <c r="I1459" t="s">
        <v>34</v>
      </c>
      <c r="J1459" t="s">
        <v>45</v>
      </c>
      <c r="K1459" t="s">
        <v>41</v>
      </c>
      <c r="L1459" t="s">
        <v>7542</v>
      </c>
      <c r="M1459" t="s">
        <v>286</v>
      </c>
      <c r="N1459" t="s">
        <v>6547</v>
      </c>
      <c r="O1459" t="s">
        <v>80</v>
      </c>
      <c r="P1459" t="s">
        <v>7543</v>
      </c>
      <c r="Q1459" t="s">
        <v>67</v>
      </c>
      <c r="R1459" t="s">
        <v>7544</v>
      </c>
      <c r="S1459">
        <v>1</v>
      </c>
      <c r="T1459">
        <v>3784</v>
      </c>
      <c r="U1459">
        <v>0</v>
      </c>
      <c r="V1459">
        <v>3784</v>
      </c>
    </row>
    <row r="1460" spans="1:22" x14ac:dyDescent="0.3">
      <c r="A1460">
        <v>186607</v>
      </c>
      <c r="B1460">
        <v>137468389</v>
      </c>
      <c r="C1460" t="s">
        <v>7545</v>
      </c>
      <c r="D1460" t="s">
        <v>7546</v>
      </c>
      <c r="E1460" t="s">
        <v>6545</v>
      </c>
      <c r="F1460" t="s">
        <v>514</v>
      </c>
      <c r="G1460" t="s">
        <v>43</v>
      </c>
      <c r="H1460" t="s">
        <v>44</v>
      </c>
      <c r="I1460" t="s">
        <v>34</v>
      </c>
      <c r="J1460" t="s">
        <v>45</v>
      </c>
      <c r="K1460" t="s">
        <v>41</v>
      </c>
      <c r="L1460" t="s">
        <v>7547</v>
      </c>
      <c r="M1460" t="s">
        <v>7548</v>
      </c>
      <c r="N1460" t="s">
        <v>6547</v>
      </c>
      <c r="O1460" t="s">
        <v>80</v>
      </c>
      <c r="P1460" t="s">
        <v>7549</v>
      </c>
      <c r="Q1460" t="s">
        <v>50</v>
      </c>
      <c r="R1460" t="s">
        <v>7443</v>
      </c>
      <c r="S1460">
        <v>1</v>
      </c>
      <c r="T1460">
        <v>5198</v>
      </c>
      <c r="U1460">
        <v>0</v>
      </c>
      <c r="V1460">
        <v>5198</v>
      </c>
    </row>
    <row r="1461" spans="1:22" x14ac:dyDescent="0.3">
      <c r="A1461">
        <v>186607</v>
      </c>
      <c r="B1461">
        <v>137555204</v>
      </c>
      <c r="C1461" t="s">
        <v>7550</v>
      </c>
      <c r="D1461" t="s">
        <v>7551</v>
      </c>
      <c r="E1461" t="s">
        <v>6545</v>
      </c>
      <c r="F1461" t="s">
        <v>514</v>
      </c>
      <c r="G1461" t="s">
        <v>43</v>
      </c>
      <c r="H1461" t="s">
        <v>44</v>
      </c>
      <c r="I1461" t="s">
        <v>34</v>
      </c>
      <c r="J1461" t="s">
        <v>45</v>
      </c>
      <c r="K1461" t="s">
        <v>41</v>
      </c>
      <c r="L1461" t="s">
        <v>7552</v>
      </c>
      <c r="M1461" t="s">
        <v>7553</v>
      </c>
      <c r="N1461" t="s">
        <v>6547</v>
      </c>
      <c r="O1461" t="s">
        <v>80</v>
      </c>
      <c r="P1461" t="s">
        <v>7554</v>
      </c>
      <c r="Q1461" t="s">
        <v>112</v>
      </c>
      <c r="R1461" t="s">
        <v>7418</v>
      </c>
      <c r="S1461">
        <v>1</v>
      </c>
      <c r="T1461">
        <v>3366</v>
      </c>
      <c r="U1461">
        <v>0</v>
      </c>
      <c r="V1461">
        <v>3366</v>
      </c>
    </row>
    <row r="1462" spans="1:22" x14ac:dyDescent="0.3">
      <c r="A1462">
        <v>186607</v>
      </c>
      <c r="B1462">
        <v>137633912</v>
      </c>
      <c r="C1462" t="s">
        <v>7555</v>
      </c>
      <c r="D1462" t="s">
        <v>7556</v>
      </c>
      <c r="E1462" t="s">
        <v>6545</v>
      </c>
      <c r="F1462" t="s">
        <v>514</v>
      </c>
      <c r="G1462" t="s">
        <v>43</v>
      </c>
      <c r="H1462" t="s">
        <v>44</v>
      </c>
      <c r="I1462" t="s">
        <v>34</v>
      </c>
      <c r="J1462" t="s">
        <v>45</v>
      </c>
      <c r="K1462" t="s">
        <v>41</v>
      </c>
      <c r="L1462" t="s">
        <v>7557</v>
      </c>
      <c r="M1462" t="s">
        <v>161</v>
      </c>
      <c r="N1462" t="s">
        <v>6547</v>
      </c>
      <c r="O1462" t="s">
        <v>80</v>
      </c>
      <c r="P1462" t="s">
        <v>7558</v>
      </c>
      <c r="Q1462" t="s">
        <v>62</v>
      </c>
      <c r="R1462" t="s">
        <v>6956</v>
      </c>
      <c r="S1462">
        <v>1</v>
      </c>
      <c r="T1462">
        <v>3784</v>
      </c>
      <c r="U1462">
        <v>0</v>
      </c>
      <c r="V1462">
        <v>3784</v>
      </c>
    </row>
    <row r="1463" spans="1:22" x14ac:dyDescent="0.3">
      <c r="A1463">
        <v>186607</v>
      </c>
      <c r="B1463">
        <v>137616657</v>
      </c>
      <c r="C1463" t="s">
        <v>7559</v>
      </c>
      <c r="D1463" t="s">
        <v>7560</v>
      </c>
      <c r="E1463" t="s">
        <v>6545</v>
      </c>
      <c r="F1463" t="s">
        <v>514</v>
      </c>
      <c r="G1463" t="s">
        <v>43</v>
      </c>
      <c r="H1463" t="s">
        <v>44</v>
      </c>
      <c r="I1463" t="s">
        <v>34</v>
      </c>
      <c r="J1463" t="s">
        <v>45</v>
      </c>
      <c r="K1463" t="s">
        <v>41</v>
      </c>
      <c r="L1463" t="s">
        <v>7561</v>
      </c>
      <c r="M1463" t="s">
        <v>7562</v>
      </c>
      <c r="N1463" t="s">
        <v>6547</v>
      </c>
      <c r="O1463" t="s">
        <v>80</v>
      </c>
      <c r="P1463" t="s">
        <v>7563</v>
      </c>
      <c r="Q1463" t="s">
        <v>47</v>
      </c>
      <c r="R1463" t="s">
        <v>6945</v>
      </c>
      <c r="S1463">
        <v>0.5</v>
      </c>
      <c r="T1463">
        <v>3680</v>
      </c>
      <c r="U1463">
        <v>0</v>
      </c>
      <c r="V1463">
        <v>3680</v>
      </c>
    </row>
    <row r="1464" spans="1:22" x14ac:dyDescent="0.3">
      <c r="A1464">
        <v>186607</v>
      </c>
      <c r="B1464">
        <v>137389901</v>
      </c>
      <c r="C1464" t="s">
        <v>7564</v>
      </c>
      <c r="D1464" t="s">
        <v>7565</v>
      </c>
      <c r="E1464" t="s">
        <v>6545</v>
      </c>
      <c r="F1464" t="s">
        <v>514</v>
      </c>
      <c r="G1464" t="s">
        <v>43</v>
      </c>
      <c r="H1464" t="s">
        <v>44</v>
      </c>
      <c r="I1464" t="s">
        <v>34</v>
      </c>
      <c r="J1464" t="s">
        <v>45</v>
      </c>
      <c r="K1464" t="s">
        <v>41</v>
      </c>
      <c r="L1464" t="s">
        <v>7566</v>
      </c>
      <c r="M1464" t="s">
        <v>7567</v>
      </c>
      <c r="N1464" t="s">
        <v>6547</v>
      </c>
      <c r="O1464" t="s">
        <v>80</v>
      </c>
      <c r="P1464" t="s">
        <v>7568</v>
      </c>
      <c r="Q1464" t="s">
        <v>111</v>
      </c>
      <c r="R1464" t="s">
        <v>7487</v>
      </c>
      <c r="S1464">
        <v>0.5</v>
      </c>
      <c r="T1464">
        <v>4067</v>
      </c>
      <c r="U1464">
        <v>0</v>
      </c>
      <c r="V1464">
        <v>4067</v>
      </c>
    </row>
    <row r="1465" spans="1:22" x14ac:dyDescent="0.3">
      <c r="A1465">
        <v>186607</v>
      </c>
      <c r="B1465">
        <v>137555206</v>
      </c>
      <c r="C1465" t="s">
        <v>7569</v>
      </c>
      <c r="D1465" t="s">
        <v>7570</v>
      </c>
      <c r="E1465" t="s">
        <v>6545</v>
      </c>
      <c r="F1465" t="s">
        <v>514</v>
      </c>
      <c r="G1465" t="s">
        <v>43</v>
      </c>
      <c r="H1465" t="s">
        <v>44</v>
      </c>
      <c r="I1465" t="s">
        <v>34</v>
      </c>
      <c r="J1465" t="s">
        <v>45</v>
      </c>
      <c r="K1465" t="s">
        <v>41</v>
      </c>
      <c r="L1465" t="s">
        <v>7571</v>
      </c>
      <c r="M1465" t="s">
        <v>7572</v>
      </c>
      <c r="N1465" t="s">
        <v>6547</v>
      </c>
      <c r="O1465" t="s">
        <v>80</v>
      </c>
      <c r="P1465" t="s">
        <v>7573</v>
      </c>
      <c r="Q1465" t="s">
        <v>59</v>
      </c>
      <c r="R1465" t="s">
        <v>7418</v>
      </c>
      <c r="S1465">
        <v>0.5</v>
      </c>
      <c r="T1465">
        <v>3299</v>
      </c>
      <c r="U1465">
        <v>0</v>
      </c>
      <c r="V1465">
        <v>3299</v>
      </c>
    </row>
    <row r="1466" spans="1:22" x14ac:dyDescent="0.3">
      <c r="A1466">
        <v>186607</v>
      </c>
      <c r="B1466">
        <v>137580405</v>
      </c>
      <c r="C1466" t="s">
        <v>7574</v>
      </c>
      <c r="D1466" t="s">
        <v>7575</v>
      </c>
      <c r="E1466" t="s">
        <v>6545</v>
      </c>
      <c r="F1466" t="s">
        <v>514</v>
      </c>
      <c r="G1466" t="s">
        <v>43</v>
      </c>
      <c r="H1466" t="s">
        <v>44</v>
      </c>
      <c r="I1466" t="s">
        <v>34</v>
      </c>
      <c r="J1466" t="s">
        <v>45</v>
      </c>
      <c r="K1466" t="s">
        <v>41</v>
      </c>
      <c r="L1466" t="s">
        <v>7576</v>
      </c>
      <c r="M1466" t="s">
        <v>7577</v>
      </c>
      <c r="N1466" t="s">
        <v>6547</v>
      </c>
      <c r="O1466" t="s">
        <v>80</v>
      </c>
      <c r="P1466" t="s">
        <v>7578</v>
      </c>
      <c r="Q1466" t="s">
        <v>79</v>
      </c>
      <c r="R1466" t="s">
        <v>7579</v>
      </c>
      <c r="S1466">
        <v>0.5</v>
      </c>
      <c r="T1466">
        <v>3299</v>
      </c>
      <c r="U1466">
        <v>0</v>
      </c>
      <c r="V1466">
        <v>3299</v>
      </c>
    </row>
    <row r="1467" spans="1:22" x14ac:dyDescent="0.3">
      <c r="A1467">
        <v>186607</v>
      </c>
      <c r="B1467">
        <v>137468319</v>
      </c>
      <c r="C1467" t="s">
        <v>7580</v>
      </c>
      <c r="D1467" t="s">
        <v>7581</v>
      </c>
      <c r="E1467" t="s">
        <v>6545</v>
      </c>
      <c r="F1467" t="s">
        <v>514</v>
      </c>
      <c r="G1467" t="s">
        <v>43</v>
      </c>
      <c r="H1467" t="s">
        <v>44</v>
      </c>
      <c r="I1467" t="s">
        <v>34</v>
      </c>
      <c r="J1467" t="s">
        <v>45</v>
      </c>
      <c r="K1467" t="s">
        <v>41</v>
      </c>
      <c r="L1467" t="s">
        <v>7582</v>
      </c>
      <c r="M1467" t="s">
        <v>7583</v>
      </c>
      <c r="N1467" t="s">
        <v>6547</v>
      </c>
      <c r="O1467" t="s">
        <v>80</v>
      </c>
      <c r="P1467" t="s">
        <v>7584</v>
      </c>
      <c r="Q1467" t="s">
        <v>82</v>
      </c>
      <c r="R1467" t="s">
        <v>7524</v>
      </c>
      <c r="S1467">
        <v>0.5</v>
      </c>
      <c r="T1467">
        <v>4067</v>
      </c>
      <c r="U1467">
        <v>0</v>
      </c>
      <c r="V1467">
        <v>4067</v>
      </c>
    </row>
    <row r="1468" spans="1:22" x14ac:dyDescent="0.3">
      <c r="A1468">
        <v>186607</v>
      </c>
      <c r="B1468">
        <v>137701718</v>
      </c>
      <c r="C1468" t="s">
        <v>7585</v>
      </c>
      <c r="D1468" t="s">
        <v>7586</v>
      </c>
      <c r="E1468" t="s">
        <v>6545</v>
      </c>
      <c r="F1468" t="s">
        <v>514</v>
      </c>
      <c r="G1468" t="s">
        <v>43</v>
      </c>
      <c r="H1468" t="s">
        <v>44</v>
      </c>
      <c r="I1468" t="s">
        <v>34</v>
      </c>
      <c r="J1468" t="s">
        <v>45</v>
      </c>
      <c r="K1468" t="s">
        <v>41</v>
      </c>
      <c r="L1468" t="s">
        <v>7587</v>
      </c>
      <c r="M1468" t="s">
        <v>7588</v>
      </c>
      <c r="N1468" t="s">
        <v>6547</v>
      </c>
      <c r="O1468" t="s">
        <v>80</v>
      </c>
      <c r="P1468" t="s">
        <v>7589</v>
      </c>
      <c r="Q1468" t="s">
        <v>125</v>
      </c>
      <c r="R1468" t="s">
        <v>7424</v>
      </c>
      <c r="S1468">
        <v>2.5099999999999998</v>
      </c>
      <c r="T1468">
        <v>4067</v>
      </c>
      <c r="U1468">
        <v>0</v>
      </c>
      <c r="V1468">
        <v>4067</v>
      </c>
    </row>
    <row r="1469" spans="1:22" x14ac:dyDescent="0.3">
      <c r="A1469">
        <v>186607</v>
      </c>
      <c r="B1469">
        <v>137513106</v>
      </c>
      <c r="C1469" t="s">
        <v>7590</v>
      </c>
      <c r="D1469" t="s">
        <v>7591</v>
      </c>
      <c r="E1469" t="s">
        <v>6545</v>
      </c>
      <c r="F1469" t="s">
        <v>514</v>
      </c>
      <c r="G1469" t="s">
        <v>43</v>
      </c>
      <c r="H1469" t="s">
        <v>44</v>
      </c>
      <c r="I1469" t="s">
        <v>34</v>
      </c>
      <c r="J1469" t="s">
        <v>45</v>
      </c>
      <c r="K1469" t="s">
        <v>41</v>
      </c>
      <c r="L1469" t="s">
        <v>7592</v>
      </c>
      <c r="M1469" t="s">
        <v>7593</v>
      </c>
      <c r="N1469" t="s">
        <v>6547</v>
      </c>
      <c r="O1469" t="s">
        <v>80</v>
      </c>
      <c r="P1469" t="s">
        <v>7594</v>
      </c>
      <c r="Q1469" t="s">
        <v>168</v>
      </c>
      <c r="R1469" t="s">
        <v>501</v>
      </c>
      <c r="S1469">
        <v>1</v>
      </c>
      <c r="T1469">
        <v>4067</v>
      </c>
      <c r="U1469">
        <v>0</v>
      </c>
      <c r="V1469">
        <v>4067</v>
      </c>
    </row>
    <row r="1470" spans="1:22" x14ac:dyDescent="0.3">
      <c r="A1470">
        <v>186607</v>
      </c>
      <c r="B1470">
        <v>137389913</v>
      </c>
      <c r="C1470" t="s">
        <v>7595</v>
      </c>
      <c r="D1470" t="s">
        <v>7596</v>
      </c>
      <c r="E1470" t="s">
        <v>6545</v>
      </c>
      <c r="F1470" t="s">
        <v>514</v>
      </c>
      <c r="G1470" t="s">
        <v>43</v>
      </c>
      <c r="H1470" t="s">
        <v>44</v>
      </c>
      <c r="I1470" t="s">
        <v>34</v>
      </c>
      <c r="J1470" t="s">
        <v>45</v>
      </c>
      <c r="K1470" t="s">
        <v>41</v>
      </c>
      <c r="L1470" t="s">
        <v>7597</v>
      </c>
      <c r="M1470" t="s">
        <v>7598</v>
      </c>
      <c r="N1470" t="s">
        <v>6547</v>
      </c>
      <c r="O1470" t="s">
        <v>80</v>
      </c>
      <c r="P1470" t="s">
        <v>7599</v>
      </c>
      <c r="Q1470" t="s">
        <v>82</v>
      </c>
      <c r="R1470" t="s">
        <v>7487</v>
      </c>
      <c r="S1470">
        <v>2</v>
      </c>
      <c r="T1470">
        <v>5759</v>
      </c>
      <c r="U1470">
        <v>0</v>
      </c>
      <c r="V1470">
        <v>5759</v>
      </c>
    </row>
    <row r="1471" spans="1:22" x14ac:dyDescent="0.3">
      <c r="A1471">
        <v>186607</v>
      </c>
      <c r="B1471">
        <v>137616670</v>
      </c>
      <c r="C1471" t="s">
        <v>7600</v>
      </c>
      <c r="D1471" t="s">
        <v>7601</v>
      </c>
      <c r="E1471" t="s">
        <v>6545</v>
      </c>
      <c r="F1471" t="s">
        <v>514</v>
      </c>
      <c r="G1471" t="s">
        <v>43</v>
      </c>
      <c r="H1471" t="s">
        <v>44</v>
      </c>
      <c r="I1471" t="s">
        <v>34</v>
      </c>
      <c r="J1471" t="s">
        <v>45</v>
      </c>
      <c r="K1471" t="s">
        <v>41</v>
      </c>
      <c r="L1471" t="s">
        <v>7602</v>
      </c>
      <c r="M1471" t="s">
        <v>7603</v>
      </c>
      <c r="N1471" t="s">
        <v>6547</v>
      </c>
      <c r="O1471" t="s">
        <v>80</v>
      </c>
      <c r="P1471" t="s">
        <v>7604</v>
      </c>
      <c r="Q1471" t="s">
        <v>59</v>
      </c>
      <c r="R1471" t="s">
        <v>6945</v>
      </c>
      <c r="S1471">
        <v>0.5</v>
      </c>
      <c r="T1471">
        <v>3299</v>
      </c>
      <c r="U1471">
        <v>0</v>
      </c>
      <c r="V1471">
        <v>3299</v>
      </c>
    </row>
    <row r="1472" spans="1:22" x14ac:dyDescent="0.3">
      <c r="A1472">
        <v>186607</v>
      </c>
      <c r="B1472">
        <v>137616665</v>
      </c>
      <c r="C1472" t="s">
        <v>7605</v>
      </c>
      <c r="D1472" t="s">
        <v>7606</v>
      </c>
      <c r="E1472" t="s">
        <v>6545</v>
      </c>
      <c r="F1472" t="s">
        <v>514</v>
      </c>
      <c r="G1472" t="s">
        <v>43</v>
      </c>
      <c r="H1472" t="s">
        <v>44</v>
      </c>
      <c r="I1472" t="s">
        <v>34</v>
      </c>
      <c r="J1472" t="s">
        <v>45</v>
      </c>
      <c r="K1472" t="s">
        <v>41</v>
      </c>
      <c r="L1472" t="s">
        <v>7607</v>
      </c>
      <c r="M1472" t="s">
        <v>7608</v>
      </c>
      <c r="N1472" t="s">
        <v>6547</v>
      </c>
      <c r="O1472" t="s">
        <v>80</v>
      </c>
      <c r="P1472" t="s">
        <v>7609</v>
      </c>
      <c r="Q1472" t="s">
        <v>108</v>
      </c>
      <c r="R1472" t="s">
        <v>6945</v>
      </c>
      <c r="S1472">
        <v>0.5</v>
      </c>
      <c r="T1472">
        <v>3299</v>
      </c>
      <c r="U1472">
        <v>0</v>
      </c>
      <c r="V1472">
        <v>3299</v>
      </c>
    </row>
    <row r="1473" spans="1:22" x14ac:dyDescent="0.3">
      <c r="A1473">
        <v>186607</v>
      </c>
      <c r="B1473">
        <v>137616649</v>
      </c>
      <c r="C1473" t="s">
        <v>7610</v>
      </c>
      <c r="D1473" t="s">
        <v>7611</v>
      </c>
      <c r="E1473" t="s">
        <v>6545</v>
      </c>
      <c r="F1473" t="s">
        <v>514</v>
      </c>
      <c r="G1473" t="s">
        <v>43</v>
      </c>
      <c r="H1473" t="s">
        <v>44</v>
      </c>
      <c r="I1473" t="s">
        <v>34</v>
      </c>
      <c r="J1473" t="s">
        <v>45</v>
      </c>
      <c r="K1473" t="s">
        <v>41</v>
      </c>
      <c r="L1473" t="s">
        <v>7612</v>
      </c>
      <c r="M1473" t="s">
        <v>7613</v>
      </c>
      <c r="N1473" t="s">
        <v>6547</v>
      </c>
      <c r="O1473" t="s">
        <v>80</v>
      </c>
      <c r="P1473" t="s">
        <v>7614</v>
      </c>
      <c r="Q1473" t="s">
        <v>90</v>
      </c>
      <c r="R1473" t="s">
        <v>6945</v>
      </c>
      <c r="S1473">
        <v>0.5</v>
      </c>
      <c r="T1473">
        <v>3680</v>
      </c>
      <c r="U1473">
        <v>0</v>
      </c>
      <c r="V1473">
        <v>3680</v>
      </c>
    </row>
    <row r="1474" spans="1:22" x14ac:dyDescent="0.3">
      <c r="A1474">
        <v>186607</v>
      </c>
      <c r="B1474">
        <v>137468321</v>
      </c>
      <c r="C1474" t="s">
        <v>7615</v>
      </c>
      <c r="D1474" t="s">
        <v>7616</v>
      </c>
      <c r="E1474" t="s">
        <v>6545</v>
      </c>
      <c r="F1474" t="s">
        <v>514</v>
      </c>
      <c r="G1474" t="s">
        <v>43</v>
      </c>
      <c r="H1474" t="s">
        <v>44</v>
      </c>
      <c r="I1474" t="s">
        <v>34</v>
      </c>
      <c r="J1474" t="s">
        <v>45</v>
      </c>
      <c r="K1474" t="s">
        <v>41</v>
      </c>
      <c r="L1474" t="s">
        <v>7617</v>
      </c>
      <c r="M1474" t="s">
        <v>7618</v>
      </c>
      <c r="N1474" t="s">
        <v>6547</v>
      </c>
      <c r="O1474" t="s">
        <v>80</v>
      </c>
      <c r="P1474" t="s">
        <v>7619</v>
      </c>
      <c r="Q1474" t="s">
        <v>111</v>
      </c>
      <c r="R1474" t="s">
        <v>7524</v>
      </c>
      <c r="S1474">
        <v>0.5</v>
      </c>
      <c r="T1474">
        <v>4067</v>
      </c>
      <c r="U1474">
        <v>0</v>
      </c>
      <c r="V1474">
        <v>4067</v>
      </c>
    </row>
    <row r="1475" spans="1:22" x14ac:dyDescent="0.3">
      <c r="A1475">
        <v>186607</v>
      </c>
      <c r="B1475">
        <v>137408935</v>
      </c>
      <c r="C1475" t="s">
        <v>7620</v>
      </c>
      <c r="D1475" t="s">
        <v>7621</v>
      </c>
      <c r="E1475" t="s">
        <v>6545</v>
      </c>
      <c r="F1475" t="s">
        <v>514</v>
      </c>
      <c r="G1475" t="s">
        <v>43</v>
      </c>
      <c r="H1475" t="s">
        <v>44</v>
      </c>
      <c r="I1475" t="s">
        <v>34</v>
      </c>
      <c r="J1475" t="s">
        <v>45</v>
      </c>
      <c r="K1475" t="s">
        <v>41</v>
      </c>
      <c r="L1475" t="s">
        <v>7622</v>
      </c>
      <c r="M1475" t="s">
        <v>7623</v>
      </c>
      <c r="N1475" t="s">
        <v>6547</v>
      </c>
      <c r="O1475" t="s">
        <v>80</v>
      </c>
      <c r="P1475" t="s">
        <v>7624</v>
      </c>
      <c r="Q1475" t="s">
        <v>42</v>
      </c>
      <c r="R1475" t="s">
        <v>7544</v>
      </c>
      <c r="S1475">
        <v>1</v>
      </c>
      <c r="T1475">
        <v>3784</v>
      </c>
      <c r="U1475">
        <v>0</v>
      </c>
      <c r="V1475">
        <v>3784</v>
      </c>
    </row>
    <row r="1476" spans="1:22" x14ac:dyDescent="0.3">
      <c r="A1476">
        <v>186607</v>
      </c>
      <c r="B1476">
        <v>137616660</v>
      </c>
      <c r="C1476" t="s">
        <v>7625</v>
      </c>
      <c r="D1476" t="s">
        <v>7626</v>
      </c>
      <c r="E1476" t="s">
        <v>6545</v>
      </c>
      <c r="F1476" t="s">
        <v>514</v>
      </c>
      <c r="G1476" t="s">
        <v>43</v>
      </c>
      <c r="H1476" t="s">
        <v>44</v>
      </c>
      <c r="I1476" t="s">
        <v>34</v>
      </c>
      <c r="J1476" t="s">
        <v>45</v>
      </c>
      <c r="K1476" t="s">
        <v>41</v>
      </c>
      <c r="L1476" t="s">
        <v>7627</v>
      </c>
      <c r="M1476" t="s">
        <v>7628</v>
      </c>
      <c r="N1476" t="s">
        <v>6547</v>
      </c>
      <c r="O1476" t="s">
        <v>80</v>
      </c>
      <c r="P1476" t="s">
        <v>7629</v>
      </c>
      <c r="Q1476" t="s">
        <v>67</v>
      </c>
      <c r="R1476" t="s">
        <v>6945</v>
      </c>
      <c r="S1476">
        <v>0.5</v>
      </c>
      <c r="T1476">
        <v>3449</v>
      </c>
      <c r="U1476">
        <v>0</v>
      </c>
      <c r="V1476">
        <v>3449</v>
      </c>
    </row>
    <row r="1477" spans="1:22" x14ac:dyDescent="0.3">
      <c r="A1477">
        <v>186607</v>
      </c>
      <c r="B1477">
        <v>137535706</v>
      </c>
      <c r="C1477" t="s">
        <v>7630</v>
      </c>
      <c r="D1477" t="s">
        <v>7631</v>
      </c>
      <c r="E1477" t="s">
        <v>6545</v>
      </c>
      <c r="F1477" t="s">
        <v>514</v>
      </c>
      <c r="G1477" t="s">
        <v>43</v>
      </c>
      <c r="H1477" t="s">
        <v>44</v>
      </c>
      <c r="I1477" t="s">
        <v>34</v>
      </c>
      <c r="J1477" t="s">
        <v>45</v>
      </c>
      <c r="K1477" t="s">
        <v>41</v>
      </c>
      <c r="L1477" t="s">
        <v>7632</v>
      </c>
      <c r="M1477" t="s">
        <v>7633</v>
      </c>
      <c r="N1477" t="s">
        <v>6547</v>
      </c>
      <c r="O1477" t="s">
        <v>80</v>
      </c>
      <c r="P1477" t="s">
        <v>7634</v>
      </c>
      <c r="Q1477" t="s">
        <v>67</v>
      </c>
      <c r="R1477" t="s">
        <v>7635</v>
      </c>
      <c r="S1477">
        <v>1</v>
      </c>
      <c r="T1477">
        <v>3784</v>
      </c>
      <c r="U1477">
        <v>0</v>
      </c>
      <c r="V1477">
        <v>3784</v>
      </c>
    </row>
    <row r="1478" spans="1:22" x14ac:dyDescent="0.3">
      <c r="A1478">
        <v>186607</v>
      </c>
      <c r="B1478">
        <v>137633911</v>
      </c>
      <c r="C1478" t="s">
        <v>7636</v>
      </c>
      <c r="D1478" t="s">
        <v>7637</v>
      </c>
      <c r="E1478" t="s">
        <v>6545</v>
      </c>
      <c r="F1478" t="s">
        <v>514</v>
      </c>
      <c r="G1478" t="s">
        <v>43</v>
      </c>
      <c r="H1478" t="s">
        <v>44</v>
      </c>
      <c r="I1478" t="s">
        <v>34</v>
      </c>
      <c r="J1478" t="s">
        <v>45</v>
      </c>
      <c r="K1478" t="s">
        <v>41</v>
      </c>
      <c r="L1478" t="s">
        <v>7638</v>
      </c>
      <c r="M1478" t="s">
        <v>7639</v>
      </c>
      <c r="N1478" t="s">
        <v>6547</v>
      </c>
      <c r="O1478" t="s">
        <v>80</v>
      </c>
      <c r="P1478" t="s">
        <v>7640</v>
      </c>
      <c r="Q1478" t="s">
        <v>73</v>
      </c>
      <c r="R1478" t="s">
        <v>6956</v>
      </c>
      <c r="S1478">
        <v>0.5</v>
      </c>
      <c r="T1478">
        <v>3680</v>
      </c>
      <c r="U1478">
        <v>0</v>
      </c>
      <c r="V1478">
        <v>3680</v>
      </c>
    </row>
    <row r="1479" spans="1:22" x14ac:dyDescent="0.3">
      <c r="A1479">
        <v>186607</v>
      </c>
      <c r="B1479">
        <v>137535702</v>
      </c>
      <c r="C1479" t="s">
        <v>7641</v>
      </c>
      <c r="D1479" t="s">
        <v>7642</v>
      </c>
      <c r="E1479" t="s">
        <v>6545</v>
      </c>
      <c r="F1479" t="s">
        <v>514</v>
      </c>
      <c r="G1479" t="s">
        <v>43</v>
      </c>
      <c r="H1479" t="s">
        <v>44</v>
      </c>
      <c r="I1479" t="s">
        <v>34</v>
      </c>
      <c r="J1479" t="s">
        <v>45</v>
      </c>
      <c r="K1479" t="s">
        <v>135</v>
      </c>
      <c r="L1479" t="s">
        <v>261</v>
      </c>
      <c r="M1479" t="s">
        <v>7643</v>
      </c>
      <c r="N1479" t="s">
        <v>6547</v>
      </c>
      <c r="O1479" t="s">
        <v>80</v>
      </c>
      <c r="P1479" t="s">
        <v>7644</v>
      </c>
      <c r="Q1479" t="s">
        <v>42</v>
      </c>
      <c r="R1479" t="s">
        <v>7635</v>
      </c>
      <c r="S1479">
        <v>1</v>
      </c>
      <c r="T1479">
        <v>3784</v>
      </c>
      <c r="U1479">
        <v>0</v>
      </c>
      <c r="V1479">
        <v>3784</v>
      </c>
    </row>
    <row r="1480" spans="1:22" x14ac:dyDescent="0.3">
      <c r="A1480">
        <v>186607</v>
      </c>
      <c r="B1480">
        <v>137659108</v>
      </c>
      <c r="C1480" t="s">
        <v>7645</v>
      </c>
      <c r="D1480" t="s">
        <v>7646</v>
      </c>
      <c r="E1480" t="s">
        <v>6545</v>
      </c>
      <c r="F1480" t="s">
        <v>514</v>
      </c>
      <c r="G1480" t="s">
        <v>43</v>
      </c>
      <c r="H1480" t="s">
        <v>44</v>
      </c>
      <c r="I1480" t="s">
        <v>34</v>
      </c>
      <c r="J1480" t="s">
        <v>45</v>
      </c>
      <c r="K1480" t="s">
        <v>41</v>
      </c>
      <c r="L1480" t="s">
        <v>7647</v>
      </c>
      <c r="M1480" t="s">
        <v>7648</v>
      </c>
      <c r="N1480" t="s">
        <v>6547</v>
      </c>
      <c r="O1480" t="s">
        <v>80</v>
      </c>
      <c r="P1480" t="s">
        <v>7649</v>
      </c>
      <c r="Q1480" t="s">
        <v>67</v>
      </c>
      <c r="R1480" t="s">
        <v>7379</v>
      </c>
      <c r="S1480">
        <v>0.5</v>
      </c>
      <c r="T1480">
        <v>3449</v>
      </c>
      <c r="U1480">
        <v>0</v>
      </c>
      <c r="V1480">
        <v>3449</v>
      </c>
    </row>
    <row r="1481" spans="1:22" x14ac:dyDescent="0.3">
      <c r="A1481">
        <v>186607</v>
      </c>
      <c r="B1481">
        <v>137555207</v>
      </c>
      <c r="C1481" t="s">
        <v>7650</v>
      </c>
      <c r="D1481" t="s">
        <v>7651</v>
      </c>
      <c r="E1481" t="s">
        <v>6545</v>
      </c>
      <c r="F1481" t="s">
        <v>514</v>
      </c>
      <c r="G1481" t="s">
        <v>43</v>
      </c>
      <c r="H1481" t="s">
        <v>44</v>
      </c>
      <c r="I1481" t="s">
        <v>34</v>
      </c>
      <c r="J1481" t="s">
        <v>45</v>
      </c>
      <c r="K1481" t="s">
        <v>41</v>
      </c>
      <c r="L1481" t="s">
        <v>7652</v>
      </c>
      <c r="M1481" t="s">
        <v>7653</v>
      </c>
      <c r="N1481" t="s">
        <v>6547</v>
      </c>
      <c r="O1481" t="s">
        <v>80</v>
      </c>
      <c r="P1481" t="s">
        <v>7654</v>
      </c>
      <c r="Q1481" t="s">
        <v>42</v>
      </c>
      <c r="R1481" t="s">
        <v>7655</v>
      </c>
      <c r="S1481">
        <v>0.5</v>
      </c>
      <c r="T1481">
        <v>3680</v>
      </c>
      <c r="U1481">
        <v>0</v>
      </c>
      <c r="V1481">
        <v>3680</v>
      </c>
    </row>
    <row r="1482" spans="1:22" x14ac:dyDescent="0.3">
      <c r="A1482">
        <v>186607</v>
      </c>
      <c r="B1482">
        <v>137468356</v>
      </c>
      <c r="C1482" t="s">
        <v>7656</v>
      </c>
      <c r="D1482" t="s">
        <v>7657</v>
      </c>
      <c r="E1482" t="s">
        <v>6545</v>
      </c>
      <c r="F1482" t="s">
        <v>514</v>
      </c>
      <c r="G1482" t="s">
        <v>43</v>
      </c>
      <c r="H1482" t="s">
        <v>44</v>
      </c>
      <c r="I1482" t="s">
        <v>34</v>
      </c>
      <c r="J1482" t="s">
        <v>45</v>
      </c>
      <c r="K1482" t="s">
        <v>41</v>
      </c>
      <c r="L1482" t="s">
        <v>7658</v>
      </c>
      <c r="M1482" t="s">
        <v>7659</v>
      </c>
      <c r="N1482" t="s">
        <v>6547</v>
      </c>
      <c r="O1482" t="s">
        <v>80</v>
      </c>
      <c r="P1482" t="s">
        <v>7660</v>
      </c>
      <c r="Q1482" t="s">
        <v>50</v>
      </c>
      <c r="R1482" t="s">
        <v>7443</v>
      </c>
      <c r="S1482">
        <v>1</v>
      </c>
      <c r="T1482">
        <v>5198</v>
      </c>
      <c r="U1482">
        <v>0</v>
      </c>
      <c r="V1482">
        <v>5198</v>
      </c>
    </row>
    <row r="1483" spans="1:22" x14ac:dyDescent="0.3">
      <c r="A1483">
        <v>186607</v>
      </c>
      <c r="B1483">
        <v>137468348</v>
      </c>
      <c r="C1483" t="s">
        <v>7661</v>
      </c>
      <c r="D1483" t="s">
        <v>7662</v>
      </c>
      <c r="E1483" t="s">
        <v>6545</v>
      </c>
      <c r="F1483" t="s">
        <v>514</v>
      </c>
      <c r="G1483" t="s">
        <v>43</v>
      </c>
      <c r="H1483" t="s">
        <v>44</v>
      </c>
      <c r="I1483" t="s">
        <v>34</v>
      </c>
      <c r="J1483" t="s">
        <v>45</v>
      </c>
      <c r="K1483" t="s">
        <v>41</v>
      </c>
      <c r="L1483" t="s">
        <v>7663</v>
      </c>
      <c r="M1483" t="s">
        <v>7664</v>
      </c>
      <c r="N1483" t="s">
        <v>6547</v>
      </c>
      <c r="O1483" t="s">
        <v>80</v>
      </c>
      <c r="P1483" t="s">
        <v>7665</v>
      </c>
      <c r="Q1483" t="s">
        <v>193</v>
      </c>
      <c r="R1483" t="s">
        <v>7443</v>
      </c>
      <c r="S1483">
        <v>0.5</v>
      </c>
      <c r="T1483">
        <v>3680</v>
      </c>
      <c r="U1483">
        <v>0</v>
      </c>
      <c r="V1483">
        <v>3680</v>
      </c>
    </row>
    <row r="1484" spans="1:22" x14ac:dyDescent="0.3">
      <c r="A1484">
        <v>186607</v>
      </c>
      <c r="B1484">
        <v>137701716</v>
      </c>
      <c r="C1484" t="s">
        <v>7666</v>
      </c>
      <c r="D1484" t="s">
        <v>7667</v>
      </c>
      <c r="E1484" t="s">
        <v>6545</v>
      </c>
      <c r="F1484" t="s">
        <v>514</v>
      </c>
      <c r="G1484" t="s">
        <v>43</v>
      </c>
      <c r="H1484" t="s">
        <v>44</v>
      </c>
      <c r="I1484" t="s">
        <v>34</v>
      </c>
      <c r="J1484" t="s">
        <v>45</v>
      </c>
      <c r="K1484" t="s">
        <v>54</v>
      </c>
      <c r="L1484" t="s">
        <v>55</v>
      </c>
      <c r="M1484" t="s">
        <v>7668</v>
      </c>
      <c r="N1484" t="s">
        <v>6547</v>
      </c>
      <c r="O1484" t="s">
        <v>80</v>
      </c>
      <c r="P1484" t="s">
        <v>7669</v>
      </c>
      <c r="Q1484" t="s">
        <v>73</v>
      </c>
      <c r="R1484" t="s">
        <v>7424</v>
      </c>
      <c r="S1484">
        <v>3.43</v>
      </c>
      <c r="T1484">
        <v>4456</v>
      </c>
      <c r="U1484">
        <v>0</v>
      </c>
      <c r="V1484">
        <v>4456</v>
      </c>
    </row>
    <row r="1485" spans="1:22" x14ac:dyDescent="0.3">
      <c r="A1485">
        <v>186607</v>
      </c>
      <c r="B1485">
        <v>136921092</v>
      </c>
      <c r="C1485" t="s">
        <v>7670</v>
      </c>
      <c r="D1485" t="s">
        <v>7671</v>
      </c>
      <c r="E1485" t="s">
        <v>6545</v>
      </c>
      <c r="F1485" t="s">
        <v>514</v>
      </c>
      <c r="G1485" t="s">
        <v>43</v>
      </c>
      <c r="H1485" t="s">
        <v>44</v>
      </c>
      <c r="I1485" t="s">
        <v>34</v>
      </c>
      <c r="J1485" t="s">
        <v>45</v>
      </c>
      <c r="K1485" t="s">
        <v>41</v>
      </c>
      <c r="L1485" t="s">
        <v>7672</v>
      </c>
      <c r="M1485" t="s">
        <v>7673</v>
      </c>
      <c r="N1485" t="s">
        <v>6547</v>
      </c>
      <c r="O1485" t="s">
        <v>80</v>
      </c>
      <c r="P1485" t="s">
        <v>7674</v>
      </c>
      <c r="Q1485" t="s">
        <v>166</v>
      </c>
      <c r="R1485" t="s">
        <v>7675</v>
      </c>
      <c r="S1485">
        <v>1.21</v>
      </c>
      <c r="T1485">
        <v>5759</v>
      </c>
      <c r="U1485">
        <v>0</v>
      </c>
      <c r="V1485">
        <v>5759</v>
      </c>
    </row>
    <row r="1486" spans="1:22" x14ac:dyDescent="0.3">
      <c r="A1486">
        <v>186607</v>
      </c>
      <c r="B1486">
        <v>137513167</v>
      </c>
      <c r="C1486" t="s">
        <v>7676</v>
      </c>
      <c r="D1486" t="s">
        <v>7677</v>
      </c>
      <c r="E1486" t="s">
        <v>6545</v>
      </c>
      <c r="F1486" t="s">
        <v>514</v>
      </c>
      <c r="G1486" t="s">
        <v>43</v>
      </c>
      <c r="H1486" t="s">
        <v>44</v>
      </c>
      <c r="I1486" t="s">
        <v>34</v>
      </c>
      <c r="J1486" t="s">
        <v>45</v>
      </c>
      <c r="K1486" t="s">
        <v>41</v>
      </c>
      <c r="L1486" t="s">
        <v>355</v>
      </c>
      <c r="M1486" t="s">
        <v>7678</v>
      </c>
      <c r="N1486" t="s">
        <v>6547</v>
      </c>
      <c r="O1486" t="s">
        <v>80</v>
      </c>
      <c r="P1486" t="s">
        <v>7679</v>
      </c>
      <c r="Q1486" t="s">
        <v>50</v>
      </c>
      <c r="R1486" t="s">
        <v>501</v>
      </c>
      <c r="S1486">
        <v>0.5</v>
      </c>
      <c r="T1486">
        <v>4067</v>
      </c>
      <c r="U1486">
        <v>0</v>
      </c>
      <c r="V1486">
        <v>4067</v>
      </c>
    </row>
    <row r="1487" spans="1:22" x14ac:dyDescent="0.3">
      <c r="A1487">
        <v>186607</v>
      </c>
      <c r="B1487">
        <v>137468411</v>
      </c>
      <c r="C1487" t="s">
        <v>7680</v>
      </c>
      <c r="D1487" t="s">
        <v>7681</v>
      </c>
      <c r="E1487" t="s">
        <v>6545</v>
      </c>
      <c r="F1487" t="s">
        <v>514</v>
      </c>
      <c r="G1487" t="s">
        <v>43</v>
      </c>
      <c r="H1487" t="s">
        <v>44</v>
      </c>
      <c r="I1487" t="s">
        <v>34</v>
      </c>
      <c r="J1487" t="s">
        <v>45</v>
      </c>
      <c r="K1487" t="s">
        <v>41</v>
      </c>
      <c r="L1487" t="s">
        <v>7682</v>
      </c>
      <c r="M1487" t="s">
        <v>7683</v>
      </c>
      <c r="N1487" t="s">
        <v>6547</v>
      </c>
      <c r="O1487" t="s">
        <v>80</v>
      </c>
      <c r="P1487" t="s">
        <v>7684</v>
      </c>
      <c r="Q1487" t="s">
        <v>62</v>
      </c>
      <c r="R1487" t="s">
        <v>7443</v>
      </c>
      <c r="S1487">
        <v>0.5</v>
      </c>
      <c r="T1487">
        <v>3449</v>
      </c>
      <c r="U1487">
        <v>0</v>
      </c>
      <c r="V1487">
        <v>3449</v>
      </c>
    </row>
    <row r="1488" spans="1:22" x14ac:dyDescent="0.3">
      <c r="A1488">
        <v>186607</v>
      </c>
      <c r="B1488">
        <v>137468384</v>
      </c>
      <c r="C1488" t="s">
        <v>7685</v>
      </c>
      <c r="D1488" t="s">
        <v>7686</v>
      </c>
      <c r="E1488" t="s">
        <v>6545</v>
      </c>
      <c r="F1488" t="s">
        <v>514</v>
      </c>
      <c r="G1488" t="s">
        <v>43</v>
      </c>
      <c r="H1488" t="s">
        <v>44</v>
      </c>
      <c r="I1488" t="s">
        <v>34</v>
      </c>
      <c r="J1488" t="s">
        <v>45</v>
      </c>
      <c r="K1488" t="s">
        <v>41</v>
      </c>
      <c r="L1488" t="s">
        <v>7687</v>
      </c>
      <c r="M1488" t="s">
        <v>7688</v>
      </c>
      <c r="N1488" t="s">
        <v>6547</v>
      </c>
      <c r="O1488" t="s">
        <v>80</v>
      </c>
      <c r="P1488" t="s">
        <v>7689</v>
      </c>
      <c r="Q1488" t="s">
        <v>102</v>
      </c>
      <c r="R1488" t="s">
        <v>7443</v>
      </c>
      <c r="S1488">
        <v>0.5</v>
      </c>
      <c r="T1488">
        <v>3299</v>
      </c>
      <c r="U1488">
        <v>0</v>
      </c>
      <c r="V1488">
        <v>3299</v>
      </c>
    </row>
    <row r="1489" spans="1:22" x14ac:dyDescent="0.3">
      <c r="A1489">
        <v>186607</v>
      </c>
      <c r="B1489">
        <v>137468405</v>
      </c>
      <c r="C1489" t="s">
        <v>7690</v>
      </c>
      <c r="D1489" t="s">
        <v>7691</v>
      </c>
      <c r="E1489" t="s">
        <v>6545</v>
      </c>
      <c r="F1489" t="s">
        <v>514</v>
      </c>
      <c r="G1489" t="s">
        <v>43</v>
      </c>
      <c r="H1489" t="s">
        <v>44</v>
      </c>
      <c r="I1489" t="s">
        <v>34</v>
      </c>
      <c r="J1489" t="s">
        <v>45</v>
      </c>
      <c r="K1489" t="s">
        <v>41</v>
      </c>
      <c r="L1489" t="s">
        <v>7692</v>
      </c>
      <c r="M1489" t="s">
        <v>7693</v>
      </c>
      <c r="N1489" t="s">
        <v>6547</v>
      </c>
      <c r="O1489" t="s">
        <v>80</v>
      </c>
      <c r="P1489" t="s">
        <v>7694</v>
      </c>
      <c r="Q1489" t="s">
        <v>82</v>
      </c>
      <c r="R1489" t="s">
        <v>7443</v>
      </c>
      <c r="S1489">
        <v>4.3600000000000003</v>
      </c>
      <c r="T1489">
        <v>8008</v>
      </c>
      <c r="U1489">
        <v>0</v>
      </c>
      <c r="V1489">
        <v>8008</v>
      </c>
    </row>
    <row r="1490" spans="1:22" x14ac:dyDescent="0.3">
      <c r="A1490">
        <v>186607</v>
      </c>
      <c r="B1490">
        <v>137389891</v>
      </c>
      <c r="C1490" t="s">
        <v>7695</v>
      </c>
      <c r="D1490" t="s">
        <v>7696</v>
      </c>
      <c r="E1490" t="s">
        <v>6545</v>
      </c>
      <c r="F1490" t="s">
        <v>514</v>
      </c>
      <c r="G1490" t="s">
        <v>43</v>
      </c>
      <c r="H1490" t="s">
        <v>44</v>
      </c>
      <c r="I1490" t="s">
        <v>34</v>
      </c>
      <c r="J1490" t="s">
        <v>45</v>
      </c>
      <c r="K1490" t="s">
        <v>41</v>
      </c>
      <c r="L1490" t="s">
        <v>7697</v>
      </c>
      <c r="M1490" t="s">
        <v>7698</v>
      </c>
      <c r="N1490" t="s">
        <v>6547</v>
      </c>
      <c r="O1490" t="s">
        <v>80</v>
      </c>
      <c r="P1490" t="s">
        <v>7699</v>
      </c>
      <c r="Q1490" t="s">
        <v>111</v>
      </c>
      <c r="R1490" t="s">
        <v>7487</v>
      </c>
      <c r="S1490">
        <v>0.5</v>
      </c>
      <c r="T1490">
        <v>4067</v>
      </c>
      <c r="U1490">
        <v>0</v>
      </c>
      <c r="V1490">
        <v>4067</v>
      </c>
    </row>
    <row r="1491" spans="1:22" x14ac:dyDescent="0.3">
      <c r="A1491">
        <v>186607</v>
      </c>
      <c r="B1491">
        <v>137616662</v>
      </c>
      <c r="C1491" t="s">
        <v>7700</v>
      </c>
      <c r="D1491" t="s">
        <v>7701</v>
      </c>
      <c r="E1491" t="s">
        <v>6545</v>
      </c>
      <c r="F1491" t="s">
        <v>514</v>
      </c>
      <c r="G1491" t="s">
        <v>43</v>
      </c>
      <c r="H1491" t="s">
        <v>44</v>
      </c>
      <c r="I1491" t="s">
        <v>34</v>
      </c>
      <c r="J1491" t="s">
        <v>45</v>
      </c>
      <c r="K1491" t="s">
        <v>41</v>
      </c>
      <c r="L1491" t="s">
        <v>7702</v>
      </c>
      <c r="M1491" t="s">
        <v>7703</v>
      </c>
      <c r="N1491" t="s">
        <v>6547</v>
      </c>
      <c r="O1491" t="s">
        <v>80</v>
      </c>
      <c r="P1491" t="s">
        <v>7704</v>
      </c>
      <c r="Q1491" t="s">
        <v>49</v>
      </c>
      <c r="R1491" t="s">
        <v>6945</v>
      </c>
      <c r="S1491">
        <v>1</v>
      </c>
      <c r="T1491">
        <v>3501</v>
      </c>
      <c r="U1491">
        <v>0</v>
      </c>
      <c r="V1491">
        <v>3501</v>
      </c>
    </row>
    <row r="1492" spans="1:22" x14ac:dyDescent="0.3">
      <c r="A1492">
        <v>186607</v>
      </c>
      <c r="B1492">
        <v>137468419</v>
      </c>
      <c r="C1492" t="s">
        <v>7705</v>
      </c>
      <c r="D1492" t="s">
        <v>7706</v>
      </c>
      <c r="E1492" t="s">
        <v>6545</v>
      </c>
      <c r="F1492" t="s">
        <v>514</v>
      </c>
      <c r="G1492" t="s">
        <v>43</v>
      </c>
      <c r="H1492" t="s">
        <v>44</v>
      </c>
      <c r="I1492" t="s">
        <v>34</v>
      </c>
      <c r="J1492" t="s">
        <v>45</v>
      </c>
      <c r="K1492" t="s">
        <v>41</v>
      </c>
      <c r="L1492" t="s">
        <v>7707</v>
      </c>
      <c r="M1492" t="s">
        <v>7708</v>
      </c>
      <c r="N1492" t="s">
        <v>6547</v>
      </c>
      <c r="O1492" t="s">
        <v>80</v>
      </c>
      <c r="P1492" t="s">
        <v>7709</v>
      </c>
      <c r="Q1492" t="s">
        <v>122</v>
      </c>
      <c r="R1492" t="s">
        <v>7443</v>
      </c>
      <c r="S1492">
        <v>0.5</v>
      </c>
      <c r="T1492">
        <v>4415</v>
      </c>
      <c r="U1492">
        <v>0</v>
      </c>
      <c r="V1492">
        <v>4415</v>
      </c>
    </row>
    <row r="1493" spans="1:22" x14ac:dyDescent="0.3">
      <c r="A1493">
        <v>186607</v>
      </c>
      <c r="B1493">
        <v>137408943</v>
      </c>
      <c r="C1493" t="s">
        <v>7710</v>
      </c>
      <c r="D1493" t="s">
        <v>7711</v>
      </c>
      <c r="E1493" t="s">
        <v>6545</v>
      </c>
      <c r="F1493" t="s">
        <v>514</v>
      </c>
      <c r="G1493" t="s">
        <v>43</v>
      </c>
      <c r="H1493" t="s">
        <v>44</v>
      </c>
      <c r="I1493" t="s">
        <v>34</v>
      </c>
      <c r="J1493" t="s">
        <v>45</v>
      </c>
      <c r="K1493" t="s">
        <v>41</v>
      </c>
      <c r="L1493" t="s">
        <v>7712</v>
      </c>
      <c r="M1493" t="s">
        <v>7713</v>
      </c>
      <c r="N1493" t="s">
        <v>6547</v>
      </c>
      <c r="O1493" t="s">
        <v>80</v>
      </c>
      <c r="P1493" t="s">
        <v>7714</v>
      </c>
      <c r="Q1493" t="s">
        <v>217</v>
      </c>
      <c r="R1493" t="s">
        <v>7544</v>
      </c>
      <c r="S1493">
        <v>0.5</v>
      </c>
      <c r="T1493">
        <v>3680</v>
      </c>
      <c r="U1493">
        <v>0</v>
      </c>
      <c r="V1493">
        <v>3680</v>
      </c>
    </row>
    <row r="1494" spans="1:22" x14ac:dyDescent="0.3">
      <c r="A1494">
        <v>186607</v>
      </c>
      <c r="B1494">
        <v>137468361</v>
      </c>
      <c r="C1494" t="s">
        <v>7715</v>
      </c>
      <c r="D1494" t="s">
        <v>7716</v>
      </c>
      <c r="E1494" t="s">
        <v>6545</v>
      </c>
      <c r="F1494" t="s">
        <v>514</v>
      </c>
      <c r="G1494" t="s">
        <v>43</v>
      </c>
      <c r="H1494" t="s">
        <v>44</v>
      </c>
      <c r="I1494" t="s">
        <v>34</v>
      </c>
      <c r="J1494" t="s">
        <v>45</v>
      </c>
      <c r="K1494" t="s">
        <v>41</v>
      </c>
      <c r="L1494" t="s">
        <v>7717</v>
      </c>
      <c r="M1494" t="s">
        <v>450</v>
      </c>
      <c r="N1494" t="s">
        <v>6547</v>
      </c>
      <c r="O1494" t="s">
        <v>80</v>
      </c>
      <c r="P1494" t="s">
        <v>7718</v>
      </c>
      <c r="Q1494" t="s">
        <v>73</v>
      </c>
      <c r="R1494" t="s">
        <v>7443</v>
      </c>
      <c r="S1494">
        <v>0.5</v>
      </c>
      <c r="T1494">
        <v>3680</v>
      </c>
      <c r="U1494">
        <v>0</v>
      </c>
      <c r="V1494">
        <v>3680</v>
      </c>
    </row>
    <row r="1495" spans="1:22" x14ac:dyDescent="0.3">
      <c r="A1495">
        <v>186607</v>
      </c>
      <c r="B1495">
        <v>137468344</v>
      </c>
      <c r="C1495" t="s">
        <v>7719</v>
      </c>
      <c r="D1495" t="s">
        <v>7720</v>
      </c>
      <c r="E1495" t="s">
        <v>6545</v>
      </c>
      <c r="F1495" t="s">
        <v>514</v>
      </c>
      <c r="G1495" t="s">
        <v>43</v>
      </c>
      <c r="H1495" t="s">
        <v>44</v>
      </c>
      <c r="I1495" t="s">
        <v>34</v>
      </c>
      <c r="J1495" t="s">
        <v>45</v>
      </c>
      <c r="K1495" t="s">
        <v>41</v>
      </c>
      <c r="L1495" t="s">
        <v>7721</v>
      </c>
      <c r="M1495" t="s">
        <v>6568</v>
      </c>
      <c r="N1495" t="s">
        <v>6547</v>
      </c>
      <c r="O1495" t="s">
        <v>80</v>
      </c>
      <c r="P1495" t="s">
        <v>6569</v>
      </c>
      <c r="Q1495" t="s">
        <v>47</v>
      </c>
      <c r="R1495" t="s">
        <v>7443</v>
      </c>
      <c r="S1495">
        <v>0.5</v>
      </c>
      <c r="T1495">
        <v>3680</v>
      </c>
      <c r="U1495">
        <v>0</v>
      </c>
      <c r="V1495">
        <v>3680</v>
      </c>
    </row>
    <row r="1496" spans="1:22" x14ac:dyDescent="0.3">
      <c r="A1496">
        <v>186607</v>
      </c>
      <c r="B1496">
        <v>137408902</v>
      </c>
      <c r="C1496" t="s">
        <v>7722</v>
      </c>
      <c r="D1496" t="s">
        <v>7723</v>
      </c>
      <c r="E1496" t="s">
        <v>6545</v>
      </c>
      <c r="F1496" t="s">
        <v>514</v>
      </c>
      <c r="G1496" t="s">
        <v>69</v>
      </c>
      <c r="H1496" t="s">
        <v>70</v>
      </c>
      <c r="I1496" t="s">
        <v>34</v>
      </c>
      <c r="J1496" t="s">
        <v>139</v>
      </c>
      <c r="K1496" t="s">
        <v>41</v>
      </c>
      <c r="L1496" t="s">
        <v>71</v>
      </c>
      <c r="M1496" t="s">
        <v>7724</v>
      </c>
      <c r="N1496" t="s">
        <v>6547</v>
      </c>
      <c r="O1496" t="s">
        <v>80</v>
      </c>
      <c r="P1496" t="s">
        <v>7725</v>
      </c>
      <c r="Q1496" t="s">
        <v>109</v>
      </c>
      <c r="R1496" t="s">
        <v>7544</v>
      </c>
      <c r="S1496">
        <v>1.82</v>
      </c>
      <c r="T1496">
        <v>6708</v>
      </c>
      <c r="U1496">
        <v>0</v>
      </c>
      <c r="V1496">
        <v>6708</v>
      </c>
    </row>
    <row r="1497" spans="1:22" x14ac:dyDescent="0.3">
      <c r="A1497">
        <v>186607</v>
      </c>
      <c r="B1497">
        <v>137408909</v>
      </c>
      <c r="C1497" t="s">
        <v>7726</v>
      </c>
      <c r="D1497" t="s">
        <v>7727</v>
      </c>
      <c r="E1497" t="s">
        <v>6545</v>
      </c>
      <c r="F1497" t="s">
        <v>514</v>
      </c>
      <c r="G1497" t="s">
        <v>43</v>
      </c>
      <c r="H1497" t="s">
        <v>44</v>
      </c>
      <c r="I1497" t="s">
        <v>34</v>
      </c>
      <c r="J1497" t="s">
        <v>45</v>
      </c>
      <c r="K1497" t="s">
        <v>41</v>
      </c>
      <c r="L1497" t="s">
        <v>7728</v>
      </c>
      <c r="M1497" t="s">
        <v>7729</v>
      </c>
      <c r="N1497" t="s">
        <v>6547</v>
      </c>
      <c r="O1497" t="s">
        <v>80</v>
      </c>
      <c r="P1497" t="s">
        <v>426</v>
      </c>
      <c r="Q1497" t="s">
        <v>47</v>
      </c>
      <c r="R1497" t="s">
        <v>7544</v>
      </c>
      <c r="S1497">
        <v>3.69</v>
      </c>
      <c r="T1497">
        <v>5376</v>
      </c>
      <c r="U1497">
        <v>0</v>
      </c>
      <c r="V1497">
        <v>5376</v>
      </c>
    </row>
    <row r="1498" spans="1:22" x14ac:dyDescent="0.3">
      <c r="A1498">
        <v>186607</v>
      </c>
      <c r="B1498">
        <v>137408873</v>
      </c>
      <c r="C1498" t="s">
        <v>7730</v>
      </c>
      <c r="D1498" t="s">
        <v>7731</v>
      </c>
      <c r="E1498" t="s">
        <v>6545</v>
      </c>
      <c r="F1498" t="s">
        <v>514</v>
      </c>
      <c r="G1498" t="s">
        <v>43</v>
      </c>
      <c r="H1498" t="s">
        <v>44</v>
      </c>
      <c r="I1498" t="s">
        <v>34</v>
      </c>
      <c r="J1498" t="s">
        <v>45</v>
      </c>
      <c r="K1498" t="s">
        <v>41</v>
      </c>
      <c r="L1498" t="s">
        <v>7732</v>
      </c>
      <c r="M1498" t="s">
        <v>7733</v>
      </c>
      <c r="N1498" t="s">
        <v>6547</v>
      </c>
      <c r="O1498" t="s">
        <v>80</v>
      </c>
      <c r="P1498" t="s">
        <v>7734</v>
      </c>
      <c r="Q1498" t="s">
        <v>75</v>
      </c>
      <c r="R1498" t="s">
        <v>7544</v>
      </c>
      <c r="S1498">
        <v>0.5</v>
      </c>
      <c r="T1498">
        <v>3680</v>
      </c>
      <c r="U1498">
        <v>0</v>
      </c>
      <c r="V1498">
        <v>3680</v>
      </c>
    </row>
    <row r="1499" spans="1:22" x14ac:dyDescent="0.3">
      <c r="A1499">
        <v>186607</v>
      </c>
      <c r="B1499">
        <v>137535690</v>
      </c>
      <c r="C1499" t="s">
        <v>7735</v>
      </c>
      <c r="D1499" t="s">
        <v>7736</v>
      </c>
      <c r="E1499" t="s">
        <v>6545</v>
      </c>
      <c r="F1499" t="s">
        <v>514</v>
      </c>
      <c r="G1499" t="s">
        <v>43</v>
      </c>
      <c r="H1499" t="s">
        <v>44</v>
      </c>
      <c r="I1499" t="s">
        <v>34</v>
      </c>
      <c r="J1499" t="s">
        <v>45</v>
      </c>
      <c r="K1499" t="s">
        <v>41</v>
      </c>
      <c r="L1499" t="s">
        <v>7737</v>
      </c>
      <c r="M1499" t="s">
        <v>7738</v>
      </c>
      <c r="N1499" t="s">
        <v>6547</v>
      </c>
      <c r="O1499" t="s">
        <v>80</v>
      </c>
      <c r="P1499" t="s">
        <v>7739</v>
      </c>
      <c r="Q1499" t="s">
        <v>73</v>
      </c>
      <c r="R1499" t="s">
        <v>7635</v>
      </c>
      <c r="S1499">
        <v>1.98</v>
      </c>
      <c r="T1499">
        <v>3753</v>
      </c>
      <c r="U1499">
        <v>0</v>
      </c>
      <c r="V1499">
        <v>3753</v>
      </c>
    </row>
    <row r="1500" spans="1:22" x14ac:dyDescent="0.3">
      <c r="A1500">
        <v>186607</v>
      </c>
      <c r="B1500">
        <v>137513093</v>
      </c>
      <c r="C1500" t="s">
        <v>7740</v>
      </c>
      <c r="D1500" t="s">
        <v>7741</v>
      </c>
      <c r="E1500" t="s">
        <v>6545</v>
      </c>
      <c r="F1500" t="s">
        <v>514</v>
      </c>
      <c r="G1500" t="s">
        <v>43</v>
      </c>
      <c r="H1500" t="s">
        <v>44</v>
      </c>
      <c r="I1500" t="s">
        <v>34</v>
      </c>
      <c r="J1500" t="s">
        <v>45</v>
      </c>
      <c r="K1500" t="s">
        <v>41</v>
      </c>
      <c r="L1500" t="s">
        <v>7742</v>
      </c>
      <c r="M1500" t="s">
        <v>465</v>
      </c>
      <c r="N1500" t="s">
        <v>6547</v>
      </c>
      <c r="O1500" t="s">
        <v>80</v>
      </c>
      <c r="P1500" t="s">
        <v>7743</v>
      </c>
      <c r="Q1500" t="s">
        <v>48</v>
      </c>
      <c r="R1500" t="s">
        <v>501</v>
      </c>
      <c r="S1500">
        <v>1.96</v>
      </c>
      <c r="T1500">
        <v>4067</v>
      </c>
      <c r="U1500">
        <v>0</v>
      </c>
      <c r="V1500">
        <v>4067</v>
      </c>
    </row>
    <row r="1501" spans="1:22" x14ac:dyDescent="0.3">
      <c r="A1501">
        <v>186607</v>
      </c>
      <c r="B1501">
        <v>137513203</v>
      </c>
      <c r="C1501" t="s">
        <v>7744</v>
      </c>
      <c r="D1501" t="s">
        <v>7745</v>
      </c>
      <c r="E1501" t="s">
        <v>6545</v>
      </c>
      <c r="F1501" t="s">
        <v>514</v>
      </c>
      <c r="G1501" t="s">
        <v>43</v>
      </c>
      <c r="H1501" t="s">
        <v>44</v>
      </c>
      <c r="I1501" t="s">
        <v>34</v>
      </c>
      <c r="J1501" t="s">
        <v>45</v>
      </c>
      <c r="K1501" t="s">
        <v>41</v>
      </c>
      <c r="L1501" t="s">
        <v>7746</v>
      </c>
      <c r="M1501" t="s">
        <v>7747</v>
      </c>
      <c r="N1501" t="s">
        <v>6547</v>
      </c>
      <c r="O1501" t="s">
        <v>80</v>
      </c>
      <c r="P1501" t="s">
        <v>7748</v>
      </c>
      <c r="Q1501" t="s">
        <v>130</v>
      </c>
      <c r="R1501" t="s">
        <v>7749</v>
      </c>
      <c r="S1501">
        <v>0.5</v>
      </c>
      <c r="T1501">
        <v>3680</v>
      </c>
      <c r="U1501">
        <v>0</v>
      </c>
      <c r="V1501">
        <v>3680</v>
      </c>
    </row>
    <row r="1502" spans="1:22" x14ac:dyDescent="0.3">
      <c r="A1502">
        <v>186607</v>
      </c>
      <c r="B1502">
        <v>137389926</v>
      </c>
      <c r="C1502" t="s">
        <v>7750</v>
      </c>
      <c r="D1502" t="s">
        <v>7751</v>
      </c>
      <c r="E1502" t="s">
        <v>6545</v>
      </c>
      <c r="F1502" t="s">
        <v>514</v>
      </c>
      <c r="G1502" t="s">
        <v>43</v>
      </c>
      <c r="H1502" t="s">
        <v>44</v>
      </c>
      <c r="I1502" t="s">
        <v>34</v>
      </c>
      <c r="J1502" t="s">
        <v>45</v>
      </c>
      <c r="K1502" t="s">
        <v>41</v>
      </c>
      <c r="L1502" t="s">
        <v>7752</v>
      </c>
      <c r="M1502" t="s">
        <v>7753</v>
      </c>
      <c r="N1502" t="s">
        <v>6547</v>
      </c>
      <c r="O1502" t="s">
        <v>80</v>
      </c>
      <c r="P1502" t="s">
        <v>7754</v>
      </c>
      <c r="Q1502" t="s">
        <v>81</v>
      </c>
      <c r="R1502" t="s">
        <v>7493</v>
      </c>
      <c r="S1502">
        <v>4.26</v>
      </c>
      <c r="T1502">
        <v>3797</v>
      </c>
      <c r="U1502">
        <v>0</v>
      </c>
      <c r="V1502">
        <v>3797</v>
      </c>
    </row>
    <row r="1503" spans="1:22" x14ac:dyDescent="0.3">
      <c r="A1503">
        <v>186607</v>
      </c>
      <c r="B1503">
        <v>137408910</v>
      </c>
      <c r="C1503" t="s">
        <v>7755</v>
      </c>
      <c r="D1503" t="s">
        <v>7756</v>
      </c>
      <c r="E1503" t="s">
        <v>6545</v>
      </c>
      <c r="F1503" t="s">
        <v>514</v>
      </c>
      <c r="G1503" t="s">
        <v>43</v>
      </c>
      <c r="H1503" t="s">
        <v>44</v>
      </c>
      <c r="I1503" t="s">
        <v>34</v>
      </c>
      <c r="J1503" t="s">
        <v>45</v>
      </c>
      <c r="K1503" t="s">
        <v>41</v>
      </c>
      <c r="L1503" t="s">
        <v>7757</v>
      </c>
      <c r="M1503" t="s">
        <v>7758</v>
      </c>
      <c r="N1503" t="s">
        <v>6547</v>
      </c>
      <c r="O1503" t="s">
        <v>80</v>
      </c>
      <c r="P1503" t="s">
        <v>7759</v>
      </c>
      <c r="Q1503" t="s">
        <v>52</v>
      </c>
      <c r="R1503" t="s">
        <v>7544</v>
      </c>
      <c r="S1503">
        <v>0.5</v>
      </c>
      <c r="T1503">
        <v>3680</v>
      </c>
      <c r="U1503">
        <v>0</v>
      </c>
      <c r="V1503">
        <v>3680</v>
      </c>
    </row>
    <row r="1504" spans="1:22" x14ac:dyDescent="0.3">
      <c r="A1504">
        <v>186607</v>
      </c>
      <c r="B1504">
        <v>137535688</v>
      </c>
      <c r="C1504" t="s">
        <v>7760</v>
      </c>
      <c r="D1504" t="s">
        <v>7761</v>
      </c>
      <c r="E1504" t="s">
        <v>6545</v>
      </c>
      <c r="F1504" t="s">
        <v>514</v>
      </c>
      <c r="G1504" t="s">
        <v>43</v>
      </c>
      <c r="H1504" t="s">
        <v>44</v>
      </c>
      <c r="I1504" t="s">
        <v>34</v>
      </c>
      <c r="J1504" t="s">
        <v>45</v>
      </c>
      <c r="K1504" t="s">
        <v>41</v>
      </c>
      <c r="L1504" t="s">
        <v>7762</v>
      </c>
      <c r="M1504" t="s">
        <v>7763</v>
      </c>
      <c r="N1504" t="s">
        <v>6547</v>
      </c>
      <c r="O1504" t="s">
        <v>80</v>
      </c>
      <c r="P1504" t="s">
        <v>7764</v>
      </c>
      <c r="Q1504" t="s">
        <v>61</v>
      </c>
      <c r="R1504" t="s">
        <v>7635</v>
      </c>
      <c r="S1504">
        <v>0.5</v>
      </c>
      <c r="T1504">
        <v>3299</v>
      </c>
      <c r="U1504">
        <v>0</v>
      </c>
      <c r="V1504">
        <v>3299</v>
      </c>
    </row>
    <row r="1505" spans="1:22" x14ac:dyDescent="0.3">
      <c r="A1505">
        <v>186607</v>
      </c>
      <c r="B1505">
        <v>137468388</v>
      </c>
      <c r="C1505" t="s">
        <v>7765</v>
      </c>
      <c r="D1505" t="s">
        <v>7766</v>
      </c>
      <c r="E1505" t="s">
        <v>6545</v>
      </c>
      <c r="F1505" t="s">
        <v>514</v>
      </c>
      <c r="G1505" t="s">
        <v>43</v>
      </c>
      <c r="H1505" t="s">
        <v>44</v>
      </c>
      <c r="I1505" t="s">
        <v>34</v>
      </c>
      <c r="J1505" t="s">
        <v>45</v>
      </c>
      <c r="K1505" t="s">
        <v>41</v>
      </c>
      <c r="L1505" t="s">
        <v>7767</v>
      </c>
      <c r="M1505" t="s">
        <v>7768</v>
      </c>
      <c r="N1505" t="s">
        <v>6547</v>
      </c>
      <c r="O1505" t="s">
        <v>80</v>
      </c>
      <c r="P1505" t="s">
        <v>7769</v>
      </c>
      <c r="Q1505" t="s">
        <v>118</v>
      </c>
      <c r="R1505" t="s">
        <v>7443</v>
      </c>
      <c r="S1505">
        <v>4.3899999999999997</v>
      </c>
      <c r="T1505">
        <v>5111</v>
      </c>
      <c r="U1505">
        <v>0</v>
      </c>
      <c r="V1505">
        <v>5111</v>
      </c>
    </row>
    <row r="1506" spans="1:22" x14ac:dyDescent="0.3">
      <c r="A1506">
        <v>186607</v>
      </c>
      <c r="B1506">
        <v>137468398</v>
      </c>
      <c r="C1506" t="s">
        <v>7770</v>
      </c>
      <c r="D1506" t="s">
        <v>7771</v>
      </c>
      <c r="E1506" t="s">
        <v>6545</v>
      </c>
      <c r="F1506" t="s">
        <v>514</v>
      </c>
      <c r="G1506" t="s">
        <v>43</v>
      </c>
      <c r="H1506" t="s">
        <v>44</v>
      </c>
      <c r="I1506" t="s">
        <v>34</v>
      </c>
      <c r="J1506" t="s">
        <v>45</v>
      </c>
      <c r="K1506" t="s">
        <v>41</v>
      </c>
      <c r="L1506" t="s">
        <v>7772</v>
      </c>
      <c r="M1506" t="s">
        <v>7773</v>
      </c>
      <c r="N1506" t="s">
        <v>6547</v>
      </c>
      <c r="O1506" t="s">
        <v>80</v>
      </c>
      <c r="P1506" t="s">
        <v>7774</v>
      </c>
      <c r="Q1506" t="s">
        <v>49</v>
      </c>
      <c r="R1506" t="s">
        <v>7443</v>
      </c>
      <c r="S1506">
        <v>0.5</v>
      </c>
      <c r="T1506">
        <v>3449</v>
      </c>
      <c r="U1506">
        <v>0</v>
      </c>
      <c r="V1506">
        <v>3449</v>
      </c>
    </row>
    <row r="1507" spans="1:22" x14ac:dyDescent="0.3">
      <c r="A1507">
        <v>186607</v>
      </c>
      <c r="B1507">
        <v>137389932</v>
      </c>
      <c r="C1507" t="s">
        <v>7775</v>
      </c>
      <c r="D1507" t="s">
        <v>7776</v>
      </c>
      <c r="E1507" t="s">
        <v>6545</v>
      </c>
      <c r="F1507" t="s">
        <v>514</v>
      </c>
      <c r="G1507" t="s">
        <v>43</v>
      </c>
      <c r="H1507" t="s">
        <v>44</v>
      </c>
      <c r="I1507" t="s">
        <v>34</v>
      </c>
      <c r="J1507" t="s">
        <v>45</v>
      </c>
      <c r="K1507" t="s">
        <v>41</v>
      </c>
      <c r="L1507" t="s">
        <v>7777</v>
      </c>
      <c r="M1507" t="s">
        <v>7778</v>
      </c>
      <c r="N1507" t="s">
        <v>6547</v>
      </c>
      <c r="O1507" t="s">
        <v>80</v>
      </c>
      <c r="P1507" t="s">
        <v>7779</v>
      </c>
      <c r="Q1507" t="s">
        <v>79</v>
      </c>
      <c r="R1507" t="s">
        <v>7493</v>
      </c>
      <c r="S1507">
        <v>0.5</v>
      </c>
      <c r="T1507">
        <v>3299</v>
      </c>
      <c r="U1507">
        <v>0</v>
      </c>
      <c r="V1507">
        <v>3299</v>
      </c>
    </row>
    <row r="1508" spans="1:22" x14ac:dyDescent="0.3">
      <c r="A1508">
        <v>186607</v>
      </c>
      <c r="B1508">
        <v>137389928</v>
      </c>
      <c r="C1508" t="s">
        <v>7780</v>
      </c>
      <c r="D1508" t="s">
        <v>7781</v>
      </c>
      <c r="E1508" t="s">
        <v>6545</v>
      </c>
      <c r="F1508" t="s">
        <v>514</v>
      </c>
      <c r="G1508" t="s">
        <v>43</v>
      </c>
      <c r="H1508" t="s">
        <v>44</v>
      </c>
      <c r="I1508" t="s">
        <v>34</v>
      </c>
      <c r="J1508" t="s">
        <v>45</v>
      </c>
      <c r="K1508" t="s">
        <v>41</v>
      </c>
      <c r="L1508" t="s">
        <v>7782</v>
      </c>
      <c r="M1508" t="s">
        <v>7783</v>
      </c>
      <c r="N1508" t="s">
        <v>6547</v>
      </c>
      <c r="O1508" t="s">
        <v>80</v>
      </c>
      <c r="P1508" t="s">
        <v>7784</v>
      </c>
      <c r="Q1508" t="s">
        <v>123</v>
      </c>
      <c r="R1508" t="s">
        <v>7493</v>
      </c>
      <c r="S1508">
        <v>0.5</v>
      </c>
      <c r="T1508">
        <v>4091</v>
      </c>
      <c r="U1508">
        <v>0</v>
      </c>
      <c r="V1508">
        <v>4091</v>
      </c>
    </row>
    <row r="1509" spans="1:22" x14ac:dyDescent="0.3">
      <c r="A1509">
        <v>186607</v>
      </c>
      <c r="B1509">
        <v>137513140</v>
      </c>
      <c r="C1509" t="s">
        <v>7785</v>
      </c>
      <c r="D1509" t="s">
        <v>7786</v>
      </c>
      <c r="E1509" t="s">
        <v>6545</v>
      </c>
      <c r="F1509" t="s">
        <v>514</v>
      </c>
      <c r="G1509" t="s">
        <v>43</v>
      </c>
      <c r="H1509" t="s">
        <v>44</v>
      </c>
      <c r="I1509" t="s">
        <v>34</v>
      </c>
      <c r="J1509" t="s">
        <v>45</v>
      </c>
      <c r="K1509" t="s">
        <v>41</v>
      </c>
      <c r="L1509" t="s">
        <v>7787</v>
      </c>
      <c r="M1509" t="s">
        <v>7788</v>
      </c>
      <c r="N1509" t="s">
        <v>6547</v>
      </c>
      <c r="O1509" t="s">
        <v>80</v>
      </c>
      <c r="P1509" t="s">
        <v>7789</v>
      </c>
      <c r="Q1509" t="s">
        <v>46</v>
      </c>
      <c r="R1509" t="s">
        <v>501</v>
      </c>
      <c r="S1509">
        <v>0.5</v>
      </c>
      <c r="T1509">
        <v>3299</v>
      </c>
      <c r="U1509">
        <v>0</v>
      </c>
      <c r="V1509">
        <v>3299</v>
      </c>
    </row>
    <row r="1510" spans="1:22" x14ac:dyDescent="0.3">
      <c r="A1510">
        <v>186607</v>
      </c>
      <c r="B1510">
        <v>137408900</v>
      </c>
      <c r="C1510" t="s">
        <v>7790</v>
      </c>
      <c r="D1510" t="s">
        <v>7791</v>
      </c>
      <c r="E1510" t="s">
        <v>6545</v>
      </c>
      <c r="F1510" t="s">
        <v>514</v>
      </c>
      <c r="G1510" t="s">
        <v>43</v>
      </c>
      <c r="H1510" t="s">
        <v>44</v>
      </c>
      <c r="I1510" t="s">
        <v>34</v>
      </c>
      <c r="J1510" t="s">
        <v>45</v>
      </c>
      <c r="K1510" t="s">
        <v>41</v>
      </c>
      <c r="L1510" t="s">
        <v>7792</v>
      </c>
      <c r="M1510" t="s">
        <v>7793</v>
      </c>
      <c r="N1510" t="s">
        <v>6547</v>
      </c>
      <c r="O1510" t="s">
        <v>80</v>
      </c>
      <c r="P1510" t="s">
        <v>7794</v>
      </c>
      <c r="Q1510" t="s">
        <v>73</v>
      </c>
      <c r="R1510" t="s">
        <v>7544</v>
      </c>
      <c r="S1510">
        <v>0.5</v>
      </c>
      <c r="T1510">
        <v>3680</v>
      </c>
      <c r="U1510">
        <v>0</v>
      </c>
      <c r="V1510">
        <v>3680</v>
      </c>
    </row>
    <row r="1511" spans="1:22" x14ac:dyDescent="0.3">
      <c r="A1511">
        <v>186607</v>
      </c>
      <c r="B1511">
        <v>137408895</v>
      </c>
      <c r="C1511" t="s">
        <v>7795</v>
      </c>
      <c r="D1511" t="s">
        <v>7796</v>
      </c>
      <c r="E1511" t="s">
        <v>6545</v>
      </c>
      <c r="F1511" t="s">
        <v>514</v>
      </c>
      <c r="G1511" t="s">
        <v>43</v>
      </c>
      <c r="H1511" t="s">
        <v>44</v>
      </c>
      <c r="I1511" t="s">
        <v>34</v>
      </c>
      <c r="J1511" t="s">
        <v>45</v>
      </c>
      <c r="K1511" t="s">
        <v>41</v>
      </c>
      <c r="L1511" t="s">
        <v>7797</v>
      </c>
      <c r="M1511" t="s">
        <v>7798</v>
      </c>
      <c r="N1511" t="s">
        <v>6547</v>
      </c>
      <c r="O1511" t="s">
        <v>80</v>
      </c>
      <c r="P1511" t="s">
        <v>7799</v>
      </c>
      <c r="Q1511" t="s">
        <v>57</v>
      </c>
      <c r="R1511" t="s">
        <v>7544</v>
      </c>
      <c r="S1511">
        <v>0.5</v>
      </c>
      <c r="T1511">
        <v>3680</v>
      </c>
      <c r="U1511">
        <v>0</v>
      </c>
      <c r="V1511">
        <v>3680</v>
      </c>
    </row>
    <row r="1512" spans="1:22" x14ac:dyDescent="0.3">
      <c r="A1512">
        <v>186607</v>
      </c>
      <c r="B1512">
        <v>137535686</v>
      </c>
      <c r="C1512" t="s">
        <v>7800</v>
      </c>
      <c r="D1512" t="s">
        <v>7801</v>
      </c>
      <c r="E1512" t="s">
        <v>6545</v>
      </c>
      <c r="F1512" t="s">
        <v>514</v>
      </c>
      <c r="G1512" t="s">
        <v>43</v>
      </c>
      <c r="H1512" t="s">
        <v>44</v>
      </c>
      <c r="I1512" t="s">
        <v>34</v>
      </c>
      <c r="J1512" t="s">
        <v>45</v>
      </c>
      <c r="K1512" t="s">
        <v>41</v>
      </c>
      <c r="L1512" t="s">
        <v>7802</v>
      </c>
      <c r="M1512" t="s">
        <v>7803</v>
      </c>
      <c r="N1512" t="s">
        <v>6547</v>
      </c>
      <c r="O1512" t="s">
        <v>80</v>
      </c>
      <c r="P1512" t="s">
        <v>7804</v>
      </c>
      <c r="Q1512" t="s">
        <v>102</v>
      </c>
      <c r="R1512" t="s">
        <v>7635</v>
      </c>
      <c r="S1512">
        <v>2.06</v>
      </c>
      <c r="T1512">
        <v>3366</v>
      </c>
      <c r="U1512">
        <v>0</v>
      </c>
      <c r="V1512">
        <v>3366</v>
      </c>
    </row>
    <row r="1513" spans="1:22" x14ac:dyDescent="0.3">
      <c r="A1513">
        <v>186607</v>
      </c>
      <c r="B1513">
        <v>137535695</v>
      </c>
      <c r="C1513" t="s">
        <v>7805</v>
      </c>
      <c r="D1513" t="s">
        <v>7806</v>
      </c>
      <c r="E1513" t="s">
        <v>6545</v>
      </c>
      <c r="F1513" t="s">
        <v>514</v>
      </c>
      <c r="G1513" t="s">
        <v>43</v>
      </c>
      <c r="H1513" t="s">
        <v>44</v>
      </c>
      <c r="I1513" t="s">
        <v>34</v>
      </c>
      <c r="J1513" t="s">
        <v>45</v>
      </c>
      <c r="K1513" t="s">
        <v>41</v>
      </c>
      <c r="L1513" t="s">
        <v>7807</v>
      </c>
      <c r="M1513" t="s">
        <v>7808</v>
      </c>
      <c r="N1513" t="s">
        <v>6547</v>
      </c>
      <c r="O1513" t="s">
        <v>80</v>
      </c>
      <c r="P1513" t="s">
        <v>7809</v>
      </c>
      <c r="Q1513" t="s">
        <v>59</v>
      </c>
      <c r="R1513" t="s">
        <v>7635</v>
      </c>
      <c r="S1513">
        <v>3.37</v>
      </c>
      <c r="T1513">
        <v>3797</v>
      </c>
      <c r="U1513">
        <v>0</v>
      </c>
      <c r="V1513">
        <v>3797</v>
      </c>
    </row>
    <row r="1514" spans="1:22" x14ac:dyDescent="0.3">
      <c r="A1514">
        <v>186607</v>
      </c>
      <c r="B1514">
        <v>137389904</v>
      </c>
      <c r="C1514" t="s">
        <v>7810</v>
      </c>
      <c r="D1514" t="s">
        <v>7811</v>
      </c>
      <c r="E1514" t="s">
        <v>6545</v>
      </c>
      <c r="F1514" t="s">
        <v>514</v>
      </c>
      <c r="G1514" t="s">
        <v>43</v>
      </c>
      <c r="H1514" t="s">
        <v>44</v>
      </c>
      <c r="I1514" t="s">
        <v>34</v>
      </c>
      <c r="J1514" t="s">
        <v>45</v>
      </c>
      <c r="K1514" t="s">
        <v>41</v>
      </c>
      <c r="L1514" t="s">
        <v>7812</v>
      </c>
      <c r="M1514" t="s">
        <v>7813</v>
      </c>
      <c r="N1514" t="s">
        <v>6547</v>
      </c>
      <c r="O1514" t="s">
        <v>80</v>
      </c>
      <c r="P1514" t="s">
        <v>7814</v>
      </c>
      <c r="Q1514" t="s">
        <v>90</v>
      </c>
      <c r="R1514" t="s">
        <v>7487</v>
      </c>
      <c r="S1514">
        <v>4.26</v>
      </c>
      <c r="T1514">
        <v>4456</v>
      </c>
      <c r="U1514">
        <v>0</v>
      </c>
      <c r="V1514">
        <v>4456</v>
      </c>
    </row>
    <row r="1515" spans="1:22" x14ac:dyDescent="0.3">
      <c r="A1515">
        <v>186607</v>
      </c>
      <c r="B1515">
        <v>137468335</v>
      </c>
      <c r="C1515" t="s">
        <v>7815</v>
      </c>
      <c r="D1515" t="s">
        <v>7816</v>
      </c>
      <c r="E1515" t="s">
        <v>6545</v>
      </c>
      <c r="F1515" t="s">
        <v>514</v>
      </c>
      <c r="G1515" t="s">
        <v>43</v>
      </c>
      <c r="H1515" t="s">
        <v>44</v>
      </c>
      <c r="I1515" t="s">
        <v>34</v>
      </c>
      <c r="J1515" t="s">
        <v>45</v>
      </c>
      <c r="K1515" t="s">
        <v>41</v>
      </c>
      <c r="L1515" t="s">
        <v>7817</v>
      </c>
      <c r="M1515" t="s">
        <v>7818</v>
      </c>
      <c r="N1515" t="s">
        <v>6547</v>
      </c>
      <c r="O1515" t="s">
        <v>80</v>
      </c>
      <c r="P1515" t="s">
        <v>7819</v>
      </c>
      <c r="Q1515" t="s">
        <v>46</v>
      </c>
      <c r="R1515" t="s">
        <v>7443</v>
      </c>
      <c r="S1515">
        <v>0.5</v>
      </c>
      <c r="T1515">
        <v>3299</v>
      </c>
      <c r="U1515">
        <v>0</v>
      </c>
      <c r="V1515">
        <v>3299</v>
      </c>
    </row>
    <row r="1516" spans="1:22" x14ac:dyDescent="0.3">
      <c r="A1516">
        <v>186607</v>
      </c>
      <c r="B1516">
        <v>137468403</v>
      </c>
      <c r="C1516" t="s">
        <v>7820</v>
      </c>
      <c r="D1516" t="s">
        <v>7821</v>
      </c>
      <c r="E1516" t="s">
        <v>6545</v>
      </c>
      <c r="F1516" t="s">
        <v>514</v>
      </c>
      <c r="G1516" t="s">
        <v>43</v>
      </c>
      <c r="H1516" t="s">
        <v>44</v>
      </c>
      <c r="I1516" t="s">
        <v>34</v>
      </c>
      <c r="J1516" t="s">
        <v>45</v>
      </c>
      <c r="K1516" t="s">
        <v>41</v>
      </c>
      <c r="L1516" t="s">
        <v>7822</v>
      </c>
      <c r="M1516" t="s">
        <v>7823</v>
      </c>
      <c r="N1516" t="s">
        <v>6547</v>
      </c>
      <c r="O1516" t="s">
        <v>80</v>
      </c>
      <c r="P1516" t="s">
        <v>7824</v>
      </c>
      <c r="Q1516" t="s">
        <v>53</v>
      </c>
      <c r="R1516" t="s">
        <v>7443</v>
      </c>
      <c r="S1516">
        <v>0.5</v>
      </c>
      <c r="T1516">
        <v>3449</v>
      </c>
      <c r="U1516">
        <v>0</v>
      </c>
      <c r="V1516">
        <v>3449</v>
      </c>
    </row>
    <row r="1517" spans="1:22" x14ac:dyDescent="0.3">
      <c r="A1517">
        <v>186607</v>
      </c>
      <c r="B1517">
        <v>137033005</v>
      </c>
      <c r="C1517" t="s">
        <v>7825</v>
      </c>
      <c r="D1517" t="s">
        <v>7826</v>
      </c>
      <c r="E1517" t="s">
        <v>6545</v>
      </c>
      <c r="F1517" t="s">
        <v>514</v>
      </c>
      <c r="G1517" t="s">
        <v>43</v>
      </c>
      <c r="H1517" t="s">
        <v>44</v>
      </c>
      <c r="I1517" t="s">
        <v>34</v>
      </c>
      <c r="J1517" t="s">
        <v>45</v>
      </c>
      <c r="K1517" t="s">
        <v>41</v>
      </c>
      <c r="L1517" t="s">
        <v>7827</v>
      </c>
      <c r="M1517" t="s">
        <v>7828</v>
      </c>
      <c r="N1517" t="s">
        <v>6547</v>
      </c>
      <c r="O1517" t="s">
        <v>80</v>
      </c>
      <c r="P1517" t="s">
        <v>7829</v>
      </c>
      <c r="Q1517" t="s">
        <v>166</v>
      </c>
      <c r="R1517" t="s">
        <v>7830</v>
      </c>
      <c r="S1517">
        <v>4.2300000000000004</v>
      </c>
      <c r="T1517">
        <v>8008</v>
      </c>
      <c r="U1517">
        <v>0</v>
      </c>
      <c r="V1517">
        <v>8008</v>
      </c>
    </row>
    <row r="1518" spans="1:22" x14ac:dyDescent="0.3">
      <c r="A1518">
        <v>186607</v>
      </c>
      <c r="B1518">
        <v>137389930</v>
      </c>
      <c r="C1518" t="s">
        <v>7831</v>
      </c>
      <c r="D1518" t="s">
        <v>7832</v>
      </c>
      <c r="E1518" t="s">
        <v>6545</v>
      </c>
      <c r="F1518" t="s">
        <v>514</v>
      </c>
      <c r="G1518" t="s">
        <v>43</v>
      </c>
      <c r="H1518" t="s">
        <v>44</v>
      </c>
      <c r="I1518" t="s">
        <v>34</v>
      </c>
      <c r="J1518" t="s">
        <v>45</v>
      </c>
      <c r="K1518" t="s">
        <v>41</v>
      </c>
      <c r="L1518" t="s">
        <v>278</v>
      </c>
      <c r="M1518" t="s">
        <v>7833</v>
      </c>
      <c r="N1518" t="s">
        <v>6547</v>
      </c>
      <c r="O1518" t="s">
        <v>80</v>
      </c>
      <c r="P1518" t="s">
        <v>7834</v>
      </c>
      <c r="Q1518" t="s">
        <v>118</v>
      </c>
      <c r="R1518" t="s">
        <v>7493</v>
      </c>
      <c r="S1518">
        <v>0.5</v>
      </c>
      <c r="T1518">
        <v>3680</v>
      </c>
      <c r="U1518">
        <v>0</v>
      </c>
      <c r="V1518">
        <v>3680</v>
      </c>
    </row>
    <row r="1519" spans="1:22" x14ac:dyDescent="0.3">
      <c r="A1519">
        <v>186607</v>
      </c>
      <c r="B1519">
        <v>137408916</v>
      </c>
      <c r="C1519" t="s">
        <v>7835</v>
      </c>
      <c r="D1519" t="s">
        <v>7836</v>
      </c>
      <c r="E1519" t="s">
        <v>6545</v>
      </c>
      <c r="F1519" t="s">
        <v>514</v>
      </c>
      <c r="G1519" t="s">
        <v>43</v>
      </c>
      <c r="H1519" t="s">
        <v>44</v>
      </c>
      <c r="I1519" t="s">
        <v>34</v>
      </c>
      <c r="J1519" t="s">
        <v>45</v>
      </c>
      <c r="K1519" t="s">
        <v>41</v>
      </c>
      <c r="L1519" t="s">
        <v>7837</v>
      </c>
      <c r="M1519" t="s">
        <v>7838</v>
      </c>
      <c r="N1519" t="s">
        <v>6547</v>
      </c>
      <c r="O1519" t="s">
        <v>80</v>
      </c>
      <c r="P1519" t="s">
        <v>7839</v>
      </c>
      <c r="Q1519" t="s">
        <v>56</v>
      </c>
      <c r="R1519" t="s">
        <v>7544</v>
      </c>
      <c r="S1519">
        <v>1</v>
      </c>
      <c r="T1519">
        <v>3753</v>
      </c>
      <c r="U1519">
        <v>0</v>
      </c>
      <c r="V1519">
        <v>3753</v>
      </c>
    </row>
    <row r="1520" spans="1:22" x14ac:dyDescent="0.3">
      <c r="A1520">
        <v>186607</v>
      </c>
      <c r="B1520">
        <v>137468407</v>
      </c>
      <c r="C1520" t="s">
        <v>7840</v>
      </c>
      <c r="D1520" t="s">
        <v>7841</v>
      </c>
      <c r="E1520" t="s">
        <v>6545</v>
      </c>
      <c r="F1520" t="s">
        <v>514</v>
      </c>
      <c r="G1520" t="s">
        <v>43</v>
      </c>
      <c r="H1520" t="s">
        <v>44</v>
      </c>
      <c r="I1520" t="s">
        <v>34</v>
      </c>
      <c r="J1520" t="s">
        <v>45</v>
      </c>
      <c r="K1520" t="s">
        <v>41</v>
      </c>
      <c r="L1520" t="s">
        <v>7842</v>
      </c>
      <c r="M1520" t="s">
        <v>7843</v>
      </c>
      <c r="N1520" t="s">
        <v>6547</v>
      </c>
      <c r="O1520" t="s">
        <v>80</v>
      </c>
      <c r="P1520" t="s">
        <v>7844</v>
      </c>
      <c r="Q1520" t="s">
        <v>125</v>
      </c>
      <c r="R1520" t="s">
        <v>7443</v>
      </c>
      <c r="S1520">
        <v>0.5</v>
      </c>
      <c r="T1520">
        <v>3680</v>
      </c>
      <c r="U1520">
        <v>0</v>
      </c>
      <c r="V1520">
        <v>3680</v>
      </c>
    </row>
    <row r="1521" spans="1:22" x14ac:dyDescent="0.3">
      <c r="A1521">
        <v>186607</v>
      </c>
      <c r="B1521">
        <v>137408897</v>
      </c>
      <c r="C1521" t="s">
        <v>7845</v>
      </c>
      <c r="D1521" t="s">
        <v>7846</v>
      </c>
      <c r="E1521" t="s">
        <v>6545</v>
      </c>
      <c r="F1521" t="s">
        <v>514</v>
      </c>
      <c r="G1521" t="s">
        <v>43</v>
      </c>
      <c r="H1521" t="s">
        <v>44</v>
      </c>
      <c r="I1521" t="s">
        <v>34</v>
      </c>
      <c r="J1521" t="s">
        <v>45</v>
      </c>
      <c r="K1521" t="s">
        <v>41</v>
      </c>
      <c r="L1521" t="s">
        <v>7847</v>
      </c>
      <c r="M1521" t="s">
        <v>7848</v>
      </c>
      <c r="N1521" t="s">
        <v>6547</v>
      </c>
      <c r="O1521" t="s">
        <v>80</v>
      </c>
      <c r="P1521" t="s">
        <v>7849</v>
      </c>
      <c r="Q1521" t="s">
        <v>53</v>
      </c>
      <c r="R1521" t="s">
        <v>7544</v>
      </c>
      <c r="S1521">
        <v>0.5</v>
      </c>
      <c r="T1521">
        <v>3449</v>
      </c>
      <c r="U1521">
        <v>0</v>
      </c>
      <c r="V1521">
        <v>3449</v>
      </c>
    </row>
    <row r="1522" spans="1:22" x14ac:dyDescent="0.3">
      <c r="A1522">
        <v>186607</v>
      </c>
      <c r="B1522">
        <v>137468317</v>
      </c>
      <c r="C1522" t="s">
        <v>7850</v>
      </c>
      <c r="D1522" t="s">
        <v>7851</v>
      </c>
      <c r="E1522" t="s">
        <v>6545</v>
      </c>
      <c r="F1522" t="s">
        <v>514</v>
      </c>
      <c r="G1522" t="s">
        <v>43</v>
      </c>
      <c r="H1522" t="s">
        <v>44</v>
      </c>
      <c r="I1522" t="s">
        <v>34</v>
      </c>
      <c r="J1522" t="s">
        <v>45</v>
      </c>
      <c r="K1522" t="s">
        <v>41</v>
      </c>
      <c r="L1522" t="s">
        <v>7852</v>
      </c>
      <c r="M1522" t="s">
        <v>7853</v>
      </c>
      <c r="N1522" t="s">
        <v>6547</v>
      </c>
      <c r="O1522" t="s">
        <v>80</v>
      </c>
      <c r="P1522" t="s">
        <v>7854</v>
      </c>
      <c r="Q1522" t="s">
        <v>79</v>
      </c>
      <c r="R1522" t="s">
        <v>7524</v>
      </c>
      <c r="S1522">
        <v>1</v>
      </c>
      <c r="T1522">
        <v>3366</v>
      </c>
      <c r="U1522">
        <v>0</v>
      </c>
      <c r="V1522">
        <v>3366</v>
      </c>
    </row>
    <row r="1523" spans="1:22" x14ac:dyDescent="0.3">
      <c r="A1523">
        <v>186607</v>
      </c>
      <c r="B1523">
        <v>137408911</v>
      </c>
      <c r="C1523" t="s">
        <v>7855</v>
      </c>
      <c r="D1523" t="s">
        <v>7856</v>
      </c>
      <c r="E1523" t="s">
        <v>6545</v>
      </c>
      <c r="F1523" t="s">
        <v>514</v>
      </c>
      <c r="G1523" t="s">
        <v>43</v>
      </c>
      <c r="H1523" t="s">
        <v>44</v>
      </c>
      <c r="I1523" t="s">
        <v>34</v>
      </c>
      <c r="J1523" t="s">
        <v>45</v>
      </c>
      <c r="K1523" t="s">
        <v>41</v>
      </c>
      <c r="L1523" t="s">
        <v>7857</v>
      </c>
      <c r="M1523" t="s">
        <v>7858</v>
      </c>
      <c r="N1523" t="s">
        <v>6547</v>
      </c>
      <c r="O1523" t="s">
        <v>80</v>
      </c>
      <c r="P1523" t="s">
        <v>7859</v>
      </c>
      <c r="Q1523" t="s">
        <v>118</v>
      </c>
      <c r="R1523" t="s">
        <v>7544</v>
      </c>
      <c r="S1523">
        <v>2.38</v>
      </c>
      <c r="T1523">
        <v>4067</v>
      </c>
      <c r="U1523">
        <v>0</v>
      </c>
      <c r="V1523">
        <v>4067</v>
      </c>
    </row>
    <row r="1524" spans="1:22" x14ac:dyDescent="0.3">
      <c r="A1524">
        <v>186607</v>
      </c>
      <c r="B1524">
        <v>137468374</v>
      </c>
      <c r="C1524" t="s">
        <v>7860</v>
      </c>
      <c r="D1524" t="s">
        <v>7861</v>
      </c>
      <c r="E1524" t="s">
        <v>6545</v>
      </c>
      <c r="F1524" t="s">
        <v>514</v>
      </c>
      <c r="G1524" t="s">
        <v>43</v>
      </c>
      <c r="H1524" t="s">
        <v>44</v>
      </c>
      <c r="I1524" t="s">
        <v>34</v>
      </c>
      <c r="J1524" t="s">
        <v>45</v>
      </c>
      <c r="K1524" t="s">
        <v>41</v>
      </c>
      <c r="L1524" t="s">
        <v>7862</v>
      </c>
      <c r="M1524" t="s">
        <v>7863</v>
      </c>
      <c r="N1524" t="s">
        <v>6547</v>
      </c>
      <c r="O1524" t="s">
        <v>80</v>
      </c>
      <c r="P1524" t="s">
        <v>7864</v>
      </c>
      <c r="Q1524" t="s">
        <v>49</v>
      </c>
      <c r="R1524" t="s">
        <v>7443</v>
      </c>
      <c r="S1524">
        <v>0.5</v>
      </c>
      <c r="T1524">
        <v>3449</v>
      </c>
      <c r="U1524">
        <v>0</v>
      </c>
      <c r="V1524">
        <v>3449</v>
      </c>
    </row>
    <row r="1525" spans="1:22" x14ac:dyDescent="0.3">
      <c r="A1525">
        <v>186607</v>
      </c>
      <c r="B1525">
        <v>137513182</v>
      </c>
      <c r="C1525" t="s">
        <v>7865</v>
      </c>
      <c r="D1525" t="s">
        <v>7866</v>
      </c>
      <c r="E1525" t="s">
        <v>6545</v>
      </c>
      <c r="F1525" t="s">
        <v>514</v>
      </c>
      <c r="G1525" t="s">
        <v>43</v>
      </c>
      <c r="H1525" t="s">
        <v>44</v>
      </c>
      <c r="I1525" t="s">
        <v>34</v>
      </c>
      <c r="J1525" t="s">
        <v>45</v>
      </c>
      <c r="K1525" t="s">
        <v>41</v>
      </c>
      <c r="L1525" t="s">
        <v>7867</v>
      </c>
      <c r="M1525" t="s">
        <v>7868</v>
      </c>
      <c r="N1525" t="s">
        <v>6547</v>
      </c>
      <c r="O1525" t="s">
        <v>80</v>
      </c>
      <c r="P1525" t="s">
        <v>7869</v>
      </c>
      <c r="Q1525" t="s">
        <v>106</v>
      </c>
      <c r="R1525" t="s">
        <v>7749</v>
      </c>
      <c r="S1525">
        <v>0.5</v>
      </c>
      <c r="T1525">
        <v>3794</v>
      </c>
      <c r="U1525">
        <v>0</v>
      </c>
      <c r="V1525">
        <v>3794</v>
      </c>
    </row>
    <row r="1526" spans="1:22" x14ac:dyDescent="0.3">
      <c r="A1526">
        <v>186607</v>
      </c>
      <c r="B1526">
        <v>137513138</v>
      </c>
      <c r="C1526" t="s">
        <v>7870</v>
      </c>
      <c r="D1526" t="s">
        <v>7871</v>
      </c>
      <c r="E1526" t="s">
        <v>6545</v>
      </c>
      <c r="F1526" t="s">
        <v>514</v>
      </c>
      <c r="G1526" t="s">
        <v>43</v>
      </c>
      <c r="H1526" t="s">
        <v>44</v>
      </c>
      <c r="I1526" t="s">
        <v>34</v>
      </c>
      <c r="J1526" t="s">
        <v>45</v>
      </c>
      <c r="K1526" t="s">
        <v>41</v>
      </c>
      <c r="L1526" t="s">
        <v>7872</v>
      </c>
      <c r="M1526" t="s">
        <v>7873</v>
      </c>
      <c r="N1526" t="s">
        <v>6547</v>
      </c>
      <c r="O1526" t="s">
        <v>80</v>
      </c>
      <c r="P1526" t="s">
        <v>7874</v>
      </c>
      <c r="Q1526" t="s">
        <v>200</v>
      </c>
      <c r="R1526" t="s">
        <v>501</v>
      </c>
      <c r="S1526">
        <v>0.5</v>
      </c>
      <c r="T1526">
        <v>7359</v>
      </c>
      <c r="U1526">
        <v>0</v>
      </c>
      <c r="V1526">
        <v>7359</v>
      </c>
    </row>
    <row r="1527" spans="1:22" x14ac:dyDescent="0.3">
      <c r="A1527">
        <v>186607</v>
      </c>
      <c r="B1527">
        <v>137408941</v>
      </c>
      <c r="C1527" t="s">
        <v>7875</v>
      </c>
      <c r="D1527" t="s">
        <v>7876</v>
      </c>
      <c r="E1527" t="s">
        <v>6545</v>
      </c>
      <c r="F1527" t="s">
        <v>514</v>
      </c>
      <c r="G1527" t="s">
        <v>43</v>
      </c>
      <c r="H1527" t="s">
        <v>44</v>
      </c>
      <c r="I1527" t="s">
        <v>34</v>
      </c>
      <c r="J1527" t="s">
        <v>45</v>
      </c>
      <c r="K1527" t="s">
        <v>41</v>
      </c>
      <c r="L1527" t="s">
        <v>7877</v>
      </c>
      <c r="M1527" t="s">
        <v>7878</v>
      </c>
      <c r="N1527" t="s">
        <v>6547</v>
      </c>
      <c r="O1527" t="s">
        <v>80</v>
      </c>
      <c r="P1527" t="s">
        <v>7879</v>
      </c>
      <c r="Q1527" t="s">
        <v>97</v>
      </c>
      <c r="R1527" t="s">
        <v>7544</v>
      </c>
      <c r="S1527">
        <v>0.5</v>
      </c>
      <c r="T1527">
        <v>3680</v>
      </c>
      <c r="U1527">
        <v>0</v>
      </c>
      <c r="V1527">
        <v>3680</v>
      </c>
    </row>
    <row r="1528" spans="1:22" x14ac:dyDescent="0.3">
      <c r="A1528">
        <v>186607</v>
      </c>
      <c r="B1528">
        <v>137468415</v>
      </c>
      <c r="C1528" t="s">
        <v>7880</v>
      </c>
      <c r="D1528" t="s">
        <v>7881</v>
      </c>
      <c r="E1528" t="s">
        <v>6545</v>
      </c>
      <c r="F1528" t="s">
        <v>514</v>
      </c>
      <c r="G1528" t="s">
        <v>43</v>
      </c>
      <c r="H1528" t="s">
        <v>44</v>
      </c>
      <c r="I1528" t="s">
        <v>34</v>
      </c>
      <c r="J1528" t="s">
        <v>45</v>
      </c>
      <c r="K1528" t="s">
        <v>41</v>
      </c>
      <c r="L1528" t="s">
        <v>7882</v>
      </c>
      <c r="M1528" t="s">
        <v>7883</v>
      </c>
      <c r="N1528" t="s">
        <v>6547</v>
      </c>
      <c r="O1528" t="s">
        <v>80</v>
      </c>
      <c r="P1528" t="s">
        <v>7884</v>
      </c>
      <c r="Q1528" t="s">
        <v>196</v>
      </c>
      <c r="R1528" t="s">
        <v>7443</v>
      </c>
      <c r="S1528">
        <v>0.5</v>
      </c>
      <c r="T1528">
        <v>3680</v>
      </c>
      <c r="U1528">
        <v>0</v>
      </c>
      <c r="V1528">
        <v>3680</v>
      </c>
    </row>
    <row r="1529" spans="1:22" x14ac:dyDescent="0.3">
      <c r="A1529">
        <v>186607</v>
      </c>
      <c r="B1529">
        <v>137468413</v>
      </c>
      <c r="C1529" t="s">
        <v>7885</v>
      </c>
      <c r="D1529" t="s">
        <v>7886</v>
      </c>
      <c r="E1529" t="s">
        <v>6545</v>
      </c>
      <c r="F1529" t="s">
        <v>514</v>
      </c>
      <c r="G1529" t="s">
        <v>43</v>
      </c>
      <c r="H1529" t="s">
        <v>44</v>
      </c>
      <c r="I1529" t="s">
        <v>34</v>
      </c>
      <c r="J1529" t="s">
        <v>45</v>
      </c>
      <c r="K1529" t="s">
        <v>41</v>
      </c>
      <c r="L1529" t="s">
        <v>7887</v>
      </c>
      <c r="M1529" t="s">
        <v>7888</v>
      </c>
      <c r="N1529" t="s">
        <v>6547</v>
      </c>
      <c r="O1529" t="s">
        <v>80</v>
      </c>
      <c r="P1529" t="s">
        <v>7889</v>
      </c>
      <c r="Q1529" t="s">
        <v>53</v>
      </c>
      <c r="R1529" t="s">
        <v>7443</v>
      </c>
      <c r="S1529">
        <v>0.5</v>
      </c>
      <c r="T1529">
        <v>3449</v>
      </c>
      <c r="U1529">
        <v>0</v>
      </c>
      <c r="V1529">
        <v>3449</v>
      </c>
    </row>
    <row r="1530" spans="1:22" x14ac:dyDescent="0.3">
      <c r="A1530">
        <v>186607</v>
      </c>
      <c r="B1530">
        <v>137535682</v>
      </c>
      <c r="C1530" t="s">
        <v>7890</v>
      </c>
      <c r="D1530" t="s">
        <v>7891</v>
      </c>
      <c r="E1530" t="s">
        <v>6545</v>
      </c>
      <c r="F1530" t="s">
        <v>514</v>
      </c>
      <c r="G1530" t="s">
        <v>43</v>
      </c>
      <c r="H1530" t="s">
        <v>44</v>
      </c>
      <c r="I1530" t="s">
        <v>34</v>
      </c>
      <c r="J1530" t="s">
        <v>45</v>
      </c>
      <c r="K1530" t="s">
        <v>41</v>
      </c>
      <c r="L1530" t="s">
        <v>7892</v>
      </c>
      <c r="M1530" t="s">
        <v>7893</v>
      </c>
      <c r="N1530" t="s">
        <v>6547</v>
      </c>
      <c r="O1530" t="s">
        <v>80</v>
      </c>
      <c r="P1530" t="s">
        <v>7894</v>
      </c>
      <c r="Q1530" t="s">
        <v>62</v>
      </c>
      <c r="R1530" t="s">
        <v>7635</v>
      </c>
      <c r="S1530">
        <v>3.25</v>
      </c>
      <c r="T1530">
        <v>4585</v>
      </c>
      <c r="U1530">
        <v>0</v>
      </c>
      <c r="V1530">
        <v>4585</v>
      </c>
    </row>
    <row r="1531" spans="1:22" x14ac:dyDescent="0.3">
      <c r="A1531">
        <v>186607</v>
      </c>
      <c r="B1531">
        <v>137408938</v>
      </c>
      <c r="C1531" t="s">
        <v>7895</v>
      </c>
      <c r="D1531" t="s">
        <v>7896</v>
      </c>
      <c r="E1531" t="s">
        <v>6545</v>
      </c>
      <c r="F1531" t="s">
        <v>514</v>
      </c>
      <c r="G1531" t="s">
        <v>43</v>
      </c>
      <c r="H1531" t="s">
        <v>44</v>
      </c>
      <c r="I1531" t="s">
        <v>34</v>
      </c>
      <c r="J1531" t="s">
        <v>45</v>
      </c>
      <c r="K1531" t="s">
        <v>41</v>
      </c>
      <c r="L1531" t="s">
        <v>7897</v>
      </c>
      <c r="M1531" t="s">
        <v>7898</v>
      </c>
      <c r="N1531" t="s">
        <v>6547</v>
      </c>
      <c r="O1531" t="s">
        <v>80</v>
      </c>
      <c r="P1531" t="s">
        <v>7899</v>
      </c>
      <c r="Q1531" t="s">
        <v>75</v>
      </c>
      <c r="R1531" t="s">
        <v>7544</v>
      </c>
      <c r="S1531">
        <v>0.5</v>
      </c>
      <c r="T1531">
        <v>3680</v>
      </c>
      <c r="U1531">
        <v>0</v>
      </c>
      <c r="V1531">
        <v>3680</v>
      </c>
    </row>
    <row r="1532" spans="1:22" x14ac:dyDescent="0.3">
      <c r="A1532">
        <v>186607</v>
      </c>
      <c r="B1532">
        <v>137468324</v>
      </c>
      <c r="C1532" t="s">
        <v>7900</v>
      </c>
      <c r="D1532" t="s">
        <v>7901</v>
      </c>
      <c r="E1532" t="s">
        <v>6545</v>
      </c>
      <c r="F1532" t="s">
        <v>514</v>
      </c>
      <c r="G1532" t="s">
        <v>43</v>
      </c>
      <c r="H1532" t="s">
        <v>44</v>
      </c>
      <c r="I1532" t="s">
        <v>34</v>
      </c>
      <c r="J1532" t="s">
        <v>45</v>
      </c>
      <c r="K1532" t="s">
        <v>41</v>
      </c>
      <c r="L1532" t="s">
        <v>7902</v>
      </c>
      <c r="M1532" t="s">
        <v>7903</v>
      </c>
      <c r="N1532" t="s">
        <v>6547</v>
      </c>
      <c r="O1532" t="s">
        <v>80</v>
      </c>
      <c r="P1532" t="s">
        <v>7904</v>
      </c>
      <c r="Q1532" t="s">
        <v>97</v>
      </c>
      <c r="R1532" t="s">
        <v>7524</v>
      </c>
      <c r="S1532">
        <v>0.5</v>
      </c>
      <c r="T1532">
        <v>3680</v>
      </c>
      <c r="U1532">
        <v>0</v>
      </c>
      <c r="V1532">
        <v>3680</v>
      </c>
    </row>
    <row r="1533" spans="1:22" x14ac:dyDescent="0.3">
      <c r="A1533">
        <v>186607</v>
      </c>
      <c r="B1533">
        <v>137468346</v>
      </c>
      <c r="C1533" t="s">
        <v>7905</v>
      </c>
      <c r="D1533" t="s">
        <v>7906</v>
      </c>
      <c r="E1533" t="s">
        <v>6545</v>
      </c>
      <c r="F1533" t="s">
        <v>514</v>
      </c>
      <c r="G1533" t="s">
        <v>43</v>
      </c>
      <c r="H1533" t="s">
        <v>44</v>
      </c>
      <c r="I1533" t="s">
        <v>34</v>
      </c>
      <c r="J1533" t="s">
        <v>45</v>
      </c>
      <c r="K1533" t="s">
        <v>41</v>
      </c>
      <c r="L1533" t="s">
        <v>7907</v>
      </c>
      <c r="M1533" t="s">
        <v>7908</v>
      </c>
      <c r="N1533" t="s">
        <v>6547</v>
      </c>
      <c r="O1533" t="s">
        <v>80</v>
      </c>
      <c r="P1533" t="s">
        <v>7909</v>
      </c>
      <c r="Q1533" t="s">
        <v>81</v>
      </c>
      <c r="R1533" t="s">
        <v>7443</v>
      </c>
      <c r="S1533">
        <v>0.5</v>
      </c>
      <c r="T1533">
        <v>3299</v>
      </c>
      <c r="U1533">
        <v>0</v>
      </c>
      <c r="V1533">
        <v>3299</v>
      </c>
    </row>
    <row r="1534" spans="1:22" x14ac:dyDescent="0.3">
      <c r="A1534">
        <v>186607</v>
      </c>
      <c r="B1534">
        <v>137513089</v>
      </c>
      <c r="C1534" t="s">
        <v>7910</v>
      </c>
      <c r="D1534" t="s">
        <v>7911</v>
      </c>
      <c r="E1534" t="s">
        <v>6545</v>
      </c>
      <c r="F1534" t="s">
        <v>514</v>
      </c>
      <c r="G1534" t="s">
        <v>43</v>
      </c>
      <c r="H1534" t="s">
        <v>44</v>
      </c>
      <c r="I1534" t="s">
        <v>34</v>
      </c>
      <c r="J1534" t="s">
        <v>45</v>
      </c>
      <c r="K1534" t="s">
        <v>41</v>
      </c>
      <c r="L1534" t="s">
        <v>7912</v>
      </c>
      <c r="M1534" t="s">
        <v>7913</v>
      </c>
      <c r="N1534" t="s">
        <v>6547</v>
      </c>
      <c r="O1534" t="s">
        <v>80</v>
      </c>
      <c r="P1534" t="s">
        <v>7914</v>
      </c>
      <c r="Q1534" t="s">
        <v>61</v>
      </c>
      <c r="R1534" t="s">
        <v>501</v>
      </c>
      <c r="S1534">
        <v>2.0099999999999998</v>
      </c>
      <c r="T1534">
        <v>3366</v>
      </c>
      <c r="U1534">
        <v>0</v>
      </c>
      <c r="V1534">
        <v>3366</v>
      </c>
    </row>
    <row r="1535" spans="1:22" x14ac:dyDescent="0.3">
      <c r="A1535">
        <v>186607</v>
      </c>
      <c r="B1535">
        <v>137389935</v>
      </c>
      <c r="C1535" t="s">
        <v>7915</v>
      </c>
      <c r="D1535" t="s">
        <v>7916</v>
      </c>
      <c r="E1535" t="s">
        <v>6545</v>
      </c>
      <c r="F1535" t="s">
        <v>514</v>
      </c>
      <c r="G1535" t="s">
        <v>43</v>
      </c>
      <c r="H1535" t="s">
        <v>44</v>
      </c>
      <c r="I1535" t="s">
        <v>34</v>
      </c>
      <c r="J1535" t="s">
        <v>45</v>
      </c>
      <c r="K1535" t="s">
        <v>41</v>
      </c>
      <c r="L1535" t="s">
        <v>7917</v>
      </c>
      <c r="M1535" t="s">
        <v>431</v>
      </c>
      <c r="N1535" t="s">
        <v>6547</v>
      </c>
      <c r="O1535" t="s">
        <v>80</v>
      </c>
      <c r="P1535" t="s">
        <v>7918</v>
      </c>
      <c r="Q1535" t="s">
        <v>61</v>
      </c>
      <c r="R1535" t="s">
        <v>7493</v>
      </c>
      <c r="S1535">
        <v>0.5</v>
      </c>
      <c r="T1535">
        <v>3299</v>
      </c>
      <c r="U1535">
        <v>0</v>
      </c>
      <c r="V1535">
        <v>3299</v>
      </c>
    </row>
    <row r="1536" spans="1:22" x14ac:dyDescent="0.3">
      <c r="A1536">
        <v>186607</v>
      </c>
      <c r="B1536">
        <v>137468427</v>
      </c>
      <c r="C1536" t="s">
        <v>7919</v>
      </c>
      <c r="D1536" t="s">
        <v>7920</v>
      </c>
      <c r="E1536" t="s">
        <v>6545</v>
      </c>
      <c r="F1536" t="s">
        <v>514</v>
      </c>
      <c r="G1536" t="s">
        <v>43</v>
      </c>
      <c r="H1536" t="s">
        <v>44</v>
      </c>
      <c r="I1536" t="s">
        <v>34</v>
      </c>
      <c r="J1536" t="s">
        <v>45</v>
      </c>
      <c r="K1536" t="s">
        <v>41</v>
      </c>
      <c r="L1536" t="s">
        <v>7921</v>
      </c>
      <c r="M1536" t="s">
        <v>7922</v>
      </c>
      <c r="N1536" t="s">
        <v>6547</v>
      </c>
      <c r="O1536" t="s">
        <v>80</v>
      </c>
      <c r="P1536" t="s">
        <v>7923</v>
      </c>
      <c r="Q1536" t="s">
        <v>56</v>
      </c>
      <c r="R1536" t="s">
        <v>7443</v>
      </c>
      <c r="S1536">
        <v>1</v>
      </c>
      <c r="T1536">
        <v>3753</v>
      </c>
      <c r="U1536">
        <v>0</v>
      </c>
      <c r="V1536">
        <v>3753</v>
      </c>
    </row>
    <row r="1537" spans="1:22" x14ac:dyDescent="0.3">
      <c r="A1537">
        <v>186607</v>
      </c>
      <c r="B1537">
        <v>137468418</v>
      </c>
      <c r="C1537" t="s">
        <v>7924</v>
      </c>
      <c r="D1537" t="s">
        <v>7925</v>
      </c>
      <c r="E1537" t="s">
        <v>6545</v>
      </c>
      <c r="F1537" t="s">
        <v>514</v>
      </c>
      <c r="G1537" t="s">
        <v>43</v>
      </c>
      <c r="H1537" t="s">
        <v>44</v>
      </c>
      <c r="I1537" t="s">
        <v>34</v>
      </c>
      <c r="J1537" t="s">
        <v>45</v>
      </c>
      <c r="K1537" t="s">
        <v>41</v>
      </c>
      <c r="L1537" t="s">
        <v>7926</v>
      </c>
      <c r="M1537" t="s">
        <v>7927</v>
      </c>
      <c r="N1537" t="s">
        <v>6547</v>
      </c>
      <c r="O1537" t="s">
        <v>80</v>
      </c>
      <c r="P1537" t="s">
        <v>7928</v>
      </c>
      <c r="Q1537" t="s">
        <v>108</v>
      </c>
      <c r="R1537" t="s">
        <v>7443</v>
      </c>
      <c r="S1537">
        <v>0.5</v>
      </c>
      <c r="T1537">
        <v>3299</v>
      </c>
      <c r="U1537">
        <v>0</v>
      </c>
      <c r="V1537">
        <v>3299</v>
      </c>
    </row>
    <row r="1538" spans="1:22" x14ac:dyDescent="0.3">
      <c r="A1538">
        <v>186607</v>
      </c>
      <c r="B1538">
        <v>137468341</v>
      </c>
      <c r="C1538" t="s">
        <v>7929</v>
      </c>
      <c r="D1538" t="s">
        <v>7930</v>
      </c>
      <c r="E1538" t="s">
        <v>6545</v>
      </c>
      <c r="F1538" t="s">
        <v>514</v>
      </c>
      <c r="G1538" t="s">
        <v>43</v>
      </c>
      <c r="H1538" t="s">
        <v>44</v>
      </c>
      <c r="I1538" t="s">
        <v>34</v>
      </c>
      <c r="J1538" t="s">
        <v>45</v>
      </c>
      <c r="K1538" t="s">
        <v>41</v>
      </c>
      <c r="L1538" t="s">
        <v>7931</v>
      </c>
      <c r="M1538" t="s">
        <v>7932</v>
      </c>
      <c r="N1538" t="s">
        <v>6547</v>
      </c>
      <c r="O1538" t="s">
        <v>80</v>
      </c>
      <c r="P1538" t="s">
        <v>7933</v>
      </c>
      <c r="Q1538" t="s">
        <v>97</v>
      </c>
      <c r="R1538" t="s">
        <v>7443</v>
      </c>
      <c r="S1538">
        <v>6.64</v>
      </c>
      <c r="T1538">
        <v>6888</v>
      </c>
      <c r="U1538">
        <v>0</v>
      </c>
      <c r="V1538">
        <v>6888</v>
      </c>
    </row>
    <row r="1539" spans="1:22" x14ac:dyDescent="0.3">
      <c r="A1539">
        <v>186607</v>
      </c>
      <c r="B1539">
        <v>137535698</v>
      </c>
      <c r="C1539" t="s">
        <v>7934</v>
      </c>
      <c r="D1539" t="s">
        <v>7935</v>
      </c>
      <c r="E1539" t="s">
        <v>6545</v>
      </c>
      <c r="F1539" t="s">
        <v>514</v>
      </c>
      <c r="G1539" t="s">
        <v>43</v>
      </c>
      <c r="H1539" t="s">
        <v>44</v>
      </c>
      <c r="I1539" t="s">
        <v>34</v>
      </c>
      <c r="J1539" t="s">
        <v>45</v>
      </c>
      <c r="K1539" t="s">
        <v>41</v>
      </c>
      <c r="L1539" t="s">
        <v>7936</v>
      </c>
      <c r="M1539" t="s">
        <v>7937</v>
      </c>
      <c r="N1539" t="s">
        <v>6547</v>
      </c>
      <c r="O1539" t="s">
        <v>80</v>
      </c>
      <c r="P1539" t="s">
        <v>7938</v>
      </c>
      <c r="Q1539" t="s">
        <v>102</v>
      </c>
      <c r="R1539" t="s">
        <v>7635</v>
      </c>
      <c r="S1539">
        <v>1</v>
      </c>
      <c r="T1539">
        <v>3366</v>
      </c>
      <c r="U1539">
        <v>0</v>
      </c>
      <c r="V1539">
        <v>3366</v>
      </c>
    </row>
    <row r="1540" spans="1:22" x14ac:dyDescent="0.3">
      <c r="A1540">
        <v>186607</v>
      </c>
      <c r="B1540">
        <v>137468328</v>
      </c>
      <c r="C1540" t="s">
        <v>7939</v>
      </c>
      <c r="D1540" t="s">
        <v>7940</v>
      </c>
      <c r="E1540" t="s">
        <v>6545</v>
      </c>
      <c r="F1540" t="s">
        <v>514</v>
      </c>
      <c r="G1540" t="s">
        <v>43</v>
      </c>
      <c r="H1540" t="s">
        <v>44</v>
      </c>
      <c r="I1540" t="s">
        <v>34</v>
      </c>
      <c r="J1540" t="s">
        <v>45</v>
      </c>
      <c r="K1540" t="s">
        <v>41</v>
      </c>
      <c r="L1540" t="s">
        <v>7941</v>
      </c>
      <c r="M1540" t="s">
        <v>7942</v>
      </c>
      <c r="N1540" t="s">
        <v>6547</v>
      </c>
      <c r="O1540" t="s">
        <v>80</v>
      </c>
      <c r="P1540" t="s">
        <v>7943</v>
      </c>
      <c r="Q1540" t="s">
        <v>102</v>
      </c>
      <c r="R1540" t="s">
        <v>7443</v>
      </c>
      <c r="S1540">
        <v>0.5</v>
      </c>
      <c r="T1540">
        <v>3299</v>
      </c>
      <c r="U1540">
        <v>0</v>
      </c>
      <c r="V1540">
        <v>3299</v>
      </c>
    </row>
    <row r="1541" spans="1:22" x14ac:dyDescent="0.3">
      <c r="A1541">
        <v>186607</v>
      </c>
      <c r="B1541">
        <v>137468298</v>
      </c>
      <c r="C1541" t="s">
        <v>7944</v>
      </c>
      <c r="D1541" t="s">
        <v>7945</v>
      </c>
      <c r="E1541" t="s">
        <v>6545</v>
      </c>
      <c r="F1541" t="s">
        <v>514</v>
      </c>
      <c r="G1541" t="s">
        <v>43</v>
      </c>
      <c r="H1541" t="s">
        <v>44</v>
      </c>
      <c r="I1541" t="s">
        <v>34</v>
      </c>
      <c r="J1541" t="s">
        <v>45</v>
      </c>
      <c r="K1541" t="s">
        <v>41</v>
      </c>
      <c r="L1541" t="s">
        <v>7946</v>
      </c>
      <c r="M1541" t="s">
        <v>7947</v>
      </c>
      <c r="N1541" t="s">
        <v>6547</v>
      </c>
      <c r="O1541" t="s">
        <v>80</v>
      </c>
      <c r="P1541" t="s">
        <v>7948</v>
      </c>
      <c r="Q1541" t="s">
        <v>75</v>
      </c>
      <c r="R1541" t="s">
        <v>7524</v>
      </c>
      <c r="S1541">
        <v>1</v>
      </c>
      <c r="T1541">
        <v>3753</v>
      </c>
      <c r="U1541">
        <v>0</v>
      </c>
      <c r="V1541">
        <v>3753</v>
      </c>
    </row>
    <row r="1542" spans="1:22" x14ac:dyDescent="0.3">
      <c r="A1542">
        <v>186607</v>
      </c>
      <c r="B1542">
        <v>137290912</v>
      </c>
      <c r="C1542" t="s">
        <v>7949</v>
      </c>
      <c r="D1542" t="s">
        <v>7950</v>
      </c>
      <c r="E1542" t="s">
        <v>6545</v>
      </c>
      <c r="F1542" t="s">
        <v>514</v>
      </c>
      <c r="G1542" t="s">
        <v>43</v>
      </c>
      <c r="H1542" t="s">
        <v>44</v>
      </c>
      <c r="I1542" t="s">
        <v>34</v>
      </c>
      <c r="J1542" t="s">
        <v>45</v>
      </c>
      <c r="K1542" t="s">
        <v>41</v>
      </c>
      <c r="L1542" t="s">
        <v>7951</v>
      </c>
      <c r="M1542" t="s">
        <v>7952</v>
      </c>
      <c r="N1542" t="s">
        <v>6547</v>
      </c>
      <c r="O1542" t="s">
        <v>80</v>
      </c>
      <c r="P1542" t="s">
        <v>7953</v>
      </c>
      <c r="Q1542" t="s">
        <v>82</v>
      </c>
      <c r="R1542" t="s">
        <v>7954</v>
      </c>
      <c r="S1542">
        <v>0.5</v>
      </c>
      <c r="T1542">
        <v>4067</v>
      </c>
      <c r="U1542">
        <v>0</v>
      </c>
      <c r="V1542">
        <v>4067</v>
      </c>
    </row>
    <row r="1543" spans="1:22" x14ac:dyDescent="0.3">
      <c r="A1543">
        <v>186607</v>
      </c>
      <c r="B1543">
        <v>137290918</v>
      </c>
      <c r="C1543" t="s">
        <v>7955</v>
      </c>
      <c r="D1543" t="s">
        <v>7956</v>
      </c>
      <c r="E1543" t="s">
        <v>6545</v>
      </c>
      <c r="F1543" t="s">
        <v>514</v>
      </c>
      <c r="G1543" t="s">
        <v>43</v>
      </c>
      <c r="H1543" t="s">
        <v>44</v>
      </c>
      <c r="I1543" t="s">
        <v>34</v>
      </c>
      <c r="J1543" t="s">
        <v>45</v>
      </c>
      <c r="K1543" t="s">
        <v>41</v>
      </c>
      <c r="L1543" t="s">
        <v>7957</v>
      </c>
      <c r="M1543" t="s">
        <v>7958</v>
      </c>
      <c r="N1543" t="s">
        <v>6547</v>
      </c>
      <c r="O1543" t="s">
        <v>80</v>
      </c>
      <c r="P1543" t="s">
        <v>7959</v>
      </c>
      <c r="Q1543" t="s">
        <v>50</v>
      </c>
      <c r="R1543" t="s">
        <v>7954</v>
      </c>
      <c r="S1543">
        <v>0.5</v>
      </c>
      <c r="T1543">
        <v>4067</v>
      </c>
      <c r="U1543">
        <v>0</v>
      </c>
      <c r="V1543">
        <v>4067</v>
      </c>
    </row>
    <row r="1544" spans="1:22" x14ac:dyDescent="0.3">
      <c r="A1544">
        <v>186607</v>
      </c>
      <c r="B1544">
        <v>137468312</v>
      </c>
      <c r="C1544" t="s">
        <v>7960</v>
      </c>
      <c r="D1544" t="s">
        <v>7961</v>
      </c>
      <c r="E1544" t="s">
        <v>6545</v>
      </c>
      <c r="F1544" t="s">
        <v>514</v>
      </c>
      <c r="G1544" t="s">
        <v>69</v>
      </c>
      <c r="H1544" t="s">
        <v>70</v>
      </c>
      <c r="I1544" t="s">
        <v>34</v>
      </c>
      <c r="J1544" t="s">
        <v>139</v>
      </c>
      <c r="K1544" t="s">
        <v>41</v>
      </c>
      <c r="L1544" t="s">
        <v>71</v>
      </c>
      <c r="M1544" t="s">
        <v>7962</v>
      </c>
      <c r="N1544" t="s">
        <v>6547</v>
      </c>
      <c r="O1544" t="s">
        <v>80</v>
      </c>
      <c r="P1544" t="s">
        <v>7963</v>
      </c>
      <c r="Q1544" t="s">
        <v>174</v>
      </c>
      <c r="R1544" t="s">
        <v>7524</v>
      </c>
      <c r="S1544">
        <v>1.97</v>
      </c>
      <c r="T1544">
        <v>5766.5</v>
      </c>
      <c r="U1544">
        <v>0</v>
      </c>
      <c r="V1544">
        <v>5766.5</v>
      </c>
    </row>
    <row r="1545" spans="1:22" x14ac:dyDescent="0.3">
      <c r="A1545">
        <v>186607</v>
      </c>
      <c r="B1545">
        <v>137468364</v>
      </c>
      <c r="C1545" t="s">
        <v>7964</v>
      </c>
      <c r="D1545" t="s">
        <v>7965</v>
      </c>
      <c r="E1545" t="s">
        <v>6545</v>
      </c>
      <c r="F1545" t="s">
        <v>514</v>
      </c>
      <c r="G1545" t="s">
        <v>69</v>
      </c>
      <c r="H1545" t="s">
        <v>70</v>
      </c>
      <c r="I1545" t="s">
        <v>34</v>
      </c>
      <c r="J1545" t="s">
        <v>139</v>
      </c>
      <c r="K1545" t="s">
        <v>41</v>
      </c>
      <c r="L1545" t="s">
        <v>71</v>
      </c>
      <c r="M1545" t="s">
        <v>7966</v>
      </c>
      <c r="N1545" t="s">
        <v>6547</v>
      </c>
      <c r="O1545" t="s">
        <v>80</v>
      </c>
      <c r="P1545" t="s">
        <v>7967</v>
      </c>
      <c r="Q1545" t="s">
        <v>110</v>
      </c>
      <c r="R1545" t="s">
        <v>7443</v>
      </c>
      <c r="S1545">
        <v>3.68</v>
      </c>
      <c r="T1545">
        <v>4537</v>
      </c>
      <c r="U1545">
        <v>0</v>
      </c>
      <c r="V1545">
        <v>4537</v>
      </c>
    </row>
    <row r="1546" spans="1:22" x14ac:dyDescent="0.3">
      <c r="A1546">
        <v>186607</v>
      </c>
      <c r="B1546">
        <v>137408912</v>
      </c>
      <c r="C1546" t="s">
        <v>7968</v>
      </c>
      <c r="D1546" t="s">
        <v>7969</v>
      </c>
      <c r="E1546" t="s">
        <v>6545</v>
      </c>
      <c r="F1546" t="s">
        <v>514</v>
      </c>
      <c r="G1546" t="s">
        <v>69</v>
      </c>
      <c r="H1546" t="s">
        <v>70</v>
      </c>
      <c r="I1546" t="s">
        <v>34</v>
      </c>
      <c r="J1546" t="s">
        <v>139</v>
      </c>
      <c r="K1546" t="s">
        <v>41</v>
      </c>
      <c r="L1546" t="s">
        <v>71</v>
      </c>
      <c r="M1546" t="s">
        <v>7970</v>
      </c>
      <c r="N1546" t="s">
        <v>6547</v>
      </c>
      <c r="O1546" t="s">
        <v>80</v>
      </c>
      <c r="P1546" t="s">
        <v>7971</v>
      </c>
      <c r="Q1546" t="s">
        <v>83</v>
      </c>
      <c r="R1546" t="s">
        <v>7544</v>
      </c>
      <c r="S1546">
        <v>4.08</v>
      </c>
      <c r="T1546">
        <v>4537</v>
      </c>
      <c r="U1546">
        <v>0</v>
      </c>
      <c r="V1546">
        <v>4537</v>
      </c>
    </row>
    <row r="1547" spans="1:22" x14ac:dyDescent="0.3">
      <c r="A1547">
        <v>186607</v>
      </c>
      <c r="B1547">
        <v>137032996</v>
      </c>
      <c r="C1547" t="s">
        <v>7972</v>
      </c>
      <c r="D1547" t="s">
        <v>7973</v>
      </c>
      <c r="E1547" t="s">
        <v>6545</v>
      </c>
      <c r="F1547" t="s">
        <v>514</v>
      </c>
      <c r="G1547" t="s">
        <v>43</v>
      </c>
      <c r="H1547" t="s">
        <v>44</v>
      </c>
      <c r="I1547" t="s">
        <v>34</v>
      </c>
      <c r="J1547" t="s">
        <v>45</v>
      </c>
      <c r="K1547" t="s">
        <v>41</v>
      </c>
      <c r="L1547" t="s">
        <v>7974</v>
      </c>
      <c r="M1547" t="s">
        <v>7975</v>
      </c>
      <c r="N1547" t="s">
        <v>6547</v>
      </c>
      <c r="O1547" t="s">
        <v>80</v>
      </c>
      <c r="P1547" t="s">
        <v>7976</v>
      </c>
      <c r="Q1547" t="s">
        <v>68</v>
      </c>
      <c r="R1547" t="s">
        <v>7830</v>
      </c>
      <c r="S1547">
        <v>3.18</v>
      </c>
      <c r="T1547">
        <v>8008</v>
      </c>
      <c r="U1547">
        <v>0</v>
      </c>
      <c r="V1547">
        <v>8008</v>
      </c>
    </row>
    <row r="1548" spans="1:22" x14ac:dyDescent="0.3">
      <c r="A1548">
        <v>186607</v>
      </c>
      <c r="B1548">
        <v>137290881</v>
      </c>
      <c r="C1548" t="s">
        <v>7977</v>
      </c>
      <c r="D1548" t="s">
        <v>7978</v>
      </c>
      <c r="E1548" t="s">
        <v>6545</v>
      </c>
      <c r="F1548" t="s">
        <v>514</v>
      </c>
      <c r="G1548" t="s">
        <v>43</v>
      </c>
      <c r="H1548" t="s">
        <v>44</v>
      </c>
      <c r="I1548" t="s">
        <v>34</v>
      </c>
      <c r="J1548" t="s">
        <v>45</v>
      </c>
      <c r="K1548" t="s">
        <v>41</v>
      </c>
      <c r="L1548" t="s">
        <v>7979</v>
      </c>
      <c r="M1548" t="s">
        <v>7980</v>
      </c>
      <c r="N1548" t="s">
        <v>6547</v>
      </c>
      <c r="O1548" t="s">
        <v>80</v>
      </c>
      <c r="P1548" t="s">
        <v>7981</v>
      </c>
      <c r="Q1548" t="s">
        <v>82</v>
      </c>
      <c r="R1548" t="s">
        <v>7954</v>
      </c>
      <c r="S1548">
        <v>1</v>
      </c>
      <c r="T1548">
        <v>5759</v>
      </c>
      <c r="U1548">
        <v>0</v>
      </c>
      <c r="V1548">
        <v>5759</v>
      </c>
    </row>
    <row r="1549" spans="1:22" x14ac:dyDescent="0.3">
      <c r="A1549">
        <v>186607</v>
      </c>
      <c r="B1549">
        <v>137359243</v>
      </c>
      <c r="C1549" t="s">
        <v>7982</v>
      </c>
      <c r="D1549" t="s">
        <v>7983</v>
      </c>
      <c r="E1549" t="s">
        <v>6545</v>
      </c>
      <c r="F1549" t="s">
        <v>514</v>
      </c>
      <c r="G1549" t="s">
        <v>43</v>
      </c>
      <c r="H1549" t="s">
        <v>44</v>
      </c>
      <c r="I1549" t="s">
        <v>34</v>
      </c>
      <c r="J1549" t="s">
        <v>45</v>
      </c>
      <c r="K1549" t="s">
        <v>95</v>
      </c>
      <c r="L1549" t="s">
        <v>7984</v>
      </c>
      <c r="M1549" t="s">
        <v>7985</v>
      </c>
      <c r="N1549" t="s">
        <v>6547</v>
      </c>
      <c r="O1549" t="s">
        <v>80</v>
      </c>
      <c r="P1549" t="s">
        <v>7986</v>
      </c>
      <c r="Q1549" t="s">
        <v>176</v>
      </c>
      <c r="R1549" t="s">
        <v>507</v>
      </c>
      <c r="S1549">
        <v>1</v>
      </c>
      <c r="T1549">
        <v>4346</v>
      </c>
      <c r="U1549">
        <v>0</v>
      </c>
      <c r="V1549">
        <v>4346</v>
      </c>
    </row>
    <row r="1550" spans="1:22" x14ac:dyDescent="0.3">
      <c r="A1550">
        <v>186607</v>
      </c>
      <c r="B1550">
        <v>136328484</v>
      </c>
      <c r="C1550" t="s">
        <v>7987</v>
      </c>
      <c r="D1550" t="s">
        <v>7988</v>
      </c>
      <c r="E1550" t="s">
        <v>6545</v>
      </c>
      <c r="F1550" t="s">
        <v>514</v>
      </c>
      <c r="G1550" t="s">
        <v>43</v>
      </c>
      <c r="H1550" t="s">
        <v>44</v>
      </c>
      <c r="I1550" t="s">
        <v>34</v>
      </c>
      <c r="J1550" t="s">
        <v>45</v>
      </c>
      <c r="K1550" t="s">
        <v>41</v>
      </c>
      <c r="L1550" t="s">
        <v>7989</v>
      </c>
      <c r="M1550" t="s">
        <v>7990</v>
      </c>
      <c r="N1550" t="s">
        <v>6547</v>
      </c>
      <c r="O1550" t="s">
        <v>80</v>
      </c>
      <c r="P1550" t="s">
        <v>7991</v>
      </c>
      <c r="Q1550" t="s">
        <v>201</v>
      </c>
      <c r="R1550" t="s">
        <v>7992</v>
      </c>
      <c r="S1550">
        <v>1</v>
      </c>
      <c r="T1550">
        <v>5759</v>
      </c>
      <c r="U1550">
        <v>0</v>
      </c>
      <c r="V1550">
        <v>5759</v>
      </c>
    </row>
    <row r="1551" spans="1:22" x14ac:dyDescent="0.3">
      <c r="A1551">
        <v>186607</v>
      </c>
      <c r="B1551">
        <v>137290936</v>
      </c>
      <c r="C1551" t="s">
        <v>7993</v>
      </c>
      <c r="D1551" t="s">
        <v>7994</v>
      </c>
      <c r="E1551" t="s">
        <v>6545</v>
      </c>
      <c r="F1551" t="s">
        <v>514</v>
      </c>
      <c r="G1551" t="s">
        <v>43</v>
      </c>
      <c r="H1551" t="s">
        <v>44</v>
      </c>
      <c r="I1551" t="s">
        <v>34</v>
      </c>
      <c r="J1551" t="s">
        <v>45</v>
      </c>
      <c r="K1551" t="s">
        <v>41</v>
      </c>
      <c r="L1551" t="s">
        <v>7995</v>
      </c>
      <c r="M1551" t="s">
        <v>7996</v>
      </c>
      <c r="N1551" t="s">
        <v>6547</v>
      </c>
      <c r="O1551" t="s">
        <v>80</v>
      </c>
      <c r="P1551" t="s">
        <v>7997</v>
      </c>
      <c r="Q1551" t="s">
        <v>98</v>
      </c>
      <c r="R1551" t="s">
        <v>7954</v>
      </c>
      <c r="S1551">
        <v>1</v>
      </c>
      <c r="T1551">
        <v>5759</v>
      </c>
      <c r="U1551">
        <v>0</v>
      </c>
      <c r="V1551">
        <v>5759</v>
      </c>
    </row>
    <row r="1552" spans="1:22" x14ac:dyDescent="0.3">
      <c r="A1552">
        <v>186607</v>
      </c>
      <c r="B1552">
        <v>137328730</v>
      </c>
      <c r="C1552" t="s">
        <v>7998</v>
      </c>
      <c r="D1552" t="s">
        <v>7999</v>
      </c>
      <c r="E1552" t="s">
        <v>6545</v>
      </c>
      <c r="F1552" t="s">
        <v>514</v>
      </c>
      <c r="G1552" t="s">
        <v>43</v>
      </c>
      <c r="H1552" t="s">
        <v>44</v>
      </c>
      <c r="I1552" t="s">
        <v>34</v>
      </c>
      <c r="J1552" t="s">
        <v>45</v>
      </c>
      <c r="K1552" t="s">
        <v>41</v>
      </c>
      <c r="L1552" t="s">
        <v>8000</v>
      </c>
      <c r="M1552" t="s">
        <v>8001</v>
      </c>
      <c r="N1552" t="s">
        <v>6547</v>
      </c>
      <c r="O1552" t="s">
        <v>80</v>
      </c>
      <c r="P1552" t="s">
        <v>8002</v>
      </c>
      <c r="Q1552" t="s">
        <v>61</v>
      </c>
      <c r="R1552" t="s">
        <v>8003</v>
      </c>
      <c r="S1552">
        <v>0.5</v>
      </c>
      <c r="T1552">
        <v>3299</v>
      </c>
      <c r="U1552">
        <v>0</v>
      </c>
      <c r="V1552">
        <v>3299</v>
      </c>
    </row>
    <row r="1553" spans="1:22" x14ac:dyDescent="0.3">
      <c r="A1553">
        <v>186607</v>
      </c>
      <c r="B1553">
        <v>137290911</v>
      </c>
      <c r="C1553" t="s">
        <v>8004</v>
      </c>
      <c r="D1553" t="s">
        <v>8005</v>
      </c>
      <c r="E1553" t="s">
        <v>6545</v>
      </c>
      <c r="F1553" t="s">
        <v>514</v>
      </c>
      <c r="G1553" t="s">
        <v>43</v>
      </c>
      <c r="H1553" t="s">
        <v>44</v>
      </c>
      <c r="I1553" t="s">
        <v>34</v>
      </c>
      <c r="J1553" t="s">
        <v>45</v>
      </c>
      <c r="K1553" t="s">
        <v>41</v>
      </c>
      <c r="L1553" t="s">
        <v>8006</v>
      </c>
      <c r="M1553" t="s">
        <v>8007</v>
      </c>
      <c r="N1553" t="s">
        <v>6547</v>
      </c>
      <c r="O1553" t="s">
        <v>80</v>
      </c>
      <c r="P1553" t="s">
        <v>8008</v>
      </c>
      <c r="Q1553" t="s">
        <v>133</v>
      </c>
      <c r="R1553" t="s">
        <v>7954</v>
      </c>
      <c r="S1553">
        <v>0.5</v>
      </c>
      <c r="T1553">
        <v>4067</v>
      </c>
      <c r="U1553">
        <v>0</v>
      </c>
      <c r="V1553">
        <v>4067</v>
      </c>
    </row>
    <row r="1554" spans="1:22" x14ac:dyDescent="0.3">
      <c r="A1554">
        <v>186607</v>
      </c>
      <c r="B1554">
        <v>137290919</v>
      </c>
      <c r="C1554" t="s">
        <v>8009</v>
      </c>
      <c r="D1554" t="s">
        <v>8010</v>
      </c>
      <c r="E1554" t="s">
        <v>6545</v>
      </c>
      <c r="F1554" t="s">
        <v>514</v>
      </c>
      <c r="G1554" t="s">
        <v>43</v>
      </c>
      <c r="H1554" t="s">
        <v>44</v>
      </c>
      <c r="I1554" t="s">
        <v>34</v>
      </c>
      <c r="J1554" t="s">
        <v>45</v>
      </c>
      <c r="K1554" t="s">
        <v>41</v>
      </c>
      <c r="L1554" t="s">
        <v>8011</v>
      </c>
      <c r="M1554" t="s">
        <v>8012</v>
      </c>
      <c r="N1554" t="s">
        <v>6547</v>
      </c>
      <c r="O1554" t="s">
        <v>80</v>
      </c>
      <c r="P1554" t="s">
        <v>8013</v>
      </c>
      <c r="Q1554" t="s">
        <v>125</v>
      </c>
      <c r="R1554" t="s">
        <v>7954</v>
      </c>
      <c r="S1554">
        <v>0.5</v>
      </c>
      <c r="T1554">
        <v>3680</v>
      </c>
      <c r="U1554">
        <v>0</v>
      </c>
      <c r="V1554">
        <v>3680</v>
      </c>
    </row>
    <row r="1555" spans="1:22" x14ac:dyDescent="0.3">
      <c r="A1555">
        <v>186607</v>
      </c>
      <c r="B1555">
        <v>137290900</v>
      </c>
      <c r="C1555" t="s">
        <v>8014</v>
      </c>
      <c r="D1555" t="s">
        <v>8015</v>
      </c>
      <c r="E1555" t="s">
        <v>6545</v>
      </c>
      <c r="F1555" t="s">
        <v>514</v>
      </c>
      <c r="G1555" t="s">
        <v>43</v>
      </c>
      <c r="H1555" t="s">
        <v>44</v>
      </c>
      <c r="I1555" t="s">
        <v>34</v>
      </c>
      <c r="J1555" t="s">
        <v>45</v>
      </c>
      <c r="K1555" t="s">
        <v>41</v>
      </c>
      <c r="L1555" t="s">
        <v>8016</v>
      </c>
      <c r="M1555" t="s">
        <v>8017</v>
      </c>
      <c r="N1555" t="s">
        <v>6547</v>
      </c>
      <c r="O1555" t="s">
        <v>80</v>
      </c>
      <c r="P1555" t="s">
        <v>8018</v>
      </c>
      <c r="Q1555" t="s">
        <v>81</v>
      </c>
      <c r="R1555" t="s">
        <v>7954</v>
      </c>
      <c r="S1555">
        <v>1</v>
      </c>
      <c r="T1555">
        <v>3366</v>
      </c>
      <c r="U1555">
        <v>0</v>
      </c>
      <c r="V1555">
        <v>3366</v>
      </c>
    </row>
    <row r="1556" spans="1:22" x14ac:dyDescent="0.3">
      <c r="A1556">
        <v>186607</v>
      </c>
      <c r="B1556">
        <v>137252995</v>
      </c>
      <c r="C1556" t="s">
        <v>8019</v>
      </c>
      <c r="D1556" t="s">
        <v>8020</v>
      </c>
      <c r="E1556" t="s">
        <v>6545</v>
      </c>
      <c r="F1556" t="s">
        <v>514</v>
      </c>
      <c r="G1556" t="s">
        <v>43</v>
      </c>
      <c r="H1556" t="s">
        <v>44</v>
      </c>
      <c r="I1556" t="s">
        <v>34</v>
      </c>
      <c r="J1556" t="s">
        <v>45</v>
      </c>
      <c r="K1556" t="s">
        <v>41</v>
      </c>
      <c r="L1556" t="s">
        <v>8021</v>
      </c>
      <c r="M1556" t="s">
        <v>8022</v>
      </c>
      <c r="N1556" t="s">
        <v>6547</v>
      </c>
      <c r="O1556" t="s">
        <v>80</v>
      </c>
      <c r="P1556" t="s">
        <v>8023</v>
      </c>
      <c r="Q1556" t="s">
        <v>61</v>
      </c>
      <c r="R1556" t="s">
        <v>8024</v>
      </c>
      <c r="S1556">
        <v>0.5</v>
      </c>
      <c r="T1556">
        <v>3299</v>
      </c>
      <c r="U1556">
        <v>0</v>
      </c>
      <c r="V1556">
        <v>3299</v>
      </c>
    </row>
    <row r="1557" spans="1:22" x14ac:dyDescent="0.3">
      <c r="A1557">
        <v>186607</v>
      </c>
      <c r="B1557">
        <v>137252964</v>
      </c>
      <c r="C1557" t="s">
        <v>8025</v>
      </c>
      <c r="D1557" t="s">
        <v>8026</v>
      </c>
      <c r="E1557" t="s">
        <v>6545</v>
      </c>
      <c r="F1557" t="s">
        <v>514</v>
      </c>
      <c r="G1557" t="s">
        <v>43</v>
      </c>
      <c r="H1557" t="s">
        <v>44</v>
      </c>
      <c r="I1557" t="s">
        <v>34</v>
      </c>
      <c r="J1557" t="s">
        <v>45</v>
      </c>
      <c r="K1557" t="s">
        <v>41</v>
      </c>
      <c r="L1557" t="s">
        <v>8027</v>
      </c>
      <c r="M1557" t="s">
        <v>8028</v>
      </c>
      <c r="N1557" t="s">
        <v>6547</v>
      </c>
      <c r="O1557" t="s">
        <v>80</v>
      </c>
      <c r="P1557" t="s">
        <v>8029</v>
      </c>
      <c r="Q1557" t="s">
        <v>61</v>
      </c>
      <c r="R1557" t="s">
        <v>8024</v>
      </c>
      <c r="S1557">
        <v>1.5</v>
      </c>
      <c r="T1557">
        <v>3366</v>
      </c>
      <c r="U1557">
        <v>0</v>
      </c>
      <c r="V1557">
        <v>3366</v>
      </c>
    </row>
    <row r="1558" spans="1:22" x14ac:dyDescent="0.3">
      <c r="A1558">
        <v>186607</v>
      </c>
      <c r="B1558">
        <v>138634955</v>
      </c>
      <c r="C1558" t="s">
        <v>8030</v>
      </c>
      <c r="D1558" t="s">
        <v>8031</v>
      </c>
      <c r="E1558" t="s">
        <v>6545</v>
      </c>
      <c r="F1558" t="s">
        <v>514</v>
      </c>
      <c r="G1558" t="s">
        <v>136</v>
      </c>
      <c r="H1558" t="s">
        <v>137</v>
      </c>
      <c r="I1558" t="s">
        <v>34</v>
      </c>
      <c r="J1558" t="s">
        <v>138</v>
      </c>
      <c r="K1558" t="s">
        <v>41</v>
      </c>
      <c r="L1558" t="s">
        <v>8032</v>
      </c>
      <c r="M1558" t="s">
        <v>8033</v>
      </c>
      <c r="N1558" t="s">
        <v>6547</v>
      </c>
      <c r="O1558" t="s">
        <v>80</v>
      </c>
      <c r="P1558" t="s">
        <v>8034</v>
      </c>
      <c r="Q1558" t="s">
        <v>219</v>
      </c>
      <c r="R1558" t="s">
        <v>8035</v>
      </c>
      <c r="S1558">
        <v>0.8</v>
      </c>
      <c r="T1558">
        <v>6321</v>
      </c>
      <c r="U1558">
        <v>124.95</v>
      </c>
      <c r="V1558">
        <v>6445.95</v>
      </c>
    </row>
    <row r="1559" spans="1:22" x14ac:dyDescent="0.3">
      <c r="A1559">
        <v>186607</v>
      </c>
      <c r="B1559">
        <v>138727552</v>
      </c>
      <c r="C1559" t="s">
        <v>8036</v>
      </c>
      <c r="D1559" t="s">
        <v>8037</v>
      </c>
      <c r="E1559" t="s">
        <v>6545</v>
      </c>
      <c r="F1559" t="s">
        <v>514</v>
      </c>
      <c r="G1559" t="s">
        <v>136</v>
      </c>
      <c r="H1559" t="s">
        <v>137</v>
      </c>
      <c r="I1559" t="s">
        <v>34</v>
      </c>
      <c r="J1559" t="s">
        <v>138</v>
      </c>
      <c r="K1559" t="s">
        <v>41</v>
      </c>
      <c r="L1559" t="s">
        <v>8038</v>
      </c>
      <c r="M1559" t="s">
        <v>8039</v>
      </c>
      <c r="N1559" t="s">
        <v>6547</v>
      </c>
      <c r="O1559" t="s">
        <v>80</v>
      </c>
      <c r="P1559" t="s">
        <v>8040</v>
      </c>
      <c r="Q1559" t="s">
        <v>104</v>
      </c>
      <c r="R1559" t="s">
        <v>8041</v>
      </c>
      <c r="S1559">
        <v>0.81</v>
      </c>
      <c r="T1559">
        <v>4661</v>
      </c>
      <c r="U1559">
        <v>124.95</v>
      </c>
      <c r="V1559">
        <v>4785.95</v>
      </c>
    </row>
    <row r="1560" spans="1:22" x14ac:dyDescent="0.3">
      <c r="A1560">
        <v>186607</v>
      </c>
      <c r="B1560">
        <v>138649282</v>
      </c>
      <c r="C1560" t="s">
        <v>8042</v>
      </c>
      <c r="D1560" t="s">
        <v>8043</v>
      </c>
      <c r="E1560" t="s">
        <v>6545</v>
      </c>
      <c r="F1560" t="s">
        <v>514</v>
      </c>
      <c r="G1560" t="s">
        <v>136</v>
      </c>
      <c r="H1560" t="s">
        <v>137</v>
      </c>
      <c r="I1560" t="s">
        <v>34</v>
      </c>
      <c r="J1560" t="s">
        <v>138</v>
      </c>
      <c r="K1560" t="s">
        <v>41</v>
      </c>
      <c r="L1560" t="s">
        <v>8044</v>
      </c>
      <c r="M1560" t="s">
        <v>8045</v>
      </c>
      <c r="N1560" t="s">
        <v>6547</v>
      </c>
      <c r="O1560" t="s">
        <v>80</v>
      </c>
      <c r="P1560" t="s">
        <v>8046</v>
      </c>
      <c r="Q1560" t="s">
        <v>104</v>
      </c>
      <c r="R1560" t="s">
        <v>8047</v>
      </c>
      <c r="S1560">
        <v>0.8</v>
      </c>
      <c r="T1560">
        <v>4661</v>
      </c>
      <c r="U1560">
        <v>124.95</v>
      </c>
      <c r="V1560">
        <v>4785.95</v>
      </c>
    </row>
    <row r="1561" spans="1:22" x14ac:dyDescent="0.3">
      <c r="A1561">
        <v>186607</v>
      </c>
      <c r="B1561">
        <v>138711055</v>
      </c>
      <c r="C1561" t="s">
        <v>8048</v>
      </c>
      <c r="D1561" t="s">
        <v>8049</v>
      </c>
      <c r="E1561" t="s">
        <v>6545</v>
      </c>
      <c r="F1561" t="s">
        <v>514</v>
      </c>
      <c r="G1561" t="s">
        <v>136</v>
      </c>
      <c r="H1561" t="s">
        <v>137</v>
      </c>
      <c r="I1561" t="s">
        <v>34</v>
      </c>
      <c r="J1561" t="s">
        <v>138</v>
      </c>
      <c r="K1561" t="s">
        <v>41</v>
      </c>
      <c r="L1561" t="s">
        <v>8050</v>
      </c>
      <c r="M1561" t="s">
        <v>8051</v>
      </c>
      <c r="N1561" t="s">
        <v>6547</v>
      </c>
      <c r="O1561" t="s">
        <v>80</v>
      </c>
      <c r="P1561" t="s">
        <v>8052</v>
      </c>
      <c r="Q1561" t="s">
        <v>247</v>
      </c>
      <c r="R1561" t="s">
        <v>441</v>
      </c>
      <c r="S1561">
        <v>2.23</v>
      </c>
      <c r="T1561">
        <v>16842</v>
      </c>
      <c r="U1561">
        <v>374.85</v>
      </c>
      <c r="V1561">
        <v>17216.849999999999</v>
      </c>
    </row>
    <row r="1562" spans="1:22" x14ac:dyDescent="0.3">
      <c r="A1562">
        <v>186607</v>
      </c>
      <c r="B1562">
        <v>138711035</v>
      </c>
      <c r="C1562" t="s">
        <v>8053</v>
      </c>
      <c r="D1562" t="s">
        <v>8054</v>
      </c>
      <c r="E1562" t="s">
        <v>6545</v>
      </c>
      <c r="F1562" t="s">
        <v>514</v>
      </c>
      <c r="G1562" t="s">
        <v>136</v>
      </c>
      <c r="H1562" t="s">
        <v>137</v>
      </c>
      <c r="I1562" t="s">
        <v>34</v>
      </c>
      <c r="J1562" t="s">
        <v>138</v>
      </c>
      <c r="K1562" t="s">
        <v>54</v>
      </c>
      <c r="L1562" t="s">
        <v>258</v>
      </c>
      <c r="M1562" t="s">
        <v>8055</v>
      </c>
      <c r="N1562" t="s">
        <v>6547</v>
      </c>
      <c r="O1562" t="s">
        <v>80</v>
      </c>
      <c r="P1562" t="s">
        <v>8056</v>
      </c>
      <c r="Q1562" t="s">
        <v>167</v>
      </c>
      <c r="R1562" t="s">
        <v>441</v>
      </c>
      <c r="S1562">
        <v>0.8</v>
      </c>
      <c r="T1562">
        <v>5530</v>
      </c>
      <c r="U1562">
        <v>124.95</v>
      </c>
      <c r="V1562">
        <v>5654.95</v>
      </c>
    </row>
    <row r="1563" spans="1:22" x14ac:dyDescent="0.3">
      <c r="A1563">
        <v>186607</v>
      </c>
      <c r="B1563">
        <v>138668954</v>
      </c>
      <c r="C1563" t="s">
        <v>8057</v>
      </c>
      <c r="D1563" t="s">
        <v>8058</v>
      </c>
      <c r="E1563" t="s">
        <v>6545</v>
      </c>
      <c r="F1563" t="s">
        <v>514</v>
      </c>
      <c r="G1563" t="s">
        <v>136</v>
      </c>
      <c r="H1563" t="s">
        <v>137</v>
      </c>
      <c r="I1563" t="s">
        <v>34</v>
      </c>
      <c r="J1563" t="s">
        <v>138</v>
      </c>
      <c r="K1563" t="s">
        <v>41</v>
      </c>
      <c r="L1563" t="s">
        <v>8059</v>
      </c>
      <c r="M1563" t="s">
        <v>8060</v>
      </c>
      <c r="N1563" t="s">
        <v>6547</v>
      </c>
      <c r="O1563" t="s">
        <v>80</v>
      </c>
      <c r="P1563" t="s">
        <v>8061</v>
      </c>
      <c r="Q1563" t="s">
        <v>348</v>
      </c>
      <c r="R1563" t="s">
        <v>8062</v>
      </c>
      <c r="S1563">
        <v>0.77</v>
      </c>
      <c r="T1563">
        <v>11146</v>
      </c>
      <c r="U1563">
        <v>124.95</v>
      </c>
      <c r="V1563">
        <v>11270.95</v>
      </c>
    </row>
    <row r="1564" spans="1:22" x14ac:dyDescent="0.3">
      <c r="A1564">
        <v>186607</v>
      </c>
      <c r="B1564">
        <v>138649275</v>
      </c>
      <c r="C1564" t="s">
        <v>8063</v>
      </c>
      <c r="D1564" t="s">
        <v>8064</v>
      </c>
      <c r="E1564" t="s">
        <v>6545</v>
      </c>
      <c r="F1564" t="s">
        <v>514</v>
      </c>
      <c r="G1564" t="s">
        <v>136</v>
      </c>
      <c r="H1564" t="s">
        <v>137</v>
      </c>
      <c r="I1564" t="s">
        <v>34</v>
      </c>
      <c r="J1564" t="s">
        <v>138</v>
      </c>
      <c r="K1564" t="s">
        <v>260</v>
      </c>
      <c r="L1564" t="s">
        <v>8065</v>
      </c>
      <c r="M1564" t="s">
        <v>8066</v>
      </c>
      <c r="N1564" t="s">
        <v>6547</v>
      </c>
      <c r="O1564" t="s">
        <v>80</v>
      </c>
      <c r="P1564" t="s">
        <v>8067</v>
      </c>
      <c r="Q1564" t="s">
        <v>358</v>
      </c>
      <c r="R1564" t="s">
        <v>8047</v>
      </c>
      <c r="S1564">
        <v>1.7</v>
      </c>
      <c r="T1564">
        <v>18121</v>
      </c>
      <c r="U1564">
        <v>124.95</v>
      </c>
      <c r="V1564">
        <v>18245.95</v>
      </c>
    </row>
    <row r="1565" spans="1:22" x14ac:dyDescent="0.3">
      <c r="A1565">
        <v>186607</v>
      </c>
      <c r="B1565">
        <v>138611172</v>
      </c>
      <c r="C1565" t="s">
        <v>8068</v>
      </c>
      <c r="D1565" t="s">
        <v>8069</v>
      </c>
      <c r="E1565" t="s">
        <v>6545</v>
      </c>
      <c r="F1565" t="s">
        <v>514</v>
      </c>
      <c r="G1565" t="s">
        <v>136</v>
      </c>
      <c r="H1565" t="s">
        <v>137</v>
      </c>
      <c r="I1565" t="s">
        <v>34</v>
      </c>
      <c r="J1565" t="s">
        <v>138</v>
      </c>
      <c r="K1565" t="s">
        <v>41</v>
      </c>
      <c r="L1565" t="s">
        <v>8070</v>
      </c>
      <c r="M1565" t="s">
        <v>8071</v>
      </c>
      <c r="N1565" t="s">
        <v>6547</v>
      </c>
      <c r="O1565" t="s">
        <v>80</v>
      </c>
      <c r="P1565" t="s">
        <v>8072</v>
      </c>
      <c r="Q1565" t="s">
        <v>132</v>
      </c>
      <c r="R1565" t="s">
        <v>8073</v>
      </c>
      <c r="S1565">
        <v>1.51</v>
      </c>
      <c r="T1565">
        <v>8969</v>
      </c>
      <c r="U1565">
        <v>249.9</v>
      </c>
      <c r="V1565">
        <v>9218.9</v>
      </c>
    </row>
    <row r="1566" spans="1:22" x14ac:dyDescent="0.3">
      <c r="A1566">
        <v>186607</v>
      </c>
      <c r="B1566">
        <v>138586882</v>
      </c>
      <c r="C1566" t="s">
        <v>8074</v>
      </c>
      <c r="D1566" t="s">
        <v>8075</v>
      </c>
      <c r="E1566" t="s">
        <v>6545</v>
      </c>
      <c r="F1566" t="s">
        <v>514</v>
      </c>
      <c r="G1566" t="s">
        <v>136</v>
      </c>
      <c r="H1566" t="s">
        <v>137</v>
      </c>
      <c r="I1566" t="s">
        <v>34</v>
      </c>
      <c r="J1566" t="s">
        <v>138</v>
      </c>
      <c r="K1566" t="s">
        <v>41</v>
      </c>
      <c r="L1566" t="s">
        <v>8076</v>
      </c>
      <c r="M1566" t="s">
        <v>8077</v>
      </c>
      <c r="N1566" t="s">
        <v>6547</v>
      </c>
      <c r="O1566" t="s">
        <v>80</v>
      </c>
      <c r="P1566" t="s">
        <v>8078</v>
      </c>
      <c r="Q1566" t="s">
        <v>247</v>
      </c>
      <c r="R1566" t="s">
        <v>384</v>
      </c>
      <c r="S1566">
        <v>1.35</v>
      </c>
      <c r="T1566">
        <v>16842</v>
      </c>
      <c r="U1566">
        <v>249.9</v>
      </c>
      <c r="V1566">
        <v>17091.900000000001</v>
      </c>
    </row>
    <row r="1567" spans="1:22" x14ac:dyDescent="0.3">
      <c r="A1567">
        <v>186607</v>
      </c>
      <c r="B1567">
        <v>138515305</v>
      </c>
      <c r="C1567" t="s">
        <v>8079</v>
      </c>
      <c r="D1567" t="s">
        <v>8080</v>
      </c>
      <c r="E1567" t="s">
        <v>6545</v>
      </c>
      <c r="F1567" t="s">
        <v>514</v>
      </c>
      <c r="G1567" t="s">
        <v>136</v>
      </c>
      <c r="H1567" t="s">
        <v>137</v>
      </c>
      <c r="I1567" t="s">
        <v>34</v>
      </c>
      <c r="J1567" t="s">
        <v>138</v>
      </c>
      <c r="K1567" t="s">
        <v>260</v>
      </c>
      <c r="L1567" t="s">
        <v>8081</v>
      </c>
      <c r="M1567" t="s">
        <v>8082</v>
      </c>
      <c r="N1567" t="s">
        <v>6547</v>
      </c>
      <c r="O1567" t="s">
        <v>80</v>
      </c>
      <c r="P1567" t="s">
        <v>8083</v>
      </c>
      <c r="Q1567" t="s">
        <v>195</v>
      </c>
      <c r="R1567" t="s">
        <v>352</v>
      </c>
      <c r="S1567">
        <v>0.81</v>
      </c>
      <c r="T1567">
        <v>6123</v>
      </c>
      <c r="U1567">
        <v>124.95</v>
      </c>
      <c r="V1567">
        <v>6247.95</v>
      </c>
    </row>
    <row r="1568" spans="1:22" x14ac:dyDescent="0.3">
      <c r="A1568">
        <v>186607</v>
      </c>
      <c r="B1568">
        <v>138538489</v>
      </c>
      <c r="C1568" t="s">
        <v>8084</v>
      </c>
      <c r="D1568" t="s">
        <v>8085</v>
      </c>
      <c r="E1568" t="s">
        <v>6545</v>
      </c>
      <c r="F1568" t="s">
        <v>514</v>
      </c>
      <c r="G1568" t="s">
        <v>136</v>
      </c>
      <c r="H1568" t="s">
        <v>137</v>
      </c>
      <c r="I1568" t="s">
        <v>34</v>
      </c>
      <c r="J1568" t="s">
        <v>138</v>
      </c>
      <c r="K1568" t="s">
        <v>41</v>
      </c>
      <c r="L1568" t="s">
        <v>8086</v>
      </c>
      <c r="M1568" t="s">
        <v>8087</v>
      </c>
      <c r="N1568" t="s">
        <v>6547</v>
      </c>
      <c r="O1568" t="s">
        <v>80</v>
      </c>
      <c r="P1568" t="s">
        <v>8088</v>
      </c>
      <c r="Q1568" t="s">
        <v>104</v>
      </c>
      <c r="R1568" t="s">
        <v>6610</v>
      </c>
      <c r="S1568">
        <v>1.39</v>
      </c>
      <c r="T1568">
        <v>4928</v>
      </c>
      <c r="U1568">
        <v>249.9</v>
      </c>
      <c r="V1568">
        <v>5177.8999999999996</v>
      </c>
    </row>
    <row r="1569" spans="1:22" x14ac:dyDescent="0.3">
      <c r="A1569">
        <v>186607</v>
      </c>
      <c r="B1569">
        <v>138498388</v>
      </c>
      <c r="C1569" t="s">
        <v>8089</v>
      </c>
      <c r="D1569" t="s">
        <v>8090</v>
      </c>
      <c r="E1569" t="s">
        <v>6545</v>
      </c>
      <c r="F1569" t="s">
        <v>514</v>
      </c>
      <c r="G1569" t="s">
        <v>136</v>
      </c>
      <c r="H1569" t="s">
        <v>137</v>
      </c>
      <c r="I1569" t="s">
        <v>34</v>
      </c>
      <c r="J1569" t="s">
        <v>138</v>
      </c>
      <c r="K1569" t="s">
        <v>41</v>
      </c>
      <c r="L1569" t="s">
        <v>8091</v>
      </c>
      <c r="M1569" t="s">
        <v>8092</v>
      </c>
      <c r="N1569" t="s">
        <v>6547</v>
      </c>
      <c r="O1569" t="s">
        <v>80</v>
      </c>
      <c r="P1569" t="s">
        <v>8093</v>
      </c>
      <c r="Q1569" t="s">
        <v>247</v>
      </c>
      <c r="R1569" t="s">
        <v>6599</v>
      </c>
      <c r="S1569">
        <v>0.79</v>
      </c>
      <c r="T1569">
        <v>10589</v>
      </c>
      <c r="U1569">
        <v>124.95</v>
      </c>
      <c r="V1569">
        <v>10713.95</v>
      </c>
    </row>
    <row r="1570" spans="1:22" x14ac:dyDescent="0.3">
      <c r="A1570">
        <v>186607</v>
      </c>
      <c r="B1570">
        <v>138515311</v>
      </c>
      <c r="C1570" t="s">
        <v>8094</v>
      </c>
      <c r="D1570" t="s">
        <v>8095</v>
      </c>
      <c r="E1570" t="s">
        <v>6545</v>
      </c>
      <c r="F1570" t="s">
        <v>514</v>
      </c>
      <c r="G1570" t="s">
        <v>136</v>
      </c>
      <c r="H1570" t="s">
        <v>137</v>
      </c>
      <c r="I1570" t="s">
        <v>34</v>
      </c>
      <c r="J1570" t="s">
        <v>138</v>
      </c>
      <c r="K1570" t="s">
        <v>41</v>
      </c>
      <c r="L1570" t="s">
        <v>8096</v>
      </c>
      <c r="M1570" t="s">
        <v>8097</v>
      </c>
      <c r="N1570" t="s">
        <v>6547</v>
      </c>
      <c r="O1570" t="s">
        <v>80</v>
      </c>
      <c r="P1570" t="s">
        <v>8098</v>
      </c>
      <c r="Q1570" t="s">
        <v>358</v>
      </c>
      <c r="R1570" t="s">
        <v>352</v>
      </c>
      <c r="S1570">
        <v>2.2000000000000002</v>
      </c>
      <c r="T1570">
        <v>18121</v>
      </c>
      <c r="U1570">
        <v>374.85</v>
      </c>
      <c r="V1570">
        <v>18495.849999999999</v>
      </c>
    </row>
    <row r="1571" spans="1:22" x14ac:dyDescent="0.3">
      <c r="A1571">
        <v>186607</v>
      </c>
      <c r="B1571">
        <v>138538493</v>
      </c>
      <c r="C1571" t="s">
        <v>8099</v>
      </c>
      <c r="D1571" t="s">
        <v>8100</v>
      </c>
      <c r="E1571" t="s">
        <v>6545</v>
      </c>
      <c r="F1571" t="s">
        <v>514</v>
      </c>
      <c r="G1571" t="s">
        <v>136</v>
      </c>
      <c r="H1571" t="s">
        <v>137</v>
      </c>
      <c r="I1571" t="s">
        <v>34</v>
      </c>
      <c r="J1571" t="s">
        <v>138</v>
      </c>
      <c r="K1571" t="s">
        <v>41</v>
      </c>
      <c r="L1571" t="s">
        <v>8101</v>
      </c>
      <c r="M1571" t="s">
        <v>8102</v>
      </c>
      <c r="N1571" t="s">
        <v>6547</v>
      </c>
      <c r="O1571" t="s">
        <v>80</v>
      </c>
      <c r="P1571" t="s">
        <v>8103</v>
      </c>
      <c r="Q1571" t="s">
        <v>237</v>
      </c>
      <c r="R1571" t="s">
        <v>6610</v>
      </c>
      <c r="S1571">
        <v>1.35</v>
      </c>
      <c r="T1571">
        <v>7631</v>
      </c>
      <c r="U1571">
        <v>249.9</v>
      </c>
      <c r="V1571">
        <v>7880.9</v>
      </c>
    </row>
    <row r="1572" spans="1:22" x14ac:dyDescent="0.3">
      <c r="A1572">
        <v>186607</v>
      </c>
      <c r="B1572">
        <v>138554576</v>
      </c>
      <c r="C1572" t="s">
        <v>8104</v>
      </c>
      <c r="D1572" t="s">
        <v>8105</v>
      </c>
      <c r="E1572" t="s">
        <v>6545</v>
      </c>
      <c r="F1572" t="s">
        <v>514</v>
      </c>
      <c r="G1572" t="s">
        <v>136</v>
      </c>
      <c r="H1572" t="s">
        <v>137</v>
      </c>
      <c r="I1572" t="s">
        <v>34</v>
      </c>
      <c r="J1572" t="s">
        <v>138</v>
      </c>
      <c r="K1572" t="s">
        <v>41</v>
      </c>
      <c r="L1572" t="s">
        <v>8106</v>
      </c>
      <c r="M1572" t="s">
        <v>8107</v>
      </c>
      <c r="N1572" t="s">
        <v>6547</v>
      </c>
      <c r="O1572" t="s">
        <v>80</v>
      </c>
      <c r="P1572" t="s">
        <v>8108</v>
      </c>
      <c r="Q1572" t="s">
        <v>240</v>
      </c>
      <c r="R1572" t="s">
        <v>362</v>
      </c>
      <c r="S1572">
        <v>1.37</v>
      </c>
      <c r="T1572">
        <v>8403</v>
      </c>
      <c r="U1572">
        <v>249.9</v>
      </c>
      <c r="V1572">
        <v>8652.9</v>
      </c>
    </row>
    <row r="1573" spans="1:22" x14ac:dyDescent="0.3">
      <c r="A1573">
        <v>186607</v>
      </c>
      <c r="B1573">
        <v>138373743</v>
      </c>
      <c r="C1573" t="s">
        <v>8109</v>
      </c>
      <c r="D1573" t="s">
        <v>8110</v>
      </c>
      <c r="E1573" t="s">
        <v>6545</v>
      </c>
      <c r="F1573" t="s">
        <v>514</v>
      </c>
      <c r="G1573" t="s">
        <v>136</v>
      </c>
      <c r="H1573" t="s">
        <v>137</v>
      </c>
      <c r="I1573" t="s">
        <v>34</v>
      </c>
      <c r="J1573" t="s">
        <v>138</v>
      </c>
      <c r="K1573" t="s">
        <v>41</v>
      </c>
      <c r="L1573" t="s">
        <v>8111</v>
      </c>
      <c r="M1573" t="s">
        <v>8112</v>
      </c>
      <c r="N1573" t="s">
        <v>6547</v>
      </c>
      <c r="O1573" t="s">
        <v>80</v>
      </c>
      <c r="P1573" t="s">
        <v>8113</v>
      </c>
      <c r="Q1573" t="s">
        <v>105</v>
      </c>
      <c r="R1573" t="s">
        <v>493</v>
      </c>
      <c r="S1573">
        <v>0.64</v>
      </c>
      <c r="T1573">
        <v>3885</v>
      </c>
      <c r="U1573">
        <v>124.95</v>
      </c>
      <c r="V1573">
        <v>4009.95</v>
      </c>
    </row>
    <row r="1574" spans="1:22" x14ac:dyDescent="0.3">
      <c r="A1574">
        <v>186607</v>
      </c>
      <c r="B1574">
        <v>138431776</v>
      </c>
      <c r="C1574" t="s">
        <v>8114</v>
      </c>
      <c r="D1574" t="s">
        <v>8115</v>
      </c>
      <c r="E1574" t="s">
        <v>6545</v>
      </c>
      <c r="F1574" t="s">
        <v>514</v>
      </c>
      <c r="G1574" t="s">
        <v>136</v>
      </c>
      <c r="H1574" t="s">
        <v>137</v>
      </c>
      <c r="I1574" t="s">
        <v>34</v>
      </c>
      <c r="J1574" t="s">
        <v>138</v>
      </c>
      <c r="K1574" t="s">
        <v>41</v>
      </c>
      <c r="L1574" t="s">
        <v>8116</v>
      </c>
      <c r="M1574" t="s">
        <v>8117</v>
      </c>
      <c r="N1574" t="s">
        <v>6547</v>
      </c>
      <c r="O1574" t="s">
        <v>80</v>
      </c>
      <c r="P1574" t="s">
        <v>8118</v>
      </c>
      <c r="Q1574" t="s">
        <v>105</v>
      </c>
      <c r="R1574" t="s">
        <v>316</v>
      </c>
      <c r="S1574">
        <v>1.34</v>
      </c>
      <c r="T1574">
        <v>4108</v>
      </c>
      <c r="U1574">
        <v>249.9</v>
      </c>
      <c r="V1574">
        <v>4357.8999999999996</v>
      </c>
    </row>
    <row r="1575" spans="1:22" x14ac:dyDescent="0.3">
      <c r="A1575">
        <v>186607</v>
      </c>
      <c r="B1575">
        <v>138411082</v>
      </c>
      <c r="C1575" t="s">
        <v>8119</v>
      </c>
      <c r="D1575" t="s">
        <v>8120</v>
      </c>
      <c r="E1575" t="s">
        <v>6545</v>
      </c>
      <c r="F1575" t="s">
        <v>514</v>
      </c>
      <c r="G1575" t="s">
        <v>136</v>
      </c>
      <c r="H1575" t="s">
        <v>137</v>
      </c>
      <c r="I1575" t="s">
        <v>34</v>
      </c>
      <c r="J1575" t="s">
        <v>138</v>
      </c>
      <c r="K1575" t="s">
        <v>41</v>
      </c>
      <c r="L1575" t="s">
        <v>8121</v>
      </c>
      <c r="M1575" t="s">
        <v>8122</v>
      </c>
      <c r="N1575" t="s">
        <v>6547</v>
      </c>
      <c r="O1575" t="s">
        <v>80</v>
      </c>
      <c r="P1575" t="s">
        <v>8123</v>
      </c>
      <c r="Q1575" t="s">
        <v>104</v>
      </c>
      <c r="R1575" t="s">
        <v>6661</v>
      </c>
      <c r="S1575">
        <v>1.35</v>
      </c>
      <c r="T1575">
        <v>4928</v>
      </c>
      <c r="U1575">
        <v>249.9</v>
      </c>
      <c r="V1575">
        <v>5177.8999999999996</v>
      </c>
    </row>
    <row r="1576" spans="1:22" x14ac:dyDescent="0.3">
      <c r="A1576">
        <v>186607</v>
      </c>
      <c r="B1576">
        <v>138373726</v>
      </c>
      <c r="C1576" t="s">
        <v>8124</v>
      </c>
      <c r="D1576" t="s">
        <v>8125</v>
      </c>
      <c r="E1576" t="s">
        <v>6545</v>
      </c>
      <c r="F1576" t="s">
        <v>514</v>
      </c>
      <c r="G1576" t="s">
        <v>136</v>
      </c>
      <c r="H1576" t="s">
        <v>137</v>
      </c>
      <c r="I1576" t="s">
        <v>34</v>
      </c>
      <c r="J1576" t="s">
        <v>138</v>
      </c>
      <c r="K1576" t="s">
        <v>41</v>
      </c>
      <c r="L1576" t="s">
        <v>8126</v>
      </c>
      <c r="M1576" t="s">
        <v>8127</v>
      </c>
      <c r="N1576" t="s">
        <v>6547</v>
      </c>
      <c r="O1576" t="s">
        <v>80</v>
      </c>
      <c r="P1576" t="s">
        <v>8128</v>
      </c>
      <c r="Q1576" t="s">
        <v>167</v>
      </c>
      <c r="R1576" t="s">
        <v>493</v>
      </c>
      <c r="S1576">
        <v>0.65</v>
      </c>
      <c r="T1576">
        <v>5530</v>
      </c>
      <c r="U1576">
        <v>124.95</v>
      </c>
      <c r="V1576">
        <v>5654.95</v>
      </c>
    </row>
    <row r="1577" spans="1:22" x14ac:dyDescent="0.3">
      <c r="A1577">
        <v>186607</v>
      </c>
      <c r="B1577">
        <v>137934018</v>
      </c>
      <c r="C1577" t="s">
        <v>8129</v>
      </c>
      <c r="D1577" t="s">
        <v>8130</v>
      </c>
      <c r="E1577" t="s">
        <v>6545</v>
      </c>
      <c r="F1577" t="s">
        <v>514</v>
      </c>
      <c r="G1577" t="s">
        <v>136</v>
      </c>
      <c r="H1577" t="s">
        <v>137</v>
      </c>
      <c r="I1577" t="s">
        <v>34</v>
      </c>
      <c r="J1577" t="s">
        <v>138</v>
      </c>
      <c r="K1577" t="s">
        <v>41</v>
      </c>
      <c r="L1577" t="s">
        <v>8131</v>
      </c>
      <c r="M1577" t="s">
        <v>8132</v>
      </c>
      <c r="N1577" t="s">
        <v>6547</v>
      </c>
      <c r="O1577" t="s">
        <v>80</v>
      </c>
      <c r="P1577" t="s">
        <v>8133</v>
      </c>
      <c r="Q1577" t="s">
        <v>182</v>
      </c>
      <c r="R1577" t="s">
        <v>6939</v>
      </c>
      <c r="S1577">
        <v>0.75</v>
      </c>
      <c r="T1577">
        <v>10477</v>
      </c>
      <c r="U1577">
        <v>124.95</v>
      </c>
      <c r="V1577">
        <v>10601.95</v>
      </c>
    </row>
    <row r="1578" spans="1:22" x14ac:dyDescent="0.3">
      <c r="A1578">
        <v>186607</v>
      </c>
      <c r="B1578">
        <v>137910152</v>
      </c>
      <c r="C1578" t="s">
        <v>8134</v>
      </c>
      <c r="D1578" t="s">
        <v>8135</v>
      </c>
      <c r="E1578" t="s">
        <v>6545</v>
      </c>
      <c r="F1578" t="s">
        <v>514</v>
      </c>
      <c r="G1578" t="s">
        <v>136</v>
      </c>
      <c r="H1578" t="s">
        <v>137</v>
      </c>
      <c r="I1578" t="s">
        <v>34</v>
      </c>
      <c r="J1578" t="s">
        <v>138</v>
      </c>
      <c r="K1578" t="s">
        <v>41</v>
      </c>
      <c r="L1578" t="s">
        <v>8136</v>
      </c>
      <c r="M1578" t="s">
        <v>8137</v>
      </c>
      <c r="N1578" t="s">
        <v>6547</v>
      </c>
      <c r="O1578" t="s">
        <v>80</v>
      </c>
      <c r="P1578" t="s">
        <v>8138</v>
      </c>
      <c r="Q1578" t="s">
        <v>247</v>
      </c>
      <c r="R1578" t="s">
        <v>7049</v>
      </c>
      <c r="S1578">
        <v>0.76</v>
      </c>
      <c r="T1578">
        <v>10234</v>
      </c>
      <c r="U1578">
        <v>124.95</v>
      </c>
      <c r="V1578">
        <v>10358.950000000001</v>
      </c>
    </row>
    <row r="1579" spans="1:22" x14ac:dyDescent="0.3">
      <c r="A1579">
        <v>186607</v>
      </c>
      <c r="B1579">
        <v>137963660</v>
      </c>
      <c r="C1579" t="s">
        <v>8139</v>
      </c>
      <c r="D1579" t="s">
        <v>8140</v>
      </c>
      <c r="E1579" t="s">
        <v>6545</v>
      </c>
      <c r="F1579" t="s">
        <v>514</v>
      </c>
      <c r="G1579" t="s">
        <v>136</v>
      </c>
      <c r="H1579" t="s">
        <v>137</v>
      </c>
      <c r="I1579" t="s">
        <v>34</v>
      </c>
      <c r="J1579" t="s">
        <v>138</v>
      </c>
      <c r="K1579" t="s">
        <v>41</v>
      </c>
      <c r="L1579" t="s">
        <v>8141</v>
      </c>
      <c r="M1579" t="s">
        <v>8142</v>
      </c>
      <c r="N1579" t="s">
        <v>6547</v>
      </c>
      <c r="O1579" t="s">
        <v>80</v>
      </c>
      <c r="P1579" t="s">
        <v>8143</v>
      </c>
      <c r="Q1579" t="s">
        <v>167</v>
      </c>
      <c r="R1579" t="s">
        <v>323</v>
      </c>
      <c r="S1579">
        <v>0.83</v>
      </c>
      <c r="T1579">
        <v>5530</v>
      </c>
      <c r="U1579">
        <v>124.95</v>
      </c>
      <c r="V1579">
        <v>5654.95</v>
      </c>
    </row>
    <row r="1580" spans="1:22" x14ac:dyDescent="0.3">
      <c r="A1580">
        <v>186607</v>
      </c>
      <c r="B1580">
        <v>137910135</v>
      </c>
      <c r="C1580" t="s">
        <v>8144</v>
      </c>
      <c r="D1580" t="s">
        <v>8145</v>
      </c>
      <c r="E1580" t="s">
        <v>6545</v>
      </c>
      <c r="F1580" t="s">
        <v>514</v>
      </c>
      <c r="G1580" t="s">
        <v>136</v>
      </c>
      <c r="H1580" t="s">
        <v>137</v>
      </c>
      <c r="I1580" t="s">
        <v>34</v>
      </c>
      <c r="J1580" t="s">
        <v>138</v>
      </c>
      <c r="K1580" t="s">
        <v>41</v>
      </c>
      <c r="L1580" t="s">
        <v>8146</v>
      </c>
      <c r="M1580" t="s">
        <v>8147</v>
      </c>
      <c r="N1580" t="s">
        <v>6547</v>
      </c>
      <c r="O1580" t="s">
        <v>80</v>
      </c>
      <c r="P1580" t="s">
        <v>8148</v>
      </c>
      <c r="Q1580" t="s">
        <v>132</v>
      </c>
      <c r="R1580" t="s">
        <v>7049</v>
      </c>
      <c r="S1580">
        <v>0.82</v>
      </c>
      <c r="T1580">
        <v>6859</v>
      </c>
      <c r="U1580">
        <v>124.95</v>
      </c>
      <c r="V1580">
        <v>6983.95</v>
      </c>
    </row>
    <row r="1581" spans="1:22" x14ac:dyDescent="0.3">
      <c r="A1581">
        <v>186607</v>
      </c>
      <c r="B1581">
        <v>138383389</v>
      </c>
      <c r="C1581" t="s">
        <v>8149</v>
      </c>
      <c r="D1581" t="s">
        <v>8150</v>
      </c>
      <c r="E1581" t="s">
        <v>6545</v>
      </c>
      <c r="F1581" t="s">
        <v>514</v>
      </c>
      <c r="G1581" t="s">
        <v>69</v>
      </c>
      <c r="H1581" t="s">
        <v>70</v>
      </c>
      <c r="I1581" t="s">
        <v>34</v>
      </c>
      <c r="J1581" t="s">
        <v>139</v>
      </c>
      <c r="K1581" t="s">
        <v>41</v>
      </c>
      <c r="L1581" t="s">
        <v>71</v>
      </c>
      <c r="M1581" t="s">
        <v>344</v>
      </c>
      <c r="N1581" t="s">
        <v>6547</v>
      </c>
      <c r="O1581" t="s">
        <v>80</v>
      </c>
      <c r="P1581" t="s">
        <v>8151</v>
      </c>
      <c r="Q1581" t="s">
        <v>214</v>
      </c>
      <c r="R1581" t="s">
        <v>6705</v>
      </c>
      <c r="S1581">
        <v>2.2999999999999998</v>
      </c>
      <c r="T1581">
        <v>7296</v>
      </c>
      <c r="U1581">
        <v>0</v>
      </c>
      <c r="V1581">
        <v>7296</v>
      </c>
    </row>
    <row r="1582" spans="1:22" x14ac:dyDescent="0.3">
      <c r="A1582">
        <v>186607</v>
      </c>
      <c r="B1582">
        <v>138383409</v>
      </c>
      <c r="C1582" t="s">
        <v>8152</v>
      </c>
      <c r="D1582" t="s">
        <v>8153</v>
      </c>
      <c r="E1582" t="s">
        <v>6545</v>
      </c>
      <c r="F1582" t="s">
        <v>514</v>
      </c>
      <c r="G1582" t="s">
        <v>69</v>
      </c>
      <c r="H1582" t="s">
        <v>70</v>
      </c>
      <c r="I1582" t="s">
        <v>34</v>
      </c>
      <c r="J1582" t="s">
        <v>139</v>
      </c>
      <c r="K1582" t="s">
        <v>41</v>
      </c>
      <c r="L1582" t="s">
        <v>71</v>
      </c>
      <c r="M1582" t="s">
        <v>8154</v>
      </c>
      <c r="N1582" t="s">
        <v>6547</v>
      </c>
      <c r="O1582" t="s">
        <v>80</v>
      </c>
      <c r="P1582" t="s">
        <v>8155</v>
      </c>
      <c r="Q1582" t="s">
        <v>149</v>
      </c>
      <c r="R1582" t="s">
        <v>6705</v>
      </c>
      <c r="S1582">
        <v>2.71</v>
      </c>
      <c r="T1582">
        <v>8425</v>
      </c>
      <c r="U1582">
        <v>0</v>
      </c>
      <c r="V1582">
        <v>8425</v>
      </c>
    </row>
    <row r="1583" spans="1:22" x14ac:dyDescent="0.3">
      <c r="A1583">
        <v>186607</v>
      </c>
      <c r="B1583">
        <v>138383386</v>
      </c>
      <c r="C1583" t="s">
        <v>8156</v>
      </c>
      <c r="D1583" t="s">
        <v>8157</v>
      </c>
      <c r="E1583" t="s">
        <v>6545</v>
      </c>
      <c r="F1583" t="s">
        <v>514</v>
      </c>
      <c r="G1583" t="s">
        <v>69</v>
      </c>
      <c r="H1583" t="s">
        <v>70</v>
      </c>
      <c r="I1583" t="s">
        <v>34</v>
      </c>
      <c r="J1583" t="s">
        <v>139</v>
      </c>
      <c r="K1583" t="s">
        <v>41</v>
      </c>
      <c r="L1583" t="s">
        <v>71</v>
      </c>
      <c r="M1583" t="s">
        <v>8158</v>
      </c>
      <c r="N1583" t="s">
        <v>6547</v>
      </c>
      <c r="O1583" t="s">
        <v>80</v>
      </c>
      <c r="P1583" t="s">
        <v>8159</v>
      </c>
      <c r="Q1583" t="s">
        <v>51</v>
      </c>
      <c r="R1583" t="s">
        <v>6705</v>
      </c>
      <c r="S1583">
        <v>3.83</v>
      </c>
      <c r="T1583">
        <v>7589</v>
      </c>
      <c r="U1583">
        <v>0</v>
      </c>
      <c r="V1583">
        <v>7589</v>
      </c>
    </row>
    <row r="1584" spans="1:22" x14ac:dyDescent="0.3">
      <c r="A1584">
        <v>186607</v>
      </c>
      <c r="B1584">
        <v>138411088</v>
      </c>
      <c r="C1584" t="s">
        <v>8160</v>
      </c>
      <c r="D1584" t="s">
        <v>8161</v>
      </c>
      <c r="E1584" t="s">
        <v>6545</v>
      </c>
      <c r="F1584" t="s">
        <v>514</v>
      </c>
      <c r="G1584" t="s">
        <v>69</v>
      </c>
      <c r="H1584" t="s">
        <v>70</v>
      </c>
      <c r="I1584" t="s">
        <v>34</v>
      </c>
      <c r="J1584" t="s">
        <v>139</v>
      </c>
      <c r="K1584" t="s">
        <v>41</v>
      </c>
      <c r="L1584" t="s">
        <v>71</v>
      </c>
      <c r="M1584" t="s">
        <v>8162</v>
      </c>
      <c r="N1584" t="s">
        <v>6547</v>
      </c>
      <c r="O1584" t="s">
        <v>80</v>
      </c>
      <c r="P1584" t="s">
        <v>8163</v>
      </c>
      <c r="Q1584" t="s">
        <v>83</v>
      </c>
      <c r="R1584" t="s">
        <v>6661</v>
      </c>
      <c r="S1584">
        <v>7.29</v>
      </c>
      <c r="T1584">
        <v>5465</v>
      </c>
      <c r="U1584">
        <v>0</v>
      </c>
      <c r="V1584">
        <v>5465</v>
      </c>
    </row>
    <row r="1585" spans="1:22" x14ac:dyDescent="0.3">
      <c r="A1585">
        <v>186607</v>
      </c>
      <c r="B1585">
        <v>138411079</v>
      </c>
      <c r="C1585" t="s">
        <v>8164</v>
      </c>
      <c r="D1585" t="s">
        <v>8165</v>
      </c>
      <c r="E1585" t="s">
        <v>6545</v>
      </c>
      <c r="F1585" t="s">
        <v>514</v>
      </c>
      <c r="G1585" t="s">
        <v>69</v>
      </c>
      <c r="H1585" t="s">
        <v>70</v>
      </c>
      <c r="I1585" t="s">
        <v>34</v>
      </c>
      <c r="J1585" t="s">
        <v>139</v>
      </c>
      <c r="K1585" t="s">
        <v>41</v>
      </c>
      <c r="L1585" t="s">
        <v>71</v>
      </c>
      <c r="M1585" t="s">
        <v>8166</v>
      </c>
      <c r="N1585" t="s">
        <v>6547</v>
      </c>
      <c r="O1585" t="s">
        <v>80</v>
      </c>
      <c r="P1585" t="s">
        <v>8167</v>
      </c>
      <c r="Q1585" t="s">
        <v>83</v>
      </c>
      <c r="R1585" t="s">
        <v>6661</v>
      </c>
      <c r="S1585">
        <v>2.34</v>
      </c>
      <c r="T1585">
        <v>4335</v>
      </c>
      <c r="U1585">
        <v>0</v>
      </c>
      <c r="V1585">
        <v>4335</v>
      </c>
    </row>
    <row r="1586" spans="1:22" x14ac:dyDescent="0.3">
      <c r="A1586">
        <v>186607</v>
      </c>
      <c r="B1586">
        <v>138411091</v>
      </c>
      <c r="C1586" t="s">
        <v>8168</v>
      </c>
      <c r="D1586" t="s">
        <v>8169</v>
      </c>
      <c r="E1586" t="s">
        <v>6545</v>
      </c>
      <c r="F1586" t="s">
        <v>514</v>
      </c>
      <c r="G1586" t="s">
        <v>69</v>
      </c>
      <c r="H1586" t="s">
        <v>70</v>
      </c>
      <c r="I1586" t="s">
        <v>34</v>
      </c>
      <c r="J1586" t="s">
        <v>139</v>
      </c>
      <c r="K1586" t="s">
        <v>41</v>
      </c>
      <c r="L1586" t="s">
        <v>71</v>
      </c>
      <c r="M1586" t="s">
        <v>8170</v>
      </c>
      <c r="N1586" t="s">
        <v>6547</v>
      </c>
      <c r="O1586" t="s">
        <v>80</v>
      </c>
      <c r="P1586" t="s">
        <v>8171</v>
      </c>
      <c r="Q1586" t="s">
        <v>126</v>
      </c>
      <c r="R1586" t="s">
        <v>6661</v>
      </c>
      <c r="S1586">
        <v>3.9</v>
      </c>
      <c r="T1586">
        <v>7414</v>
      </c>
      <c r="U1586">
        <v>0</v>
      </c>
      <c r="V1586">
        <v>7414</v>
      </c>
    </row>
    <row r="1587" spans="1:22" x14ac:dyDescent="0.3">
      <c r="A1587">
        <v>186607</v>
      </c>
      <c r="B1587">
        <v>138411099</v>
      </c>
      <c r="C1587" t="s">
        <v>8172</v>
      </c>
      <c r="D1587" t="s">
        <v>8173</v>
      </c>
      <c r="E1587" t="s">
        <v>6545</v>
      </c>
      <c r="F1587" t="s">
        <v>514</v>
      </c>
      <c r="G1587" t="s">
        <v>69</v>
      </c>
      <c r="H1587" t="s">
        <v>70</v>
      </c>
      <c r="I1587" t="s">
        <v>34</v>
      </c>
      <c r="J1587" t="s">
        <v>139</v>
      </c>
      <c r="K1587" t="s">
        <v>41</v>
      </c>
      <c r="L1587" t="s">
        <v>71</v>
      </c>
      <c r="M1587" t="s">
        <v>8174</v>
      </c>
      <c r="N1587" t="s">
        <v>6547</v>
      </c>
      <c r="O1587" t="s">
        <v>80</v>
      </c>
      <c r="P1587" t="s">
        <v>8175</v>
      </c>
      <c r="Q1587" t="s">
        <v>207</v>
      </c>
      <c r="R1587" t="s">
        <v>6661</v>
      </c>
      <c r="S1587">
        <v>2.21</v>
      </c>
      <c r="T1587">
        <v>7296</v>
      </c>
      <c r="U1587">
        <v>0</v>
      </c>
      <c r="V1587">
        <v>7296</v>
      </c>
    </row>
    <row r="1588" spans="1:22" x14ac:dyDescent="0.3">
      <c r="A1588">
        <v>186607</v>
      </c>
      <c r="B1588">
        <v>138475682</v>
      </c>
      <c r="C1588" t="s">
        <v>8176</v>
      </c>
      <c r="D1588" t="s">
        <v>8177</v>
      </c>
      <c r="E1588" t="s">
        <v>6545</v>
      </c>
      <c r="F1588" t="s">
        <v>514</v>
      </c>
      <c r="G1588" t="s">
        <v>69</v>
      </c>
      <c r="H1588" t="s">
        <v>70</v>
      </c>
      <c r="I1588" t="s">
        <v>34</v>
      </c>
      <c r="J1588" t="s">
        <v>139</v>
      </c>
      <c r="K1588" t="s">
        <v>41</v>
      </c>
      <c r="L1588" t="s">
        <v>71</v>
      </c>
      <c r="M1588" t="s">
        <v>8178</v>
      </c>
      <c r="N1588" t="s">
        <v>6547</v>
      </c>
      <c r="O1588" t="s">
        <v>80</v>
      </c>
      <c r="P1588" t="s">
        <v>8179</v>
      </c>
      <c r="Q1588" t="s">
        <v>83</v>
      </c>
      <c r="R1588" t="s">
        <v>411</v>
      </c>
      <c r="S1588">
        <v>3.31</v>
      </c>
      <c r="T1588">
        <v>4718</v>
      </c>
      <c r="U1588">
        <v>0</v>
      </c>
      <c r="V1588">
        <v>4718</v>
      </c>
    </row>
    <row r="1589" spans="1:22" x14ac:dyDescent="0.3">
      <c r="A1589">
        <v>186607</v>
      </c>
      <c r="B1589">
        <v>138338257</v>
      </c>
      <c r="C1589" t="s">
        <v>8180</v>
      </c>
      <c r="D1589" t="s">
        <v>8181</v>
      </c>
      <c r="E1589" t="s">
        <v>6545</v>
      </c>
      <c r="F1589" t="s">
        <v>514</v>
      </c>
      <c r="G1589" t="s">
        <v>69</v>
      </c>
      <c r="H1589" t="s">
        <v>70</v>
      </c>
      <c r="I1589" t="s">
        <v>34</v>
      </c>
      <c r="J1589" t="s">
        <v>139</v>
      </c>
      <c r="K1589" t="s">
        <v>41</v>
      </c>
      <c r="L1589" t="s">
        <v>71</v>
      </c>
      <c r="M1589" t="s">
        <v>8182</v>
      </c>
      <c r="N1589" t="s">
        <v>6547</v>
      </c>
      <c r="O1589" t="s">
        <v>80</v>
      </c>
      <c r="P1589" t="s">
        <v>8183</v>
      </c>
      <c r="Q1589" t="s">
        <v>113</v>
      </c>
      <c r="R1589" t="s">
        <v>6921</v>
      </c>
      <c r="S1589">
        <v>5.38</v>
      </c>
      <c r="T1589">
        <v>7747</v>
      </c>
      <c r="U1589">
        <v>0</v>
      </c>
      <c r="V1589">
        <v>7747</v>
      </c>
    </row>
    <row r="1590" spans="1:22" x14ac:dyDescent="0.3">
      <c r="A1590">
        <v>186607</v>
      </c>
      <c r="B1590">
        <v>138133231</v>
      </c>
      <c r="C1590" t="s">
        <v>8184</v>
      </c>
      <c r="D1590" t="s">
        <v>8185</v>
      </c>
      <c r="E1590" t="s">
        <v>6545</v>
      </c>
      <c r="F1590" t="s">
        <v>514</v>
      </c>
      <c r="G1590" t="s">
        <v>69</v>
      </c>
      <c r="H1590" t="s">
        <v>70</v>
      </c>
      <c r="I1590" t="s">
        <v>34</v>
      </c>
      <c r="J1590" t="s">
        <v>139</v>
      </c>
      <c r="K1590" t="s">
        <v>41</v>
      </c>
      <c r="L1590" t="s">
        <v>71</v>
      </c>
      <c r="M1590" t="s">
        <v>8186</v>
      </c>
      <c r="N1590" t="s">
        <v>6547</v>
      </c>
      <c r="O1590" t="s">
        <v>80</v>
      </c>
      <c r="P1590" t="s">
        <v>8187</v>
      </c>
      <c r="Q1590" t="s">
        <v>236</v>
      </c>
      <c r="R1590" t="s">
        <v>489</v>
      </c>
      <c r="S1590">
        <v>4.67</v>
      </c>
      <c r="T1590">
        <v>7513</v>
      </c>
      <c r="U1590">
        <v>0</v>
      </c>
      <c r="V1590">
        <v>7513</v>
      </c>
    </row>
    <row r="1591" spans="1:22" x14ac:dyDescent="0.3">
      <c r="A1591">
        <v>186607</v>
      </c>
      <c r="B1591">
        <v>137983180</v>
      </c>
      <c r="C1591" t="s">
        <v>8188</v>
      </c>
      <c r="D1591" t="s">
        <v>8189</v>
      </c>
      <c r="E1591" t="s">
        <v>6545</v>
      </c>
      <c r="F1591" t="s">
        <v>514</v>
      </c>
      <c r="G1591" t="s">
        <v>69</v>
      </c>
      <c r="H1591" t="s">
        <v>70</v>
      </c>
      <c r="I1591" t="s">
        <v>34</v>
      </c>
      <c r="J1591" t="s">
        <v>139</v>
      </c>
      <c r="K1591" t="s">
        <v>41</v>
      </c>
      <c r="L1591" t="s">
        <v>71</v>
      </c>
      <c r="M1591" t="s">
        <v>8190</v>
      </c>
      <c r="N1591" t="s">
        <v>6547</v>
      </c>
      <c r="O1591" t="s">
        <v>80</v>
      </c>
      <c r="P1591" t="s">
        <v>8191</v>
      </c>
      <c r="Q1591" t="s">
        <v>185</v>
      </c>
      <c r="R1591" t="s">
        <v>7143</v>
      </c>
      <c r="S1591">
        <v>11.19</v>
      </c>
      <c r="T1591">
        <v>11761</v>
      </c>
      <c r="U1591">
        <v>0</v>
      </c>
      <c r="V1591">
        <v>11761</v>
      </c>
    </row>
    <row r="1592" spans="1:22" x14ac:dyDescent="0.3">
      <c r="A1592">
        <v>186607</v>
      </c>
      <c r="B1592">
        <v>138070940</v>
      </c>
      <c r="C1592" t="s">
        <v>8192</v>
      </c>
      <c r="D1592" t="s">
        <v>8193</v>
      </c>
      <c r="E1592" t="s">
        <v>6545</v>
      </c>
      <c r="F1592" t="s">
        <v>514</v>
      </c>
      <c r="G1592" t="s">
        <v>69</v>
      </c>
      <c r="H1592" t="s">
        <v>70</v>
      </c>
      <c r="I1592" t="s">
        <v>34</v>
      </c>
      <c r="J1592" t="s">
        <v>139</v>
      </c>
      <c r="K1592" t="s">
        <v>41</v>
      </c>
      <c r="L1592" t="s">
        <v>71</v>
      </c>
      <c r="M1592" t="s">
        <v>8194</v>
      </c>
      <c r="N1592" t="s">
        <v>6547</v>
      </c>
      <c r="O1592" t="s">
        <v>80</v>
      </c>
      <c r="P1592" t="s">
        <v>8195</v>
      </c>
      <c r="Q1592" t="s">
        <v>83</v>
      </c>
      <c r="R1592" t="s">
        <v>402</v>
      </c>
      <c r="S1592">
        <v>4.54</v>
      </c>
      <c r="T1592">
        <v>4718</v>
      </c>
      <c r="U1592">
        <v>0</v>
      </c>
      <c r="V1592">
        <v>4718</v>
      </c>
    </row>
    <row r="1593" spans="1:22" x14ac:dyDescent="0.3">
      <c r="A1593">
        <v>186607</v>
      </c>
      <c r="B1593">
        <v>137910137</v>
      </c>
      <c r="C1593" t="s">
        <v>8196</v>
      </c>
      <c r="D1593" t="s">
        <v>8197</v>
      </c>
      <c r="E1593" t="s">
        <v>6545</v>
      </c>
      <c r="F1593" t="s">
        <v>514</v>
      </c>
      <c r="G1593" t="s">
        <v>69</v>
      </c>
      <c r="H1593" t="s">
        <v>70</v>
      </c>
      <c r="I1593" t="s">
        <v>34</v>
      </c>
      <c r="J1593" t="s">
        <v>139</v>
      </c>
      <c r="K1593" t="s">
        <v>41</v>
      </c>
      <c r="L1593" t="s">
        <v>71</v>
      </c>
      <c r="M1593" t="s">
        <v>8198</v>
      </c>
      <c r="N1593" t="s">
        <v>6547</v>
      </c>
      <c r="O1593" t="s">
        <v>80</v>
      </c>
      <c r="P1593" t="s">
        <v>8199</v>
      </c>
      <c r="Q1593" t="s">
        <v>192</v>
      </c>
      <c r="R1593" t="s">
        <v>7049</v>
      </c>
      <c r="S1593">
        <v>2.5</v>
      </c>
      <c r="T1593">
        <v>7619</v>
      </c>
      <c r="U1593">
        <v>0</v>
      </c>
      <c r="V1593">
        <v>7619</v>
      </c>
    </row>
    <row r="1594" spans="1:22" x14ac:dyDescent="0.3">
      <c r="A1594">
        <v>186607</v>
      </c>
      <c r="B1594">
        <v>138009073</v>
      </c>
      <c r="C1594" t="s">
        <v>8200</v>
      </c>
      <c r="D1594" t="s">
        <v>8201</v>
      </c>
      <c r="E1594" t="s">
        <v>6545</v>
      </c>
      <c r="F1594" t="s">
        <v>514</v>
      </c>
      <c r="G1594" t="s">
        <v>69</v>
      </c>
      <c r="H1594" t="s">
        <v>70</v>
      </c>
      <c r="I1594" t="s">
        <v>34</v>
      </c>
      <c r="J1594" t="s">
        <v>139</v>
      </c>
      <c r="K1594" t="s">
        <v>41</v>
      </c>
      <c r="L1594" t="s">
        <v>71</v>
      </c>
      <c r="M1594" t="s">
        <v>8202</v>
      </c>
      <c r="N1594" t="s">
        <v>6547</v>
      </c>
      <c r="O1594" t="s">
        <v>80</v>
      </c>
      <c r="P1594" t="s">
        <v>8203</v>
      </c>
      <c r="Q1594" t="s">
        <v>185</v>
      </c>
      <c r="R1594" t="s">
        <v>7055</v>
      </c>
      <c r="S1594">
        <v>4.8099999999999996</v>
      </c>
      <c r="T1594">
        <v>7747</v>
      </c>
      <c r="U1594">
        <v>0</v>
      </c>
      <c r="V1594">
        <v>7747</v>
      </c>
    </row>
    <row r="1595" spans="1:22" x14ac:dyDescent="0.3">
      <c r="A1595">
        <v>186607</v>
      </c>
      <c r="B1595">
        <v>138028466</v>
      </c>
      <c r="C1595" t="s">
        <v>8204</v>
      </c>
      <c r="D1595" t="s">
        <v>8205</v>
      </c>
      <c r="E1595" t="s">
        <v>6545</v>
      </c>
      <c r="F1595" t="s">
        <v>514</v>
      </c>
      <c r="G1595" t="s">
        <v>69</v>
      </c>
      <c r="H1595" t="s">
        <v>70</v>
      </c>
      <c r="I1595" t="s">
        <v>34</v>
      </c>
      <c r="J1595" t="s">
        <v>139</v>
      </c>
      <c r="K1595" t="s">
        <v>41</v>
      </c>
      <c r="L1595" t="s">
        <v>71</v>
      </c>
      <c r="M1595" t="s">
        <v>8206</v>
      </c>
      <c r="N1595" t="s">
        <v>6547</v>
      </c>
      <c r="O1595" t="s">
        <v>80</v>
      </c>
      <c r="P1595" t="s">
        <v>8207</v>
      </c>
      <c r="Q1595" t="s">
        <v>109</v>
      </c>
      <c r="R1595" t="s">
        <v>274</v>
      </c>
      <c r="S1595">
        <v>3.99</v>
      </c>
      <c r="T1595">
        <v>8261</v>
      </c>
      <c r="U1595">
        <v>0</v>
      </c>
      <c r="V1595">
        <v>8261</v>
      </c>
    </row>
    <row r="1596" spans="1:22" x14ac:dyDescent="0.3">
      <c r="A1596">
        <v>186607</v>
      </c>
      <c r="B1596">
        <v>138051806</v>
      </c>
      <c r="C1596" t="s">
        <v>8208</v>
      </c>
      <c r="D1596" t="s">
        <v>8209</v>
      </c>
      <c r="E1596" t="s">
        <v>6545</v>
      </c>
      <c r="F1596" t="s">
        <v>514</v>
      </c>
      <c r="G1596" t="s">
        <v>69</v>
      </c>
      <c r="H1596" t="s">
        <v>70</v>
      </c>
      <c r="I1596" t="s">
        <v>34</v>
      </c>
      <c r="J1596" t="s">
        <v>139</v>
      </c>
      <c r="K1596" t="s">
        <v>41</v>
      </c>
      <c r="L1596" t="s">
        <v>71</v>
      </c>
      <c r="M1596" t="s">
        <v>8210</v>
      </c>
      <c r="N1596" t="s">
        <v>6547</v>
      </c>
      <c r="O1596" t="s">
        <v>80</v>
      </c>
      <c r="P1596" t="s">
        <v>8211</v>
      </c>
      <c r="Q1596" t="s">
        <v>142</v>
      </c>
      <c r="R1596" t="s">
        <v>6999</v>
      </c>
      <c r="S1596">
        <v>3.34</v>
      </c>
      <c r="T1596">
        <v>4718</v>
      </c>
      <c r="U1596">
        <v>0</v>
      </c>
      <c r="V1596">
        <v>4718</v>
      </c>
    </row>
    <row r="1597" spans="1:22" x14ac:dyDescent="0.3">
      <c r="A1597">
        <v>186607</v>
      </c>
      <c r="B1597">
        <v>137837425</v>
      </c>
      <c r="C1597" t="s">
        <v>8212</v>
      </c>
      <c r="D1597" t="s">
        <v>8213</v>
      </c>
      <c r="E1597" t="s">
        <v>6545</v>
      </c>
      <c r="F1597" t="s">
        <v>514</v>
      </c>
      <c r="G1597" t="s">
        <v>69</v>
      </c>
      <c r="H1597" t="s">
        <v>70</v>
      </c>
      <c r="I1597" t="s">
        <v>34</v>
      </c>
      <c r="J1597" t="s">
        <v>139</v>
      </c>
      <c r="K1597" t="s">
        <v>41</v>
      </c>
      <c r="L1597" t="s">
        <v>71</v>
      </c>
      <c r="M1597" t="s">
        <v>8214</v>
      </c>
      <c r="N1597" t="s">
        <v>6547</v>
      </c>
      <c r="O1597" t="s">
        <v>80</v>
      </c>
      <c r="P1597" t="s">
        <v>8215</v>
      </c>
      <c r="Q1597" t="s">
        <v>77</v>
      </c>
      <c r="R1597" t="s">
        <v>7137</v>
      </c>
      <c r="S1597">
        <v>2.04</v>
      </c>
      <c r="T1597">
        <v>4335</v>
      </c>
      <c r="U1597">
        <v>0</v>
      </c>
      <c r="V1597">
        <v>4335</v>
      </c>
    </row>
    <row r="1598" spans="1:22" x14ac:dyDescent="0.3">
      <c r="A1598">
        <v>186607</v>
      </c>
      <c r="B1598">
        <v>138028482</v>
      </c>
      <c r="C1598" t="s">
        <v>8216</v>
      </c>
      <c r="D1598" t="s">
        <v>8217</v>
      </c>
      <c r="E1598" t="s">
        <v>6545</v>
      </c>
      <c r="F1598" t="s">
        <v>514</v>
      </c>
      <c r="G1598" t="s">
        <v>69</v>
      </c>
      <c r="H1598" t="s">
        <v>70</v>
      </c>
      <c r="I1598" t="s">
        <v>34</v>
      </c>
      <c r="J1598" t="s">
        <v>139</v>
      </c>
      <c r="K1598" t="s">
        <v>41</v>
      </c>
      <c r="L1598" t="s">
        <v>71</v>
      </c>
      <c r="M1598" t="s">
        <v>8218</v>
      </c>
      <c r="N1598" t="s">
        <v>6547</v>
      </c>
      <c r="O1598" t="s">
        <v>80</v>
      </c>
      <c r="P1598" t="s">
        <v>8219</v>
      </c>
      <c r="Q1598" t="s">
        <v>239</v>
      </c>
      <c r="R1598" t="s">
        <v>274</v>
      </c>
      <c r="S1598">
        <v>6.24</v>
      </c>
      <c r="T1598">
        <v>9041</v>
      </c>
      <c r="U1598">
        <v>0</v>
      </c>
      <c r="V1598">
        <v>9041</v>
      </c>
    </row>
    <row r="1599" spans="1:22" x14ac:dyDescent="0.3">
      <c r="A1599">
        <v>186607</v>
      </c>
      <c r="B1599">
        <v>137910123</v>
      </c>
      <c r="C1599" t="s">
        <v>8220</v>
      </c>
      <c r="D1599" t="s">
        <v>8221</v>
      </c>
      <c r="E1599" t="s">
        <v>6545</v>
      </c>
      <c r="F1599" t="s">
        <v>514</v>
      </c>
      <c r="G1599" t="s">
        <v>69</v>
      </c>
      <c r="H1599" t="s">
        <v>70</v>
      </c>
      <c r="I1599" t="s">
        <v>34</v>
      </c>
      <c r="J1599" t="s">
        <v>139</v>
      </c>
      <c r="K1599" t="s">
        <v>41</v>
      </c>
      <c r="L1599" t="s">
        <v>71</v>
      </c>
      <c r="M1599" t="s">
        <v>8222</v>
      </c>
      <c r="N1599" t="s">
        <v>6547</v>
      </c>
      <c r="O1599" t="s">
        <v>80</v>
      </c>
      <c r="P1599" t="s">
        <v>8223</v>
      </c>
      <c r="Q1599" t="s">
        <v>83</v>
      </c>
      <c r="R1599" t="s">
        <v>7049</v>
      </c>
      <c r="S1599">
        <v>3.1</v>
      </c>
      <c r="T1599">
        <v>4718</v>
      </c>
      <c r="U1599">
        <v>0</v>
      </c>
      <c r="V1599">
        <v>4718</v>
      </c>
    </row>
    <row r="1600" spans="1:22" x14ac:dyDescent="0.3">
      <c r="A1600">
        <v>186607</v>
      </c>
      <c r="B1600">
        <v>137870472</v>
      </c>
      <c r="C1600" t="s">
        <v>8224</v>
      </c>
      <c r="D1600" t="s">
        <v>8225</v>
      </c>
      <c r="E1600" t="s">
        <v>6545</v>
      </c>
      <c r="F1600" t="s">
        <v>514</v>
      </c>
      <c r="G1600" t="s">
        <v>69</v>
      </c>
      <c r="H1600" t="s">
        <v>70</v>
      </c>
      <c r="I1600" t="s">
        <v>34</v>
      </c>
      <c r="J1600" t="s">
        <v>139</v>
      </c>
      <c r="K1600" t="s">
        <v>41</v>
      </c>
      <c r="L1600" t="s">
        <v>71</v>
      </c>
      <c r="M1600" t="s">
        <v>8226</v>
      </c>
      <c r="N1600" t="s">
        <v>6547</v>
      </c>
      <c r="O1600" t="s">
        <v>80</v>
      </c>
      <c r="P1600" t="s">
        <v>8227</v>
      </c>
      <c r="Q1600" t="s">
        <v>245</v>
      </c>
      <c r="R1600" t="s">
        <v>444</v>
      </c>
      <c r="S1600">
        <v>2.5299999999999998</v>
      </c>
      <c r="T1600">
        <v>7296</v>
      </c>
      <c r="U1600">
        <v>0</v>
      </c>
      <c r="V1600">
        <v>7296</v>
      </c>
    </row>
    <row r="1601" spans="1:22" x14ac:dyDescent="0.3">
      <c r="A1601">
        <v>186607</v>
      </c>
      <c r="B1601">
        <v>137910128</v>
      </c>
      <c r="C1601" t="s">
        <v>8228</v>
      </c>
      <c r="D1601" t="s">
        <v>8229</v>
      </c>
      <c r="E1601" t="s">
        <v>6545</v>
      </c>
      <c r="F1601" t="s">
        <v>514</v>
      </c>
      <c r="G1601" t="s">
        <v>69</v>
      </c>
      <c r="H1601" t="s">
        <v>70</v>
      </c>
      <c r="I1601" t="s">
        <v>34</v>
      </c>
      <c r="J1601" t="s">
        <v>139</v>
      </c>
      <c r="K1601" t="s">
        <v>41</v>
      </c>
      <c r="L1601" t="s">
        <v>71</v>
      </c>
      <c r="M1601" t="s">
        <v>8230</v>
      </c>
      <c r="N1601" t="s">
        <v>6547</v>
      </c>
      <c r="O1601" t="s">
        <v>80</v>
      </c>
      <c r="P1601" t="s">
        <v>8231</v>
      </c>
      <c r="Q1601" t="s">
        <v>174</v>
      </c>
      <c r="R1601" t="s">
        <v>7049</v>
      </c>
      <c r="S1601">
        <v>2.4300000000000002</v>
      </c>
      <c r="T1601">
        <v>4335</v>
      </c>
      <c r="U1601">
        <v>0</v>
      </c>
      <c r="V1601">
        <v>4335</v>
      </c>
    </row>
    <row r="1602" spans="1:22" x14ac:dyDescent="0.3">
      <c r="A1602">
        <v>186607</v>
      </c>
      <c r="B1602">
        <v>137616666</v>
      </c>
      <c r="C1602" t="s">
        <v>8232</v>
      </c>
      <c r="D1602" t="s">
        <v>8233</v>
      </c>
      <c r="E1602" t="s">
        <v>6545</v>
      </c>
      <c r="F1602" t="s">
        <v>514</v>
      </c>
      <c r="G1602" t="s">
        <v>69</v>
      </c>
      <c r="H1602" t="s">
        <v>70</v>
      </c>
      <c r="I1602" t="s">
        <v>34</v>
      </c>
      <c r="J1602" t="s">
        <v>139</v>
      </c>
      <c r="K1602" t="s">
        <v>41</v>
      </c>
      <c r="L1602" t="s">
        <v>71</v>
      </c>
      <c r="M1602" t="s">
        <v>8234</v>
      </c>
      <c r="N1602" t="s">
        <v>6547</v>
      </c>
      <c r="O1602" t="s">
        <v>80</v>
      </c>
      <c r="P1602" t="s">
        <v>8235</v>
      </c>
      <c r="Q1602" t="s">
        <v>83</v>
      </c>
      <c r="R1602" t="s">
        <v>6945</v>
      </c>
      <c r="S1602">
        <v>3.46</v>
      </c>
      <c r="T1602">
        <v>4537</v>
      </c>
      <c r="U1602">
        <v>0</v>
      </c>
      <c r="V1602">
        <v>4537</v>
      </c>
    </row>
    <row r="1603" spans="1:22" x14ac:dyDescent="0.3">
      <c r="A1603">
        <v>186607</v>
      </c>
      <c r="B1603">
        <v>137757120</v>
      </c>
      <c r="C1603" t="s">
        <v>8236</v>
      </c>
      <c r="D1603" t="s">
        <v>8237</v>
      </c>
      <c r="E1603" t="s">
        <v>6545</v>
      </c>
      <c r="F1603" t="s">
        <v>514</v>
      </c>
      <c r="G1603" t="s">
        <v>69</v>
      </c>
      <c r="H1603" t="s">
        <v>70</v>
      </c>
      <c r="I1603" t="s">
        <v>34</v>
      </c>
      <c r="J1603" t="s">
        <v>139</v>
      </c>
      <c r="K1603" t="s">
        <v>41</v>
      </c>
      <c r="L1603" t="s">
        <v>71</v>
      </c>
      <c r="M1603" t="s">
        <v>8238</v>
      </c>
      <c r="N1603" t="s">
        <v>6547</v>
      </c>
      <c r="O1603" t="s">
        <v>80</v>
      </c>
      <c r="P1603" t="s">
        <v>8239</v>
      </c>
      <c r="Q1603" t="s">
        <v>126</v>
      </c>
      <c r="R1603" t="s">
        <v>7414</v>
      </c>
      <c r="S1603">
        <v>3.79</v>
      </c>
      <c r="T1603">
        <v>7414</v>
      </c>
      <c r="U1603">
        <v>0</v>
      </c>
      <c r="V1603">
        <v>7414</v>
      </c>
    </row>
    <row r="1604" spans="1:22" x14ac:dyDescent="0.3">
      <c r="A1604">
        <v>186607</v>
      </c>
      <c r="B1604">
        <v>137616668</v>
      </c>
      <c r="C1604" t="s">
        <v>8240</v>
      </c>
      <c r="D1604" t="s">
        <v>8241</v>
      </c>
      <c r="E1604" t="s">
        <v>6545</v>
      </c>
      <c r="F1604" t="s">
        <v>514</v>
      </c>
      <c r="G1604" t="s">
        <v>69</v>
      </c>
      <c r="H1604" t="s">
        <v>70</v>
      </c>
      <c r="I1604" t="s">
        <v>34</v>
      </c>
      <c r="J1604" t="s">
        <v>139</v>
      </c>
      <c r="K1604" t="s">
        <v>41</v>
      </c>
      <c r="L1604" t="s">
        <v>71</v>
      </c>
      <c r="M1604" t="s">
        <v>8242</v>
      </c>
      <c r="N1604" t="s">
        <v>6547</v>
      </c>
      <c r="O1604" t="s">
        <v>80</v>
      </c>
      <c r="P1604" t="s">
        <v>8243</v>
      </c>
      <c r="Q1604" t="s">
        <v>109</v>
      </c>
      <c r="R1604" t="s">
        <v>6945</v>
      </c>
      <c r="S1604">
        <v>3.51</v>
      </c>
      <c r="T1604">
        <v>7943</v>
      </c>
      <c r="U1604">
        <v>0</v>
      </c>
      <c r="V1604">
        <v>7943</v>
      </c>
    </row>
    <row r="1605" spans="1:22" x14ac:dyDescent="0.3">
      <c r="A1605">
        <v>186607</v>
      </c>
      <c r="B1605">
        <v>137513072</v>
      </c>
      <c r="C1605" t="s">
        <v>8244</v>
      </c>
      <c r="D1605" t="s">
        <v>8245</v>
      </c>
      <c r="E1605" t="s">
        <v>6545</v>
      </c>
      <c r="F1605" t="s">
        <v>514</v>
      </c>
      <c r="G1605" t="s">
        <v>69</v>
      </c>
      <c r="H1605" t="s">
        <v>70</v>
      </c>
      <c r="I1605" t="s">
        <v>34</v>
      </c>
      <c r="J1605" t="s">
        <v>139</v>
      </c>
      <c r="K1605" t="s">
        <v>41</v>
      </c>
      <c r="L1605" t="s">
        <v>71</v>
      </c>
      <c r="M1605" t="s">
        <v>8246</v>
      </c>
      <c r="N1605" t="s">
        <v>6547</v>
      </c>
      <c r="O1605" t="s">
        <v>80</v>
      </c>
      <c r="P1605" t="s">
        <v>8247</v>
      </c>
      <c r="Q1605" t="s">
        <v>142</v>
      </c>
      <c r="R1605" t="s">
        <v>501</v>
      </c>
      <c r="S1605">
        <v>4.01</v>
      </c>
      <c r="T1605">
        <v>4537</v>
      </c>
      <c r="U1605">
        <v>0</v>
      </c>
      <c r="V1605">
        <v>4537</v>
      </c>
    </row>
    <row r="1606" spans="1:22" x14ac:dyDescent="0.3">
      <c r="A1606">
        <v>186607</v>
      </c>
      <c r="B1606">
        <v>137468358</v>
      </c>
      <c r="C1606" t="s">
        <v>8248</v>
      </c>
      <c r="D1606" t="s">
        <v>8249</v>
      </c>
      <c r="E1606" t="s">
        <v>6545</v>
      </c>
      <c r="F1606" t="s">
        <v>514</v>
      </c>
      <c r="G1606" t="s">
        <v>69</v>
      </c>
      <c r="H1606" t="s">
        <v>70</v>
      </c>
      <c r="I1606" t="s">
        <v>34</v>
      </c>
      <c r="J1606" t="s">
        <v>139</v>
      </c>
      <c r="K1606" t="s">
        <v>41</v>
      </c>
      <c r="L1606" t="s">
        <v>71</v>
      </c>
      <c r="M1606" t="s">
        <v>8250</v>
      </c>
      <c r="N1606" t="s">
        <v>6547</v>
      </c>
      <c r="O1606" t="s">
        <v>80</v>
      </c>
      <c r="P1606" t="s">
        <v>8251</v>
      </c>
      <c r="Q1606" t="s">
        <v>51</v>
      </c>
      <c r="R1606" t="s">
        <v>7443</v>
      </c>
      <c r="S1606">
        <v>2.21</v>
      </c>
      <c r="T1606">
        <v>7087</v>
      </c>
      <c r="U1606">
        <v>0</v>
      </c>
      <c r="V1606">
        <v>7087</v>
      </c>
    </row>
    <row r="1607" spans="1:22" x14ac:dyDescent="0.3">
      <c r="A1607">
        <v>186607</v>
      </c>
      <c r="B1607">
        <v>137468382</v>
      </c>
      <c r="C1607" t="s">
        <v>8252</v>
      </c>
      <c r="D1607" t="s">
        <v>8253</v>
      </c>
      <c r="E1607" t="s">
        <v>6545</v>
      </c>
      <c r="F1607" t="s">
        <v>514</v>
      </c>
      <c r="G1607" t="s">
        <v>69</v>
      </c>
      <c r="H1607" t="s">
        <v>70</v>
      </c>
      <c r="I1607" t="s">
        <v>34</v>
      </c>
      <c r="J1607" t="s">
        <v>139</v>
      </c>
      <c r="K1607" t="s">
        <v>41</v>
      </c>
      <c r="L1607" t="s">
        <v>71</v>
      </c>
      <c r="M1607" t="s">
        <v>8254</v>
      </c>
      <c r="N1607" t="s">
        <v>6547</v>
      </c>
      <c r="O1607" t="s">
        <v>80</v>
      </c>
      <c r="P1607" t="s">
        <v>8255</v>
      </c>
      <c r="Q1607" t="s">
        <v>77</v>
      </c>
      <c r="R1607" t="s">
        <v>7443</v>
      </c>
      <c r="S1607">
        <v>2.38</v>
      </c>
      <c r="T1607">
        <v>4168</v>
      </c>
      <c r="U1607">
        <v>0</v>
      </c>
      <c r="V1607">
        <v>4168</v>
      </c>
    </row>
    <row r="1608" spans="1:22" x14ac:dyDescent="0.3">
      <c r="A1608">
        <v>186607</v>
      </c>
      <c r="B1608">
        <v>137468369</v>
      </c>
      <c r="C1608" t="s">
        <v>8256</v>
      </c>
      <c r="D1608" t="s">
        <v>8257</v>
      </c>
      <c r="E1608" t="s">
        <v>6545</v>
      </c>
      <c r="F1608" t="s">
        <v>514</v>
      </c>
      <c r="G1608" t="s">
        <v>69</v>
      </c>
      <c r="H1608" t="s">
        <v>70</v>
      </c>
      <c r="I1608" t="s">
        <v>34</v>
      </c>
      <c r="J1608" t="s">
        <v>139</v>
      </c>
      <c r="K1608" t="s">
        <v>41</v>
      </c>
      <c r="L1608" t="s">
        <v>71</v>
      </c>
      <c r="M1608" t="s">
        <v>8258</v>
      </c>
      <c r="N1608" t="s">
        <v>6547</v>
      </c>
      <c r="O1608" t="s">
        <v>80</v>
      </c>
      <c r="P1608" t="s">
        <v>8259</v>
      </c>
      <c r="Q1608" t="s">
        <v>190</v>
      </c>
      <c r="R1608" t="s">
        <v>7443</v>
      </c>
      <c r="S1608">
        <v>3.18</v>
      </c>
      <c r="T1608">
        <v>7449</v>
      </c>
      <c r="U1608">
        <v>0</v>
      </c>
      <c r="V1608">
        <v>7449</v>
      </c>
    </row>
    <row r="1609" spans="1:22" x14ac:dyDescent="0.3">
      <c r="A1609">
        <v>186607</v>
      </c>
      <c r="B1609">
        <v>137555226</v>
      </c>
      <c r="C1609" t="s">
        <v>8260</v>
      </c>
      <c r="D1609" t="s">
        <v>8261</v>
      </c>
      <c r="E1609" t="s">
        <v>6545</v>
      </c>
      <c r="F1609" t="s">
        <v>514</v>
      </c>
      <c r="G1609" t="s">
        <v>69</v>
      </c>
      <c r="H1609" t="s">
        <v>70</v>
      </c>
      <c r="I1609" t="s">
        <v>34</v>
      </c>
      <c r="J1609" t="s">
        <v>139</v>
      </c>
      <c r="K1609" t="s">
        <v>41</v>
      </c>
      <c r="L1609" t="s">
        <v>71</v>
      </c>
      <c r="M1609" t="s">
        <v>8262</v>
      </c>
      <c r="N1609" t="s">
        <v>6547</v>
      </c>
      <c r="O1609" t="s">
        <v>80</v>
      </c>
      <c r="P1609" t="s">
        <v>8263</v>
      </c>
      <c r="Q1609" t="s">
        <v>174</v>
      </c>
      <c r="R1609" t="s">
        <v>7655</v>
      </c>
      <c r="S1609">
        <v>3.59</v>
      </c>
      <c r="T1609">
        <v>4537</v>
      </c>
      <c r="U1609">
        <v>0</v>
      </c>
      <c r="V1609">
        <v>4537</v>
      </c>
    </row>
    <row r="1610" spans="1:22" x14ac:dyDescent="0.3">
      <c r="A1610">
        <v>186607</v>
      </c>
      <c r="B1610">
        <v>137616656</v>
      </c>
      <c r="C1610" t="s">
        <v>8264</v>
      </c>
      <c r="D1610" t="s">
        <v>8265</v>
      </c>
      <c r="E1610" t="s">
        <v>6545</v>
      </c>
      <c r="F1610" t="s">
        <v>514</v>
      </c>
      <c r="G1610" t="s">
        <v>69</v>
      </c>
      <c r="H1610" t="s">
        <v>70</v>
      </c>
      <c r="I1610" t="s">
        <v>34</v>
      </c>
      <c r="J1610" t="s">
        <v>139</v>
      </c>
      <c r="K1610" t="s">
        <v>41</v>
      </c>
      <c r="L1610" t="s">
        <v>71</v>
      </c>
      <c r="M1610" t="s">
        <v>8266</v>
      </c>
      <c r="N1610" t="s">
        <v>6547</v>
      </c>
      <c r="O1610" t="s">
        <v>80</v>
      </c>
      <c r="P1610" t="s">
        <v>8267</v>
      </c>
      <c r="Q1610" t="s">
        <v>117</v>
      </c>
      <c r="R1610" t="s">
        <v>6945</v>
      </c>
      <c r="S1610">
        <v>3.41</v>
      </c>
      <c r="T1610">
        <v>7449</v>
      </c>
      <c r="U1610">
        <v>0</v>
      </c>
      <c r="V1610">
        <v>7449</v>
      </c>
    </row>
    <row r="1611" spans="1:22" x14ac:dyDescent="0.3">
      <c r="A1611">
        <v>186607</v>
      </c>
      <c r="B1611">
        <v>137408878</v>
      </c>
      <c r="C1611" t="s">
        <v>8268</v>
      </c>
      <c r="D1611" t="s">
        <v>8269</v>
      </c>
      <c r="E1611" t="s">
        <v>6545</v>
      </c>
      <c r="F1611" t="s">
        <v>514</v>
      </c>
      <c r="G1611" t="s">
        <v>69</v>
      </c>
      <c r="H1611" t="s">
        <v>70</v>
      </c>
      <c r="I1611" t="s">
        <v>34</v>
      </c>
      <c r="J1611" t="s">
        <v>139</v>
      </c>
      <c r="K1611" t="s">
        <v>41</v>
      </c>
      <c r="L1611" t="s">
        <v>71</v>
      </c>
      <c r="M1611" t="s">
        <v>8270</v>
      </c>
      <c r="N1611" t="s">
        <v>6547</v>
      </c>
      <c r="O1611" t="s">
        <v>80</v>
      </c>
      <c r="P1611" t="s">
        <v>8271</v>
      </c>
      <c r="Q1611" t="s">
        <v>83</v>
      </c>
      <c r="R1611" t="s">
        <v>7544</v>
      </c>
      <c r="S1611">
        <v>0.8</v>
      </c>
      <c r="T1611">
        <v>3915</v>
      </c>
      <c r="U1611">
        <v>0</v>
      </c>
      <c r="V1611">
        <v>3915</v>
      </c>
    </row>
    <row r="1612" spans="1:22" x14ac:dyDescent="0.3">
      <c r="A1612">
        <v>186607</v>
      </c>
      <c r="B1612">
        <v>137513086</v>
      </c>
      <c r="C1612" t="s">
        <v>8272</v>
      </c>
      <c r="D1612" t="s">
        <v>8273</v>
      </c>
      <c r="E1612" t="s">
        <v>6545</v>
      </c>
      <c r="F1612" t="s">
        <v>514</v>
      </c>
      <c r="G1612" t="s">
        <v>69</v>
      </c>
      <c r="H1612" t="s">
        <v>70</v>
      </c>
      <c r="I1612" t="s">
        <v>34</v>
      </c>
      <c r="J1612" t="s">
        <v>139</v>
      </c>
      <c r="K1612" t="s">
        <v>41</v>
      </c>
      <c r="L1612" t="s">
        <v>71</v>
      </c>
      <c r="M1612" t="s">
        <v>8274</v>
      </c>
      <c r="N1612" t="s">
        <v>6547</v>
      </c>
      <c r="O1612" t="s">
        <v>80</v>
      </c>
      <c r="P1612" t="s">
        <v>8275</v>
      </c>
      <c r="Q1612" t="s">
        <v>213</v>
      </c>
      <c r="R1612" t="s">
        <v>501</v>
      </c>
      <c r="S1612">
        <v>3.83</v>
      </c>
      <c r="T1612">
        <v>6998</v>
      </c>
      <c r="U1612">
        <v>0</v>
      </c>
      <c r="V1612">
        <v>6998</v>
      </c>
    </row>
    <row r="1613" spans="1:22" x14ac:dyDescent="0.3">
      <c r="A1613">
        <v>186607</v>
      </c>
      <c r="B1613">
        <v>137468437</v>
      </c>
      <c r="C1613" t="s">
        <v>8276</v>
      </c>
      <c r="D1613" t="s">
        <v>8277</v>
      </c>
      <c r="E1613" t="s">
        <v>6545</v>
      </c>
      <c r="F1613" t="s">
        <v>514</v>
      </c>
      <c r="G1613" t="s">
        <v>69</v>
      </c>
      <c r="H1613" t="s">
        <v>70</v>
      </c>
      <c r="I1613" t="s">
        <v>34</v>
      </c>
      <c r="J1613" t="s">
        <v>139</v>
      </c>
      <c r="K1613" t="s">
        <v>95</v>
      </c>
      <c r="L1613" t="s">
        <v>96</v>
      </c>
      <c r="M1613" t="s">
        <v>8278</v>
      </c>
      <c r="N1613" t="s">
        <v>6547</v>
      </c>
      <c r="O1613" t="s">
        <v>80</v>
      </c>
      <c r="P1613" t="s">
        <v>8279</v>
      </c>
      <c r="Q1613" t="s">
        <v>77</v>
      </c>
      <c r="R1613" t="s">
        <v>7443</v>
      </c>
      <c r="S1613">
        <v>2.5099999999999998</v>
      </c>
      <c r="T1613">
        <v>5793.5</v>
      </c>
      <c r="U1613">
        <v>0</v>
      </c>
      <c r="V1613">
        <v>5793.5</v>
      </c>
    </row>
    <row r="1614" spans="1:22" x14ac:dyDescent="0.3">
      <c r="A1614">
        <v>186607</v>
      </c>
      <c r="B1614">
        <v>137513197</v>
      </c>
      <c r="C1614" t="s">
        <v>8280</v>
      </c>
      <c r="D1614" t="s">
        <v>8281</v>
      </c>
      <c r="E1614" t="s">
        <v>6545</v>
      </c>
      <c r="F1614" t="s">
        <v>514</v>
      </c>
      <c r="G1614" t="s">
        <v>69</v>
      </c>
      <c r="H1614" t="s">
        <v>70</v>
      </c>
      <c r="I1614" t="s">
        <v>34</v>
      </c>
      <c r="J1614" t="s">
        <v>139</v>
      </c>
      <c r="K1614" t="s">
        <v>41</v>
      </c>
      <c r="L1614" t="s">
        <v>71</v>
      </c>
      <c r="M1614" t="s">
        <v>8282</v>
      </c>
      <c r="N1614" t="s">
        <v>6547</v>
      </c>
      <c r="O1614" t="s">
        <v>80</v>
      </c>
      <c r="P1614" t="s">
        <v>8283</v>
      </c>
      <c r="Q1614" t="s">
        <v>210</v>
      </c>
      <c r="R1614" t="s">
        <v>7749</v>
      </c>
      <c r="S1614">
        <v>2.74</v>
      </c>
      <c r="T1614">
        <v>6800</v>
      </c>
      <c r="U1614">
        <v>0</v>
      </c>
      <c r="V1614">
        <v>6800</v>
      </c>
    </row>
    <row r="1615" spans="1:22" x14ac:dyDescent="0.3">
      <c r="A1615">
        <v>8326</v>
      </c>
      <c r="B1615">
        <v>138523695</v>
      </c>
      <c r="C1615" t="s">
        <v>8284</v>
      </c>
      <c r="D1615" t="s">
        <v>8285</v>
      </c>
      <c r="E1615" t="s">
        <v>8286</v>
      </c>
      <c r="F1615" t="s">
        <v>514</v>
      </c>
      <c r="G1615" t="s">
        <v>43</v>
      </c>
      <c r="H1615" t="s">
        <v>44</v>
      </c>
      <c r="I1615" t="s">
        <v>34</v>
      </c>
      <c r="J1615" t="s">
        <v>45</v>
      </c>
      <c r="K1615" t="s">
        <v>41</v>
      </c>
      <c r="L1615" t="s">
        <v>8287</v>
      </c>
      <c r="M1615" t="s">
        <v>8288</v>
      </c>
      <c r="N1615" t="s">
        <v>516</v>
      </c>
      <c r="O1615" t="s">
        <v>64</v>
      </c>
      <c r="P1615" t="s">
        <v>8289</v>
      </c>
      <c r="Q1615" t="s">
        <v>46</v>
      </c>
      <c r="R1615" t="s">
        <v>268</v>
      </c>
      <c r="S1615">
        <v>15.65</v>
      </c>
      <c r="T1615">
        <v>11747</v>
      </c>
      <c r="U1615">
        <v>0</v>
      </c>
      <c r="V1615">
        <v>11747</v>
      </c>
    </row>
    <row r="1616" spans="1:22" x14ac:dyDescent="0.3">
      <c r="A1616">
        <v>8326</v>
      </c>
      <c r="B1616">
        <v>138517684</v>
      </c>
      <c r="C1616" t="s">
        <v>8290</v>
      </c>
      <c r="D1616" t="s">
        <v>8291</v>
      </c>
      <c r="E1616" t="s">
        <v>8286</v>
      </c>
      <c r="F1616" t="s">
        <v>514</v>
      </c>
      <c r="G1616" t="s">
        <v>43</v>
      </c>
      <c r="H1616" t="s">
        <v>44</v>
      </c>
      <c r="I1616" t="s">
        <v>34</v>
      </c>
      <c r="J1616" t="s">
        <v>45</v>
      </c>
      <c r="K1616" t="s">
        <v>41</v>
      </c>
      <c r="L1616" t="s">
        <v>8292</v>
      </c>
      <c r="M1616" t="s">
        <v>480</v>
      </c>
      <c r="N1616" t="s">
        <v>516</v>
      </c>
      <c r="O1616" t="s">
        <v>64</v>
      </c>
      <c r="P1616" t="s">
        <v>8293</v>
      </c>
      <c r="Q1616" t="s">
        <v>77</v>
      </c>
      <c r="R1616" t="s">
        <v>8294</v>
      </c>
      <c r="S1616">
        <v>2.1</v>
      </c>
      <c r="T1616">
        <v>3203</v>
      </c>
      <c r="U1616">
        <v>0</v>
      </c>
      <c r="V1616">
        <v>3203</v>
      </c>
    </row>
    <row r="1617" spans="1:22" x14ac:dyDescent="0.3">
      <c r="A1617">
        <v>8326</v>
      </c>
      <c r="B1617">
        <v>138445124</v>
      </c>
      <c r="C1617" t="s">
        <v>8295</v>
      </c>
      <c r="D1617" t="s">
        <v>8296</v>
      </c>
      <c r="E1617" t="s">
        <v>8286</v>
      </c>
      <c r="F1617" t="s">
        <v>514</v>
      </c>
      <c r="G1617" t="s">
        <v>43</v>
      </c>
      <c r="H1617" t="s">
        <v>44</v>
      </c>
      <c r="I1617" t="s">
        <v>34</v>
      </c>
      <c r="J1617" t="s">
        <v>45</v>
      </c>
      <c r="K1617" t="s">
        <v>41</v>
      </c>
      <c r="L1617" t="s">
        <v>8297</v>
      </c>
      <c r="M1617" t="s">
        <v>389</v>
      </c>
      <c r="N1617" t="s">
        <v>516</v>
      </c>
      <c r="O1617" t="s">
        <v>64</v>
      </c>
      <c r="P1617" t="s">
        <v>8298</v>
      </c>
      <c r="Q1617" t="s">
        <v>61</v>
      </c>
      <c r="R1617" t="s">
        <v>484</v>
      </c>
      <c r="S1617">
        <v>11.8</v>
      </c>
      <c r="T1617">
        <v>6656</v>
      </c>
      <c r="U1617">
        <v>0</v>
      </c>
      <c r="V1617">
        <v>6656</v>
      </c>
    </row>
    <row r="1618" spans="1:22" x14ac:dyDescent="0.3">
      <c r="A1618">
        <v>8326</v>
      </c>
      <c r="B1618">
        <v>138211767</v>
      </c>
      <c r="C1618" t="s">
        <v>8299</v>
      </c>
      <c r="D1618" t="s">
        <v>8300</v>
      </c>
      <c r="E1618" t="s">
        <v>8286</v>
      </c>
      <c r="F1618" t="s">
        <v>514</v>
      </c>
      <c r="G1618" t="s">
        <v>43</v>
      </c>
      <c r="H1618" t="s">
        <v>44</v>
      </c>
      <c r="I1618" t="s">
        <v>34</v>
      </c>
      <c r="J1618" t="s">
        <v>45</v>
      </c>
      <c r="K1618" t="s">
        <v>41</v>
      </c>
      <c r="L1618" t="s">
        <v>8301</v>
      </c>
      <c r="M1618" t="s">
        <v>8302</v>
      </c>
      <c r="N1618" t="s">
        <v>516</v>
      </c>
      <c r="O1618" t="s">
        <v>64</v>
      </c>
      <c r="P1618" t="s">
        <v>8303</v>
      </c>
      <c r="Q1618" t="s">
        <v>61</v>
      </c>
      <c r="R1618" t="s">
        <v>406</v>
      </c>
      <c r="S1618">
        <v>1</v>
      </c>
      <c r="T1618">
        <v>3501</v>
      </c>
      <c r="U1618">
        <v>0</v>
      </c>
      <c r="V1618">
        <v>3501</v>
      </c>
    </row>
    <row r="1619" spans="1:22" x14ac:dyDescent="0.3">
      <c r="A1619">
        <v>8326</v>
      </c>
      <c r="B1619">
        <v>138197866</v>
      </c>
      <c r="C1619" t="s">
        <v>8304</v>
      </c>
      <c r="D1619" t="s">
        <v>8305</v>
      </c>
      <c r="E1619" t="s">
        <v>8286</v>
      </c>
      <c r="F1619" t="s">
        <v>514</v>
      </c>
      <c r="G1619" t="s">
        <v>43</v>
      </c>
      <c r="H1619" t="s">
        <v>44</v>
      </c>
      <c r="I1619" t="s">
        <v>34</v>
      </c>
      <c r="J1619" t="s">
        <v>45</v>
      </c>
      <c r="K1619" t="s">
        <v>41</v>
      </c>
      <c r="L1619" t="s">
        <v>8306</v>
      </c>
      <c r="M1619" t="s">
        <v>8307</v>
      </c>
      <c r="N1619" t="s">
        <v>516</v>
      </c>
      <c r="O1619" t="s">
        <v>64</v>
      </c>
      <c r="P1619" t="s">
        <v>8308</v>
      </c>
      <c r="Q1619" t="s">
        <v>168</v>
      </c>
      <c r="R1619" t="s">
        <v>8309</v>
      </c>
      <c r="S1619">
        <v>2.6</v>
      </c>
      <c r="T1619">
        <v>4230</v>
      </c>
      <c r="U1619">
        <v>0</v>
      </c>
      <c r="V1619">
        <v>4230</v>
      </c>
    </row>
    <row r="1620" spans="1:22" x14ac:dyDescent="0.3">
      <c r="A1620">
        <v>8326</v>
      </c>
      <c r="B1620">
        <v>138142838</v>
      </c>
      <c r="C1620" t="s">
        <v>8310</v>
      </c>
      <c r="D1620" t="s">
        <v>8311</v>
      </c>
      <c r="E1620" t="s">
        <v>8286</v>
      </c>
      <c r="F1620" t="s">
        <v>514</v>
      </c>
      <c r="G1620" t="s">
        <v>43</v>
      </c>
      <c r="H1620" t="s">
        <v>44</v>
      </c>
      <c r="I1620" t="s">
        <v>34</v>
      </c>
      <c r="J1620" t="s">
        <v>45</v>
      </c>
      <c r="K1620" t="s">
        <v>41</v>
      </c>
      <c r="L1620" t="s">
        <v>8312</v>
      </c>
      <c r="M1620" t="s">
        <v>451</v>
      </c>
      <c r="N1620" t="s">
        <v>516</v>
      </c>
      <c r="O1620" t="s">
        <v>64</v>
      </c>
      <c r="P1620" t="s">
        <v>8313</v>
      </c>
      <c r="Q1620" t="s">
        <v>141</v>
      </c>
      <c r="R1620" t="s">
        <v>8314</v>
      </c>
      <c r="S1620">
        <v>4.5999999999999996</v>
      </c>
      <c r="T1620">
        <v>7897</v>
      </c>
      <c r="U1620">
        <v>0</v>
      </c>
      <c r="V1620">
        <v>7897</v>
      </c>
    </row>
    <row r="1621" spans="1:22" x14ac:dyDescent="0.3">
      <c r="A1621">
        <v>8326</v>
      </c>
      <c r="B1621">
        <v>138142873</v>
      </c>
      <c r="C1621" t="s">
        <v>8315</v>
      </c>
      <c r="D1621" t="s">
        <v>8316</v>
      </c>
      <c r="E1621" t="s">
        <v>8286</v>
      </c>
      <c r="F1621" t="s">
        <v>514</v>
      </c>
      <c r="G1621" t="s">
        <v>43</v>
      </c>
      <c r="H1621" t="s">
        <v>44</v>
      </c>
      <c r="I1621" t="s">
        <v>34</v>
      </c>
      <c r="J1621" t="s">
        <v>45</v>
      </c>
      <c r="K1621" t="s">
        <v>41</v>
      </c>
      <c r="L1621" t="s">
        <v>8317</v>
      </c>
      <c r="M1621" t="s">
        <v>8318</v>
      </c>
      <c r="N1621" t="s">
        <v>516</v>
      </c>
      <c r="O1621" t="s">
        <v>64</v>
      </c>
      <c r="P1621" t="s">
        <v>8319</v>
      </c>
      <c r="Q1621" t="s">
        <v>58</v>
      </c>
      <c r="R1621" t="s">
        <v>8320</v>
      </c>
      <c r="S1621">
        <v>2.09</v>
      </c>
      <c r="T1621">
        <v>3501</v>
      </c>
      <c r="U1621">
        <v>0</v>
      </c>
      <c r="V1621">
        <v>3501</v>
      </c>
    </row>
    <row r="1622" spans="1:22" x14ac:dyDescent="0.3">
      <c r="A1622">
        <v>8326</v>
      </c>
      <c r="B1622">
        <v>138038161</v>
      </c>
      <c r="C1622" t="s">
        <v>8321</v>
      </c>
      <c r="D1622" t="s">
        <v>8322</v>
      </c>
      <c r="E1622" t="s">
        <v>8286</v>
      </c>
      <c r="F1622" t="s">
        <v>514</v>
      </c>
      <c r="G1622" t="s">
        <v>43</v>
      </c>
      <c r="H1622" t="s">
        <v>44</v>
      </c>
      <c r="I1622" t="s">
        <v>34</v>
      </c>
      <c r="J1622" t="s">
        <v>45</v>
      </c>
      <c r="K1622" t="s">
        <v>41</v>
      </c>
      <c r="L1622" t="s">
        <v>8323</v>
      </c>
      <c r="M1622" t="s">
        <v>8324</v>
      </c>
      <c r="N1622" t="s">
        <v>516</v>
      </c>
      <c r="O1622" t="s">
        <v>64</v>
      </c>
      <c r="P1622" t="s">
        <v>8325</v>
      </c>
      <c r="Q1622" t="s">
        <v>206</v>
      </c>
      <c r="R1622" t="s">
        <v>288</v>
      </c>
      <c r="S1622">
        <v>12.5</v>
      </c>
      <c r="T1622">
        <v>10967</v>
      </c>
      <c r="U1622">
        <v>0</v>
      </c>
      <c r="V1622">
        <v>10967</v>
      </c>
    </row>
    <row r="1623" spans="1:22" x14ac:dyDescent="0.3">
      <c r="A1623">
        <v>8326</v>
      </c>
      <c r="B1623">
        <v>138010723</v>
      </c>
      <c r="C1623" t="s">
        <v>8326</v>
      </c>
      <c r="D1623" t="s">
        <v>8327</v>
      </c>
      <c r="E1623" t="s">
        <v>8286</v>
      </c>
      <c r="F1623" t="s">
        <v>514</v>
      </c>
      <c r="G1623" t="s">
        <v>43</v>
      </c>
      <c r="H1623" t="s">
        <v>44</v>
      </c>
      <c r="I1623" t="s">
        <v>34</v>
      </c>
      <c r="J1623" t="s">
        <v>45</v>
      </c>
      <c r="K1623" t="s">
        <v>41</v>
      </c>
      <c r="L1623" t="s">
        <v>8328</v>
      </c>
      <c r="M1623" t="s">
        <v>8329</v>
      </c>
      <c r="N1623" t="s">
        <v>516</v>
      </c>
      <c r="O1623" t="s">
        <v>64</v>
      </c>
      <c r="P1623" t="s">
        <v>8330</v>
      </c>
      <c r="Q1623" t="s">
        <v>61</v>
      </c>
      <c r="R1623" t="s">
        <v>8331</v>
      </c>
      <c r="S1623">
        <v>6</v>
      </c>
      <c r="T1623">
        <v>3949</v>
      </c>
      <c r="U1623">
        <v>0</v>
      </c>
      <c r="V1623">
        <v>3949</v>
      </c>
    </row>
    <row r="1624" spans="1:22" x14ac:dyDescent="0.3">
      <c r="A1624">
        <v>8326</v>
      </c>
      <c r="B1624">
        <v>137947857</v>
      </c>
      <c r="C1624" t="s">
        <v>8332</v>
      </c>
      <c r="D1624" t="s">
        <v>8333</v>
      </c>
      <c r="E1624" t="s">
        <v>8286</v>
      </c>
      <c r="F1624" t="s">
        <v>514</v>
      </c>
      <c r="G1624" t="s">
        <v>43</v>
      </c>
      <c r="H1624" t="s">
        <v>44</v>
      </c>
      <c r="I1624" t="s">
        <v>34</v>
      </c>
      <c r="J1624" t="s">
        <v>45</v>
      </c>
      <c r="K1624" t="s">
        <v>41</v>
      </c>
      <c r="L1624" t="s">
        <v>8334</v>
      </c>
      <c r="M1624" t="s">
        <v>8335</v>
      </c>
      <c r="N1624" t="s">
        <v>516</v>
      </c>
      <c r="O1624" t="s">
        <v>64</v>
      </c>
      <c r="P1624" t="s">
        <v>427</v>
      </c>
      <c r="Q1624" t="s">
        <v>90</v>
      </c>
      <c r="R1624" t="s">
        <v>485</v>
      </c>
      <c r="S1624">
        <v>2.0499999999999998</v>
      </c>
      <c r="T1624">
        <v>3904</v>
      </c>
      <c r="U1624">
        <v>0</v>
      </c>
      <c r="V1624">
        <v>3904</v>
      </c>
    </row>
    <row r="1625" spans="1:22" x14ac:dyDescent="0.3">
      <c r="A1625">
        <v>8326</v>
      </c>
      <c r="B1625">
        <v>137947974</v>
      </c>
      <c r="C1625" t="s">
        <v>8336</v>
      </c>
      <c r="D1625" t="s">
        <v>8337</v>
      </c>
      <c r="E1625" t="s">
        <v>8286</v>
      </c>
      <c r="F1625" t="s">
        <v>514</v>
      </c>
      <c r="G1625" t="s">
        <v>43</v>
      </c>
      <c r="H1625" t="s">
        <v>44</v>
      </c>
      <c r="I1625" t="s">
        <v>34</v>
      </c>
      <c r="J1625" t="s">
        <v>45</v>
      </c>
      <c r="K1625" t="s">
        <v>41</v>
      </c>
      <c r="L1625" t="s">
        <v>8338</v>
      </c>
      <c r="M1625" t="s">
        <v>8339</v>
      </c>
      <c r="N1625" t="s">
        <v>516</v>
      </c>
      <c r="O1625" t="s">
        <v>64</v>
      </c>
      <c r="P1625" t="s">
        <v>8340</v>
      </c>
      <c r="Q1625" t="s">
        <v>83</v>
      </c>
      <c r="R1625" t="s">
        <v>8341</v>
      </c>
      <c r="S1625">
        <v>4</v>
      </c>
      <c r="T1625">
        <v>3744</v>
      </c>
      <c r="U1625">
        <v>0</v>
      </c>
      <c r="V1625">
        <v>3744</v>
      </c>
    </row>
    <row r="1626" spans="1:22" x14ac:dyDescent="0.3">
      <c r="A1626">
        <v>8326</v>
      </c>
      <c r="B1626">
        <v>137947825</v>
      </c>
      <c r="C1626" t="s">
        <v>8342</v>
      </c>
      <c r="D1626" t="s">
        <v>8343</v>
      </c>
      <c r="E1626" t="s">
        <v>8286</v>
      </c>
      <c r="F1626" t="s">
        <v>514</v>
      </c>
      <c r="G1626" t="s">
        <v>43</v>
      </c>
      <c r="H1626" t="s">
        <v>44</v>
      </c>
      <c r="I1626" t="s">
        <v>34</v>
      </c>
      <c r="J1626" t="s">
        <v>45</v>
      </c>
      <c r="K1626" t="s">
        <v>41</v>
      </c>
      <c r="L1626" t="s">
        <v>8344</v>
      </c>
      <c r="M1626" t="s">
        <v>8345</v>
      </c>
      <c r="N1626" t="s">
        <v>516</v>
      </c>
      <c r="O1626" t="s">
        <v>64</v>
      </c>
      <c r="P1626" t="s">
        <v>8346</v>
      </c>
      <c r="Q1626" t="s">
        <v>144</v>
      </c>
      <c r="R1626" t="s">
        <v>8347</v>
      </c>
      <c r="S1626">
        <v>4</v>
      </c>
      <c r="T1626">
        <v>4635</v>
      </c>
      <c r="U1626">
        <v>0</v>
      </c>
      <c r="V1626">
        <v>4635</v>
      </c>
    </row>
    <row r="1627" spans="1:22" x14ac:dyDescent="0.3">
      <c r="A1627">
        <v>8326</v>
      </c>
      <c r="B1627">
        <v>137948547</v>
      </c>
      <c r="C1627" t="s">
        <v>8348</v>
      </c>
      <c r="D1627" t="s">
        <v>8349</v>
      </c>
      <c r="E1627" t="s">
        <v>8286</v>
      </c>
      <c r="F1627" t="s">
        <v>514</v>
      </c>
      <c r="G1627" t="s">
        <v>43</v>
      </c>
      <c r="H1627" t="s">
        <v>44</v>
      </c>
      <c r="I1627" t="s">
        <v>34</v>
      </c>
      <c r="J1627" t="s">
        <v>45</v>
      </c>
      <c r="K1627" t="s">
        <v>41</v>
      </c>
      <c r="L1627" t="s">
        <v>8350</v>
      </c>
      <c r="M1627" t="s">
        <v>8351</v>
      </c>
      <c r="N1627" t="s">
        <v>516</v>
      </c>
      <c r="O1627" t="s">
        <v>64</v>
      </c>
      <c r="P1627" t="s">
        <v>8352</v>
      </c>
      <c r="Q1627" t="s">
        <v>61</v>
      </c>
      <c r="R1627" t="s">
        <v>364</v>
      </c>
      <c r="S1627">
        <v>2.08</v>
      </c>
      <c r="T1627">
        <v>3501</v>
      </c>
      <c r="U1627">
        <v>0</v>
      </c>
      <c r="V1627">
        <v>3501</v>
      </c>
    </row>
    <row r="1628" spans="1:22" x14ac:dyDescent="0.3">
      <c r="A1628">
        <v>8326</v>
      </c>
      <c r="B1628">
        <v>137784279</v>
      </c>
      <c r="C1628" t="s">
        <v>8353</v>
      </c>
      <c r="D1628" t="s">
        <v>8354</v>
      </c>
      <c r="E1628" t="s">
        <v>8286</v>
      </c>
      <c r="F1628" t="s">
        <v>514</v>
      </c>
      <c r="G1628" t="s">
        <v>43</v>
      </c>
      <c r="H1628" t="s">
        <v>44</v>
      </c>
      <c r="I1628" t="s">
        <v>34</v>
      </c>
      <c r="J1628" t="s">
        <v>45</v>
      </c>
      <c r="K1628" t="s">
        <v>41</v>
      </c>
      <c r="L1628" t="s">
        <v>8355</v>
      </c>
      <c r="M1628" t="s">
        <v>8356</v>
      </c>
      <c r="N1628" t="s">
        <v>516</v>
      </c>
      <c r="O1628" t="s">
        <v>64</v>
      </c>
      <c r="P1628" t="s">
        <v>8357</v>
      </c>
      <c r="Q1628" t="s">
        <v>126</v>
      </c>
      <c r="R1628" t="s">
        <v>8358</v>
      </c>
      <c r="S1628">
        <v>4.05</v>
      </c>
      <c r="T1628">
        <v>3797</v>
      </c>
      <c r="U1628">
        <v>0</v>
      </c>
      <c r="V1628">
        <v>3797</v>
      </c>
    </row>
    <row r="1629" spans="1:22" x14ac:dyDescent="0.3">
      <c r="A1629">
        <v>8326</v>
      </c>
      <c r="B1629">
        <v>137782109</v>
      </c>
      <c r="C1629" t="s">
        <v>8359</v>
      </c>
      <c r="D1629" t="s">
        <v>8360</v>
      </c>
      <c r="E1629" t="s">
        <v>8286</v>
      </c>
      <c r="F1629" t="s">
        <v>514</v>
      </c>
      <c r="G1629" t="s">
        <v>43</v>
      </c>
      <c r="H1629" t="s">
        <v>44</v>
      </c>
      <c r="I1629" t="s">
        <v>34</v>
      </c>
      <c r="J1629" t="s">
        <v>45</v>
      </c>
      <c r="K1629" t="s">
        <v>41</v>
      </c>
      <c r="L1629" t="s">
        <v>8361</v>
      </c>
      <c r="M1629" t="s">
        <v>8362</v>
      </c>
      <c r="N1629" t="s">
        <v>516</v>
      </c>
      <c r="O1629" t="s">
        <v>64</v>
      </c>
      <c r="P1629" t="s">
        <v>8363</v>
      </c>
      <c r="Q1629" t="s">
        <v>63</v>
      </c>
      <c r="R1629" t="s">
        <v>279</v>
      </c>
      <c r="S1629">
        <v>0.45</v>
      </c>
      <c r="T1629">
        <v>3299</v>
      </c>
      <c r="U1629">
        <v>0</v>
      </c>
      <c r="V1629">
        <v>3299</v>
      </c>
    </row>
    <row r="1630" spans="1:22" x14ac:dyDescent="0.3">
      <c r="A1630">
        <v>8326</v>
      </c>
      <c r="B1630">
        <v>137557296</v>
      </c>
      <c r="C1630" t="s">
        <v>8364</v>
      </c>
      <c r="D1630" t="s">
        <v>8365</v>
      </c>
      <c r="E1630" t="s">
        <v>8286</v>
      </c>
      <c r="F1630" t="s">
        <v>514</v>
      </c>
      <c r="G1630" t="s">
        <v>43</v>
      </c>
      <c r="H1630" t="s">
        <v>44</v>
      </c>
      <c r="I1630" t="s">
        <v>34</v>
      </c>
      <c r="J1630" t="s">
        <v>45</v>
      </c>
      <c r="K1630" t="s">
        <v>41</v>
      </c>
      <c r="L1630" t="s">
        <v>8366</v>
      </c>
      <c r="M1630" t="s">
        <v>8367</v>
      </c>
      <c r="N1630" t="s">
        <v>516</v>
      </c>
      <c r="O1630" t="s">
        <v>64</v>
      </c>
      <c r="P1630" t="s">
        <v>357</v>
      </c>
      <c r="Q1630" t="s">
        <v>175</v>
      </c>
      <c r="R1630" t="s">
        <v>8368</v>
      </c>
      <c r="S1630">
        <v>1.34</v>
      </c>
      <c r="T1630">
        <v>4067</v>
      </c>
      <c r="U1630">
        <v>0</v>
      </c>
      <c r="V1630">
        <v>4067</v>
      </c>
    </row>
    <row r="1631" spans="1:22" x14ac:dyDescent="0.3">
      <c r="A1631">
        <v>8326</v>
      </c>
      <c r="B1631">
        <v>137634103</v>
      </c>
      <c r="C1631" t="s">
        <v>8369</v>
      </c>
      <c r="D1631" t="s">
        <v>8370</v>
      </c>
      <c r="E1631" t="s">
        <v>8286</v>
      </c>
      <c r="F1631" t="s">
        <v>514</v>
      </c>
      <c r="G1631" t="s">
        <v>43</v>
      </c>
      <c r="H1631" t="s">
        <v>44</v>
      </c>
      <c r="I1631" t="s">
        <v>34</v>
      </c>
      <c r="J1631" t="s">
        <v>45</v>
      </c>
      <c r="K1631" t="s">
        <v>41</v>
      </c>
      <c r="L1631" t="s">
        <v>8371</v>
      </c>
      <c r="M1631" t="s">
        <v>8372</v>
      </c>
      <c r="N1631" t="s">
        <v>516</v>
      </c>
      <c r="O1631" t="s">
        <v>64</v>
      </c>
      <c r="P1631" t="s">
        <v>8373</v>
      </c>
      <c r="Q1631" t="s">
        <v>90</v>
      </c>
      <c r="R1631" t="s">
        <v>311</v>
      </c>
      <c r="S1631">
        <v>2.1</v>
      </c>
      <c r="T1631">
        <v>3753</v>
      </c>
      <c r="U1631">
        <v>0</v>
      </c>
      <c r="V1631">
        <v>3753</v>
      </c>
    </row>
    <row r="1632" spans="1:22" x14ac:dyDescent="0.3">
      <c r="A1632">
        <v>8326</v>
      </c>
      <c r="B1632">
        <v>137647605</v>
      </c>
      <c r="C1632" t="s">
        <v>8374</v>
      </c>
      <c r="D1632" t="s">
        <v>8375</v>
      </c>
      <c r="E1632" t="s">
        <v>8286</v>
      </c>
      <c r="F1632" t="s">
        <v>514</v>
      </c>
      <c r="G1632" t="s">
        <v>43</v>
      </c>
      <c r="H1632" t="s">
        <v>44</v>
      </c>
      <c r="I1632" t="s">
        <v>34</v>
      </c>
      <c r="J1632" t="s">
        <v>45</v>
      </c>
      <c r="K1632" t="s">
        <v>54</v>
      </c>
      <c r="L1632" t="s">
        <v>55</v>
      </c>
      <c r="M1632" t="s">
        <v>463</v>
      </c>
      <c r="N1632" t="s">
        <v>516</v>
      </c>
      <c r="O1632" t="s">
        <v>64</v>
      </c>
      <c r="P1632" t="s">
        <v>8376</v>
      </c>
      <c r="Q1632" t="s">
        <v>62</v>
      </c>
      <c r="R1632" t="s">
        <v>445</v>
      </c>
      <c r="S1632">
        <v>6.11</v>
      </c>
      <c r="T1632">
        <v>5476</v>
      </c>
      <c r="U1632">
        <v>0</v>
      </c>
      <c r="V1632">
        <v>5476</v>
      </c>
    </row>
    <row r="1633" spans="1:22" x14ac:dyDescent="0.3">
      <c r="A1633">
        <v>8326</v>
      </c>
      <c r="B1633">
        <v>137637834</v>
      </c>
      <c r="C1633" t="s">
        <v>8377</v>
      </c>
      <c r="D1633" t="s">
        <v>8378</v>
      </c>
      <c r="E1633" t="s">
        <v>8286</v>
      </c>
      <c r="F1633" t="s">
        <v>514</v>
      </c>
      <c r="G1633" t="s">
        <v>43</v>
      </c>
      <c r="H1633" t="s">
        <v>44</v>
      </c>
      <c r="I1633" t="s">
        <v>34</v>
      </c>
      <c r="J1633" t="s">
        <v>45</v>
      </c>
      <c r="K1633" t="s">
        <v>41</v>
      </c>
      <c r="L1633" t="s">
        <v>8379</v>
      </c>
      <c r="M1633" t="s">
        <v>389</v>
      </c>
      <c r="N1633" t="s">
        <v>516</v>
      </c>
      <c r="O1633" t="s">
        <v>64</v>
      </c>
      <c r="P1633" t="s">
        <v>8298</v>
      </c>
      <c r="Q1633" t="s">
        <v>61</v>
      </c>
      <c r="R1633" t="s">
        <v>8380</v>
      </c>
      <c r="S1633">
        <v>20.91</v>
      </c>
      <c r="T1633">
        <v>15246</v>
      </c>
      <c r="U1633">
        <v>0</v>
      </c>
      <c r="V1633">
        <v>15246</v>
      </c>
    </row>
    <row r="1634" spans="1:22" x14ac:dyDescent="0.3">
      <c r="A1634">
        <v>8326</v>
      </c>
      <c r="B1634">
        <v>137637123</v>
      </c>
      <c r="C1634" t="s">
        <v>8381</v>
      </c>
      <c r="D1634" t="s">
        <v>8382</v>
      </c>
      <c r="E1634" t="s">
        <v>8286</v>
      </c>
      <c r="F1634" t="s">
        <v>514</v>
      </c>
      <c r="G1634" t="s">
        <v>43</v>
      </c>
      <c r="H1634" t="s">
        <v>44</v>
      </c>
      <c r="I1634" t="s">
        <v>34</v>
      </c>
      <c r="J1634" t="s">
        <v>45</v>
      </c>
      <c r="K1634" t="s">
        <v>41</v>
      </c>
      <c r="L1634" t="s">
        <v>8383</v>
      </c>
      <c r="M1634" t="s">
        <v>8384</v>
      </c>
      <c r="N1634" t="s">
        <v>516</v>
      </c>
      <c r="O1634" t="s">
        <v>64</v>
      </c>
      <c r="P1634" t="s">
        <v>8385</v>
      </c>
      <c r="Q1634" t="s">
        <v>108</v>
      </c>
      <c r="R1634" t="s">
        <v>312</v>
      </c>
      <c r="S1634">
        <v>0.61</v>
      </c>
      <c r="T1634">
        <v>3366</v>
      </c>
      <c r="U1634">
        <v>0</v>
      </c>
      <c r="V1634">
        <v>3366</v>
      </c>
    </row>
    <row r="1635" spans="1:22" x14ac:dyDescent="0.3">
      <c r="A1635">
        <v>192770</v>
      </c>
      <c r="B1635">
        <v>138560392</v>
      </c>
      <c r="C1635" t="s">
        <v>8386</v>
      </c>
      <c r="D1635" t="s">
        <v>8387</v>
      </c>
      <c r="E1635" t="s">
        <v>8388</v>
      </c>
      <c r="F1635" t="s">
        <v>514</v>
      </c>
      <c r="G1635" t="s">
        <v>43</v>
      </c>
      <c r="H1635" t="s">
        <v>44</v>
      </c>
      <c r="I1635" t="s">
        <v>34</v>
      </c>
      <c r="J1635" t="s">
        <v>45</v>
      </c>
      <c r="K1635" t="s">
        <v>41</v>
      </c>
      <c r="L1635" t="s">
        <v>8389</v>
      </c>
      <c r="M1635" t="s">
        <v>8390</v>
      </c>
      <c r="N1635" t="s">
        <v>516</v>
      </c>
      <c r="O1635" t="s">
        <v>64</v>
      </c>
      <c r="P1635" t="s">
        <v>8391</v>
      </c>
      <c r="Q1635" t="s">
        <v>102</v>
      </c>
      <c r="R1635" t="s">
        <v>8392</v>
      </c>
      <c r="S1635">
        <v>1.5</v>
      </c>
      <c r="T1635">
        <v>3501</v>
      </c>
      <c r="U1635">
        <v>0</v>
      </c>
      <c r="V1635">
        <v>3501</v>
      </c>
    </row>
    <row r="1636" spans="1:22" x14ac:dyDescent="0.3">
      <c r="A1636">
        <v>192770</v>
      </c>
      <c r="B1636">
        <v>138363656</v>
      </c>
      <c r="C1636" t="s">
        <v>8393</v>
      </c>
      <c r="D1636" t="s">
        <v>8394</v>
      </c>
      <c r="E1636" t="s">
        <v>8388</v>
      </c>
      <c r="F1636" t="s">
        <v>514</v>
      </c>
      <c r="G1636" t="s">
        <v>43</v>
      </c>
      <c r="H1636" t="s">
        <v>44</v>
      </c>
      <c r="I1636" t="s">
        <v>34</v>
      </c>
      <c r="J1636" t="s">
        <v>45</v>
      </c>
      <c r="K1636" t="s">
        <v>41</v>
      </c>
      <c r="L1636" t="s">
        <v>8395</v>
      </c>
      <c r="M1636" t="s">
        <v>8396</v>
      </c>
      <c r="N1636" t="s">
        <v>516</v>
      </c>
      <c r="O1636" t="s">
        <v>64</v>
      </c>
      <c r="P1636" t="s">
        <v>8397</v>
      </c>
      <c r="Q1636" t="s">
        <v>97</v>
      </c>
      <c r="R1636" t="s">
        <v>498</v>
      </c>
      <c r="S1636">
        <v>1.5</v>
      </c>
      <c r="T1636">
        <v>4520</v>
      </c>
      <c r="U1636">
        <v>0</v>
      </c>
      <c r="V1636">
        <v>4520</v>
      </c>
    </row>
    <row r="1637" spans="1:22" x14ac:dyDescent="0.3">
      <c r="A1637">
        <v>192770</v>
      </c>
      <c r="B1637">
        <v>137864418</v>
      </c>
      <c r="C1637" t="s">
        <v>8398</v>
      </c>
      <c r="D1637" t="s">
        <v>8399</v>
      </c>
      <c r="E1637" t="s">
        <v>8388</v>
      </c>
      <c r="F1637" t="s">
        <v>514</v>
      </c>
      <c r="G1637" t="s">
        <v>43</v>
      </c>
      <c r="H1637" t="s">
        <v>44</v>
      </c>
      <c r="I1637" t="s">
        <v>34</v>
      </c>
      <c r="J1637" t="s">
        <v>45</v>
      </c>
      <c r="K1637" t="s">
        <v>41</v>
      </c>
      <c r="L1637" t="s">
        <v>8400</v>
      </c>
      <c r="M1637" t="s">
        <v>8401</v>
      </c>
      <c r="N1637" t="s">
        <v>516</v>
      </c>
      <c r="O1637" t="s">
        <v>64</v>
      </c>
      <c r="P1637" t="s">
        <v>8402</v>
      </c>
      <c r="Q1637" t="s">
        <v>151</v>
      </c>
      <c r="R1637" t="s">
        <v>8403</v>
      </c>
      <c r="S1637">
        <v>1.1000000000000001</v>
      </c>
      <c r="T1637">
        <v>4230</v>
      </c>
      <c r="U1637">
        <v>0</v>
      </c>
      <c r="V1637">
        <v>4230</v>
      </c>
    </row>
    <row r="1638" spans="1:22" x14ac:dyDescent="0.3">
      <c r="A1638">
        <v>192770</v>
      </c>
      <c r="B1638">
        <v>138442413</v>
      </c>
      <c r="C1638" t="s">
        <v>8404</v>
      </c>
      <c r="D1638" t="s">
        <v>8405</v>
      </c>
      <c r="E1638" t="s">
        <v>8388</v>
      </c>
      <c r="F1638" t="s">
        <v>514</v>
      </c>
      <c r="G1638" t="s">
        <v>69</v>
      </c>
      <c r="H1638" t="s">
        <v>70</v>
      </c>
      <c r="I1638" t="s">
        <v>34</v>
      </c>
      <c r="J1638" t="s">
        <v>139</v>
      </c>
      <c r="K1638" t="s">
        <v>41</v>
      </c>
      <c r="L1638" t="s">
        <v>71</v>
      </c>
      <c r="M1638" t="s">
        <v>8406</v>
      </c>
      <c r="N1638" t="s">
        <v>516</v>
      </c>
      <c r="O1638" t="s">
        <v>64</v>
      </c>
      <c r="P1638" t="s">
        <v>8407</v>
      </c>
      <c r="Q1638" t="s">
        <v>77</v>
      </c>
      <c r="R1638" t="s">
        <v>375</v>
      </c>
      <c r="S1638">
        <v>1.58</v>
      </c>
      <c r="T1638">
        <v>4335</v>
      </c>
      <c r="U1638">
        <v>0</v>
      </c>
      <c r="V1638">
        <v>4335</v>
      </c>
    </row>
    <row r="1639" spans="1:22" x14ac:dyDescent="0.3">
      <c r="A1639">
        <v>192770</v>
      </c>
      <c r="B1639">
        <v>137992289</v>
      </c>
      <c r="C1639" t="s">
        <v>8408</v>
      </c>
      <c r="D1639" t="s">
        <v>8409</v>
      </c>
      <c r="E1639" t="s">
        <v>8388</v>
      </c>
      <c r="F1639" t="s">
        <v>514</v>
      </c>
      <c r="G1639" t="s">
        <v>69</v>
      </c>
      <c r="H1639" t="s">
        <v>70</v>
      </c>
      <c r="I1639" t="s">
        <v>34</v>
      </c>
      <c r="J1639" t="s">
        <v>139</v>
      </c>
      <c r="K1639" t="s">
        <v>41</v>
      </c>
      <c r="L1639" t="s">
        <v>71</v>
      </c>
      <c r="M1639" t="s">
        <v>8410</v>
      </c>
      <c r="N1639" t="s">
        <v>516</v>
      </c>
      <c r="O1639" t="s">
        <v>64</v>
      </c>
      <c r="P1639" t="s">
        <v>8411</v>
      </c>
      <c r="Q1639" t="s">
        <v>93</v>
      </c>
      <c r="R1639" t="s">
        <v>8412</v>
      </c>
      <c r="S1639">
        <v>2.73</v>
      </c>
      <c r="T1639">
        <v>4335</v>
      </c>
      <c r="U1639">
        <v>0</v>
      </c>
      <c r="V1639">
        <v>4335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paola yojanna quiroga cepeda</cp:lastModifiedBy>
  <cp:lastPrinted>2023-05-10T17:03:30Z</cp:lastPrinted>
  <dcterms:created xsi:type="dcterms:W3CDTF">2015-10-14T18:59:17Z</dcterms:created>
  <dcterms:modified xsi:type="dcterms:W3CDTF">2026-02-10T21:51:11Z</dcterms:modified>
</cp:coreProperties>
</file>