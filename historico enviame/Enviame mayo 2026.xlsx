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6\Facturación 2026-05 Mayo\Detalles\"/>
    </mc:Choice>
  </mc:AlternateContent>
  <xr:revisionPtr revIDLastSave="0" documentId="8_{3C9D0705-33E0-471B-A845-0C06FF8383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Detalle!$A$1:$X$557718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" i="2" l="1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19" i="2" l="1"/>
  <c r="D2" i="2"/>
  <c r="E21" i="2" l="1"/>
  <c r="E22" i="2" s="1"/>
</calcChain>
</file>

<file path=xl/sharedStrings.xml><?xml version="1.0" encoding="utf-8"?>
<sst xmlns="http://schemas.openxmlformats.org/spreadsheetml/2006/main" count="18700" uniqueCount="5586">
  <si>
    <t>IVA</t>
  </si>
  <si>
    <t>Total</t>
  </si>
  <si>
    <t>Envíos</t>
  </si>
  <si>
    <t>Facturación: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</si>
  <si>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</si>
  <si>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</si>
  <si>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</si>
  <si>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</si>
  <si>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</si>
  <si>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</si>
  <si>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</si>
  <si>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</si>
  <si>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</si>
  <si>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</si>
  <si>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</si>
  <si>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</si>
  <si>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</si>
  <si>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</si>
  <si>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</si>
  <si>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</si>
  <si>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</si>
  <si>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company_id</t>
  </si>
  <si>
    <t>precio</t>
  </si>
  <si>
    <t>total</t>
  </si>
  <si>
    <t>contract_type</t>
  </si>
  <si>
    <t>peso informado por carrier</t>
  </si>
  <si>
    <t>mkp</t>
  </si>
  <si>
    <t>carrier_service_name</t>
  </si>
  <si>
    <t>seguro</t>
  </si>
  <si>
    <t>Entregado</t>
  </si>
  <si>
    <t>STARKEN</t>
  </si>
  <si>
    <t>SKN</t>
  </si>
  <si>
    <t>Normal</t>
  </si>
  <si>
    <t>Concepción</t>
  </si>
  <si>
    <t>La Serena</t>
  </si>
  <si>
    <t>Copiapó</t>
  </si>
  <si>
    <t>Arica</t>
  </si>
  <si>
    <t>Devolucion entregada</t>
  </si>
  <si>
    <t>Viña del Mar</t>
  </si>
  <si>
    <t>Ñuñoa</t>
  </si>
  <si>
    <t>Temuco</t>
  </si>
  <si>
    <t>Curicó</t>
  </si>
  <si>
    <t>Valparaíso</t>
  </si>
  <si>
    <t>Puerto Varas</t>
  </si>
  <si>
    <t>Puerto Montt</t>
  </si>
  <si>
    <t>Colina</t>
  </si>
  <si>
    <t>Buin</t>
  </si>
  <si>
    <t>La Reina</t>
  </si>
  <si>
    <t>Quilpué</t>
  </si>
  <si>
    <t>Punta Arenas</t>
  </si>
  <si>
    <t>Servicio Enviame Connect</t>
  </si>
  <si>
    <t>Servicio Enviame Connect Plus</t>
  </si>
  <si>
    <t>Servicio Enviame Distribucion</t>
  </si>
  <si>
    <t>Servicio Enviame Enviatrack</t>
  </si>
  <si>
    <t>Servicio Enviame Flex</t>
  </si>
  <si>
    <t>Servicio Enviame Marketcenter</t>
  </si>
  <si>
    <t>Servicio Enviame Mensajeria</t>
  </si>
  <si>
    <t>Servicio Enviame por Pagar</t>
  </si>
  <si>
    <t>Servicio Enviame Retiros</t>
  </si>
  <si>
    <t>Servicio Enviame Soporte Tecnico</t>
  </si>
  <si>
    <t>Sevicio Enviame Modelo Cross Dock</t>
  </si>
  <si>
    <t>Pucón</t>
  </si>
  <si>
    <t>Osorno</t>
  </si>
  <si>
    <t>Talca</t>
  </si>
  <si>
    <t>Concón</t>
  </si>
  <si>
    <t>Valdivia</t>
  </si>
  <si>
    <t>San Clemente</t>
  </si>
  <si>
    <t>Rancagua</t>
  </si>
  <si>
    <t>Talagante</t>
  </si>
  <si>
    <t>Antofagasta</t>
  </si>
  <si>
    <t>Chillán</t>
  </si>
  <si>
    <t>San Pedro de la Paz</t>
  </si>
  <si>
    <t>Villarrica</t>
  </si>
  <si>
    <t>Los Andes</t>
  </si>
  <si>
    <t>Coquimbo</t>
  </si>
  <si>
    <t>Lampa</t>
  </si>
  <si>
    <t>Los Ángeles</t>
  </si>
  <si>
    <t>Lota</t>
  </si>
  <si>
    <t>San Felipe</t>
  </si>
  <si>
    <t>Chiguayante</t>
  </si>
  <si>
    <t>Calama</t>
  </si>
  <si>
    <t>Renca</t>
  </si>
  <si>
    <t>Paine</t>
  </si>
  <si>
    <t>Linares</t>
  </si>
  <si>
    <t>Alto Hospicio</t>
  </si>
  <si>
    <t>Hualpén</t>
  </si>
  <si>
    <t>Penco</t>
  </si>
  <si>
    <t>Quintero</t>
  </si>
  <si>
    <t>Talcahuano</t>
  </si>
  <si>
    <t>Melipilla</t>
  </si>
  <si>
    <t>Los Vilos</t>
  </si>
  <si>
    <t>Castro</t>
  </si>
  <si>
    <t>Papudo</t>
  </si>
  <si>
    <t>Tiltil</t>
  </si>
  <si>
    <t>Chimbarongo</t>
  </si>
  <si>
    <t>Nogales</t>
  </si>
  <si>
    <t>Llaillay</t>
  </si>
  <si>
    <t>Bulnes</t>
  </si>
  <si>
    <t>Vicuña</t>
  </si>
  <si>
    <t>Curacaví</t>
  </si>
  <si>
    <t>Rodrigo Rojas</t>
  </si>
  <si>
    <t>Puerto Octay</t>
  </si>
  <si>
    <t>En Reparto</t>
  </si>
  <si>
    <t>EN REPARTO</t>
  </si>
  <si>
    <t>CHILEXPRESS</t>
  </si>
  <si>
    <t>CHX</t>
  </si>
  <si>
    <t>Dia Hábil Siguiente (Express Aéreo)</t>
  </si>
  <si>
    <t>null</t>
  </si>
  <si>
    <t>Claudio González</t>
  </si>
  <si>
    <t>Servicio</t>
  </si>
  <si>
    <t>BLUEXPRESS</t>
  </si>
  <si>
    <t>BLX</t>
  </si>
  <si>
    <t>Express</t>
  </si>
  <si>
    <t>ENTREGADO</t>
  </si>
  <si>
    <t>Frutillar</t>
  </si>
  <si>
    <t>E-Commerce</t>
  </si>
  <si>
    <t>Machalí</t>
  </si>
  <si>
    <t>Nicole Soto</t>
  </si>
  <si>
    <t>Ivan Herrera</t>
  </si>
  <si>
    <t>Sergio Vergara</t>
  </si>
  <si>
    <t>Devolución a remitente</t>
  </si>
  <si>
    <t>Cristian Muñoz</t>
  </si>
  <si>
    <t>Carlos Silva</t>
  </si>
  <si>
    <t>Juan Canales</t>
  </si>
  <si>
    <t>Miguel Rojas</t>
  </si>
  <si>
    <t>Carlos Muñoz</t>
  </si>
  <si>
    <t>Carlos Alvarez</t>
  </si>
  <si>
    <t>En tránsito</t>
  </si>
  <si>
    <t>2026-05-18 21:02</t>
  </si>
  <si>
    <t>2026-05-18 12:06</t>
  </si>
  <si>
    <t>Paulina Donoso</t>
  </si>
  <si>
    <t>2026-05-14 11:07</t>
  </si>
  <si>
    <t>2026-05-12 10:00</t>
  </si>
  <si>
    <t>2026-05-09 11:36</t>
  </si>
  <si>
    <t>2026-05-06 12:06</t>
  </si>
  <si>
    <t>2026-05-06 10:42</t>
  </si>
  <si>
    <t>2026-05-05 11:02</t>
  </si>
  <si>
    <t>2026-04-29 20:04</t>
  </si>
  <si>
    <t>El Tabo</t>
  </si>
  <si>
    <t>Lebu</t>
  </si>
  <si>
    <t>Villa Alemana</t>
  </si>
  <si>
    <t>Constitución</t>
  </si>
  <si>
    <t>Arauco</t>
  </si>
  <si>
    <t>Caldera</t>
  </si>
  <si>
    <t>Requínoa</t>
  </si>
  <si>
    <t>Zapallar</t>
  </si>
  <si>
    <t>Río Bueno</t>
  </si>
  <si>
    <t>Ancud</t>
  </si>
  <si>
    <t>Collipulli</t>
  </si>
  <si>
    <t>Calera</t>
  </si>
  <si>
    <t>Cauquenes</t>
  </si>
  <si>
    <t>El Quisco</t>
  </si>
  <si>
    <t>Panguipulli</t>
  </si>
  <si>
    <t>La Cruz</t>
  </si>
  <si>
    <t>Lanco</t>
  </si>
  <si>
    <t>Peñaflor</t>
  </si>
  <si>
    <t>San Javier</t>
  </si>
  <si>
    <t>Lautaro</t>
  </si>
  <si>
    <t>Llanquihue</t>
  </si>
  <si>
    <t>Mulchén</t>
  </si>
  <si>
    <t>Coronel</t>
  </si>
  <si>
    <t>Vallenar</t>
  </si>
  <si>
    <t>Iquique</t>
  </si>
  <si>
    <t>San Ignacio</t>
  </si>
  <si>
    <t>La Ligua</t>
  </si>
  <si>
    <t>Puchuncaví</t>
  </si>
  <si>
    <t>Salamanca</t>
  </si>
  <si>
    <t>Futrono</t>
  </si>
  <si>
    <t>San Fernando</t>
  </si>
  <si>
    <t>Parral</t>
  </si>
  <si>
    <t>Rengo</t>
  </si>
  <si>
    <t>Santa María</t>
  </si>
  <si>
    <t>Quillón</t>
  </si>
  <si>
    <t>Paillaco</t>
  </si>
  <si>
    <t>Molina</t>
  </si>
  <si>
    <t>El Monte</t>
  </si>
  <si>
    <t>Angol</t>
  </si>
  <si>
    <t>Doñihue</t>
  </si>
  <si>
    <t>Isla de Maipo</t>
  </si>
  <si>
    <t>Taltal</t>
  </si>
  <si>
    <t>Quillota</t>
  </si>
  <si>
    <t>Illapel</t>
  </si>
  <si>
    <t>San Pedro de Atacama</t>
  </si>
  <si>
    <t>Limache</t>
  </si>
  <si>
    <t>Coyhaique</t>
  </si>
  <si>
    <t>Pichilemu</t>
  </si>
  <si>
    <t>Tomé</t>
  </si>
  <si>
    <t>Cañete</t>
  </si>
  <si>
    <t>Los Lagos</t>
  </si>
  <si>
    <t>San Antonio</t>
  </si>
  <si>
    <t>Andacollo</t>
  </si>
  <si>
    <t>Colbún</t>
  </si>
  <si>
    <t>San Esteban</t>
  </si>
  <si>
    <t>Quirihue</t>
  </si>
  <si>
    <t>Nueva Imperial</t>
  </si>
  <si>
    <t>Santa Bárbara</t>
  </si>
  <si>
    <t>Santo Domingo</t>
  </si>
  <si>
    <t>Algarrobo</t>
  </si>
  <si>
    <t>La Unión</t>
  </si>
  <si>
    <t>San Carlos</t>
  </si>
  <si>
    <t>Ovalle</t>
  </si>
  <si>
    <t>Pozo Almonte</t>
  </si>
  <si>
    <t>Victoria</t>
  </si>
  <si>
    <t>Diego de Almagro</t>
  </si>
  <si>
    <t>Curanilahue</t>
  </si>
  <si>
    <t>Graneros</t>
  </si>
  <si>
    <t>Loncoche</t>
  </si>
  <si>
    <t>Santa Cruz</t>
  </si>
  <si>
    <t>Sagrada Familia</t>
  </si>
  <si>
    <t>San Vicente</t>
  </si>
  <si>
    <t>Hijuelas</t>
  </si>
  <si>
    <t>Chépica</t>
  </si>
  <si>
    <t>Olmué</t>
  </si>
  <si>
    <t>Curaco de Vélez</t>
  </si>
  <si>
    <t>Nancagua</t>
  </si>
  <si>
    <t>Los Muermos</t>
  </si>
  <si>
    <t>Rinconada</t>
  </si>
  <si>
    <t>Puyehue</t>
  </si>
  <si>
    <t>Romeral</t>
  </si>
  <si>
    <t>Tocopilla</t>
  </si>
  <si>
    <t>Cartagena</t>
  </si>
  <si>
    <t>Lolol</t>
  </si>
  <si>
    <t>Santa Juana</t>
  </si>
  <si>
    <t>Mejillones</t>
  </si>
  <si>
    <t>Maule</t>
  </si>
  <si>
    <t>Calera de Tango</t>
  </si>
  <si>
    <t>Padre las Casas</t>
  </si>
  <si>
    <t>Longaví</t>
  </si>
  <si>
    <t>Pumanque</t>
  </si>
  <si>
    <t>Las Cabras</t>
  </si>
  <si>
    <t>Cunco</t>
  </si>
  <si>
    <t>Teno</t>
  </si>
  <si>
    <t>Vilcún</t>
  </si>
  <si>
    <t>Casablanca</t>
  </si>
  <si>
    <t>Laja</t>
  </si>
  <si>
    <t>Chañaral</t>
  </si>
  <si>
    <t>Palena</t>
  </si>
  <si>
    <t>Pirque</t>
  </si>
  <si>
    <t>Curepto</t>
  </si>
  <si>
    <t>El Carmen</t>
  </si>
  <si>
    <t>Purranque</t>
  </si>
  <si>
    <t>Galvarino</t>
  </si>
  <si>
    <t>Paiguano</t>
  </si>
  <si>
    <t>Natales</t>
  </si>
  <si>
    <t>Carlos Quezada</t>
  </si>
  <si>
    <t>Claudia Olivos Canales</t>
  </si>
  <si>
    <t>Carolina Salazar</t>
  </si>
  <si>
    <t>Daniela Carrasco</t>
  </si>
  <si>
    <t>Valentina Yañez</t>
  </si>
  <si>
    <t>Franco Ramirez Donoso</t>
  </si>
  <si>
    <t>Chaitén</t>
  </si>
  <si>
    <t>Codegua</t>
  </si>
  <si>
    <t>Quinchao</t>
  </si>
  <si>
    <t>Hector Pérez</t>
  </si>
  <si>
    <t>Carlos Contreras</t>
  </si>
  <si>
    <t>NOMBRE RETIRA: RUT RETIRA: 1-9</t>
  </si>
  <si>
    <t>2026-05-18 13:28</t>
  </si>
  <si>
    <t>NOMBRE RETIRA: CONSERJERIA . . RUT RETIRA: 13465010-9</t>
  </si>
  <si>
    <t>Sergio Barria</t>
  </si>
  <si>
    <t>Cristian Urrutia</t>
  </si>
  <si>
    <t>NOMBRE RETIRA: LUZ MORENO . RUT RETIRA: 27871870-0</t>
  </si>
  <si>
    <t>Jorge Rojas</t>
  </si>
  <si>
    <t>Francisco Pérez</t>
  </si>
  <si>
    <t>Alvaro Bravo</t>
  </si>
  <si>
    <t>2026-05-06 12:11</t>
  </si>
  <si>
    <t>Alexis Rojas</t>
  </si>
  <si>
    <t>Luis Carrasco</t>
  </si>
  <si>
    <t>Pelarco</t>
  </si>
  <si>
    <t>Javiera Carrasco</t>
  </si>
  <si>
    <t>Fernando Rivas</t>
  </si>
  <si>
    <t>Josefa Aspillaga</t>
  </si>
  <si>
    <t>Maria Ramirez</t>
  </si>
  <si>
    <t>2026-05-19 10:59</t>
  </si>
  <si>
    <t>2026-05-17 21:02</t>
  </si>
  <si>
    <t>2026-04-30 11:05</t>
  </si>
  <si>
    <t>Diego Correa</t>
  </si>
  <si>
    <t>Maria Soledad Rodriguez Varela</t>
  </si>
  <si>
    <t>Pasaje Essal 15, Restaurant Chamullo</t>
  </si>
  <si>
    <t>Paulina Lagos</t>
  </si>
  <si>
    <t>Paola Orellana</t>
  </si>
  <si>
    <t>Mauricio Jones</t>
  </si>
  <si>
    <t>Villa Maria Lucia, Pasaje 26 Casa 110 110, Apt. Casa</t>
  </si>
  <si>
    <t>Consuelo Cofré Valenzuela</t>
  </si>
  <si>
    <t>Macarena Loyola Gonzalez</t>
  </si>
  <si>
    <t>Cisnes</t>
  </si>
  <si>
    <t>Los Sauces</t>
  </si>
  <si>
    <t>Rodrigo Fernandez</t>
  </si>
  <si>
    <t>2026-05-06 21:12</t>
  </si>
  <si>
    <t>2026-05-04 12:30</t>
  </si>
  <si>
    <t>2026-05-05 11:01</t>
  </si>
  <si>
    <t>2026-05-07 23:31</t>
  </si>
  <si>
    <t>2026-05-24 20:30</t>
  </si>
  <si>
    <t>DEVOLUCION ENTREGADA</t>
  </si>
  <si>
    <t>Diego Munoz</t>
  </si>
  <si>
    <t>Constanza Sepúlveda</t>
  </si>
  <si>
    <t>Cabo de Hornos</t>
  </si>
  <si>
    <t>Javiera Silva</t>
  </si>
  <si>
    <t>NOMBRE RETIRA: CARLINA RODRIGUES . RUT RETIRA: 11344767-2</t>
  </si>
  <si>
    <t>2026-05-21 20:51</t>
  </si>
  <si>
    <t>2026-05-13 21:29</t>
  </si>
  <si>
    <t>Natalia Salas</t>
  </si>
  <si>
    <t>2026-05-07 11:19</t>
  </si>
  <si>
    <t>2026-05-07 11:16</t>
  </si>
  <si>
    <t>Sandra Alvarez</t>
  </si>
  <si>
    <t>2026-05-18 11:27</t>
  </si>
  <si>
    <t>2026-05-17 21:15</t>
  </si>
  <si>
    <t>Claudia Godoy</t>
  </si>
  <si>
    <t>2026-05-07 10:57</t>
  </si>
  <si>
    <t>2026-05-05 12:36</t>
  </si>
  <si>
    <t>Natalia Diaz</t>
  </si>
  <si>
    <t>Paulina López</t>
  </si>
  <si>
    <t>Daniel Valenzuela</t>
  </si>
  <si>
    <t>Rodrigo Villarroel</t>
  </si>
  <si>
    <t>Jose Rivas</t>
  </si>
  <si>
    <t>Eduardo Rodriguez</t>
  </si>
  <si>
    <t>NOMBRE RETIRA: JUAN . . RUT RETIRA: 53330390-0</t>
  </si>
  <si>
    <t>Jorge Araya</t>
  </si>
  <si>
    <t>Juan Orione 1007</t>
  </si>
  <si>
    <t>Luis Maturana</t>
  </si>
  <si>
    <t>Nombre: rodrigo - Rut: 0</t>
  </si>
  <si>
    <t>2026-05-02 22:04</t>
  </si>
  <si>
    <t>Claudia López</t>
  </si>
  <si>
    <t>Extremo</t>
  </si>
  <si>
    <t>José Castro</t>
  </si>
  <si>
    <t>Roberto Alarcón</t>
  </si>
  <si>
    <t>Jaime Fuentes</t>
  </si>
  <si>
    <t>2026-05-05 11:48</t>
  </si>
  <si>
    <t>2026-05-12 14:24</t>
  </si>
  <si>
    <t>Ohiggins 504</t>
  </si>
  <si>
    <t>Cinthia Silva</t>
  </si>
  <si>
    <t>Christian Silva</t>
  </si>
  <si>
    <t>Paola Lobos</t>
  </si>
  <si>
    <t>Maria Arriagada</t>
  </si>
  <si>
    <t>Sebastian Fuentes</t>
  </si>
  <si>
    <t>Gonzalo Cuevas</t>
  </si>
  <si>
    <t>Lorena Gonzalez</t>
  </si>
  <si>
    <t>Jose Ramirez</t>
  </si>
  <si>
    <t>Alejandra Ferrada</t>
  </si>
  <si>
    <t>Paulina Torres</t>
  </si>
  <si>
    <t>2026-05-11 22:22</t>
  </si>
  <si>
    <t>2026-05-21 20:49</t>
  </si>
  <si>
    <t>Francisca Larraín</t>
  </si>
  <si>
    <t>2026-05-04 11:50</t>
  </si>
  <si>
    <t>2026-05-04 11:42</t>
  </si>
  <si>
    <t>Francisco Alvarez</t>
  </si>
  <si>
    <t>2026-05-11 11:39</t>
  </si>
  <si>
    <t>2026-05-01 21:57</t>
  </si>
  <si>
    <t>NOMBRE RETIRA: LUIS . . RUT RETIRA: 12345678-5</t>
  </si>
  <si>
    <t>#1006</t>
  </si>
  <si>
    <t>Thomas Schmidt</t>
  </si>
  <si>
    <t>Victor Fica</t>
  </si>
  <si>
    <t>Rodrigo Morales</t>
  </si>
  <si>
    <t>Vania Porta</t>
  </si>
  <si>
    <t>Mario Montecinos vicencio</t>
  </si>
  <si>
    <t>2026-05-12 11:05</t>
  </si>
  <si>
    <t>2026-05-15 10:26</t>
  </si>
  <si>
    <t>2026-05-05 11:05</t>
  </si>
  <si>
    <t>Rodrigo Vega</t>
  </si>
  <si>
    <t>Blanca Rojas Arancibia</t>
  </si>
  <si>
    <t>2026-05-18 11:44</t>
  </si>
  <si>
    <t>Victor Araya</t>
  </si>
  <si>
    <t>Valentina Miranda</t>
  </si>
  <si>
    <t>Carlos Espinoza</t>
  </si>
  <si>
    <t>Alejandra Guerra</t>
  </si>
  <si>
    <t>Juan Tapia</t>
  </si>
  <si>
    <t>Francisco Espinoza</t>
  </si>
  <si>
    <t>Matias Silva</t>
  </si>
  <si>
    <t>Rodrigo Toledo</t>
  </si>
  <si>
    <t>Diego Caro</t>
  </si>
  <si>
    <t>Juan Gutierrez</t>
  </si>
  <si>
    <t>Luis Olivares</t>
  </si>
  <si>
    <t>Sebastián Muñoz</t>
  </si>
  <si>
    <t>2026-05-16 10:48</t>
  </si>
  <si>
    <t>Daniel Tapia</t>
  </si>
  <si>
    <t>Ricardo Gonzalez</t>
  </si>
  <si>
    <t>andres garrido</t>
  </si>
  <si>
    <t>Marcela Zúñiga</t>
  </si>
  <si>
    <t>NOMBRE RETIRA: JUAN GUTIERREZ . RUT RETIRA: 12345678-5</t>
  </si>
  <si>
    <t>NOMBRE RETIRA: ANA ROJAS 0 RUT RETIRA: 16005910-9</t>
  </si>
  <si>
    <t>felipe jara</t>
  </si>
  <si>
    <t>2026-05-04 11:36</t>
  </si>
  <si>
    <t>Alejandra Marín</t>
  </si>
  <si>
    <t>2026-05-01 23:14</t>
  </si>
  <si>
    <t>Luis Aguilera</t>
  </si>
  <si>
    <t>2026-04-29 13:22</t>
  </si>
  <si>
    <t>2026-05-01 21:36</t>
  </si>
  <si>
    <t>Claudia Gonzalez</t>
  </si>
  <si>
    <t>Eduardo Olivares</t>
  </si>
  <si>
    <t>Josefa Gajardo</t>
  </si>
  <si>
    <t>Zarella Cifuentes</t>
  </si>
  <si>
    <t>2026-05-01 21:50</t>
  </si>
  <si>
    <t>Carolina Ramírez</t>
  </si>
  <si>
    <t>Nombre: casas patronales - Rut: 652124291</t>
  </si>
  <si>
    <t>Eduardo Diaz</t>
  </si>
  <si>
    <t>Fernando Aliaga</t>
  </si>
  <si>
    <t>0936 Augusto Santelices</t>
  </si>
  <si>
    <t>2026-04-28 16:35</t>
  </si>
  <si>
    <t>2026-05-04 11:47</t>
  </si>
  <si>
    <t>2026-05-04 11:49</t>
  </si>
  <si>
    <t>2026-05-04 11:44</t>
  </si>
  <si>
    <t>Andres González Abarzúa</t>
  </si>
  <si>
    <t>Calle Cuatro N 724</t>
  </si>
  <si>
    <t>Patricio Lazarate</t>
  </si>
  <si>
    <t>NOMBRE RETIRA: ATILIO PARRA . RUT RETIRA: 53313060-7</t>
  </si>
  <si>
    <t>Fernanda Manriquez</t>
  </si>
  <si>
    <t>Paula Contreras</t>
  </si>
  <si>
    <t>2026-05-21 20:44</t>
  </si>
  <si>
    <t>2026-05-14 10:12</t>
  </si>
  <si>
    <t>2026-05-10 21:10</t>
  </si>
  <si>
    <t>2026-05-06 20:58</t>
  </si>
  <si>
    <t>2026-05-04 20:40</t>
  </si>
  <si>
    <t>Rodrigo valenzuela</t>
  </si>
  <si>
    <t>Jaime Silva</t>
  </si>
  <si>
    <t>Jose Espinoza</t>
  </si>
  <si>
    <t>Alexis Olivares</t>
  </si>
  <si>
    <t>Cristian montecino</t>
  </si>
  <si>
    <t>Javier Gomez</t>
  </si>
  <si>
    <t>Diego Escobar</t>
  </si>
  <si>
    <t>2026-05-08 15:54</t>
  </si>
  <si>
    <t>Camila Jimenez</t>
  </si>
  <si>
    <t>Andres Morales</t>
  </si>
  <si>
    <t>2026-05-20 11:16</t>
  </si>
  <si>
    <t>2026-05-12 13:24</t>
  </si>
  <si>
    <t>2026-05-11 13:47</t>
  </si>
  <si>
    <t>Gonzalo Bravo</t>
  </si>
  <si>
    <t>2026-04-30 16:51</t>
  </si>
  <si>
    <t>2026-05-22 11:44</t>
  </si>
  <si>
    <t>2026-05-18 12:43</t>
  </si>
  <si>
    <t>Paula Gómez</t>
  </si>
  <si>
    <t>NOMBRE RETIRA: CONARJERIA O O RUT RETIRA: 12345678-5</t>
  </si>
  <si>
    <t>Pablo Villanueva cortes</t>
  </si>
  <si>
    <t>Cristina Maureira</t>
  </si>
  <si>
    <t>Lorena Alvarez</t>
  </si>
  <si>
    <t>Jorge Ramirez</t>
  </si>
  <si>
    <t>Jaime castillo</t>
  </si>
  <si>
    <t>Valentina Fernandez</t>
  </si>
  <si>
    <t>2026-05-04 11:37</t>
  </si>
  <si>
    <t>2026-05-04 11:45</t>
  </si>
  <si>
    <t>2026-05-19 13:26</t>
  </si>
  <si>
    <t>Hector Ramos</t>
  </si>
  <si>
    <t>2026-05-12 10:03</t>
  </si>
  <si>
    <t>Claudio Gallardo</t>
  </si>
  <si>
    <t>Virgilio Arias 650, 602</t>
  </si>
  <si>
    <t>Andres Valenzuela</t>
  </si>
  <si>
    <t>2026-05-05 19:55</t>
  </si>
  <si>
    <t>2026-05-04 20:41</t>
  </si>
  <si>
    <t>Andres Castillo</t>
  </si>
  <si>
    <t>Juan Pizarro</t>
  </si>
  <si>
    <t>Carlos Medina</t>
  </si>
  <si>
    <t>Alejandra Perez</t>
  </si>
  <si>
    <t>EN TRANSITO</t>
  </si>
  <si>
    <t>Gabriel Cesaro</t>
  </si>
  <si>
    <t>NOMBRE RETIRA: CONDOMINIO NOGAL . RUT RETIRA: 65419140-9</t>
  </si>
  <si>
    <t>Tomas Lopez</t>
  </si>
  <si>
    <t>Rodrigo Oyarzun</t>
  </si>
  <si>
    <t>2026-04-28 14:23</t>
  </si>
  <si>
    <t>Maria Soledad Loayza Rojas</t>
  </si>
  <si>
    <t>2026-05-06 21:02</t>
  </si>
  <si>
    <t>Fernando Silva</t>
  </si>
  <si>
    <t>NOMBRE RETIRA: ANA ROA J RUT RETIRA: 14618916-4</t>
  </si>
  <si>
    <t>Carolina Vergara Llanos</t>
  </si>
  <si>
    <t>18 De Octubre 939</t>
  </si>
  <si>
    <t>Cristobal Romero</t>
  </si>
  <si>
    <t>Pasaje Parque Nacional Nonguen, 3171</t>
  </si>
  <si>
    <t>Viviana González González</t>
  </si>
  <si>
    <t>Francisca Gonzalez Tobar</t>
  </si>
  <si>
    <t>2026-05-13 11:28</t>
  </si>
  <si>
    <t>2026-04-23 10:33</t>
  </si>
  <si>
    <t>Carolina Pereira</t>
  </si>
  <si>
    <t>Fabian Carreño</t>
  </si>
  <si>
    <t>Eduardo Flores</t>
  </si>
  <si>
    <t>Francisco Godoy</t>
  </si>
  <si>
    <t>Luis Castro</t>
  </si>
  <si>
    <t>Ricardo Soto</t>
  </si>
  <si>
    <t>Pablo Salinas</t>
  </si>
  <si>
    <t>Nelson Varas</t>
  </si>
  <si>
    <t>Camila Cepeda</t>
  </si>
  <si>
    <t>Ricardo Rodriguez</t>
  </si>
  <si>
    <t>Jose Parraguez</t>
  </si>
  <si>
    <t>Carlos Valenzuela</t>
  </si>
  <si>
    <t>2026-05-15 21:55</t>
  </si>
  <si>
    <t>2026-04-26 22:07</t>
  </si>
  <si>
    <t>2026-05-19 20:11</t>
  </si>
  <si>
    <t>2026-05-03 20:40</t>
  </si>
  <si>
    <t>2026-05-04 11:40</t>
  </si>
  <si>
    <t>2026-05-05 11:16</t>
  </si>
  <si>
    <t>Jaime Paredes</t>
  </si>
  <si>
    <t>Nicolás Cornejo</t>
  </si>
  <si>
    <t>Luis Galarce</t>
  </si>
  <si>
    <t>Maria Fuentealba</t>
  </si>
  <si>
    <t>Carmen Gloria Salamanca Ossandon</t>
  </si>
  <si>
    <t>Irma Alcayaga 964 Hacienda Mirador</t>
  </si>
  <si>
    <t>Constanza Roa</t>
  </si>
  <si>
    <t>Hector Sepulveda</t>
  </si>
  <si>
    <t>Carolina Gozategui Milesi</t>
  </si>
  <si>
    <t>Sergio Rivera</t>
  </si>
  <si>
    <t>Vanessa Escobar</t>
  </si>
  <si>
    <t>Jaime Espinoza</t>
  </si>
  <si>
    <t>Robinson Cepeda</t>
  </si>
  <si>
    <t>Catalina Carcamo</t>
  </si>
  <si>
    <t>Manuel Cortes</t>
  </si>
  <si>
    <t>Ignacio Carrasco</t>
  </si>
  <si>
    <t>Adolfo Perez</t>
  </si>
  <si>
    <t>Luis Fuenzalida</t>
  </si>
  <si>
    <t>José Figueroa</t>
  </si>
  <si>
    <t>Carlos León</t>
  </si>
  <si>
    <t>2026-05-09 11:21</t>
  </si>
  <si>
    <t>Hugo Silva</t>
  </si>
  <si>
    <t>2026-05-08 20:42</t>
  </si>
  <si>
    <t>Alfonso Riquelme Salinas</t>
  </si>
  <si>
    <t>NOMBRE RETIRA: GUILLERMO ENCINAS . RUT RETIRA: 5772479-K</t>
  </si>
  <si>
    <t>Yasmine Romo Galaz</t>
  </si>
  <si>
    <t>Fabian Elorriaga</t>
  </si>
  <si>
    <t>Rodimenia 220</t>
  </si>
  <si>
    <t>NOMBRE RETIRA: VICTOR MUNOZ . RUT RETIRA: 53300553-5</t>
  </si>
  <si>
    <t>Felipe Pulgar bravo</t>
  </si>
  <si>
    <t>José Vega</t>
  </si>
  <si>
    <t>NOMBRE RETIRA: JORGE SOBARZO . RUT RETIRA: 65049277-3</t>
  </si>
  <si>
    <t>NOMBRE RETIRA: SOLEDAD GONZALEZ K RUT RETIRA: 12318457-2</t>
  </si>
  <si>
    <t>NOMBRE RETIRA: SANDRA ALANIS . RUT RETIRA: 8234117-K</t>
  </si>
  <si>
    <t>GERMAN ANTONIO CARVAJAL BOLVARAN</t>
  </si>
  <si>
    <t>2026-05-22 20:30</t>
  </si>
  <si>
    <t>2026-05-05 19:59</t>
  </si>
  <si>
    <t>Paula Aguilera</t>
  </si>
  <si>
    <t>Sonia Villalobos Roullet</t>
  </si>
  <si>
    <t>2026-05-11 13:51</t>
  </si>
  <si>
    <t>2026-05-15 11:11</t>
  </si>
  <si>
    <t>2026-05-08 11:43</t>
  </si>
  <si>
    <t>2026-05-06 11:11</t>
  </si>
  <si>
    <t>BIT11043354</t>
  </si>
  <si>
    <t>BACK IN TIME</t>
  </si>
  <si>
    <t>Stocka</t>
  </si>
  <si>
    <t>DEVUELTO - Cambio de ot 267478938 por ot 268963963</t>
  </si>
  <si>
    <t>Andrés Javier Diaz Herrera</t>
  </si>
  <si>
    <t>Av. Campos de Deportes 405</t>
  </si>
  <si>
    <t>Parcela Pumalal</t>
  </si>
  <si>
    <t>BIT11044753</t>
  </si>
  <si>
    <t>NOMBRE RETIRA: MARISOL SANCHES SANCHES RUT RETIRA: 11111111-1</t>
  </si>
  <si>
    <t>Marisol Lorena Sanchez Lopez</t>
  </si>
  <si>
    <t>Villa Jhon Wall Psje Burdeos 3655, Casa</t>
  </si>
  <si>
    <t>BIT11044759</t>
  </si>
  <si>
    <t>NOMBRE RETIRA: LUIS ARCE A RUT RETIRA: 28384130-8</t>
  </si>
  <si>
    <t>Marcela Andrea Fuentes Montero</t>
  </si>
  <si>
    <t>TURI 2066 DPTO. 520 EDIF.TURI SUR, dpto. 520</t>
  </si>
  <si>
    <t>BIT11044741</t>
  </si>
  <si>
    <t>NOMBRE RETIRA: OMAR GUTIERREZ . RUT RETIRA: 6897007-5</t>
  </si>
  <si>
    <t>roberto miqueles</t>
  </si>
  <si>
    <t>Amunategui 2130, Depto 122</t>
  </si>
  <si>
    <t>BIT11044765</t>
  </si>
  <si>
    <t>NOMBRE RETIRA: SEBASRIAN OJDA . RUT RETIRA: 19963696-0</t>
  </si>
  <si>
    <t>Ricardo Ampuero ojeda</t>
  </si>
  <si>
    <t>Av monseñor Ramón Munita 1553 ?1553, Local 28</t>
  </si>
  <si>
    <t>BIT11044751</t>
  </si>
  <si>
    <t>NOMBRE RETIRA: ENRIQUE O O RUT RETIRA: 12345678-5</t>
  </si>
  <si>
    <t>Enrique Muñoz Egaña</t>
  </si>
  <si>
    <t>Veteranos Del 79 02809, Jardines del sur</t>
  </si>
  <si>
    <t>BIT11044761</t>
  </si>
  <si>
    <t>NOMBRE RETIRA: PATRUCIA CACHIN C RUT RETIRA: 12005240-3</t>
  </si>
  <si>
    <t>Juan carlos Reyes padilla</t>
  </si>
  <si>
    <t>Mackenna 722</t>
  </si>
  <si>
    <t>BIT11044745</t>
  </si>
  <si>
    <t>NOMBRE RETIRA: ANA SILVA . RUT RETIRA: 7104591-9</t>
  </si>
  <si>
    <t>Gustavo Fuentes</t>
  </si>
  <si>
    <t>Del Castillo 1016, Casa Negra frente a bomberos de Niebla</t>
  </si>
  <si>
    <t>BIT11044708</t>
  </si>
  <si>
    <t>NOMBRE RETIRA: MAURICIO VEAS . RUT RETIRA: 21138663-0</t>
  </si>
  <si>
    <t>Vinka Barrionuevo</t>
  </si>
  <si>
    <t>4178, Casa 68</t>
  </si>
  <si>
    <t>BIT11044735</t>
  </si>
  <si>
    <t>NOMBRE RETIRA: FELIPE POZO . RUT RETIRA: 18827267-3</t>
  </si>
  <si>
    <t>Carla Eloy silorza</t>
  </si>
  <si>
    <t>Aníbal pinto 1303, Depto 140, edificio vista azul</t>
  </si>
  <si>
    <t>BIT11044746</t>
  </si>
  <si>
    <t>NOMBRE RETIRA: JESUS GONZALEZ . RUT RETIRA: 14562072-4</t>
  </si>
  <si>
    <t>Ricardo Krakowiak tichauer</t>
  </si>
  <si>
    <t>Castellón 316, Of 701</t>
  </si>
  <si>
    <t>BIT11044721</t>
  </si>
  <si>
    <t>NOMBRE RETIRA: JOSE CARRASCO . RUT RETIRA: 16510588-5</t>
  </si>
  <si>
    <t>ingrid Sonis</t>
  </si>
  <si>
    <t>Eucaliptus 651, Dpto 51, Dpto 51</t>
  </si>
  <si>
    <t>BIT11044758</t>
  </si>
  <si>
    <t>NOMBRE RETIRA: MALVA PRADO . RUT RETIRA: 7998407-8</t>
  </si>
  <si>
    <t>Ulises Israel Brito Prado</t>
  </si>
  <si>
    <t>Pdte. Arturo Alessandri 1040, 1720296 La Serena, Coquimbo, 1040</t>
  </si>
  <si>
    <t>BIT11044748</t>
  </si>
  <si>
    <t>NOMBRE RETIRA: ROBERTO PPBLETE . RUT RETIRA: 5676581-6</t>
  </si>
  <si>
    <t>Ximena Moraga</t>
  </si>
  <si>
    <t>1 sur 865 oficina 41, Edificio torre talcs</t>
  </si>
  <si>
    <t>BIT11044743</t>
  </si>
  <si>
    <t>NOMBRE RETIRA: JUAN PABLO . RUT RETIRA: 20255950-6</t>
  </si>
  <si>
    <t>Juan Pablo Ross</t>
  </si>
  <si>
    <t>Las Araucarias 60, 23</t>
  </si>
  <si>
    <t>BIT11044760</t>
  </si>
  <si>
    <t>NOMBRE RETIRA: RODRIGO DIAZ . RUT RETIRA: 20542437-7</t>
  </si>
  <si>
    <t>Rodrigo Ernesto Díaz Paredes</t>
  </si>
  <si>
    <t>LAS HERAS 650 OFICINA 506, Oficina 506</t>
  </si>
  <si>
    <t>BIT11044640</t>
  </si>
  <si>
    <t>NOMBRE RETIRA: NORMA SAAVEDRA 0 RUT RETIRA: 9209502-9</t>
  </si>
  <si>
    <t>Norma Saavedra</t>
  </si>
  <si>
    <t>José María Caro 031 Gran Via</t>
  </si>
  <si>
    <t>BIT11044729</t>
  </si>
  <si>
    <t>NOMBRE RETIRA: ARLENE VILCHES . RUT RETIRA: 14315862-4</t>
  </si>
  <si>
    <t>Orlando Cerda. Cerda Silva</t>
  </si>
  <si>
    <t>12 Norte 785, Local 1, Local 1</t>
  </si>
  <si>
    <t>BIT11044692</t>
  </si>
  <si>
    <t>NOMBRE RETIRA: PAMELA ESPINOZA S RUT RETIRA: 12345678-5</t>
  </si>
  <si>
    <t>Pamela Espinoza</t>
  </si>
  <si>
    <t>avenida Miguel Rojas acuña #133 ,San Marcos Antofagasta, casa</t>
  </si>
  <si>
    <t>BIT11044632</t>
  </si>
  <si>
    <t>NOMBRE RETIRA: BRAYAN RIQUELME M RUT RETIRA: 53330383-8</t>
  </si>
  <si>
    <t>felipe cazal</t>
  </si>
  <si>
    <t>Avenida Obispo Valdés Subercaseaux 1857, Depto 322</t>
  </si>
  <si>
    <t>BIT11044717</t>
  </si>
  <si>
    <t>NOMBRE RETIRA: DIEGO . . RUT RETIRA: 19855268-2</t>
  </si>
  <si>
    <t>Diego Latsague</t>
  </si>
  <si>
    <t>Indira Gandhi 680</t>
  </si>
  <si>
    <t>BIT11044711</t>
  </si>
  <si>
    <t>NOMBRE RETIRA: YELIZA GUTIERREZ . RUT RETIRA: 25232984-6</t>
  </si>
  <si>
    <t>carlos roberto hernandez carmona</t>
  </si>
  <si>
    <t>lidia moreno 153, departamento 1809</t>
  </si>
  <si>
    <t>BIT11044689</t>
  </si>
  <si>
    <t>NOMBRE RETIRA: DIEGO ROJAS . RUT RETIRA: 20990121-8</t>
  </si>
  <si>
    <t>Jorge segundo Pallacan Cangana</t>
  </si>
  <si>
    <t>Iquique Avenida salvador Allende 450, Las 4 Reina Margarita 1109</t>
  </si>
  <si>
    <t>BIT11044675</t>
  </si>
  <si>
    <t>NOMBRE RETIRA: JUAQUIN PRIETO H RUT RETIRA: 3006754-1</t>
  </si>
  <si>
    <t>Marisol Echeveria</t>
  </si>
  <si>
    <t>Matias Rojas 1301, 1301</t>
  </si>
  <si>
    <t>BIT11044666</t>
  </si>
  <si>
    <t>NOMBRE RETIRA: CINTIA LEIVA V RUT RETIRA: 21238061-K</t>
  </si>
  <si>
    <t>Juan carlos De la torre</t>
  </si>
  <si>
    <t>Galleguillos lorca 1693, 1604</t>
  </si>
  <si>
    <t>BIT11044694</t>
  </si>
  <si>
    <t>NOMBRE RETIRA: MSUTICIO JONES J RUT RETIRA: 78313783-6</t>
  </si>
  <si>
    <t>BIT11044634</t>
  </si>
  <si>
    <t>NOMBRE RETIRA: JUAN BROWN . RUT RETIRA: 19738131-0</t>
  </si>
  <si>
    <t>Patricia Chamberlain</t>
  </si>
  <si>
    <t>Avenida salvador allende 3678</t>
  </si>
  <si>
    <t>BIT11044657</t>
  </si>
  <si>
    <t>NOMBRE RETIRA: CLAUDIO ARAYA ARAYA RUT RETIRA: 19397860-6</t>
  </si>
  <si>
    <t>Claudio Araya Rodriguez</t>
  </si>
  <si>
    <t>El Yodo 8180, 1801</t>
  </si>
  <si>
    <t>BIT11044700</t>
  </si>
  <si>
    <t>NOMBRE RETIRA: OLAYA ORTIS . RUT RETIRA: 22458968-9</t>
  </si>
  <si>
    <t>Olaya Ortiz</t>
  </si>
  <si>
    <t>Río Maule, 3890</t>
  </si>
  <si>
    <t>BIT11044642</t>
  </si>
  <si>
    <t>NOMBRE RETIRA: CARLOS ROSAS . RUT RETIRA: 20134530-8</t>
  </si>
  <si>
    <t>Nora Carcamo Villarroel</t>
  </si>
  <si>
    <t>Calle Quinchilca 1401, Aserradero Tomeco, Galpon Gris</t>
  </si>
  <si>
    <t>BIT11044643</t>
  </si>
  <si>
    <t>NOMBRE RETIRA: WALTER MONDACA . RUT RETIRA: 7541591-5</t>
  </si>
  <si>
    <t>NOEMI MONDACA</t>
  </si>
  <si>
    <t>Toronto #3711 Iquique</t>
  </si>
  <si>
    <t>BIT11044702</t>
  </si>
  <si>
    <t>NOMBRE RETIRA: MAGDALENA . . RUT RETIRA: 65209655-7</t>
  </si>
  <si>
    <t>Nelson Ramos Bustos</t>
  </si>
  <si>
    <t>4 oriente 375, 208. Torre D</t>
  </si>
  <si>
    <t>BIT11044710</t>
  </si>
  <si>
    <t>NOMBRE RETIRA: EDUARDO ROMWRO . RUT RETIRA: 53318885-0</t>
  </si>
  <si>
    <t>Nancy Retamal ortiz</t>
  </si>
  <si>
    <t>Tucapel 90, Depto 507</t>
  </si>
  <si>
    <t>BIT11044690</t>
  </si>
  <si>
    <t>NOMBRE RETIRA: SIOMARA XALLEG . RUT RETIRA: 28814757-4</t>
  </si>
  <si>
    <t>MARIA ELENA MARTINEZ RIVAS</t>
  </si>
  <si>
    <t>AVDA. CUATRO SUR 2621, DEPTO S 104</t>
  </si>
  <si>
    <t>BIT11044651</t>
  </si>
  <si>
    <t>NOMBRE RETIRA: JAIME ILLAMES X RUT RETIRA: 17438686-2</t>
  </si>
  <si>
    <t>Jaime Illanes</t>
  </si>
  <si>
    <t>Abrasita 433, Dpto 907</t>
  </si>
  <si>
    <t>BIT11044627</t>
  </si>
  <si>
    <t>NOMBRE RETIRA: WALDO PACHECO A RUT RETIRA: 27100513-K</t>
  </si>
  <si>
    <t>Waldo pacheco Pacheco</t>
  </si>
  <si>
    <t>Ubicar En Waze La Higuera Gelateria, Camino A Zapallar K 2</t>
  </si>
  <si>
    <t>BIT11044652</t>
  </si>
  <si>
    <t>NOMBRE RETIRA: CONDOMINIO DON LORENZO ... RUT RETIRA: 7267425-1</t>
  </si>
  <si>
    <t>Hilda Pizarro Matamala</t>
  </si>
  <si>
    <t>Avenida Valparaíso 499, 301</t>
  </si>
  <si>
    <t>BIT11044663</t>
  </si>
  <si>
    <t>NOMBRE RETIRA: ANA SANZANA . RUT RETIRA: 16745607-3</t>
  </si>
  <si>
    <t>BIT11044680</t>
  </si>
  <si>
    <t>NOMBRE RETIRA: YHOANAN VILLALANCA . RUT RETIRA: 13858923-4</t>
  </si>
  <si>
    <t>Sergio Gaete</t>
  </si>
  <si>
    <t>Parque avitacinal río viejo calle violeta parra 1250 Chillán, Casa esquina</t>
  </si>
  <si>
    <t>BIT11044606</t>
  </si>
  <si>
    <t>NOMBRE RETIRA: BANINA ALARCON M RUT RETIRA: 17090962-3</t>
  </si>
  <si>
    <t>Carolina Valenzuela Vega</t>
  </si>
  <si>
    <t>Antonino Toro 914, Depto 3B</t>
  </si>
  <si>
    <t>BIT11044660</t>
  </si>
  <si>
    <t>NOMBRE RETIRA: STEFANI MARIN .. RUT RETIRA: 11111111-1</t>
  </si>
  <si>
    <t>Makarena Barrios</t>
  </si>
  <si>
    <t>Calle Sambra 510, Calle Sambra 510</t>
  </si>
  <si>
    <t>BIT11044672</t>
  </si>
  <si>
    <t>NOMBRE RETIRA: REBECA PARRA . RUT RETIRA: 12161051-5</t>
  </si>
  <si>
    <t>Mirentxu San miguel Bravo</t>
  </si>
  <si>
    <t>Chorrillos 1168, Casa</t>
  </si>
  <si>
    <t>BIT11044650</t>
  </si>
  <si>
    <t>NOMBRE RETIRA: FRANK CNTRERAS C RUT RETIRA: 78313783-6</t>
  </si>
  <si>
    <t>Franck contreras Castillo</t>
  </si>
  <si>
    <t>Bahia de huasco 75 reserva de machali, 75</t>
  </si>
  <si>
    <t>BIT11044648</t>
  </si>
  <si>
    <t>NOMBRE RETIRA: JUAN MORALES . RUT RETIRA: 8853478-6</t>
  </si>
  <si>
    <t>Castellón 316, Oficina 701</t>
  </si>
  <si>
    <t>BIT11044664</t>
  </si>
  <si>
    <t>NOMBRE RETIRA: GILIAN REINERO V RUT RETIRA: 12923228-5</t>
  </si>
  <si>
    <t>María Eugenia Osorio Puente</t>
  </si>
  <si>
    <t>Av Los Presidentes 1339, Casa 14, Casa 14, Casa 14, Casa 14, Casa 14, Casa 14, Casa 14</t>
  </si>
  <si>
    <t>BIT11044669</t>
  </si>
  <si>
    <t>NOMBRE RETIRA: LAURA MORA PORTERA RUT RETIRA: 53332751-6</t>
  </si>
  <si>
    <t>Juan Negrete paredes</t>
  </si>
  <si>
    <t>Pintor gustavo cabello olguin 944, dpto 209, Departamento</t>
  </si>
  <si>
    <t>BIT11044654</t>
  </si>
  <si>
    <t>NOMBRE RETIRA: MARIA ORTIZ . RUT RETIRA: 15519880-K</t>
  </si>
  <si>
    <t>Maria Angelina Ortiz Rifo</t>
  </si>
  <si>
    <t>Jaime Repullo 2901, 2901, 2901</t>
  </si>
  <si>
    <t>BIT11044655</t>
  </si>
  <si>
    <t>NOMBRE RETIRA: OSCAR CARRENO MACIAS RUT RETIRA: 5464125-7</t>
  </si>
  <si>
    <t>Susana Carreño</t>
  </si>
  <si>
    <t>Casa 01167, Pasaje Bandera 01167</t>
  </si>
  <si>
    <t>BIT11044691</t>
  </si>
  <si>
    <t>NOMBRE RETIRA: MARITZA ASTORGA . RUT RETIRA: 65051133-6</t>
  </si>
  <si>
    <t>Chorrillos 12, Casa 10</t>
  </si>
  <si>
    <t>BIT11044599</t>
  </si>
  <si>
    <t>NOMBRE RETIRA: ELIZAVED DELGADO . RUT RETIRA: 12345678-5</t>
  </si>
  <si>
    <t>Elizabeth Delgado Diaz</t>
  </si>
  <si>
    <t>El Alto 2288, casa 11, Condominio Vista Norte</t>
  </si>
  <si>
    <t>BIT11044594</t>
  </si>
  <si>
    <t>NOMBRE RETIRA: JOSE VEAS . RUT RETIRA: 13866306-K</t>
  </si>
  <si>
    <t>BIT11044589</t>
  </si>
  <si>
    <t>NOMBRE RETIRA: ROSA SALINAS . RUT RETIRA: 5698476-3</t>
  </si>
  <si>
    <t>Sebastian Toress</t>
  </si>
  <si>
    <t>Calle chiloe #841, Casa</t>
  </si>
  <si>
    <t>BIT11044623</t>
  </si>
  <si>
    <t>NOMBRE RETIRA: CONDOMINO COSTANERA . . RUT RETIRA: 65063777-1</t>
  </si>
  <si>
    <t>Jorge Igoni Chacana</t>
  </si>
  <si>
    <t>El Azufre 23, Dpto 1202 Torre A</t>
  </si>
  <si>
    <t>BIT11044614</t>
  </si>
  <si>
    <t>NOMBRE RETIRA: JOHANA MELLA . RUT RETIRA: 10337156-2</t>
  </si>
  <si>
    <t>Johana Mella</t>
  </si>
  <si>
    <t>Brasil 327, Local A</t>
  </si>
  <si>
    <t>BIT11044585</t>
  </si>
  <si>
    <t>NOMBRE RETIRA: MAUA FUENTES . RUT RETIRA: 5766616-1</t>
  </si>
  <si>
    <t>Maria Fernanda Fuentealba Concha</t>
  </si>
  <si>
    <t>14 de Febrero 2978, casa</t>
  </si>
  <si>
    <t>BIT11044612</t>
  </si>
  <si>
    <t>NOMBRE RETIRA: PEDRO PARWDES F RUT RETIRA: 9262691-1</t>
  </si>
  <si>
    <t>Juan Azocar Castillo</t>
  </si>
  <si>
    <t>General Velasquez 1046</t>
  </si>
  <si>
    <t>BIT11044624</t>
  </si>
  <si>
    <t>NOMBRE RETIRA: CAROLINA GARCIA A RUT RETIRA: 21370018-9</t>
  </si>
  <si>
    <t>Carolina Baron garcia</t>
  </si>
  <si>
    <t>Pje Jose Carocca 1126, Tierra Viva Oriente., Casa</t>
  </si>
  <si>
    <t>BIT11044579</t>
  </si>
  <si>
    <t>NOMBRE RETIRA: MAURICIO JONES J RUT RETIRA: 13568042-7</t>
  </si>
  <si>
    <t>BIT11044581</t>
  </si>
  <si>
    <t>NOMBRE RETIRA: CRISTOPHER MARTINEZ M RUT RETIRA: 14118399-0</t>
  </si>
  <si>
    <t>CHRISTOPHER MARTINEZ</t>
  </si>
  <si>
    <t>Bernardo OHIGGINS 580, Depto 113</t>
  </si>
  <si>
    <t>BIT11044593</t>
  </si>
  <si>
    <t>NOMBRE RETIRA: ALEJANDRA ARRENDIDO . RUT RETIRA: 13056733-9</t>
  </si>
  <si>
    <t>Alejandra Foradori</t>
  </si>
  <si>
    <t>Los Baleares Norte 1506, 1506</t>
  </si>
  <si>
    <t>BIT11044617</t>
  </si>
  <si>
    <t>NOMBRE RETIRA: CARME SALAMAMCA . RUT RETIRA: 8440070-K</t>
  </si>
  <si>
    <t>BIT11044590</t>
  </si>
  <si>
    <t>NOMBRE RETIRA: LILI ARZOLA . RUT RETIRA: 19479964-0</t>
  </si>
  <si>
    <t>Lily Arzola</t>
  </si>
  <si>
    <t>Huentru 2032, Casa</t>
  </si>
  <si>
    <t>BIT11044603</t>
  </si>
  <si>
    <t>NOMBRE RETIRA: CONSTANZA AGUILAR H RUT RETIRA: 18681129-1</t>
  </si>
  <si>
    <t>Comercializadora D&amp;B SpA</t>
  </si>
  <si>
    <t>Manuel Correa 118, Villa Freire, Panaderia Mataquito</t>
  </si>
  <si>
    <t>BIT11044620</t>
  </si>
  <si>
    <t>NOMBRE RETIRA: FERNANDO ALARCON . RUT RETIRA: 53337258-9</t>
  </si>
  <si>
    <t>Progreso 467, Dpto A203</t>
  </si>
  <si>
    <t>BIT11044332</t>
  </si>
  <si>
    <t>NOMBRE RETIRA: RAMON BARRIA B RUT RETIRA: 15490668-1</t>
  </si>
  <si>
    <t>RAMON BARRIA TAPIA</t>
  </si>
  <si>
    <t>LUIS URIBE 279, BARRIO PRAT</t>
  </si>
  <si>
    <t>BIT11044563</t>
  </si>
  <si>
    <t>NOMBRE RETIRA: ANDRES . . RUT RETIRA: 10635757-9</t>
  </si>
  <si>
    <t>Rosse Ortiz</t>
  </si>
  <si>
    <t>La Filarmonica 11573, Casa</t>
  </si>
  <si>
    <t>BIT11044129</t>
  </si>
  <si>
    <t>NOMBRE RETIRA: NATALY VIDELA . RUT RETIRA: 16066070-8</t>
  </si>
  <si>
    <t>Cristian Ojeda</t>
  </si>
  <si>
    <t>REGIDOR FLORIDOR SOBARZO 351, Depto 201</t>
  </si>
  <si>
    <t>BIT11044404</t>
  </si>
  <si>
    <t>NOMBRE RETIRA: CARMEN SALDIVIA . RUT RETIRA: 10317567-4</t>
  </si>
  <si>
    <t>Paula Abello</t>
  </si>
  <si>
    <t>Roca 875</t>
  </si>
  <si>
    <t>BIT11044552</t>
  </si>
  <si>
    <t>NOMBRE RETIRA: TALIA OAORIO K RUT RETIRA: 12345678-5</t>
  </si>
  <si>
    <t>Talía Osorio</t>
  </si>
  <si>
    <t>Plaza Poniente 662</t>
  </si>
  <si>
    <t>BIT11044269</t>
  </si>
  <si>
    <t>NOMBRE RETIRA: EDUARDO GARAY . RUT RETIRA: 11111111-1</t>
  </si>
  <si>
    <t>EDUARDO GARAY LEVIN</t>
  </si>
  <si>
    <t>MIRAFLORES 624, casa</t>
  </si>
  <si>
    <t>BIT11044565</t>
  </si>
  <si>
    <t>NOMBRE RETIRA: HECTOR RAMOS _ RUT RETIRA: 12345678-5</t>
  </si>
  <si>
    <t>las higueras 671 ?, departamento 906</t>
  </si>
  <si>
    <t>BIT11044527</t>
  </si>
  <si>
    <t>NOMBRE RETIRA: ARLET ROMERO . RUT RETIRA: 26885605-6</t>
  </si>
  <si>
    <t>Karla Ruz varas</t>
  </si>
  <si>
    <t>Anibal pinto 1303, Depto 2201</t>
  </si>
  <si>
    <t>BIT11044551</t>
  </si>
  <si>
    <t>NOMBRE RETIRA: RENATO RAMIREZ RAMIREZ RUT RETIRA: 5834237-8</t>
  </si>
  <si>
    <t>Silvia González Honores</t>
  </si>
  <si>
    <t>César Jiménez Norte 651 Villa Naturales, Casa</t>
  </si>
  <si>
    <t>BIT11044553</t>
  </si>
  <si>
    <t>NOMBRE RETIRA: GABRIEL OLIVA . RUT RETIRA: 9205742-9</t>
  </si>
  <si>
    <t>Karina Macaya</t>
  </si>
  <si>
    <t>Chacabuco 940</t>
  </si>
  <si>
    <t>BIT11044567</t>
  </si>
  <si>
    <t>NOMBRE RETIRA: SANDRA SANMARTIN SANMARTIN RUT RETIRA: 11901545-6</t>
  </si>
  <si>
    <t>Constanza Wagemann Maldonado</t>
  </si>
  <si>
    <t>Diego Duble Urrutia # 4160 - Villuco 4160</t>
  </si>
  <si>
    <t>BIT11044400</t>
  </si>
  <si>
    <t>NOMBRE RETIRA: ISABEL RIVERO . RUT RETIRA: 11111111-1</t>
  </si>
  <si>
    <t>Padre de agostini 01530, 01530-01536</t>
  </si>
  <si>
    <t>BIT11044573</t>
  </si>
  <si>
    <t>NOMBRE RETIRA: CATAMINA OYARZE . RUT RETIRA: 14594469-4</t>
  </si>
  <si>
    <t>Jose Elizondo</t>
  </si>
  <si>
    <t>Tegula 155, Casa reja blanca</t>
  </si>
  <si>
    <t>BIT11044510</t>
  </si>
  <si>
    <t>NOMBRE RETIRA: TERESA . . RUT RETIRA: 9593883-3</t>
  </si>
  <si>
    <t>Cristian Andres Moya Romero</t>
  </si>
  <si>
    <t>Pedro Aguirre Cerda #11092, Casa G6, G6</t>
  </si>
  <si>
    <t>BIT11044572</t>
  </si>
  <si>
    <t>NOMBRE RETIRA: FELIPE OLMOS OLMOS RUT RETIRA: 19394597-K</t>
  </si>
  <si>
    <t>Felipe Olmos</t>
  </si>
  <si>
    <t>Los Trapenses 465</t>
  </si>
  <si>
    <t>BIT11044505</t>
  </si>
  <si>
    <t>NOMBRE RETIRA: CAROL TOREEA . RUT RETIRA: 8727709-7</t>
  </si>
  <si>
    <t>Avenida Cerro Paranal 375, Condominio Antillas IV, edificio Granada 602</t>
  </si>
  <si>
    <t>BIT11044489</t>
  </si>
  <si>
    <t>NOMBRE RETIRA: HUGO PINTO . RUT RETIRA: 12345678-5</t>
  </si>
  <si>
    <t>Hugo Pinto Cortés</t>
  </si>
  <si>
    <t>Arturo Fernandez 2011, 64</t>
  </si>
  <si>
    <t>BIT11044547</t>
  </si>
  <si>
    <t>NOMBRE RETIRA: TERESA SOZA SILVA RUT RETIRA: 11617631-9</t>
  </si>
  <si>
    <t>Norah Briceño</t>
  </si>
  <si>
    <t>Avenida Luis Flores 240,, casa 19</t>
  </si>
  <si>
    <t>BIT11044431</t>
  </si>
  <si>
    <t>NOMBRE RETIRA: DIEFO FALDAMES A RUT RETIRA: 15692585-3</t>
  </si>
  <si>
    <t>DIEGO GALDAMES</t>
  </si>
  <si>
    <t>Libertad 2272</t>
  </si>
  <si>
    <t>BIT11044429</t>
  </si>
  <si>
    <t>NOMBRE RETIRA: JOEL CARTAGENA CARTAGENA RUT RETIRA: 26880772-1</t>
  </si>
  <si>
    <t>sergio oyarzun</t>
  </si>
  <si>
    <t>pedro aguirre cerda 5363, Ferreteria Prat, Ferreteria Prat, Ferreteria Prat</t>
  </si>
  <si>
    <t>BIT11044504</t>
  </si>
  <si>
    <t>NOMBRE RETIRA: BERNARDO ZAMORA , RUT RETIRA: 7716666-1</t>
  </si>
  <si>
    <t>CAROLINA POLANCO</t>
  </si>
  <si>
    <t>2 norte 1323, Apt. Oficina, Apt. Oficina</t>
  </si>
  <si>
    <t>BIT11044452</t>
  </si>
  <si>
    <t>NOMBRE RETIRA: SAMUEL FUENTES C RUT RETIRA: 17201583-2</t>
  </si>
  <si>
    <t>Samuel Fuentes Caballero</t>
  </si>
  <si>
    <t>BIT11044521</t>
  </si>
  <si>
    <t>GUILLERMO SILVA ESTAY</t>
  </si>
  <si>
    <t>155, Bayamon esquina av Borinquen</t>
  </si>
  <si>
    <t>BIT11044435</t>
  </si>
  <si>
    <t>NOMBRE RETIRA: FIORELA CONDORI . RUT RETIRA: 20547832-9</t>
  </si>
  <si>
    <t>Nancy Lobera</t>
  </si>
  <si>
    <t>Humberto palza 5930, 5930</t>
  </si>
  <si>
    <t>BIT11044229</t>
  </si>
  <si>
    <t>NOMBRE RETIRA: HECTOR QUINTUL . RUT RETIRA: 11116893-8</t>
  </si>
  <si>
    <t>Vania Vicelja Sandoval</t>
  </si>
  <si>
    <t>Francisco Bilbao 770, 404</t>
  </si>
  <si>
    <t>BIT11044514</t>
  </si>
  <si>
    <t>NOMBRE RETIRA: HECTOR VIGORUK .. RUT RETIRA: 56061390-3</t>
  </si>
  <si>
    <t>Maria Gómez</t>
  </si>
  <si>
    <t>Norte 829 Esquina 1 Oriente 7 829 829 829 829 829, 829, 829</t>
  </si>
  <si>
    <t>BIT11044530</t>
  </si>
  <si>
    <t>NOMBRE RETIRA: MAURICIO PELAIKO N RUT RETIRA: 17615049-1</t>
  </si>
  <si>
    <t>Carolina Jeria Peters</t>
  </si>
  <si>
    <t>Avenida Ifarle Oriente 6191, Departamento</t>
  </si>
  <si>
    <t>BIT11044511</t>
  </si>
  <si>
    <t>NOMBRE RETIRA: JUA OJEDA . RUT RETIRA: 19814209-3</t>
  </si>
  <si>
    <t>OBISPO FUENZALIDA 1100, 407 B</t>
  </si>
  <si>
    <t>BIT11044506</t>
  </si>
  <si>
    <t>NOMBRE RETIRA: DAVID LITARDO L RUT RETIRA: 56049520-K</t>
  </si>
  <si>
    <t>Rene BARDET</t>
  </si>
  <si>
    <t>Valonia 225 Jardín Del Mar, Depto 51-a</t>
  </si>
  <si>
    <t>BIT11044516</t>
  </si>
  <si>
    <t>NOMBRE RETIRA: MARIA OLEA PINNA RUT RETIRA: 8205559-2</t>
  </si>
  <si>
    <t>Ingrid Olea</t>
  </si>
  <si>
    <t>Condominio Las Palmas, casa 7. San Vicente, Condominio Las Palmas</t>
  </si>
  <si>
    <t>BIT11044488</t>
  </si>
  <si>
    <t>NOMBRE RETIRA: JAVIER PAYERO . RUT RETIRA: 19539204-8</t>
  </si>
  <si>
    <t>Javier Payero Cruz</t>
  </si>
  <si>
    <t>Arturo Prat 2836, Pobl. Rene Schneider</t>
  </si>
  <si>
    <t>BIT11044487</t>
  </si>
  <si>
    <t>NOMBRE RETIRA: NOELIA ANDRADE . RUT RETIRA: 17736384-7</t>
  </si>
  <si>
    <t>Avenida cerro paranal 310 , edificio Áncora departamento 61</t>
  </si>
  <si>
    <t>BIT11044211</t>
  </si>
  <si>
    <t>NOMBRE RETIRA: PABLO YEVENES . RUT RETIRA: 18983116-1</t>
  </si>
  <si>
    <t>Pablo Yevenes Rivas</t>
  </si>
  <si>
    <t>Las tranqueras 862, Casa</t>
  </si>
  <si>
    <t>BIT11044486</t>
  </si>
  <si>
    <t>NOMBRE RETIRA: CONSTANZA VIDAL MORALES RUT RETIRA: 20050382-1</t>
  </si>
  <si>
    <t>Marissa Soto</t>
  </si>
  <si>
    <t>EdifÍcio Mirador De Philippi, Decher 120, Depto 301</t>
  </si>
  <si>
    <t>BIT11044496</t>
  </si>
  <si>
    <t>NOMBRE RETIRA: ANGELICA ABAECA . RUT RETIRA: 10345005-5</t>
  </si>
  <si>
    <t>Angelica Abarca</t>
  </si>
  <si>
    <t>Imperial 645 - Edificio Indigo, Departamento 211</t>
  </si>
  <si>
    <t>BIT11044453</t>
  </si>
  <si>
    <t>NOMBRE RETIRA: RAFAEL CHANDIA M RUT RETIRA: 12059354-4</t>
  </si>
  <si>
    <t>Andy Alanis</t>
  </si>
  <si>
    <t>Avenida universidad 630, 89</t>
  </si>
  <si>
    <t>BIT11044494</t>
  </si>
  <si>
    <t>NOMBRE RETIRA: MIGUEL ESCOBAR R RUT RETIRA: 56049520-K</t>
  </si>
  <si>
    <t>Mauricio Correa Cáceres</t>
  </si>
  <si>
    <t>General Bulnes 503, Ed.4, Depto.313, Reñaca, Viña del Mar, Ed.4 Depto. 313</t>
  </si>
  <si>
    <t>BIT11044430</t>
  </si>
  <si>
    <t>NOMBRE RETIRA: JAVIERA MOLINOS A RUT RETIRA: 12606123-4</t>
  </si>
  <si>
    <t>Javiera Molinos Matus</t>
  </si>
  <si>
    <t>Calle carrera, Departamento molinos</t>
  </si>
  <si>
    <t>BIT11044461</t>
  </si>
  <si>
    <t>NOMBRE RETIRA: MAURICIO FEREO FERRO RUT RETIRA: 19908558-1</t>
  </si>
  <si>
    <t>Jordi Palou Rivera</t>
  </si>
  <si>
    <t>Avenida Pedro de Valdivia 1839, Depto 62</t>
  </si>
  <si>
    <t>BIT11044432</t>
  </si>
  <si>
    <t>NOMBRE RETIRA: MARIA ALVAREZ -- RUT RETIRA: 14239015-9</t>
  </si>
  <si>
    <t>María Alvarez Bulnes</t>
  </si>
  <si>
    <t>San Joaquín 1508, Depto 41B</t>
  </si>
  <si>
    <t>BIT11044476</t>
  </si>
  <si>
    <t>Javiera Rozas</t>
  </si>
  <si>
    <t>Nahuelbuta interior 1520 depto 13A, Depto 13A</t>
  </si>
  <si>
    <t>BIT11044403</t>
  </si>
  <si>
    <t>NOMBRE RETIRA: JUAN CARLOS VILLANUEVA 0 RUT RETIRA: 12345678-5</t>
  </si>
  <si>
    <t>Yorna Garrido Rodriguez</t>
  </si>
  <si>
    <t>Tulio Bagnara 2171-A   Interior Pasaje</t>
  </si>
  <si>
    <t>BIT11044464</t>
  </si>
  <si>
    <t>NOMBRE RETIRA: CONSTANZA FUENTES . RUT RETIRA: 15268381-2</t>
  </si>
  <si>
    <t>Constanza Fuentes Carrasco</t>
  </si>
  <si>
    <t>Cochrane 1269, Casa</t>
  </si>
  <si>
    <t>BIT11044428</t>
  </si>
  <si>
    <t>NOMBRE RETIRA: FLORENCIA VIDAL . RUT RETIRA: 16464994-6</t>
  </si>
  <si>
    <t>Lorenza Vidal Toledo</t>
  </si>
  <si>
    <t>Errazuriz 3021</t>
  </si>
  <si>
    <t>BIT11044490</t>
  </si>
  <si>
    <t>NOMBRE RETIRA: FRANCO TRAVERSO TRABERSO RUT RETIRA: 15103844-1</t>
  </si>
  <si>
    <t>Franco Traverso Pradenas</t>
  </si>
  <si>
    <t>Lombardi #1533 Villa Florencia V, 1533</t>
  </si>
  <si>
    <t>BIT11044467</t>
  </si>
  <si>
    <t>NOMBRE RETIRA: MAGDALENA VALDEZ N RUT RETIRA: 16540000-3</t>
  </si>
  <si>
    <t>Magdalena Valdz Durán</t>
  </si>
  <si>
    <t>Pasaje Las Lengas 2000 Portal Araucaria</t>
  </si>
  <si>
    <t>BIT11044450</t>
  </si>
  <si>
    <t>NOMBRE RETIRA: PARQUE PKNARES COMSEJE JANNY RUT RETIRA: 53334109-8</t>
  </si>
  <si>
    <t>CARLA FERNANDA VALDÉS ESCOBAR</t>
  </si>
  <si>
    <t>LAGO BERTRAND 120 PARQUE PINARES, DEPARTAMENTO ICACO 401</t>
  </si>
  <si>
    <t>BIT11044471</t>
  </si>
  <si>
    <t>NOMBRE RETIRA: SARA CARVAJAL FD RUT RETIRA: 12038921-1</t>
  </si>
  <si>
    <t>Mariana Cathalifaud</t>
  </si>
  <si>
    <t>Galvarino 90 El Llano Coquimbo, ClÍnica Veterinaria</t>
  </si>
  <si>
    <t>BIT11044463</t>
  </si>
  <si>
    <t>NOMBRE RETIRA: BERNARDINO ESPINOZA . RUT RETIRA: 5608222-0</t>
  </si>
  <si>
    <t>Gonzalo Allendes</t>
  </si>
  <si>
    <t>Los espinos 273, Casa</t>
  </si>
  <si>
    <t>BIT11044395</t>
  </si>
  <si>
    <t>NOMBRE RETIRA: ALBERTO . . RUT RETIRA: 22721556-9</t>
  </si>
  <si>
    <t>Alberto Ordenes</t>
  </si>
  <si>
    <t>Casa, Estación cerritos bayos 8508</t>
  </si>
  <si>
    <t>BIT11044413</t>
  </si>
  <si>
    <t>NOMBRE RETIRA: JUAN GUARDA . RUT RETIRA: 17692931-6</t>
  </si>
  <si>
    <t>Condominio san Andrés las uvas 128, 128</t>
  </si>
  <si>
    <t>BIT11044394</t>
  </si>
  <si>
    <t>NOMBRE RETIRA: GILVERTO REYES . RUT RETIRA: 17736384-7</t>
  </si>
  <si>
    <t>Jocelyn Gribbell</t>
  </si>
  <si>
    <t>Avenida Cerro Paranal 375, 1002 grenada</t>
  </si>
  <si>
    <t>BIT11044107</t>
  </si>
  <si>
    <t>NOMBRE RETIRA: SOLEDAD GONZALES . RUT RETIRA: 11111111-1</t>
  </si>
  <si>
    <t>Soledad Gonzalez Mansilla</t>
  </si>
  <si>
    <t>Vil El Golf, OstiÓn 983</t>
  </si>
  <si>
    <t>BIT11044417</t>
  </si>
  <si>
    <t>NOMBRE RETIRA: MARCOS GARCIA A RUT RETIRA: 14115020-0</t>
  </si>
  <si>
    <t>marcos garcia</t>
  </si>
  <si>
    <t>Diego de Almagro 308</t>
  </si>
  <si>
    <t>BIT11044389</t>
  </si>
  <si>
    <t>NOMBRE RETIRA: ENRIQUE VITERI ALDUNATE RUT RETIRA: 2151124-2</t>
  </si>
  <si>
    <t>Enrique Viteri</t>
  </si>
  <si>
    <t>El Inca 250</t>
  </si>
  <si>
    <t>BIT11044392</t>
  </si>
  <si>
    <t>NOMBRE RETIRA: CARLOS MENDEZ N RUT RETIRA: 53301181-0</t>
  </si>
  <si>
    <t>Cristian Morales Galvez</t>
  </si>
  <si>
    <t>Baquedano 1, 52</t>
  </si>
  <si>
    <t>BIT11044393</t>
  </si>
  <si>
    <t>NOMBRE RETIRA: CRUSTOBAL ESPINOZA O RUT RETIRA: 19090144-0</t>
  </si>
  <si>
    <t>Lissette Villamán</t>
  </si>
  <si>
    <t>Juan MartÍnez De Rozas 475, Depto 1208, Depto 1208</t>
  </si>
  <si>
    <t>BIT11044390</t>
  </si>
  <si>
    <t>NOMBRE RETIRA: ROSIO SAEZ CONSERJW RUT RETIRA: 5252433-4</t>
  </si>
  <si>
    <t>Felipe Altamirano Zarate</t>
  </si>
  <si>
    <t>Parques de Carriel 5580, Casa 24</t>
  </si>
  <si>
    <t>BIT11044401</t>
  </si>
  <si>
    <t>Cesar Sandoval</t>
  </si>
  <si>
    <t>Ventus 1424, Casa</t>
  </si>
  <si>
    <t>BIT11044415</t>
  </si>
  <si>
    <t>NOMBRE RETIRA: ALICIA GERERO P RUT RETIRA: 13251609-K</t>
  </si>
  <si>
    <t>Alicia Guerrero</t>
  </si>
  <si>
    <t>General Escala 1051, 6</t>
  </si>
  <si>
    <t>BIT11044397</t>
  </si>
  <si>
    <t>NOMBRE RETIRA: HENRY . . RUT RETIRA: 7637388-4</t>
  </si>
  <si>
    <t>Henry Wagner Fetense</t>
  </si>
  <si>
    <t>El Acantilado 851, Lomas de mirasur</t>
  </si>
  <si>
    <t>BIT11044374</t>
  </si>
  <si>
    <t>NOMBRE RETIRA: LUIS ARAYA A RUT RETIRA: 65175823-8</t>
  </si>
  <si>
    <t>Diego Avaria</t>
  </si>
  <si>
    <t>De Veer 1388, Dpto 604</t>
  </si>
  <si>
    <t>BIT11044236</t>
  </si>
  <si>
    <t>NOMBRE RETIRA: MARTA NUNEZ GOMZALEZ RUT RETIRA: 11469198-4</t>
  </si>
  <si>
    <t>Marta Nuñez</t>
  </si>
  <si>
    <t>Carlos condell 017, Casa</t>
  </si>
  <si>
    <t>BIT11044382</t>
  </si>
  <si>
    <t>NOMBRE RETIRA: LUIS CASTRO . RUT RETIRA: 7920228-2</t>
  </si>
  <si>
    <t>Ivan Castro Duran</t>
  </si>
  <si>
    <t>Pasaje 3 casa 7 Villa Universitaria, 7</t>
  </si>
  <si>
    <t>BIT11044371</t>
  </si>
  <si>
    <t>NOMBRE RETIRA: GRIZLEY IZQUIER . RUT RETIRA: 27110607-6</t>
  </si>
  <si>
    <t>Leonardo Carrillo Belmar</t>
  </si>
  <si>
    <t>Calle Nueva  1280 - Depto 802 A, Altos del Valle</t>
  </si>
  <si>
    <t>BIT11044362</t>
  </si>
  <si>
    <t>NOMBRE RETIRA: ANGELICA VALEZ A RUT RETIRA: 16134733-7</t>
  </si>
  <si>
    <t>Francis Resk</t>
  </si>
  <si>
    <t>Avda Turi 2066, Depto 821</t>
  </si>
  <si>
    <t>BIT11044196</t>
  </si>
  <si>
    <t>NOMBRE RETIRA: MAURICIO PIZARRO H RUT RETIRA: 15011680-5</t>
  </si>
  <si>
    <t>Mauricio Pizarro Hidalgo</t>
  </si>
  <si>
    <t>Pasaje esmeralda 2537, Casa</t>
  </si>
  <si>
    <t>BIT11044366</t>
  </si>
  <si>
    <t>NOMBRE RETIRA: BARBARA . . RUT RETIRA: 13871545-0</t>
  </si>
  <si>
    <t>George Quicham</t>
  </si>
  <si>
    <t>Avenida Rica Aventura 11701, Departamento 705, Edificio 3</t>
  </si>
  <si>
    <t>BIT11044264</t>
  </si>
  <si>
    <t>NOMBRE RETIRA: ROSITA URBINA A RUT RETIRA: 20657442-9</t>
  </si>
  <si>
    <t>Rosa Salamanca Bravo</t>
  </si>
  <si>
    <t>Población chile pasaje los castaños 2618</t>
  </si>
  <si>
    <t>BIT11044372</t>
  </si>
  <si>
    <t>NOMBRE RETIRA: RODRIGO GUAJARDO H RUT RETIRA: 27225720-5</t>
  </si>
  <si>
    <t>Rodrigo Guajardo Urzua</t>
  </si>
  <si>
    <t>Villota 496</t>
  </si>
  <si>
    <t>BIT11044350</t>
  </si>
  <si>
    <t>NOMBRE RETIRA: CAROLINA LARRONDO . RUT RETIRA: 10287621-0</t>
  </si>
  <si>
    <t>Roxana Larrondo larrondo</t>
  </si>
  <si>
    <t>Granaderos 3250</t>
  </si>
  <si>
    <t>BIT11044248</t>
  </si>
  <si>
    <t>NOMBRE RETIRA: IRIS CONCHA M RUT RETIRA: 18232609-7</t>
  </si>
  <si>
    <t>14 de Febrero 2978</t>
  </si>
  <si>
    <t>BIT11044369</t>
  </si>
  <si>
    <t>NOMBRE RETIRA: BERNARDO BSRZ . RUT RETIRA: 13972859-9</t>
  </si>
  <si>
    <t>Bernardo Baez Perez Baez</t>
  </si>
  <si>
    <t>Avda. Rene Schneider # 2188 - NOVA HACIENDA, Casa</t>
  </si>
  <si>
    <t>BIT11044324</t>
  </si>
  <si>
    <t>NOMBRE RETIRA: CLAUDIO SEPULVEDA . RUT RETIRA: 12847563-K</t>
  </si>
  <si>
    <t>Claudio Sepulveda basaez</t>
  </si>
  <si>
    <t>pasaje lago calafquen 095 villa alemana, CASA 095    Calafquen esquina llanquihue</t>
  </si>
  <si>
    <t>BIT11044349</t>
  </si>
  <si>
    <t>NOMBRE RETIRA: JORGE HERMOSILLA . RUT RETIRA: 9860078-7</t>
  </si>
  <si>
    <t>Humberto Rivera Soto</t>
  </si>
  <si>
    <t>Martínez de Rozas 1145, Dpto 508</t>
  </si>
  <si>
    <t>BIT11044319</t>
  </si>
  <si>
    <t>NOMBRE RETIRA: MILENA VILLALOBOS B. RUT RETIRA: 10235016-2</t>
  </si>
  <si>
    <t>Maryori Cartes</t>
  </si>
  <si>
    <t>Cobija 3650, Casa</t>
  </si>
  <si>
    <t>BIT11044335</t>
  </si>
  <si>
    <t>NOMBRE RETIRA: RAUL AGUILERA A RUT RETIRA: 11821511-7</t>
  </si>
  <si>
    <t>Raul Aguilera</t>
  </si>
  <si>
    <t>Monseñor Giovani Figari 4235</t>
  </si>
  <si>
    <t>BIT11044313</t>
  </si>
  <si>
    <t>NOMBRE RETIRA: YASNA ROCHA __ RUT RETIRA: 12345678-5</t>
  </si>
  <si>
    <t>Valentina avalos monardez</t>
  </si>
  <si>
    <t>Avenida pacifico 3100, 1005</t>
  </si>
  <si>
    <t>BIT11044223</t>
  </si>
  <si>
    <t>NOMBRE RETIRA: JERSON . . RUT RETIRA: 21233298-4</t>
  </si>
  <si>
    <t>Ivan Angelo Ramirez Castillo</t>
  </si>
  <si>
    <t>Los conquistadores 13960, Casa 49-  Condominio Caspana</t>
  </si>
  <si>
    <t>BIT11044242</t>
  </si>
  <si>
    <t>NOMBRE RETIRA: CARLOS SOTO 0 RUT RETIRA: 22222222-2</t>
  </si>
  <si>
    <t>carlos soto rojas</t>
  </si>
  <si>
    <t>pedro gamboni 0507, casa</t>
  </si>
  <si>
    <t>BIT11044340</t>
  </si>
  <si>
    <t>NOMBRE RETIRA: DANIEL SALINAS . RUT RETIRA: 22561414-8</t>
  </si>
  <si>
    <t>Daniel Salinas Moraga</t>
  </si>
  <si>
    <t>Casa, El Voqui 216</t>
  </si>
  <si>
    <t>BIT11044268</t>
  </si>
  <si>
    <t>NOMBRE RETIRA: YGOR MARTINEZ M RUT RETIRA: 6881433-2</t>
  </si>
  <si>
    <t>Igor Martinez</t>
  </si>
  <si>
    <t>El yodo 8180, Departamento 501</t>
  </si>
  <si>
    <t>BIT11044296</t>
  </si>
  <si>
    <t>NOMBRE RETIRA: MEDELIS . . RUT RETIRA: 7359065-5</t>
  </si>
  <si>
    <t>Mario Ortiz</t>
  </si>
  <si>
    <t>Sergio Ortega 380, 1203</t>
  </si>
  <si>
    <t>BIT11044276</t>
  </si>
  <si>
    <t>Fernanda Rojas gonzalez</t>
  </si>
  <si>
    <t>Av jaime guzman 4300, 407</t>
  </si>
  <si>
    <t>BIT11044186</t>
  </si>
  <si>
    <t>Carlos Briceño</t>
  </si>
  <si>
    <t>Av. Rica aventura 10950, Casa 1</t>
  </si>
  <si>
    <t>BIT11044300</t>
  </si>
  <si>
    <t>NOMBRE RETIRA: DANIELA MARIPANGUI A RUT RETIRA: 16590479-6</t>
  </si>
  <si>
    <t>Daniela Maripangui Diaz</t>
  </si>
  <si>
    <t>Villa Galilea, Valladolid 1524, Casa</t>
  </si>
  <si>
    <t>BIT11044183</t>
  </si>
  <si>
    <t>NOMBRE RETIRA: RODRIGI VALENZUELA HN RUT RETIRA: 12345678-5</t>
  </si>
  <si>
    <t>Río Doñihue 1456, Casa</t>
  </si>
  <si>
    <t>BIT11044346</t>
  </si>
  <si>
    <t>NOMBRE RETIRA: ADOLFO ACOSYA CJ RUT RETIRA: 25865281-9</t>
  </si>
  <si>
    <t>21 de mayo 2163, 1306</t>
  </si>
  <si>
    <t>BIT11044235</t>
  </si>
  <si>
    <t>NOMBRE RETIRA: NOCOLAS TRIVINO . RUT RETIRA: 16966034-4</t>
  </si>
  <si>
    <t>Angelo Morales Tapia</t>
  </si>
  <si>
    <t>Base Aérea Cerro Moreno</t>
  </si>
  <si>
    <t>BIT11044260</t>
  </si>
  <si>
    <t>NOMBRE RETIRA: SANTIAGO DELGADO . RUT RETIRA: 17736384-7</t>
  </si>
  <si>
    <t>Estefanía Rojas Saá</t>
  </si>
  <si>
    <t>Cerro Paranal 270, Puyehue 166, 270</t>
  </si>
  <si>
    <t>BIT11044329</t>
  </si>
  <si>
    <t>NOMBRE RETIRA: KARINA MACAYA . RUT RETIRA: 13512216-5</t>
  </si>
  <si>
    <t>BIT11044343</t>
  </si>
  <si>
    <t>NOMBRE RETIRA: JESSICA VALENZUELA .. RUT RETIRA: 12783214-5</t>
  </si>
  <si>
    <t>Marcos Peña</t>
  </si>
  <si>
    <t>Arturo Prat 564 Local 8 videojuegos Alex</t>
  </si>
  <si>
    <t>BIT11044293</t>
  </si>
  <si>
    <t>NOMBRE RETIRA: MAGDALENA FUENTES . RUT RETIRA: 8997042-3</t>
  </si>
  <si>
    <t>Giannina Morel Fuentes</t>
  </si>
  <si>
    <t>Rene schneider, 201</t>
  </si>
  <si>
    <t>BIT11044246</t>
  </si>
  <si>
    <t>NOMBRE RETIRA: FELIPE CARRASCO . RUT RETIRA: 8672889-3</t>
  </si>
  <si>
    <t>Felipe Carrasco Walker</t>
  </si>
  <si>
    <t>Fernando Hoffmann 1761, Casa</t>
  </si>
  <si>
    <t>BIT11044217</t>
  </si>
  <si>
    <t>NOMBRE RETIRA: XIMENA MUNOZ . RUT RETIRA: 11043763-3</t>
  </si>
  <si>
    <t>ximena muñoz</t>
  </si>
  <si>
    <t>rapurapu  66 villa rapanui, casa color azul subiendo mano derecha</t>
  </si>
  <si>
    <t>BIT11044327</t>
  </si>
  <si>
    <t>NOMBRE RETIRA: GUILLERMO MARFAN MARFAN . RUT RETIRA: 65603540-4</t>
  </si>
  <si>
    <t>Pedro Schencke</t>
  </si>
  <si>
    <t>Nueva Libertad 1690, Depto 1401</t>
  </si>
  <si>
    <t>BIT11044266</t>
  </si>
  <si>
    <t>NOMBRE RETIRA: JUAN NOVOA . RUT RETIRA: 12539233-4</t>
  </si>
  <si>
    <t>Martin Sepulveda</t>
  </si>
  <si>
    <t>Calle chinquihue 2#1987, sector costa chinquio</t>
  </si>
  <si>
    <t>BIT11044216</t>
  </si>
  <si>
    <t>NOMBRE RETIRA: ROBERTO GAJARDO . RUT RETIRA: 16769616-3</t>
  </si>
  <si>
    <t>Roberto Gajardo</t>
  </si>
  <si>
    <t>Hugo barnes rios, 1751</t>
  </si>
  <si>
    <t>BIT11044247</t>
  </si>
  <si>
    <t>NOMBRE RETIRA: PEDRO ROJAS . RUT RETIRA: 16000469-K</t>
  </si>
  <si>
    <t>Pedro Rojas Salinas</t>
  </si>
  <si>
    <t>Carlos Morales 91</t>
  </si>
  <si>
    <t>BIT11044232</t>
  </si>
  <si>
    <t>NOMBRE RETIRA: MARCOS CORTEZ . RUT RETIRA: 53336919-7</t>
  </si>
  <si>
    <t>Pasaje Poseck 0595,, 301</t>
  </si>
  <si>
    <t>BIT11044315</t>
  </si>
  <si>
    <t>NOMBRE RETIRA: ALBARO PASTEN. . RUT RETIRA: 15802667-8</t>
  </si>
  <si>
    <t>Nicole Bozo</t>
  </si>
  <si>
    <t>Carmenere # 1410, Casa, villa la viña</t>
  </si>
  <si>
    <t>BIT11044311</t>
  </si>
  <si>
    <t>NOMBRE RETIRA: VERONICA ANGULO . RUT RETIRA: 9425176-1</t>
  </si>
  <si>
    <t>PATRICIO ROJAS GALLARDO</t>
  </si>
  <si>
    <t>Sargento Aldea N° 560</t>
  </si>
  <si>
    <t>BIT11044221</t>
  </si>
  <si>
    <t>NOMBRE RETIRA: MARIA CUELLAR CONSERJE RUT RETIRA: 13749325-K</t>
  </si>
  <si>
    <t>Victor Zuñiga Arancibia</t>
  </si>
  <si>
    <t>Av. Rene Schneider 2031, Dpto 1112, torre 2</t>
  </si>
  <si>
    <t>BIT11044321</t>
  </si>
  <si>
    <t>NOMBRE RETIRA: ALEJANDRO STUARDO S RUT RETIRA: 16218458-K</t>
  </si>
  <si>
    <t>Alejandro Stuardo</t>
  </si>
  <si>
    <t>San Carlos 1708, Barrio Toledo</t>
  </si>
  <si>
    <t>BIT11044284</t>
  </si>
  <si>
    <t>NOMBRE RETIRA: JULIO VALDES . RUT RETIRA: 10595912-5</t>
  </si>
  <si>
    <t>Victor hugo Parada Sandoval</t>
  </si>
  <si>
    <t>MartÍnez De Rosas 475, Depto 1703</t>
  </si>
  <si>
    <t>BIT11044170</t>
  </si>
  <si>
    <t>NOMBRE RETIRA: DIEGO RAMIRES . RUT RETIRA: 19870793-7</t>
  </si>
  <si>
    <t>BIT11044250</t>
  </si>
  <si>
    <t>NOMBRE RETIRA: CRISTIAN SAENZ . RUT RETIRA: 16947088-K</t>
  </si>
  <si>
    <t>Flores millan 1350, 11</t>
  </si>
  <si>
    <t>BIT11044227</t>
  </si>
  <si>
    <t>NOMBRE RETIRA: CAROLINA URRUTIA . RUT RETIRA: 15502628-6</t>
  </si>
  <si>
    <t>Damarys Aeschlimann</t>
  </si>
  <si>
    <t>Pasaje Edimburgo, 1441</t>
  </si>
  <si>
    <t>BIT11044279</t>
  </si>
  <si>
    <t>NOMBRE RETIRA: GABRIEL CESARO . RUT RETIRA: 15118319-0</t>
  </si>
  <si>
    <t>Villa Terracruz, Casa 671, Casa 671</t>
  </si>
  <si>
    <t>BIT11044219</t>
  </si>
  <si>
    <t>NOMBRE RETIRA: LUIS AGUILERA . RUT RETIRA: 7203551-8</t>
  </si>
  <si>
    <t>Av. Carlos Diaz Nª 97 casa 5 Los Andes</t>
  </si>
  <si>
    <t>BIT11044136</t>
  </si>
  <si>
    <t>NOMBRE RETIRA: JOAQUIN CHOQUE . RUT RETIRA: 22209103-9</t>
  </si>
  <si>
    <t>Angie Choque</t>
  </si>
  <si>
    <t>Alonso de camargo 2350, 2350</t>
  </si>
  <si>
    <t>BIT11044295</t>
  </si>
  <si>
    <t>NOMBRE RETIRA: GUILLERMO OLIVARWS . RUT RETIRA: 53309592-5</t>
  </si>
  <si>
    <t>Reynaldo Nuñez</t>
  </si>
  <si>
    <t>4 Norte 277, departamento 83</t>
  </si>
  <si>
    <t>BIT11044273</t>
  </si>
  <si>
    <t>Adolfo Araya</t>
  </si>
  <si>
    <t>Avenida Pedro Aguirre Cerda 295, Depto 911</t>
  </si>
  <si>
    <t>BIT11044150</t>
  </si>
  <si>
    <t>NOMBRE RETIRA: JORGE WEGNER X RUT RETIRA: 4860465-K</t>
  </si>
  <si>
    <t>Rolando Werner</t>
  </si>
  <si>
    <t>Calle los ulmos 62 , Panguipulli, Los ulmos número 62</t>
  </si>
  <si>
    <t>BIT11044302</t>
  </si>
  <si>
    <t>NOMBRE RETIRA: GUSTAVO MORAGA B RUT RETIRA: 53324065-8</t>
  </si>
  <si>
    <t>cristopher Ritz</t>
  </si>
  <si>
    <t>Avenida bellavista 550 dpto 103 A concepción, Avenida bellavista 550 dpto 103 A concepción</t>
  </si>
  <si>
    <t>BIT11044277</t>
  </si>
  <si>
    <t>NOMBRE RETIRA: BRISA ASCENCIO . RUT RETIRA: 10210020-4</t>
  </si>
  <si>
    <t>alex de la sotta</t>
  </si>
  <si>
    <t>Pasaje Rio Mapocho 2603 Villa el Recodo, 10662625-1</t>
  </si>
  <si>
    <t>BIT11044322</t>
  </si>
  <si>
    <t>Gabriela Correa</t>
  </si>
  <si>
    <t>Av Ohiggins 1528, Local</t>
  </si>
  <si>
    <t>BIT11044222</t>
  </si>
  <si>
    <t>NOMBRE RETIRA: YURI PALACIPS J RUT RETIRA: 65222155-6</t>
  </si>
  <si>
    <t>Maipu 1256, Depto 602</t>
  </si>
  <si>
    <t>BIT11044225</t>
  </si>
  <si>
    <t>NOMBRE RETIRA: VICTORIA GATICA . RUT RETIRA: 9180882-K</t>
  </si>
  <si>
    <t>Juan carlos Gatica Cardenas</t>
  </si>
  <si>
    <t>Avenida argentina 897, Taller electrico</t>
  </si>
  <si>
    <t>BIT11044259</t>
  </si>
  <si>
    <t>NOMBRE RETIRA: FERNANDO LIPEZ . RUT RETIRA: 13366409-2</t>
  </si>
  <si>
    <t>Lidia Fredes Lopez</t>
  </si>
  <si>
    <t>La Febre Ocoa 17, Sitio 17</t>
  </si>
  <si>
    <t>BIT11044212</t>
  </si>
  <si>
    <t>NOMBRE RETIRA: MARICEL CUEVAS O RUT RETIRA: 12345678-5</t>
  </si>
  <si>
    <t>Maricel Cuevas</t>
  </si>
  <si>
    <t>Arturo Prat, 2191</t>
  </si>
  <si>
    <t>BIT11044160</t>
  </si>
  <si>
    <t>NOMBRE RETIRA: SANDRA TORRES . RUT RETIRA: 20725559-9</t>
  </si>
  <si>
    <t>Sandra Torres Romero</t>
  </si>
  <si>
    <t>José de Garrò 954</t>
  </si>
  <si>
    <t>BIT11044171</t>
  </si>
  <si>
    <t>NOMBRE RETIRA: DENISE MOLINA A RUT RETIRA: 15631350-5</t>
  </si>
  <si>
    <t>Denisse Molina</t>
  </si>
  <si>
    <t>Circunvalación 1569 Galilea, 1569</t>
  </si>
  <si>
    <t>BIT11044176</t>
  </si>
  <si>
    <t>NOMBRE RETIRA: COKE SANTIBANEZ . RUT RETIRA: 20224612-5</t>
  </si>
  <si>
    <t>coke santibañez</t>
  </si>
  <si>
    <t>Villa el porvenir,  calle tierra amarilla #465</t>
  </si>
  <si>
    <t>BIT11044173</t>
  </si>
  <si>
    <t>NOMBRE RETIRA: DANIELA HERNADEZ . RUT RETIRA: 17071280-3</t>
  </si>
  <si>
    <t>Daniela Hernández Jerez</t>
  </si>
  <si>
    <t>Casa, Esteban Del Canto 1357</t>
  </si>
  <si>
    <t>BIT11044184</t>
  </si>
  <si>
    <t>NOMBRE RETIRA: HECTOT VADQUEX H RUT RETIRA: 10177764-2</t>
  </si>
  <si>
    <t>Raul Gonzalez Gavilan</t>
  </si>
  <si>
    <t>Guillermo Matta 256</t>
  </si>
  <si>
    <t>BIT11044185</t>
  </si>
  <si>
    <t>NOMBRE RETIRA: NICOLAS CALVO . RUT RETIRA: 15385451-3</t>
  </si>
  <si>
    <t>Nicolas Calvo</t>
  </si>
  <si>
    <t>Km7 camino ensenada, Camino paraguay acceso olaya hermosa, Casa n6 negra condominio casona</t>
  </si>
  <si>
    <t>BIT11044175</t>
  </si>
  <si>
    <t>NOMBRE RETIRA: FLAVIA PRUSO . . RUT RETIRA: 9116097-8</t>
  </si>
  <si>
    <t>Flavia Pruzzo Guerra</t>
  </si>
  <si>
    <t>Camino La Capilla, Boco, Paradero 11 y medio</t>
  </si>
  <si>
    <t>BIT11044198</t>
  </si>
  <si>
    <t>NOMBRE RETIRA: SERGIO LAGOS .... RUT RETIRA: 13847257-4</t>
  </si>
  <si>
    <t>Sergio Lagos</t>
  </si>
  <si>
    <t>Héroes Navales 560 balneario Los Molinos, Casa</t>
  </si>
  <si>
    <t>BIT11044141</t>
  </si>
  <si>
    <t>NOMBRE RETIRA: OLAYA ORTIZ . RUT RETIRA: 12274628-3</t>
  </si>
  <si>
    <t>Rio maule 3890, Peñuelas</t>
  </si>
  <si>
    <t>BIT11044195</t>
  </si>
  <si>
    <t>NOMBRE RETIRA: ROBERTO ALARCON . RUT RETIRA: 13951536-6</t>
  </si>
  <si>
    <t>Las Violetas 1687, Depto. 317B, Edificio Vivo Huertos</t>
  </si>
  <si>
    <t>BIT11044168</t>
  </si>
  <si>
    <t>NOMBRE RETIRA: DANIEL IRIARTE A RUT RETIRA: 22324478-5</t>
  </si>
  <si>
    <t>Daniel Iriarte Alfaro</t>
  </si>
  <si>
    <t>Casa, Valle Apacible 4249</t>
  </si>
  <si>
    <t>BIT11044135</t>
  </si>
  <si>
    <t>NOMBRE RETIRA: MONICA VIFORENA VIGORENA RUT RETIRA: 17722663-7</t>
  </si>
  <si>
    <t>Monica Vigorena Saldaña</t>
  </si>
  <si>
    <t>Calle Condell 474, Departamento D</t>
  </si>
  <si>
    <t>BIT11044137</t>
  </si>
  <si>
    <t>NOMBRE RETIRA: CLAUDIA VALDES . RUT RETIRA: 12850853-8</t>
  </si>
  <si>
    <t>Claudio Higuera</t>
  </si>
  <si>
    <t>Blanco 1663 oficina 1204, Edificio Mar del Sur Torre 1</t>
  </si>
  <si>
    <t>BIT11044156</t>
  </si>
  <si>
    <t>NOMBRE RETIRA: MARJORIE RIVERA R RUT RETIRA: 13894707-6</t>
  </si>
  <si>
    <t>BIT11044174</t>
  </si>
  <si>
    <t>NOMBRE RETIRA: ANDRES GARRIDO . RUT RETIRA: 17575914-K</t>
  </si>
  <si>
    <t>Avenida blanca vergara, 1647</t>
  </si>
  <si>
    <t>BIT11044188</t>
  </si>
  <si>
    <t>NOMBRE RETIRA: PATRICIO GAJARDO . RUT RETIRA: 13252009-7</t>
  </si>
  <si>
    <t>Patricio Gajardo Cuevas</t>
  </si>
  <si>
    <t>Rancagua 1699, Local</t>
  </si>
  <si>
    <t>BIT11044143</t>
  </si>
  <si>
    <t>NOMBRE RETIRA: ALEXANDRA CONCHA . RUT RETIRA: 20803149-K</t>
  </si>
  <si>
    <t>José Hernán Soto Vera</t>
  </si>
  <si>
    <t>avenida Isidoro del solar 21, 21</t>
  </si>
  <si>
    <t>BIT11044172</t>
  </si>
  <si>
    <t>NOMBRE RETIRA: FREDY SEPULVEDA SALBADOR RUT RETIRA: 16408940-1</t>
  </si>
  <si>
    <t>Freddy Sepulveda</t>
  </si>
  <si>
    <t>Judith alpi 607, Portal del libertador</t>
  </si>
  <si>
    <t>BIT11044144</t>
  </si>
  <si>
    <t>NOMBRE RETIRA: ELIAS MEDINA . . RUT RETIRA: 13258089-8</t>
  </si>
  <si>
    <t>Elías Medina Consuegra</t>
  </si>
  <si>
    <t>Benjamín Moerhlen 348</t>
  </si>
  <si>
    <t>BIT11044166</t>
  </si>
  <si>
    <t>NOMBRE RETIRA: KARINA MUNOZ MUNOZ RUT RETIRA: 17621322-1</t>
  </si>
  <si>
    <t>Karina Muñoz lopez</t>
  </si>
  <si>
    <t>Silverio Saldaña abarca, 625</t>
  </si>
  <si>
    <t>BIT11043973</t>
  </si>
  <si>
    <t>NOMBRE RETIRA: NORA MEDINA VAAMONDE RUT RETIRA: 13868756-2</t>
  </si>
  <si>
    <t>Rolo Med</t>
  </si>
  <si>
    <t>Salamanca #4181, 4 etapa 11 septiembre, casa</t>
  </si>
  <si>
    <t>BIT11044121</t>
  </si>
  <si>
    <t>NOMBRE RETIRA: ANDREA MAMANI . RUT RETIRA: 41156254-9</t>
  </si>
  <si>
    <t>Daniela Bañados</t>
  </si>
  <si>
    <t>galleguillos Lorca1682, 403</t>
  </si>
  <si>
    <t>BIT11044132</t>
  </si>
  <si>
    <t>NOMBRE RETIRA: ALEJANDRA AVALOA J RUT RETIRA: 24462176-7</t>
  </si>
  <si>
    <t>Alejandra Ávalos</t>
  </si>
  <si>
    <t>Iquique 3857, 38</t>
  </si>
  <si>
    <t>BIT11044097</t>
  </si>
  <si>
    <t>NOMBRE RETIRA: KELVIN GONZALEZ . RUT RETIRA: 26941318-2</t>
  </si>
  <si>
    <t>Ana Alcayaga Erazo</t>
  </si>
  <si>
    <t>Av Arturo Prat 3783, 1003</t>
  </si>
  <si>
    <t>BIT11044130</t>
  </si>
  <si>
    <t>NOMBRE RETIRA: FABIAN BELMAR . . RUT RETIRA: 12553824-K</t>
  </si>
  <si>
    <t>marianela inostroza parada</t>
  </si>
  <si>
    <t>jose santos ossa 370 condominio tala, casa 110</t>
  </si>
  <si>
    <t>BIT11044123</t>
  </si>
  <si>
    <t>NOMBRE RETIRA: MIGUEL ARCE H RUT RETIRA: 9140662-4</t>
  </si>
  <si>
    <t>Cynthia Tapia</t>
  </si>
  <si>
    <t>CopiapÓ, Avenida El Palomar 1892, Depto 702 702</t>
  </si>
  <si>
    <t>BIT11044127</t>
  </si>
  <si>
    <t>NOMBRE RETIRA: RINA GONZALEZ N RUT RETIRA: 12607161-2</t>
  </si>
  <si>
    <t>Rina Ginzalez Moya</t>
  </si>
  <si>
    <t>23 sur $370</t>
  </si>
  <si>
    <t>BIT11044083</t>
  </si>
  <si>
    <t>NOMBRE RETIRA: JIMENA FLORES . RUT RETIRA: 23360233-7</t>
  </si>
  <si>
    <t>Antonio Olivares Ramos</t>
  </si>
  <si>
    <t>Valle de Azapa, Km 12</t>
  </si>
  <si>
    <t>BIT11044092</t>
  </si>
  <si>
    <t>Alejandra Fritis Estay</t>
  </si>
  <si>
    <t>Inglaterra 371, Casa</t>
  </si>
  <si>
    <t>BIT11044118</t>
  </si>
  <si>
    <t>NOMBRE RETIRA: STEFANI MARIN . RUT RETIRA: 11111111-1</t>
  </si>
  <si>
    <t>BIT11044112</t>
  </si>
  <si>
    <t>NOMBRE RETIRA: ALBERTO MARTIME, K RUT RETIRA: 5763728-5</t>
  </si>
  <si>
    <t>Carolina Jurgens</t>
  </si>
  <si>
    <t>Barros Arana 1375</t>
  </si>
  <si>
    <t>BIT11044051</t>
  </si>
  <si>
    <t>NOMBRE RETIRA: SAMUEL CARVAJAL . RUT RETIRA: 6030637-0</t>
  </si>
  <si>
    <t>Felipe Carvajal Ramírez</t>
  </si>
  <si>
    <t>Chapiquiña 2660</t>
  </si>
  <si>
    <t>BIT11044101</t>
  </si>
  <si>
    <t>NOMBRE RETIRA: DIEGO TORRES . RUT RETIRA: 23072707-4</t>
  </si>
  <si>
    <t>Diego Torrez Torrez</t>
  </si>
  <si>
    <t>Casa 5662 Poblacion El Golf, Ollague 5662</t>
  </si>
  <si>
    <t>BIT11044096</t>
  </si>
  <si>
    <t>NOMBRE RETIRA: MARIA SILVA . RUT RETIRA: 7460140-5</t>
  </si>
  <si>
    <t>Eduardo Yaryes</t>
  </si>
  <si>
    <t>Calle 8 4352</t>
  </si>
  <si>
    <t>BIT11044076</t>
  </si>
  <si>
    <t>NOMBRE RETIRA: HERNAN SOTO SAN MARTIN RUT RETIRA: 16838822-5</t>
  </si>
  <si>
    <t>Hernan Soto San Martin</t>
  </si>
  <si>
    <t>Borde Lago Norte 523</t>
  </si>
  <si>
    <t>REL714574</t>
  </si>
  <si>
    <t>NOMBRE RETIRA: FRANCISCO ENCINA .. RUT RETIRA: 19941686-3</t>
  </si>
  <si>
    <t>Francisco Encina Araya</t>
  </si>
  <si>
    <t>Monseñor Jose Fagnano #242</t>
  </si>
  <si>
    <t>BIT11044102</t>
  </si>
  <si>
    <t>NOMBRE RETIRA: GABRIELA ROTH . RUT RETIRA: 12850853-8</t>
  </si>
  <si>
    <t>Rodrigo Chamorro</t>
  </si>
  <si>
    <t>Almirante señoret 70 piso 10, Edificio</t>
  </si>
  <si>
    <t>BIT11044095</t>
  </si>
  <si>
    <t>NOMBRE RETIRA: FERNANDO PINO N RUT RETIRA: 65200575-6</t>
  </si>
  <si>
    <t>FELIPE CERDA MORALES</t>
  </si>
  <si>
    <t>El Mirador 741 casa 65</t>
  </si>
  <si>
    <t>BIT11043895</t>
  </si>
  <si>
    <t>NOMBRE RETIRA: ITALO VERA . RUT RETIRA: 26968019-9</t>
  </si>
  <si>
    <t>Italo Vera inostroza</t>
  </si>
  <si>
    <t>Lago villarica 650, B 210 condominio mirador del valle,mirador de renaca</t>
  </si>
  <si>
    <t>BIT11044064</t>
  </si>
  <si>
    <t>NOMBRE RETIRA: JORGE RAMIREZ A RUT RETIRA: 12345678-5</t>
  </si>
  <si>
    <t>Avenida Cerro Paranal 380, depto 173 B</t>
  </si>
  <si>
    <t>BIT11044113</t>
  </si>
  <si>
    <t>NOMBRE RETIRA: GUSTAVO SALGADO . RUT RETIRA: 12533484-9</t>
  </si>
  <si>
    <t>Gustavo Salgado</t>
  </si>
  <si>
    <t>InÉs De SuÁrez 1240, Centro Veterinario</t>
  </si>
  <si>
    <t>BIT11044099</t>
  </si>
  <si>
    <t>NOMBRE RETIRA: PAZ GUTIERREZ . RUT RETIRA: 12345678-5</t>
  </si>
  <si>
    <t>Paz Anais Gutierrez</t>
  </si>
  <si>
    <t>pacifico 750 torre D 305 condominio jardines del mar 3, departamento</t>
  </si>
  <si>
    <t>BIT11044098</t>
  </si>
  <si>
    <t>NOMBRE RETIRA: COMSTANZA SEPULVEDA A RUT RETIRA: 7377643-0</t>
  </si>
  <si>
    <t>Las Heras 226, Dpto 404, Dpto 404</t>
  </si>
  <si>
    <t>BIT11044068</t>
  </si>
  <si>
    <t>Av. La Tirana 4800, Torre B Dpto. 603, Edificio Costa Sur</t>
  </si>
  <si>
    <t>BIT11044110</t>
  </si>
  <si>
    <t>NOMBRE RETIRA: FELIPE OLMOS CRUZ RUT RETIRA: 19394597-K</t>
  </si>
  <si>
    <t>BIT11044080</t>
  </si>
  <si>
    <t>NOMBRE RETIRA: GONZALO GOMEZ FD RUT RETIRA: 15038635-7</t>
  </si>
  <si>
    <t>Pedro Gómez Gómez rodriguez</t>
  </si>
  <si>
    <t>Videla 145 coquimbo, Casa</t>
  </si>
  <si>
    <t>BIT11043981</t>
  </si>
  <si>
    <t>NOMBRE RETIRA: ALBERTP CORTEZ . RUT RETIRA: 56052360-2</t>
  </si>
  <si>
    <t>Patricio Maraboli</t>
  </si>
  <si>
    <t>Héroes de la Concepción 2370 depto 905 torre C, 905 Torre C</t>
  </si>
  <si>
    <t>BIT11044013</t>
  </si>
  <si>
    <t>NOMBRE RETIRA: LILIAN LOPEZ . RUT RETIRA: 18824729-6</t>
  </si>
  <si>
    <t>Jose David Collao Collao</t>
  </si>
  <si>
    <t>Vivar 1580, 1903</t>
  </si>
  <si>
    <t>BIT11044043</t>
  </si>
  <si>
    <t>NOMBRE RETIRA: JOSE ASTORGA . RUT RETIRA: 53322213-7</t>
  </si>
  <si>
    <t>Blas Aguilera</t>
  </si>
  <si>
    <t>Nahuelbuta 1720, 64</t>
  </si>
  <si>
    <t>BIT11044038</t>
  </si>
  <si>
    <t>NOMBRE RETIRA: CLAUDIA VILLALOBOS . RUT RETIRA: 10642540-K</t>
  </si>
  <si>
    <t>Tamara Urra</t>
  </si>
  <si>
    <t>Avenida Arturo Prat Chacón 353, Depto 905</t>
  </si>
  <si>
    <t>BIT11043980</t>
  </si>
  <si>
    <t>NOMBRE RETIRA: ROSA SEGUEL . RUT RETIRA: 12206095-0</t>
  </si>
  <si>
    <t>BIT11044021</t>
  </si>
  <si>
    <t>NOMBRE RETIRA: NANXY ALVARADO . RUT RETIRA: 7265111-1</t>
  </si>
  <si>
    <t>BIT11043988</t>
  </si>
  <si>
    <t>NOMBRE RETIRA: JORGE PENALOZA A RUT RETIRA: 12345678-5</t>
  </si>
  <si>
    <t>JORGE PEÑALOZA</t>
  </si>
  <si>
    <t>AV CERRO PARANAL 320, DEPTO 063, Depto 063</t>
  </si>
  <si>
    <t>BIT11044073</t>
  </si>
  <si>
    <t>NOMBRE RETIRA: FCO ROMERO . RUT RETIRA: 56041900-7</t>
  </si>
  <si>
    <t>Maria Pia Sanhueza</t>
  </si>
  <si>
    <t>Balmaceda 1625 Dpto 81 B, Condominio Travesía Recreo</t>
  </si>
  <si>
    <t>BIT11044077</t>
  </si>
  <si>
    <t>NOMBRE RETIRA: CARMEN BUSTOS . RUT RETIRA: 14059623-K</t>
  </si>
  <si>
    <t>BIT11044050</t>
  </si>
  <si>
    <t>NOMBRE RETIRA: AURORA . . RUT RETIRA: 12345678-5</t>
  </si>
  <si>
    <t>solange smulders</t>
  </si>
  <si>
    <t>arturo prat 330, recreo viña del mar, 52</t>
  </si>
  <si>
    <t>BIT11043997</t>
  </si>
  <si>
    <t>NOMBRE RETIRA: CALEB MOSCOSO . RUT RETIRA: 28420010-1</t>
  </si>
  <si>
    <t>REL714587</t>
  </si>
  <si>
    <t>NOMBRE RETIRA: JOSE ROMERO . RUT RETIRA: 11111111-1</t>
  </si>
  <si>
    <t>Tulio carrasco</t>
  </si>
  <si>
    <t>Pasaje lago sarmiento 04341</t>
  </si>
  <si>
    <t>BIT11043974</t>
  </si>
  <si>
    <t>NOMBRE RETIRA: JOSELYN GONZALES . RUT RETIRA: 11614864-1</t>
  </si>
  <si>
    <t>Alejandro Marin</t>
  </si>
  <si>
    <t>Abracita 433, 1504</t>
  </si>
  <si>
    <t>BIT11043998</t>
  </si>
  <si>
    <t>NOMBRE RETIRA: OLGA BARRA . RUT RETIRA: 16632070-4</t>
  </si>
  <si>
    <t>Olga Barra Barra</t>
  </si>
  <si>
    <t>Pucon, Brasil 327 C</t>
  </si>
  <si>
    <t>BIT11043590</t>
  </si>
  <si>
    <t>NOMBRE RETIRA: LAURA DIAZ . RUT RETIRA: 11111111-1</t>
  </si>
  <si>
    <t>Jorge Bustos Gallardo</t>
  </si>
  <si>
    <t>Lorenzo Bondallaz 01236, Villa Cervinia</t>
  </si>
  <si>
    <t>BIT11044055</t>
  </si>
  <si>
    <t>NOMBRE RETIRA: MARIA BURGOS A RUT RETIRA: 12416108-8</t>
  </si>
  <si>
    <t>Eduardo Aedo</t>
  </si>
  <si>
    <t>Av Colon 998-B</t>
  </si>
  <si>
    <t>BIT11044018</t>
  </si>
  <si>
    <t>NOMBRE RETIRA: DESMOND SERRANO . RUT RETIRA: 8101687-9</t>
  </si>
  <si>
    <t>Desmond Serrano</t>
  </si>
  <si>
    <t>Balmaceda 469-A</t>
  </si>
  <si>
    <t>BIT11043971</t>
  </si>
  <si>
    <t>NOMBRE RETIRA: JAIME ILLANEA X RUT RETIRA: 19967162-6</t>
  </si>
  <si>
    <t>Jaime Illanes Lopez</t>
  </si>
  <si>
    <t>Abrasita 433, Dpto 907 edificio Las Torcazas</t>
  </si>
  <si>
    <t>BIT11044019</t>
  </si>
  <si>
    <t>NOMBRE RETIRA: JESICA LIPAN VENEGAS RUT RETIRA: 19939332-4</t>
  </si>
  <si>
    <t>Jessica Lipan Venegas</t>
  </si>
  <si>
    <t>Pasaje Tacora 873</t>
  </si>
  <si>
    <t>BIT11043989</t>
  </si>
  <si>
    <t>NOMBRE RETIRA: RAUL LAZCANO LAZCANO RUT RETIRA: 20093697-3</t>
  </si>
  <si>
    <t>Raul Lazcano</t>
  </si>
  <si>
    <t>Verdes Campinas 3179, 63</t>
  </si>
  <si>
    <t>BIT11043976</t>
  </si>
  <si>
    <t>NOMBRE RETIRA: ALVARO PENA N RUT RETIRA: 10834942-5</t>
  </si>
  <si>
    <t>Álvaro Peña</t>
  </si>
  <si>
    <t>Río de Janeiro 132, Edificio Roma  (en construcción )</t>
  </si>
  <si>
    <t>BIT11044025</t>
  </si>
  <si>
    <t>NOMBRE RETIRA: FRANK VONTRETAD F RUT RETIRA: 78313783-6</t>
  </si>
  <si>
    <t>BIT11044039</t>
  </si>
  <si>
    <t>NOMBRE RETIRA: NORAH BRICENO ARAYA RUT RETIRA: 9851090-7</t>
  </si>
  <si>
    <t>Avenida Luis Flores 240, 19</t>
  </si>
  <si>
    <t>BIT11044028</t>
  </si>
  <si>
    <t>NOMBRE RETIRA: ANGELA SILVA LL RUT RETIRA: 16338676-3</t>
  </si>
  <si>
    <t>Rene Silva</t>
  </si>
  <si>
    <t>Julio buschman 2222, Hotel mackenna</t>
  </si>
  <si>
    <t>BIT11043984</t>
  </si>
  <si>
    <t>NOMBRE RETIRA: RICARDO MARIN . RUT RETIRA: 9036056-6</t>
  </si>
  <si>
    <t>Ricardo Marín Correa</t>
  </si>
  <si>
    <t>1 Poniente 123, Oficina 401</t>
  </si>
  <si>
    <t>BIT11044009</t>
  </si>
  <si>
    <t>NOMBRE RETIRA: ABIGAIL MONTOYA . RUT RETIRA: 20255950-6</t>
  </si>
  <si>
    <t>Abigail Montoya Fuentes</t>
  </si>
  <si>
    <t>Los Boldos,calle 8 Oriente con calle Nueva, Chiguayante, Casa1</t>
  </si>
  <si>
    <t>BIT11043993</t>
  </si>
  <si>
    <t>NOMBRE RETIRA: JUMIOR GONZALES . RUT RETIRA: 26876255-8</t>
  </si>
  <si>
    <t>CLAUDIO GONZALEZ</t>
  </si>
  <si>
    <t>CIENFUEGOS 698, Oficina</t>
  </si>
  <si>
    <t>BIT11044017</t>
  </si>
  <si>
    <t>NOMBRE RETIRA: IGNACIO CARRASCO . RUT RETIRA: 18271735-5</t>
  </si>
  <si>
    <t>Obispo Francisco Valdes 99 Placilla, Valparaíso, Casa 99</t>
  </si>
  <si>
    <t>BIT11043992</t>
  </si>
  <si>
    <t>NOMBRE RETIRA: RODRIGO MORALES A RUT RETIRA: 5642679-5</t>
  </si>
  <si>
    <t>Cumming 1176</t>
  </si>
  <si>
    <t>BIT11043986</t>
  </si>
  <si>
    <t>NOMBRE RETIRA: MARCELA OSORIO . RUT RETIRA: 9941581-9</t>
  </si>
  <si>
    <t>Lidia Fredes</t>
  </si>
  <si>
    <t>La Febre Ocoa 17</t>
  </si>
  <si>
    <t>BIT11043938</t>
  </si>
  <si>
    <t>NOMBRE RETIRA: PEDRO SILVA PERAGALLO RUT RETIRA: 8443538-4</t>
  </si>
  <si>
    <t>Pedro Silva Peragallo</t>
  </si>
  <si>
    <t>Pencahue Plaza 690 Ruta H-76, Lado club social de Pencahue Plaza</t>
  </si>
  <si>
    <t>BIT11043954</t>
  </si>
  <si>
    <t>NOMBRE RETIRA: JUAQUIN HENRIQUEZ A RUT RETIRA: 21182619-3</t>
  </si>
  <si>
    <t>Rodrigo Henríquez</t>
  </si>
  <si>
    <t>Tomas Daskam 1492, Villa Los Canelos</t>
  </si>
  <si>
    <t>BIT11044883</t>
  </si>
  <si>
    <t>713078596042</t>
  </si>
  <si>
    <t>Nombre: Nelson Sturdo - Rut: 137889900</t>
  </si>
  <si>
    <t>Nelson Stuardo Rojas</t>
  </si>
  <si>
    <t>Manuel Rodriguez 1229, Casa</t>
  </si>
  <si>
    <t>2026-05-28 21:07</t>
  </si>
  <si>
    <t>BIT11044832</t>
  </si>
  <si>
    <t>713077333334</t>
  </si>
  <si>
    <t>Nombre: Alirio gascon - Rut: 92283682</t>
  </si>
  <si>
    <t>Aliro Gascón</t>
  </si>
  <si>
    <t>Manuel Rodriguez 580 1er piso</t>
  </si>
  <si>
    <t>2026-05-25 21:08</t>
  </si>
  <si>
    <t>BIT11044803</t>
  </si>
  <si>
    <t>713076831876</t>
  </si>
  <si>
    <t>Nombre: paula gajardo - Rut: 0</t>
  </si>
  <si>
    <t>Paula Gajardo Dattari</t>
  </si>
  <si>
    <t>Camino Carampangue 980 Parcelación Sta Cristina, Parcela 18</t>
  </si>
  <si>
    <t>BIT11044541</t>
  </si>
  <si>
    <t>713071826854</t>
  </si>
  <si>
    <t>Nombre: uhkgjfc - Rut: 161636312</t>
  </si>
  <si>
    <t>Barros 1131, of</t>
  </si>
  <si>
    <t>BIT11044427</t>
  </si>
  <si>
    <t>713071355205</t>
  </si>
  <si>
    <t>Nombre: jimmy reyes - Rut: 182123072</t>
  </si>
  <si>
    <t>Jimmy Reyes Aravena</t>
  </si>
  <si>
    <t>Av. Libertad 1923 (ex 2211), CESFAM Florencia</t>
  </si>
  <si>
    <t>BIT11044347</t>
  </si>
  <si>
    <t>713069202451</t>
  </si>
  <si>
    <t>Nombre: Catherine Padilla Diaz - Rut: 18196146</t>
  </si>
  <si>
    <t>Catherine Padilla Diaz</t>
  </si>
  <si>
    <t>Bluexpress Copec RUTA 215 S/N , SECTOR ENTRELAGOS PUYEHUE</t>
  </si>
  <si>
    <t>BIT11044328</t>
  </si>
  <si>
    <t>713069202786</t>
  </si>
  <si>
    <t>Nombre: Luis Castro - Rut: 207400661</t>
  </si>
  <si>
    <t>Villa San Pedro IV Calle 2 Casa 990, 990</t>
  </si>
  <si>
    <t>BIT11044365</t>
  </si>
  <si>
    <t>713069202160</t>
  </si>
  <si>
    <t>Nombre: Marisol oysrzun - Rut: 88313585</t>
  </si>
  <si>
    <t>ana cristina Torres jara</t>
  </si>
  <si>
    <t>galvarino Riveros  1000</t>
  </si>
  <si>
    <t>BIT11044169</t>
  </si>
  <si>
    <t>713068004353</t>
  </si>
  <si>
    <t>Nombre: frabricio gonzalez - Rut: 652871704</t>
  </si>
  <si>
    <t>Victoria Echeverria Fuenzalida</t>
  </si>
  <si>
    <t>Camino Carampangue 175, Parcela 54</t>
  </si>
  <si>
    <t>2026-05-01 21:35</t>
  </si>
  <si>
    <t>BIT11044228</t>
  </si>
  <si>
    <t>713068001936</t>
  </si>
  <si>
    <t>Nombre: Irma Vega - Rut: 12443873</t>
  </si>
  <si>
    <t>Darwin Saez chaparro</t>
  </si>
  <si>
    <t>Luis cuadra 716, Casa 716</t>
  </si>
  <si>
    <t>2026-05-03 20:39</t>
  </si>
  <si>
    <t>BIT11044316</t>
  </si>
  <si>
    <t>713068600576</t>
  </si>
  <si>
    <t>Nombre: Ignacio cisternas - Rut: 154595333</t>
  </si>
  <si>
    <t>Viviana Fuentealba Figueroa</t>
  </si>
  <si>
    <t>Jack price 9533,casa 4, condominio cerro verde Hualpén, Casa 4</t>
  </si>
  <si>
    <t>BIT11044224</t>
  </si>
  <si>
    <t>713068002161</t>
  </si>
  <si>
    <t>Nombre: Kenny navas - Rut: 265714102</t>
  </si>
  <si>
    <t>Silvia Piñeiro</t>
  </si>
  <si>
    <t>Balmaceda 294</t>
  </si>
  <si>
    <t>BIT11044012</t>
  </si>
  <si>
    <t>9466615605</t>
  </si>
  <si>
    <t>Jonathan Avila</t>
  </si>
  <si>
    <t>Alfonso Duval Cerda 808</t>
  </si>
  <si>
    <t>2026-04-26 21:57</t>
  </si>
  <si>
    <t>BIT11044032</t>
  </si>
  <si>
    <t>9466195034</t>
  </si>
  <si>
    <t>Nicolás Olmazabal</t>
  </si>
  <si>
    <t>San Martin 240</t>
  </si>
  <si>
    <t>2026-04-27 10:02</t>
  </si>
  <si>
    <t>BIT11043999</t>
  </si>
  <si>
    <t>9466133526</t>
  </si>
  <si>
    <t>Francisco Andrade cerda</t>
  </si>
  <si>
    <t>Avenida BorgoÑo 19040, Depa 1508, Depa 1508</t>
  </si>
  <si>
    <t>BIT11044456</t>
  </si>
  <si>
    <t>9465849142</t>
  </si>
  <si>
    <t>Ricardo Marín</t>
  </si>
  <si>
    <t>Los Abedules 880, Casa</t>
  </si>
  <si>
    <t>2026-05-10 21:09</t>
  </si>
  <si>
    <t>BIT11044459</t>
  </si>
  <si>
    <t>9465837301</t>
  </si>
  <si>
    <t>Marcelo Body Pando</t>
  </si>
  <si>
    <t>Hacienda El Sauce l, calle el cameliano, parcela 23</t>
  </si>
  <si>
    <t>BIT11044545</t>
  </si>
  <si>
    <t>9465691255</t>
  </si>
  <si>
    <t>Villa santa elena, 8</t>
  </si>
  <si>
    <t>BIT11044438</t>
  </si>
  <si>
    <t>9465405795</t>
  </si>
  <si>
    <t>Osvaldo Pacheco</t>
  </si>
  <si>
    <t>Del roble 640, Gym home casablanca</t>
  </si>
  <si>
    <t>BIT11044454</t>
  </si>
  <si>
    <t>9465379206</t>
  </si>
  <si>
    <t>Jaime Corrotea toledo</t>
  </si>
  <si>
    <t>Avenida la Hacienda 3016, Casa 62-b</t>
  </si>
  <si>
    <t>BIT11044434</t>
  </si>
  <si>
    <t>9465126381</t>
  </si>
  <si>
    <t>Fernando Diaz Leiva</t>
  </si>
  <si>
    <t>Avenida Borgoño 22500 “, Edificio playa negra</t>
  </si>
  <si>
    <t>BIT11044387</t>
  </si>
  <si>
    <t>9465109415</t>
  </si>
  <si>
    <t>Manuel franke 680, Departamento 222 condominio costa del mar</t>
  </si>
  <si>
    <t>BIT11044187</t>
  </si>
  <si>
    <t>9463957414</t>
  </si>
  <si>
    <t>Jimena Vargas D.</t>
  </si>
  <si>
    <t>Av. 1 ote. 1849, Doña Ignacia Maule, casa Doña Ignacia Maule</t>
  </si>
  <si>
    <t>BIT11044263</t>
  </si>
  <si>
    <t>9463880650</t>
  </si>
  <si>
    <t>Livia Pizarro lotito</t>
  </si>
  <si>
    <t>Condominio los nogales de malloco  parcela 31, Parcela 31</t>
  </si>
  <si>
    <t>BIT11044292</t>
  </si>
  <si>
    <t>9463746972</t>
  </si>
  <si>
    <t>Isabel Labbe</t>
  </si>
  <si>
    <t>Irarrazabal 806, Casa</t>
  </si>
  <si>
    <t>BIT11044204</t>
  </si>
  <si>
    <t>9463732014</t>
  </si>
  <si>
    <t>Calle del sol 85, 243B</t>
  </si>
  <si>
    <t>2026-05-02 10:11</t>
  </si>
  <si>
    <t>BIT11044285</t>
  </si>
  <si>
    <t>9463513463</t>
  </si>
  <si>
    <t>Jorge Luis Martínez Díaz</t>
  </si>
  <si>
    <t>Colo colo 0747</t>
  </si>
  <si>
    <t>BIT11044151</t>
  </si>
  <si>
    <t>9463349991</t>
  </si>
  <si>
    <t>Tomas Garcia Nuñez</t>
  </si>
  <si>
    <t>Condominio Club De Golf Los Lirios calle Los Peumos  casa J6, Casa J6</t>
  </si>
  <si>
    <t>BIT11044152</t>
  </si>
  <si>
    <t>9463158611</t>
  </si>
  <si>
    <t>Rodrigo Barraza</t>
  </si>
  <si>
    <t>Llahuin 240, Casa</t>
  </si>
  <si>
    <t>BIT11044537</t>
  </si>
  <si>
    <t>9462002060</t>
  </si>
  <si>
    <t>Cintia Galaz Gutiérrez</t>
  </si>
  <si>
    <t>Colhue, Casa</t>
  </si>
  <si>
    <t>BIT11044576</t>
  </si>
  <si>
    <t>9461779913</t>
  </si>
  <si>
    <t>Gabriel Viertel cadiz</t>
  </si>
  <si>
    <t>Los pensamientos poniente  2784 larapinta, Los pensamientos poniente 2784 larapinta</t>
  </si>
  <si>
    <t>BIT11044318</t>
  </si>
  <si>
    <t>9461046792</t>
  </si>
  <si>
    <t>Cristián Velásquez</t>
  </si>
  <si>
    <t>Avda Forestal 832, villa Frei</t>
  </si>
  <si>
    <t>BIT11044375</t>
  </si>
  <si>
    <t>9460762275</t>
  </si>
  <si>
    <t>Deisy Trigo</t>
  </si>
  <si>
    <t>ConstituciÓn 136, Farmacia don jose</t>
  </si>
  <si>
    <t>BIT11043919</t>
  </si>
  <si>
    <t>9431312925</t>
  </si>
  <si>
    <t>Sebastián Bonta</t>
  </si>
  <si>
    <t>Longitudinal sur km 164 teno, Km 164 oficina vivero convento viejo</t>
  </si>
  <si>
    <t>2026-04-22 10:45</t>
  </si>
  <si>
    <t>BIT11043956</t>
  </si>
  <si>
    <t>9431034432</t>
  </si>
  <si>
    <t>Claudio Maldonado</t>
  </si>
  <si>
    <t>José María Escrivá de Balaguer 930A, Depto 1501</t>
  </si>
  <si>
    <t>2026-04-23 20:59</t>
  </si>
  <si>
    <t>BIT11043985</t>
  </si>
  <si>
    <t>9430188235</t>
  </si>
  <si>
    <t>Maria Gema Devia Toro</t>
  </si>
  <si>
    <t>Villa Armando Valenzuela. Pasaje San Juan. Casa 8. Quinahue, Quinahue</t>
  </si>
  <si>
    <t>2026-04-25 10:20</t>
  </si>
  <si>
    <t>BIT11044764</t>
  </si>
  <si>
    <t>2292555193</t>
  </si>
  <si>
    <t>Patricia Valdivia Valdivia</t>
  </si>
  <si>
    <t>San Luis 469 Alto Jahuel, Casa</t>
  </si>
  <si>
    <t>BIT11044770</t>
  </si>
  <si>
    <t>2292554994</t>
  </si>
  <si>
    <t>Gertrudis Diaz</t>
  </si>
  <si>
    <t>Colegio, Pasaje Freire 301</t>
  </si>
  <si>
    <t>2026-05-22 11:42</t>
  </si>
  <si>
    <t>BIT11044697</t>
  </si>
  <si>
    <t>2290357274</t>
  </si>
  <si>
    <t>Gisela Richards Reinhold</t>
  </si>
  <si>
    <t>Ruta F814, 25, Condominio Campomar, Tunquen</t>
  </si>
  <si>
    <t>2026-05-18 20:59</t>
  </si>
  <si>
    <t>BIT11044676</t>
  </si>
  <si>
    <t>2289337514</t>
  </si>
  <si>
    <t>Av. La Montaña 4257, Casa 167-6</t>
  </si>
  <si>
    <t>BNA1028</t>
  </si>
  <si>
    <t>BE NATIVE</t>
  </si>
  <si>
    <t>NOMBRE RETIRA: SANDRA VELASQUEZ . RUT RETIRA: 11212367-9</t>
  </si>
  <si>
    <t>Paulina Ramírez Durán</t>
  </si>
  <si>
    <t>General Cruz 1051, Dpto 1103</t>
  </si>
  <si>
    <t>BNA1023</t>
  </si>
  <si>
    <t>NOMBRE RETIRA: ELENA BORATTO U RUT RETIRA: 24505563-3</t>
  </si>
  <si>
    <t>Eliana Boratto</t>
  </si>
  <si>
    <t>El Volantín 01312</t>
  </si>
  <si>
    <t>BNA1025</t>
  </si>
  <si>
    <t>NOMBRE RETIRA: EDUARD ULLOA .. RUT RETIRA: 65049095-9</t>
  </si>
  <si>
    <t>Evans 1155, departamento 1206, Condominio Las Cortezas</t>
  </si>
  <si>
    <t>DGORAL1353</t>
  </si>
  <si>
    <t>DG ORAL CARE</t>
  </si>
  <si>
    <t>NOMBRE RETIRA: CECILIA GUTIERRZ GUTIERRZ RUT RETIRA: 6010377-1</t>
  </si>
  <si>
    <t>Cecilia Gutierrez Rivera</t>
  </si>
  <si>
    <t>Jaime Repullo 3065, Casa 2</t>
  </si>
  <si>
    <t>DGORAL1330</t>
  </si>
  <si>
    <t>NOMBRE RETIRA: TERESA PENAILILLO , RUT RETIRA: 5632785-1</t>
  </si>
  <si>
    <t>Barbara Cornejo</t>
  </si>
  <si>
    <t>Pablo neruda 289</t>
  </si>
  <si>
    <t>DGORAL1343</t>
  </si>
  <si>
    <t>NOMBRE RETIRA: ANGELA GARCIA X RUT RETIRA: 1111111-4</t>
  </si>
  <si>
    <t>Angela Garcia acevedo</t>
  </si>
  <si>
    <t>V.garcia hurtado. Juan de riba 006</t>
  </si>
  <si>
    <t>DGORAL1340</t>
  </si>
  <si>
    <t>NOMBRE RETIRA: ROLANDO HIDALGO B RUT RETIRA: 12380555-0</t>
  </si>
  <si>
    <t>Rolando Hidalgo</t>
  </si>
  <si>
    <t>Azorín 1545, Villa San Juan 3, Santa Sabina</t>
  </si>
  <si>
    <t>DGORAL1339</t>
  </si>
  <si>
    <t>NOMBRE RETIRA: MARISOL LABARGA . RUT RETIRA: 12782653-6</t>
  </si>
  <si>
    <t>Marisol Labarca</t>
  </si>
  <si>
    <t>Longitudinal sur km 174, teno, Empresas Carozzi agrozzi</t>
  </si>
  <si>
    <t>DGORAL1329</t>
  </si>
  <si>
    <t>NOMBRE RETIRA: LORENA SEGURA . RUT RETIRA: 12320972-9</t>
  </si>
  <si>
    <t>Lorena Segura Fuentealba</t>
  </si>
  <si>
    <t>Avenida Werner 1942 Tomé</t>
  </si>
  <si>
    <t>DGORAL1294</t>
  </si>
  <si>
    <t>NOMBRE RETIRA: EVELYN ARTIAGAS . RUT RETIRA: 13922922-3</t>
  </si>
  <si>
    <t>Evelyn Artigas</t>
  </si>
  <si>
    <t>Hijuela santa Isaura sn, Casa de 2 pisos</t>
  </si>
  <si>
    <t>DGORAL1317</t>
  </si>
  <si>
    <t>NOMBRE RETIRA: SANDRA LAGOS . RUT RETIRA: 10537001-6</t>
  </si>
  <si>
    <t>Avenida Valparaíso 1764, Casa</t>
  </si>
  <si>
    <t>DGORAL1303</t>
  </si>
  <si>
    <t>NOMBRE RETIRA: NATACHA ROCUANT V RUT RETIRA: 21083345-5</t>
  </si>
  <si>
    <t>Natacha Rocuant</t>
  </si>
  <si>
    <t>reñaca alto calle sexta con calle nueve, casa 301</t>
  </si>
  <si>
    <t>DGORAL1304</t>
  </si>
  <si>
    <t>NOMBRE RETIRA: JACIER CORREA N RUT RETIRA: 65041534-5</t>
  </si>
  <si>
    <t>Mackarena Farias</t>
  </si>
  <si>
    <t>Calle Cuatro 1078, Condominio Newenkelen 56, 56, Condominio Newenkelen</t>
  </si>
  <si>
    <t>DGORAL1298</t>
  </si>
  <si>
    <t>NOMBRE RETIRA: GABRIEL AYALA J RUT RETIRA: 20008170-6</t>
  </si>
  <si>
    <t>Gabriel Ayala Cáceres</t>
  </si>
  <si>
    <t>20 norte B 5 ½ oriente #1276</t>
  </si>
  <si>
    <t>DGORAL1295</t>
  </si>
  <si>
    <t>Raquel Harris gomez</t>
  </si>
  <si>
    <t>Avenida bordelaguna 1002, Casa 34. Curauma</t>
  </si>
  <si>
    <t>DGORAL1274</t>
  </si>
  <si>
    <t>NOMBRE RETIRA: YASNA VALENZUELA . RUT RETIRA: 13203523-7</t>
  </si>
  <si>
    <t>Jose miguel Reyes poblete</t>
  </si>
  <si>
    <t>Villa JardÍn, Pasaje Las Violetas #21, 21</t>
  </si>
  <si>
    <t>DGORAL1271</t>
  </si>
  <si>
    <t>NOMBRE RETIRA: ANGELICA CRISTINA I RUT RETIRA: 19676582-4</t>
  </si>
  <si>
    <t>Angélica Cristina Guenel Águila</t>
  </si>
  <si>
    <t>Psje 42, Villa jardines del mar, # 1770</t>
  </si>
  <si>
    <t>DGORAL1280</t>
  </si>
  <si>
    <t>NOMBRE RETIRA: CINTIA PEREZ AREVALO RUT RETIRA: 16388121-7</t>
  </si>
  <si>
    <t>Yesenia Ferreira</t>
  </si>
  <si>
    <t>Calle Nueva Jerusalén 055 población 27 de febrero, Casa</t>
  </si>
  <si>
    <t>DGORAL1268</t>
  </si>
  <si>
    <t>NOMBRE RETIRA: ALVARO GUZMAN X RUT RETIRA: 16337914-7</t>
  </si>
  <si>
    <t>Sarais Rodriguez Moncada</t>
  </si>
  <si>
    <t>Avenida Pedro de Valdivia 360, Casa de oficinas</t>
  </si>
  <si>
    <t>DGORAL1276</t>
  </si>
  <si>
    <t>NOMBRE RETIRA: FABIOLA SAEZ . RUT RETIRA: 19109789-0</t>
  </si>
  <si>
    <t>Fabiola Andrea Saez Alvarez</t>
  </si>
  <si>
    <t>Anibal Pinto 672, 1interior</t>
  </si>
  <si>
    <t>DGORAL1265</t>
  </si>
  <si>
    <t>NOMBRE RETIRA: ALEJANDRA PEREZ PEREZ RUT RETIRA: 76669508-6</t>
  </si>
  <si>
    <t>Lautaro 940</t>
  </si>
  <si>
    <t>DGORAL1253</t>
  </si>
  <si>
    <t>NOMBRE RETIRA: CATALINA BARAHONA A RUT RETIRA: 17652159-7</t>
  </si>
  <si>
    <t>Catalina Barahona Cabezas</t>
  </si>
  <si>
    <t>8 Norte 411, Depto 201</t>
  </si>
  <si>
    <t>DGORAL1255</t>
  </si>
  <si>
    <t>NOMBRE RETIRA: CAMILA VERGARA A RUT RETIRA: 21370018-9</t>
  </si>
  <si>
    <t>Camila Vergara-Salazar</t>
  </si>
  <si>
    <t>San Antonio, 3111</t>
  </si>
  <si>
    <t>DGORAL1247</t>
  </si>
  <si>
    <t>NOMBRE RETIRA: OLGA MORALES . RUT RETIRA: 10377443-8</t>
  </si>
  <si>
    <t>Jorge Rojas Morales</t>
  </si>
  <si>
    <t>Jotabeche 945</t>
  </si>
  <si>
    <t>DGORAL1256</t>
  </si>
  <si>
    <t>NOMBRE RETIRA: MARCELA ZUNIGA Z RUT RETIRA: 17989081-K</t>
  </si>
  <si>
    <t>Alcalá de Henares 1187, Casa</t>
  </si>
  <si>
    <t>DGORAL1250</t>
  </si>
  <si>
    <t>NOMBRE RETIRA: JAVIER ALFSRO . RUT RETIRA: 17294774-3</t>
  </si>
  <si>
    <t>Giselle Hola</t>
  </si>
  <si>
    <t>Caleta cascabeles 1810</t>
  </si>
  <si>
    <t>DGORAL1240</t>
  </si>
  <si>
    <t>NOMBRE RETIRA: SERGIO BOFILL . RUT RETIRA: 6108529-7</t>
  </si>
  <si>
    <t>Gonzalo Bofill</t>
  </si>
  <si>
    <t>RÍo Cebadal 19 PoblaciÓn Pichi Pelluco Puerto Montt 19 19 19 19 19 19 19, 19, 19</t>
  </si>
  <si>
    <t>DGORAL1238</t>
  </si>
  <si>
    <t>NOMBRE RETIRA: MARCOA AREVALO . RUT RETIRA: 17153044-K</t>
  </si>
  <si>
    <t>Aracelli Delgado</t>
  </si>
  <si>
    <t>Camino Maipo a Viluco 4710, Buin</t>
  </si>
  <si>
    <t>DGORAL1333</t>
  </si>
  <si>
    <t>713073398472</t>
  </si>
  <si>
    <t>Nombre: jsjsjshd - Rut: 161636312</t>
  </si>
  <si>
    <t>Bayron González Echeverría</t>
  </si>
  <si>
    <t>Juan bautista pastene 324, 324</t>
  </si>
  <si>
    <t>2026-05-15 22:37</t>
  </si>
  <si>
    <t>DGORAL1308</t>
  </si>
  <si>
    <t>713070893640</t>
  </si>
  <si>
    <t>Nombre: karla - Rut: 178919318</t>
  </si>
  <si>
    <t>María José González Muñoz</t>
  </si>
  <si>
    <t>Calle Antonio Varas 498, Calle Antonio Varas 498, Calle Antonio Varas 498, Antonio Varas 498, Calle Antonio Varas 498, Calle Antonio Varas 498, Antonio Varas 498</t>
  </si>
  <si>
    <t>2026-05-10 09:00</t>
  </si>
  <si>
    <t>DGORAL1258</t>
  </si>
  <si>
    <t>9466475443</t>
  </si>
  <si>
    <t>Mariem Rodríguez</t>
  </si>
  <si>
    <t>Cancha rayada 92, Casa</t>
  </si>
  <si>
    <t>DGORAL1259</t>
  </si>
  <si>
    <t>9466348360</t>
  </si>
  <si>
    <t>Francisca Alcantara</t>
  </si>
  <si>
    <t>Esmeralda 1320, Oficina oikos</t>
  </si>
  <si>
    <t>DGORAL1305</t>
  </si>
  <si>
    <t>9465153456</t>
  </si>
  <si>
    <t>Urrea Muñoz</t>
  </si>
  <si>
    <t>Michay 495</t>
  </si>
  <si>
    <t>2026-05-09 09:04</t>
  </si>
  <si>
    <t>DGORAL1296</t>
  </si>
  <si>
    <t>9460500895</t>
  </si>
  <si>
    <t>Liliana Caceres</t>
  </si>
  <si>
    <t>El tabo 580</t>
  </si>
  <si>
    <t>DGORAL1229</t>
  </si>
  <si>
    <t>9430747303</t>
  </si>
  <si>
    <t>Anka Grunewaldt Sapunar</t>
  </si>
  <si>
    <t>Avenida Lomas de Montemar 800, 27</t>
  </si>
  <si>
    <t>2026-04-23 12:15</t>
  </si>
  <si>
    <t>DOR55017808</t>
  </si>
  <si>
    <t>DORMILONES</t>
  </si>
  <si>
    <t>NOMBRE RETIRA: ANTONIA ZAMORA . RUT RETIRA: 21237632-9</t>
  </si>
  <si>
    <t>Juan Zamora</t>
  </si>
  <si>
    <t>Oficina Salitrera Delaware 3991</t>
  </si>
  <si>
    <t>DOR55017819</t>
  </si>
  <si>
    <t>NOMBRE RETIRA: LUCIA ESCOBAR . RUT RETIRA: 17194854-1</t>
  </si>
  <si>
    <t>Lucia Escobar contreras</t>
  </si>
  <si>
    <t>Avda Santa Teresa Valparaíso Comuna San Felipe Block b, Departamento 27</t>
  </si>
  <si>
    <t>DOR55017806</t>
  </si>
  <si>
    <t>NOMBRE RETIRA: RUBEN . . RUT RETIRA: 12345678-5</t>
  </si>
  <si>
    <t>Calle Hacienda 155, Departamento 805, Recreo</t>
  </si>
  <si>
    <t>DOR55017812</t>
  </si>
  <si>
    <t>NOMBRE RETIRA: CESAR GODOY . RUT RETIRA: 13367287-7</t>
  </si>
  <si>
    <t>Los Pingüinos 550, Casa 2 pisos blanca, tocar el timbre</t>
  </si>
  <si>
    <t>DOR55017803</t>
  </si>
  <si>
    <t>NOMBRE RETIRA: DAMARIS VILLEGAS K RUT RETIRA: 1799146-9</t>
  </si>
  <si>
    <t>Ignacio Castro Guarda</t>
  </si>
  <si>
    <t>Haverbeck  1618, CASA VERDE, FRENTE HOSPITAL REGIONAL, Casa</t>
  </si>
  <si>
    <t>DOR55017822</t>
  </si>
  <si>
    <t>NOMBRE RETIRA: ELISEO NAVARRETE .. RUT RETIRA: 7948539-K</t>
  </si>
  <si>
    <t>Cesar Saavedra</t>
  </si>
  <si>
    <t>Caspana 290, Altos del Calle Calle</t>
  </si>
  <si>
    <t>DOR55017818</t>
  </si>
  <si>
    <t>NOMBRE RETIRA: NICOLAS PADILLA N RUT RETIRA: 19800257-7</t>
  </si>
  <si>
    <t>Maria Jose Toledo Castañon</t>
  </si>
  <si>
    <t>Avenida Siete Lagunas 1051, 406</t>
  </si>
  <si>
    <t>DOR55017813</t>
  </si>
  <si>
    <t>NOMBRE RETIRA: LUIS SILVA . RUT RETIRA: 15519880-K</t>
  </si>
  <si>
    <t>Rodrigo Lobos</t>
  </si>
  <si>
    <t>Maipu 1520, 1102</t>
  </si>
  <si>
    <t>DOR55017790</t>
  </si>
  <si>
    <t>NOMBRE RETIRA: KURT VALENCIA VALENCIA RUT RETIRA: 15694233-2</t>
  </si>
  <si>
    <t>Kurt Valencia</t>
  </si>
  <si>
    <t>Sucre 3160 ?condominio parque chinchorro, Departamento 143</t>
  </si>
  <si>
    <t>DOR55017789</t>
  </si>
  <si>
    <t>NOMBRE RETIRA: RAUL IGANCIO . RUT RETIRA: 17146009-3</t>
  </si>
  <si>
    <t>Raul ignacio Andrade ojeda</t>
  </si>
  <si>
    <t>Shell Quirihue, Avenida Prat 409</t>
  </si>
  <si>
    <t>DOR55017797</t>
  </si>
  <si>
    <t>NOMBRE RETIRA: MARIA RAMIREZ M RUT RETIRA: 8052388-2</t>
  </si>
  <si>
    <t>María Alejandra Ramirez</t>
  </si>
  <si>
    <t>La bahía 503, Casa</t>
  </si>
  <si>
    <t>DOR55017799</t>
  </si>
  <si>
    <t>NOMBRE RETIRA: MARCWLA DLORES . RUT RETIRA: 18510121-5</t>
  </si>
  <si>
    <t>Marcela Flores Veliz</t>
  </si>
  <si>
    <t>Anibal Pinto 969 (casa esquina pasaje 1, primera casa a la izquierda), 12227498-5</t>
  </si>
  <si>
    <t>DOR55017779</t>
  </si>
  <si>
    <t>NOMBRE RETIRA: XIMENA PARRY PARRY RUT RETIRA: 13672575-0</t>
  </si>
  <si>
    <t>Ximena Parry</t>
  </si>
  <si>
    <t>Avenida Martin Pescador A9</t>
  </si>
  <si>
    <t>DOR55017784</t>
  </si>
  <si>
    <t>NOMBRE RETIRA: MAGDALENA STRADA . RUT RETIRA: 11968687-3</t>
  </si>
  <si>
    <t>Cristóbal Muñoz</t>
  </si>
  <si>
    <t>La Dehesa, Los canelos 534</t>
  </si>
  <si>
    <t>DOR55017783</t>
  </si>
  <si>
    <t>NOMBRE RETIRA: DANIEL SEPULVEDA . RUT RETIRA: 6436586-K</t>
  </si>
  <si>
    <t>Mauricio Vilches Silva</t>
  </si>
  <si>
    <t>Balmaceda 1990, Depto 84, Edificio Puerto Edén, 84</t>
  </si>
  <si>
    <t>DOR55017781</t>
  </si>
  <si>
    <t>NOMBRE RETIRA: FRANCIA MENDEZ MENDES RUT RETIRA: 16786872-K</t>
  </si>
  <si>
    <t>Francia Mendez Arenas</t>
  </si>
  <si>
    <t>Colipi 251, Colipi 251</t>
  </si>
  <si>
    <t>DOR55017775</t>
  </si>
  <si>
    <t>NOMBRE RETIRA: VERENA FELIS . RUT RETIRA: 17347391-5</t>
  </si>
  <si>
    <t>Verena Felis</t>
  </si>
  <si>
    <t>Los acacios, 136</t>
  </si>
  <si>
    <t>DOR55017769</t>
  </si>
  <si>
    <t>NOMBRE RETIRA: PATRICIO MUNOZ . RUT RETIRA: 13988592-9</t>
  </si>
  <si>
    <t>Celeste Serrano</t>
  </si>
  <si>
    <t>7 norte 1122, 101</t>
  </si>
  <si>
    <t>DOR55017772</t>
  </si>
  <si>
    <t>Paz Latorre</t>
  </si>
  <si>
    <t>Av los castaños 331, 1903</t>
  </si>
  <si>
    <t>DOR55017755</t>
  </si>
  <si>
    <t>NOMBRE RETIRA: GONZALO CUWVAA C RUT RETIRA: 19248643-2</t>
  </si>
  <si>
    <t>Ohiggins 457, Departamento 10</t>
  </si>
  <si>
    <t>DOR55017753</t>
  </si>
  <si>
    <t>NOMBRE RETIRA: JOIYSE ROSS CARRASCO RUT RETIRA: 15268381-2</t>
  </si>
  <si>
    <t>Ejército Libertador 2558, Galpon negro padel</t>
  </si>
  <si>
    <t>DOR55017749</t>
  </si>
  <si>
    <t>NOMBRE RETIRA: AGUSTIN BARRIA K RUT RETIRA: 24492448-4</t>
  </si>
  <si>
    <t>Abedules 2059 francke, Casa</t>
  </si>
  <si>
    <t>DOR55017744</t>
  </si>
  <si>
    <t>NOMBRE RETIRA: ROSA FUENZALIDA . RUT RETIRA: 7599504-0</t>
  </si>
  <si>
    <t>Av. San Juan 1346, 2910050 Machalí, O'Higgins, Chile, Casa</t>
  </si>
  <si>
    <t>DOR55017750</t>
  </si>
  <si>
    <t>NOMBRE RETIRA: FIORELLA GONZALEZ . . RUT RETIRA: 26536283-4</t>
  </si>
  <si>
    <t>Estefanía Cerpa Vilo</t>
  </si>
  <si>
    <t>Avenida Juan Cisternas 2497, Oficina 312</t>
  </si>
  <si>
    <t>DOR55017752</t>
  </si>
  <si>
    <t>NOMBRE RETIRA: MARIA ALVARADO . RUT RETIRA: 7468137-9</t>
  </si>
  <si>
    <t>Sebastian Patricio Antonio Ceura Valenzuela</t>
  </si>
  <si>
    <t>El bosque 1735 ?1735, Casa</t>
  </si>
  <si>
    <t>DOR55017756</t>
  </si>
  <si>
    <t>NOMBRE RETIRA: INGRID ARAYA . RUT RETIRA: 16678530-8</t>
  </si>
  <si>
    <t>Pablo Mellado</t>
  </si>
  <si>
    <t>Lourdes 1021, A102</t>
  </si>
  <si>
    <t>DOR55017738</t>
  </si>
  <si>
    <t>NOMBRE RETIRA: JUAN SUHALDE . RUT RETIRA: 17198125-5</t>
  </si>
  <si>
    <t>juan duhalde</t>
  </si>
  <si>
    <t>pasaje pedro lira 536, casa</t>
  </si>
  <si>
    <t>DOR55017731</t>
  </si>
  <si>
    <t>NOMBRE RETIRA: FRANCO RAMIREZ . RUT RETIRA: 15080544-9</t>
  </si>
  <si>
    <t>Providencia 324, Casa 324, Casa 324</t>
  </si>
  <si>
    <t>DOR55017697</t>
  </si>
  <si>
    <t>NOMBRE RETIRA: ALBA QUISPE . RUT RETIRA: 26451937-3</t>
  </si>
  <si>
    <t>Michelle Andrea Araya Mostajo</t>
  </si>
  <si>
    <t>Pasaje Rio Pacsa 107, ITTAI HOTEL</t>
  </si>
  <si>
    <t>DOR55017741</t>
  </si>
  <si>
    <t>NOMBRE RETIRA: GASTON MANRIQUEZ M RUT RETIRA: 12017648-K</t>
  </si>
  <si>
    <t>Rodrigo Valdés Mena</t>
  </si>
  <si>
    <t>BenjamÍn Subercaseaux 50 ?50, 202F</t>
  </si>
  <si>
    <t>DOR55017740</t>
  </si>
  <si>
    <t>NOMBRE RETIRA: HERNAN SALINAS S RUT RETIRA: 78313783-6</t>
  </si>
  <si>
    <t>hernan Salinas Molina</t>
  </si>
  <si>
    <t>Pasaje Renaico 435, Casa, perpendicular a calle sendero Renaico</t>
  </si>
  <si>
    <t>DOR55017733</t>
  </si>
  <si>
    <t>NOMBRE RETIRA: RENE LEDEZMA . RUT RETIRA: 65229039-6</t>
  </si>
  <si>
    <t>Daniel Ardiles</t>
  </si>
  <si>
    <t>Los Lagos 930, Departamento 367, Torre 3, condominio Valle de Peñuelas</t>
  </si>
  <si>
    <t>DOR55017688</t>
  </si>
  <si>
    <t>NOMBRE RETIRA: MARIA LUISA . RUT RETIRA: 15014653-4</t>
  </si>
  <si>
    <t>alexis Roa Jiménez</t>
  </si>
  <si>
    <t>Ruta 27 - CH, KILOMETRO CERO camino paso jama s/n, Liceo bicentenario agropecuario lican antay</t>
  </si>
  <si>
    <t>DOR55017725</t>
  </si>
  <si>
    <t>NOMBRE RETIRA: PAULA LONZA . RUT RETIRA: 17354577-0</t>
  </si>
  <si>
    <t>Rocio Lonza Riveros</t>
  </si>
  <si>
    <t>Colchagua 550</t>
  </si>
  <si>
    <t>DOR55017709</t>
  </si>
  <si>
    <t>NOMBRE RETIRA: DIEGO QUIJANO QUIJANO RUT RETIRA: 23297307-2</t>
  </si>
  <si>
    <t>Los Rododendros, parcela 140 Fundo Fruti, Parcela</t>
  </si>
  <si>
    <t>DOR55017721</t>
  </si>
  <si>
    <t>NOMBRE RETIRA: LUCILA SEGUEL . RUT RETIRA: 8210693-6</t>
  </si>
  <si>
    <t>Katherine Núñez González</t>
  </si>
  <si>
    <t>Pasaje RIO YELCHO 184 ?184, Villa Nonguen, pobl ríos de Chile</t>
  </si>
  <si>
    <t>DOR55017728</t>
  </si>
  <si>
    <t>NOMBRE RETIRA: NOEMI TORRES . RUT RETIRA: 10899220-4</t>
  </si>
  <si>
    <t>Romina Avilan</t>
  </si>
  <si>
    <t>Edmundo larenas 70 ?70, Casa E</t>
  </si>
  <si>
    <t>DOR55017706</t>
  </si>
  <si>
    <t>NOMBRE RETIRA: KATHERINE GARNICA . RUT RETIRA: 18283597-8</t>
  </si>
  <si>
    <t>Juan pablo Budinich</t>
  </si>
  <si>
    <t>Quinchilca 530, Centro medico</t>
  </si>
  <si>
    <t>DOR55017722</t>
  </si>
  <si>
    <t>NOMBRE RETIRA: FRANCISCO ARAYA . RUT RETIRA: 18003093-K</t>
  </si>
  <si>
    <t>Pasaje Pedro Lisperguer, Sindempart, 826</t>
  </si>
  <si>
    <t>DOR55017611</t>
  </si>
  <si>
    <t>NOMBRE RETIRA: LORENA ALVAREZ H RUT RETIRA: 15490668-1</t>
  </si>
  <si>
    <t>GENERAL SALVO 0229</t>
  </si>
  <si>
    <t>DOR55017726</t>
  </si>
  <si>
    <t>NOMBRE RETIRA: MONICA CARMONA . RUT RETIRA: 10826947-2</t>
  </si>
  <si>
    <t>Constanza Carmona</t>
  </si>
  <si>
    <t>Reserva Nacional Torres del paine 1725, Sector Bosque San Carlos</t>
  </si>
  <si>
    <t>DOR55017692</t>
  </si>
  <si>
    <t>NOMBRE RETIRA: VICTORIA CUEVAA . RUT RETIRA: 12345678-5</t>
  </si>
  <si>
    <t>victoria cuevas</t>
  </si>
  <si>
    <t>Av. las Américas 4533, Departamento G número 21</t>
  </si>
  <si>
    <t>DOR55017715</t>
  </si>
  <si>
    <t>NOMBRE RETIRA: MACARENA MARTINEZ . RUT RETIRA: 13875521-5</t>
  </si>
  <si>
    <t>Macarena Martínez Muñoz</t>
  </si>
  <si>
    <t>Río Lauca Poniente 3122, Casa</t>
  </si>
  <si>
    <t>DOR55017707</t>
  </si>
  <si>
    <t>NOMBRE RETIRA: FELIPE DONOSO DONOSO RUT RETIRA: 16661767-7</t>
  </si>
  <si>
    <t>Ninoska Diaz</t>
  </si>
  <si>
    <t>Luis guzmán cuevas 171 , villa las lomas de machali</t>
  </si>
  <si>
    <t>DOR55017597</t>
  </si>
  <si>
    <t>NOMBRE RETIRA: VICTORIA ARRIAGADA . RUT RETIRA: 9953400-1</t>
  </si>
  <si>
    <t>cristian quijada</t>
  </si>
  <si>
    <t>Dussen 229, Casa</t>
  </si>
  <si>
    <t>DOR55017675</t>
  </si>
  <si>
    <t>NOMBRE RETIRA: CARLOS SAN FRANCIACO . RUT RETIRA: 19506645-0</t>
  </si>
  <si>
    <t>carlos San Francisco</t>
  </si>
  <si>
    <t>Calle principal #144 Pueblo de Peralillo, Vicuña, Costado ferretería Peralillo</t>
  </si>
  <si>
    <t>DOR55017713</t>
  </si>
  <si>
    <t>NOMBRE RETIRA: CECILIA RUIZ B RUT RETIRA: 12323730-7</t>
  </si>
  <si>
    <t>Susan Ibacache</t>
  </si>
  <si>
    <t>Janequeo 564, Depto 1203</t>
  </si>
  <si>
    <t>DOR55017702</t>
  </si>
  <si>
    <t>NOMBRE RETIRA: JAIME CONSERJE N RUT RETIRA: 6521554-3</t>
  </si>
  <si>
    <t>Lorena Bravo Aguayo</t>
  </si>
  <si>
    <t>Presbítero Osvaldo Lira Pérez 550, Depto E403</t>
  </si>
  <si>
    <t>DOR55017685</t>
  </si>
  <si>
    <t>NOMBRE RETIRA: MARTA RODRIGUEZ X RUT RETIRA: 19058805-K</t>
  </si>
  <si>
    <t>Marta Rodriguez</t>
  </si>
  <si>
    <t>Oscar largos 570, 570</t>
  </si>
  <si>
    <t>DOR55017683</t>
  </si>
  <si>
    <t>NOMBRE RETIRA: ROMINA TAPIA . RUT RETIRA: 12224239-0</t>
  </si>
  <si>
    <t>Romina Tapia</t>
  </si>
  <si>
    <t>Avda Alejandro Navarrete 2606, Gomez carreño</t>
  </si>
  <si>
    <t>DOR55017689</t>
  </si>
  <si>
    <t>NOMBRE RETIRA: CLAUDIO ANDRES S RUT RETIRA: 19248643-2</t>
  </si>
  <si>
    <t>Claudio Andrés Becerra Manns</t>
  </si>
  <si>
    <t>Valle de la luna N°1443, Casa rosada</t>
  </si>
  <si>
    <t>DOR55017678</t>
  </si>
  <si>
    <t>NOMBRE RETIRA: CLADIA GODOY . RUT RETIRA: 10562866-8</t>
  </si>
  <si>
    <t>Los Alacalufes 250 , Belloto, C-31 , Condominio Los Naranjos</t>
  </si>
  <si>
    <t>DOR55017694</t>
  </si>
  <si>
    <t>NOMBRE RETIRA: CLAUDIO GATICA . RUT RETIRA: 16510588-5</t>
  </si>
  <si>
    <t>Eucaliptus 551, Departamento 51, Torre Marbella 3, Condominio Rocas del Valle</t>
  </si>
  <si>
    <t>DOR55017696</t>
  </si>
  <si>
    <t>NOMBRE RETIRA: JAIME ROJAS R RUT RETIRA: 56049520-K</t>
  </si>
  <si>
    <t>Halimeda 375, 603b</t>
  </si>
  <si>
    <t>DOR55017686</t>
  </si>
  <si>
    <t>NOMBRE RETIRA: SOFIA OTAROLA . . RUT RETIRA: 19372360-8</t>
  </si>
  <si>
    <t>sofia otarola</t>
  </si>
  <si>
    <t>Baquedano 459, Casa</t>
  </si>
  <si>
    <t>DOR55017594</t>
  </si>
  <si>
    <t>NOMBRE RETIRA: ALEJANDRK PARRA PARRA RUT RETIRA: 26695128-0</t>
  </si>
  <si>
    <t>San martin 699, Estacion Copec</t>
  </si>
  <si>
    <t>DOR55017654</t>
  </si>
  <si>
    <t>NOMBRE RETIRA: BRANDON ANASCO . RUT RETIRA: 19976056-4</t>
  </si>
  <si>
    <t>Andrea Menendez</t>
  </si>
  <si>
    <t>Arturo prat 4346, Departamento 1604</t>
  </si>
  <si>
    <t>DOR55017628</t>
  </si>
  <si>
    <t>NOMBRE RETIRA: MATIS DE FERRARI DE FERRARI RUT RETIRA: 14169395-6</t>
  </si>
  <si>
    <t>Matias De Ferrari</t>
  </si>
  <si>
    <t>Avenida Santa Ana 48</t>
  </si>
  <si>
    <t>DOR55017660</t>
  </si>
  <si>
    <t>Jocelyn Gutiérrez leal</t>
  </si>
  <si>
    <t>Calama 1101, Salón de belleza</t>
  </si>
  <si>
    <t>DOR55017514</t>
  </si>
  <si>
    <t>NOMBRE RETIRA: MARTA RUBILA. . RUT RETIRA: 8194621-3</t>
  </si>
  <si>
    <t>Los guindos 184</t>
  </si>
  <si>
    <t>DOR55017657</t>
  </si>
  <si>
    <t>NOMBRE RETIRA: BERNARDA PAREDES . RUT RETIRA: 13744186-1</t>
  </si>
  <si>
    <t>Michael Alvarez</t>
  </si>
  <si>
    <t>gladys marin 4715, Condominio Gran Vista Dpto 1304B</t>
  </si>
  <si>
    <t>DOR55017662</t>
  </si>
  <si>
    <t>Luz Villar</t>
  </si>
  <si>
    <t>Centinela 4235</t>
  </si>
  <si>
    <t>DOR55017642</t>
  </si>
  <si>
    <t>NOMBRE RETIRA: ROBINSON ARAYA . RUT RETIRA: 22573901-3</t>
  </si>
  <si>
    <t>Robinson Araya Saavedra</t>
  </si>
  <si>
    <t>Gonzalo Zepeda Perry 321 punta mira norte, Casa</t>
  </si>
  <si>
    <t>DOR55017674</t>
  </si>
  <si>
    <t>NOMBRE RETIRA: HECTOR ARAYA . RUT RETIRA: 14154497-7</t>
  </si>
  <si>
    <t>Hector Araya Leiva</t>
  </si>
  <si>
    <t>Calle del agua 2220, Block C3 Dpto 61, Recreo</t>
  </si>
  <si>
    <t>DOR55017591</t>
  </si>
  <si>
    <t>NOMBRE RETIRA: BASTIAN MUNOZ X RUT RETIRA: 20832476-4</t>
  </si>
  <si>
    <t>Manuel Rodriguez 241, panguipulli</t>
  </si>
  <si>
    <t>DOR55017560</t>
  </si>
  <si>
    <t>NOMBRE RETIRA: CONDOMINIO PANORMA Z RUT RETIRA: 65950450-2</t>
  </si>
  <si>
    <t>LUIS TORO</t>
  </si>
  <si>
    <t>Coihueco 550, Block D departamento 31</t>
  </si>
  <si>
    <t>DOR55017667</t>
  </si>
  <si>
    <t>NOMBRE RETIRA: JAVIER SAN MARTIN . RUT RETIRA: 56041900-7</t>
  </si>
  <si>
    <t>Cristobal Vergara</t>
  </si>
  <si>
    <t>Diego Portales 1200, 0212</t>
  </si>
  <si>
    <t>DOR55017668</t>
  </si>
  <si>
    <t>NOMBRE RETIRA: ALEJANDRA MARCHANT . RUT RETIRA: 16046151-9</t>
  </si>
  <si>
    <t>Alejandra Marchant</t>
  </si>
  <si>
    <t>monumento nacional la portada 2595</t>
  </si>
  <si>
    <t>DOR55017670</t>
  </si>
  <si>
    <t>NOMBRE RETIRA: EDUARDO DIAZ DIA RUT RETIRA: 24348259-3</t>
  </si>
  <si>
    <t>Pasaje Santa Rosa de Lima 2987, Villa Galilea G2</t>
  </si>
  <si>
    <t>DOR55017612</t>
  </si>
  <si>
    <t>NOMBRE RETIRA: JORDAN CARRASCO . RUT RETIRA: 20464300-8</t>
  </si>
  <si>
    <t>Jordan Carrasco López</t>
  </si>
  <si>
    <t>Calle 2 Norte #026, población Altos del Mar</t>
  </si>
  <si>
    <t>DOR55017659</t>
  </si>
  <si>
    <t>NOMBRE RETIRA: FELIX MIRANDA . RUT RETIRA: 53303487-K</t>
  </si>
  <si>
    <t>Walter Vicencio</t>
  </si>
  <si>
    <t>Viana 433, Departamento 1013</t>
  </si>
  <si>
    <t>DOR55017665</t>
  </si>
  <si>
    <t>NOMBRE RETIRA: ESPERANZA REYES . RUT RETIRA: 19701657-4</t>
  </si>
  <si>
    <t>Marco Acevedo</t>
  </si>
  <si>
    <t>Longitudinal Sur Km 191 Cruce Los Niches</t>
  </si>
  <si>
    <t>DOR55017572</t>
  </si>
  <si>
    <t>NOMBRE RETIRA: SUSAN BRAVO . RUT RETIRA: 16771491-9</t>
  </si>
  <si>
    <t>Giuliana Macmillan Rodriguez</t>
  </si>
  <si>
    <t>avenida edmundo perez zujovic 10880, depto 1202 torre b</t>
  </si>
  <si>
    <t>DOR55017616</t>
  </si>
  <si>
    <t>NOMBRE RETIRA: AMPARO ZULETA K K RUT RETIRA: 25445591-1</t>
  </si>
  <si>
    <t>Angelo Enrico San Martin</t>
  </si>
  <si>
    <t>Avenida jaime guzman errazuriz 04080, Dpto. 2102</t>
  </si>
  <si>
    <t>DOR55017635</t>
  </si>
  <si>
    <t>NOMBRE RETIRA: ESTEFANY GUTIERRES DIAZ RUT RETIRA: 19971472-4</t>
  </si>
  <si>
    <t>Calle Pinto 153</t>
  </si>
  <si>
    <t>DOR55017559</t>
  </si>
  <si>
    <t>NOMBRE RETIRA: GERALDINE GONZALES SALINAS RUT RETIRA: 26491993-2</t>
  </si>
  <si>
    <t>Yeraldi González Salinas</t>
  </si>
  <si>
    <t>Palo Negro 01, cerámica palo negro</t>
  </si>
  <si>
    <t>DOR55017589</t>
  </si>
  <si>
    <t>NOMBRE RETIRA: JEFWRSON BEDOLLA . RUT RETIRA: 17736384-7</t>
  </si>
  <si>
    <t>Claudio Lagos</t>
  </si>
  <si>
    <t>Altos del Mar 1001</t>
  </si>
  <si>
    <t>DOR55017585</t>
  </si>
  <si>
    <t>NOMBRE RETIRA: GERALD LAFFERTE . RUT RETIRA: 15003830-8</t>
  </si>
  <si>
    <t>Gerald Lafertte</t>
  </si>
  <si>
    <t>Libertad 855, Casa</t>
  </si>
  <si>
    <t>DOR55017565</t>
  </si>
  <si>
    <t>NOMBRE RETIRA: JOSE RIVAS . RUT RETIRA: 20751014-9</t>
  </si>
  <si>
    <t>Alameda, Casa 291</t>
  </si>
  <si>
    <t>DOR55017626</t>
  </si>
  <si>
    <t>NOMBRE RETIRA: GONZALO ARACENA . RUT RETIRA: 17877448-4</t>
  </si>
  <si>
    <t>Felipe Ibarra Beroiza</t>
  </si>
  <si>
    <t>Ruta S-30 Temuco Labranza # 05925, Camino de Ripio costado Bioplastic en el alto Aparcadero Privado</t>
  </si>
  <si>
    <t>DOR55017639</t>
  </si>
  <si>
    <t>NOMBRE RETIRA: KATHWRINE MONTECINOS . RUT RETIRA: 20382665-6</t>
  </si>
  <si>
    <t>Katheryne Montecino Ureta</t>
  </si>
  <si>
    <t>Reserva Nacional Los Ruiles 701</t>
  </si>
  <si>
    <t>DOR55017634</t>
  </si>
  <si>
    <t>NOMBRE RETIRA: PAULA AGUILERA . RUT RETIRA: 16017864-7</t>
  </si>
  <si>
    <t>Los Ibiscos 1300-1398, 1443</t>
  </si>
  <si>
    <t>DOR55017610</t>
  </si>
  <si>
    <t>NOMBRE RETIRA: JOCELYN CONSERHE . RUT RETIRA: 20789080-4</t>
  </si>
  <si>
    <t>Gonzalo San Martin</t>
  </si>
  <si>
    <t>Av. Primera 50 condominio bosques de reñaca, torre 7 depto 22</t>
  </si>
  <si>
    <t>DOR55017563</t>
  </si>
  <si>
    <t>NOMBRE RETIRA: CAREN RIVERA GOME RUT RETIRA: 16110627-5</t>
  </si>
  <si>
    <t>María de los Ángeles Espinoza Espinoza</t>
  </si>
  <si>
    <t>Salitrera Carnaval 532, Copiapó, Atacama, Chile</t>
  </si>
  <si>
    <t>DOR55017577</t>
  </si>
  <si>
    <t>NOMBRE RETIRA: CAROLINA REYES . RUT RETIRA: 17575914-K</t>
  </si>
  <si>
    <t>Carolina Andrea Reyes Aracena</t>
  </si>
  <si>
    <t>Los Cardenales 251 Chorrillos, ViÑa Del Mar</t>
  </si>
  <si>
    <t>DOR55017508</t>
  </si>
  <si>
    <t>NOMBRE RETIRA: JESSICA CARMONA . RUT RETIRA: 14110979-0</t>
  </si>
  <si>
    <t>Nicholas Quijada</t>
  </si>
  <si>
    <t>Ascotan norte 155, Dpto 1813 torre A</t>
  </si>
  <si>
    <t>DOR55017500</t>
  </si>
  <si>
    <t>NOMBRE RETIRA: JUAN OLIVERA . RUT RETIRA: 14082980-3</t>
  </si>
  <si>
    <t>Roberto Cisternas Muñoz</t>
  </si>
  <si>
    <t>Almirante Latorre 537, Oficina 4</t>
  </si>
  <si>
    <t>DOR55017583</t>
  </si>
  <si>
    <t>NOMBRE RETIRA: EVELYN ARAOS A RUT RETIRA: 16361977-6</t>
  </si>
  <si>
    <t>Evelyn Araos</t>
  </si>
  <si>
    <t>San MartÍn 153</t>
  </si>
  <si>
    <t>DOR55017504</t>
  </si>
  <si>
    <t>NOMBRE RETIRA: VIVIAN GONGALW . RUT RETIRA: 10518384-4</t>
  </si>
  <si>
    <t>Portal san José parcela 62 orilla de carretera angol, Casa</t>
  </si>
  <si>
    <t>DOR55017601</t>
  </si>
  <si>
    <t>NOMBRE RETIRA: MONICA JERES . RUT RETIRA: 14011674-2</t>
  </si>
  <si>
    <t>Mónica Jerez de Cabrera</t>
  </si>
  <si>
    <t>Manso de Velasco 67. Población Yungay. San Felipe, Casa 67</t>
  </si>
  <si>
    <t>DOR55017587</t>
  </si>
  <si>
    <t>NOMBRE RETIRA: ELISA ULLOA . RUT RETIRA: 21496005-2</t>
  </si>
  <si>
    <t>Arauco 861, 1804</t>
  </si>
  <si>
    <t>DOR55017574</t>
  </si>
  <si>
    <t>NOMBRE RETIRA: FRANCISCA N N RUT RETIRA: 21902881-4</t>
  </si>
  <si>
    <t>Matias Triviño</t>
  </si>
  <si>
    <t>Calle Andes, 733</t>
  </si>
  <si>
    <t>DOR55017555</t>
  </si>
  <si>
    <t>NOMBRE RETIRA: MARIO NAVARRETE . RUT RETIRA: 56074290-8</t>
  </si>
  <si>
    <t>Rebeca Carrasco</t>
  </si>
  <si>
    <t>Las Heras 2050, 409</t>
  </si>
  <si>
    <t>DOR55017584</t>
  </si>
  <si>
    <t>NOMBRE RETIRA: MAURICIO DELGADO CONSERJE RUT RETIRA: 56075040-4</t>
  </si>
  <si>
    <t>Benjamin Yañez</t>
  </si>
  <si>
    <t>Av antofagasta 185, gomez carreños, Departamento</t>
  </si>
  <si>
    <t>DOR55017557</t>
  </si>
  <si>
    <t>NOMBRE RETIRA: JUAN M DAVINSON G RUT RETIRA: 13784472-9</t>
  </si>
  <si>
    <t>Juan Miguel Davidson</t>
  </si>
  <si>
    <t>34 oriente 1517, casa, frente supermercado Unimarc</t>
  </si>
  <si>
    <t>DOR55017529</t>
  </si>
  <si>
    <t>NOMBRE RETIRA: ANTONIO VIDALGO D RUT RETIRA: 44543496-5</t>
  </si>
  <si>
    <t>Diaz gana 900, Edificio el Nogal 44</t>
  </si>
  <si>
    <t>DOR55017562</t>
  </si>
  <si>
    <t>NOMBRE RETIRA: JAVIERA SULVA SILVA RUT RETIRA: 10242230-9</t>
  </si>
  <si>
    <t>Heriberto Urzúa 140</t>
  </si>
  <si>
    <t>DOR55017512</t>
  </si>
  <si>
    <t>NOMBRE RETIRA: YARITZA MERCADO . RUT RETIRA: 17736384-7</t>
  </si>
  <si>
    <t>Avenida cerro paranal 271, 32</t>
  </si>
  <si>
    <t>DOR55017511</t>
  </si>
  <si>
    <t>NOMBRE RETIRA: JPSEFA DH N RUT RETIRA: 22572195-5</t>
  </si>
  <si>
    <t>Monjitas 758</t>
  </si>
  <si>
    <t>DOR55017524</t>
  </si>
  <si>
    <t>NOMBRE RETIRA: VANESSA ESCOBAR A RUT RETIRA: 20399190-8</t>
  </si>
  <si>
    <t>Turi 2244</t>
  </si>
  <si>
    <t>DOR55017622</t>
  </si>
  <si>
    <t>NOMBRE RETIRA: IRMA RAMIREZ . RUT RETIRA: 12110787-2</t>
  </si>
  <si>
    <t>Avda los angeles 1110, Casa</t>
  </si>
  <si>
    <t>DOR55017506</t>
  </si>
  <si>
    <t>NOMBRE RETIRA: ASTRDI PRADO .. RUT RETIRA: 25313967-6</t>
  </si>
  <si>
    <t>ASTRID PRADO</t>
  </si>
  <si>
    <t>Simón Bolivar 1157, 401</t>
  </si>
  <si>
    <t>DOR55017540</t>
  </si>
  <si>
    <t>NOMBRE RETIRA: HORACIO JELVES A RUT RETIRA: 9082758-8</t>
  </si>
  <si>
    <t>María José Gallardo Sandoval</t>
  </si>
  <si>
    <t>Pasaje los Perales #3128 villa don fernando, 3128</t>
  </si>
  <si>
    <t>DOR55017503</t>
  </si>
  <si>
    <t>NOMBRE RETIRA: CRISTIAN PONCE . RUT RETIRA: 17396995-3</t>
  </si>
  <si>
    <t>Cristian Ponce toledo</t>
  </si>
  <si>
    <t>18 De Septiembre 100 Valle La Piedra 1, Casa 100, Casa 100</t>
  </si>
  <si>
    <t>DOR55017534</t>
  </si>
  <si>
    <t>NOMBRE RETIRA: LUCAS ALVAREZ . RUT RETIRA: 19089673-0</t>
  </si>
  <si>
    <t>Rolando Zaror</t>
  </si>
  <si>
    <t>Avenida Nahuelbuta 1800, Casa 25</t>
  </si>
  <si>
    <t>DOR55017488</t>
  </si>
  <si>
    <t>NOMBRE RETIRA: SOLEDAD GALLARDO . RUT RETIRA: 53336919-7</t>
  </si>
  <si>
    <t>Carolina Vivallo</t>
  </si>
  <si>
    <t>Senador Estébanez 880, Depto 151</t>
  </si>
  <si>
    <t>DOR55017548</t>
  </si>
  <si>
    <t>NOMBRE RETIRA: JORGE LPEZ N RUT RETIRA: 56057990-K</t>
  </si>
  <si>
    <t>DOR55017520</t>
  </si>
  <si>
    <t>NOMBRE RETIRA: MAURICOO HWRMOSILLA . RUT RETIRA: 15969049-0</t>
  </si>
  <si>
    <t>mauricio Hermosilla</t>
  </si>
  <si>
    <t>Cristobal De La Cerda 319</t>
  </si>
  <si>
    <t>DOR55017549</t>
  </si>
  <si>
    <t>NOMBRE RETIRA: ENRIQUE GUZMAN G RUT RETIRA: 56049520-K</t>
  </si>
  <si>
    <t>felipe veloso</t>
  </si>
  <si>
    <t>Salvador Vergara 264, 304b</t>
  </si>
  <si>
    <t>DOR55017533</t>
  </si>
  <si>
    <t>NOMBRE RETIRA: PABLO ROMAN J RUT RETIRA: 17512385-7</t>
  </si>
  <si>
    <t>Fernanda Roman Segura</t>
  </si>
  <si>
    <t>AlvaroCovarrubias #141, Casa</t>
  </si>
  <si>
    <t>DOR55017523</t>
  </si>
  <si>
    <t>NOMBRE RETIRA: ANDRE GALLARSO . RUT RETIRA: 21062975-0</t>
  </si>
  <si>
    <t>María Ester Rodríguez</t>
  </si>
  <si>
    <t>8 Norte 485, Depto. 34, Edificio Marbella, Esquina 2 Poniente</t>
  </si>
  <si>
    <t>DOR55017553</t>
  </si>
  <si>
    <t>NOMBRE RETIRA: MARIA CHAPARRO . RUT RETIRA: 15118319-0</t>
  </si>
  <si>
    <t>María Victoria Chaparro valdivia</t>
  </si>
  <si>
    <t>Octaviano FernÁndez 768, Casa</t>
  </si>
  <si>
    <t>DOR55017491</t>
  </si>
  <si>
    <t>NOMBRE RETIRA: BARBARA NAVARRO X RUT RETIRA: 19967162-6</t>
  </si>
  <si>
    <t>Bárbara Navarro Martínez</t>
  </si>
  <si>
    <t>Los Conquistadores 13704, Casa 31</t>
  </si>
  <si>
    <t>DOR55017521</t>
  </si>
  <si>
    <t>NOMBRE RETIRA: RICARDO NAVARRETE . . RUT RETIRA: 12189720-2</t>
  </si>
  <si>
    <t>Manuel Villalobos</t>
  </si>
  <si>
    <t>Teniente Luis Cruz Martínez 265, Casa</t>
  </si>
  <si>
    <t>DOR55017493</t>
  </si>
  <si>
    <t>NOMBRE RETIRA: ALEJANDRO CABEZAS M RUT RETIRA: 13135813-K</t>
  </si>
  <si>
    <t>Alejandro Cabezas</t>
  </si>
  <si>
    <t>Los Abedules 152, Valparaíso, Casa roja, esquina</t>
  </si>
  <si>
    <t>DOR55017518</t>
  </si>
  <si>
    <t>NOMBRE RETIRA: CARMEN SOTO . RUT RETIRA: 9174422-8</t>
  </si>
  <si>
    <t>VIRGINIA LORCA VALENZUELA</t>
  </si>
  <si>
    <t>GENARO REYES 581 (CLINICA LOS ANDES), PISO 4 OF 404</t>
  </si>
  <si>
    <t>DOR55017516</t>
  </si>
  <si>
    <t>NOMBRE RETIRA: LIET MENESES PORTERA RUT RETIRA: 65189542-1</t>
  </si>
  <si>
    <t>Daniel Catejo</t>
  </si>
  <si>
    <t>Pintor Gustavo Cabello Olguin 947, Rancagua, Pintor Gustavo Cabello Olguin # 947, Depto 303</t>
  </si>
  <si>
    <t>DOR55017532</t>
  </si>
  <si>
    <t>NOMBRE RETIRA: DANIEL VALENZUELA . RUT RETIRA: 53334824-6</t>
  </si>
  <si>
    <t>Los poetas 233, Departamento 1209 teillier</t>
  </si>
  <si>
    <t>DOR55017550</t>
  </si>
  <si>
    <t>NOMBRE RETIRA: CROSTONSL LOPEZ LPPEZ RUT RETIRA: 20661616-4</t>
  </si>
  <si>
    <t>Cristóbal Contreras Crixxx</t>
  </si>
  <si>
    <t>Psj flora 2279, Casa naranja</t>
  </si>
  <si>
    <t>DOR55017509</t>
  </si>
  <si>
    <t>NOMBRE RETIRA: LORENA GARCIA GAETE RUT RETIRA: 15722948-6</t>
  </si>
  <si>
    <t>María García Gaete</t>
  </si>
  <si>
    <t>Casa, Calle Lautaro 257. Población Pedro Aguirre Cerda 257</t>
  </si>
  <si>
    <t>DOR55017515</t>
  </si>
  <si>
    <t>NOMBRE RETIRA: FANY CASTILLO . RUT RETIRA: 7329785-0</t>
  </si>
  <si>
    <t>Fany Castillo</t>
  </si>
  <si>
    <t>Hospital De Santa Cruz 3 Piso, Avenida Errazuriz 921</t>
  </si>
  <si>
    <t>DOR55017519</t>
  </si>
  <si>
    <t>NOMBRE RETIRA: WALTER JARPA . RUT RETIRA: 10817891-4</t>
  </si>
  <si>
    <t>Walter jarpa Hidalgo</t>
  </si>
  <si>
    <t>Huechuraba 02162</t>
  </si>
  <si>
    <t>DOR55017546</t>
  </si>
  <si>
    <t>NOMBRE RETIRA: PAULINA BUSYOS . RUT RETIRA: 17249481-1</t>
  </si>
  <si>
    <t>Alejandro Sazo</t>
  </si>
  <si>
    <t>Guillermo Munnich 204, Departamento 611</t>
  </si>
  <si>
    <t>DOR55017571</t>
  </si>
  <si>
    <t>NOMBRE RETIRA: RICARDO TIRADO CONSERJERIA RUT RETIRA: 15955595-K</t>
  </si>
  <si>
    <t>Fabian Viancos</t>
  </si>
  <si>
    <t>Alberto Arenas Carvajal 4240, A-206</t>
  </si>
  <si>
    <t>DOR55017492</t>
  </si>
  <si>
    <t>NOMBRE RETIRA: MONICA K J RUT RETIRA: 12345678-5</t>
  </si>
  <si>
    <t>Camilo Moncada</t>
  </si>
  <si>
    <t>Juanita Otiñano 01850, Araucaria 302</t>
  </si>
  <si>
    <t>DOR55017481</t>
  </si>
  <si>
    <t>NOMBRE RETIRA: MONICA GALAN . RUT RETIRA: 28891547-4</t>
  </si>
  <si>
    <t>MARIA FRANCISCA MORAGA MORAGA</t>
  </si>
  <si>
    <t>Padre Hurtado 2369, Condominio Oceánica Dpto 2303 Torre Norte</t>
  </si>
  <si>
    <t>DOR55017382</t>
  </si>
  <si>
    <t>NOMBRE RETIRA: IAN ALFSEN B RUT RETIRA: 20275040-0</t>
  </si>
  <si>
    <t>Ian Alfsen</t>
  </si>
  <si>
    <t>Carlos Fischer 150</t>
  </si>
  <si>
    <t>DOR55017477</t>
  </si>
  <si>
    <t>NOMBRE RETIRA: IVANIA HENRIQUEZ X RUT RETIRA: 12443250-2</t>
  </si>
  <si>
    <t>Ivania Henriquez</t>
  </si>
  <si>
    <t>los chirihues 9072, casa</t>
  </si>
  <si>
    <t>DOR55017484</t>
  </si>
  <si>
    <t>NOMBRE RETIRA: VANIA VENTURELLI . RUT RETIRA: 11677059-8</t>
  </si>
  <si>
    <t>Vannia Venturelli</t>
  </si>
  <si>
    <t>Zaragoza 0590 villa España, Casa</t>
  </si>
  <si>
    <t>DOR55017483</t>
  </si>
  <si>
    <t>NOMBRE RETIRA: MACARENA . . RUT RETIRA: 53310370-7</t>
  </si>
  <si>
    <t>Fernanda Burucker</t>
  </si>
  <si>
    <t>Av. Los conquistadores 1640, Dpto 605 torre c</t>
  </si>
  <si>
    <t>DOR55017475</t>
  </si>
  <si>
    <t>NOMBRE RETIRA: SUSY OCHOA 0 RUT RETIRA: 12441419-9</t>
  </si>
  <si>
    <t>Sussy Ochoa valenzuela</t>
  </si>
  <si>
    <t>Jose blumell 677, Casa dos pisos con palmera</t>
  </si>
  <si>
    <t>DOR55017472</t>
  </si>
  <si>
    <t>NOMBRE RETIRA: EMILIO HE RIQUEZ HENRIQUEZ RUT RETIRA: 13817421-2</t>
  </si>
  <si>
    <t>Emilio Henriquez</t>
  </si>
  <si>
    <t>Club de campo residencial puerto varas Lago tagua tagua, 161</t>
  </si>
  <si>
    <t>DOR55017476</t>
  </si>
  <si>
    <t>NOMBRE RETIRA: DAVID GAITAN FD RUT RETIRA: 6672949-4</t>
  </si>
  <si>
    <t>carolina gaytan</t>
  </si>
  <si>
    <t>Las salvias 1279 herradura oriente, casa</t>
  </si>
  <si>
    <t>DOR55017420</t>
  </si>
  <si>
    <t>NOMBRE RETIRA: JOHN SANDOBAL . RUT RETIRA: 19156089-2</t>
  </si>
  <si>
    <t>Alexandra Inostroza</t>
  </si>
  <si>
    <t>Alcázar 602, Casa</t>
  </si>
  <si>
    <t>DOR55017458</t>
  </si>
  <si>
    <t>NOMBRE RETIRA: YAMI ANDREZ . RUT RETIRA: 20259393-3</t>
  </si>
  <si>
    <t>Jamy Andres Barraza Sanchez</t>
  </si>
  <si>
    <t>CERRO PUNTA BLANCA 1477, Asa</t>
  </si>
  <si>
    <t>DOR55017468</t>
  </si>
  <si>
    <t>NOMBRE RETIRA: MIRIAN GAJARDO X RUT RETIRA: 9890649-5</t>
  </si>
  <si>
    <t>Yeison Riffo</t>
  </si>
  <si>
    <t>Caupolican 505, Casa</t>
  </si>
  <si>
    <t>DOR55017446</t>
  </si>
  <si>
    <t>NOMBRE RETIRA: ANTONIA LAVACI . RUT RETIRA: 18827170-7</t>
  </si>
  <si>
    <t>Valerie Silva</t>
  </si>
  <si>
    <t>Cerro Miscanti 17a</t>
  </si>
  <si>
    <t>DOR55017413</t>
  </si>
  <si>
    <t>NOMBRE RETIRA: RAUL SERRANO . RUT RETIRA: 13780524-3</t>
  </si>
  <si>
    <t>BARBARA RAYEN LARA ROJAS</t>
  </si>
  <si>
    <t>LOS PALACIOS 443, EDIFICIO CARAMPANGUE 2, DEPARTAMENTO 307, DEPTO 307</t>
  </si>
  <si>
    <t>DOR55017479</t>
  </si>
  <si>
    <t>NOMBRE RETIRA: JUAN CATALDO . RUT RETIRA: 10792186-9</t>
  </si>
  <si>
    <t>Elizabeth Urrea Vicencio</t>
  </si>
  <si>
    <t>Pasaje nueve 3475, Salinas</t>
  </si>
  <si>
    <t>DOR55017470</t>
  </si>
  <si>
    <t>NOMBRE RETIRA: PATRICIO SEPULVEDA . RUT RETIRA: 8945330-5</t>
  </si>
  <si>
    <t>Diego Sepúlveda Briones</t>
  </si>
  <si>
    <t>Pingueral 329, Casa</t>
  </si>
  <si>
    <t>DOR55017455</t>
  </si>
  <si>
    <t>NOMBRE RETIRA: EVA FERRER . RUT RETIRA: 27742895-4</t>
  </si>
  <si>
    <t>Chacabuco 111, Departamento 2005</t>
  </si>
  <si>
    <t>DOR55017452</t>
  </si>
  <si>
    <t>NOMBRE RETIRA: MARIANA ARENAS O RUT RETIRA: 12345678-5</t>
  </si>
  <si>
    <t>mariana arenas</t>
  </si>
  <si>
    <t>ligia enriqueta zamudio 3049</t>
  </si>
  <si>
    <t>DOR55017440</t>
  </si>
  <si>
    <t>NOMBRE RETIRA: FRANCISCA CARTES . RUT RETIRA: 18275640-7</t>
  </si>
  <si>
    <t>Marcelo Feistner</t>
  </si>
  <si>
    <t>Heroes de la c9ncepcion 2116, Casa esquina hernan fuenzalida</t>
  </si>
  <si>
    <t>DOR55017451</t>
  </si>
  <si>
    <t>NOMBRE RETIRA: SEBASTIAN LOPEZ . RUT RETIRA: 18317561-0</t>
  </si>
  <si>
    <t>Veronica Pizarro Pizarro</t>
  </si>
  <si>
    <t>Laguna Kalina 1473, Casa E-16, Condominio Trabajadores Del Norte</t>
  </si>
  <si>
    <t>DOR55017433</t>
  </si>
  <si>
    <t>NOMBRE RETIRA: FABIAN MONDACA . RUT RETIRA: 56049340-1</t>
  </si>
  <si>
    <t>Avenida Borgoño, 21080, Departamento 62</t>
  </si>
  <si>
    <t>DOR55017454</t>
  </si>
  <si>
    <t>DOR55017453</t>
  </si>
  <si>
    <t>NOMBRE RETIRA: CARMEN ARAYA VALLEJO RUT RETIRA: 5978768-3</t>
  </si>
  <si>
    <t>Moisés Arce 5998, Villa punta negra sector paipote</t>
  </si>
  <si>
    <t>DOR55017435</t>
  </si>
  <si>
    <t>NOMBRE RETIRA: MAURICIO VALDES VALDES RUT RETIRA: 12284410-2</t>
  </si>
  <si>
    <t>Antilhue 206, Mirador Lonco Parque, Torre 2a, Depto 232</t>
  </si>
  <si>
    <t>DOR55017457</t>
  </si>
  <si>
    <t>NOMBRE RETIRA: ANDRES LUK . RUT RETIRA: 53303487-K</t>
  </si>
  <si>
    <t>David Sepulveda</t>
  </si>
  <si>
    <t>Viana 433, Depto 1611</t>
  </si>
  <si>
    <t>DOR55017422</t>
  </si>
  <si>
    <t>NOMBRE RETIRA: NICOLAS CORNEJO . RUT RETIRA: 17597377-K</t>
  </si>
  <si>
    <t>España 940-A, Cerrajería cornejo</t>
  </si>
  <si>
    <t>DOR55017615</t>
  </si>
  <si>
    <t>713069194670</t>
  </si>
  <si>
    <t>Nombre: ushshsv - Rut: 199849581</t>
  </si>
  <si>
    <t>Juan Francisco Rojas Ramirez</t>
  </si>
  <si>
    <t>Las industrias norte 02247, melipilla, 02247</t>
  </si>
  <si>
    <t>2026-05-06 12:16</t>
  </si>
  <si>
    <t>DOR55017551</t>
  </si>
  <si>
    <t>713068015262</t>
  </si>
  <si>
    <t>Nombre: Sofia Hernandez - Rut: 202141390</t>
  </si>
  <si>
    <t>Sofía Paz Hernández Escobar</t>
  </si>
  <si>
    <t>PASAJE TALCA 1208, PEÑAFLOR, CASA ESQUINA</t>
  </si>
  <si>
    <t>DOR55017590</t>
  </si>
  <si>
    <t>713068591045</t>
  </si>
  <si>
    <t>Nombre: Valeria ormeno - Rut: 178525255</t>
  </si>
  <si>
    <t>Valeria Ormeño</t>
  </si>
  <si>
    <t>El Comendador 1335, Casa</t>
  </si>
  <si>
    <t>DOR55017438</t>
  </si>
  <si>
    <t>9466543310</t>
  </si>
  <si>
    <t>Sebastián Olivares Astorga</t>
  </si>
  <si>
    <t>Vil Choapa Rafael Marotto 299, Casa</t>
  </si>
  <si>
    <t>2026-04-25 10:22</t>
  </si>
  <si>
    <t>DOR55017677</t>
  </si>
  <si>
    <t>9465847635</t>
  </si>
  <si>
    <t>Yasna Briones farias</t>
  </si>
  <si>
    <t>Poblacion región del maule pasaje romeral 2125</t>
  </si>
  <si>
    <t>2026-05-08 20:46</t>
  </si>
  <si>
    <t>DOR55017679</t>
  </si>
  <si>
    <t>9465728440</t>
  </si>
  <si>
    <t>Mauricio Salgado</t>
  </si>
  <si>
    <t>Libertad 41, Casa</t>
  </si>
  <si>
    <t>DOR55017539</t>
  </si>
  <si>
    <t>9463792671</t>
  </si>
  <si>
    <t>Sucursal Bluexpress "Parcela 28, kilómetro 11 Chalet Quemado, Longaví"</t>
  </si>
  <si>
    <t>2026-05-03 20:43</t>
  </si>
  <si>
    <t>DOR55017538</t>
  </si>
  <si>
    <t>9463732460</t>
  </si>
  <si>
    <t>Katherine Lopez</t>
  </si>
  <si>
    <t>Avenida el parque 1641, Casa 124</t>
  </si>
  <si>
    <t>DOR55017505</t>
  </si>
  <si>
    <t>9463571773</t>
  </si>
  <si>
    <t>Waldo San juan</t>
  </si>
  <si>
    <t>Alejandro sepulveda, 577</t>
  </si>
  <si>
    <t>DOR55017485</t>
  </si>
  <si>
    <t>9463486756</t>
  </si>
  <si>
    <t>Victoria Barahona</t>
  </si>
  <si>
    <t>Avenida quilvo villa luxemburgo, Casa 710 romeral</t>
  </si>
  <si>
    <t>2026-04-29 21:47</t>
  </si>
  <si>
    <t>DOR55017544</t>
  </si>
  <si>
    <t>9463468523</t>
  </si>
  <si>
    <t>Mercedes Valdivia</t>
  </si>
  <si>
    <t>Socos 268</t>
  </si>
  <si>
    <t>DOR55017556</t>
  </si>
  <si>
    <t>9463337063</t>
  </si>
  <si>
    <t>Daniela Silvana Torres subiabre</t>
  </si>
  <si>
    <t>Rosalino Arismendi 3961 Portal Del Sur, 3961</t>
  </si>
  <si>
    <t>DOR55017724</t>
  </si>
  <si>
    <t>9461907744</t>
  </si>
  <si>
    <t>Daniela Lizana</t>
  </si>
  <si>
    <t>Población nueva bellavista pasaje los alerces casa, Casa 017</t>
  </si>
  <si>
    <t>2026-05-12 21:30</t>
  </si>
  <si>
    <t>DOR55017717</t>
  </si>
  <si>
    <t>9461574441</t>
  </si>
  <si>
    <t>Marianela Francisca Bustamante Oróstica</t>
  </si>
  <si>
    <t>Nueva Bellavista calle 3 n°063, Casa</t>
  </si>
  <si>
    <t>DOR55017569</t>
  </si>
  <si>
    <t>9461095346</t>
  </si>
  <si>
    <t>Brenda Cerda cornejo</t>
  </si>
  <si>
    <t>Avenida estacion camino fundo el alamo lo miranda, 00 galpon plomo</t>
  </si>
  <si>
    <t>2026-05-04 20:46</t>
  </si>
  <si>
    <t>DOR55017641</t>
  </si>
  <si>
    <t>9460909776</t>
  </si>
  <si>
    <t>Sebastián Ojeda velasquez</t>
  </si>
  <si>
    <t>Padre manuel carcamo, 1285</t>
  </si>
  <si>
    <t>DOR55017619</t>
  </si>
  <si>
    <t>9460908306</t>
  </si>
  <si>
    <t>Marcelo Morales gutierrez</t>
  </si>
  <si>
    <t>Balmaceda 876</t>
  </si>
  <si>
    <t>DOR55017614</t>
  </si>
  <si>
    <t>9460832426</t>
  </si>
  <si>
    <t>Javiera Pradenas</t>
  </si>
  <si>
    <t>O Higgins 164, Casa de esquina, Antilhue</t>
  </si>
  <si>
    <t>DOR55017630</t>
  </si>
  <si>
    <t>9460773033</t>
  </si>
  <si>
    <t>Balmaceda 212 Batuco, Batuco</t>
  </si>
  <si>
    <t>DOR55017579</t>
  </si>
  <si>
    <t>9460752011</t>
  </si>
  <si>
    <t>carolina cataldo</t>
  </si>
  <si>
    <t>Independencia 218 tiltil, Casa esquina</t>
  </si>
  <si>
    <t>DOR55017617</t>
  </si>
  <si>
    <t>9460492042</t>
  </si>
  <si>
    <t>Nicolas Campos Rojas</t>
  </si>
  <si>
    <t>Parcela 5 Santa Ines (Verfrut) carretera de la fruta, Lago rapel</t>
  </si>
  <si>
    <t>DOR55017417</t>
  </si>
  <si>
    <t>9431181012</t>
  </si>
  <si>
    <t>Marisol Maldonado</t>
  </si>
  <si>
    <t>Pasaje Choapa 1830</t>
  </si>
  <si>
    <t>2026-04-22 20:21</t>
  </si>
  <si>
    <t>DOR55017421</t>
  </si>
  <si>
    <t>9430123006</t>
  </si>
  <si>
    <t>Laura Minte</t>
  </si>
  <si>
    <t>El Dorado 14</t>
  </si>
  <si>
    <t>2026-04-23 21:03</t>
  </si>
  <si>
    <t>DOR55017801</t>
  </si>
  <si>
    <t>2292553712</t>
  </si>
  <si>
    <t>Luis Pajarito Alvarez</t>
  </si>
  <si>
    <t>Calle los quillayes N 82 Condominio Campo mar VII,, Parcela</t>
  </si>
  <si>
    <t>DOR55017802</t>
  </si>
  <si>
    <t>2292553690</t>
  </si>
  <si>
    <t>Alejandro Rebolledo</t>
  </si>
  <si>
    <t>1 oriente B 2160, Casa</t>
  </si>
  <si>
    <t>DOR55017805</t>
  </si>
  <si>
    <t>2292553491</t>
  </si>
  <si>
    <t>Cacique Colin #1313. Lampa, Portón de lata. O al frente en almacén de artículos de aseo. "Donde Alfonso"</t>
  </si>
  <si>
    <t>DOR55017767</t>
  </si>
  <si>
    <t>2289391322</t>
  </si>
  <si>
    <t>eduardo alegria</t>
  </si>
  <si>
    <t>victor troncoso muñoz 445, casa 3</t>
  </si>
  <si>
    <t>FLA-6240</t>
  </si>
  <si>
    <t>FLORACTIVE</t>
  </si>
  <si>
    <t>NOMBRE RETIRA: TERESA SEPULVEDA . RUT RETIRA: 18835939-6</t>
  </si>
  <si>
    <t>Teresa Sepulveda</t>
  </si>
  <si>
    <t>Atenea ?7057</t>
  </si>
  <si>
    <t>FLA-6319</t>
  </si>
  <si>
    <t>NOMBRE RETIRA: JAQUELINE RUZ PORTERIA . RUT RETIRA: 53332313-8</t>
  </si>
  <si>
    <t>Rosa perfecto Studio</t>
  </si>
  <si>
    <t>avenida la siembra 4831, 257</t>
  </si>
  <si>
    <t>FLA#6216</t>
  </si>
  <si>
    <t>NOMBRE RETIRA: FERNANDA LEAL A RUT RETIRA: 26572724-7</t>
  </si>
  <si>
    <t>Fernanda Leal</t>
  </si>
  <si>
    <t>21 de mayo ?1520 (local 3-4)</t>
  </si>
  <si>
    <t>HIT1009</t>
  </si>
  <si>
    <t>713078069664</t>
  </si>
  <si>
    <t>HIT GAMING</t>
  </si>
  <si>
    <t>Nombre: Millaray Navarrete - Rut: 215582523</t>
  </si>
  <si>
    <t>Millaray Antonia Navarrete Aguayo</t>
  </si>
  <si>
    <t>joel cartes guzmán 64</t>
  </si>
  <si>
    <t>2026-05-28 08:07</t>
  </si>
  <si>
    <t>HIT1008</t>
  </si>
  <si>
    <t>713074248353</t>
  </si>
  <si>
    <t>Martin Brintrup</t>
  </si>
  <si>
    <t>Bernardo O'Higgins 143, Casa 143</t>
  </si>
  <si>
    <t>OPARD1614</t>
  </si>
  <si>
    <t>KOS</t>
  </si>
  <si>
    <t>NOMBRE RETIRA: JUAN CERDA A RUT RETIRA: 53315743-2</t>
  </si>
  <si>
    <t>Flavia duarte bustamante</t>
  </si>
  <si>
    <t>la paz 451, depto 405 A</t>
  </si>
  <si>
    <t>#5219</t>
  </si>
  <si>
    <t>LA MANTA CHILENA</t>
  </si>
  <si>
    <t>NOMBRE RETIRA: VALENTINA SULLIVAN M RUT RETIRA: 17082416-4</t>
  </si>
  <si>
    <t>Valentina Sullivan</t>
  </si>
  <si>
    <t>Las Gaviotas 35, las vertientes</t>
  </si>
  <si>
    <t>#5213</t>
  </si>
  <si>
    <t>NOMBRE RETIRA: PAMELA ORELLANA .. RUT RETIRA: 10645177-K</t>
  </si>
  <si>
    <t>Avenida Errázuriz 145, Entregar en el museo</t>
  </si>
  <si>
    <t>#5210</t>
  </si>
  <si>
    <t>NOMBRE RETIRA: VICTOE MULI J RUT RETIRA: 12345678-5</t>
  </si>
  <si>
    <t>Viviana Herrera Reuse</t>
  </si>
  <si>
    <t>Hochstetter 385 departamento 301</t>
  </si>
  <si>
    <t>#5192</t>
  </si>
  <si>
    <t>NOMBRE RETIRA: CAROLINA MORALES .. RUT RETIRA: 12952807-9</t>
  </si>
  <si>
    <t>Carolina Morales Opazo</t>
  </si>
  <si>
    <t>54 oriente 1551 parcelas Viña Esmeralda</t>
  </si>
  <si>
    <t>#5201</t>
  </si>
  <si>
    <t>NOMBRE RETIRA: PINO XXX XXX RUT RETIRA: 65083865-3</t>
  </si>
  <si>
    <t>marcela gonzalez</t>
  </si>
  <si>
    <t>portillo alto 3150</t>
  </si>
  <si>
    <t>#5187</t>
  </si>
  <si>
    <t>NOMBRE RETIRA: JUAN NORAMBUENA . RUT RETIRA: 19127693-0</t>
  </si>
  <si>
    <t>Juan Alfonso Norambuena Vásquez</t>
  </si>
  <si>
    <t>Calle Victoria 359, Casa</t>
  </si>
  <si>
    <t>#5190</t>
  </si>
  <si>
    <t>NOMBRE RETIRA: BLANCA ROJAS R RUT RETIRA: 7825686-9</t>
  </si>
  <si>
    <t>Avenida 9 Norte 3903</t>
  </si>
  <si>
    <t>#5185</t>
  </si>
  <si>
    <t>NOMBRE RETIRA: ISABEL SALAZAR . RUT RETIRA: 13056733-9</t>
  </si>
  <si>
    <t>Isabel Henriquez</t>
  </si>
  <si>
    <t>Flores Millán 1575</t>
  </si>
  <si>
    <t>#5177</t>
  </si>
  <si>
    <t>NOMBRE RETIRA: ISABEL SALAZR . RUT RETIRA: 13056733-9</t>
  </si>
  <si>
    <t>Oscar Ramos</t>
  </si>
  <si>
    <t>Flores Millán 1575 casa 1. Condominio Los Pirineos</t>
  </si>
  <si>
    <t>#5175</t>
  </si>
  <si>
    <t>NOMBRE RETIRA: CATALINA ACOSTA . RUT RETIRA: 20143573-0</t>
  </si>
  <si>
    <t>CATALINA ACOSTA</t>
  </si>
  <si>
    <t>Rincón de Yaquil Santa Cruz</t>
  </si>
  <si>
    <t>#5163</t>
  </si>
  <si>
    <t>NOMBRE RETIRA: CARMEN ARAYA . RUT RETIRA: 15132534-3</t>
  </si>
  <si>
    <t>#5227</t>
  </si>
  <si>
    <t>713077801833</t>
  </si>
  <si>
    <t>Tawa Refugio SPA</t>
  </si>
  <si>
    <t>Lago Rupanco 1331</t>
  </si>
  <si>
    <t>2026-05-27 14:13</t>
  </si>
  <si>
    <t>#5208</t>
  </si>
  <si>
    <t>713071672165</t>
  </si>
  <si>
    <t>Nombre: Valeska Alejandra Figueroa Araneda - Rut: 16139333</t>
  </si>
  <si>
    <t>Valeska Alejandra Figueroa Araneda</t>
  </si>
  <si>
    <t>PATRICIO LYNCH - 490 -</t>
  </si>
  <si>
    <t>2026-05-12 02:22</t>
  </si>
  <si>
    <t>#5178</t>
  </si>
  <si>
    <t>9463152506</t>
  </si>
  <si>
    <t>Enrique Hott</t>
  </si>
  <si>
    <t>Avenida Dieciocho de Septiembre 6548</t>
  </si>
  <si>
    <t>LAQ10837</t>
  </si>
  <si>
    <t>LAQU &amp; COMPANY</t>
  </si>
  <si>
    <t>NOMBRE RETIRA: MARIA RAMIREZ RAMIREZ RUT RETIRA: 20358199-8</t>
  </si>
  <si>
    <t>Jorge Ross 975, T1D77</t>
  </si>
  <si>
    <t>MAGIC MAKEUP</t>
  </si>
  <si>
    <t>NOMBRE RETIRA: JUANPABLO HARO . RUT RETIRA: 16814128-9</t>
  </si>
  <si>
    <t>Puerta del Sol casa 65, 65. Piso: Curauma</t>
  </si>
  <si>
    <t>NOMBRE RETIRA: CONDOMINII PIERTO DEL NORTE . RUT RETIRA: 65196217-K</t>
  </si>
  <si>
    <t>Daniella María Monge Morales</t>
  </si>
  <si>
    <t>Lourdes , 1051. Piso: B 402</t>
  </si>
  <si>
    <t>NOMBRE RETIRA: MONICA ROMAN . RUT RETIRA: 5044246-2</t>
  </si>
  <si>
    <t>María Begoña Indurain</t>
  </si>
  <si>
    <t>Jorge Alessandri, 1381</t>
  </si>
  <si>
    <t>NOMBRE RETIRA: OSCAR ALBANESICH . RUT RETIRA: 65050432-1</t>
  </si>
  <si>
    <t>Fanny Araya</t>
  </si>
  <si>
    <t>Santa Rita, 950. Piso: 402 B</t>
  </si>
  <si>
    <t>MVI-2820</t>
  </si>
  <si>
    <t>MARINA VITAL</t>
  </si>
  <si>
    <t>NOMBRE RETIRA: PAOLA CACERES CACEREE RUT RETIRA: 13422255-7</t>
  </si>
  <si>
    <t>Paola caceres</t>
  </si>
  <si>
    <t>Quebrada del Cinchado 2611, casa, Casa</t>
  </si>
  <si>
    <t>MVI-2811</t>
  </si>
  <si>
    <t>NOMBRE RETIRA: KAREN RODRIGUEZ H RUT RETIRA: 12224976-K</t>
  </si>
  <si>
    <t>Soledad Sepulveda henriquez</t>
  </si>
  <si>
    <t>Pasaje flores silvestres 814 poblacion pedro lira, limache</t>
  </si>
  <si>
    <t>MVI-2809</t>
  </si>
  <si>
    <t>NOMBRE RETIRA: SANDRA RODRIGUEZ . RUT RETIRA: 10967860-0</t>
  </si>
  <si>
    <t>Sandra Rodríguez</t>
  </si>
  <si>
    <t>Humberto Marín Williams 1163</t>
  </si>
  <si>
    <t>MVI-2805</t>
  </si>
  <si>
    <t>NOMBRE RETIRA: EDUVIGUIS ARANEDA . RUT RETIRA: 16009585-7</t>
  </si>
  <si>
    <t>eduvigis araneda</t>
  </si>
  <si>
    <t>yerbas buenas 310</t>
  </si>
  <si>
    <t>MVI-2819</t>
  </si>
  <si>
    <t>9465521693</t>
  </si>
  <si>
    <t>Anlly Aguilar</t>
  </si>
  <si>
    <t>Quintral 67 ⁠67, Casa</t>
  </si>
  <si>
    <t>2026-05-09 12:59</t>
  </si>
  <si>
    <t>MVI-2830</t>
  </si>
  <si>
    <t>2289357873</t>
  </si>
  <si>
    <t>Camila Pozas Cerda</t>
  </si>
  <si>
    <t>Francisco Javier Krugger 3120, Casa 34</t>
  </si>
  <si>
    <t>Sag_13101-REENVIO</t>
  </si>
  <si>
    <t>MUNDOBAREFOOT-SAGUAROSHOES</t>
  </si>
  <si>
    <t>Araceli Peña Rivera</t>
  </si>
  <si>
    <t>Psje. Benavides Santander s/N, Santa Cruz.</t>
  </si>
  <si>
    <t>13417</t>
  </si>
  <si>
    <t>2274357083</t>
  </si>
  <si>
    <t>RCT CHILE</t>
  </si>
  <si>
    <t>Christian Bartulovich J</t>
  </si>
  <si>
    <t>Avda O'Higgins 1672, Depto 901</t>
  </si>
  <si>
    <t>13416</t>
  </si>
  <si>
    <t>2274357116</t>
  </si>
  <si>
    <t>Cristobal Di Genova Norambuena</t>
  </si>
  <si>
    <t>34 1/2 oriente #1839</t>
  </si>
  <si>
    <t>2026-04-28 21:04</t>
  </si>
  <si>
    <t>13528</t>
  </si>
  <si>
    <t>2286164963</t>
  </si>
  <si>
    <t>Mirla Muñoz</t>
  </si>
  <si>
    <t>Luis hernandez 280</t>
  </si>
  <si>
    <t>13527</t>
  </si>
  <si>
    <t>2286185344</t>
  </si>
  <si>
    <t>Felipe Rojas Caballero</t>
  </si>
  <si>
    <t>Avenida troncal # 7820, Condominio Sol Oriente 2, casa 24</t>
  </si>
  <si>
    <t>PRO1464</t>
  </si>
  <si>
    <t>2286187455</t>
  </si>
  <si>
    <t>MAURICIO ALMAU</t>
  </si>
  <si>
    <t>Av. Bombero Villalobos 1049,</t>
  </si>
  <si>
    <t>2026-05-13 14:52</t>
  </si>
  <si>
    <t>13484</t>
  </si>
  <si>
    <t>9460431540</t>
  </si>
  <si>
    <t>Claudio Alarcón Abarca</t>
  </si>
  <si>
    <t>Olivares 2do Sector Casa # 707</t>
  </si>
  <si>
    <t>13413</t>
  </si>
  <si>
    <t>9466638613</t>
  </si>
  <si>
    <t>Sebastian Bravo Fontt</t>
  </si>
  <si>
    <t>Los copihues 30, villa militar azapa, brigada coraceros</t>
  </si>
  <si>
    <t>2026-04-27 14:52</t>
  </si>
  <si>
    <t>RCT-DEV2804261</t>
  </si>
  <si>
    <t>9466377476</t>
  </si>
  <si>
    <t>Iván Manías</t>
  </si>
  <si>
    <t>Baldomero Orrego 350, coquimbo, depto 410</t>
  </si>
  <si>
    <t>2026-04-28 13:32</t>
  </si>
  <si>
    <t>13412</t>
  </si>
  <si>
    <t>9466054006</t>
  </si>
  <si>
    <t>Cristian Alejandro Zambrano Diaz</t>
  </si>
  <si>
    <t>Las Barcazas, 2605, Villa Los Pescadores, Guanqueros, Coquimbo</t>
  </si>
  <si>
    <t>2026-04-27 14:02</t>
  </si>
  <si>
    <t>RCT13394--2</t>
  </si>
  <si>
    <t>9465857262</t>
  </si>
  <si>
    <t>Damian Rios Soto</t>
  </si>
  <si>
    <t>Psje. El.Alba 414</t>
  </si>
  <si>
    <t>13510</t>
  </si>
  <si>
    <t>9465831826</t>
  </si>
  <si>
    <t>Mauricio Lama Oviedo</t>
  </si>
  <si>
    <t>Libertador Bernardo Ohiggins 1529</t>
  </si>
  <si>
    <t>13520</t>
  </si>
  <si>
    <t>9465634301</t>
  </si>
  <si>
    <t>pedro vega solis</t>
  </si>
  <si>
    <t>quebrada jilguero norte 375, la viñita el palomar</t>
  </si>
  <si>
    <t>2026-05-10 20:29</t>
  </si>
  <si>
    <t>13505</t>
  </si>
  <si>
    <t>9465473813</t>
  </si>
  <si>
    <t>Juan Segovia pinilla</t>
  </si>
  <si>
    <t>3630 Jorge Amado</t>
  </si>
  <si>
    <t>13501</t>
  </si>
  <si>
    <t>9465433972</t>
  </si>
  <si>
    <t>Tracy Opazo Gomez</t>
  </si>
  <si>
    <t>Raquel Amar lolas 3023</t>
  </si>
  <si>
    <t>2026-05-07 21:31</t>
  </si>
  <si>
    <t>13515</t>
  </si>
  <si>
    <t>9465383152</t>
  </si>
  <si>
    <t>Luis andres Salgado sanhueza</t>
  </si>
  <si>
    <t>Estambul 3591</t>
  </si>
  <si>
    <t>2026-05-10 15:54</t>
  </si>
  <si>
    <t>13511</t>
  </si>
  <si>
    <t>9465245425</t>
  </si>
  <si>
    <t>KAROL ANACONA BRAVO</t>
  </si>
  <si>
    <t>Rio de la laguna 1353, 104 B</t>
  </si>
  <si>
    <t>2026-05-08 21:14</t>
  </si>
  <si>
    <t>13523</t>
  </si>
  <si>
    <t>9465118342</t>
  </si>
  <si>
    <t>Luis Fernando Santis torres</t>
  </si>
  <si>
    <t>Parque tolhuaca #2189</t>
  </si>
  <si>
    <t>13508</t>
  </si>
  <si>
    <t>9465071405</t>
  </si>
  <si>
    <t>Jaime Lazo Gálvez</t>
  </si>
  <si>
    <t>Pasaje Andina # 1063, Villa los Yacimientos</t>
  </si>
  <si>
    <t>13478</t>
  </si>
  <si>
    <t>9464015746</t>
  </si>
  <si>
    <t>Kevin Nuñez</t>
  </si>
  <si>
    <t>Ramon carnicer poniente 3127</t>
  </si>
  <si>
    <t>2026-05-02 20:47</t>
  </si>
  <si>
    <t>13476</t>
  </si>
  <si>
    <t>9464013801</t>
  </si>
  <si>
    <t>Marcelo Ilabel</t>
  </si>
  <si>
    <t>Luis Reus 741, san antonio</t>
  </si>
  <si>
    <t>2026-05-02 14:28</t>
  </si>
  <si>
    <t>13471</t>
  </si>
  <si>
    <t>9463601114</t>
  </si>
  <si>
    <t>Pablo Roman</t>
  </si>
  <si>
    <t>Los libertadores 791A</t>
  </si>
  <si>
    <t>2026-05-01 08:23</t>
  </si>
  <si>
    <t>13480</t>
  </si>
  <si>
    <t>9463383996</t>
  </si>
  <si>
    <t>José Salazar Pérez</t>
  </si>
  <si>
    <t>Los Quillayes 820 Villa Rauquén</t>
  </si>
  <si>
    <t>13486</t>
  </si>
  <si>
    <t>9463338231</t>
  </si>
  <si>
    <t>Rodrigo Alvarez Rodríguez</t>
  </si>
  <si>
    <t>17 oriente 1181</t>
  </si>
  <si>
    <t>13474</t>
  </si>
  <si>
    <t>9463203363</t>
  </si>
  <si>
    <t>Ignacio Muñoz Díaz</t>
  </si>
  <si>
    <t>Población San José De La Dehesa PSJ Los Mercedarios #256</t>
  </si>
  <si>
    <t>13454</t>
  </si>
  <si>
    <t>9463195431</t>
  </si>
  <si>
    <t>Carlos Robles delgado</t>
  </si>
  <si>
    <t>Panamericana Sur Km 134 empresa Tattersall</t>
  </si>
  <si>
    <t>13525</t>
  </si>
  <si>
    <t>9461486230</t>
  </si>
  <si>
    <t>susana donoso</t>
  </si>
  <si>
    <t>condominio portal molino viejo (llanquihue) Calle los Arrayanes parcela 38</t>
  </si>
  <si>
    <t>13493</t>
  </si>
  <si>
    <t>9461214475</t>
  </si>
  <si>
    <t>Héctor Alejandro Escobar Bórquez</t>
  </si>
  <si>
    <t>Avenida ignacio carrera pinto 180</t>
  </si>
  <si>
    <t>2026-05-06 17:38</t>
  </si>
  <si>
    <t>13490</t>
  </si>
  <si>
    <t>9460938141</t>
  </si>
  <si>
    <t>Tamara Sepulveda Mansilla</t>
  </si>
  <si>
    <t>Las Palmeras 45 casa 131 Jardines del Norte III</t>
  </si>
  <si>
    <t>13485</t>
  </si>
  <si>
    <t>9460842451</t>
  </si>
  <si>
    <t>Rodrigo Pincheira Sagredo</t>
  </si>
  <si>
    <t>Avenida manuel jesus ortiz 411</t>
  </si>
  <si>
    <t>2026-05-04 20:24</t>
  </si>
  <si>
    <t>13489</t>
  </si>
  <si>
    <t>9460467612</t>
  </si>
  <si>
    <t>13394</t>
  </si>
  <si>
    <t>9449063842</t>
  </si>
  <si>
    <t>Damian Rios</t>
  </si>
  <si>
    <t>PSJE EL ALBA 414</t>
  </si>
  <si>
    <t>2026-04-13 15:38</t>
  </si>
  <si>
    <t>13408</t>
  </si>
  <si>
    <t>9430042941</t>
  </si>
  <si>
    <t>RAFAEL SOSA</t>
  </si>
  <si>
    <t>El Dorado 1386</t>
  </si>
  <si>
    <t>2026-04-23 13:17</t>
  </si>
  <si>
    <t>13555</t>
  </si>
  <si>
    <t>2291380556</t>
  </si>
  <si>
    <t>Rodrigo Díaz Molina</t>
  </si>
  <si>
    <t>Avenida los Sargazos 1855 local 7, jardín del Mar, Reñaca.</t>
  </si>
  <si>
    <t>2026-05-19 14:17</t>
  </si>
  <si>
    <t>13554</t>
  </si>
  <si>
    <t>2290502174</t>
  </si>
  <si>
    <t>Stephany Marinkovic Peñailillo</t>
  </si>
  <si>
    <t>Reumen 01865</t>
  </si>
  <si>
    <t>13545</t>
  </si>
  <si>
    <t>2289577592</t>
  </si>
  <si>
    <t>Cristian Fernando Villalobos Troncoso</t>
  </si>
  <si>
    <t>Avenida las industrias 705</t>
  </si>
  <si>
    <t>2026-05-15 20:21</t>
  </si>
  <si>
    <t>13546</t>
  </si>
  <si>
    <t>2289577511</t>
  </si>
  <si>
    <t>José Sánchez Torrejón</t>
  </si>
  <si>
    <t>Av. Morro de Arica 8570</t>
  </si>
  <si>
    <t>2026-05-16 12:23</t>
  </si>
  <si>
    <t>13542</t>
  </si>
  <si>
    <t>2289569671</t>
  </si>
  <si>
    <t>KARINA CLAVERIA ABARCA</t>
  </si>
  <si>
    <t>TIACA 1562, LA ARBOLEDA, LA SERENA</t>
  </si>
  <si>
    <t>2026-05-15 15:13</t>
  </si>
  <si>
    <t>13543</t>
  </si>
  <si>
    <t>2289569634</t>
  </si>
  <si>
    <t>Miguel Cortes</t>
  </si>
  <si>
    <t>Avenida del Mar 740</t>
  </si>
  <si>
    <t>2026-05-15 16:27</t>
  </si>
  <si>
    <t>13548</t>
  </si>
  <si>
    <t>2289569575</t>
  </si>
  <si>
    <t>Manuel Cancino Cantillana</t>
  </si>
  <si>
    <t>Las Hortalizas 892 departamento 203 villa los acacios</t>
  </si>
  <si>
    <t>2026-05-17 10:12</t>
  </si>
  <si>
    <t>REL715494</t>
  </si>
  <si>
    <t>RELAJARTE</t>
  </si>
  <si>
    <t>NOMBRE RETIRA: MIROSLAVA JIMENEZ . RUT RETIRA: 13219960-4</t>
  </si>
  <si>
    <t>Estefanía Valdivia becerra</t>
  </si>
  <si>
    <t>Av. Alcalde Fernando Castillo Velasco 8146</t>
  </si>
  <si>
    <t>Juan Antonio Ríos 355</t>
  </si>
  <si>
    <t>REL715380</t>
  </si>
  <si>
    <t>NOMBRE RETIRA: CARLOS SANDOVAL . RUT RETIRA: 18541823-5</t>
  </si>
  <si>
    <t>Leidy Orellana Meneses</t>
  </si>
  <si>
    <t>El alba sn, Cesfam Chepica</t>
  </si>
  <si>
    <t>REL715256</t>
  </si>
  <si>
    <t>NOMBRE RETIRA: JOSE BARRIENTOS . RUT RETIRA: 16721148-8</t>
  </si>
  <si>
    <t>José Barrientos</t>
  </si>
  <si>
    <t>Juan yutronic 458, Casa</t>
  </si>
  <si>
    <t>REL715497</t>
  </si>
  <si>
    <t>NOMBRE RETIRA: HECTOR SUPELVEDA . RUT RETIRA: 8727709-7</t>
  </si>
  <si>
    <t>Benjamin Huerta</t>
  </si>
  <si>
    <t>Avenida Argentina 33, 1206</t>
  </si>
  <si>
    <t>REL715485</t>
  </si>
  <si>
    <t>NOMBRE RETIRA: MARIA CUELLAR CONSERJERIA RUT RETIRA: 18632165-0</t>
  </si>
  <si>
    <t>Daniela Ortiz Perez</t>
  </si>
  <si>
    <t>Avenida René Schneider 2031, Departamento 410 torre 1</t>
  </si>
  <si>
    <t>REL715471</t>
  </si>
  <si>
    <t>NOMBRE RETIRA: CINDY CARRIZO . RUT RETIRA: 16705833-7</t>
  </si>
  <si>
    <t>Cindy Carrizo</t>
  </si>
  <si>
    <t>Bío Bío 6216, Casa</t>
  </si>
  <si>
    <t>REL715377</t>
  </si>
  <si>
    <t>NOMBRE RETIRA: JUAN RIQUELME O RUT RETIRA: 65210697-8</t>
  </si>
  <si>
    <t>Nicole Torres</t>
  </si>
  <si>
    <t>Avenida Manuel Rodríguez 140, departamento 1308</t>
  </si>
  <si>
    <t>REL715484</t>
  </si>
  <si>
    <t>NOMBRE RETIRA: VICENTE DIAZ _ RUT RETIRA: 12345678-5</t>
  </si>
  <si>
    <t>Vicente Diaz Aninat</t>
  </si>
  <si>
    <t>Av. Las Higueras 671, Dpto 302 T2</t>
  </si>
  <si>
    <t>REL715479</t>
  </si>
  <si>
    <t>NOMBRE RETIRA: MARIA ZUNIGA ESPINOZA RUT RETIRA: 7878214-5</t>
  </si>
  <si>
    <t>Marco Sáez Fredes</t>
  </si>
  <si>
    <t>AVENIDA FRANCIA 469</t>
  </si>
  <si>
    <t>REL715366</t>
  </si>
  <si>
    <t>NOMBRE RETIRA: CESAR RUZ Z RUT RETIRA: 15121459-2</t>
  </si>
  <si>
    <t>César Ruz</t>
  </si>
  <si>
    <t>El Peñón 7715, Casa</t>
  </si>
  <si>
    <t>REL715376</t>
  </si>
  <si>
    <t>NOMBRE RETIRA: PATRICIO PASTEN . RUT RETIRA: 18868550-1</t>
  </si>
  <si>
    <t>Patricio PASTÉN</t>
  </si>
  <si>
    <t>Pasaje Gualliguaica 1268, Casa</t>
  </si>
  <si>
    <t>REL715369</t>
  </si>
  <si>
    <t>NOMBRE RETIRA: MARLENE PONLETE 0 RUT RETIRA: 16456337-5</t>
  </si>
  <si>
    <t>Marlene Poblete</t>
  </si>
  <si>
    <t>35 y media ote 3377, 3377</t>
  </si>
  <si>
    <t>REL715490</t>
  </si>
  <si>
    <t>NOMBRE RETIRA: MARGARITA GODOY A RUT RETIRA: 7973974-K</t>
  </si>
  <si>
    <t>Cristóbal Jesús Chirino godoy</t>
  </si>
  <si>
    <t>Huascar 1646 población Arturo prat</t>
  </si>
  <si>
    <t>REL715468</t>
  </si>
  <si>
    <t>NOMBRE RETIRA: CECELIA TENOEIO M RUT RETIRA: 28610869-5</t>
  </si>
  <si>
    <t>Johana Soto Arevalo</t>
  </si>
  <si>
    <t>Copiapó 1064, departamento 24</t>
  </si>
  <si>
    <t>REL715500</t>
  </si>
  <si>
    <t>NOMBRE RETIRA: XIMENA SANCHEZ SALEH RUT RETIRA: 7173981-3</t>
  </si>
  <si>
    <t>Ximena Sanchez</t>
  </si>
  <si>
    <t>El roble  032 Los Encinos de Santa Rosa</t>
  </si>
  <si>
    <t>REL715378</t>
  </si>
  <si>
    <t>NOMBRE RETIRA: FERNANDO ALIAGA J RUT RETIRA: 16379100-5</t>
  </si>
  <si>
    <t>REL715504</t>
  </si>
  <si>
    <t>NOMBRE RETIRA: JUAN TAPIA . RUT RETIRA: 19652958-6</t>
  </si>
  <si>
    <t>La Herradura 444</t>
  </si>
  <si>
    <t>REL715474</t>
  </si>
  <si>
    <t>NOMBRE RETIRA: JUAN PABLO VAZQUEZ . RUT RETIRA: 15808098-2</t>
  </si>
  <si>
    <t>Juan Pablo vasquez valladares</t>
  </si>
  <si>
    <t>Casa, Las Hortensias 175</t>
  </si>
  <si>
    <t>REL715463</t>
  </si>
  <si>
    <t>NOMBRE RETIRA: JAIME LOPEZ . RUT RETIRA: 20211951-4</t>
  </si>
  <si>
    <t>Jaime Lopez Cabrera</t>
  </si>
  <si>
    <t>Los Laureles Poste 29 parcela lote 1B</t>
  </si>
  <si>
    <t>REL715467</t>
  </si>
  <si>
    <t>NOMBRE RETIRA: MARCO OSORIO . RUT RETIRA: 53330439-7</t>
  </si>
  <si>
    <t>Carolina Quiroga</t>
  </si>
  <si>
    <t>Avenida ocoa 65, Edificio concepto pacific dep 502</t>
  </si>
  <si>
    <t>REL715408</t>
  </si>
  <si>
    <t>NOMBRE RETIRA: EMILIA SOTO H RUT RETIRA: 8544863-3</t>
  </si>
  <si>
    <t>Jenny Jimenez Guagama</t>
  </si>
  <si>
    <t>Av argentina 1665, 1407 B</t>
  </si>
  <si>
    <t>REL715324</t>
  </si>
  <si>
    <t>NOMBRE RETIRA: ROSMERY PADILLA . RUT RETIRA: 24637953-K</t>
  </si>
  <si>
    <t>Francisca Andrea Prats Verdugo</t>
  </si>
  <si>
    <t>Domingo Atienza, 682</t>
  </si>
  <si>
    <t>REL715436</t>
  </si>
  <si>
    <t>NOMBRE RETIRA: MARIA BECERRA 0 RUT RETIRA: 12590282-0</t>
  </si>
  <si>
    <t>Maria Paz Becerra Troncoso</t>
  </si>
  <si>
    <t>43 1/2 Oriente B 3565. San Valentínn. TALCA, Casa</t>
  </si>
  <si>
    <t>REL715441</t>
  </si>
  <si>
    <t>NOMBRE RETIRA: CAMILA GUZMAN J RUT RETIRA: 12345678-5</t>
  </si>
  <si>
    <t>Camila Guzmán Riquelme</t>
  </si>
  <si>
    <t>Senador Estebanez 880, 373</t>
  </si>
  <si>
    <t>REL715450</t>
  </si>
  <si>
    <t>NOMBRE RETIRA: JOCELYN JORQUERA . RUT RETIRA: 12345678-5</t>
  </si>
  <si>
    <t>Jimmy Morales</t>
  </si>
  <si>
    <t>Casa, Alto Manquehue 2540</t>
  </si>
  <si>
    <t>REL715434</t>
  </si>
  <si>
    <t>NOMBRE RETIRA: JOSE OCARANZA . RUT RETIRA: 9646143-7</t>
  </si>
  <si>
    <t>Matias Ocaranza Muñoz</t>
  </si>
  <si>
    <t>Juan Carlos Onett 571, Casa</t>
  </si>
  <si>
    <t>REL715452</t>
  </si>
  <si>
    <t>NOMBRE RETIRA: VISTA MANWUEHUE 1 CONSEJE GUILLERMK RUT RETIRA: 65083865-3</t>
  </si>
  <si>
    <t>Renato LETELIER</t>
  </si>
  <si>
    <t>Portillo alto3150, Departamento 303G</t>
  </si>
  <si>
    <t>REL715455</t>
  </si>
  <si>
    <t>NOMBRE RETIRA: MARIELQ R R RUT RETIRA: 19248643-2</t>
  </si>
  <si>
    <t>Mariela Román</t>
  </si>
  <si>
    <t>ARAUCO 371, Oficina Superintendencia de Educación</t>
  </si>
  <si>
    <t>REL715451</t>
  </si>
  <si>
    <t>NOMBRE RETIRA: YOHANA BELTRAN . RUT RETIRA: 13143302-6</t>
  </si>
  <si>
    <t>Yohana Beltrán</t>
  </si>
  <si>
    <t>La Frontera 950 parque Lauquen, Casa, negocio</t>
  </si>
  <si>
    <t>REL715423</t>
  </si>
  <si>
    <t>NOMBRE RETIRA: YENI OLIVAREZ . RUT RETIRA: 11605080-3</t>
  </si>
  <si>
    <t>Cebollar 1739 Vil Ayquina, Casa</t>
  </si>
  <si>
    <t>REL715462</t>
  </si>
  <si>
    <t>NOMBRE RETIRA: MIEIAM VARAS H RUT RETIRA: 13542991-0</t>
  </si>
  <si>
    <t>Jacqueline Paez</t>
  </si>
  <si>
    <t>Vil Alemana, Pasaje Extremadura 0487</t>
  </si>
  <si>
    <t>REL715448</t>
  </si>
  <si>
    <t>NOMBRE RETIRA: IGNACIA SEPULVEDA . RUT RETIRA: 20777017-5</t>
  </si>
  <si>
    <t>Carolina dalbora iturra</t>
  </si>
  <si>
    <t>Arturo Prat 253 Recreo, Casa, Casa</t>
  </si>
  <si>
    <t>REL715446</t>
  </si>
  <si>
    <t>NOMBRE RETIRA: JACQUELINE CONSERJE . RUT RETIRA: 17870990-9</t>
  </si>
  <si>
    <t>Carolina Leiva Lizana</t>
  </si>
  <si>
    <t>Comandante Luis Soto 759 condominio las orquideas, Depto 1509 torre b</t>
  </si>
  <si>
    <t>REL715385</t>
  </si>
  <si>
    <t>NOMBRE RETIRA: ANDREA LIMA . RUT RETIRA: 27079710-5</t>
  </si>
  <si>
    <t>boban ruiz</t>
  </si>
  <si>
    <t>concepcion 120, oficina 505</t>
  </si>
  <si>
    <t>REL714825</t>
  </si>
  <si>
    <t>2274264230</t>
  </si>
  <si>
    <t>los radales 868</t>
  </si>
  <si>
    <t>2026-04-29 09:41</t>
  </si>
  <si>
    <t>REL714817</t>
  </si>
  <si>
    <t>2274264904</t>
  </si>
  <si>
    <t>Ivan Gonzalez</t>
  </si>
  <si>
    <t>Entrelomas 121, 803</t>
  </si>
  <si>
    <t>2026-04-28 20:42</t>
  </si>
  <si>
    <t>REL714812</t>
  </si>
  <si>
    <t>2274265070</t>
  </si>
  <si>
    <t>Carolina Oyarce Leiva</t>
  </si>
  <si>
    <t>Los alerces 039, Casa 202</t>
  </si>
  <si>
    <t>REL714807</t>
  </si>
  <si>
    <t>2274265420</t>
  </si>
  <si>
    <t>Jose Francisco 201, 92</t>
  </si>
  <si>
    <t>REL715399</t>
  </si>
  <si>
    <t>NOMBRE RETIRA: CAMILA CIFUENTES M RUT RETIRA: 21765459-9</t>
  </si>
  <si>
    <t>Fabian Cifuentes</t>
  </si>
  <si>
    <t>Pasaje los boldos, Casa 12, pinares de Curauma</t>
  </si>
  <si>
    <t>REL715265</t>
  </si>
  <si>
    <t>NOMBRE RETIRA: FLAVIA SAEZ . RUT RETIRA: 11111111-1</t>
  </si>
  <si>
    <t>Flavia Carolina Saez Gavilan</t>
  </si>
  <si>
    <t>21 de mayo 2210, Casa esquina, con Briceño</t>
  </si>
  <si>
    <t>REL715406</t>
  </si>
  <si>
    <t>NOMBRE RETIRA: ANA CARES . . RUT RETIRA: 11089299-3</t>
  </si>
  <si>
    <t>Tania Luza</t>
  </si>
  <si>
    <t>Gabriela mistral 160, Dpto 906</t>
  </si>
  <si>
    <t>REL715391</t>
  </si>
  <si>
    <t>NOMBRE RETIRA: LASTENIA CASTRO DIAZ RUT RETIRA: 9654224-0</t>
  </si>
  <si>
    <t>Tiara Bustamante</t>
  </si>
  <si>
    <t>Pasaje Lautaro 0242, Población Manuel Rodríguez, Casa</t>
  </si>
  <si>
    <t>REL715405</t>
  </si>
  <si>
    <t>NOMBRE RETIRA: VIVIANA GONZALEZ . RUT RETIRA: 53335104-2</t>
  </si>
  <si>
    <t>Avenida austral 1727, Depto 1-405</t>
  </si>
  <si>
    <t>REL715412</t>
  </si>
  <si>
    <t>NOMBRE RETIRA: CARLOS QUEZADA . RUT RETIRA: 18384690-6</t>
  </si>
  <si>
    <t>Valentina Valladares</t>
  </si>
  <si>
    <t>El molino 236, Depto 2601</t>
  </si>
  <si>
    <t>REL715403</t>
  </si>
  <si>
    <t>NOMBRE RETIRA: IVONNE CARO . RUT RETIRA: 10728966-6</t>
  </si>
  <si>
    <t>Antonieta Caro</t>
  </si>
  <si>
    <t>Los Reyes 535 Villa Fundadores Curaum 535 535, 535, Casa</t>
  </si>
  <si>
    <t>REL715413</t>
  </si>
  <si>
    <t>NOMBRE RETIRA: MELANY AROSTICA A RUT RETIRA: 22084495-1</t>
  </si>
  <si>
    <t>Melany Arostica Santander</t>
  </si>
  <si>
    <t>Pablo Neruda 2041</t>
  </si>
  <si>
    <t>REL715422</t>
  </si>
  <si>
    <t>NOMBRE RETIRA: JOSE RUBIO . RUT RETIRA: 65167822-6</t>
  </si>
  <si>
    <t>Valentina Urrejola</t>
  </si>
  <si>
    <t>Diego portales 1346 torre 2 depto 53, Departamento</t>
  </si>
  <si>
    <t>REL715390</t>
  </si>
  <si>
    <t>NOMBRE RETIRA: OSCAR HEMRIQUEZ HEMRIQEZ RUT RETIRA: 9203100-4</t>
  </si>
  <si>
    <t>Jesús Henríquez</t>
  </si>
  <si>
    <t>Pasaje Tolmezzo 1905, Casa</t>
  </si>
  <si>
    <t>REL715395</t>
  </si>
  <si>
    <t>NOMBRE RETIRA: FLORA LOPEZ J RUT RETIRA: 12670467-4</t>
  </si>
  <si>
    <t>Flora López Rojas</t>
  </si>
  <si>
    <t>Santa Rosa 555, Porvenir, Casa</t>
  </si>
  <si>
    <t>REL715185</t>
  </si>
  <si>
    <t>NOMBRE RETIRA: CECILIA CONEJEROS . RUT RETIRA: 11111111-1</t>
  </si>
  <si>
    <t>Camila Muñoz Escribá</t>
  </si>
  <si>
    <t>Santiago zamora 2671</t>
  </si>
  <si>
    <t>REL715404</t>
  </si>
  <si>
    <t>NOMBRE RETIRA: CONSERJS D D RUT RETIRA: 53332792-3</t>
  </si>
  <si>
    <t>Camila Salcedo Araneda</t>
  </si>
  <si>
    <t>Av las Llaretas 1127, vía V3 Condominio cumbres de quilpue, 252</t>
  </si>
  <si>
    <t>REL715342</t>
  </si>
  <si>
    <t>NOMBRE RETIRA: CARLOA O O RUT RETIRA: 12345678-5</t>
  </si>
  <si>
    <t>Carlos Dasati</t>
  </si>
  <si>
    <t>Calle Gerardo Zuñiga 03752, Cond. Valle del Mar</t>
  </si>
  <si>
    <t>REL715357</t>
  </si>
  <si>
    <t>NOMBRE RETIRA: VALENTINA VENEGAS R. RUT RETIRA: 19531557-4</t>
  </si>
  <si>
    <t>Vanessa Leal muñoz</t>
  </si>
  <si>
    <t>Javiera carrera 2262</t>
  </si>
  <si>
    <t>REL715354</t>
  </si>
  <si>
    <t>NOMBRE RETIRA: SANDI CHAMPLA . RUT RETIRA: 18501270-0</t>
  </si>
  <si>
    <t>francisca campos Villagrán</t>
  </si>
  <si>
    <t>pasaje minero pedro salgado martinez 1027, casa</t>
  </si>
  <si>
    <t>REL715349</t>
  </si>
  <si>
    <t>NOMBRE RETIRA: CAROLINA BLANCO . RUT RETIRA: 26729743-6</t>
  </si>
  <si>
    <t>Carolina Blanco franco</t>
  </si>
  <si>
    <t>Francisco bilbao 362 ?362, Local 2</t>
  </si>
  <si>
    <t>REL715351</t>
  </si>
  <si>
    <t>NOMBRE RETIRA: JUAN ORTEGA O RUT RETIRA: 13129021-7</t>
  </si>
  <si>
    <t>Marcela bengoa</t>
  </si>
  <si>
    <t>Avenida Andrés bello 1411, 56</t>
  </si>
  <si>
    <t>REL715343</t>
  </si>
  <si>
    <t>NOMBRE RETIRA: MURIEL ORTEGA ORTEGA RUT RETIRA: 17652438-3</t>
  </si>
  <si>
    <t>Muriel Ortega Pedreros</t>
  </si>
  <si>
    <t>Parque koke pasaje 6 ?6, 249</t>
  </si>
  <si>
    <t>REL715345</t>
  </si>
  <si>
    <t>NOMBRE RETIRA: CLAJ .. .. RUT RETIRA: 19146817-1</t>
  </si>
  <si>
    <t>Claudia Alfaro</t>
  </si>
  <si>
    <t>Tomas chadwick 465</t>
  </si>
  <si>
    <t>REL715347</t>
  </si>
  <si>
    <t>NOMBRE RETIRA: MARIAMA DEL RIO A RUT RETIRA: 14287285-4</t>
  </si>
  <si>
    <t>Mariana Del rio</t>
  </si>
  <si>
    <t>Las puñas, 585</t>
  </si>
  <si>
    <t>REL715344</t>
  </si>
  <si>
    <t>NOMBRE RETIRA: MARIA ELGUERA M RUT RETIRA: 10079399-7</t>
  </si>
  <si>
    <t>Maria Francisca Elgueta</t>
  </si>
  <si>
    <t>Hernando de Magallanes 1283, Placilla, Valparaíso, Casa M</t>
  </si>
  <si>
    <t>REL715333</t>
  </si>
  <si>
    <t>NOMBRE RETIRA: KIARE ORTIZ X RUT RETIRA: 16135046-K</t>
  </si>
  <si>
    <t>Kiare Ortiz</t>
  </si>
  <si>
    <t>Juan Pablo ii 563, Casa</t>
  </si>
  <si>
    <t>REL715360</t>
  </si>
  <si>
    <t>NOMBRE RETIRA: NOEMI POL . RUT RETIRA: 14109535-8</t>
  </si>
  <si>
    <t>Noemi Pol</t>
  </si>
  <si>
    <t>Rodolfo Wageknecht 4163</t>
  </si>
  <si>
    <t>REL715332</t>
  </si>
  <si>
    <t>NOMBRE RETIRA: SUSANA CASTILLO .. RUT RETIRA: 15465421-6</t>
  </si>
  <si>
    <t>Susana Castillo Padilla</t>
  </si>
  <si>
    <t>Marconi 515, Dpto 212b, Dpto 212b</t>
  </si>
  <si>
    <t>REL715341</t>
  </si>
  <si>
    <t>NOMBRE RETIRA: PATRICIA N N RUT RETIRA: 65200575-6</t>
  </si>
  <si>
    <t>Los Aromos 1151 Jardines de Peñablanca 2, Peñablanca, Casa 42</t>
  </si>
  <si>
    <t>REL715359</t>
  </si>
  <si>
    <t>NOMBRE RETIRA: DENIS BURGOS .. RUT RETIRA: 65200575-6</t>
  </si>
  <si>
    <t>Av. Valparaíso 2550, Depto 803</t>
  </si>
  <si>
    <t>REL715335</t>
  </si>
  <si>
    <t>NOMBRE RETIRA: CRISTIAN FAJARDO . RUT RETIRA: 11327533-2</t>
  </si>
  <si>
    <t>Christian Fajardo</t>
  </si>
  <si>
    <t>Psje El Sendero 1768, Villa El Romero, casa</t>
  </si>
  <si>
    <t>REL715202</t>
  </si>
  <si>
    <t>NOMBRE RETIRA: MATIAS AVELLO AVELLO RUT RETIRA: 24762063-K</t>
  </si>
  <si>
    <t>Matias Abello</t>
  </si>
  <si>
    <t>Juan Nicolás Cavieres 62, CASA 62</t>
  </si>
  <si>
    <t>REL715182</t>
  </si>
  <si>
    <t>NOMBRE RETIRA: GERALDIN LASTRA . RUT RETIRA: 65223366-K</t>
  </si>
  <si>
    <t>Carla Salgado Orellana</t>
  </si>
  <si>
    <t>4 oriente 831 D206, Departamento</t>
  </si>
  <si>
    <t>REL715337</t>
  </si>
  <si>
    <t>NOMBRE RETIRA: JAIME HERNANDEZ . RUT RETIRA: 10746130-2</t>
  </si>
  <si>
    <t>Solange Quijanes Gatica</t>
  </si>
  <si>
    <t>Calle Limache 1307 esquina peñablanca Viña del Mar, Abastecimiento</t>
  </si>
  <si>
    <t>REL715326</t>
  </si>
  <si>
    <t>NOMBRE RETIRA: FERNANDA ESCOBAR N RUT RETIRA: 12607161-2</t>
  </si>
  <si>
    <t>Fernanda Escobar</t>
  </si>
  <si>
    <t>25 Sur A 4 poniente #490, Villa Río Claro</t>
  </si>
  <si>
    <t>REL715338</t>
  </si>
  <si>
    <t>NOMBRE RETIRA: ROXANE VEGA . RUT RETIRA: 14272693-9</t>
  </si>
  <si>
    <t>luis lacroix</t>
  </si>
  <si>
    <t>VALLE Trancura 1344, CASA 4</t>
  </si>
  <si>
    <t>REL715325</t>
  </si>
  <si>
    <t>David Lepeley naranjo</t>
  </si>
  <si>
    <t>Av Torreones oeste 1953 torre D401, Departamento</t>
  </si>
  <si>
    <t>REL715317</t>
  </si>
  <si>
    <t>NOMBRE RETIRA: JAVIERA VERGARA . RUT RETIRA: 20882891-6</t>
  </si>
  <si>
    <t>12 de febrero #850, Depto 2205</t>
  </si>
  <si>
    <t>REL715048</t>
  </si>
  <si>
    <t>NOMBRE RETIRA: HANSFFORD JAUREGUI . RUT RETIRA: 17629479-5</t>
  </si>
  <si>
    <t>Hansfford Givenchy Jauregui Faundes</t>
  </si>
  <si>
    <t>Las quintas 568, Casa 1</t>
  </si>
  <si>
    <t>REL715312</t>
  </si>
  <si>
    <t>NOMBRE RETIRA: JONATHAN BRIONES . RUT RETIRA: 16587706-3</t>
  </si>
  <si>
    <t>Joselyn Briones Martinez</t>
  </si>
  <si>
    <t>Emilia Perez Muñoz 281 Irene Daiber</t>
  </si>
  <si>
    <t>REL715294</t>
  </si>
  <si>
    <t>NOMBRE RETIRA: PATRICIA COFRE . RUT RETIRA: 12505445-5</t>
  </si>
  <si>
    <t>NOEMI THIELEMANN</t>
  </si>
  <si>
    <t>Casa, Avenida la tirana 3441 condominio pablo neruda c 23</t>
  </si>
  <si>
    <t>REL715277</t>
  </si>
  <si>
    <t>NOMBRE RETIRA: JHONATAN CIFUENTES . RUT RETIRA: 22089093-7</t>
  </si>
  <si>
    <t>Carlos Troncoso Cofré</t>
  </si>
  <si>
    <t>Benico Ocampo 10825, Condominio, departamento F-13</t>
  </si>
  <si>
    <t>REL715292</t>
  </si>
  <si>
    <t>NOMBRE RETIRA: JAVIERA MELLA . RUT RETIRA: 10727884-2</t>
  </si>
  <si>
    <t>Javiera mella</t>
  </si>
  <si>
    <t>Rio correntoso casa 15, Casa villa entre rios</t>
  </si>
  <si>
    <t>REL715261</t>
  </si>
  <si>
    <t>NOMBRE RETIRA: LUCI . . RUT RETIRA: 10049387-K</t>
  </si>
  <si>
    <t>Francisco Torres Núñez</t>
  </si>
  <si>
    <t>Alcalde Miguel Rojas 0428, Departamento 512 torre 3</t>
  </si>
  <si>
    <t>REL715260</t>
  </si>
  <si>
    <t>NOMBRE RETIRA: MARCELA SALAZAR . RUT RETIRA: 11880770-7</t>
  </si>
  <si>
    <t>Rosamel Bravo 1281</t>
  </si>
  <si>
    <t>REL715297</t>
  </si>
  <si>
    <t>NOMBRE RETIRA: GLADYS FERNANDEZ HERRERA RUT RETIRA: 10076560-8</t>
  </si>
  <si>
    <t>Michel Moraga</t>
  </si>
  <si>
    <t>Pedro Mendez #551, Casa</t>
  </si>
  <si>
    <t>REL715303</t>
  </si>
  <si>
    <t>NOMBRE RETIRA: BRICEIDA LOPEZ A RUT RETIRA: 20137133-3</t>
  </si>
  <si>
    <t>Andrea Tamayo Valenzuela</t>
  </si>
  <si>
    <t>Navío san martín 315, Depto 1007</t>
  </si>
  <si>
    <t>REL715304</t>
  </si>
  <si>
    <t>NOMBRE RETIRA: JAIME FIGUEROA . RUT RETIRA: 15519880-K</t>
  </si>
  <si>
    <t>Raul Figueroa Burgos</t>
  </si>
  <si>
    <t>Cochrane 1046, Concepcion, Casa</t>
  </si>
  <si>
    <t>REL715311</t>
  </si>
  <si>
    <t>NOMBRE RETIRA: EDUARDO ROSALES . RUT RETIRA: 20928585-1</t>
  </si>
  <si>
    <t>Herna Huaiquiñir Bustos</t>
  </si>
  <si>
    <t>Marcelo Gajardo 1155, Casa entre calle los lirios y pablo artigas</t>
  </si>
  <si>
    <t>REL715305</t>
  </si>
  <si>
    <t>NOMBRE RETIRA: PAMELA GONZALEZ . RUT RETIRA: 14525058-7</t>
  </si>
  <si>
    <t>andrea calisto</t>
  </si>
  <si>
    <t>Laguna del rey #4891. Valle volcanes</t>
  </si>
  <si>
    <t>REL715263</t>
  </si>
  <si>
    <t>NOMBRE RETIRA: EDWIN MAYUSA . RUT RETIRA: 25661874-5</t>
  </si>
  <si>
    <t>Nicol Rojo Olivares</t>
  </si>
  <si>
    <t>Galleguillos Lorca 1693, Depto 2504</t>
  </si>
  <si>
    <t>REL715211</t>
  </si>
  <si>
    <t>NOMBRE RETIRA: NERY VALENCIA . RUT RETIRA: 9447619-4</t>
  </si>
  <si>
    <t>Jostyn Cortes segovia</t>
  </si>
  <si>
    <t>Samo alto 3464</t>
  </si>
  <si>
    <t>REL715230</t>
  </si>
  <si>
    <t>NOMBRE RETIRA: PAMELA BERNAL .. RUT RETIRA: 20150147-4</t>
  </si>
  <si>
    <t>Pamela Bernal Muñoz</t>
  </si>
  <si>
    <t>Av Prat 105, arauco, Casa</t>
  </si>
  <si>
    <t>REL715104</t>
  </si>
  <si>
    <t>NOMBRE RETIRA: FERNANDA ESCOBAR . RUT RETIRA: 11111111-1</t>
  </si>
  <si>
    <t>Camino Unihue Maule, casa</t>
  </si>
  <si>
    <t>REL715300</t>
  </si>
  <si>
    <t>NOMBRE RETIRA: JESSICA FIGUEREDO . RUT RETIRA: 26296975-4</t>
  </si>
  <si>
    <t>patricia aravena</t>
  </si>
  <si>
    <t>carmen 459 curicó</t>
  </si>
  <si>
    <t>REL715250</t>
  </si>
  <si>
    <t>NOMBRE RETIRA: MARCO VERGARA VERGARA RUT RETIRA: 17743212-1</t>
  </si>
  <si>
    <t>Marco Vergara millaquen</t>
  </si>
  <si>
    <t>Los guindos, 46</t>
  </si>
  <si>
    <t>REL715229</t>
  </si>
  <si>
    <t>NOMBRE RETIRA: FRANCISCA SANCHEZ SANCHEZ RUT RETIRA: 18403420-4</t>
  </si>
  <si>
    <t>Francisca Sanchez Mercado</t>
  </si>
  <si>
    <t>Juan Rojas Trigo 306, Juan Rojas Trigo 306</t>
  </si>
  <si>
    <t>REL715286</t>
  </si>
  <si>
    <t>NOMBRE RETIRA: GERAL ROJAS R RUT RETIRA: 22084495-1</t>
  </si>
  <si>
    <t>Geral Rojas Orellana</t>
  </si>
  <si>
    <t>Pampa germanía 806, Casa</t>
  </si>
  <si>
    <t>REL715266</t>
  </si>
  <si>
    <t>NOMBRE RETIRA: MATIAS ESPILZA . RUT RETIRA: 23807074-0</t>
  </si>
  <si>
    <t>Matías Espinoza Chavez</t>
  </si>
  <si>
    <t>Avenida Circunvalación Sur 861, apartamento</t>
  </si>
  <si>
    <t>REL715295</t>
  </si>
  <si>
    <t>NOMBRE RETIRA: MARCELA DEL C RUT RETIRA: 19248643-2</t>
  </si>
  <si>
    <t>Marcela del Carmen Órdenes Cortez</t>
  </si>
  <si>
    <t>Valle Alegre 465, casa</t>
  </si>
  <si>
    <t>REL715213</t>
  </si>
  <si>
    <t>NOMBRE RETIRA: BELEN MANCILLA V. RUT RETIRA: 19825092-9</t>
  </si>
  <si>
    <t>Belén Mancilla Vallejos</t>
  </si>
  <si>
    <t>Ciudad Heroica 3121, Casa</t>
  </si>
  <si>
    <t>REL715290</t>
  </si>
  <si>
    <t>NOMBRE RETIRA: JAZMIN VILLA .. RUT RETIRA: 65260849-3</t>
  </si>
  <si>
    <t>Gustavo Alarcón</t>
  </si>
  <si>
    <t>Chacabuco 852, Dpto 912, Dpto 912</t>
  </si>
  <si>
    <t>REL715289</t>
  </si>
  <si>
    <t>Bianca Concha</t>
  </si>
  <si>
    <t>Nelson Roumat 749, Depto 1354</t>
  </si>
  <si>
    <t>REL715259</t>
  </si>
  <si>
    <t>NOMBRE RETIRA: COMTANZA VELUZ K RUT RETIRA: 13173883-8</t>
  </si>
  <si>
    <t>Constanza Valdivia Cuello</t>
  </si>
  <si>
    <t>Pasaje José donoso 2009, pinamar, la serena, Casa al fondo del pasaje portón a mano derecha</t>
  </si>
  <si>
    <t>REL715269</t>
  </si>
  <si>
    <t>NOMBRE RETIRA: LETICIA IBANEZ . RUT RETIRA: 16870298-1</t>
  </si>
  <si>
    <t>Leticia Ibáñez Araya</t>
  </si>
  <si>
    <t>Carrera 703, Casa</t>
  </si>
  <si>
    <t>REL715276</t>
  </si>
  <si>
    <t>NOMBRE RETIRA: VIXTIRIA SISTERNA . RUT RETIRA: 19863413-1</t>
  </si>
  <si>
    <t>Ayacucho 1481 Rahue Alto</t>
  </si>
  <si>
    <t>REL715207</t>
  </si>
  <si>
    <t>NOMBRE RETIRA: NATALI SORIA . RUT RETIRA: 19463427-7</t>
  </si>
  <si>
    <t>Natalí Soria</t>
  </si>
  <si>
    <t>Avenida Rica Aventura 10919</t>
  </si>
  <si>
    <t>REL715273</t>
  </si>
  <si>
    <t>NOMBRE RETIRA: NICOLAS BUSTAMANTE . RUT RETIRA: 19900141-8</t>
  </si>
  <si>
    <t>Nicolás Bustamante Bustamante</t>
  </si>
  <si>
    <t>Pje. El Negrillo 624, Casa</t>
  </si>
  <si>
    <t>REL715279</t>
  </si>
  <si>
    <t>NOMBRE RETIRA: CATALINA SOTO . RUT RETIRA: 19862530-2</t>
  </si>
  <si>
    <t>patricia zuñiga</t>
  </si>
  <si>
    <t>Jose manuel balmaceda 354</t>
  </si>
  <si>
    <t>REL715284</t>
  </si>
  <si>
    <t>NOMBRE RETIRA: HECTOR LOPEZ U RUT RETIRA: 8033116-9</t>
  </si>
  <si>
    <t>CAROLINA LOPEZ BRAVO</t>
  </si>
  <si>
    <t>Villa apumanque pasaje jaime bedos 1437</t>
  </si>
  <si>
    <t>REL715248</t>
  </si>
  <si>
    <t>NOMBRE RETIRA: KUIA GALLARDO GALLARXO RUT RETIRA: 10350030-3</t>
  </si>
  <si>
    <t>Natalia Ubilla</t>
  </si>
  <si>
    <t>Jorge Montt, 933</t>
  </si>
  <si>
    <t>REL715233</t>
  </si>
  <si>
    <t>NOMBRE RETIRA: YARITZA SALAZAR . RUT RETIRA: 18686873-0</t>
  </si>
  <si>
    <t>Yaritza Salazar Carvajal</t>
  </si>
  <si>
    <t>Condominio Villa Las Agustinas Pasaje 3 #17</t>
  </si>
  <si>
    <t>REL715293</t>
  </si>
  <si>
    <t>NOMBRE RETIRA: CATHERIN NAHUELCOI . RUT RETIRA: 16627241-6</t>
  </si>
  <si>
    <t>Pablo vasquez valladares</t>
  </si>
  <si>
    <t>REL715281</t>
  </si>
  <si>
    <t>Valeska Saez</t>
  </si>
  <si>
    <t>Altos de viña 295, 28</t>
  </si>
  <si>
    <t>REL715253</t>
  </si>
  <si>
    <t>NOMBRE RETIRA: ANTONIO PIZARRO 0 RUT RETIRA: 56052390-4</t>
  </si>
  <si>
    <t>Marcia Celsi</t>
  </si>
  <si>
    <t>Diaz Gana 900, Nogal, Depto. 43, Departamento</t>
  </si>
  <si>
    <t>REL714917</t>
  </si>
  <si>
    <t>NOMBRE RETIRA: LETICIA VEGA H RUT RETIRA: 15490668-1</t>
  </si>
  <si>
    <t>Leticia Vega</t>
  </si>
  <si>
    <t>Cabo de hornos 0486, Casa</t>
  </si>
  <si>
    <t>REL715232</t>
  </si>
  <si>
    <t>NOMBRE RETIRA: NATALY VALDIVIA J RUT RETIRA: 18109946-1</t>
  </si>
  <si>
    <t>paola ruiz</t>
  </si>
  <si>
    <t>perez rosales 1367</t>
  </si>
  <si>
    <t>REL715222</t>
  </si>
  <si>
    <t>NOMBRE RETIRA: MATIAS CEPEDA . RUT RETIRA: 18933594-6</t>
  </si>
  <si>
    <t>matias cepeda</t>
  </si>
  <si>
    <t>Gregorio Araya 512</t>
  </si>
  <si>
    <t>REL715247</t>
  </si>
  <si>
    <t>Gremanecia Gajardo Segura</t>
  </si>
  <si>
    <t>Calle dos, 18</t>
  </si>
  <si>
    <t>REL715219</t>
  </si>
  <si>
    <t>NOMBRE RETIRA: ESTEFANIA SOTO I RUT RETIRA: 9014115-5</t>
  </si>
  <si>
    <t>Estefania soto</t>
  </si>
  <si>
    <t>Ocho de octubre 1654, casa roja</t>
  </si>
  <si>
    <t>REL715224</t>
  </si>
  <si>
    <t>NOMBRE RETIRA: OSWALDO AGUIRRE AGUIRRE RUT RETIRA: 6842944-7</t>
  </si>
  <si>
    <t>Enrique Díaz Contreras</t>
  </si>
  <si>
    <t>O'Higgins 870</t>
  </si>
  <si>
    <t>REL715225</t>
  </si>
  <si>
    <t>NOMBRE RETIRA: GLORIA REBOLLEDO . RUT RETIRA: 14398357-9</t>
  </si>
  <si>
    <t>Condominio parque las heras 1841 ?1841, 502-A</t>
  </si>
  <si>
    <t>REL715252</t>
  </si>
  <si>
    <t>NOMBRE RETIRA: CLAUDIO SALINAS D RUT RETIRA: 17194281-0</t>
  </si>
  <si>
    <t>Enrique Valenzuela</t>
  </si>
  <si>
    <t>Leonidas perez 2835, 303-A</t>
  </si>
  <si>
    <t>REL715221</t>
  </si>
  <si>
    <t>NOMBRE RETIRA: FABIAN CARRENO . RUT RETIRA: 16112815-5</t>
  </si>
  <si>
    <t>Calle Dr.Francisco cordaro, 3225</t>
  </si>
  <si>
    <t>REL715227</t>
  </si>
  <si>
    <t>NOMBRE RETIRA: SARA ARANCIBIA PORTERIA RUT RETIRA: 11091042-8</t>
  </si>
  <si>
    <t>Solange Figueroa Castro</t>
  </si>
  <si>
    <t>Ossandon 60 ?, Depto 121</t>
  </si>
  <si>
    <t>REL715255</t>
  </si>
  <si>
    <t>NOMBRE RETIRA: PAMELA ROJAS . RUT RETIRA: 18919506-0</t>
  </si>
  <si>
    <t>pamela rojas</t>
  </si>
  <si>
    <t>Llanquihue 779, Almacén BastiMarket</t>
  </si>
  <si>
    <t>REL715179</t>
  </si>
  <si>
    <t>NOMBRE RETIRA: VIVIANA EREDIA . RUT RETIRA: 13213971-7</t>
  </si>
  <si>
    <t>Viviana Heredia Durán</t>
  </si>
  <si>
    <t>Salvador Allende 3021, Casa</t>
  </si>
  <si>
    <t>REL715197</t>
  </si>
  <si>
    <t>NOMBRE RETIRA: INGRID CONTRERAS X RUT RETIRA: 10406244-K</t>
  </si>
  <si>
    <t>Ingrid Contreras moreno</t>
  </si>
  <si>
    <t>Pasaje Arturo aliaga 554, Casa</t>
  </si>
  <si>
    <t>REL715161</t>
  </si>
  <si>
    <t>NOMBRE RETIRA: ROSA AVILA FB RUT RETIRA: 22572195-5</t>
  </si>
  <si>
    <t>Maicol Marchant Avila</t>
  </si>
  <si>
    <t>Pedro lobos 7407, casa de esquina</t>
  </si>
  <si>
    <t>REL715198</t>
  </si>
  <si>
    <t>NOMBRE RETIRA: MELISSA ALFARO ALFARO RUT RETIRA: 7349394-3</t>
  </si>
  <si>
    <t>Melissa Alfaro Bordones</t>
  </si>
  <si>
    <t>Pje fundó san pedro sur 258, Viñitas del palomar</t>
  </si>
  <si>
    <t>REL715128</t>
  </si>
  <si>
    <t>NOMBRE RETIRA: ROBERTO GONZALWZ .... RUT RETIRA: 18016274-7</t>
  </si>
  <si>
    <t>Roberto Gonzalez Arenas</t>
  </si>
  <si>
    <t>Los Alerces 841</t>
  </si>
  <si>
    <t>REL715171</t>
  </si>
  <si>
    <t>NOMBRE RETIRA: VERONICA CONCHA . RUT RETIRA: 8309937-2</t>
  </si>
  <si>
    <t>Guido Solar Cabrera</t>
  </si>
  <si>
    <t>3 Oriente 2281, Los Normandos 2</t>
  </si>
  <si>
    <t>REL715136</t>
  </si>
  <si>
    <t>NOMBRE RETIRA: MILTON SANDOVAL X RUT RETIRA: 20845842-6</t>
  </si>
  <si>
    <t>Milton Sandoval Aravena</t>
  </si>
  <si>
    <t>Sloman 582, Casa</t>
  </si>
  <si>
    <t>REL715169</t>
  </si>
  <si>
    <t>Ruth Romo Muñoz</t>
  </si>
  <si>
    <t>Amunategui 368, Casa</t>
  </si>
  <si>
    <t>REL715108</t>
  </si>
  <si>
    <t>NOMBRE RETIRA: GLADIS HERRERA . RUT RETIRA: 7453901-7</t>
  </si>
  <si>
    <t>Giovanni Aguero</t>
  </si>
  <si>
    <t>Los Baños 485</t>
  </si>
  <si>
    <t>REL715125</t>
  </si>
  <si>
    <t>NOMBRE RETIRA: YANELA LUNARI . RUT RETIRA: 19457462-2</t>
  </si>
  <si>
    <t>Nicolas Humberto Venturelli Torr venturelli</t>
  </si>
  <si>
    <t>tegualda 01661, casa</t>
  </si>
  <si>
    <t>REL714975</t>
  </si>
  <si>
    <t>NOMBRE RETIRA: SOPHIA GUERRERO GERRERO RUT RETIRA: 13868756-2</t>
  </si>
  <si>
    <t>Sophia Guerrero</t>
  </si>
  <si>
    <t>Avenida Francia 3440</t>
  </si>
  <si>
    <t>REL715132</t>
  </si>
  <si>
    <t>NOMBRE RETIRA: CAMILO ESCOBAR . RUT RETIRA: 8670919-8</t>
  </si>
  <si>
    <t>Camilo Escobar Stange</t>
  </si>
  <si>
    <t>Villa reloncavi, calle tenglo147, Casa</t>
  </si>
  <si>
    <t>REL715124</t>
  </si>
  <si>
    <t>Jose Manuel Ramirez Bedregal</t>
  </si>
  <si>
    <t>Desiderio Argandoña 1065, 754</t>
  </si>
  <si>
    <t>REL715078</t>
  </si>
  <si>
    <t>NOMBRE RETIRA: YEFERSON BEDOLLA . RUT RETIRA: 17736384-7</t>
  </si>
  <si>
    <t>Sandra del Pilar Cabrera Olivos</t>
  </si>
  <si>
    <t>Altos del Mar 1001 edificio mirador del Sur Coviefi, 83 A</t>
  </si>
  <si>
    <t>REL715153</t>
  </si>
  <si>
    <t>NOMBRE RETIRA: INES ZUNUGA S RUT RETIRA: 10059321-1</t>
  </si>
  <si>
    <t>Desiderio sanhueza 160, Departamento D 505</t>
  </si>
  <si>
    <t>REL715066</t>
  </si>
  <si>
    <t>NOMBRE RETIRA: ROSA BORNE . RUT RETIRA: 7175190-2</t>
  </si>
  <si>
    <t>Suying Lay-son</t>
  </si>
  <si>
    <t>Playa El Águila 3278, Dpto. 1504</t>
  </si>
  <si>
    <t>REL715144</t>
  </si>
  <si>
    <t>NOMBRE RETIRA: YANIRA CANALES . RUT RETIRA: 13922922-3</t>
  </si>
  <si>
    <t>Yanira Canales parada</t>
  </si>
  <si>
    <t>Poñén 140</t>
  </si>
  <si>
    <t>REL714873</t>
  </si>
  <si>
    <t>NOMBRE RETIRA: MARXOS GUERRA Z RUT RETIRA: 6759687-0</t>
  </si>
  <si>
    <t>Yanina Velastín Cortés</t>
  </si>
  <si>
    <t>Oscar Belmar 043, Casa</t>
  </si>
  <si>
    <t>REL715148</t>
  </si>
  <si>
    <t>NOMBRE RETIRA: MATIAS BENAVIDES BENAVIDES RUT RETIRA: 17662053-6</t>
  </si>
  <si>
    <t>Matias Benavides Walters</t>
  </si>
  <si>
    <t>Termas del flaco 2215</t>
  </si>
  <si>
    <t>REL715139</t>
  </si>
  <si>
    <t>NOMBRE RETIRA: FRANCISCO JEREZ . RUT RETIRA: 65053993-1</t>
  </si>
  <si>
    <t>Tomás Subiabre</t>
  </si>
  <si>
    <t>Viana 1233, 810</t>
  </si>
  <si>
    <t>REL715154</t>
  </si>
  <si>
    <t>NOMBRE RETIRA: ROMINA UNDURRAGA . RUT RETIRA: 19200371-7</t>
  </si>
  <si>
    <t>David Leon Tapia 4501</t>
  </si>
  <si>
    <t>REL715155</t>
  </si>
  <si>
    <t>NOMBRE RETIRA: KLERYS RODRIGUE RODRIGUEZ RUT RETIRA: 26861887-2</t>
  </si>
  <si>
    <t>Klerys Rodriguez</t>
  </si>
  <si>
    <t>Tabacon 0929, 0929</t>
  </si>
  <si>
    <t>REL715121</t>
  </si>
  <si>
    <t>NOMBRE RETIRA: GEROGINA JULIO .VECINA 1170 RUT RETIRA: 10463436-2</t>
  </si>
  <si>
    <t>Javier olivera</t>
  </si>
  <si>
    <t>Carlos Muñoz Pizarro norte 978</t>
  </si>
  <si>
    <t>REL714881</t>
  </si>
  <si>
    <t>NOMBRE RETIRA: XIMENA VILLABLANCA . RUT RETIRA: 14271482-5</t>
  </si>
  <si>
    <t>Ximena Villablanca Jara</t>
  </si>
  <si>
    <t>pasaje uno 636 Las Salinas</t>
  </si>
  <si>
    <t>REL715046</t>
  </si>
  <si>
    <t>NOMBRE RETIRA: ALEX CISTERNA N RUT RETIRA: 24258139-3</t>
  </si>
  <si>
    <t>Alex Pablo Cisternas Mendoza</t>
  </si>
  <si>
    <t>Independencia 340, Chillán, Chile, Independencia 340</t>
  </si>
  <si>
    <t>REL714942</t>
  </si>
  <si>
    <t>NOMBRE RETIRA: MADELINE LEON N RUT RETIRA: 19030955-K</t>
  </si>
  <si>
    <t>Mitza Leuenberg Quijada</t>
  </si>
  <si>
    <t>18 de septiembre #455, casilla 303, sucursal correos de Chile, Chillán</t>
  </si>
  <si>
    <t>REL715087</t>
  </si>
  <si>
    <t>Mery Lue Gutierrez Contreras</t>
  </si>
  <si>
    <t>Condominio nuevo lantaño, torre 4, Dpto 31</t>
  </si>
  <si>
    <t>REL715064</t>
  </si>
  <si>
    <t>NOMBRE RETIRA: BASTIAN MONSALVES . RUT RETIRA: 20271647-4</t>
  </si>
  <si>
    <t>Bastian Monsalves</t>
  </si>
  <si>
    <t>Alicante 130 villa alemana, Trabajo</t>
  </si>
  <si>
    <t>REL714965</t>
  </si>
  <si>
    <t>NOMBRE RETIRA: CRISTIAN CABERO . RUT RETIRA: 12345678-5</t>
  </si>
  <si>
    <t>Cristian Cabero</t>
  </si>
  <si>
    <t>Pasaje Los Tulipanes #3811 Poblacion Parque Oriente, Casa - Alto Hospicio - Tarapacá - Chile</t>
  </si>
  <si>
    <t>REL714998</t>
  </si>
  <si>
    <t>NOMBRE RETIRA: ISAAC VASQUEZ . RUT RETIRA: 19297867-K</t>
  </si>
  <si>
    <t>Roxana Suazo</t>
  </si>
  <si>
    <t>Tienda De Iluminacion, Avenida Roosevelt 1799</t>
  </si>
  <si>
    <t>REL715045</t>
  </si>
  <si>
    <t>Carlos Picon Jeldres</t>
  </si>
  <si>
    <t>Valle del mar 03758, Departamento 204</t>
  </si>
  <si>
    <t>REL715086</t>
  </si>
  <si>
    <t>NOMBRE RETIRA: ELIAZER . . RUT RETIRA: 53310370-7</t>
  </si>
  <si>
    <t>Alvaro Retamales</t>
  </si>
  <si>
    <t>Avenida Los Pablos 2160, Apt. 302</t>
  </si>
  <si>
    <t>REL715015</t>
  </si>
  <si>
    <t>NOMBRE RETIRA: LUZ MAMANI . RUT RETIRA: 12078042-5</t>
  </si>
  <si>
    <t>Oscar Puca mamani</t>
  </si>
  <si>
    <t>Salar Del Carmen 4583 Calama</t>
  </si>
  <si>
    <t>REL715109</t>
  </si>
  <si>
    <t>NOMBRE RETIRA: ELIANA OLAVARRIA . RUT RETIRA: 6337453-9</t>
  </si>
  <si>
    <t>Ida Bravo Galdames</t>
  </si>
  <si>
    <t>Maquehue 1215</t>
  </si>
  <si>
    <t>REL714948</t>
  </si>
  <si>
    <t>NOMBRE RETIRA: DANIELA H V RUT RETIRA: 12345678-5</t>
  </si>
  <si>
    <t>Daniela Vasquez Santander</t>
  </si>
  <si>
    <t>Manuel peñafiel Olivares #1480, Ovalle Región de Coquimbo Chile, Oficina 317</t>
  </si>
  <si>
    <t>REL714943</t>
  </si>
  <si>
    <t>NOMBRE RETIRA: IVONE CARO . RUT RETIRA: 10728966-6</t>
  </si>
  <si>
    <t>Los Reyes 535 Villa Fundadores Curaum 535 535, 535</t>
  </si>
  <si>
    <t>REL715100</t>
  </si>
  <si>
    <t>NOMBRE RETIRA: JUAN TIZNADO . RUT RETIRA: 19457462-2</t>
  </si>
  <si>
    <t>Juan Eduardo Tiznado Sanhueza</t>
  </si>
  <si>
    <t>Torremolinos 365</t>
  </si>
  <si>
    <t>REL715011</t>
  </si>
  <si>
    <t>NOMBRE RETIRA: ROSA CACERES N RUT RETIRA: 17457878-8</t>
  </si>
  <si>
    <t>Brayan GARCIA ESPINOZA</t>
  </si>
  <si>
    <t>Claudio Arrau 509, Oficina</t>
  </si>
  <si>
    <t>REL714983</t>
  </si>
  <si>
    <t>NOMBRE RETIRA: CARLOS FLORES . RUT RETIRA: 12345678-5</t>
  </si>
  <si>
    <t>Catalina Almonacid</t>
  </si>
  <si>
    <t>Avenida Antonio Rendic 4875, 306</t>
  </si>
  <si>
    <t>REL715079</t>
  </si>
  <si>
    <t>NOMBRE RETIRA: JESUS RIADI . RUT RETIRA: 15273052-7</t>
  </si>
  <si>
    <t>Jesús Riadi cosmelli</t>
  </si>
  <si>
    <t>Enrique Gunther 3224</t>
  </si>
  <si>
    <t>REL714994</t>
  </si>
  <si>
    <t>NOMBRE RETIRA: GUILLERMINA SEPULVEDA . RUT RETIRA: 7813870-K</t>
  </si>
  <si>
    <t>Guillermina Sepulveda</t>
  </si>
  <si>
    <t>Corvalan 1890</t>
  </si>
  <si>
    <t>REL715112</t>
  </si>
  <si>
    <t>NOMBRE RETIRA: MARCELI S Z RUT RETIRA: 18423296-0</t>
  </si>
  <si>
    <t>Marcelo Andres Covarrubias Leon</t>
  </si>
  <si>
    <t>Lamarck 0282, Es la casa que se encuentra en la parte trasera se debe llamar por teléfono</t>
  </si>
  <si>
    <t>REL715099</t>
  </si>
  <si>
    <t>NOMBRE RETIRA: ARAXY KAMEID . RUT RETIRA: 14244176-4</t>
  </si>
  <si>
    <t>Nicolás Kameid</t>
  </si>
  <si>
    <t>Arrieta 410, villa alemana, Casa esquina</t>
  </si>
  <si>
    <t>REL714936</t>
  </si>
  <si>
    <t>NOMBRE RETIRA: JAVIERA CARRASCO C RUT RETIRA: 19531468-3</t>
  </si>
  <si>
    <t>Diego Gacitúa Yévenes</t>
  </si>
  <si>
    <t>Paicavi, 917</t>
  </si>
  <si>
    <t>REL715088</t>
  </si>
  <si>
    <t>NOMBRE RETIRA: ELIZABETH CONTRERAS . RUT RETIRA: 17202194-8</t>
  </si>
  <si>
    <t>Márquez 1183, Casa</t>
  </si>
  <si>
    <t>REL714728</t>
  </si>
  <si>
    <t>NOMBRE RETIRA: J N J RUT RETIRA: 18642909-5</t>
  </si>
  <si>
    <t>Herman eberhard 210, Casa</t>
  </si>
  <si>
    <t>REL715097</t>
  </si>
  <si>
    <t>NOMBRE RETIRA: JOSE VELASQUEZ . RUT RETIRA: 12345678-5</t>
  </si>
  <si>
    <t>Jose Velasquez</t>
  </si>
  <si>
    <t>Jorge pino alquinta 642, Casa</t>
  </si>
  <si>
    <t>REL714931</t>
  </si>
  <si>
    <t>NOMBRE RETIRA: GABRIELA SEGOVIA DJ RUT RETIRA: 22572195-5</t>
  </si>
  <si>
    <t>Pasaje carlos davila 7175, Casa</t>
  </si>
  <si>
    <t>REL714985</t>
  </si>
  <si>
    <t>NOMBRE RETIRA: MAYELI OSPIAN DJ RUT RETIRA: 22572195-5</t>
  </si>
  <si>
    <t>Mayeli Ospina</t>
  </si>
  <si>
    <t>Emoresa, Gran Avenida Radomiro Tomic 7170</t>
  </si>
  <si>
    <t>REL715117</t>
  </si>
  <si>
    <t>NOMBRE RETIRA: MATIAS PARRA B RUT RETIRA: 20193772-8</t>
  </si>
  <si>
    <t>Julian Bustos</t>
  </si>
  <si>
    <t>Av torreones este 1731, Depto 523 torre f</t>
  </si>
  <si>
    <t>REL714885</t>
  </si>
  <si>
    <t>NOMBRE RETIRA: CAROL TORREA . RUT RETIRA: 17736384-7</t>
  </si>
  <si>
    <t>Avenida cerro paranal 375, 1305 Martinica</t>
  </si>
  <si>
    <t>REL714974</t>
  </si>
  <si>
    <t>NOMBRE RETIRA: VANESA LEAL . RUT RETIRA: 14206272-0</t>
  </si>
  <si>
    <t>Vanessa leal Leal muñoz</t>
  </si>
  <si>
    <t>Patricio linch 3458</t>
  </si>
  <si>
    <t>REL714918</t>
  </si>
  <si>
    <t>NOMBRE RETIRA: RODRIGO MAGANA LOPEZ RUT RETIRA: 20938644-5</t>
  </si>
  <si>
    <t>Noemí Herrera Tapia</t>
  </si>
  <si>
    <t>Salitrera el Tocó 1470, Casa</t>
  </si>
  <si>
    <t>REL715002</t>
  </si>
  <si>
    <t>NOMBRE RETIRA: JORSSY ALBANEZ J RUT RETIRA: 24462176-7</t>
  </si>
  <si>
    <t>Jorssy Albanez Castillo</t>
  </si>
  <si>
    <t>Avenida Séptimo de Línea 3428, Departamento G</t>
  </si>
  <si>
    <t>REL714692</t>
  </si>
  <si>
    <t>NOMBRE RETIRA: LISSETTE OJEDA . RUT RETIRA: 16721148-8</t>
  </si>
  <si>
    <t>Lissette Ojeda Gómez</t>
  </si>
  <si>
    <t>Manuel bulnes 980 A, Casa interior</t>
  </si>
  <si>
    <t>REL715028</t>
  </si>
  <si>
    <t>NOMBRE RETIRA: ISMARIEL ESPIN . RUT RETIRA: 26889066-1</t>
  </si>
  <si>
    <t>Ismariel Espin</t>
  </si>
  <si>
    <t>Calle Lago Peñuelas 1267</t>
  </si>
  <si>
    <t>REL715001</t>
  </si>
  <si>
    <t>NOMBRE RETIRA: LUIS CAMPOS . RUT RETIRA: 10831923-2</t>
  </si>
  <si>
    <t>pasaje 5 de abril 140 Villa San Martin Vallenar</t>
  </si>
  <si>
    <t>REL714957</t>
  </si>
  <si>
    <t>NOMBRE RETIRA: CAROLINA JIMENE J RUT RETIRA: 12345678-5</t>
  </si>
  <si>
    <t>pasaje el capullo 3647, casa</t>
  </si>
  <si>
    <t>REL714945</t>
  </si>
  <si>
    <t>NOMBRE RETIRA: JUAN CONTRERAS C RUT RETIRA: 9931555-5</t>
  </si>
  <si>
    <t>Patricia Ceron contreras</t>
  </si>
  <si>
    <t>Juan guzman 1343, Casa grande reja negra</t>
  </si>
  <si>
    <t>REL715016</t>
  </si>
  <si>
    <t>NOMBRE RETIRA: NICOLAS ROBLERO . RUT RETIRA: 21271418-6</t>
  </si>
  <si>
    <t>Nicolas Roblero</t>
  </si>
  <si>
    <t>AV RODELILLO PARADERO 55591, Departamento santa teresa</t>
  </si>
  <si>
    <t>REL714875</t>
  </si>
  <si>
    <t>NOMBRE RETIRA: ANDREA SERRANO . RUT RETIRA: 12622290-4</t>
  </si>
  <si>
    <t>Andrea Serrano</t>
  </si>
  <si>
    <t>Av Curauma Sur 1826, Casa 250</t>
  </si>
  <si>
    <t>REL715033</t>
  </si>
  <si>
    <t>NOMBRE RETIRA: MARGARITA VALDEVENUTO M RUT RETIRA: 8596418-6</t>
  </si>
  <si>
    <t>Estanislao José Estanislao Estrada</t>
  </si>
  <si>
    <t>Villa Montes 21</t>
  </si>
  <si>
    <t>REL715029</t>
  </si>
  <si>
    <t>NOMBRE RETIRA: DIEGO YANE K RUT RETIRA: 12345678-5</t>
  </si>
  <si>
    <t>Diego Yañez Galvez</t>
  </si>
  <si>
    <t>Valle de la luna 3260, Casa (recibe Yesenia Lucares)</t>
  </si>
  <si>
    <t>REL714984</t>
  </si>
  <si>
    <t>NOMBRE RETIRA: SERGIO AVILA . RUT RETIRA: 13972859-9</t>
  </si>
  <si>
    <t>Sergio Avila</t>
  </si>
  <si>
    <t>Octavio agusto verá chamorro 1751</t>
  </si>
  <si>
    <t>REL714903</t>
  </si>
  <si>
    <t>NOMBRE RETIRA: JWNIFER PAREA . RUT RETIRA: 19109789-0</t>
  </si>
  <si>
    <t>Jeniffer Parra Campos</t>
  </si>
  <si>
    <t>Avda gran Bretaña 4733 talcahuano</t>
  </si>
  <si>
    <t>REL714892</t>
  </si>
  <si>
    <t>NOMBRE RETIRA: SEBASTIAN ALC LI RUT RETIRA: 19142005-5</t>
  </si>
  <si>
    <t>El alba 927, Depto A-502</t>
  </si>
  <si>
    <t>REL714979</t>
  </si>
  <si>
    <t>NOMBRE RETIRA: MARCELO VILLAROEL . RUT RETIRA: 10171035-1</t>
  </si>
  <si>
    <t>Nicolas Guerra</t>
  </si>
  <si>
    <t>Augusta Schwerter 2161, C-206</t>
  </si>
  <si>
    <t>REL714864</t>
  </si>
  <si>
    <t>NOMBRE RETIRA: MARVIN VARAS VARSD RUT RETIRA: 11325771-7</t>
  </si>
  <si>
    <t>Marvin Varas Berrocal</t>
  </si>
  <si>
    <t>vizcachas 1498 villa ascotan, Casa</t>
  </si>
  <si>
    <t>REL715020</t>
  </si>
  <si>
    <t>NOMBRE RETIRA: DAFNE PIZARRO . RUT RETIRA: 18477763-0</t>
  </si>
  <si>
    <t>Consuelo Rivera</t>
  </si>
  <si>
    <t>Ximena Marin Cabello ?1688, Casa</t>
  </si>
  <si>
    <t>REL714939</t>
  </si>
  <si>
    <t>NOMBRE RETIRA: ROSSANA VIKLARROEK . RUT RETIRA: 11043765-K</t>
  </si>
  <si>
    <t>Carolina Moreira Villarroel</t>
  </si>
  <si>
    <t>Castellón 323, Casa</t>
  </si>
  <si>
    <t>REL714953</t>
  </si>
  <si>
    <t>NOMBRE RETIRA: ISRAEL GUTIERREZ . RUT RETIRA: 15674065-9</t>
  </si>
  <si>
    <t>María Jesús Rojas Juan-Oliver</t>
  </si>
  <si>
    <t>Pedro Briceño Méndez 1650</t>
  </si>
  <si>
    <t>REL714888</t>
  </si>
  <si>
    <t>NOMBRE RETIRA: MARIA CLARA OBANDO RUT RETIRA: 15268101-1</t>
  </si>
  <si>
    <t>María clara Obando</t>
  </si>
  <si>
    <t>Esmeralda 1170, Casa</t>
  </si>
  <si>
    <t>REL714861</t>
  </si>
  <si>
    <t>NOMBRE RETIRA: KAREN PARRA X RUT RETIRA: 19304118-3</t>
  </si>
  <si>
    <t>Maria Paz Zurita Goeppinger</t>
  </si>
  <si>
    <t>Saturnino Epulef 955, 704B condominio costanera playa</t>
  </si>
  <si>
    <t>REL715003</t>
  </si>
  <si>
    <t>NOMBRE RETIRA: FERNANDO PINO N RUT RETIRA: 53323401-1</t>
  </si>
  <si>
    <t>Daniela Rebolledo Pincheira</t>
  </si>
  <si>
    <t>El mirador 741, Casa 94</t>
  </si>
  <si>
    <t>REL714930</t>
  </si>
  <si>
    <t>NOMBRE RETIRA: NATALY VALDIVIA U RUT RETIRA: 18109946-1</t>
  </si>
  <si>
    <t>Paola Ruiz</t>
  </si>
  <si>
    <t>Perez rosales 1367</t>
  </si>
  <si>
    <t>REL714947</t>
  </si>
  <si>
    <t>NOMBRE RETIRA: VIVIANA CERDA . RUT RETIRA: 11724402-4</t>
  </si>
  <si>
    <t>Viviana Cerda</t>
  </si>
  <si>
    <t>Ramirez 879</t>
  </si>
  <si>
    <t>REL714906</t>
  </si>
  <si>
    <t>NOMBRE RETIRA: NASTIA HIDALGO . RUT RETIRA: 10148830-6</t>
  </si>
  <si>
    <t>Nastia Hidalgo</t>
  </si>
  <si>
    <t>Avenida escuela agricola, calle bernardo cruz 2590, Casa esquina, numero 2590</t>
  </si>
  <si>
    <t>REL714915</t>
  </si>
  <si>
    <t>NOMBRE RETIRA: HECTOR NAVARRETE NAVARRETE RUT RETIRA: 65071287-0</t>
  </si>
  <si>
    <t>Lorena Sanchez A</t>
  </si>
  <si>
    <t>Los reyes 300, Depto 503</t>
  </si>
  <si>
    <t>REL715044</t>
  </si>
  <si>
    <t>NOMBRE RETIRA: ENZO BELTRAN . RUT RETIRA: 18486096-1</t>
  </si>
  <si>
    <t>Enzo Beltran Acosta</t>
  </si>
  <si>
    <t>Cirvuncalacion Sendero de Luna 61</t>
  </si>
  <si>
    <t>REL715035</t>
  </si>
  <si>
    <t>NOMBRE RETIRA: JIAN BUSTOS . RUT RETIRA: 8370165-K</t>
  </si>
  <si>
    <t>juan pablo bustos muñoz</t>
  </si>
  <si>
    <t>Las Delicias #430 Pocuro</t>
  </si>
  <si>
    <t>REL715058</t>
  </si>
  <si>
    <t>NOMBRE RETIRA: ADRIAN ROBLES . RUT RETIRA: 16766292-7</t>
  </si>
  <si>
    <t>Adrian Robles Robles</t>
  </si>
  <si>
    <t>4 norte 955, Depto 206 torre 1</t>
  </si>
  <si>
    <t>REL715005</t>
  </si>
  <si>
    <t>NOMBRE RETIRA: NICOLAS ISAMIT 0 RUT RETIRA: 19112818-4</t>
  </si>
  <si>
    <t>Nicolas Isamitt</t>
  </si>
  <si>
    <t>35 1/2 Oriente A, 3427</t>
  </si>
  <si>
    <t>REL714952</t>
  </si>
  <si>
    <t>NOMBRE RETIRA: ELIZABET VALDIVIA . RUT RETIRA: 7598333-6</t>
  </si>
  <si>
    <t>Elisabeth Valdivia Valdivia</t>
  </si>
  <si>
    <t>Santa rita de casia 1327, las torres, Casa</t>
  </si>
  <si>
    <t>REL715055</t>
  </si>
  <si>
    <t>NOMBRE RETIRA: SERGIO PEREZ . RUT RETIRA: 18206214-6</t>
  </si>
  <si>
    <t>Diego Portales 860</t>
  </si>
  <si>
    <t>REL714967</t>
  </si>
  <si>
    <t>NOMBRE RETIRA: NICOLE BUSTAMANTE MANCILLA RUT RETIRA: 18377126-4</t>
  </si>
  <si>
    <t>Moisés Soto Rojas</t>
  </si>
  <si>
    <t>Mina La Juanita 25, Casa en Villa Portones de Machalí</t>
  </si>
  <si>
    <t>REL714884</t>
  </si>
  <si>
    <t>NOMBRE RETIRA: MARGARITA . . RUT RETIRA: 12345678-5</t>
  </si>
  <si>
    <t>Francisco Moya</t>
  </si>
  <si>
    <t>El Carmen 203</t>
  </si>
  <si>
    <t>REL714934</t>
  </si>
  <si>
    <t>NOMBRE RETIRA: ALICIA ROA . RUT RETIRA: 13401190-4</t>
  </si>
  <si>
    <t>Los Silos 151, Casa 47</t>
  </si>
  <si>
    <t>REL715042</t>
  </si>
  <si>
    <t>NOMBRE RETIRA: HECTOR SANDOVA N RUT RETIRA: 15952177-K</t>
  </si>
  <si>
    <t>Vanny Escala</t>
  </si>
  <si>
    <t>Parques de Carriel 5579, Casa 45</t>
  </si>
  <si>
    <t>REL714900</t>
  </si>
  <si>
    <t>NOMBRE RETIRA: DANIELA PALOMINOS ALVARADO RUT RETIRA: 19387516-5</t>
  </si>
  <si>
    <t>Daniela Palominos Alvarado</t>
  </si>
  <si>
    <t>Villa Roma 2 pasaje genova #0709, #0709</t>
  </si>
  <si>
    <t>REL714908</t>
  </si>
  <si>
    <t>NOMBRE RETIRA: JOEL RAPIA N RUT RETIRA: 15952177-K</t>
  </si>
  <si>
    <t>Ercilia saez</t>
  </si>
  <si>
    <t>parques de carriel 9390 valle del maule, casa 9</t>
  </si>
  <si>
    <t>REL714887</t>
  </si>
  <si>
    <t>NOMBRE RETIRA: CLAUDIA LOPEZ . RUT RETIRA: 53333130-0</t>
  </si>
  <si>
    <t>Tatiana Ostrowski Lopez</t>
  </si>
  <si>
    <t>Avenida Edmundo eluchans 1985, Depto 204</t>
  </si>
  <si>
    <t>REL714959</t>
  </si>
  <si>
    <t>NOMBRE RETIRA: NOEMI ORTIZ ...... RUT RETIRA: 21019018-K</t>
  </si>
  <si>
    <t>Luz Reyes</t>
  </si>
  <si>
    <t>Jerusalén 879, Casa</t>
  </si>
  <si>
    <t>REL714993</t>
  </si>
  <si>
    <t>NOMBRE RETIRA: TERESA GPNSALES . RUT RETIRA: 12080010-8</t>
  </si>
  <si>
    <t>Mauel rodriguez 2327, Casa de almedio</t>
  </si>
  <si>
    <t>REL715010</t>
  </si>
  <si>
    <t>NOMBRE RETIRA: PATRICIA MARTINEZ . RUT RETIRA: 16932027-6</t>
  </si>
  <si>
    <t>JAIME RETAMAL PRADO</t>
  </si>
  <si>
    <t>RUTA 68 1350, empresa kaufmann</t>
  </si>
  <si>
    <t>REL714897</t>
  </si>
  <si>
    <t>NOMBRE RETIRA: RAMON . . RUT RETIRA: 12345678-5</t>
  </si>
  <si>
    <t>Katherine Oestreicher</t>
  </si>
  <si>
    <t>Calle nueva 60, borinquen, viña del mar, Block 60 depto 12</t>
  </si>
  <si>
    <t>REL714954</t>
  </si>
  <si>
    <t>NOMBRE RETIRA: JAIME PAIS . RUT RETIRA: 18820577-1</t>
  </si>
  <si>
    <t>Jaime Pais Albornoz</t>
  </si>
  <si>
    <t>Las encinas 208, Valle Volcanes</t>
  </si>
  <si>
    <t>REL715018</t>
  </si>
  <si>
    <t>NOMBRE RETIRA: ESTEBAN SOTO N RUT RETIRA: 28379257-9</t>
  </si>
  <si>
    <t>Esteban Soto</t>
  </si>
  <si>
    <t>Alejandor VIII 1088, Casa</t>
  </si>
  <si>
    <t>REL714879</t>
  </si>
  <si>
    <t>NOMBRE RETIRA: ROCARDO HUELCHIN M RUT RETIRA: 15765685-6</t>
  </si>
  <si>
    <t>Ricardo Huenchual Bórquez</t>
  </si>
  <si>
    <t>Calle limache nro 5011 psje. Nro 6 el salto viña del mar</t>
  </si>
  <si>
    <t>REL715034</t>
  </si>
  <si>
    <t>NOMBRE RETIRA: MONOCA HIDALG . RUT RETIRA: 27871863-8</t>
  </si>
  <si>
    <t>Monica Hidalgo Estay</t>
  </si>
  <si>
    <t>Calle Patricio Lynch, 128</t>
  </si>
  <si>
    <t>REL714969</t>
  </si>
  <si>
    <t>NOMBRE RETIRA: LEONARDO SANHUEZA . RUT RETIRA: 53333467-9</t>
  </si>
  <si>
    <t>Guillermo Soto urtubia</t>
  </si>
  <si>
    <t>1 norte 1481 depto 805, Depto</t>
  </si>
  <si>
    <t>REL714927</t>
  </si>
  <si>
    <t>NOMBRE RETIRA: SOFIA LEIVA . RUT RETIRA: 17971129-K</t>
  </si>
  <si>
    <t>Blass Casanova Luco</t>
  </si>
  <si>
    <t>Av. Michimalongo 2286, Departamento</t>
  </si>
  <si>
    <t>REL714878</t>
  </si>
  <si>
    <t>NOMBRE RETIRA: MARIA TOBAR TOBAR RUT RETIRA: 12912913-1</t>
  </si>
  <si>
    <t>Maria isabel Tobbar Gonzalez</t>
  </si>
  <si>
    <t>Alejando karelovic 503</t>
  </si>
  <si>
    <t>REL714866</t>
  </si>
  <si>
    <t>Nicole Castillo Delgado</t>
  </si>
  <si>
    <t>Raul Eduardo Tabilo 5620</t>
  </si>
  <si>
    <t>REL714869</t>
  </si>
  <si>
    <t>NOMBRE RETIRA: SERGIO ROBLES . RUT RETIRA: 6242636-5</t>
  </si>
  <si>
    <t>Sergio Robles Simon</t>
  </si>
  <si>
    <t>Forrahue, 539</t>
  </si>
  <si>
    <t>REL714863</t>
  </si>
  <si>
    <t>NOMBRE RETIRA: MARIA ESTAY . RUT RETIRA: 9061841-5</t>
  </si>
  <si>
    <t>Alejandra Araya Saavedra</t>
  </si>
  <si>
    <t>Ortiz de Rozas 988, Departamento de Salud Municipal La Ligua</t>
  </si>
  <si>
    <t>REL714747</t>
  </si>
  <si>
    <t>NOMBRE RETIRA: MARCELO GALLARDO M RUT RETIRA: 10383580-1</t>
  </si>
  <si>
    <t>Marcelo Gallardo oyarzo</t>
  </si>
  <si>
    <t>Av. Carlos Gonzales 3247, Villa Nelda Panicucci</t>
  </si>
  <si>
    <t>REL714837</t>
  </si>
  <si>
    <t>NOMBRE RETIRA: IGNACIO ALBORNOT GY RUT RETIRA: 19405255-3</t>
  </si>
  <si>
    <t>Ignacio Albornoz Jiménez</t>
  </si>
  <si>
    <t>Pudeto #1999, Casa esquina azul de dos pisos</t>
  </si>
  <si>
    <t>REL714865</t>
  </si>
  <si>
    <t>NOMBRE RETIRA: MIGUEL MEDINA . RUT RETIRA: 10817891-4</t>
  </si>
  <si>
    <t>Camila Márquez Bustos</t>
  </si>
  <si>
    <t>Manuel Bustos Huerta 2760, Casa 47. Condominio las araucarias</t>
  </si>
  <si>
    <t>REL714852</t>
  </si>
  <si>
    <t>NOMBRE RETIRA: INGRID VELASQUEZ A RUT RETIRA: 20137133-3</t>
  </si>
  <si>
    <t>Sebastian Rivera Retamal</t>
  </si>
  <si>
    <t>Camino Los Ingleses 815, Depto 604</t>
  </si>
  <si>
    <t>REL714748</t>
  </si>
  <si>
    <t>NOMBRE RETIRA: MARIANELA IGOR . RUT RETIRA: 19132747-0</t>
  </si>
  <si>
    <t>Marianela Igor</t>
  </si>
  <si>
    <t>Canal quitralco 758, Casa</t>
  </si>
  <si>
    <t>REL714712</t>
  </si>
  <si>
    <t>NOMBRE RETIRA: VALENTINA FERNANDEZ . RUT RETIRA: 11111111-1</t>
  </si>
  <si>
    <t>Enrique abello 0393, Casa</t>
  </si>
  <si>
    <t>REL714845</t>
  </si>
  <si>
    <t>NOMBRE RETIRA: JAMILY ROJAS R RUT RETIRA: 9085211-6</t>
  </si>
  <si>
    <t>Carlos Borquez Rojas</t>
  </si>
  <si>
    <t>Piedras Grandes 2036, Villa San Rafael, Casa</t>
  </si>
  <si>
    <t>REL714820</t>
  </si>
  <si>
    <t>NOMBRE RETIRA: FREDI GONZALEZ M RUT RETIRA: 12990756-8</t>
  </si>
  <si>
    <t>Nery García</t>
  </si>
  <si>
    <t>Pasaje Los Avellanos  877, Villa Los Castaños</t>
  </si>
  <si>
    <t>REL714835</t>
  </si>
  <si>
    <t>NOMBRE RETIRA: ALEJAMSRA VILGHES B RUT RETIRA: 17596647-1</t>
  </si>
  <si>
    <t>Alejandra Vilches Villena</t>
  </si>
  <si>
    <t>Camilo Henríquez 070, Casa de dos pisos con balcon en pasaje</t>
  </si>
  <si>
    <t>REL714838</t>
  </si>
  <si>
    <t>NOMBRE RETIRA: CAROLINA CAMUS CAMUS RUT RETIRA: 13548158-0</t>
  </si>
  <si>
    <t>Carolina Camus Torres</t>
  </si>
  <si>
    <t>Los ulmos de molino viejo parcela 124, parcela 124</t>
  </si>
  <si>
    <t>REL714851</t>
  </si>
  <si>
    <t>NOMBRE RETIRA: RODRIGO FERNANDEZ . RUT RETIRA: 15549117-5</t>
  </si>
  <si>
    <t>Angelica Ampuero</t>
  </si>
  <si>
    <t>Eduardo holley Ovalle - villa los fundadores, 1055</t>
  </si>
  <si>
    <t>REL714848</t>
  </si>
  <si>
    <t>Hugo Vilchez</t>
  </si>
  <si>
    <t>Avenida Universidad 630, Casa 85</t>
  </si>
  <si>
    <t>REL714846</t>
  </si>
  <si>
    <t>NOMBRE RETIRA: SERGIO GONZALEZ . RUT RETIRA: 56038720-2</t>
  </si>
  <si>
    <t>Diego Portales 571, Cerro Baron, Depto 51 Torre 7</t>
  </si>
  <si>
    <t>REL714819</t>
  </si>
  <si>
    <t>Makarena Pérez Segura</t>
  </si>
  <si>
    <t>Km 10, camino San Isidro, El Carmen</t>
  </si>
  <si>
    <t>REL714844</t>
  </si>
  <si>
    <t>NOMBRE RETIRA: CONSTANZA PALMA . RUT RETIRA: 20255950-6</t>
  </si>
  <si>
    <t>Constanza Palma Sandoval</t>
  </si>
  <si>
    <t>Avenida 8 oriente 1368, 33</t>
  </si>
  <si>
    <t>REL714794</t>
  </si>
  <si>
    <t>NOMBRE RETIRA: VIVIANA GUARDADL . RUT RETIRA: 26391125-3</t>
  </si>
  <si>
    <t>Vezna Kuzmicic</t>
  </si>
  <si>
    <t>Capitán Roberto Pérez 2777, depto 1607 torre sur</t>
  </si>
  <si>
    <t>REL714830</t>
  </si>
  <si>
    <t>NOMBRE RETIRA: MARIANELA ESPINOZA . RUT RETIRA: 53324882-9</t>
  </si>
  <si>
    <t>Nicole Rios inostroza</t>
  </si>
  <si>
    <t>Lynch 755, Depto 1605</t>
  </si>
  <si>
    <t>REL714823</t>
  </si>
  <si>
    <t>NOMBRE RETIRA: MARIA ROJO . RUT RETIRA: 17597377-K</t>
  </si>
  <si>
    <t>María Paz Rojo Figueroa</t>
  </si>
  <si>
    <t>Los Claveles 562, Villa Don Ernesto, San Fernando, Casa roja al final del pasaje</t>
  </si>
  <si>
    <t>REL714809</t>
  </si>
  <si>
    <t>NOMBRE RETIRA: MARITZA SCHMITT . RUT RETIRA: 14525058-7</t>
  </si>
  <si>
    <t>Maritza schmidt</t>
  </si>
  <si>
    <t>Los castaños Valle Volcanes, 214</t>
  </si>
  <si>
    <t>REL714811</t>
  </si>
  <si>
    <t>NOMBRE RETIRA: FRANCISCO PALMA . RUT RETIRA: 6494395-2</t>
  </si>
  <si>
    <t>Gabriela Palma Ducommun</t>
  </si>
  <si>
    <t>Bruno Kyling 1681</t>
  </si>
  <si>
    <t>REL714814</t>
  </si>
  <si>
    <t>NOMBRE RETIRA: HECTOR ACEVEDO A RUT RETIRA: 56049520-K</t>
  </si>
  <si>
    <t>Felipe Jubal</t>
  </si>
  <si>
    <t>Halimeda 325, Torre A depto 603-A</t>
  </si>
  <si>
    <t>REL714738</t>
  </si>
  <si>
    <t>NOMBRE RETIRA: JOSEP CASTRO . RUT RETIRA: 19177904-5</t>
  </si>
  <si>
    <t>Maritza Fuentes lopez</t>
  </si>
  <si>
    <t>Avda.Rancagua 3024, Torre A dpto 225</t>
  </si>
  <si>
    <t>REL714776</t>
  </si>
  <si>
    <t>NOMBRE RETIRA: HECTOR PEREZ . RUT RETIRA: 10069156-6</t>
  </si>
  <si>
    <t>Cachiyuyo 1021, Casa</t>
  </si>
  <si>
    <t>REL714759</t>
  </si>
  <si>
    <t>NOMBRE RETIRA: ALEJANDRO CISTERNA . RUT RETIRA: 17539440-0</t>
  </si>
  <si>
    <t>Alejandro Cisternas</t>
  </si>
  <si>
    <t>O´higgins 631 Angol, IX Región</t>
  </si>
  <si>
    <t>REL714731</t>
  </si>
  <si>
    <t>NOMBRE RETIRA: CLAUDIO BARRIENTOS . RUT RETIRA: 53322204-8</t>
  </si>
  <si>
    <t>Melody Rojas</t>
  </si>
  <si>
    <t>Coquimbo 623, Torre 5, departamento 208</t>
  </si>
  <si>
    <t>REL714801</t>
  </si>
  <si>
    <t>NOMBRE RETIRA: CRISTOBAL MARIN . RUT RETIRA: 18634578-9</t>
  </si>
  <si>
    <t>cristobal marin siebel</t>
  </si>
  <si>
    <t>La reserva 10, Condominio Marbella, Puchuncavi, La reserva casa 10</t>
  </si>
  <si>
    <t>REL714718</t>
  </si>
  <si>
    <t>NOMBRE RETIRA: OSCAR AGUILERA __ RUT RETIRA: 12345678-5</t>
  </si>
  <si>
    <t>Janet Molina</t>
  </si>
  <si>
    <t>Avda el mar 4300 edificio Aranjuez, Depto 61 la serena</t>
  </si>
  <si>
    <t>REL714730</t>
  </si>
  <si>
    <t>NOMBRE RETIRA: NICOLE ROJAS . RUT RETIRA: 17340333-K</t>
  </si>
  <si>
    <t>Nicoll Rojas Labra</t>
  </si>
  <si>
    <t>General Velasquez 426, Oficina</t>
  </si>
  <si>
    <t>REL714710</t>
  </si>
  <si>
    <t>NOMBRE RETIRA: ARIEL OLGUUIN A RUT RETIRA: 12345678-5</t>
  </si>
  <si>
    <t>Ariel Ignacio Olguin Bahamonde</t>
  </si>
  <si>
    <t>Cerro paranal 380, Torre A departamento 106</t>
  </si>
  <si>
    <t>REL714782</t>
  </si>
  <si>
    <t>NOMBRE RETIRA: ROSA SOTO . RUT RETIRA: 65221533-5</t>
  </si>
  <si>
    <t>Emilia Medina Riquelme</t>
  </si>
  <si>
    <t>Isla Melinka 220, Edificio Canal Beagle 220, Depto 2705</t>
  </si>
  <si>
    <t>REL714790</t>
  </si>
  <si>
    <t>NOMBRE RETIRA: ANDRES MARTINEZ . RUT RETIRA: 16814323-0</t>
  </si>
  <si>
    <t>Jorge Martinez Coloma</t>
  </si>
  <si>
    <t>Gabriela Mistral 2655, Casa</t>
  </si>
  <si>
    <t>REL714775</t>
  </si>
  <si>
    <t>NOMBRE RETIRA: IGNACIA OLIVIERA -- RUT RETIRA: 11113481-2</t>
  </si>
  <si>
    <t>ignazia olivier</t>
  </si>
  <si>
    <t>av gabriela mistral 3251, depto 302 torre 3</t>
  </si>
  <si>
    <t>REL714798</t>
  </si>
  <si>
    <t>NOMBRE RETIRA: NATALIA SALAS . RUT RETIRA: 18300102-7</t>
  </si>
  <si>
    <t>Los carolinos 132</t>
  </si>
  <si>
    <t>REL714742</t>
  </si>
  <si>
    <t>NOMBRE RETIRA: JUAN BENAVIDEA M RUT RETIRA: 11735117-3</t>
  </si>
  <si>
    <t>Ahira Ocampos</t>
  </si>
  <si>
    <t>Condell 3177, Depto 21 B</t>
  </si>
  <si>
    <t>REL714739</t>
  </si>
  <si>
    <t>NOMBRE RETIRA: FRANCHEACA MONDACA B RUT RETIRA: 24462176-7</t>
  </si>
  <si>
    <t>Franchesca Mondaca Saavedra</t>
  </si>
  <si>
    <t>Bellavista 3781, DeptoA184</t>
  </si>
  <si>
    <t>REL714773</t>
  </si>
  <si>
    <t>NOMBRE RETIRA: KARINA ULLOA . RUT RETIRA: 16329728-0</t>
  </si>
  <si>
    <t>KARINA ANDREA ULLOA OVIEDO</t>
  </si>
  <si>
    <t>RANCHO BLANCO N°933 FRUTILLARES, TOME, CASA</t>
  </si>
  <si>
    <t>REL714736</t>
  </si>
  <si>
    <t>NOMBRE RETIRA: DALIBOR . . RUT RETIRA: 12345678-5</t>
  </si>
  <si>
    <t>Roxana Alvarez Urzúa</t>
  </si>
  <si>
    <t>Sol y mar 344-B, 603</t>
  </si>
  <si>
    <t>REL714734</t>
  </si>
  <si>
    <t>NOMBRE RETIRA: MAURICIO PINEDA A RUT RETIRA: 53313208-1</t>
  </si>
  <si>
    <t>Erick Jamet</t>
  </si>
  <si>
    <t>De Veer 1043, dpto 801 A</t>
  </si>
  <si>
    <t>REL714751</t>
  </si>
  <si>
    <t>NOMBRE RETIRA: MARIO PENA O RUT RETIRA: 53336328-8</t>
  </si>
  <si>
    <t>Carla leal</t>
  </si>
  <si>
    <t>General cruz 1051, 907</t>
  </si>
  <si>
    <t>REL714766</t>
  </si>
  <si>
    <t>NOMBRE RETIRA: LORENA GONZALEZ A RUT RETIRA: 10420076-1</t>
  </si>
  <si>
    <t>Lorena Gonzalez Moisan</t>
  </si>
  <si>
    <t>San Pedro De La Paz, Tegualda 958</t>
  </si>
  <si>
    <t>REL714689</t>
  </si>
  <si>
    <t>NOMBRE RETIRA: NATALI ALCAVIL . RUT RETIRA: 16353673-0</t>
  </si>
  <si>
    <t>Natali Ancavil Carrasco</t>
  </si>
  <si>
    <t>Laguna San Pedro 4922, Casa</t>
  </si>
  <si>
    <t>REL714771</t>
  </si>
  <si>
    <t>NOMBRE RETIRA: FRANCISCO GODOY . RUT RETIRA: 16596404-7</t>
  </si>
  <si>
    <t>La habana 1021, Casa</t>
  </si>
  <si>
    <t>REL714743</t>
  </si>
  <si>
    <t>NOMBRE RETIRA: NATALIA GUTIERREZ G RUT RETIRA: 17989081-K</t>
  </si>
  <si>
    <t>Natalia Gutierrez nuñez</t>
  </si>
  <si>
    <t>Jardin del este 2780 condominio ildefonso casa 26, 26</t>
  </si>
  <si>
    <t>REL714735</t>
  </si>
  <si>
    <t>NOMBRE RETIRA: LORETO MONTOYA DIEZ RUT RETIRA: 18320499-8</t>
  </si>
  <si>
    <t>Loreto Burgos Diez</t>
  </si>
  <si>
    <t>Olivia galvarino 414, Casa</t>
  </si>
  <si>
    <t>REL714627</t>
  </si>
  <si>
    <t>NOMBRE RETIRA: MARME ARAYA . RUT RETIRA: 10692934-3</t>
  </si>
  <si>
    <t>Ingrid Araya</t>
  </si>
  <si>
    <t>Sebastopol 649, Casa</t>
  </si>
  <si>
    <t>REL714752</t>
  </si>
  <si>
    <t>NOMBRE RETIRA: CLAUDIA PARFA J RUT RETIRA: 10999194-5</t>
  </si>
  <si>
    <t>Marisol Flores</t>
  </si>
  <si>
    <t>18 de septiembre 768, Oficina altramuz interior</t>
  </si>
  <si>
    <t>REL714772</t>
  </si>
  <si>
    <t>NOMBRE RETIRA: JAIME GODOY . RUT RETIRA: 8089566-6</t>
  </si>
  <si>
    <t>Paula Becar</t>
  </si>
  <si>
    <t>Ramon carrasco 239, Casa 192</t>
  </si>
  <si>
    <t>REL714715</t>
  </si>
  <si>
    <t>NOMBRE RETIRA: GIOVANIA BRIONES B RUT RETIRA: 18780545-7</t>
  </si>
  <si>
    <t>Geovanna Briones</t>
  </si>
  <si>
    <t>calle 30 oriente 1528 edificio centro las rastras, oficina 510</t>
  </si>
  <si>
    <t>REL714733</t>
  </si>
  <si>
    <t>NOMBRE RETIRA: BENJAMIN MATAMALA H RUT RETIRA: 21291100-3</t>
  </si>
  <si>
    <t>María Matamala Matamala Contreras</t>
  </si>
  <si>
    <t>Superintendente Enrique Torres Cuevas julio jarpa 493, Casa</t>
  </si>
  <si>
    <t>REL714764</t>
  </si>
  <si>
    <t>NOMBRE RETIRA: JAIME VERGARA . RUT RETIRA: 8789547-5</t>
  </si>
  <si>
    <t>Jaime Vergara</t>
  </si>
  <si>
    <t>Nehuentue 1520, Casa</t>
  </si>
  <si>
    <t>REL714763</t>
  </si>
  <si>
    <t>NOMBRE RETIRA: BELEN QUIJADA . RUT RETIRA: 11111111-1</t>
  </si>
  <si>
    <t>Belén Quijada Uribe</t>
  </si>
  <si>
    <t>22 norte 7 oriente D 3291, casa esquina</t>
  </si>
  <si>
    <t>REL714765</t>
  </si>
  <si>
    <t>NOMBRE RETIRA: LUIS CORDERO . RUT RETIRA: 8624550-7</t>
  </si>
  <si>
    <t>Luis cordero hurtubia</t>
  </si>
  <si>
    <t>Camino del inca 403 curimon, Reten Curimon hacia adentro</t>
  </si>
  <si>
    <t>REL714711</t>
  </si>
  <si>
    <t>NOMBRE RETIRA: LAURA OLIVOS OLIVOS RUT RETIRA: 10812662-0</t>
  </si>
  <si>
    <t>Melhem Zeran</t>
  </si>
  <si>
    <t>Alcazar 561, Oficina</t>
  </si>
  <si>
    <t>REL714485</t>
  </si>
  <si>
    <t>NOMBRE RETIRA: EDUARDO PEREZ . RUT RETIRA: 11111111-1</t>
  </si>
  <si>
    <t>Eduardo Pérez oyarzun</t>
  </si>
  <si>
    <t>Dr Jorge amarales 02263, Casa</t>
  </si>
  <si>
    <t>REL714706</t>
  </si>
  <si>
    <t>NOMBRE RETIRA: YASNA BERETTA A RUT RETIRA: 15980982-K</t>
  </si>
  <si>
    <t>Libertad 2208, Casa</t>
  </si>
  <si>
    <t>REL714684</t>
  </si>
  <si>
    <t>NOMBRE RETIRA: VICTOR GALVEZ . RUT RETIRA: 9531222-5</t>
  </si>
  <si>
    <t>gilda paco</t>
  </si>
  <si>
    <t>Sibaya 2215, casa</t>
  </si>
  <si>
    <t>REL714649</t>
  </si>
  <si>
    <t>NOMBRE RETIRA: ALEX CATALAN CATALAN RUT RETIRA: 12345678-5</t>
  </si>
  <si>
    <t>Alex catalan</t>
  </si>
  <si>
    <t>La Frontera 1006, Casa</t>
  </si>
  <si>
    <t>REL714642</t>
  </si>
  <si>
    <t>NOMBRE RETIRA: CAMILA CRISOSTONO PARDO RUT RETIRA: 17613992-7</t>
  </si>
  <si>
    <t>Camila Crisostomo Pardo</t>
  </si>
  <si>
    <t>Membrillar 683, P-el Vecino, retira en punto starken</t>
  </si>
  <si>
    <t>REL714687</t>
  </si>
  <si>
    <t>NOMBRE RETIRA: GUILLERMO BARRERA CONSERJE RUT RETIRA: 56086040-4</t>
  </si>
  <si>
    <t>Vicente Figueroa Muñoz</t>
  </si>
  <si>
    <t>Merced # 356. Departamento 704, Departamento 704</t>
  </si>
  <si>
    <t>REL715558</t>
  </si>
  <si>
    <t>713077335600</t>
  </si>
  <si>
    <t>Nombre: Jose Rivas - Rut: 108627875</t>
  </si>
  <si>
    <t>Leonardo Oviedo</t>
  </si>
  <si>
    <t>Av. Pdte. Jorge Alessandri Rodriguez 2047, Clínica Andes Salud Concepción - Gerencia</t>
  </si>
  <si>
    <t>2026-05-25 21:11</t>
  </si>
  <si>
    <t>REL715339</t>
  </si>
  <si>
    <t>2286732534</t>
  </si>
  <si>
    <t>Franco Rojas Cordero</t>
  </si>
  <si>
    <t>Avenida Presidenta Michelle Bachelet Jeria 284</t>
  </si>
  <si>
    <t>REL715534</t>
  </si>
  <si>
    <t>713076833022</t>
  </si>
  <si>
    <t>Nombre: felipe rosales - Rut: 192491304</t>
  </si>
  <si>
    <t>Felipe Rosales Zapata</t>
  </si>
  <si>
    <t>Avenida Bernardo Ohiggins 1821</t>
  </si>
  <si>
    <t>2026-05-24 20:38</t>
  </si>
  <si>
    <t>REL715329</t>
  </si>
  <si>
    <t>2286732991</t>
  </si>
  <si>
    <t>Catalina Riffo Pérez</t>
  </si>
  <si>
    <t>Oñederra 385, Achs Constitucion</t>
  </si>
  <si>
    <t>REL715545</t>
  </si>
  <si>
    <t>713076832753</t>
  </si>
  <si>
    <t>Nombre: mariela rivera - Rut: 94366348</t>
  </si>
  <si>
    <t>Carolina Cerro Rivera</t>
  </si>
  <si>
    <t>Avenida Grecia 1596</t>
  </si>
  <si>
    <t>REL715515</t>
  </si>
  <si>
    <t>713076833254</t>
  </si>
  <si>
    <t>Nombre: Luisa soto - Rut: 153015139</t>
  </si>
  <si>
    <t>Jorge Ojeda Vidal</t>
  </si>
  <si>
    <t>REL715371</t>
  </si>
  <si>
    <t>713073525706</t>
  </si>
  <si>
    <t>Nombre: Sergio - Rut: 159528375</t>
  </si>
  <si>
    <t>Catalina Budini muñoz</t>
  </si>
  <si>
    <t>Arturo Prat 707 cajon, Farmacia cajón strep center</t>
  </si>
  <si>
    <t>2026-05-15 20:20</t>
  </si>
  <si>
    <t>REL715506</t>
  </si>
  <si>
    <t>713075778100</t>
  </si>
  <si>
    <t>Nombre: Maira Navea - Rut: 23499746</t>
  </si>
  <si>
    <t>Maira Navea</t>
  </si>
  <si>
    <t>Pasaje Lautaro 122, chillepin, Casa</t>
  </si>
  <si>
    <t>REL715502</t>
  </si>
  <si>
    <t>713075778133</t>
  </si>
  <si>
    <t>Nombre: katherine munoz - Rut: 188135307</t>
  </si>
  <si>
    <t>Katherine Muñoz zurita</t>
  </si>
  <si>
    <t>Marco polo 9038 módulo 9,flexcenter Bío bio, Empresa SEW</t>
  </si>
  <si>
    <t>REL715443</t>
  </si>
  <si>
    <t>713074628070</t>
  </si>
  <si>
    <t>Nombre: anael rojas - Rut: 206043156</t>
  </si>
  <si>
    <t>Camino Melipilla #586 valle del encanto 5 Talagante</t>
  </si>
  <si>
    <t>REL715445</t>
  </si>
  <si>
    <t>713074627974</t>
  </si>
  <si>
    <t>Nombre: Tamara Valdez - Rut: 209746360</t>
  </si>
  <si>
    <t>Noelia Cabrera Lyon</t>
  </si>
  <si>
    <t>Anibal pinto 433</t>
  </si>
  <si>
    <t>REL715444</t>
  </si>
  <si>
    <t>713074628011</t>
  </si>
  <si>
    <t>Nombre: Paula fdez - Rut: 176167610</t>
  </si>
  <si>
    <t>Paula Fernández Paulsen</t>
  </si>
  <si>
    <t>Sotomayor 430</t>
  </si>
  <si>
    <t>REL715379</t>
  </si>
  <si>
    <t>713074246625</t>
  </si>
  <si>
    <t>Brigida Torres</t>
  </si>
  <si>
    <t>Conde de Manso 1150 condominio casas patronales, Depto G208</t>
  </si>
  <si>
    <t>REL715401</t>
  </si>
  <si>
    <t>713074246334</t>
  </si>
  <si>
    <t>Nombre: luz contreras - Rut: 10827185</t>
  </si>
  <si>
    <t>Luz Contreras</t>
  </si>
  <si>
    <t>Pasaje Maipo población el parque, 1265</t>
  </si>
  <si>
    <t>2026-05-17 21:03</t>
  </si>
  <si>
    <t>REL715387</t>
  </si>
  <si>
    <t>713074246544</t>
  </si>
  <si>
    <t>Nombre: Andrea Ortega - Rut: 181278692</t>
  </si>
  <si>
    <t>Andrea Ortega Arjona</t>
  </si>
  <si>
    <t>Coronel de Artilleria 1246, Sector Alborada</t>
  </si>
  <si>
    <t>REL715358</t>
  </si>
  <si>
    <t>713073212062</t>
  </si>
  <si>
    <t>Nombre: Carolina Santana - Rut: 159216381</t>
  </si>
  <si>
    <t>Carolina Santana M.</t>
  </si>
  <si>
    <t>Sargento aldea 8, Restaurante delicias caseras 2.0</t>
  </si>
  <si>
    <t>REL715336</t>
  </si>
  <si>
    <t>713072768866</t>
  </si>
  <si>
    <t>Nombre: Paredes Paredes - Rut: 21967537</t>
  </si>
  <si>
    <t>Paredes Paredes</t>
  </si>
  <si>
    <t>Ricardo Jara 052</t>
  </si>
  <si>
    <t>REL715228</t>
  </si>
  <si>
    <t>713071346444</t>
  </si>
  <si>
    <t>Nombre: Rosario Ortiz - Rut: 187175372</t>
  </si>
  <si>
    <t>Rosario Ortiz</t>
  </si>
  <si>
    <t>Profesor benjamin muñoz 1092</t>
  </si>
  <si>
    <t>2026-05-10 21:15</t>
  </si>
  <si>
    <t>REL715096</t>
  </si>
  <si>
    <t>713069198004</t>
  </si>
  <si>
    <t>Nombre: cristopehquintanilla - Rut: 175192867</t>
  </si>
  <si>
    <t>Cristopher Quintanilla</t>
  </si>
  <si>
    <t>Alberto orrego luco 517</t>
  </si>
  <si>
    <t>REL715102</t>
  </si>
  <si>
    <t>713069197816</t>
  </si>
  <si>
    <t>Nombre: edita cisternas - Rut: 115760394</t>
  </si>
  <si>
    <t>Camila Oliva</t>
  </si>
  <si>
    <t>Irrarazábal 260, Local comercial entregar en muebles oliva o ferreteria tricauco</t>
  </si>
  <si>
    <t>REL715073</t>
  </si>
  <si>
    <t>713069198192</t>
  </si>
  <si>
    <t>Nombre: diego - Rut: 178424726</t>
  </si>
  <si>
    <t>diego herrera</t>
  </si>
  <si>
    <t>Pasaje ferrara 866</t>
  </si>
  <si>
    <t>REL714916</t>
  </si>
  <si>
    <t>713068009603</t>
  </si>
  <si>
    <t>Nombre: Cristian Herrera - Rut: 160419792</t>
  </si>
  <si>
    <t>Barbara Wandel</t>
  </si>
  <si>
    <t>Zapato Amarillo 1, Hostal</t>
  </si>
  <si>
    <t>REL715059</t>
  </si>
  <si>
    <t>713068596251</t>
  </si>
  <si>
    <t>Nombre: richard bustos - Rut: 79043397</t>
  </si>
  <si>
    <t>Francisco Sepulveda</t>
  </si>
  <si>
    <t>Avenida rucalhue 760, casa 22, Es un condominio</t>
  </si>
  <si>
    <t>REL714986</t>
  </si>
  <si>
    <t>713068007960</t>
  </si>
  <si>
    <t>Nombre: adan duarte - Rut: 22280437</t>
  </si>
  <si>
    <t>jenniffer Parada</t>
  </si>
  <si>
    <t>Miraflores, Correos</t>
  </si>
  <si>
    <t>REL714749</t>
  </si>
  <si>
    <t>9466599004</t>
  </si>
  <si>
    <t>Ximena Varas Meza</t>
  </si>
  <si>
    <t>Teniente Muñoz 222</t>
  </si>
  <si>
    <t>REL714836</t>
  </si>
  <si>
    <t>9466353293</t>
  </si>
  <si>
    <t>Jean Plaza andrades</t>
  </si>
  <si>
    <t>La capellania 45, Condominio la capellania 45, casa C-30</t>
  </si>
  <si>
    <t>REL714716</t>
  </si>
  <si>
    <t>9466061780</t>
  </si>
  <si>
    <t>Bastián Bastian Rivera</t>
  </si>
  <si>
    <t>Padre Rafael Marotto 344, Casa esquina</t>
  </si>
  <si>
    <t>2026-04-24 20:50</t>
  </si>
  <si>
    <t>REL714750</t>
  </si>
  <si>
    <t>9466018623</t>
  </si>
  <si>
    <t>Marcela Clericus Jerez</t>
  </si>
  <si>
    <t>Santa Rita 1177, Parcela 2 condominio Los Ciruelos</t>
  </si>
  <si>
    <t>REL715165</t>
  </si>
  <si>
    <t>9465402391</t>
  </si>
  <si>
    <t>Juan de Dios Marticorena Km 1.7, Condominio Florencia parcela 43</t>
  </si>
  <si>
    <t>REL715264</t>
  </si>
  <si>
    <t>9465325450</t>
  </si>
  <si>
    <t>Camila Concha Toro</t>
  </si>
  <si>
    <t>Pasaje Estival 641, peñaflor, metropolitana</t>
  </si>
  <si>
    <t>REL715159</t>
  </si>
  <si>
    <t>9465121750</t>
  </si>
  <si>
    <t>Zoe Pascal Vera Brissio</t>
  </si>
  <si>
    <t>Camino del valle 2693, valle grande, Casa</t>
  </si>
  <si>
    <t>REL714925</t>
  </si>
  <si>
    <t>9463992753</t>
  </si>
  <si>
    <t>Natalia Gutiérrez</t>
  </si>
  <si>
    <t>Pbl. San Hilario pasaje 4, 2134</t>
  </si>
  <si>
    <t>2026-05-02 10:13</t>
  </si>
  <si>
    <t>REL714858</t>
  </si>
  <si>
    <t>9463918004</t>
  </si>
  <si>
    <t>Eugenia Barquin</t>
  </si>
  <si>
    <t>Ruta E 30-F  841, Condominio Bosquemar casa x</t>
  </si>
  <si>
    <t>2026-04-30 09:54</t>
  </si>
  <si>
    <t>REL714940</t>
  </si>
  <si>
    <t>9463805341</t>
  </si>
  <si>
    <t>Rodrigo Huennan Diaz</t>
  </si>
  <si>
    <t>Glorias Navales 932, Peñaflor</t>
  </si>
  <si>
    <t>2026-05-03 20:46</t>
  </si>
  <si>
    <t>REL714971</t>
  </si>
  <si>
    <t>9463686783</t>
  </si>
  <si>
    <t>Gonzalo Avendaño Alfaro</t>
  </si>
  <si>
    <t>Calle Nahuelbuta 1025, Casa</t>
  </si>
  <si>
    <t>2026-05-03 20:47</t>
  </si>
  <si>
    <t>REL714937</t>
  </si>
  <si>
    <t>9463570594</t>
  </si>
  <si>
    <t>Macarena Toledo Diaz</t>
  </si>
  <si>
    <t>Los Lirios 743, 301</t>
  </si>
  <si>
    <t>REL714891</t>
  </si>
  <si>
    <t>9463451255</t>
  </si>
  <si>
    <t>Villa los lagos calle caburga, 288</t>
  </si>
  <si>
    <t>REL714911</t>
  </si>
  <si>
    <t>9463425591</t>
  </si>
  <si>
    <t>KATHERINE MILLAQUEO CALFUQUEO</t>
  </si>
  <si>
    <t>PSJ LOS PALTOS 4490, Villa el maiten, islita</t>
  </si>
  <si>
    <t>REL714880</t>
  </si>
  <si>
    <t>9463411941</t>
  </si>
  <si>
    <t>Rosa Garrido sanchez</t>
  </si>
  <si>
    <t>Av teniente Merino 670, Depto 106 torre B</t>
  </si>
  <si>
    <t>REL714992</t>
  </si>
  <si>
    <t>9463364540</t>
  </si>
  <si>
    <t>Francisco Flores del Campo 60, 60</t>
  </si>
  <si>
    <t>REL714949</t>
  </si>
  <si>
    <t>9463322385</t>
  </si>
  <si>
    <t>Gabriela Valdés Cornejo</t>
  </si>
  <si>
    <t>Villa Los Aromos Lote 14, Cooperativa de Servicio de Riego del Centro Ltda</t>
  </si>
  <si>
    <t>REL714919</t>
  </si>
  <si>
    <t>9463294002</t>
  </si>
  <si>
    <t>Raul Roiron</t>
  </si>
  <si>
    <t>Camino Lonquen Norte 14780, Parcela 38</t>
  </si>
  <si>
    <t>REL714872</t>
  </si>
  <si>
    <t>9463233301</t>
  </si>
  <si>
    <t>Calle nueva dos 301, Casa</t>
  </si>
  <si>
    <t>REL715282</t>
  </si>
  <si>
    <t>9461874380</t>
  </si>
  <si>
    <t>Av España 1438 batuco, Casa</t>
  </si>
  <si>
    <t>REL715147</t>
  </si>
  <si>
    <t>9461143506</t>
  </si>
  <si>
    <t>Valeria Rojas</t>
  </si>
  <si>
    <t>Tocornal 251, Tocornal 251</t>
  </si>
  <si>
    <t>REL715050</t>
  </si>
  <si>
    <t>9460887343</t>
  </si>
  <si>
    <t>Pedro Orellana Caro</t>
  </si>
  <si>
    <t>Calle san luis, alto jahuel, 661, lote F</t>
  </si>
  <si>
    <t>REL715023</t>
  </si>
  <si>
    <t>9460812410</t>
  </si>
  <si>
    <t>Tomás Pavez Badilla</t>
  </si>
  <si>
    <t>Hijuelas 5 Alto Lagunillas</t>
  </si>
  <si>
    <t>REL715141</t>
  </si>
  <si>
    <t>9460804990</t>
  </si>
  <si>
    <t>roberto valdivia</t>
  </si>
  <si>
    <t>Ilusion 524</t>
  </si>
  <si>
    <t>REL715106</t>
  </si>
  <si>
    <t>9460803376</t>
  </si>
  <si>
    <t>Alfredo Villalobos</t>
  </si>
  <si>
    <t>Rio claro 2837 valle grande, Casa</t>
  </si>
  <si>
    <t>REL715062</t>
  </si>
  <si>
    <t>9460630583</t>
  </si>
  <si>
    <t>Sofia Araya Vivanco</t>
  </si>
  <si>
    <t>Camino la Obra 820, buin, Cada</t>
  </si>
  <si>
    <t>REL715000</t>
  </si>
  <si>
    <t>9460609550</t>
  </si>
  <si>
    <t>Olga Sánchez Sanchez</t>
  </si>
  <si>
    <t>Avenida Presidente Prieto 356, Local ferreteria</t>
  </si>
  <si>
    <t>REL715026</t>
  </si>
  <si>
    <t>9460474715</t>
  </si>
  <si>
    <t>Cristobal Pizarro</t>
  </si>
  <si>
    <t>Las rosas 2724, Casa</t>
  </si>
  <si>
    <t>REL715151</t>
  </si>
  <si>
    <t>9460441690</t>
  </si>
  <si>
    <t>Alejandro Sanzana Castillo</t>
  </si>
  <si>
    <t>Independencia 468</t>
  </si>
  <si>
    <t>REL715093</t>
  </si>
  <si>
    <t>9460424492</t>
  </si>
  <si>
    <t>Nicolas Juri</t>
  </si>
  <si>
    <t>Calle Coquimbo s/n Condominio Mirador Santa Carolina Parcela 27, Batuco - Lampa, Parcela 27,</t>
  </si>
  <si>
    <t>REL714680</t>
  </si>
  <si>
    <t>9431304326</t>
  </si>
  <si>
    <t>Gretel Homann</t>
  </si>
  <si>
    <t>Teniente Muñoz 390</t>
  </si>
  <si>
    <t>REL714695</t>
  </si>
  <si>
    <t>9430873480</t>
  </si>
  <si>
    <t>2026-04-24 10:09</t>
  </si>
  <si>
    <t>REL714705</t>
  </si>
  <si>
    <t>9430117620</t>
  </si>
  <si>
    <t>Andrea Gallardo Paredes</t>
  </si>
  <si>
    <t>Av Bosques de Montemar Oriente 1647</t>
  </si>
  <si>
    <t>REL715492</t>
  </si>
  <si>
    <t>2292562300</t>
  </si>
  <si>
    <t>Orlando Parra lazo</t>
  </si>
  <si>
    <t>Eusebio lillo, 335</t>
  </si>
  <si>
    <t>REL715512</t>
  </si>
  <si>
    <t>2292561854</t>
  </si>
  <si>
    <t>Angelica Jaque vasquez</t>
  </si>
  <si>
    <t>Calle los nogales 3256, Casa</t>
  </si>
  <si>
    <t>REL715511</t>
  </si>
  <si>
    <t>2292561795</t>
  </si>
  <si>
    <t>alex canifru</t>
  </si>
  <si>
    <t>av la siembra 4831, 271</t>
  </si>
  <si>
    <t>REL715470</t>
  </si>
  <si>
    <t>2291271091</t>
  </si>
  <si>
    <t>Felipe Carrasco Y</t>
  </si>
  <si>
    <t>Francisco Núñez Venegas 1665</t>
  </si>
  <si>
    <t>REL715438</t>
  </si>
  <si>
    <t>2290359971</t>
  </si>
  <si>
    <t>REL715402</t>
  </si>
  <si>
    <t>2289402194</t>
  </si>
  <si>
    <t>Francesca Astorga Moya</t>
  </si>
  <si>
    <t>Las Violetas 291, Paine, Casa</t>
  </si>
  <si>
    <t>REL715426</t>
  </si>
  <si>
    <t>2289401026</t>
  </si>
  <si>
    <t>Cristina Araya Alvarado</t>
  </si>
  <si>
    <t>Chacabuco 6</t>
  </si>
  <si>
    <t>REL715381</t>
  </si>
  <si>
    <t>2288136281</t>
  </si>
  <si>
    <t>Carlos vial infante parcela 14, Parcela</t>
  </si>
  <si>
    <t>REL715346</t>
  </si>
  <si>
    <t>2287537980</t>
  </si>
  <si>
    <t>Ivonne Flores</t>
  </si>
  <si>
    <t>Pimpinela 136 ⁠, Casa</t>
  </si>
  <si>
    <t>#121638</t>
  </si>
  <si>
    <t>SILVER FOX</t>
  </si>
  <si>
    <t>NOMBRE RETIRA: MARIBEL BRICENO X RUT RETIRA: 13117005-K</t>
  </si>
  <si>
    <t>Pedro parra novoa Parra Novoa</t>
  </si>
  <si>
    <t>Avenida Brasil 355 loncoche</t>
  </si>
  <si>
    <t>#121643</t>
  </si>
  <si>
    <t>NOMBRE RETIRA: SEBASTIAN ARAYA ARAYA RUT RETIRA: 17112637-1</t>
  </si>
  <si>
    <t>Sebastian Araya Adaos</t>
  </si>
  <si>
    <t>Pasaje El Saúco 5289</t>
  </si>
  <si>
    <t>#121580</t>
  </si>
  <si>
    <t>NOMBRE RETIRA: SERGIO VEGA . RUT RETIRA: 20301600-K</t>
  </si>
  <si>
    <t>Sergio Vega</t>
  </si>
  <si>
    <t>Villa valle hermosa psj las araucarias n* 509 san esteban, Casa 509</t>
  </si>
  <si>
    <t>#121645</t>
  </si>
  <si>
    <t>NOMBRE RETIRA: PAOLA LOBOS . RUT RETIRA: 53330390-0</t>
  </si>
  <si>
    <t>Buenos Aires, 20</t>
  </si>
  <si>
    <t>#121620</t>
  </si>
  <si>
    <t>NOMBRE RETIRA: EDUARDO OLIVARWS . RUT RETIRA: 20259393-3</t>
  </si>
  <si>
    <t>Albert Einstein 1262, Casa</t>
  </si>
  <si>
    <t>#121508</t>
  </si>
  <si>
    <t>NOMBRE RETIRA: YANET VILLEGAS .. RUT RETIRA: 9505929-5</t>
  </si>
  <si>
    <t>Pob. Atenas, Rancagua 232 Pob Atenas</t>
  </si>
  <si>
    <t>#121593</t>
  </si>
  <si>
    <t>NOMBRE RETIRA: LUIS VERDEJO A RUT RETIRA: 7676020-9</t>
  </si>
  <si>
    <t>Luis Verdejo Pérez</t>
  </si>
  <si>
    <t>MaipÚ 3217</t>
  </si>
  <si>
    <t>#121609</t>
  </si>
  <si>
    <t>NOMBRE RETIRA: ALEJANDRO TRUJILLO X RUT RETIRA: 12345678-5</t>
  </si>
  <si>
    <t>Manuel antonio Trujillo</t>
  </si>
  <si>
    <t>Poblacion Quinta Valle 2533, Poblacion Quinta Valle 2533</t>
  </si>
  <si>
    <t>#121499</t>
  </si>
  <si>
    <t>NOMBRE RETIRA: GILBERTO PADILLA . RUT RETIRA: 11344886-5</t>
  </si>
  <si>
    <t>G. Padilla</t>
  </si>
  <si>
    <t>Avenida Andrés Sabella Gálvez 3178</t>
  </si>
  <si>
    <t>#121603</t>
  </si>
  <si>
    <t>NOMBRE RETIRA: BENJAMIN SEGURA . RUT RETIRA: 22640611-5</t>
  </si>
  <si>
    <t>Javier Segura</t>
  </si>
  <si>
    <t>PJe 2 casa 3 pac1</t>
  </si>
  <si>
    <t>#121610</t>
  </si>
  <si>
    <t>NOMBRE RETIRA: DIEGO SAEZ . RUT RETIRA: 21478111-5</t>
  </si>
  <si>
    <t>Oscar Oyarzo</t>
  </si>
  <si>
    <t>Av. Circunvalación 298</t>
  </si>
  <si>
    <t>#121560</t>
  </si>
  <si>
    <t>NOMBRE RETIRA: JUAN MALUENDA Z RUT RETIRA: 17012165-1</t>
  </si>
  <si>
    <t>Juan Maluenda</t>
  </si>
  <si>
    <t>Avelino Villagrán 005, Sector Saucache</t>
  </si>
  <si>
    <t>#121615</t>
  </si>
  <si>
    <t>NOMBRE RETIRA: FREDDY ROJAS . RUT RETIRA: 11616199-0</t>
  </si>
  <si>
    <t>Freddy Rojas</t>
  </si>
  <si>
    <t>Salvador allende 630</t>
  </si>
  <si>
    <t>#121616</t>
  </si>
  <si>
    <t>NOMBRE RETIRA: GOBIER CORTEA . RUT RETIRA: 5481105-5</t>
  </si>
  <si>
    <t>Javier Ibarra Muñoz</t>
  </si>
  <si>
    <t>Alcalde Olegario Barrera 3461 Villa Los Volcanes</t>
  </si>
  <si>
    <t>#121543</t>
  </si>
  <si>
    <t>NOMBRE RETIRA: XLAUDIO PINTO GALLEGUILLOS RUT RETIRA: 8879240-8</t>
  </si>
  <si>
    <t>Claudio Pinto galleguillos</t>
  </si>
  <si>
    <t>Casa, Pasaje Esmeralda 2197</t>
  </si>
  <si>
    <t>#121556</t>
  </si>
  <si>
    <t>NOMBRE RETIRA: ALEXANDER MILLAN B RUT RETIRA: 27103111-4</t>
  </si>
  <si>
    <t>O’Higgins 1698, Depto. 1802, Departamento 1802</t>
  </si>
  <si>
    <t>#121552</t>
  </si>
  <si>
    <t>NOMBRE RETIRA: SANTIAGO DELGADO N M RUT RETIRA: 44447423-8</t>
  </si>
  <si>
    <t>Ibar Perez</t>
  </si>
  <si>
    <t>Cerro paranal 270, Depto 204 Edificio Puyehue</t>
  </si>
  <si>
    <t>#121585</t>
  </si>
  <si>
    <t>NOMBRE RETIRA: RICARDO MORENO J RUT RETIRA: 5567542-2</t>
  </si>
  <si>
    <t>Christian Gaviño Parra</t>
  </si>
  <si>
    <t>Avenida Argentina 1340, Departamento 605a, Departamento 605A</t>
  </si>
  <si>
    <t>#121600</t>
  </si>
  <si>
    <t>NOMBRE RETIRA: FERNANDO BARAHONA X RUT RETIRA: 9432331-2</t>
  </si>
  <si>
    <t>Fernando Barahona Breschi</t>
  </si>
  <si>
    <t>Los tamarugos 171</t>
  </si>
  <si>
    <t>#121623</t>
  </si>
  <si>
    <t>NOMBRE RETIRA: KATERINE HERRERA . RUT RETIRA: 16245278-9</t>
  </si>
  <si>
    <t>Francisco Notario</t>
  </si>
  <si>
    <t>Ollague 5622</t>
  </si>
  <si>
    <t>#121577</t>
  </si>
  <si>
    <t>NOMBRE RETIRA: ECTOR OYADANEL K RUT RETIRA: 7402986-8</t>
  </si>
  <si>
    <t>Julio Manques</t>
  </si>
  <si>
    <t>Antonio Poupin 841, Depto 306</t>
  </si>
  <si>
    <t>#121526</t>
  </si>
  <si>
    <t>NOMBRE RETIRA: WISON CARVAJAL . RUT RETIRA: 12569663-5</t>
  </si>
  <si>
    <t>Claudia olivares</t>
  </si>
  <si>
    <t>Los lagos 920, Depa 1201</t>
  </si>
  <si>
    <t>#121596</t>
  </si>
  <si>
    <t>NOMBRE RETIRA: CRISTIAN RIVAS .. RUT RETIRA: 11702068-1</t>
  </si>
  <si>
    <t>Jose Gonzalez Aguilera</t>
  </si>
  <si>
    <t>Arturo prat, 535 , dep 1402</t>
  </si>
  <si>
    <t>#121500</t>
  </si>
  <si>
    <t>NOMBRE RETIRA: HWCTOR FLORES . RUT RETIRA: 7665917-6</t>
  </si>
  <si>
    <t>Hector Flores</t>
  </si>
  <si>
    <t>Prieto Sur 1244 Temuco, Casa</t>
  </si>
  <si>
    <t>#121506</t>
  </si>
  <si>
    <t>NOMBRE RETIRA: PATRICIO TRAVELLA . RUT RETIRA: 9085317-1</t>
  </si>
  <si>
    <t>Patricio Travella Scorza</t>
  </si>
  <si>
    <t>Infante 984</t>
  </si>
  <si>
    <t>#121529</t>
  </si>
  <si>
    <t>NOMBRE RETIRA: FELIX HERNANDEZ . RUT RETIRA: 13739290-9</t>
  </si>
  <si>
    <t>Felix Hernández Faúndez</t>
  </si>
  <si>
    <t>Diego Portales 701 Local 6, Estacionamientos Subterráneo SBT</t>
  </si>
  <si>
    <t>#121517</t>
  </si>
  <si>
    <t>NOMBRE RETIRA: ARIEL MUNOZ . RUT RETIRA: 20224612-5</t>
  </si>
  <si>
    <t>Ariel Alejandro Muñoz Candia</t>
  </si>
  <si>
    <t>Escritor isauro santelices 339</t>
  </si>
  <si>
    <t>#121591</t>
  </si>
  <si>
    <t>NOMBRE RETIRA: VICTORIA GONZALEZ PIMENTEL RUT RETIRA: 6419727-4</t>
  </si>
  <si>
    <t>Jorge Arredondo</t>
  </si>
  <si>
    <t>Urrutia 1241 Cerro Larrarin Valparaiso, Casa</t>
  </si>
  <si>
    <t>#121566</t>
  </si>
  <si>
    <t>NOMBRE RETIRA: FELIPE PULGA U RUT RETIRA: 13225918-6</t>
  </si>
  <si>
    <t>Avenida del mar 573, Casa 573 barrio Serena Golf</t>
  </si>
  <si>
    <t>#121630</t>
  </si>
  <si>
    <t>NOMBRE RETIRA: MARCO AGUIRRR . . RUT RETIRA: 16000469-K</t>
  </si>
  <si>
    <t>Marco Aguirre Luza</t>
  </si>
  <si>
    <t>Avenida 21 De Mayo 6121, Paradero 19 camino a palmilla</t>
  </si>
  <si>
    <t>#121637</t>
  </si>
  <si>
    <t>NOMBRE RETIRA: PAOLO ARZOLA 0 RUT RETIRA: 14198282-6</t>
  </si>
  <si>
    <t>Paolo Alexis Arzola Apariz</t>
  </si>
  <si>
    <t>24 1/2 norte A 4330, Casa</t>
  </si>
  <si>
    <t>#121625</t>
  </si>
  <si>
    <t>NOMBRE RETIRA: MAURICIO YACAR . RUT RETIRA: 4898452-5</t>
  </si>
  <si>
    <t>Omar Franco</t>
  </si>
  <si>
    <t>Laguna Lo Méndez, 809, Villa  Ensenada, Casa</t>
  </si>
  <si>
    <t>#121604</t>
  </si>
  <si>
    <t>NOMBRE RETIRA: JOSE JARA . RUT RETIRA: 14394883-8</t>
  </si>
  <si>
    <t>Francisco Duran</t>
  </si>
  <si>
    <t>Avenida Nahuelbuta 2075, 82a</t>
  </si>
  <si>
    <t>#121576</t>
  </si>
  <si>
    <t>NOMBRE RETIRA: ROBERTP GONZALEZ . . RUT RETIRA: 13844754-5</t>
  </si>
  <si>
    <t>Roberto Gonzalez</t>
  </si>
  <si>
    <t>Avenida marconi 215, Polideportivo de la ciudad</t>
  </si>
  <si>
    <t>#121581</t>
  </si>
  <si>
    <t>NOMBRE RETIRA: PABLO CONTRERAS CONSERJE RUT RETIRA: 56058410-5</t>
  </si>
  <si>
    <t>Tomas Galarce</t>
  </si>
  <si>
    <t>Avenida Diego Portales 1310, 202</t>
  </si>
  <si>
    <t>#121584</t>
  </si>
  <si>
    <t>NOMBRE RETIRA: HERNAN CORTES -- RUT RETIRA: 15036559-7</t>
  </si>
  <si>
    <t>Hernán Patricio Cortés</t>
  </si>
  <si>
    <t>Luis Abalos Lavanderos 1610, casa</t>
  </si>
  <si>
    <t>#121639</t>
  </si>
  <si>
    <t>NOMBRE RETIRA: FERNANDA PONCE . RUT RETIRA: 22678935-9</t>
  </si>
  <si>
    <t>Ricardo Ponce Fernandez</t>
  </si>
  <si>
    <t>Las toscas 1227</t>
  </si>
  <si>
    <t>#121611</t>
  </si>
  <si>
    <t>NOMBRE RETIRA: CARRAACO . . RUT RETIRA: 53310370-7</t>
  </si>
  <si>
    <t>Antonio Castro</t>
  </si>
  <si>
    <t>Martin Lutero 03006 casa 81 mirador de la frontera 3, Casa</t>
  </si>
  <si>
    <t>#121605</t>
  </si>
  <si>
    <t>NOMBRE RETIRA: ORIANA LASTRA . RUT RETIRA: 19146817-1</t>
  </si>
  <si>
    <t>Alfredo rojo 1512, Casa</t>
  </si>
  <si>
    <t>#121570</t>
  </si>
  <si>
    <t>NOMBRE RETIRA: ALEJANDRA GOMEZ . RUT RETIRA: 12850853-8</t>
  </si>
  <si>
    <t>Daniel Miranda Sala</t>
  </si>
  <si>
    <t>Avenida Brasil 1786, Oficina. Primer piso. Dejar con el guardia</t>
  </si>
  <si>
    <t>#121621</t>
  </si>
  <si>
    <t>Eladio Malebrán Flores</t>
  </si>
  <si>
    <t>Casa, Ana Owens Miranda 1737 Parque InglÉs 2</t>
  </si>
  <si>
    <t>#121512</t>
  </si>
  <si>
    <t>NOMBRE RETIRA: PILAR RAMIREZ A RUT RETIRA: 14343845-7</t>
  </si>
  <si>
    <t>Carlos Cruces</t>
  </si>
  <si>
    <t>2 norte 3217, Casa (verdulería Janito)</t>
  </si>
  <si>
    <t>#121542</t>
  </si>
  <si>
    <t>Orlando Zuñiga</t>
  </si>
  <si>
    <t>Los Chonos, Los Chonos 246 Buen Retiro</t>
  </si>
  <si>
    <t>#121561</t>
  </si>
  <si>
    <t>NOMBRE RETIRA: MARITZA GUTIEREZ . . RUT RETIRA: 9811455-6</t>
  </si>
  <si>
    <t>Gabriel Ademir Palominos Avalos</t>
  </si>
  <si>
    <t>Gabriel Gonzalez Videla 2261</t>
  </si>
  <si>
    <t>#121627</t>
  </si>
  <si>
    <t>NOMBRE RETIRA: FELIPE TORREJON TORREJON RUT RETIRA: 15103644-9</t>
  </si>
  <si>
    <t>Felipe Torrejón</t>
  </si>
  <si>
    <t>Pasaje santa margarita 03302 villa don Mateo 4 Rancagua</t>
  </si>
  <si>
    <t>#121549</t>
  </si>
  <si>
    <t>NOMBRE RETIRA: VINKA ARAMCIBIA . RUT RETIRA: 10125456-9</t>
  </si>
  <si>
    <t>Hernán Báez</t>
  </si>
  <si>
    <t>Pacarina 1706, Casa</t>
  </si>
  <si>
    <t>#121564</t>
  </si>
  <si>
    <t>NOMBRE RETIRA: JOAQUIN PAREDES . RUT RETIRA: 22826679-5</t>
  </si>
  <si>
    <t>Estancia El Sauce 941, Fortunato Geraldo 941</t>
  </si>
  <si>
    <t>#121514</t>
  </si>
  <si>
    <t>NOMBRE RETIRA: ENZO CARRASCO . RUT RETIRA: 8659123-5</t>
  </si>
  <si>
    <t>Enzo Carrasco</t>
  </si>
  <si>
    <t>Victoria 20</t>
  </si>
  <si>
    <t>#121614</t>
  </si>
  <si>
    <t>NOMBRE RETIRA: CRISTIAN MUNOZ .. RUT RETIRA: 13960528-4</t>
  </si>
  <si>
    <t>Progreso 308, Negocio esquina</t>
  </si>
  <si>
    <t>#121522</t>
  </si>
  <si>
    <t>NOMBRE RETIRA: NATALIA BAHAMONFE . RUT RETIRA: 18131432-K</t>
  </si>
  <si>
    <t>Jorge Ignacio Giacomozzi Riego</t>
  </si>
  <si>
    <t>Guillermo Buhler 1561</t>
  </si>
  <si>
    <t>#121519</t>
  </si>
  <si>
    <t>NOMBRE RETIRA: IHORDANIS BRAVO N RUT RETIRA: 17495031-8</t>
  </si>
  <si>
    <t>Ihordanits Bravo Naranjo</t>
  </si>
  <si>
    <t>Pasaje 4 y media poniente #0896, Entre 25 y 26 sur</t>
  </si>
  <si>
    <t>#121530</t>
  </si>
  <si>
    <t>NOMBRE RETIRA: TEOLINDA SERRANO . RUT RETIRA: 5772374-2</t>
  </si>
  <si>
    <t>René Gutiérrez Serrano</t>
  </si>
  <si>
    <t>Agustin gomez 207. Población yungay, 207</t>
  </si>
  <si>
    <t>#121550</t>
  </si>
  <si>
    <t>NOMBRE RETIRA: LENNIS CALDON .. RUT RETIRA: 17971129-K</t>
  </si>
  <si>
    <t>Juan Cristobal Undurraga</t>
  </si>
  <si>
    <t>Pedro Herrera Balharry 1051, Dp 405A</t>
  </si>
  <si>
    <t>#121619</t>
  </si>
  <si>
    <t>Ocoa 65, Depa 909 - Edificio Pacific</t>
  </si>
  <si>
    <t>#121578</t>
  </si>
  <si>
    <t>NOMBRE RETIRA: MARTA VALLEJOS A RUT RETIRA: 11354493-7</t>
  </si>
  <si>
    <t>Marcelo Pérez</t>
  </si>
  <si>
    <t>Pasaje Dos Norte 3578. Por 32 Oriente</t>
  </si>
  <si>
    <t>#121628</t>
  </si>
  <si>
    <t>NOMBRE RETIRA: CLAUDIA . . RUT RETIRA: 12345678-5</t>
  </si>
  <si>
    <t>Gonzalo henriquez Henriquez</t>
  </si>
  <si>
    <t>Linares 444, Nueva aurora</t>
  </si>
  <si>
    <t>#121574</t>
  </si>
  <si>
    <t>NOMBRE RETIRA: JAIME FUENTES B RUT RETIRA: 12607161-2</t>
  </si>
  <si>
    <t>18 poniente 0587, 0587</t>
  </si>
  <si>
    <t>#121503</t>
  </si>
  <si>
    <t>NOMBRE RETIRA: NIEDA CORTES . RUT RETIRA: 11099219-K</t>
  </si>
  <si>
    <t>Av. Alberto Arenas Carvajal 4095, Avenida Alberto Arenas Carvajal 4095</t>
  </si>
  <si>
    <t>#121602</t>
  </si>
  <si>
    <t>NOMBRE RETIRA: GABRIEL ACOSTA . RUT RETIRA: 12345678-5</t>
  </si>
  <si>
    <t>Alberto arenas Carvajal 4200 ?4200</t>
  </si>
  <si>
    <t>#121599</t>
  </si>
  <si>
    <t>NOMBRE RETIRA: ALVARO CONCH . RUT RETIRA: 21057295-3</t>
  </si>
  <si>
    <t>Santo Domingo 84, Santo Domingo 84</t>
  </si>
  <si>
    <t>#121548</t>
  </si>
  <si>
    <t>NOMBRE RETIRA: WILLIAM ROJAS D RUT RETIRA: 9591144-7</t>
  </si>
  <si>
    <t>William Rojas</t>
  </si>
  <si>
    <t>Los Cardos 0190, Casa</t>
  </si>
  <si>
    <t>#121608</t>
  </si>
  <si>
    <t>NOMBRE RETIRA: CLAUDIO ARRANO . RUT RETIRA: 12148466-8</t>
  </si>
  <si>
    <t>Claudio Arraño</t>
  </si>
  <si>
    <t>Oscar  Castro 55 ?55</t>
  </si>
  <si>
    <t>#121363</t>
  </si>
  <si>
    <t>NOMBRE RETIRA: JERKO SORE M RUT RETIRA: 11929920-9</t>
  </si>
  <si>
    <t>Yerko Sore</t>
  </si>
  <si>
    <t>21 de mayo 1330, Casa</t>
  </si>
  <si>
    <t>#121144</t>
  </si>
  <si>
    <t>NOMBRE RETIRA: ORITIA ALMINACID K RUT RETIRA: 11928492-9</t>
  </si>
  <si>
    <t>Job Contreras Sáez</t>
  </si>
  <si>
    <t>Ramon Freire 0465, RamÓn Freire 0465</t>
  </si>
  <si>
    <t>#121349</t>
  </si>
  <si>
    <t>NOMBRE RETIRA: RODRIGO SANCHEZ H RUT RETIRA: 14228702-1</t>
  </si>
  <si>
    <t>Rodrigo Manuel Sánchez Calisto</t>
  </si>
  <si>
    <t>Jardín de la patagonia 6, calle nueva 46 #01841, Casa esquina</t>
  </si>
  <si>
    <t>#121322</t>
  </si>
  <si>
    <t>NOMBRE RETIRA: VIVIANA RAIN M RUT RETIRA: 16021913-0</t>
  </si>
  <si>
    <t>Fernando Andrade</t>
  </si>
  <si>
    <t>Rolando matus 2175, Casa</t>
  </si>
  <si>
    <t>#121215</t>
  </si>
  <si>
    <t>NOMBRE RETIRA: PEDRO OSSANDON . RUT RETIRA: 11111111-1</t>
  </si>
  <si>
    <t>Pedro Ossandón Solar</t>
  </si>
  <si>
    <t>Los Coirones 2639, Casa</t>
  </si>
  <si>
    <t>#121341</t>
  </si>
  <si>
    <t>NOMBRE RETIRA: ALEX POBLETE . RUT RETIRA: 11111111-1</t>
  </si>
  <si>
    <t>Alex Mauricio Poblete Samhueza</t>
  </si>
  <si>
    <t>Calle Francisco Vidal Gormas, Casa 922</t>
  </si>
  <si>
    <t>#121396</t>
  </si>
  <si>
    <t>NOMBRE RETIRA: MAXIMILIANO REPENNIN A RUT RETIRA: 19998084-K</t>
  </si>
  <si>
    <t>Maximiliano Repenning</t>
  </si>
  <si>
    <t>Condominio casa parque, sitio 237. Curico, Casa</t>
  </si>
  <si>
    <t>#121446</t>
  </si>
  <si>
    <t>NOMBRE RETIRA: SOFIA TAPIA . RUT RETIRA: 19253024-5</t>
  </si>
  <si>
    <t>Cesar Tapia Morales</t>
  </si>
  <si>
    <t>Calle Ascotan 1892 Vil Ayquina, Casa</t>
  </si>
  <si>
    <t>#121445</t>
  </si>
  <si>
    <t>NOMBRE RETIRA: JORGW ARAYA A RUT RETIRA: 12345678-5</t>
  </si>
  <si>
    <t>#121366</t>
  </si>
  <si>
    <t>NOMBRE RETIRA: EDGARDO A A RUT RETIRA: 11111111-1</t>
  </si>
  <si>
    <t>Edgardo Rodriguez</t>
  </si>
  <si>
    <t>Panama 1412</t>
  </si>
  <si>
    <t>#121365</t>
  </si>
  <si>
    <t>NOMBRE RETIRA: MICHELL CUBA . RUT RETIRA: 12442453-4</t>
  </si>
  <si>
    <t>Michel Acuña Tamblay</t>
  </si>
  <si>
    <t>CopiapÓ 1071, Oficina 4, Piso 3er</t>
  </si>
  <si>
    <t>#121415</t>
  </si>
  <si>
    <t>NOMBRE RETIRA: DANIEL ROJAS X RUT RETIRA: 19494392-K</t>
  </si>
  <si>
    <t>Daniel Rojas arias</t>
  </si>
  <si>
    <t>Pasaje Braulio Muñoz 827</t>
  </si>
  <si>
    <t>#121358</t>
  </si>
  <si>
    <t>NOMBRE RETIRA: DARIO NUNEZ NUNEZ RUT RETIRA: 11358333-9</t>
  </si>
  <si>
    <t>Darío Marambio Núñez</t>
  </si>
  <si>
    <t>Los Rododendros 103</t>
  </si>
  <si>
    <t>#121430</t>
  </si>
  <si>
    <t>NOMBRE RETIRA: JACQUELINE BENITES . RUT RETIRA: 53321450-9</t>
  </si>
  <si>
    <t>Fernando Diaz Romero</t>
  </si>
  <si>
    <t>Avenida William Condon 3125, Cas 4</t>
  </si>
  <si>
    <t>#121488</t>
  </si>
  <si>
    <t>NOMBRE RETIRA: ELVA VASQUES . RUT RETIRA: 13250847-K</t>
  </si>
  <si>
    <t>Yhetro Cuellar Cuellar</t>
  </si>
  <si>
    <t>Rupanco 3068,</t>
  </si>
  <si>
    <t>#121468</t>
  </si>
  <si>
    <t>NOMBRE RETIRA: CRISTIAN FLORES . RUT RETIRA: 20530881-4</t>
  </si>
  <si>
    <t>Cristobal Flores</t>
  </si>
  <si>
    <t>Ruta 5 norte km 190 Condominio Rocas del Mar Los Molles, Parcela 382</t>
  </si>
  <si>
    <t>#121491</t>
  </si>
  <si>
    <t>NOMBRE RETIRA: ANGELINA HUENCHUNIR .... RUT RETIRA: 10726598-8</t>
  </si>
  <si>
    <t>Guillermo Yañez</t>
  </si>
  <si>
    <t>Bulnes 45, Calle Bulnes 45</t>
  </si>
  <si>
    <t>#121428</t>
  </si>
  <si>
    <t>NOMBRE RETIRA: CAROLINA MARTINES . RUT RETIRA: 15740884-4</t>
  </si>
  <si>
    <t>Rodrigo Mackenney</t>
  </si>
  <si>
    <t>Av Las Industrias 342, Parque Industrial Puerto Seco</t>
  </si>
  <si>
    <t>#121398</t>
  </si>
  <si>
    <t>NOMBRE RETIRA: ERIKA GONZALEZ . RUT RETIRA: 7386357-0</t>
  </si>
  <si>
    <t>Alonso Alexis González Astorga 113259124</t>
  </si>
  <si>
    <t>Casa, Chorrillos 1074</t>
  </si>
  <si>
    <t>#121372</t>
  </si>
  <si>
    <t>Antofagasta, Rica Aventura 10701 departamento 1910</t>
  </si>
  <si>
    <t>#121384</t>
  </si>
  <si>
    <t>NOMBRE RETIRA: SEBASTIAN URIARTE GILABERT RUT RETIRA: 8533976-1</t>
  </si>
  <si>
    <t>sebastian uriarte</t>
  </si>
  <si>
    <t>Calle san Martin sin numero, Loteo Puerto varas norte , casa 1,</t>
  </si>
  <si>
    <t>#121393</t>
  </si>
  <si>
    <t>NOMBRE RETIRA: ROBERT SAVEDRA Y RUT RETIRA: 15612072-3</t>
  </si>
  <si>
    <t>Robert saavedra</t>
  </si>
  <si>
    <t>Palemera Chilena 817 817, 817, 817</t>
  </si>
  <si>
    <t>#121368</t>
  </si>
  <si>
    <t>KITZI VEGA</t>
  </si>
  <si>
    <t>Colon 631, Oficina</t>
  </si>
  <si>
    <t>#121386</t>
  </si>
  <si>
    <t>NOMBRE RETIRA: ERIBERTO DELGADO D RUT RETIRA: 9160938-K</t>
  </si>
  <si>
    <t>Barros arana 832, 814</t>
  </si>
  <si>
    <t>#121413</t>
  </si>
  <si>
    <t>NOMBRE RETIRA: DANUEL ESPINOSA ESPIMOSA RUT RETIRA: 16054688-3</t>
  </si>
  <si>
    <t>Daniel espinoza olivos</t>
  </si>
  <si>
    <t>Pasaje Las Acacias, Ceres</t>
  </si>
  <si>
    <t>#121419</t>
  </si>
  <si>
    <t>NOMBRE RETIRA: LISETTE ARAYA . RUT RETIRA: 15973327-0</t>
  </si>
  <si>
    <t>Edgardo Alfonso Araya Díaz</t>
  </si>
  <si>
    <t>Dinamarca 1131 villa hermosa, Las torres</t>
  </si>
  <si>
    <t>#121434</t>
  </si>
  <si>
    <t>NOMBRE RETIRA: OSCSR SALAZAR .. RUT RETIRA: 15244455-9</t>
  </si>
  <si>
    <t>Oscar Salazar figueroa</t>
  </si>
  <si>
    <t>Diego portales 1256, Local comercial electrofront</t>
  </si>
  <si>
    <t>#121467</t>
  </si>
  <si>
    <t>NOMBRE RETIRA: PEDRO ROBALCABA . RUT RETIRA: 56033370-6</t>
  </si>
  <si>
    <t>Irany Paz Melgar Paz</t>
  </si>
  <si>
    <t>Arlegui 263 of 805. Edificio Gala, Viña Del Mar</t>
  </si>
  <si>
    <t>#121409</t>
  </si>
  <si>
    <t>NOMBRE RETIRA: ANDRES AGUILERA . RUT RETIRA: 65027306-0</t>
  </si>
  <si>
    <t>Jorge Cepeda Zuleta</t>
  </si>
  <si>
    <t>Viana 1255, Depto. 606</t>
  </si>
  <si>
    <t>#121383</t>
  </si>
  <si>
    <t>NOMBRE RETIRA: ESTEBAN SILNA . RUT RETIRA: 19394459-0</t>
  </si>
  <si>
    <t>Carlos Silva Retamales Silva Retamales</t>
  </si>
  <si>
    <t>Arturo PÉrez Canto. Casa 559 PoblaciÓn Heroes De La ConcepciÓn, Casa</t>
  </si>
  <si>
    <t>#121462</t>
  </si>
  <si>
    <t>NOMBRE RETIRA: MARCEKA MI U RUT RETIRA: 12345678-5</t>
  </si>
  <si>
    <t>Victor Chahin</t>
  </si>
  <si>
    <t>Arturo Alessandri 0873, Arturo Alessandri 0873</t>
  </si>
  <si>
    <t>#121458</t>
  </si>
  <si>
    <t>NOMBRE RETIRA: JAIME TRONCOSO K RUT RETIRA: 11427791-6</t>
  </si>
  <si>
    <t>Jaime Troncoso Hurtado Troncoso Hurtado</t>
  </si>
  <si>
    <t>Calle Temuco 455 Osorno, Oficina</t>
  </si>
  <si>
    <t>#121410</t>
  </si>
  <si>
    <t>NOMBRE RETIRA: JORGE ANDRES K RUT RETIRA: 12819902-0</t>
  </si>
  <si>
    <t>Jorge Andres Garay Fabres</t>
  </si>
  <si>
    <t>Cecilia faten gazitua 1568, Casa</t>
  </si>
  <si>
    <t>#121401</t>
  </si>
  <si>
    <t>NOMBRE RETIRA: VALENTINA IGALDE . RUT RETIRA: 18971979-5</t>
  </si>
  <si>
    <t>Miguel Rubio</t>
  </si>
  <si>
    <t>Jorge Zambra oriente 388 ,Peñuela Oriente, Casa</t>
  </si>
  <si>
    <t>#121370</t>
  </si>
  <si>
    <t>NOMBRE RETIRA: JUANA RIVERA X RUT RETIRA: 12345678-5</t>
  </si>
  <si>
    <t>Claudio Carrizo</t>
  </si>
  <si>
    <t>Camarones 1336, Casa</t>
  </si>
  <si>
    <t>#121371</t>
  </si>
  <si>
    <t>Omar Salinas</t>
  </si>
  <si>
    <t>Calle Nueve 740, Edificio Mira al Mar  Departamento 1010</t>
  </si>
  <si>
    <t>#121449</t>
  </si>
  <si>
    <t>Domingo Zurita Rivera</t>
  </si>
  <si>
    <t>calle las tarrias 34 edificio Mar Jonico Caleta Portales, depto 1204</t>
  </si>
  <si>
    <t>#121490</t>
  </si>
  <si>
    <t>NOMBRE RETIRA: JAQUELIN MUGUIT . RUT RETIRA: 53325348-2</t>
  </si>
  <si>
    <t>Gino Sacco</t>
  </si>
  <si>
    <t>Ojos de agua 108 depto 501 A</t>
  </si>
  <si>
    <t>#121374</t>
  </si>
  <si>
    <t>NOMBRE RETIRA: CAROLINA GODOY _ RUT RETIRA: 12345678-5</t>
  </si>
  <si>
    <t>Peñuelas 101 dpto 71 torre 3, PeÑuelas Sur 101, Dpto 71</t>
  </si>
  <si>
    <t>#121411</t>
  </si>
  <si>
    <t>NOMBRE RETIRA: NADIA MUNOZ . RUT RETIRA: 12951000-5</t>
  </si>
  <si>
    <t>Conchali 555, Casa</t>
  </si>
  <si>
    <t>#121412</t>
  </si>
  <si>
    <t>NOMBRE RETIRA: BRENDA OLOVARES . RUT RETIRA: 11784795-0</t>
  </si>
  <si>
    <t>A.Riquelme 9, 9</t>
  </si>
  <si>
    <t>#121472</t>
  </si>
  <si>
    <t>NOMBRE RETIRA: SOBRINO DE RUBEN S Z RUT RETIRA: 16402677-9</t>
  </si>
  <si>
    <t>Ruben Andres Rojo bastias</t>
  </si>
  <si>
    <t>Pasaje seis 0450-E</t>
  </si>
  <si>
    <t>#121482</t>
  </si>
  <si>
    <t>NOMBRE RETIRA: MARIA FUENTES . . RUT RETIRA: 4039653-5</t>
  </si>
  <si>
    <t>Los Cedros Nro. 2752</t>
  </si>
  <si>
    <t>#121479</t>
  </si>
  <si>
    <t>NOMBRE RETIRA: RODRIGO BUSTOS Q RUT RETIRA: 12022048-9</t>
  </si>
  <si>
    <t>Marcelo Cabello del canto</t>
  </si>
  <si>
    <t>Manuel plaza 1604</t>
  </si>
  <si>
    <t>#121437</t>
  </si>
  <si>
    <t>NOMBRE RETIRA: PABLO RUVERA . RUT RETIRA: 17284289-5</t>
  </si>
  <si>
    <t>Avenida Costanera 7488, 906B</t>
  </si>
  <si>
    <t>#121407</t>
  </si>
  <si>
    <t>NOMBRE RETIRA: BRYAN RUIZ . RUT RETIRA: 65049095-9</t>
  </si>
  <si>
    <t>Guillermo Bauza</t>
  </si>
  <si>
    <t>Evans 1155, 407</t>
  </si>
  <si>
    <t>#121492</t>
  </si>
  <si>
    <t>NOMBRE RETIRA: CONSERKEC G C RUT RETIRA: 65163035-5</t>
  </si>
  <si>
    <t>Paulo Romero</t>
  </si>
  <si>
    <t>Las acacias 749, 443</t>
  </si>
  <si>
    <t>#121443</t>
  </si>
  <si>
    <t>NOMBRE RETIRA: FABIAN MONTENERGO . RUT RETIRA: 20789080-4</t>
  </si>
  <si>
    <t>Fabián Montenegro Flores</t>
  </si>
  <si>
    <t>Estero Maitenlahue 1100, Torre A, depto 509</t>
  </si>
  <si>
    <t>#121390</t>
  </si>
  <si>
    <t>NOMBRE RETIRA: MARIELA MALDINADO M RUT RETIRA: 12614538-1</t>
  </si>
  <si>
    <t>jonathan oviedo tabilo</t>
  </si>
  <si>
    <t>AVENIDA LAS PARCELAS CONDOMINIO VISTA SOL 989, Torre 2 departamento 235</t>
  </si>
  <si>
    <t>#121439</t>
  </si>
  <si>
    <t>NOMBRE RETIRA: MARIA ROJAS . . RUT RETIRA: 11203216-9</t>
  </si>
  <si>
    <t>Oscar PIZARRO</t>
  </si>
  <si>
    <t>Bartolome Blanche 3595 La Serena, San Joaquin</t>
  </si>
  <si>
    <t>#121385</t>
  </si>
  <si>
    <t>NOMBRE RETIRA: CLAUDIO GONZLAEZ . RUT RETIRA: 21499861-0</t>
  </si>
  <si>
    <t>Avenida maipu 87</t>
  </si>
  <si>
    <t>#121387</t>
  </si>
  <si>
    <t>NOMBRE RETIRA: NELSON AYALA . RUT RETIRA: 6631317-4</t>
  </si>
  <si>
    <t>Víctor Reyes Valenzuela</t>
  </si>
  <si>
    <t>Florencia 1990, Casa A</t>
  </si>
  <si>
    <t>#121367</t>
  </si>
  <si>
    <t>NOMBRE RETIRA: MACARENA JARA . RUT RETIRA: 13194517-5</t>
  </si>
  <si>
    <t>Pablo Melendez</t>
  </si>
  <si>
    <t>Uno Norte 2253, 46, 46</t>
  </si>
  <si>
    <t>#121420</t>
  </si>
  <si>
    <t>Jorge Puentes</t>
  </si>
  <si>
    <t>San francisco 60 la palma, Casa</t>
  </si>
  <si>
    <t>#121391</t>
  </si>
  <si>
    <t>NOMBRE RETIRA: KATHERINE CIAYERNAA . RUT RETIRA: 12345678-5</t>
  </si>
  <si>
    <t>Claudio Villagran</t>
  </si>
  <si>
    <t>Casa, Las Margaritas 1820</t>
  </si>
  <si>
    <t>#121094</t>
  </si>
  <si>
    <t>NOMBRE RETIRA: MAX PORCEL SAEZ RUT RETIRA: 15011526-4</t>
  </si>
  <si>
    <t>Max Porcel saez</t>
  </si>
  <si>
    <t>Pasaje guillermo  Mata 3175</t>
  </si>
  <si>
    <t>#121353</t>
  </si>
  <si>
    <t>NOMBRE RETIRA: CLAUDIO ROJAS . RUT RETIRA: 20592559-7</t>
  </si>
  <si>
    <t>Claudio Rojas Ayala</t>
  </si>
  <si>
    <t>Las Heras 283, Casa</t>
  </si>
  <si>
    <t>#121069</t>
  </si>
  <si>
    <t>NOMBRE RETIRA: ELIASAR PERALTA ... RUT RETIRA: 12990260-4</t>
  </si>
  <si>
    <t>Reinaldo Saavedra Valderrama</t>
  </si>
  <si>
    <t>Manuel Bulnes 110, Of 301, Oficina</t>
  </si>
  <si>
    <t>#121061</t>
  </si>
  <si>
    <t>NOMBRE RETIRA: EDGARDO TOLEDO . RUT RETIRA: 13396718-4</t>
  </si>
  <si>
    <t>Edgardo Toledo Barraza</t>
  </si>
  <si>
    <t>Urrutia 51</t>
  </si>
  <si>
    <t>#121354</t>
  </si>
  <si>
    <t>NOMBRE RETIRA: GRISEL OLMEDO . RUT RETIRA: 11931111-K</t>
  </si>
  <si>
    <t>Victor Sebastian Vera Soto</t>
  </si>
  <si>
    <t>Avenida Granaderos 3524, Copec</t>
  </si>
  <si>
    <t>#121352</t>
  </si>
  <si>
    <t>NOMBRE RETIRA: ALOHA MONYIEL . . RUT RETIRA: 27924651-9</t>
  </si>
  <si>
    <t>Patricio Zepeda</t>
  </si>
  <si>
    <t>Blanco encalada 238</t>
  </si>
  <si>
    <t>#121284</t>
  </si>
  <si>
    <t>NOMBRE RETIRA: ALEJANDRO AKVAREZ . RUT RETIRA: 13327967-9</t>
  </si>
  <si>
    <t>Sebastián Cortes alvarez</t>
  </si>
  <si>
    <t>San Pedro De Atacama, San bartolo 131 poblacion licanantay</t>
  </si>
  <si>
    <t>#121350</t>
  </si>
  <si>
    <t>NOMBRE RETIRA: YORKA VELEZ . RUT RETIRA: 15094336-1</t>
  </si>
  <si>
    <t>Sebastian Basualdo Mesa</t>
  </si>
  <si>
    <t>Veintiuno De Mayo 1099, Casa 207</t>
  </si>
  <si>
    <t>#121001</t>
  </si>
  <si>
    <t>NOMBRE RETIRA: SOFIA DIAZ . RUT RETIRA: 22525321-8</t>
  </si>
  <si>
    <t>Patricio Soto Araya</t>
  </si>
  <si>
    <t>Playa brava 1848, Iquique, Oficina ECI</t>
  </si>
  <si>
    <t>#121148</t>
  </si>
  <si>
    <t>NOMBRE RETIRA: ALEX ROJA M RUT RETIRA: 20953704-4</t>
  </si>
  <si>
    <t>Claudio Araya Miranda</t>
  </si>
  <si>
    <t>San Antonio 1750, C3211 Vista 21</t>
  </si>
  <si>
    <t>#121300</t>
  </si>
  <si>
    <t>NOMBRE RETIRA: BARBARITA IBA . RUT RETIRA: 28136736-6</t>
  </si>
  <si>
    <t>Álvaro Nuñez</t>
  </si>
  <si>
    <t>Av Padre Hurtado 2369, Depto 2901, torre Norte condominio oceanica</t>
  </si>
  <si>
    <t>#121080</t>
  </si>
  <si>
    <t>NOMBRE RETIRA: LLEYMI ROJAS . RUT RETIRA: 15007027-9</t>
  </si>
  <si>
    <t>Entre Cancha Rayada Y La ConcepciÓn, Buena Esperanza 871</t>
  </si>
  <si>
    <t>#121239</t>
  </si>
  <si>
    <t>NOMBRE RETIRA: ANALIA URRA X RUT RETIRA: 16512612-2</t>
  </si>
  <si>
    <t>Sergio Naour</t>
  </si>
  <si>
    <t>Pedro montt, 365</t>
  </si>
  <si>
    <t>#121193</t>
  </si>
  <si>
    <t>NOMBRE RETIRA: CRISTIAN CAMPO CAMPO RUT RETIRA: 14308086-2</t>
  </si>
  <si>
    <t>Cristian Campo</t>
  </si>
  <si>
    <t>Avenida Pedro Aguirre Cerda 8539, 8539</t>
  </si>
  <si>
    <t>#121035</t>
  </si>
  <si>
    <t>NOMBRE RETIRA: FREDY CARICHE C RUT RETIRA: 26565895-4</t>
  </si>
  <si>
    <t>Freddy ceriche</t>
  </si>
  <si>
    <t>Av.wheelwright #1251, Copiapo, Atacama, Casa ,entre calle vicuña y av.henriquez.</t>
  </si>
  <si>
    <t>#121002</t>
  </si>
  <si>
    <t>NOMBRE RETIRA: SIDNY ALEJANDRO S RUT RETIRA: 5154910-4</t>
  </si>
  <si>
    <t>Sidney Alejandro Salinas Maldonado</t>
  </si>
  <si>
    <t>Pasaje Esmerildo Guzmán Tapia 1064, 10777542-0</t>
  </si>
  <si>
    <t>#121343</t>
  </si>
  <si>
    <t>NOMBRE RETIRA: . . . RUT RETIRA: 11111111-1</t>
  </si>
  <si>
    <t>Guruprakash Cornejo Silva</t>
  </si>
  <si>
    <t>La Casa Del RincÓn, Bernardo Vera 1020</t>
  </si>
  <si>
    <t>#121338</t>
  </si>
  <si>
    <t>NOMBRE RETIRA: EDITH VALLADARES .. RUT RETIRA: 6300015-9</t>
  </si>
  <si>
    <t>Johnny Enrique Bravo Valladares</t>
  </si>
  <si>
    <t>Clodomiro Rozas 771</t>
  </si>
  <si>
    <t>#121273</t>
  </si>
  <si>
    <t>NOMBRE RETIRA: ANDREA CAMPP D RUT RETIRA: 14615301-1</t>
  </si>
  <si>
    <t>Ivan Derout Torres</t>
  </si>
  <si>
    <t>#121224</t>
  </si>
  <si>
    <t>NOMBRE RETIRA: VALENTINA ECHEVARI E RUT RETIRA: 25415991-3</t>
  </si>
  <si>
    <t>Guillermo Miranda</t>
  </si>
  <si>
    <t>Nicolas tirado 128, Casa 4</t>
  </si>
  <si>
    <t>#121108</t>
  </si>
  <si>
    <t>NOMBRE RETIRA: CARLOS MEZA . RUT RETIRA: 17262864-8</t>
  </si>
  <si>
    <t>Carlos Meza</t>
  </si>
  <si>
    <t>Casa, Pasaje Aida Hidalgo 581</t>
  </si>
  <si>
    <t>#121283</t>
  </si>
  <si>
    <t>Pencahue Plaza, Ruta H-76, 690</t>
  </si>
  <si>
    <t>#121314</t>
  </si>
  <si>
    <t>NOMBRE RETIRA: MARISEL ESCOBAR . RUT RETIRA: 12439831-2</t>
  </si>
  <si>
    <t>Carlos Slomp Burger</t>
  </si>
  <si>
    <t>Avenida El Santo 3705, Scuola Italiana</t>
  </si>
  <si>
    <t>#121247</t>
  </si>
  <si>
    <t>NOMBRE RETIRA: MIGUEL GOMEZ .. RUT RETIRA: 24740866-5</t>
  </si>
  <si>
    <t>Eduardo Lorca Antofagasta</t>
  </si>
  <si>
    <t>Manuel antonio matta 2347, Local comercial</t>
  </si>
  <si>
    <t>#121267</t>
  </si>
  <si>
    <t>NOMBRE RETIRA: FRANCISCO FLOREA . RUT RETIRA: 12574809-0</t>
  </si>
  <si>
    <t>Avenida Central Sur 2053 Villa Ayquina, Avenida Central Sur 2053</t>
  </si>
  <si>
    <t>#121022</t>
  </si>
  <si>
    <t>NOMBRE RETIRA: ALICIA AGUILAR . RUT RETIRA: 15014492-2</t>
  </si>
  <si>
    <t>Ramon Enrique Olivares Araya</t>
  </si>
  <si>
    <t>Tadeo Haenke 2221, B54</t>
  </si>
  <si>
    <t>#121282</t>
  </si>
  <si>
    <t>NOMBRE RETIRA: JON RIQUWKMW ROQUK RUT RETIRA: 13263912-4</t>
  </si>
  <si>
    <t>John Patricio Riquelme</t>
  </si>
  <si>
    <t>Pasaje Esperanza 2975 villa El Chañar, Por av Diego ee almagro antes de los Carreras</t>
  </si>
  <si>
    <t>#121042</t>
  </si>
  <si>
    <t>NOMBRE RETIRA: FIDELALFIA ALQUINTA A RUT RETIRA: 6269915-9</t>
  </si>
  <si>
    <t>claudio ALQUINTA</t>
  </si>
  <si>
    <t>PIEDRAS GRANDES 1925</t>
  </si>
  <si>
    <t>#121100</t>
  </si>
  <si>
    <t>NOMBRE RETIRA: ALEXIS ARANCIBIA . RUT RETIRA: 17249481-1</t>
  </si>
  <si>
    <t>ALEXIS Arancibia López</t>
  </si>
  <si>
    <t>Pasaje las brisas, Casa n7</t>
  </si>
  <si>
    <t>#121071</t>
  </si>
  <si>
    <t>NOMBRE RETIRA: GEORCIUS KALERGIS .. RUT RETIRA: 15288945-3</t>
  </si>
  <si>
    <t>Georgius Kalergis</t>
  </si>
  <si>
    <t>Juan Williams 40</t>
  </si>
  <si>
    <t>#121097</t>
  </si>
  <si>
    <t>NOMBRE RETIRA: MONICA VILLEGAS S RUT RETIRA: 11819973-1</t>
  </si>
  <si>
    <t>#121246</t>
  </si>
  <si>
    <t>NOMBRE RETIRA: HERNAN BAEZ . RUT RETIRA: 9295577-K</t>
  </si>
  <si>
    <t>El Solar De Cerro Grande, Pasaje Pacarina 1706</t>
  </si>
  <si>
    <t>#121235</t>
  </si>
  <si>
    <t>NOMBRE RETIRA: MARCELO URIBE RUIZ RUT RETIRA: 12345432-4</t>
  </si>
  <si>
    <t>Marcelo Uribe, Ruiz</t>
  </si>
  <si>
    <t>Almirante Latorre # 705</t>
  </si>
  <si>
    <t>#121307</t>
  </si>
  <si>
    <t>NOMBRE RETIRA: RENE GUERRERO .. RUT RETIRA: 15206622-8</t>
  </si>
  <si>
    <t>Rene Guerrero Valdebenito</t>
  </si>
  <si>
    <t>Ruta Q501, Km3, Camino San Antonio, Pasaje El Carmen, casa 9</t>
  </si>
  <si>
    <t>#121044</t>
  </si>
  <si>
    <t>NOMBRE RETIRA: ERNESTO CORONADO X RUT RETIRA: 11969704-2</t>
  </si>
  <si>
    <t>Rodrigo Abarzua</t>
  </si>
  <si>
    <t>Villarrica / km 3 villarrica a freire - lomas de villarrica, Parcela 6</t>
  </si>
  <si>
    <t>#121277</t>
  </si>
  <si>
    <t>NOMBRE RETIRA: RODRIGO VEGAS A RUT RETIRA: 13632686-4</t>
  </si>
  <si>
    <t>Paqui 536, Casa</t>
  </si>
  <si>
    <t>#121081</t>
  </si>
  <si>
    <t>NOMBRE RETIRA: MANUEL RIVEROA X RUT RETIRA: 19967162-6</t>
  </si>
  <si>
    <t>Manuel Riveros Rojas</t>
  </si>
  <si>
    <t>Abracita 433, Apartamento 1706</t>
  </si>
  <si>
    <t>#121014</t>
  </si>
  <si>
    <t>NOMBRE RETIRA: FELIX SANA . RUT RETIRA: 6279491-7</t>
  </si>
  <si>
    <t>Sebastian Sana varas</t>
  </si>
  <si>
    <t>Casa, Soldado Eleodoro GutiÉrrez # 4163</t>
  </si>
  <si>
    <t>#121106</t>
  </si>
  <si>
    <t>NOMBRE RETIRA: IGOR LOBOS . RUT RETIRA: 17736384-7</t>
  </si>
  <si>
    <t>Igor Lobos Martínez</t>
  </si>
  <si>
    <t>Santa Mercedes 776</t>
  </si>
  <si>
    <t>#121023</t>
  </si>
  <si>
    <t>NOMBRE RETIRA: ORLANSO JIFRE P RUT RETIRA: 13251609-K</t>
  </si>
  <si>
    <t>ELIANA DIAZ</t>
  </si>
  <si>
    <t>Villarino 547 Playa Ancha, Valparaiso</t>
  </si>
  <si>
    <t>#121072</t>
  </si>
  <si>
    <t>NOMBRE RETIRA: CRSTIAN URRUTIA . RUT RETIRA: 18686873-0</t>
  </si>
  <si>
    <t>Caupolican 235, 235</t>
  </si>
  <si>
    <t>#121052</t>
  </si>
  <si>
    <t>NOMBRE RETIRA: JOSE LEIBA L RUT RETIRA: 12345678-5</t>
  </si>
  <si>
    <t>José Leiva Gajardo</t>
  </si>
  <si>
    <t>Emile sironvalle 715, Depto 102A, Torre A</t>
  </si>
  <si>
    <t>#121050</t>
  </si>
  <si>
    <t>NOMBRE RETIRA: CARLOS . . RUT RETIRA: 10873160-5</t>
  </si>
  <si>
    <t>Avenida pedro aguirres cerda 9566</t>
  </si>
  <si>
    <t>#121119</t>
  </si>
  <si>
    <t>NOMBRE RETIRA: ROBERTO GONZALES A RUT RETIRA: 10570081-4</t>
  </si>
  <si>
    <t>Roberto González Ramírez</t>
  </si>
  <si>
    <t>Pasaje la serena 659 peuco tres, Casa</t>
  </si>
  <si>
    <t>#121295</t>
  </si>
  <si>
    <t>NOMBRE RETIRA: HECTOR MILLA A RUT RETIRA: 16564920-6</t>
  </si>
  <si>
    <t>Héctor Milla</t>
  </si>
  <si>
    <t>La Añañuca 626 villa las leyendas, Sector peuco 3</t>
  </si>
  <si>
    <t>#121083</t>
  </si>
  <si>
    <t>NOMBRE RETIRA: MAURICIO BUSTOS . RUT RETIRA: 17736384-7</t>
  </si>
  <si>
    <t>Mauricio Bustos Rojo</t>
  </si>
  <si>
    <t>Cerro paranal 210, Depto 122 trancura</t>
  </si>
  <si>
    <t>#121209</t>
  </si>
  <si>
    <t>NOMBRE RETIRA: CRISTIAN HERRERA D D RUT RETIRA: 18102531-K</t>
  </si>
  <si>
    <t>CHRISTIAN GUILLERMO HERRERA HERRERA SALAZAR</t>
  </si>
  <si>
    <t>Calle Manuel RodrÍguez 386</t>
  </si>
  <si>
    <t>#121115</t>
  </si>
  <si>
    <t>NOMBRE RETIRA: EDGAR CORDERO A RUT RETIRA: 33575346-1</t>
  </si>
  <si>
    <t>Pasaje nuñez 214, Casa C7</t>
  </si>
  <si>
    <t>#121305</t>
  </si>
  <si>
    <t>NOMBRE RETIRA: DAVID SALAZAR . RUT RETIRA: 15019105-K</t>
  </si>
  <si>
    <t>David Salazar Jara</t>
  </si>
  <si>
    <t>Pasaje Chacra Vieja 3825, Casa</t>
  </si>
  <si>
    <t>#121153</t>
  </si>
  <si>
    <t>NOMBRE RETIRA: MARCO CHONONO . RUT RETIRA: 26761020-7</t>
  </si>
  <si>
    <t>Victor Manuel Ocayo Barrios</t>
  </si>
  <si>
    <t>Paipote 1038</t>
  </si>
  <si>
    <t>#121269</t>
  </si>
  <si>
    <t>NOMBRE RETIRA: KATY . . RUT RETIRA: 14062928-6</t>
  </si>
  <si>
    <t>José Luis Villarroel Rozas</t>
  </si>
  <si>
    <t>Avenida EDMUNDO PEREZ ZUJOVIC 10880, Depto 1202 -C</t>
  </si>
  <si>
    <t>#121317</t>
  </si>
  <si>
    <t>NOMBRE RETIRA: JORGE . . RUT RETIRA: 21463496-1</t>
  </si>
  <si>
    <t>Jorge Lawrence</t>
  </si>
  <si>
    <t>Avenida Las Palmeras 20, Casa 51</t>
  </si>
  <si>
    <t>#121067</t>
  </si>
  <si>
    <t>NOMBRE RETIRA: NELSON MORALES X RUT RETIRA: 19967162-6</t>
  </si>
  <si>
    <t>Nelson Eric Morales Ortega</t>
  </si>
  <si>
    <t>Calle Oficina San Gregorio 159, Antofagasta, Chile, 72</t>
  </si>
  <si>
    <t>#121010</t>
  </si>
  <si>
    <t>NOMBRE RETIRA: CARLOS LEON A RUT RETIRA: 15632468-K</t>
  </si>
  <si>
    <t>Circunvalación norte 888</t>
  </si>
  <si>
    <t>#121271</t>
  </si>
  <si>
    <t>NOMBRE RETIRA: AGUATINA MINIZ . RUT RETIRA: 5829445-4</t>
  </si>
  <si>
    <t>Mauricio Enrique Maldonado Muñoz</t>
  </si>
  <si>
    <t>Miraflores 2796</t>
  </si>
  <si>
    <t>#121249</t>
  </si>
  <si>
    <t>NOMBRE RETIRA: LUIS NARANJO NARANJO RUT RETIRA: 12345678-5</t>
  </si>
  <si>
    <t>Naranjo G. H. Luis</t>
  </si>
  <si>
    <t>Av. Covadonga 313, Casa</t>
  </si>
  <si>
    <t>#121051</t>
  </si>
  <si>
    <t>NOMBRE RETIRA: EMILIO GALLARDO Q RUT RETIRA: 10108047-1</t>
  </si>
  <si>
    <t>Rodrigo Zepeda</t>
  </si>
  <si>
    <t>Condominio Parques De Bilbao Casa 25, Casa 25</t>
  </si>
  <si>
    <t>#121177</t>
  </si>
  <si>
    <t>NOMBRE RETIRA: JAOME ORTEGA . RUT RETIRA: 13614917-2</t>
  </si>
  <si>
    <t>Jaime Andres. Ortega Quiroz</t>
  </si>
  <si>
    <t>Balmaceda #340 Parral., 340</t>
  </si>
  <si>
    <t>#121026</t>
  </si>
  <si>
    <t>NOMBRE RETIRA: VICTOR ALFARO ALFARO RUT RETIRA: 20093697-3</t>
  </si>
  <si>
    <t>DAVID Alfaro Guajardo</t>
  </si>
  <si>
    <t>Hamburgo 2860</t>
  </si>
  <si>
    <t>#121319</t>
  </si>
  <si>
    <t>NOMBRE RETIRA: JONATHAN PIZARRO . RUT RETIRA: 18183997-K</t>
  </si>
  <si>
    <t>Javier Lecaros</t>
  </si>
  <si>
    <t>San martin 3695 pobl ohiggins, Casa</t>
  </si>
  <si>
    <t>#121162</t>
  </si>
  <si>
    <t>NOMBRE RETIRA: CARLA GALLEGOS . RUT RETIRA: 18874396-K</t>
  </si>
  <si>
    <t>Juan Carlos Gallegos Erices</t>
  </si>
  <si>
    <t>Alberto Larraguibel Morales, 045</t>
  </si>
  <si>
    <t>#121156</t>
  </si>
  <si>
    <t>NOMBRE RETIRA: OMAR LAREJA . RUT RETIRA: 22447105-K</t>
  </si>
  <si>
    <t>Omar Pareja sabogal</t>
  </si>
  <si>
    <t>14 de febrero 2936, Casa</t>
  </si>
  <si>
    <t>#121330</t>
  </si>
  <si>
    <t>NOMBRE RETIRA: IVAN ALLENDE . RUT RETIRA: 15740885-2</t>
  </si>
  <si>
    <t>Alex Marcelo Ponce Villalobos Ponce Villalobos</t>
  </si>
  <si>
    <t>Avenida Granaderos 2406, Juzgado de Garantia Calama</t>
  </si>
  <si>
    <t>#121281</t>
  </si>
  <si>
    <t>NOMBRE RETIRA: LUIS FIGUEROA . RUT RETIRA: 6122489-0</t>
  </si>
  <si>
    <t>Marcelo Soto Perez</t>
  </si>
  <si>
    <t>Aulen 54</t>
  </si>
  <si>
    <t>#121117</t>
  </si>
  <si>
    <t>NOMBRE RETIRA: JONY CERDA CERDA RUT RETIRA: 22200278-8</t>
  </si>
  <si>
    <t>Johnny Cerda carrasco</t>
  </si>
  <si>
    <t>Av Rafael sotomayor 882, Casa</t>
  </si>
  <si>
    <t>#121183</t>
  </si>
  <si>
    <t>NOMBRE RETIRA: RODRIGA CHANDIA U RUT RETIRA: 9934313-3</t>
  </si>
  <si>
    <t>Rodrigo Chandia</t>
  </si>
  <si>
    <t>Pasaje Newen 100</t>
  </si>
  <si>
    <t>#121045</t>
  </si>
  <si>
    <t>NOMBRE RETIRA: JONATHAN BLAMEY . RUT RETIRA: 13634197-9</t>
  </si>
  <si>
    <t>Jonnhatan Blamey</t>
  </si>
  <si>
    <t>Calle Antuco 36, Calle Antuco 36</t>
  </si>
  <si>
    <t>#121102</t>
  </si>
  <si>
    <t>NOMBRE RETIRA: MARIO ECHEVERRIA A RUT RETIRA: 14323772-9</t>
  </si>
  <si>
    <t>Mario Echeverria Figuerola</t>
  </si>
  <si>
    <t>Chile Italia 7, CopiapÓ, Chile, Casa</t>
  </si>
  <si>
    <t>#121191</t>
  </si>
  <si>
    <t>NOMBRE RETIRA: MAURICIO NUNEZ. . RUT RETIRA: 17575914-K</t>
  </si>
  <si>
    <t>Mauricio Nunez</t>
  </si>
  <si>
    <t>Laderas psje 19, 512</t>
  </si>
  <si>
    <t>#121234</t>
  </si>
  <si>
    <t>NOMBRE RETIRA: CLAUDIO CHACANA . RUT RETIRA: 12345678-5</t>
  </si>
  <si>
    <t>Claudio Chacana</t>
  </si>
  <si>
    <t>El Puangue 3088</t>
  </si>
  <si>
    <t>#121017</t>
  </si>
  <si>
    <t>NOMBRE RETIRA: WALTWR VENET PORTERO RUT RETIRA: 8923506-5</t>
  </si>
  <si>
    <t>Aladino Martinez</t>
  </si>
  <si>
    <t>Av. Kennedy Servicio, Rancagua, Chile, Torre A depto 802</t>
  </si>
  <si>
    <t>#121332</t>
  </si>
  <si>
    <t>NOMBRE RETIRA: FABRICIO PINO PINO RUT RETIRA: 22602706-8</t>
  </si>
  <si>
    <t>Marco Pino Lagno</t>
  </si>
  <si>
    <t>Rafael Torre Blanca 124</t>
  </si>
  <si>
    <t>#121331</t>
  </si>
  <si>
    <t>NOMBRE RETIRA: CRISTIAN QUINTANA . . RUT RETIRA: 12557946-9</t>
  </si>
  <si>
    <t>Christian Quintana Rioseco</t>
  </si>
  <si>
    <t>Carlos de la maza 552</t>
  </si>
  <si>
    <t>#121113</t>
  </si>
  <si>
    <t>NOMBRE RETIRA: RICARDO LEIVA LEIVA RUT RETIRA: 10675086-6</t>
  </si>
  <si>
    <t>Ricardo Wladimir Leiva Ortega</t>
  </si>
  <si>
    <t>Camino vecinal 4, Sarmiento, 4ta casa</t>
  </si>
  <si>
    <t>#121055</t>
  </si>
  <si>
    <t>NOMBRE RETIRA: KATALINA ESPINOZA M RUT RETIRA: 21462057-K</t>
  </si>
  <si>
    <t>Avenida las lomas 301</t>
  </si>
  <si>
    <t>#121150</t>
  </si>
  <si>
    <t>NOMBRE RETIRA: MARIA PINOL . RUT RETIRA: 17763114-0</t>
  </si>
  <si>
    <t>Marcelo Salas</t>
  </si>
  <si>
    <t>Chacarillas 1899, alto osorno, Casa del fondo</t>
  </si>
  <si>
    <t>#121158</t>
  </si>
  <si>
    <t>NOMBRE RETIRA: BERNARDO TAPIA X RUT RETIRA: 12345678-5</t>
  </si>
  <si>
    <t>Bernardo Tapia</t>
  </si>
  <si>
    <t>Adelaida 513, Casa</t>
  </si>
  <si>
    <t>#121126</t>
  </si>
  <si>
    <t>NOMBRE RETIRA: MARY SALAZAR .. RUT RETIRA: 76868327-1</t>
  </si>
  <si>
    <t>Av valparaiso #1732</t>
  </si>
  <si>
    <t>#121007</t>
  </si>
  <si>
    <t>NOMBRE RETIRA: BLANCA ROMERO MOLLENAUER RUT RETIRA: 24134390-1</t>
  </si>
  <si>
    <t>#121226</t>
  </si>
  <si>
    <t>NOMBRE RETIRA: RUT OPORTO VV RUT RETIRA: 9286988-1</t>
  </si>
  <si>
    <t>Alejandro Oporto Riveras</t>
  </si>
  <si>
    <t>Tegualda 1428 polvorin Lota, Casa</t>
  </si>
  <si>
    <t>#121285</t>
  </si>
  <si>
    <t>NOMBRE RETIRA: ALEXIS ROJAS . RUT RETIRA: 10979287-K</t>
  </si>
  <si>
    <t>Matilde 691, Casa</t>
  </si>
  <si>
    <t>#121018</t>
  </si>
  <si>
    <t>NOMBRE RETIRA: LUIS PALMA -- RUT RETIRA: 53323816-5</t>
  </si>
  <si>
    <t>Luis Palma Chilla</t>
  </si>
  <si>
    <t>Avda Guillermo Ulriksen 1700, A34</t>
  </si>
  <si>
    <t>#121009</t>
  </si>
  <si>
    <t>NOMBRE RETIRA: CRISTIAN CHACON 0 RUT RETIRA: 13255518-4</t>
  </si>
  <si>
    <t>Cristian Agustin Chacon valenzuela</t>
  </si>
  <si>
    <t>34 Oriente 2984 valles del country, Talca</t>
  </si>
  <si>
    <t>#121142</t>
  </si>
  <si>
    <t>NOMBRE RETIRA: DAVID ALEJANDRO . RUT RETIRA: 65130888-7</t>
  </si>
  <si>
    <t>David Alejandro Vidal Leppe</t>
  </si>
  <si>
    <t>Pasaje 9 sur 30 y 31 ote casa 3067, Poblacion Carlos Trupp</t>
  </si>
  <si>
    <t>#121232</t>
  </si>
  <si>
    <t>NOMBRE RETIRA: ARMANDO SANCHEZ J RUT RETIRA: 16878570-4</t>
  </si>
  <si>
    <t>Andrés BARRAZA</t>
  </si>
  <si>
    <t>Juan Antonio Rios 404, Departamento 1012</t>
  </si>
  <si>
    <t>#121178</t>
  </si>
  <si>
    <t>NOMBRE RETIRA: JOSE FRANCISCO ORELL . RUT RETIRA: 53322584-5</t>
  </si>
  <si>
    <t>JOSE FRANCISCO ORELLANA IBAÑEZ</t>
  </si>
  <si>
    <t>Esmeralda 1920, Casa 2</t>
  </si>
  <si>
    <t>#121114</t>
  </si>
  <si>
    <t>NOMBRE RETIRA: ANA COLIPAN . RUT RETIRA: 6740655-9</t>
  </si>
  <si>
    <t>Rodrigo Cárcamo</t>
  </si>
  <si>
    <t>Simon Bolívar 1045, villa zapadores, Casa</t>
  </si>
  <si>
    <t>#121109</t>
  </si>
  <si>
    <t>NOMBRE RETIRA: CARLA HERRERA HIDALGO RUT RETIRA: 12802642-8</t>
  </si>
  <si>
    <t>Nevado de Incahuasi 2819, Villa Los Alamos</t>
  </si>
  <si>
    <t>#121238</t>
  </si>
  <si>
    <t>NOMBRE RETIRA: ROSA SAGREDO . RUT RETIRA: 10044507-7</t>
  </si>
  <si>
    <t>Leonel Romo</t>
  </si>
  <si>
    <t>Pasaje olivares 160 horcon, Casa 160</t>
  </si>
  <si>
    <t>#121212</t>
  </si>
  <si>
    <t>NOMBRE RETIRA: HECTOR N N RUT RETIRA: 53323443-7</t>
  </si>
  <si>
    <t>Los treboles 210, Casa 59</t>
  </si>
  <si>
    <t>#121078</t>
  </si>
  <si>
    <t>NOMBRE RETIRA: ALEJANDRO AVILA . RUT RETIRA: 14049113-6</t>
  </si>
  <si>
    <t>Alejandro Avila Catalan</t>
  </si>
  <si>
    <t>Pasaje Las Verbenas 1713, Casa</t>
  </si>
  <si>
    <t>#121279</t>
  </si>
  <si>
    <t>NOMBRE RETIRA: CATALIMA . . RUT RETIRA: 7168247-1</t>
  </si>
  <si>
    <t>Mauricio Herrera</t>
  </si>
  <si>
    <t>Covarrubias 289</t>
  </si>
  <si>
    <t>#121041</t>
  </si>
  <si>
    <t>NOMBRE RETIRA: KATALINA . . RUT RETIRA: 7168247-1</t>
  </si>
  <si>
    <t>#121085</t>
  </si>
  <si>
    <t>NOMBRE RETIRA: JOAQUIN MORALEA . RUT RETIRA: 12345678-5</t>
  </si>
  <si>
    <t>Cristobal Antonio Muñoz Valdivia</t>
  </si>
  <si>
    <t>Volcan Tupungato 2872 quilpue, Los pinos</t>
  </si>
  <si>
    <t>#121088</t>
  </si>
  <si>
    <t>NOMBRE RETIRA: JESICA ORTIZ . RUT RETIRA: 14401037-K</t>
  </si>
  <si>
    <t>Adrian Milla</t>
  </si>
  <si>
    <t>De Los Estanques, Esquina Vicente Benito Sindempart Coquimbo</t>
  </si>
  <si>
    <t>#121093</t>
  </si>
  <si>
    <t>NOMBRE RETIRA: CRISTIAN RAMIREZ R RUT RETIRA: 11922917-0</t>
  </si>
  <si>
    <t>Pablo Mauricio Momberg Roige</t>
  </si>
  <si>
    <t>Avda Juan Mackenna 1004, Depto</t>
  </si>
  <si>
    <t>#121049</t>
  </si>
  <si>
    <t>NOMBRE RETIRA: NATALIA NAVARRO K RUT RETIRA: 12345678-5</t>
  </si>
  <si>
    <t>Manuel Escudero</t>
  </si>
  <si>
    <t>Río Grande #576</t>
  </si>
  <si>
    <t>#121059</t>
  </si>
  <si>
    <t>NOMBRE RETIRA: RAFAEL LEON A RUT RETIRA: 10882436-0</t>
  </si>
  <si>
    <t>Aldo Valdebenito Rojas</t>
  </si>
  <si>
    <t>Quilpue, Covadonga 1676</t>
  </si>
  <si>
    <t>#121227</t>
  </si>
  <si>
    <t>NOMBRE RETIRA: ALFONSO RIQUELME . RUT RETIRA: 11534586-9</t>
  </si>
  <si>
    <t>Bella luna 418 Villa Dulce Norte, Casa</t>
  </si>
  <si>
    <t>#121075</t>
  </si>
  <si>
    <t>NOMBRE RETIRA: MAURICIO . . RUT RETIRA: 53330390-0</t>
  </si>
  <si>
    <t>Mauricio Caceres Godoy</t>
  </si>
  <si>
    <t>Calle La Conquista 668</t>
  </si>
  <si>
    <t>#121280</t>
  </si>
  <si>
    <t>NOMBRE RETIRA: LUIS ORDENES .. RUT RETIRA: 13534690-K</t>
  </si>
  <si>
    <t>Luis Ordenes arellano</t>
  </si>
  <si>
    <t>Ana owens miranda 1749, parque ingles, Casa</t>
  </si>
  <si>
    <t>#121105</t>
  </si>
  <si>
    <t>Mauricio Andreani</t>
  </si>
  <si>
    <t>Salvador Vergara 264, Dpto 303</t>
  </si>
  <si>
    <t>#121004</t>
  </si>
  <si>
    <t>NOMBRE RETIRA: JESSICA GODOY . RUT RETIRA: 12850853-8</t>
  </si>
  <si>
    <t>Alejandro Roldan rivera</t>
  </si>
  <si>
    <t>ErrÁzuriz 755, Oficina 708, Oficina</t>
  </si>
  <si>
    <t>#121127</t>
  </si>
  <si>
    <t>NOMBRE RETIRA: FRANCISCO GABRIEL . RUT RETIRA: 7647347-1</t>
  </si>
  <si>
    <t>Francisco Gabriel Fernández Basáez</t>
  </si>
  <si>
    <t>Calle Illalolén #166, Villa O’Higgins, La Ligua, Casa</t>
  </si>
  <si>
    <t>#121168</t>
  </si>
  <si>
    <t>NOMBRE RETIRA: EMILIO ALVAREZ ALVAREZ RUT RETIRA: 18709574-3</t>
  </si>
  <si>
    <t>Emilio Alvarez</t>
  </si>
  <si>
    <t>Copiapo, Andacollo 1991</t>
  </si>
  <si>
    <t>#121219</t>
  </si>
  <si>
    <t>NOMBRE RETIRA: FERNANDO ALFARO . RUT RETIRA: 14371544-2</t>
  </si>
  <si>
    <t>Fernando Alfaro</t>
  </si>
  <si>
    <t>Pueblo Las Rojas, Eduardo Abott 27</t>
  </si>
  <si>
    <t>#121121</t>
  </si>
  <si>
    <t>NOMBRE RETIRA: MARIA MOLINA . RUT RETIRA: 13618917-4</t>
  </si>
  <si>
    <t>Eduardo Iturra</t>
  </si>
  <si>
    <t>Camino Club Militar 100</t>
  </si>
  <si>
    <t>#121306</t>
  </si>
  <si>
    <t>NOMBRE RETIRA: TANIA MAZURCKA . RUT RETIRA: 12345678-5</t>
  </si>
  <si>
    <t>Carlos Torres Corro</t>
  </si>
  <si>
    <t>Diego Portales 90, Campus Recreo Universidad Viña del Mar</t>
  </si>
  <si>
    <t>#121147</t>
  </si>
  <si>
    <t>NOMBRE RETIRA: JOSE MORA . RUT RETIRA: 15807931-3</t>
  </si>
  <si>
    <t>Jose Alejandro Mora</t>
  </si>
  <si>
    <t>44 1/2 oriente #3557, Talca, Casa</t>
  </si>
  <si>
    <t>#121333</t>
  </si>
  <si>
    <t>NOMBRE RETIRA: ALEJANDRO MUNOZ . RUT RETIRA: 14061972-8</t>
  </si>
  <si>
    <t>Tucapel 50, D402</t>
  </si>
  <si>
    <t>#121169</t>
  </si>
  <si>
    <t>NOMBRE RETIRA: RODRIGO OYARZUN . RUT RETIRA: 25083798-4</t>
  </si>
  <si>
    <t>Condominio Doña Antonia, Parcela 24</t>
  </si>
  <si>
    <t>#121187</t>
  </si>
  <si>
    <t>NOMBRE RETIRA: NICOLAS NIVAS . RUT RETIRA: 53321450-9</t>
  </si>
  <si>
    <t>Alexy BASTIAS Vargas</t>
  </si>
  <si>
    <t>Rehue 650 Departamento 601, Torre Araucaria</t>
  </si>
  <si>
    <t>#121005</t>
  </si>
  <si>
    <t>NOMBRE RETIRA: JAIME SILVA . RUT RETIRA: 12533484-9</t>
  </si>
  <si>
    <t>Puyehue 01810</t>
  </si>
  <si>
    <t>#121040</t>
  </si>
  <si>
    <t>NOMBRE RETIRA: JESSICA CORTES .. RUT RETIRA: 15042193-4</t>
  </si>
  <si>
    <t>Alberto Blest gana 1736</t>
  </si>
  <si>
    <t>#121259</t>
  </si>
  <si>
    <t>NOMBRE RETIRA: JORGE CASTRO A RUT RETIRA: 53306580-5</t>
  </si>
  <si>
    <t>Fabián flores</t>
  </si>
  <si>
    <t>Avenida Laguna Grande 1250, 33</t>
  </si>
  <si>
    <t>#121159</t>
  </si>
  <si>
    <t>NOMBRE RETIRA: CARLOS QUWZADA . RUT RETIRA: 18805117-0</t>
  </si>
  <si>
    <t>Marsella 2441, Casa</t>
  </si>
  <si>
    <t>#121068</t>
  </si>
  <si>
    <t>NOMBRE RETIRA: DEBORA GONZALEZ . RUT RETIRA: 19084741-1</t>
  </si>
  <si>
    <t>Fernando Briones Muñoz</t>
  </si>
  <si>
    <t>Le Mans 1629, Casa</t>
  </si>
  <si>
    <t>#121302</t>
  </si>
  <si>
    <t>NOMBRE RETIRA: FERNADO VALENCIA P RUT RETIRA: 13251609-K</t>
  </si>
  <si>
    <t>Fernando Valencia</t>
  </si>
  <si>
    <t>Levarte 1266 Block 9, dpto. E, Cerro Playa Ancha, Valaparaiso</t>
  </si>
  <si>
    <t>#121325</t>
  </si>
  <si>
    <t>NOMBRE RETIRA: PAMELA YUBANO . RUT RETIRA: 13123662-K</t>
  </si>
  <si>
    <t>Pamela Yubano</t>
  </si>
  <si>
    <t>Avenida Botrolhue 1204</t>
  </si>
  <si>
    <t>#121324</t>
  </si>
  <si>
    <t>Irene Morales Galaz  # 2215, Casa</t>
  </si>
  <si>
    <t>#121207</t>
  </si>
  <si>
    <t>NOMBRE RETIRA: ALEXIS GALLARDO P RUT RETIRA: 19159159-3</t>
  </si>
  <si>
    <t>Alexis Gallardo</t>
  </si>
  <si>
    <t>Cibeles 101, Villa plaza santa maria</t>
  </si>
  <si>
    <t>#121335</t>
  </si>
  <si>
    <t>Alex Sanchez</t>
  </si>
  <si>
    <t>Prat 575  concepcion</t>
  </si>
  <si>
    <t>#121048</t>
  </si>
  <si>
    <t>NOMBRE RETIRA: GERARDO COFRE A RUT RETIRA: 20137133-3</t>
  </si>
  <si>
    <t>Gerardo Cofre Videla</t>
  </si>
  <si>
    <t>Marinero Ugarte 903, santa Elena</t>
  </si>
  <si>
    <t>#121116</t>
  </si>
  <si>
    <t>NOMBRE RETIRA: FERNANDO SCHOLZ -- RUT RETIRA: 12345678-5</t>
  </si>
  <si>
    <t>FERNANDO SCHOLZ</t>
  </si>
  <si>
    <t>Benito Rebolledo Correa 2476, Departamento 416, torre 3</t>
  </si>
  <si>
    <t>#121255</t>
  </si>
  <si>
    <t>NOMBRE RETIRA: GABRIEL HUENXOAO . RUT RETIRA: 17971129-K</t>
  </si>
  <si>
    <t>Pedro Herrera Balharry 1051, San felipe, Dpto 501 A</t>
  </si>
  <si>
    <t>#121292</t>
  </si>
  <si>
    <t>NOMBRE RETIRA: CREILI ALBORNOZ . RUT RETIRA: 26697380-2</t>
  </si>
  <si>
    <t>6 Oriente 880</t>
  </si>
  <si>
    <t>#121311</t>
  </si>
  <si>
    <t>NOMBRE RETIRA: LUZ BERNALES B RUT RETIRA: 56049520-K</t>
  </si>
  <si>
    <t>Pedro Walker Escobar</t>
  </si>
  <si>
    <t>Laurencia 420 Jardin del Mar, 1302</t>
  </si>
  <si>
    <t>#121070</t>
  </si>
  <si>
    <t>NOMBRE RETIRA: MANUEL URIARTE . RUT RETIRA: 18805117-0</t>
  </si>
  <si>
    <t>Manuel Uriarte</t>
  </si>
  <si>
    <t>Los Cristales 311, Villa tres vientos</t>
  </si>
  <si>
    <t>#121021</t>
  </si>
  <si>
    <t>NOMBRE RETIRA: ANDRES BETANCOURT CONSERJE RUT RETIRA: 53314556-6</t>
  </si>
  <si>
    <t>Miguel Acevedo</t>
  </si>
  <si>
    <t>Rio de la laguna 1353, B210</t>
  </si>
  <si>
    <t>#121141</t>
  </si>
  <si>
    <t>NOMBRE RETIRA: SAMUEL MILLAR O RUT RETIRA: 11794369-0</t>
  </si>
  <si>
    <t>Samuel Millar</t>
  </si>
  <si>
    <t>Manuel Mont 1109, Casa</t>
  </si>
  <si>
    <t>#121268</t>
  </si>
  <si>
    <t>NOMBRE RETIRA: PEDRO PACHECO . RUT RETIRA: 12718808-4</t>
  </si>
  <si>
    <t>Christian Contreras Gacitua</t>
  </si>
  <si>
    <t>Avenida Industrial 1950</t>
  </si>
  <si>
    <t>#121188</t>
  </si>
  <si>
    <t>NOMBRE RETIRA: RODRIGO DIAZ Z RUT RETIRA: 14376201-7</t>
  </si>
  <si>
    <t>Rodrigo Díaz Cornejo</t>
  </si>
  <si>
    <t>La Place 072, Casa</t>
  </si>
  <si>
    <t>#121310</t>
  </si>
  <si>
    <t>NOMBRE RETIRA: ANTONIA MANRIQUEZ A RUT RETIRA: 22263732-5</t>
  </si>
  <si>
    <t>Rodolfo Márquez Masquiarán</t>
  </si>
  <si>
    <t>Av. Bayona 1900, Dpto 904 Torre A</t>
  </si>
  <si>
    <t>#121304</t>
  </si>
  <si>
    <t>NOMBRE RETIRA: JOSE IGNACIO . RUT RETIRA: 15135683-4</t>
  </si>
  <si>
    <t>Jose Ignacio</t>
  </si>
  <si>
    <t>Doña ignacia 3 Valle soleado 473</t>
  </si>
  <si>
    <t>#121293</t>
  </si>
  <si>
    <t>NOMBRE RETIRA: CAJAIME CONTRERAD M RUT RETIRA: 7858640-0</t>
  </si>
  <si>
    <t>D2, Avenida Cardenal Antonio Samore 1451</t>
  </si>
  <si>
    <t>#121345</t>
  </si>
  <si>
    <t>NOMBRE RETIRA: JOSE VARGAS .. RUT RETIRA: 11502525-2</t>
  </si>
  <si>
    <t>Tomas Vial</t>
  </si>
  <si>
    <t>51 Oriente 4711, Talca, Maule, Apartamento 7E</t>
  </si>
  <si>
    <t>#121254</t>
  </si>
  <si>
    <t>NOMBRE RETIRA: HERNAN PINO A RUT RETIRA: 12240274-6</t>
  </si>
  <si>
    <t>Hernan Pino Bustos</t>
  </si>
  <si>
    <t>Pedro Aguirre Cerda Banco Santander, 1055</t>
  </si>
  <si>
    <t>#121206</t>
  </si>
  <si>
    <t>NOMBRE RETIRA: LORETO CARTER . RUT RETIRA: 7679726-9</t>
  </si>
  <si>
    <t>21 Norte 1280 Santa Inés, Minimarket Don Remí</t>
  </si>
  <si>
    <t>#121318</t>
  </si>
  <si>
    <t>NOMBRE RETIRA: ARNALDO ORELLANA M RUT RETIRA: 9763998-1</t>
  </si>
  <si>
    <t>Arnaldo Orellana Bustos</t>
  </si>
  <si>
    <t>Primera sur 1090, Esquina  calle segunda Placilla</t>
  </si>
  <si>
    <t>#121157</t>
  </si>
  <si>
    <t>NOMBRE RETIRA: ALEXIS MANZANO MANZANO RUT RETIRA: 27891426-7</t>
  </si>
  <si>
    <t>Alexis Manzano</t>
  </si>
  <si>
    <t>Torre Roble, Jaime Repullo 3545, Departamento 207</t>
  </si>
  <si>
    <t>#121012</t>
  </si>
  <si>
    <t>NOMBRE RETIRA: CELINDA CABRERA . RUT RETIRA: 7878305-2</t>
  </si>
  <si>
    <t>Eduardo patricio Fernandez Cabrera</t>
  </si>
  <si>
    <t>Avenida Presidente RÍos 887, Casa</t>
  </si>
  <si>
    <t>#121076</t>
  </si>
  <si>
    <t>NOMBRE RETIRA: JOSE DIAZ A RUT RETIRA: 13894707-6</t>
  </si>
  <si>
    <t>José ignacio Alvarez chaigneau</t>
  </si>
  <si>
    <t>Jorge Montt 2400, Academia de guerra naval</t>
  </si>
  <si>
    <t>#121287</t>
  </si>
  <si>
    <t>NOMBRE RETIRA: ABEL CACERES .. RUT RETIRA: 56049520-K</t>
  </si>
  <si>
    <t>Nicolás Montoya Cartes</t>
  </si>
  <si>
    <t>Av Jorge Montt 1630, Depto 161</t>
  </si>
  <si>
    <t>#121065</t>
  </si>
  <si>
    <t>NOMBRE RETIRA: MORELA GUERRA . . RUT RETIRA: 13030977-1</t>
  </si>
  <si>
    <t>Jose Baptista</t>
  </si>
  <si>
    <t>CallejÓn La Feria 595</t>
  </si>
  <si>
    <t>#121248</t>
  </si>
  <si>
    <t>NOMBRE RETIRA: SAMUEM CABEZAS . RUT RETIRA: 18510121-5</t>
  </si>
  <si>
    <t>Samuel Cabezas torrejon</t>
  </si>
  <si>
    <t>Calle los Aromos 790 poblacion santa teresita quillota, Casa</t>
  </si>
  <si>
    <t>#121120</t>
  </si>
  <si>
    <t>NOMBRE RETIRA: ALEX NUNEZ NUNEZ RUT RETIRA: 18833869-0</t>
  </si>
  <si>
    <t>Alex Nuñez</t>
  </si>
  <si>
    <t>Las BegoÑas 01019 Santa Ana, Casa negocio</t>
  </si>
  <si>
    <t>#121629</t>
  </si>
  <si>
    <t>713074273531</t>
  </si>
  <si>
    <t>Nombre: sergio arriagada - Rut: 111111111</t>
  </si>
  <si>
    <t>Sergio arriagada Sergio</t>
  </si>
  <si>
    <t>Passje Regidor Cobarruvias 143 Villa Carlos Droguett</t>
  </si>
  <si>
    <t>#121587</t>
  </si>
  <si>
    <t>713073389162</t>
  </si>
  <si>
    <t>Nombre: Marcelo Silva - Rut: 210846298</t>
  </si>
  <si>
    <t>Lujardo Silva</t>
  </si>
  <si>
    <t>Pje Laguna De La Invernada 1873, Casa</t>
  </si>
  <si>
    <t>#121563</t>
  </si>
  <si>
    <t>713073185123</t>
  </si>
  <si>
    <t>Nombre: lola lopez - Rut: 161518123</t>
  </si>
  <si>
    <t>Cristián Rosales C.</t>
  </si>
  <si>
    <t>Loteo San Manuel,, Casa 35, Linares., Casa</t>
  </si>
  <si>
    <t>#121535</t>
  </si>
  <si>
    <t>713073184972</t>
  </si>
  <si>
    <t>Nombre: amaro - Rut: 218843352</t>
  </si>
  <si>
    <t>Claudio Rosevear Rodriguez</t>
  </si>
  <si>
    <t>Villa Los.notros 2 Pasaje 4 Casa #4054, Casa</t>
  </si>
  <si>
    <t>#121502</t>
  </si>
  <si>
    <t>713073183572</t>
  </si>
  <si>
    <t>Nombre: robero - Rut: 0</t>
  </si>
  <si>
    <t>Libertadores 595-B</t>
  </si>
  <si>
    <t>2026-05-15 11:08</t>
  </si>
  <si>
    <t>#121523</t>
  </si>
  <si>
    <t>713073184924</t>
  </si>
  <si>
    <t>Nombre: Ariel Leiva Munoz - Rut: 0</t>
  </si>
  <si>
    <t>Ariel Leiva Muñoz</t>
  </si>
  <si>
    <t>Población Irarrazabal  Pasaje Las Torres 07</t>
  </si>
  <si>
    <t>#121554</t>
  </si>
  <si>
    <t>713073185086</t>
  </si>
  <si>
    <t>Nombre: Fabian - Rut: 141003607</t>
  </si>
  <si>
    <t>Fabian Casanga</t>
  </si>
  <si>
    <t>Andacollo, Calle Manuel RodrÍguez 51</t>
  </si>
  <si>
    <t>#121406</t>
  </si>
  <si>
    <t>713070602344</t>
  </si>
  <si>
    <t>Andres Brown susaeta</t>
  </si>
  <si>
    <t>Jose Maria Mercado 355, Catapilco, Zapallar, Correo de Catapilco</t>
  </si>
  <si>
    <t>2026-05-09 11:33</t>
  </si>
  <si>
    <t>#121395</t>
  </si>
  <si>
    <t>713070598870</t>
  </si>
  <si>
    <t>Nombre: Valentina moschiano - Rut: 111111111</t>
  </si>
  <si>
    <t>Isaac Aravena Navarrete</t>
  </si>
  <si>
    <t>Barros 62, Melipilla</t>
  </si>
  <si>
    <t>#121441</t>
  </si>
  <si>
    <t>713070602565</t>
  </si>
  <si>
    <t>Nombre: pilar Morales - Rut: 83590092</t>
  </si>
  <si>
    <t>Libertad 730</t>
  </si>
  <si>
    <t>#121463</t>
  </si>
  <si>
    <t>713070603523</t>
  </si>
  <si>
    <t>#121416</t>
  </si>
  <si>
    <t>713070602510</t>
  </si>
  <si>
    <t>Nombre: fernanda alvarez - Rut: 0</t>
  </si>
  <si>
    <t>Gózalo georgi</t>
  </si>
  <si>
    <t>Avenida los libertadores 1614, El paico</t>
  </si>
  <si>
    <t>#121436</t>
  </si>
  <si>
    <t>713070602532</t>
  </si>
  <si>
    <t>Nombre: SEBASTIAN VARGAS - Rut: 16066214</t>
  </si>
  <si>
    <t>Sebastián Vargas Vargas</t>
  </si>
  <si>
    <t>San Javier sin número kilómetro 1.7, Frente minimercado los vecinos</t>
  </si>
  <si>
    <t>#121204</t>
  </si>
  <si>
    <t>713068002592</t>
  </si>
  <si>
    <t>Nombre: Roberto Perucci - Rut: 15025830</t>
  </si>
  <si>
    <t>Roberto Perucci</t>
  </si>
  <si>
    <t>Arturo Prat 708</t>
  </si>
  <si>
    <t>#121016</t>
  </si>
  <si>
    <t>713068007212</t>
  </si>
  <si>
    <t>Nombre: Juan Valenzuela Galaz - Rut: 16164946</t>
  </si>
  <si>
    <t>Juan Valenzuela Galaz</t>
  </si>
  <si>
    <t>Yaquil</t>
  </si>
  <si>
    <t>2026-05-04 11:59</t>
  </si>
  <si>
    <t>#121192</t>
  </si>
  <si>
    <t>713068002426</t>
  </si>
  <si>
    <t>Nombre: jose gutierrez - Rut: 236012956</t>
  </si>
  <si>
    <t>José Gutiérrez ceron</t>
  </si>
  <si>
    <t>Los daneses 745, Casa</t>
  </si>
  <si>
    <t>#121134</t>
  </si>
  <si>
    <t>713068000746</t>
  </si>
  <si>
    <t>Nombre: juan savedra - Rut: 211737999</t>
  </si>
  <si>
    <t>Juan Saavedra</t>
  </si>
  <si>
    <t>Cancha Rayada 43</t>
  </si>
  <si>
    <t>#121087</t>
  </si>
  <si>
    <t>713067999044</t>
  </si>
  <si>
    <t>Nombre: Richard zapata - Rut: 154595333</t>
  </si>
  <si>
    <t>Richard Zapata</t>
  </si>
  <si>
    <t>Puerto Saavedra Poniente 196, Casa</t>
  </si>
  <si>
    <t>#121030</t>
  </si>
  <si>
    <t>713068007326</t>
  </si>
  <si>
    <t>Nombre: Jimena passarin - Rut: 81986894</t>
  </si>
  <si>
    <t>Ayter Valdes</t>
  </si>
  <si>
    <t>Meiggs 1201, Casa</t>
  </si>
  <si>
    <t>#121264</t>
  </si>
  <si>
    <t>713068004316</t>
  </si>
  <si>
    <t>Nombre: Francisco - Rut: 66843122</t>
  </si>
  <si>
    <t>Francisco Amenábar figari</t>
  </si>
  <si>
    <t>Calle Urmeneta 721-c,, 721-c</t>
  </si>
  <si>
    <t>2026-05-04 11:52</t>
  </si>
  <si>
    <t>#121024</t>
  </si>
  <si>
    <t>713068007271</t>
  </si>
  <si>
    <t>Nombre: Jaime - Rut: 97264694</t>
  </si>
  <si>
    <t>Jaime Santander Saldivar</t>
  </si>
  <si>
    <t>Avenida chepiquilla 1303, Casa</t>
  </si>
  <si>
    <t>#121382</t>
  </si>
  <si>
    <t>9465696435</t>
  </si>
  <si>
    <t>Rolando Sagredo</t>
  </si>
  <si>
    <t>Villa Don Matias, Mario Sepulveda 1719</t>
  </si>
  <si>
    <t>#121493</t>
  </si>
  <si>
    <t>9465669640</t>
  </si>
  <si>
    <t>Benedicto Diaz</t>
  </si>
  <si>
    <t>Pasaje Unifrutti #81 Sector Las Mercedes Requinoa, Casa 81</t>
  </si>
  <si>
    <t>2026-05-09 11:41</t>
  </si>
  <si>
    <t>#121403</t>
  </si>
  <si>
    <t>9465537734</t>
  </si>
  <si>
    <t>Ricardo Riveros</t>
  </si>
  <si>
    <t>Camino el totoral kl 3 Forestal San Ricardo</t>
  </si>
  <si>
    <t>#121442</t>
  </si>
  <si>
    <t>9465503773</t>
  </si>
  <si>
    <t>Claudio Rocha Mella</t>
  </si>
  <si>
    <t>Balmaceda 355</t>
  </si>
  <si>
    <t>#121455</t>
  </si>
  <si>
    <t>9465402181</t>
  </si>
  <si>
    <t>Cesar miranda toledo</t>
  </si>
  <si>
    <t>Blanca Estela 1355, Casa 65, Casa 65, casa 65</t>
  </si>
  <si>
    <t>#121421</t>
  </si>
  <si>
    <t>9465151091</t>
  </si>
  <si>
    <t>Calledoce 559 concon, Casa</t>
  </si>
  <si>
    <t>#121432</t>
  </si>
  <si>
    <t>9465124454</t>
  </si>
  <si>
    <t>Marcelo Raggi Allende</t>
  </si>
  <si>
    <t>Condominio Hacienda Chacabuco, sector Casas Chacabuco, kms 42 ruta los libertadores, Parcela J1</t>
  </si>
  <si>
    <t>#121362</t>
  </si>
  <si>
    <t>9465111865</t>
  </si>
  <si>
    <t>Condominio chacra trinidad parcela 8, Parcela 8</t>
  </si>
  <si>
    <t>#121379</t>
  </si>
  <si>
    <t>9465111353</t>
  </si>
  <si>
    <t>Alejandro Echiburú Lirca</t>
  </si>
  <si>
    <t>Ambrosio O'higgins 501</t>
  </si>
  <si>
    <t>#121470</t>
  </si>
  <si>
    <t>9465094925</t>
  </si>
  <si>
    <t>Adolfo Gutiérrez</t>
  </si>
  <si>
    <t>Sector Puente Lampa, Pedro Aguirre Cerda 1738</t>
  </si>
  <si>
    <t>2026-05-09 11:37</t>
  </si>
  <si>
    <t>#121266</t>
  </si>
  <si>
    <t>9463987293</t>
  </si>
  <si>
    <t>Ricardo Araus Reyes</t>
  </si>
  <si>
    <t>Av. Montemar 2125, Depto 1507</t>
  </si>
  <si>
    <t>#121036</t>
  </si>
  <si>
    <t>9463981564</t>
  </si>
  <si>
    <t>Avenida El Peral 47, Hojalateria montecinos</t>
  </si>
  <si>
    <t>#121015</t>
  </si>
  <si>
    <t>9463744555</t>
  </si>
  <si>
    <t>#121236</t>
  </si>
  <si>
    <t>9463586856</t>
  </si>
  <si>
    <t>Emilio Flores gallardo</t>
  </si>
  <si>
    <t>Parcela 141, Parcela</t>
  </si>
  <si>
    <t>#121064</t>
  </si>
  <si>
    <t>9463539190</t>
  </si>
  <si>
    <t>Regidor juan marin zuñiga, 13</t>
  </si>
  <si>
    <t>#121229</t>
  </si>
  <si>
    <t>9463513382</t>
  </si>
  <si>
    <t>Barriga García José Hugo</t>
  </si>
  <si>
    <t>Ohiggins 1032, Oficina</t>
  </si>
  <si>
    <t>#121276</t>
  </si>
  <si>
    <t>9463468556</t>
  </si>
  <si>
    <t>Juan Antonio Morales Belmar</t>
  </si>
  <si>
    <t>Chacabuco 490, Lado Copec,  Lubricentro Los Sauces</t>
  </si>
  <si>
    <t>#121242</t>
  </si>
  <si>
    <t>9463454954</t>
  </si>
  <si>
    <t>Jorge Albornoz</t>
  </si>
  <si>
    <t>Almirante Acevedo 1994, 1994</t>
  </si>
  <si>
    <t>#121182</t>
  </si>
  <si>
    <t>9463411742</t>
  </si>
  <si>
    <t>Miguel osorio barahona</t>
  </si>
  <si>
    <t>El Cañadon 300, Casa 4</t>
  </si>
  <si>
    <t>#121043</t>
  </si>
  <si>
    <t>9463367303</t>
  </si>
  <si>
    <t>Esteban Salas solari</t>
  </si>
  <si>
    <t>Los Pellines 1042, 71</t>
  </si>
  <si>
    <t>#121135</t>
  </si>
  <si>
    <t>9463364993</t>
  </si>
  <si>
    <t>Juan Alberto Oyarce</t>
  </si>
  <si>
    <t>Calle Pedro LeÓn Gallo 1655</t>
  </si>
  <si>
    <t>#121111</t>
  </si>
  <si>
    <t>9463161680</t>
  </si>
  <si>
    <t>CARLOS FELIPE BRAVO POZO</t>
  </si>
  <si>
    <t>CALLE SEGUNDO VERCELLI, 670</t>
  </si>
  <si>
    <t>#121173</t>
  </si>
  <si>
    <t>9463131156</t>
  </si>
  <si>
    <t>Carlos Morales Farias</t>
  </si>
  <si>
    <t>Av la hacienda poniente 2764, Casa</t>
  </si>
  <si>
    <t>#121346</t>
  </si>
  <si>
    <t>9461219025</t>
  </si>
  <si>
    <t>Av el Peral 47, Hojalateria montecinos</t>
  </si>
  <si>
    <t>2026-05-05 12:37</t>
  </si>
  <si>
    <t>#121334</t>
  </si>
  <si>
    <t>9460723963</t>
  </si>
  <si>
    <t>Carola Almuna Diaz</t>
  </si>
  <si>
    <t>Vicuña Mackenna 1303. Comuna de Peñaflor</t>
  </si>
  <si>
    <t>#121646</t>
  </si>
  <si>
    <t>2291228542</t>
  </si>
  <si>
    <t>Queltehues 520</t>
  </si>
  <si>
    <t>#121507</t>
  </si>
  <si>
    <t>2290519766</t>
  </si>
  <si>
    <t>LUIS FELIPE BUSTOS JENSEN</t>
  </si>
  <si>
    <t>ANTUMAPU 728, CASA COLOR NEGRA</t>
  </si>
  <si>
    <t>#121521</t>
  </si>
  <si>
    <t>2290519744</t>
  </si>
  <si>
    <t>Jose Miguel carrera s/n, Multimercado Don Beto</t>
  </si>
  <si>
    <t>#121532</t>
  </si>
  <si>
    <t>2290519685</t>
  </si>
  <si>
    <t>Adrián Zamorano Pardo</t>
  </si>
  <si>
    <t>Quintero, Chile, Avenida Normandie 2418</t>
  </si>
  <si>
    <t>#121534</t>
  </si>
  <si>
    <t>2290519604</t>
  </si>
  <si>
    <t>José Peña Vergara</t>
  </si>
  <si>
    <t>Avenida 9 oriente 28 sur, 365</t>
  </si>
  <si>
    <t>#121545</t>
  </si>
  <si>
    <t>2290519556</t>
  </si>
  <si>
    <t>Osvaldo Ariel Astudillo Castro</t>
  </si>
  <si>
    <t>Avenida los parques 120, Condominio</t>
  </si>
  <si>
    <t>#121555</t>
  </si>
  <si>
    <t>2290519486</t>
  </si>
  <si>
    <t>Daniel Baeza</t>
  </si>
  <si>
    <t>Calle Boulevard Los Condores Norte 4321, Condominio fuentes de valle grande</t>
  </si>
  <si>
    <t>#121575</t>
  </si>
  <si>
    <t>2290519416</t>
  </si>
  <si>
    <t>Paticio Sanhueza Becerra</t>
  </si>
  <si>
    <t>Nuestra ilusión</t>
  </si>
  <si>
    <t>#121612</t>
  </si>
  <si>
    <t>2290519210</t>
  </si>
  <si>
    <t>Mauricio Pineda</t>
  </si>
  <si>
    <t>Avenida la Montaña 3650, Casa 94 Becacinas</t>
  </si>
  <si>
    <t>SIMPLEMENTE CAFE</t>
  </si>
  <si>
    <t>NOMBRE RETIRA: IGNACIO YEVENES . RUT RETIRA: 12345678-5</t>
  </si>
  <si>
    <t>Linderos central 5012</t>
  </si>
  <si>
    <t>NOMBRE RETIRA: ANTONIO PAKMA P RUT RETIRA: 15944689-1</t>
  </si>
  <si>
    <t>Antonio Palma</t>
  </si>
  <si>
    <t>Licantén 7394</t>
  </si>
  <si>
    <t>NOMBRE RETIRA: ANA ANQUITA . RUT RETIRA: 11823042-6</t>
  </si>
  <si>
    <t>Daniel Yanez Garcia</t>
  </si>
  <si>
    <t>Ramon brito 162 los andes</t>
  </si>
  <si>
    <t>LVR#1066</t>
  </si>
  <si>
    <t>Stocka - Logística Ecommerce</t>
  </si>
  <si>
    <t>María Teresa De La Barra Ugalde</t>
  </si>
  <si>
    <t>Km 27 camino Sta Cruz Lolol, Callejon lado garita, casa frente capilla</t>
  </si>
  <si>
    <t>LVR-1119</t>
  </si>
  <si>
    <t>NOMBRE RETIRA: CLAUDIA ARAYA A RUT RETIRA: 13894707-6</t>
  </si>
  <si>
    <t>Luis Fernando Garcia Flores</t>
  </si>
  <si>
    <t>Eklonia 270</t>
  </si>
  <si>
    <t>MMD-1064</t>
  </si>
  <si>
    <t>NOMBRE RETIRA: CARLOS ALVAREZ A RUT RETIRA: 12345678-5</t>
  </si>
  <si>
    <t>Hualle 374</t>
  </si>
  <si>
    <t>LVR-1115</t>
  </si>
  <si>
    <t>NOMBRE RETIRA: VIXTIE STAURDI P RUT RETIRA: 15944689-1</t>
  </si>
  <si>
    <t>Paula Ravanal</t>
  </si>
  <si>
    <t>San Pedro Del Valle 37</t>
  </si>
  <si>
    <t>LVR-1114</t>
  </si>
  <si>
    <t>Luis Nancucheo Beltran</t>
  </si>
  <si>
    <t>21 norte 4170 block A 303</t>
  </si>
  <si>
    <t>LVR-1111</t>
  </si>
  <si>
    <t>NOMBRE RETIRA: ESTEBAN YANZ . RUT RETIRA: 13143369-7</t>
  </si>
  <si>
    <t>William Sarmiento</t>
  </si>
  <si>
    <t>Lino catalan terfort 124, Camino Antuco klm 0.7</t>
  </si>
  <si>
    <t>LVR-1112</t>
  </si>
  <si>
    <t>NOMBRE RETIRA: MACARENA LOYOLA . RUT RETIRA: 15093235-1</t>
  </si>
  <si>
    <t>calle justo estay 1040, población san felipe, casa</t>
  </si>
  <si>
    <t>LVR-1107</t>
  </si>
  <si>
    <t>NOMBRE RETIRA: SUSANA BASCUR . . RUT RETIRA: 18101730-9</t>
  </si>
  <si>
    <t>Stephanie Rilling</t>
  </si>
  <si>
    <t>Bulnes 280 oficina 304, puerto mayor</t>
  </si>
  <si>
    <t>MMD1061</t>
  </si>
  <si>
    <t>NOMBRE RETIRA: FRANCO QUINT A RUT RETIRA: 53331906-8</t>
  </si>
  <si>
    <t>Daniela Marchant</t>
  </si>
  <si>
    <t>quinta 710, depto 601, edificio montesol 2</t>
  </si>
  <si>
    <t>MMD1062</t>
  </si>
  <si>
    <t>NOMBRE RETIRA: JOSE DA SILVA . RUT RETIRA: 70262500-9</t>
  </si>
  <si>
    <t>María José Antonia Rondanelli Bezama</t>
  </si>
  <si>
    <t>Alcalde Prieto Nieto 353, dept 38-4</t>
  </si>
  <si>
    <t>LVR-1094</t>
  </si>
  <si>
    <t>NOMBRE RETIRA: MONICA SOTO . RUT RETIRA: 13865448-6</t>
  </si>
  <si>
    <t>Mónica Soto Garin</t>
  </si>
  <si>
    <t>Canals Sarmiento 6081, Depto A 103.Puerta Sur</t>
  </si>
  <si>
    <t>LVR-1096</t>
  </si>
  <si>
    <t>NOMBRE RETIRA: PAULINA PARRAGUE P RUT RETIRA: 15126334-8</t>
  </si>
  <si>
    <t>Paulina Parraguez Muñoz</t>
  </si>
  <si>
    <t>Arturo Gordon 058, Villa María Lucía</t>
  </si>
  <si>
    <t>LVR-1095</t>
  </si>
  <si>
    <t>NOMBRE RETIRA: PAULINA VALDERRAMA . RUT RETIRA: 19146817-1</t>
  </si>
  <si>
    <t>Paulina Valderrama</t>
  </si>
  <si>
    <t>Luis Querber 1007, 71</t>
  </si>
  <si>
    <t>LVR-1089</t>
  </si>
  <si>
    <t>NOMBRE RETIRA: PABLO VILCHEZ . RUT RETIRA: 13282218-2</t>
  </si>
  <si>
    <t>Av ramon perez opazo 2040, Depto 1002 torre 2</t>
  </si>
  <si>
    <t>MMD1054</t>
  </si>
  <si>
    <t>NOMBRE RETIRA: RAMIRO LAGOS . RUT RETIRA: 9718410-0</t>
  </si>
  <si>
    <t>Camilo Albornoz Lagos</t>
  </si>
  <si>
    <t>pasaje B #316,poblacion ferretera</t>
  </si>
  <si>
    <t>MMD1051</t>
  </si>
  <si>
    <t>NOMBRE RETIRA: ANDRES SANTANA M RUT RETIRA: 14097342-4</t>
  </si>
  <si>
    <t>Letelier 234</t>
  </si>
  <si>
    <t>SER3060</t>
  </si>
  <si>
    <t>NOMBRE RETIRA: JONATHAN GONZALES K RUT RETIRA: 18616408-3</t>
  </si>
  <si>
    <t>HORTENCIA MAS SAFRA</t>
  </si>
  <si>
    <t>MANUEL PLAZA 2995 DEPTO 1503</t>
  </si>
  <si>
    <t>MMD1040</t>
  </si>
  <si>
    <t>NOMBRE RETIRA: JONATAN NUNEZ . RUT RETIRA: 17788875-3</t>
  </si>
  <si>
    <t>Jonatan Nuñez</t>
  </si>
  <si>
    <t>Chorrillos, 797, Harris Patagonia SPA</t>
  </si>
  <si>
    <t>LVR1086</t>
  </si>
  <si>
    <t>NOMBRE RETIRA: CLARA ROJAS . RUT RETIRA: 12486483-6</t>
  </si>
  <si>
    <t>Clara Luisa Rojas Curivil</t>
  </si>
  <si>
    <t>Pasaje Río Calle Calle 1277-Casa esquina 3 pisos</t>
  </si>
  <si>
    <t>MMD1046</t>
  </si>
  <si>
    <t>NOMBRE RETIRA: KAYERINE DEL PINO . RUT RETIRA: 13007164-3</t>
  </si>
  <si>
    <t>Pasaje Jorge Riveros 375, punta mira norte , 375</t>
  </si>
  <si>
    <t>MMD1048</t>
  </si>
  <si>
    <t>NOMBRE RETIRA: SILVIA PALOMINO M RUT RETIRA: 11980350-0</t>
  </si>
  <si>
    <t>Luis Oyarzo</t>
  </si>
  <si>
    <t>Camino lo gallardo 1610, 1610  Piso: Departamento 115 emilia  Barrio: Portal Santo Domingo</t>
  </si>
  <si>
    <t>MMD1045</t>
  </si>
  <si>
    <t>NOMBRE RETIRA: PATRICIA CARRASCO . RUT RETIRA: 9958830-6</t>
  </si>
  <si>
    <t>Martin Palma</t>
  </si>
  <si>
    <t>Avenida oriente, 815</t>
  </si>
  <si>
    <t>MSE3360</t>
  </si>
  <si>
    <t>NOMBRE RETIRA: CLAUDIO GODOI . RUT RETIRA: 16200781-5</t>
  </si>
  <si>
    <t>Claudio Godoi Campos</t>
  </si>
  <si>
    <t>Avenida Belloto 942, belloto norte, Quilpue</t>
  </si>
  <si>
    <t>OPARD1596</t>
  </si>
  <si>
    <t>NOMBRE RETIRA: JOSEFINA MARTINEZ . RUT RETIRA: 20000504-K</t>
  </si>
  <si>
    <t>Josefina Martinez Gamé</t>
  </si>
  <si>
    <t>Av montemar 433 Departamento 1702 edificio Costa</t>
  </si>
  <si>
    <t>MMD1047</t>
  </si>
  <si>
    <t>NOMBRE RETIRA: MARCO CONSERKE X RUT RETIRA: 20137133-3</t>
  </si>
  <si>
    <t>Diego González Araya</t>
  </si>
  <si>
    <t>Navío San Martín, 375  Piso: 2302B  Barrio: Condominio Vista del Valle 2</t>
  </si>
  <si>
    <t>MMD1044</t>
  </si>
  <si>
    <t>NOMBRE RETIRA: JORGE BRAVO G RUT RETIRA: 7138077-7</t>
  </si>
  <si>
    <t>30 oriente , 754, 223</t>
  </si>
  <si>
    <t>MMD1043</t>
  </si>
  <si>
    <t>NOMBRE RETIRA: VICTOR BRIONES B RUT RETIRA: 56049520-K</t>
  </si>
  <si>
    <t>Victor briones Briones</t>
  </si>
  <si>
    <t>Pasaje las monjas, sector los almendros, Reñaca, 3</t>
  </si>
  <si>
    <t>MSE3357</t>
  </si>
  <si>
    <t>NOMBRE RETIRA: KAREN WARTENBERG BAPTISTE RUT RETIRA: 18909814-6</t>
  </si>
  <si>
    <t>Pamela Carrillo Sanchez</t>
  </si>
  <si>
    <t>Av. Pedro Aguirre Cerda s/n Lote 7, Lo Rojas</t>
  </si>
  <si>
    <t>LVR-1066</t>
  </si>
  <si>
    <t>2290501220</t>
  </si>
  <si>
    <t>Km 27 camino Sta Cruz Lolol</t>
  </si>
  <si>
    <t>STG08052020621</t>
  </si>
  <si>
    <t>STREETGYM</t>
  </si>
  <si>
    <t>NOMBRE RETIRA: CONSTANZA ARABENA . RUT RETIRA: 22007053-0</t>
  </si>
  <si>
    <t>Maricela Alejandra Cortes</t>
  </si>
  <si>
    <t>Av la tirana 4865, dpto 12 torre B</t>
  </si>
  <si>
    <t>STG1064</t>
  </si>
  <si>
    <t>NOMBRE RETIRA: SIGRID ORDONEZ M RUT RETIRA: 20448121-0</t>
  </si>
  <si>
    <t>Carolina Robertson</t>
  </si>
  <si>
    <t>Avenida Bernardo O'Higgins #501, Estudio de tatuajes the lake ink</t>
  </si>
  <si>
    <t>STG1065</t>
  </si>
  <si>
    <t>NOMBRE RETIRA: BASTIAN ALTAMARINO A RUT RETIRA: 15885110-5</t>
  </si>
  <si>
    <t>Reinaldo Contreras</t>
  </si>
  <si>
    <t>Leonidas Pérez 3063, Dpto 504i, Leonidas Pérez 3063, Dpto 504i</t>
  </si>
  <si>
    <t>STG1062</t>
  </si>
  <si>
    <t>NOMBRE RETIRA: CABINO NAVARRO MOYAS RUT RETIRA: 19340400-6</t>
  </si>
  <si>
    <t>Danilo ignacio Ahumada Campos</t>
  </si>
  <si>
    <t>Paseo bellamar sin número, Es en la Gobernación Marítima de San Antonio  marinos</t>
  </si>
  <si>
    <t>THE SKIN STORE</t>
  </si>
  <si>
    <t>NOMBRE RETIRA: JPCELYN HENRIQUEZ . RUT RETIRA: 20611429-0</t>
  </si>
  <si>
    <t>Jocelyn Henríquez Cueto</t>
  </si>
  <si>
    <t>Mejillones 18</t>
  </si>
  <si>
    <t>TSS1019</t>
  </si>
  <si>
    <t>NOMBRE RETIRA: YOHANAN MONCADA M RUT RETIRA: 14348585-4</t>
  </si>
  <si>
    <t>Yohana Moncada Freire</t>
  </si>
  <si>
    <t>PoblaciÓn Corvi, Calle Los Laureles 131</t>
  </si>
  <si>
    <t>#1003</t>
  </si>
  <si>
    <t>NOMBRE RETIRA: CAMILA . . RUT RETIRA: 13465010-9</t>
  </si>
  <si>
    <t>Pasaje miramar 2195, llo lleo, Apartamento</t>
  </si>
  <si>
    <t>TSS1016</t>
  </si>
  <si>
    <t>Luz Yutronic lastra</t>
  </si>
  <si>
    <t>Vladimir Saavedra 651, 111</t>
  </si>
  <si>
    <t>#1011</t>
  </si>
  <si>
    <t>NOMBRE RETIRA: RICARDO TRICAYOTI .. RUT RETIRA: 65254582-3</t>
  </si>
  <si>
    <t>Ana María Aguayo Alvarez</t>
  </si>
  <si>
    <t>Edmundo Eluchans 2490, 708</t>
  </si>
  <si>
    <t>#1008</t>
  </si>
  <si>
    <t>NOMBRE RETIRA: VLADIMIR LILLO . RUT RETIRA: 21062975-0</t>
  </si>
  <si>
    <t>Daniela Simon Ghivarello</t>
  </si>
  <si>
    <t>3 norte 544, depto 202</t>
  </si>
  <si>
    <t>TSS1024</t>
  </si>
  <si>
    <t>713076601731</t>
  </si>
  <si>
    <t>Nombre: consuelo cofre - Rut: 188483828</t>
  </si>
  <si>
    <t>Rengo #126</t>
  </si>
  <si>
    <t>2026-05-24 20:45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</si>
</sst>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44" fontId="8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2" fillId="0" borderId="13" xfId="0" applyFont="1" applyBorder="1"/>
    <xf numFmtId="1" fontId="0" fillId="0" borderId="0" xfId="0" applyNumberFormat="1"/>
    <xf numFmtId="164" fontId="0" fillId="0" borderId="0" xfId="42" applyNumberFormat="1" applyFont="1"/>
    <xf numFmtId="164" fontId="2" fillId="2" borderId="12" xfId="42" applyNumberFormat="1" applyFont="1" applyFill="1" applyBorder="1"/>
    <xf numFmtId="164" fontId="7" fillId="0" borderId="12" xfId="42" applyNumberFormat="1" applyFont="1" applyBorder="1"/>
    <xf numFmtId="164" fontId="2" fillId="0" borderId="12" xfId="42" applyNumberFormat="1" applyFont="1" applyBorder="1"/>
    <xf numFmtId="164" fontId="4" fillId="0" borderId="12" xfId="42" applyNumberFormat="1" applyFont="1" applyBorder="1"/>
    <xf numFmtId="0" fontId="0" fillId="0" borderId="0" xfId="0" applyAlignment="1">
      <alignment horizontal="center" vertical="center"/>
    </xf>
    <xf numFmtId="164" fontId="6" fillId="0" borderId="14" xfId="42" applyNumberFormat="1" applyFont="1" applyBorder="1" applyAlignment="1">
      <alignment horizontal="center" vertical="center"/>
    </xf>
    <xf numFmtId="164" fontId="6" fillId="0" borderId="2" xfId="42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5" fillId="0" borderId="12" xfId="42" applyNumberFormat="1" applyFont="1" applyBorder="1"/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2" fillId="0" borderId="15" xfId="42" applyNumberFormat="1" applyFont="1" applyBorder="1"/>
    <xf numFmtId="0" fontId="2" fillId="0" borderId="18" xfId="0" applyFont="1" applyBorder="1"/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/>
    <xf numFmtId="0" fontId="2" fillId="2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4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ill>
        <patternFill>
          <bgColor rgb="FFFFFF00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1082840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2"/>
  <sheetViews>
    <sheetView showGridLines="0" zoomScale="90" zoomScaleNormal="90" workbookViewId="0">
      <selection activeCell="E17" sqref="E17"/>
    </sheetView>
  </sheetViews>
  <sheetFormatPr baseColWidth="10" defaultRowHeight="14.4" x14ac:dyDescent="0.3"/>
  <cols>
    <col min="2" max="2" width="16.6640625" customWidth="1"/>
    <col min="3" max="3" width="34.5546875" bestFit="1" customWidth="1"/>
    <col min="4" max="4" width="44.109375" style="15" bestFit="1" customWidth="1"/>
    <col min="5" max="5" width="16.44140625" style="10" customWidth="1"/>
  </cols>
  <sheetData>
    <row r="2" spans="3:5" ht="21" x14ac:dyDescent="0.4">
      <c r="C2" s="1" t="s">
        <v>3</v>
      </c>
      <c r="D2" s="19" t="str">
        <f>IF(Detalle!F2="",Detalle!E2,Detalle!F2)</f>
        <v>Stocka</v>
      </c>
      <c r="E2" s="4">
        <v>46143</v>
      </c>
    </row>
    <row r="3" spans="3:5" x14ac:dyDescent="0.3">
      <c r="C3" s="5"/>
    </row>
    <row r="4" spans="3:5" ht="15.6" x14ac:dyDescent="0.3">
      <c r="C4" s="6" t="s">
        <v>109</v>
      </c>
      <c r="D4" s="27" t="s">
        <v>2</v>
      </c>
      <c r="E4" s="11"/>
    </row>
    <row r="5" spans="3:5" ht="15.6" x14ac:dyDescent="0.3">
      <c r="C5" s="7" t="s">
        <v>50</v>
      </c>
      <c r="D5" s="28">
        <f>COUNTIF(Detalle!I:I,"Servicio Enviame Connect")</f>
        <v>0</v>
      </c>
      <c r="E5" s="20">
        <f>SUMIF(Detalle!I:I,"Servicio Enviame Connect",Detalle!V:V)</f>
        <v>0</v>
      </c>
    </row>
    <row r="6" spans="3:5" ht="15.6" x14ac:dyDescent="0.3">
      <c r="C6" s="7" t="s">
        <v>51</v>
      </c>
      <c r="D6" s="28">
        <f>COUNTIF(Detalle!I:I,"Servicio Enviame Connect Plus")</f>
        <v>0</v>
      </c>
      <c r="E6" s="20">
        <f>SUMIF(Detalle!I:I,"Servicio Enviame Connect Plus",Detalle!V:V)</f>
        <v>0</v>
      </c>
    </row>
    <row r="7" spans="3:5" ht="15.6" x14ac:dyDescent="0.3">
      <c r="C7" s="7" t="s">
        <v>52</v>
      </c>
      <c r="D7" s="28">
        <f>COUNTIF(Detalle!I:I,"Servicio Enviame Distribucion")</f>
        <v>1298</v>
      </c>
      <c r="E7" s="20">
        <f>SUMIF(Detalle!I:I,"Servicio Enviame Distribucion",Detalle!V:V)</f>
        <v>6344814.9500000114</v>
      </c>
    </row>
    <row r="8" spans="3:5" ht="15.6" x14ac:dyDescent="0.3">
      <c r="C8" s="7" t="s">
        <v>53</v>
      </c>
      <c r="D8" s="28">
        <f>COUNTIF(Detalle!I:I,"Servicio Enviame Enviatrack")</f>
        <v>0</v>
      </c>
      <c r="E8" s="20">
        <f>SUMIF(Detalle!I:I,"Servicio Enviame Enviatrack",Detalle!V:V)</f>
        <v>0</v>
      </c>
    </row>
    <row r="9" spans="3:5" ht="15.6" x14ac:dyDescent="0.3">
      <c r="C9" s="7" t="s">
        <v>54</v>
      </c>
      <c r="D9" s="28">
        <f>COUNTIF(Detalle!I:I,"Servicio Enviame Flex")</f>
        <v>0</v>
      </c>
      <c r="E9" s="20">
        <f>SUMIF(Detalle!I:I,"Servicio Enviame Flex",Detalle!V:V)</f>
        <v>0</v>
      </c>
    </row>
    <row r="10" spans="3:5" ht="15.6" x14ac:dyDescent="0.3">
      <c r="C10" s="7" t="s">
        <v>55</v>
      </c>
      <c r="D10" s="28">
        <f>COUNTIF(Detalle!I:I,"Servicio Enviame Marketcenter")</f>
        <v>0</v>
      </c>
      <c r="E10" s="20">
        <f>SUMIF(Detalle!I:I,"Servicio Enviame Marketcenter",Detalle!V:V)</f>
        <v>0</v>
      </c>
    </row>
    <row r="11" spans="3:5" ht="15.6" x14ac:dyDescent="0.3">
      <c r="C11" s="7" t="s">
        <v>56</v>
      </c>
      <c r="D11" s="28">
        <f>COUNTIF(Detalle!I:I,"Servicio Enviame Mensajeria")</f>
        <v>0</v>
      </c>
      <c r="E11" s="20">
        <f>SUMIF(Detalle!I:I,"Servicio Enviame Mensajeria",Detalle!V:V)</f>
        <v>0</v>
      </c>
    </row>
    <row r="12" spans="3:5" ht="15.6" x14ac:dyDescent="0.3">
      <c r="C12" s="7" t="s">
        <v>57</v>
      </c>
      <c r="D12" s="28">
        <f>COUNTIF(Detalle!I:I,"Servicio Enviame por Pagar")</f>
        <v>0</v>
      </c>
      <c r="E12" s="20">
        <f>SUMIF(Detalle!I:I,"Servicio Enviame por Pagar",Detalle!V:V)</f>
        <v>0</v>
      </c>
    </row>
    <row r="13" spans="3:5" ht="15.6" x14ac:dyDescent="0.3">
      <c r="C13" s="7" t="s">
        <v>58</v>
      </c>
      <c r="D13" s="28">
        <f>COUNTIF(Detalle!I:I,"Servicio Enviame Retiros")</f>
        <v>0</v>
      </c>
      <c r="E13" s="20">
        <f>SUMIF(Detalle!I:I,"Servicio Enviame Retiros",Detalle!V:V)</f>
        <v>0</v>
      </c>
    </row>
    <row r="14" spans="3:5" ht="15.6" x14ac:dyDescent="0.3">
      <c r="C14" s="7" t="s">
        <v>59</v>
      </c>
      <c r="D14" s="28">
        <f>COUNTIF(Detalle!I:I,"Servicio Enviame Soporte Tecnico")</f>
        <v>0</v>
      </c>
      <c r="E14" s="20">
        <f>SUMIF(Detalle!I:I,"Servicio Enviame Soporte Tecnico",Detalle!V:V)</f>
        <v>0</v>
      </c>
    </row>
    <row r="15" spans="3:5" ht="15.6" x14ac:dyDescent="0.3">
      <c r="C15" s="7" t="s">
        <v>60</v>
      </c>
      <c r="D15" s="28">
        <f>COUNTIF(Detalle!I:I,"Sevicio Enviame Modelo Cross Dock")</f>
        <v>0</v>
      </c>
      <c r="E15" s="20">
        <f>SUMIF(Detalle!I:I,"Sevicio Enviame Modelo Cross Dock",Detalle!V:V)</f>
        <v>0</v>
      </c>
    </row>
    <row r="16" spans="3:5" ht="15.6" x14ac:dyDescent="0.3">
      <c r="C16" s="26"/>
      <c r="D16" s="25"/>
      <c r="E16" s="20"/>
    </row>
    <row r="17" spans="3:5" ht="15.6" x14ac:dyDescent="0.3">
      <c r="C17" s="8" t="s">
        <v>4</v>
      </c>
      <c r="D17" s="16"/>
      <c r="E17" s="12">
        <v>146300</v>
      </c>
    </row>
    <row r="18" spans="3:5" ht="15.6" x14ac:dyDescent="0.3">
      <c r="C18" s="2" t="s">
        <v>5</v>
      </c>
      <c r="D18" s="17"/>
      <c r="E18" s="12">
        <v>0</v>
      </c>
    </row>
    <row r="19" spans="3:5" ht="15.6" x14ac:dyDescent="0.3">
      <c r="C19" s="24" t="s">
        <v>6</v>
      </c>
      <c r="D19" s="21"/>
      <c r="E19" s="13">
        <f>SUM(E5:E18)</f>
        <v>6491114.9500000114</v>
      </c>
    </row>
    <row r="20" spans="3:5" ht="17.25" customHeight="1" x14ac:dyDescent="0.3">
      <c r="C20" s="2"/>
      <c r="D20" s="18"/>
      <c r="E20" s="13"/>
    </row>
    <row r="21" spans="3:5" ht="15.6" x14ac:dyDescent="0.3">
      <c r="C21" s="8" t="s">
        <v>0</v>
      </c>
      <c r="D21" s="22"/>
      <c r="E21" s="23">
        <f>E19*0.19</f>
        <v>1233311.8405000023</v>
      </c>
    </row>
    <row r="22" spans="3:5" ht="15.6" x14ac:dyDescent="0.3">
      <c r="C22" s="3" t="s">
        <v>1</v>
      </c>
      <c r="D22" s="18"/>
      <c r="E22" s="14">
        <f>+E19+E21</f>
        <v>7724426.7905000132</v>
      </c>
    </row>
  </sheetData>
  <conditionalFormatting sqref="C5:E16">
    <cfRule type="expression" dxfId="1" priority="1">
      <formula>$E5=0</formula>
    </cfRule>
  </conditionalFormatting>
  <conditionalFormatting sqref="D2">
    <cfRule type="duplicateValues" dxfId="0" priority="3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99"/>
  <sheetViews>
    <sheetView tabSelected="1" zoomScale="90" zoomScaleNormal="90" workbookViewId="0">
      <selection activeCell="F2" sqref="F2"/>
    </sheetView>
  </sheetViews>
  <sheetFormatPr baseColWidth="10" defaultColWidth="12.109375" defaultRowHeight="14.4" x14ac:dyDescent="0.3"/>
  <cols>
    <col min="2" max="2" width="11.109375" bestFit="1" customWidth="1"/>
    <col min="4" max="4" width="16.109375" style="9" bestFit="1" customWidth="1"/>
    <col min="5" max="5" width="18" bestFit="1" customWidth="1"/>
    <col min="9" max="9" width="26.6640625" bestFit="1" customWidth="1"/>
    <col min="18" max="18" width="12.109375" style="29"/>
    <col min="19" max="19" width="14.21875" customWidth="1"/>
  </cols>
  <sheetData>
    <row r="1" spans="1:22" x14ac:dyDescent="0.3">
      <c r="A1" t="s">
        <v>21</v>
      </c>
      <c r="B1" t="s">
        <v>20</v>
      </c>
      <c r="C1" t="s">
        <v>7</v>
      </c>
      <c r="D1" s="9" t="s">
        <v>8</v>
      </c>
      <c r="E1" t="s">
        <v>18</v>
      </c>
      <c r="F1" t="s">
        <v>26</v>
      </c>
      <c r="G1" t="s">
        <v>9</v>
      </c>
      <c r="H1" t="s">
        <v>10</v>
      </c>
      <c r="I1" t="s">
        <v>24</v>
      </c>
      <c r="J1" t="s">
        <v>27</v>
      </c>
      <c r="K1" t="s">
        <v>17</v>
      </c>
      <c r="L1" t="s">
        <v>11</v>
      </c>
      <c r="M1" t="s">
        <v>12</v>
      </c>
      <c r="N1" t="s">
        <v>19</v>
      </c>
      <c r="O1" t="s">
        <v>13</v>
      </c>
      <c r="P1" t="s">
        <v>14</v>
      </c>
      <c r="Q1" t="s">
        <v>15</v>
      </c>
      <c r="R1" s="29" t="s">
        <v>16</v>
      </c>
      <c r="S1" t="s">
        <v>25</v>
      </c>
      <c r="T1" t="s">
        <v>22</v>
      </c>
      <c r="U1" t="s">
        <v>28</v>
      </c>
      <c r="V1" t="s">
        <v>23</v>
      </c>
    </row>
    <row r="2" spans="1:22" x14ac:dyDescent="0.3">
      <c r="A2">
        <v>79452</v>
      </c>
      <c r="B2">
        <v>141079485</v>
      </c>
      <c r="C2" t="s">
        <v>529</v>
      </c>
      <c r="D2" s="9">
        <v>268963963</v>
      </c>
      <c r="E2" t="s">
        <v>530</v>
      </c>
      <c r="F2" t="s">
        <v>531</v>
      </c>
      <c r="G2" t="s">
        <v>30</v>
      </c>
      <c r="H2" t="s">
        <v>31</v>
      </c>
      <c r="I2" t="s">
        <v>52</v>
      </c>
      <c r="J2" t="s">
        <v>32</v>
      </c>
      <c r="K2" t="s">
        <v>37</v>
      </c>
      <c r="L2" t="s">
        <v>532</v>
      </c>
      <c r="M2" t="s">
        <v>533</v>
      </c>
      <c r="N2" t="s">
        <v>534</v>
      </c>
      <c r="O2" t="s">
        <v>39</v>
      </c>
      <c r="P2" t="s">
        <v>535</v>
      </c>
      <c r="Q2" t="s">
        <v>40</v>
      </c>
      <c r="R2" s="29">
        <v>46113.395833333336</v>
      </c>
      <c r="S2">
        <v>1.04</v>
      </c>
      <c r="T2">
        <v>4905</v>
      </c>
      <c r="U2">
        <v>0</v>
      </c>
      <c r="V2">
        <v>4905</v>
      </c>
    </row>
    <row r="3" spans="1:22" x14ac:dyDescent="0.3">
      <c r="A3">
        <v>79452</v>
      </c>
      <c r="B3">
        <v>455164697</v>
      </c>
      <c r="C3" t="s">
        <v>536</v>
      </c>
      <c r="D3" s="9">
        <v>270656374</v>
      </c>
      <c r="E3" t="s">
        <v>530</v>
      </c>
      <c r="F3" t="s">
        <v>531</v>
      </c>
      <c r="G3" t="s">
        <v>30</v>
      </c>
      <c r="H3" t="s">
        <v>31</v>
      </c>
      <c r="I3" t="s">
        <v>52</v>
      </c>
      <c r="J3" t="s">
        <v>32</v>
      </c>
      <c r="K3" t="s">
        <v>29</v>
      </c>
      <c r="L3" t="s">
        <v>537</v>
      </c>
      <c r="M3" t="s">
        <v>538</v>
      </c>
      <c r="N3" t="s">
        <v>534</v>
      </c>
      <c r="O3" t="s">
        <v>39</v>
      </c>
      <c r="P3" t="s">
        <v>539</v>
      </c>
      <c r="Q3" t="s">
        <v>36</v>
      </c>
      <c r="R3" s="29">
        <v>46163.863888888889</v>
      </c>
      <c r="S3">
        <v>0.62</v>
      </c>
      <c r="T3">
        <v>5564</v>
      </c>
      <c r="U3">
        <v>0</v>
      </c>
      <c r="V3">
        <v>5564</v>
      </c>
    </row>
    <row r="4" spans="1:22" x14ac:dyDescent="0.3">
      <c r="A4">
        <v>79452</v>
      </c>
      <c r="B4">
        <v>455164702</v>
      </c>
      <c r="C4" t="s">
        <v>540</v>
      </c>
      <c r="D4" s="9">
        <v>270656356</v>
      </c>
      <c r="E4" t="s">
        <v>530</v>
      </c>
      <c r="F4" t="s">
        <v>531</v>
      </c>
      <c r="G4" t="s">
        <v>30</v>
      </c>
      <c r="H4" t="s">
        <v>31</v>
      </c>
      <c r="I4" t="s">
        <v>52</v>
      </c>
      <c r="J4" t="s">
        <v>32</v>
      </c>
      <c r="K4" t="s">
        <v>29</v>
      </c>
      <c r="L4" t="s">
        <v>541</v>
      </c>
      <c r="M4" t="s">
        <v>542</v>
      </c>
      <c r="N4" t="s">
        <v>534</v>
      </c>
      <c r="O4" t="s">
        <v>39</v>
      </c>
      <c r="P4" t="s">
        <v>543</v>
      </c>
      <c r="Q4" t="s">
        <v>80</v>
      </c>
      <c r="R4" s="29">
        <v>46163.863888888889</v>
      </c>
      <c r="S4">
        <v>1</v>
      </c>
      <c r="T4">
        <v>5295</v>
      </c>
      <c r="U4">
        <v>0</v>
      </c>
      <c r="V4">
        <v>5295</v>
      </c>
    </row>
    <row r="5" spans="1:22" x14ac:dyDescent="0.3">
      <c r="A5">
        <v>79452</v>
      </c>
      <c r="B5">
        <v>455164686</v>
      </c>
      <c r="C5" t="s">
        <v>544</v>
      </c>
      <c r="D5" s="9">
        <v>270656429</v>
      </c>
      <c r="E5" t="s">
        <v>530</v>
      </c>
      <c r="F5" t="s">
        <v>531</v>
      </c>
      <c r="G5" t="s">
        <v>30</v>
      </c>
      <c r="H5" t="s">
        <v>31</v>
      </c>
      <c r="I5" t="s">
        <v>52</v>
      </c>
      <c r="J5" t="s">
        <v>32</v>
      </c>
      <c r="K5" t="s">
        <v>29</v>
      </c>
      <c r="L5" t="s">
        <v>545</v>
      </c>
      <c r="M5" t="s">
        <v>546</v>
      </c>
      <c r="N5" t="s">
        <v>534</v>
      </c>
      <c r="O5" t="s">
        <v>39</v>
      </c>
      <c r="P5" t="s">
        <v>547</v>
      </c>
      <c r="Q5" t="s">
        <v>162</v>
      </c>
      <c r="R5" s="29">
        <v>46163.863888888889</v>
      </c>
      <c r="S5">
        <v>1.44</v>
      </c>
      <c r="T5">
        <v>5564</v>
      </c>
      <c r="U5">
        <v>0</v>
      </c>
      <c r="V5">
        <v>5564</v>
      </c>
    </row>
    <row r="6" spans="1:22" x14ac:dyDescent="0.3">
      <c r="A6">
        <v>79452</v>
      </c>
      <c r="B6">
        <v>455164709</v>
      </c>
      <c r="C6" t="s">
        <v>548</v>
      </c>
      <c r="D6" s="9">
        <v>270656299</v>
      </c>
      <c r="E6" t="s">
        <v>530</v>
      </c>
      <c r="F6" t="s">
        <v>531</v>
      </c>
      <c r="G6" t="s">
        <v>30</v>
      </c>
      <c r="H6" t="s">
        <v>31</v>
      </c>
      <c r="I6" t="s">
        <v>52</v>
      </c>
      <c r="J6" t="s">
        <v>32</v>
      </c>
      <c r="K6" t="s">
        <v>29</v>
      </c>
      <c r="L6" t="s">
        <v>549</v>
      </c>
      <c r="M6" t="s">
        <v>550</v>
      </c>
      <c r="N6" t="s">
        <v>534</v>
      </c>
      <c r="O6" t="s">
        <v>39</v>
      </c>
      <c r="P6" t="s">
        <v>551</v>
      </c>
      <c r="Q6" t="s">
        <v>44</v>
      </c>
      <c r="R6" s="29">
        <v>46163.863888888889</v>
      </c>
      <c r="S6">
        <v>1</v>
      </c>
      <c r="T6">
        <v>4205</v>
      </c>
      <c r="U6">
        <v>0</v>
      </c>
      <c r="V6">
        <v>4205</v>
      </c>
    </row>
    <row r="7" spans="1:22" x14ac:dyDescent="0.3">
      <c r="A7">
        <v>79452</v>
      </c>
      <c r="B7">
        <v>455164694</v>
      </c>
      <c r="C7" t="s">
        <v>552</v>
      </c>
      <c r="D7" s="9">
        <v>270656378</v>
      </c>
      <c r="E7" t="s">
        <v>530</v>
      </c>
      <c r="F7" t="s">
        <v>531</v>
      </c>
      <c r="G7" t="s">
        <v>30</v>
      </c>
      <c r="H7" t="s">
        <v>31</v>
      </c>
      <c r="I7" t="s">
        <v>52</v>
      </c>
      <c r="J7" t="s">
        <v>32</v>
      </c>
      <c r="K7" t="s">
        <v>29</v>
      </c>
      <c r="L7" t="s">
        <v>553</v>
      </c>
      <c r="M7" t="s">
        <v>554</v>
      </c>
      <c r="N7" t="s">
        <v>534</v>
      </c>
      <c r="O7" t="s">
        <v>39</v>
      </c>
      <c r="P7" t="s">
        <v>555</v>
      </c>
      <c r="Q7" t="s">
        <v>69</v>
      </c>
      <c r="R7" s="29">
        <v>46163.863888888889</v>
      </c>
      <c r="S7">
        <v>1</v>
      </c>
      <c r="T7">
        <v>5024</v>
      </c>
      <c r="U7">
        <v>0</v>
      </c>
      <c r="V7">
        <v>5024</v>
      </c>
    </row>
    <row r="8" spans="1:22" x14ac:dyDescent="0.3">
      <c r="A8">
        <v>79452</v>
      </c>
      <c r="B8">
        <v>455164705</v>
      </c>
      <c r="C8" t="s">
        <v>556</v>
      </c>
      <c r="D8" s="9">
        <v>270656330</v>
      </c>
      <c r="E8" t="s">
        <v>530</v>
      </c>
      <c r="F8" t="s">
        <v>531</v>
      </c>
      <c r="G8" t="s">
        <v>30</v>
      </c>
      <c r="H8" t="s">
        <v>31</v>
      </c>
      <c r="I8" t="s">
        <v>52</v>
      </c>
      <c r="J8" t="s">
        <v>32</v>
      </c>
      <c r="K8" t="s">
        <v>29</v>
      </c>
      <c r="L8" t="s">
        <v>557</v>
      </c>
      <c r="M8" t="s">
        <v>558</v>
      </c>
      <c r="N8" t="s">
        <v>534</v>
      </c>
      <c r="O8" t="s">
        <v>39</v>
      </c>
      <c r="P8" t="s">
        <v>559</v>
      </c>
      <c r="Q8" t="s">
        <v>62</v>
      </c>
      <c r="R8" s="29">
        <v>46163.863888888889</v>
      </c>
      <c r="S8">
        <v>1</v>
      </c>
      <c r="T8">
        <v>3935</v>
      </c>
      <c r="U8">
        <v>0</v>
      </c>
      <c r="V8">
        <v>3935</v>
      </c>
    </row>
    <row r="9" spans="1:22" x14ac:dyDescent="0.3">
      <c r="A9">
        <v>79452</v>
      </c>
      <c r="B9">
        <v>455164689</v>
      </c>
      <c r="C9" t="s">
        <v>560</v>
      </c>
      <c r="D9" s="9">
        <v>270656402</v>
      </c>
      <c r="E9" t="s">
        <v>530</v>
      </c>
      <c r="F9" t="s">
        <v>531</v>
      </c>
      <c r="G9" t="s">
        <v>30</v>
      </c>
      <c r="H9" t="s">
        <v>31</v>
      </c>
      <c r="I9" t="s">
        <v>52</v>
      </c>
      <c r="J9" t="s">
        <v>32</v>
      </c>
      <c r="K9" t="s">
        <v>29</v>
      </c>
      <c r="L9" t="s">
        <v>561</v>
      </c>
      <c r="M9" t="s">
        <v>562</v>
      </c>
      <c r="N9" t="s">
        <v>534</v>
      </c>
      <c r="O9" t="s">
        <v>39</v>
      </c>
      <c r="P9" t="s">
        <v>563</v>
      </c>
      <c r="Q9" t="s">
        <v>65</v>
      </c>
      <c r="R9" s="29">
        <v>46163.863888888889</v>
      </c>
      <c r="S9">
        <v>1</v>
      </c>
      <c r="T9">
        <v>3935</v>
      </c>
      <c r="U9">
        <v>0</v>
      </c>
      <c r="V9">
        <v>3935</v>
      </c>
    </row>
    <row r="10" spans="1:22" x14ac:dyDescent="0.3">
      <c r="A10">
        <v>79452</v>
      </c>
      <c r="B10">
        <v>455049354</v>
      </c>
      <c r="C10" t="s">
        <v>564</v>
      </c>
      <c r="D10" s="9">
        <v>270485943</v>
      </c>
      <c r="E10" t="s">
        <v>530</v>
      </c>
      <c r="F10" t="s">
        <v>531</v>
      </c>
      <c r="G10" t="s">
        <v>30</v>
      </c>
      <c r="H10" t="s">
        <v>31</v>
      </c>
      <c r="I10" t="s">
        <v>52</v>
      </c>
      <c r="J10" t="s">
        <v>32</v>
      </c>
      <c r="K10" t="s">
        <v>29</v>
      </c>
      <c r="L10" t="s">
        <v>565</v>
      </c>
      <c r="M10" t="s">
        <v>566</v>
      </c>
      <c r="N10" t="s">
        <v>534</v>
      </c>
      <c r="O10" t="s">
        <v>39</v>
      </c>
      <c r="P10" t="s">
        <v>567</v>
      </c>
      <c r="Q10" t="s">
        <v>84</v>
      </c>
      <c r="R10" s="29">
        <v>46161.417361111111</v>
      </c>
      <c r="S10">
        <v>1.39</v>
      </c>
      <c r="T10">
        <v>5564</v>
      </c>
      <c r="U10">
        <v>0</v>
      </c>
      <c r="V10">
        <v>5564</v>
      </c>
    </row>
    <row r="11" spans="1:22" x14ac:dyDescent="0.3">
      <c r="A11">
        <v>79452</v>
      </c>
      <c r="B11">
        <v>455086781</v>
      </c>
      <c r="C11" t="s">
        <v>568</v>
      </c>
      <c r="D11" s="9">
        <v>270561047</v>
      </c>
      <c r="E11" t="s">
        <v>530</v>
      </c>
      <c r="F11" t="s">
        <v>531</v>
      </c>
      <c r="G11" t="s">
        <v>30</v>
      </c>
      <c r="H11" t="s">
        <v>31</v>
      </c>
      <c r="I11" t="s">
        <v>52</v>
      </c>
      <c r="J11" t="s">
        <v>32</v>
      </c>
      <c r="K11" t="s">
        <v>29</v>
      </c>
      <c r="L11" t="s">
        <v>569</v>
      </c>
      <c r="M11" t="s">
        <v>570</v>
      </c>
      <c r="N11" t="s">
        <v>534</v>
      </c>
      <c r="O11" t="s">
        <v>39</v>
      </c>
      <c r="P11" t="s">
        <v>571</v>
      </c>
      <c r="Q11" t="s">
        <v>162</v>
      </c>
      <c r="R11" s="29">
        <v>46162.438888888886</v>
      </c>
      <c r="S11">
        <v>1</v>
      </c>
      <c r="T11">
        <v>5564</v>
      </c>
      <c r="U11">
        <v>0</v>
      </c>
      <c r="V11">
        <v>5564</v>
      </c>
    </row>
    <row r="12" spans="1:22" x14ac:dyDescent="0.3">
      <c r="A12">
        <v>79452</v>
      </c>
      <c r="B12">
        <v>455164690</v>
      </c>
      <c r="C12" t="s">
        <v>572</v>
      </c>
      <c r="D12" s="9">
        <v>270656397</v>
      </c>
      <c r="E12" t="s">
        <v>530</v>
      </c>
      <c r="F12" t="s">
        <v>531</v>
      </c>
      <c r="G12" t="s">
        <v>30</v>
      </c>
      <c r="H12" t="s">
        <v>31</v>
      </c>
      <c r="I12" t="s">
        <v>52</v>
      </c>
      <c r="J12" t="s">
        <v>32</v>
      </c>
      <c r="K12" t="s">
        <v>29</v>
      </c>
      <c r="L12" t="s">
        <v>573</v>
      </c>
      <c r="M12" t="s">
        <v>574</v>
      </c>
      <c r="N12" t="s">
        <v>534</v>
      </c>
      <c r="O12" t="s">
        <v>39</v>
      </c>
      <c r="P12" t="s">
        <v>575</v>
      </c>
      <c r="Q12" t="s">
        <v>33</v>
      </c>
      <c r="R12" s="29">
        <v>46163.863888888889</v>
      </c>
      <c r="S12">
        <v>1</v>
      </c>
      <c r="T12">
        <v>3631</v>
      </c>
      <c r="U12">
        <v>0</v>
      </c>
      <c r="V12">
        <v>3631</v>
      </c>
    </row>
    <row r="13" spans="1:22" x14ac:dyDescent="0.3">
      <c r="A13">
        <v>79452</v>
      </c>
      <c r="B13">
        <v>455074323</v>
      </c>
      <c r="C13" t="s">
        <v>576</v>
      </c>
      <c r="D13" s="9">
        <v>270561084</v>
      </c>
      <c r="E13" t="s">
        <v>530</v>
      </c>
      <c r="F13" t="s">
        <v>531</v>
      </c>
      <c r="G13" t="s">
        <v>30</v>
      </c>
      <c r="H13" t="s">
        <v>31</v>
      </c>
      <c r="I13" t="s">
        <v>52</v>
      </c>
      <c r="J13" t="s">
        <v>32</v>
      </c>
      <c r="K13" t="s">
        <v>29</v>
      </c>
      <c r="L13" t="s">
        <v>577</v>
      </c>
      <c r="M13" t="s">
        <v>578</v>
      </c>
      <c r="N13" t="s">
        <v>534</v>
      </c>
      <c r="O13" t="s">
        <v>39</v>
      </c>
      <c r="P13" t="s">
        <v>579</v>
      </c>
      <c r="Q13" t="s">
        <v>189</v>
      </c>
      <c r="R13" s="29">
        <v>46161.835416666669</v>
      </c>
      <c r="S13">
        <v>1</v>
      </c>
      <c r="T13">
        <v>3250</v>
      </c>
      <c r="U13">
        <v>0</v>
      </c>
      <c r="V13">
        <v>3250</v>
      </c>
    </row>
    <row r="14" spans="1:22" x14ac:dyDescent="0.3">
      <c r="A14">
        <v>79452</v>
      </c>
      <c r="B14">
        <v>455164701</v>
      </c>
      <c r="C14" t="s">
        <v>580</v>
      </c>
      <c r="D14" s="9">
        <v>270656362</v>
      </c>
      <c r="E14" t="s">
        <v>530</v>
      </c>
      <c r="F14" t="s">
        <v>531</v>
      </c>
      <c r="G14" t="s">
        <v>30</v>
      </c>
      <c r="H14" t="s">
        <v>31</v>
      </c>
      <c r="I14" t="s">
        <v>52</v>
      </c>
      <c r="J14" t="s">
        <v>32</v>
      </c>
      <c r="K14" t="s">
        <v>29</v>
      </c>
      <c r="L14" t="s">
        <v>581</v>
      </c>
      <c r="M14" t="s">
        <v>582</v>
      </c>
      <c r="N14" t="s">
        <v>534</v>
      </c>
      <c r="O14" t="s">
        <v>39</v>
      </c>
      <c r="P14" t="s">
        <v>583</v>
      </c>
      <c r="Q14" t="s">
        <v>34</v>
      </c>
      <c r="R14" s="29">
        <v>46163.863888888889</v>
      </c>
      <c r="S14">
        <v>1</v>
      </c>
      <c r="T14">
        <v>3653</v>
      </c>
      <c r="U14">
        <v>0</v>
      </c>
      <c r="V14">
        <v>3653</v>
      </c>
    </row>
    <row r="15" spans="1:22" x14ac:dyDescent="0.3">
      <c r="A15">
        <v>79452</v>
      </c>
      <c r="B15">
        <v>455164696</v>
      </c>
      <c r="C15" t="s">
        <v>584</v>
      </c>
      <c r="D15" s="9">
        <v>270656386</v>
      </c>
      <c r="E15" t="s">
        <v>530</v>
      </c>
      <c r="F15" t="s">
        <v>531</v>
      </c>
      <c r="G15" t="s">
        <v>30</v>
      </c>
      <c r="H15" t="s">
        <v>31</v>
      </c>
      <c r="I15" t="s">
        <v>52</v>
      </c>
      <c r="J15" t="s">
        <v>32</v>
      </c>
      <c r="K15" t="s">
        <v>29</v>
      </c>
      <c r="L15" t="s">
        <v>585</v>
      </c>
      <c r="M15" t="s">
        <v>586</v>
      </c>
      <c r="N15" t="s">
        <v>534</v>
      </c>
      <c r="O15" t="s">
        <v>39</v>
      </c>
      <c r="P15" t="s">
        <v>587</v>
      </c>
      <c r="Q15" t="s">
        <v>63</v>
      </c>
      <c r="R15" s="29">
        <v>46163.863888888889</v>
      </c>
      <c r="S15">
        <v>1.02</v>
      </c>
      <c r="T15">
        <v>3384</v>
      </c>
      <c r="U15">
        <v>0</v>
      </c>
      <c r="V15">
        <v>3384</v>
      </c>
    </row>
    <row r="16" spans="1:22" x14ac:dyDescent="0.3">
      <c r="A16">
        <v>79452</v>
      </c>
      <c r="B16">
        <v>455164687</v>
      </c>
      <c r="C16" t="s">
        <v>588</v>
      </c>
      <c r="D16" s="9">
        <v>270656424</v>
      </c>
      <c r="E16" t="s">
        <v>530</v>
      </c>
      <c r="F16" t="s">
        <v>531</v>
      </c>
      <c r="G16" t="s">
        <v>30</v>
      </c>
      <c r="H16" t="s">
        <v>31</v>
      </c>
      <c r="I16" t="s">
        <v>52</v>
      </c>
      <c r="J16" t="s">
        <v>32</v>
      </c>
      <c r="K16" t="s">
        <v>29</v>
      </c>
      <c r="L16" t="s">
        <v>589</v>
      </c>
      <c r="M16" t="s">
        <v>590</v>
      </c>
      <c r="N16" t="s">
        <v>534</v>
      </c>
      <c r="O16" t="s">
        <v>39</v>
      </c>
      <c r="P16" t="s">
        <v>591</v>
      </c>
      <c r="Q16" t="s">
        <v>79</v>
      </c>
      <c r="R16" s="29">
        <v>46163.863888888889</v>
      </c>
      <c r="S16">
        <v>1</v>
      </c>
      <c r="T16">
        <v>3631</v>
      </c>
      <c r="U16">
        <v>0</v>
      </c>
      <c r="V16">
        <v>3631</v>
      </c>
    </row>
    <row r="17" spans="1:22" x14ac:dyDescent="0.3">
      <c r="A17">
        <v>79452</v>
      </c>
      <c r="B17">
        <v>455164704</v>
      </c>
      <c r="C17" t="s">
        <v>592</v>
      </c>
      <c r="D17" s="9">
        <v>270656333</v>
      </c>
      <c r="E17" t="s">
        <v>530</v>
      </c>
      <c r="F17" t="s">
        <v>531</v>
      </c>
      <c r="G17" t="s">
        <v>30</v>
      </c>
      <c r="H17" t="s">
        <v>31</v>
      </c>
      <c r="I17" t="s">
        <v>52</v>
      </c>
      <c r="J17" t="s">
        <v>32</v>
      </c>
      <c r="K17" t="s">
        <v>29</v>
      </c>
      <c r="L17" t="s">
        <v>593</v>
      </c>
      <c r="M17" t="s">
        <v>594</v>
      </c>
      <c r="N17" t="s">
        <v>534</v>
      </c>
      <c r="O17" t="s">
        <v>39</v>
      </c>
      <c r="P17" t="s">
        <v>595</v>
      </c>
      <c r="Q17" t="s">
        <v>73</v>
      </c>
      <c r="R17" s="29">
        <v>46163.863888888889</v>
      </c>
      <c r="S17">
        <v>1</v>
      </c>
      <c r="T17">
        <v>3250</v>
      </c>
      <c r="U17">
        <v>0</v>
      </c>
      <c r="V17">
        <v>3250</v>
      </c>
    </row>
    <row r="18" spans="1:22" x14ac:dyDescent="0.3">
      <c r="A18">
        <v>79452</v>
      </c>
      <c r="B18">
        <v>454971648</v>
      </c>
      <c r="C18" t="s">
        <v>596</v>
      </c>
      <c r="D18" s="9">
        <v>270306498</v>
      </c>
      <c r="E18" t="s">
        <v>530</v>
      </c>
      <c r="F18" t="s">
        <v>531</v>
      </c>
      <c r="G18" t="s">
        <v>30</v>
      </c>
      <c r="H18" t="s">
        <v>31</v>
      </c>
      <c r="I18" t="s">
        <v>52</v>
      </c>
      <c r="J18" t="s">
        <v>32</v>
      </c>
      <c r="K18" t="s">
        <v>29</v>
      </c>
      <c r="L18" t="s">
        <v>597</v>
      </c>
      <c r="M18" t="s">
        <v>598</v>
      </c>
      <c r="N18" t="s">
        <v>534</v>
      </c>
      <c r="O18" t="s">
        <v>39</v>
      </c>
      <c r="P18" t="s">
        <v>599</v>
      </c>
      <c r="Q18" t="s">
        <v>69</v>
      </c>
      <c r="R18" s="29">
        <v>46158.440972222219</v>
      </c>
      <c r="S18">
        <v>1</v>
      </c>
      <c r="T18">
        <v>5024</v>
      </c>
      <c r="U18">
        <v>0</v>
      </c>
      <c r="V18">
        <v>5024</v>
      </c>
    </row>
    <row r="19" spans="1:22" x14ac:dyDescent="0.3">
      <c r="A19">
        <v>79452</v>
      </c>
      <c r="B19">
        <v>455086767</v>
      </c>
      <c r="C19" t="s">
        <v>600</v>
      </c>
      <c r="D19" s="9">
        <v>270561074</v>
      </c>
      <c r="E19" t="s">
        <v>530</v>
      </c>
      <c r="F19" t="s">
        <v>531</v>
      </c>
      <c r="G19" t="s">
        <v>30</v>
      </c>
      <c r="H19" t="s">
        <v>31</v>
      </c>
      <c r="I19" t="s">
        <v>52</v>
      </c>
      <c r="J19" t="s">
        <v>32</v>
      </c>
      <c r="K19" t="s">
        <v>29</v>
      </c>
      <c r="L19" t="s">
        <v>601</v>
      </c>
      <c r="M19" t="s">
        <v>602</v>
      </c>
      <c r="N19" t="s">
        <v>534</v>
      </c>
      <c r="O19" t="s">
        <v>39</v>
      </c>
      <c r="P19" t="s">
        <v>603</v>
      </c>
      <c r="Q19" t="s">
        <v>38</v>
      </c>
      <c r="R19" s="29">
        <v>46162.438194444447</v>
      </c>
      <c r="S19">
        <v>1</v>
      </c>
      <c r="T19">
        <v>3250</v>
      </c>
      <c r="U19">
        <v>0</v>
      </c>
      <c r="V19">
        <v>3250</v>
      </c>
    </row>
    <row r="20" spans="1:22" x14ac:dyDescent="0.3">
      <c r="A20">
        <v>79452</v>
      </c>
      <c r="B20">
        <v>455037848</v>
      </c>
      <c r="C20" t="s">
        <v>604</v>
      </c>
      <c r="D20" s="9">
        <v>270485991</v>
      </c>
      <c r="E20" t="s">
        <v>530</v>
      </c>
      <c r="F20" t="s">
        <v>531</v>
      </c>
      <c r="G20" t="s">
        <v>30</v>
      </c>
      <c r="H20" t="s">
        <v>31</v>
      </c>
      <c r="I20" t="s">
        <v>52</v>
      </c>
      <c r="J20" t="s">
        <v>32</v>
      </c>
      <c r="K20" t="s">
        <v>29</v>
      </c>
      <c r="L20" t="s">
        <v>605</v>
      </c>
      <c r="M20" t="s">
        <v>606</v>
      </c>
      <c r="N20" t="s">
        <v>534</v>
      </c>
      <c r="O20" t="s">
        <v>39</v>
      </c>
      <c r="P20" t="s">
        <v>607</v>
      </c>
      <c r="Q20" t="s">
        <v>69</v>
      </c>
      <c r="R20" s="29">
        <v>46160.874305555553</v>
      </c>
      <c r="S20">
        <v>1</v>
      </c>
      <c r="T20">
        <v>5024</v>
      </c>
      <c r="U20">
        <v>0</v>
      </c>
      <c r="V20">
        <v>5024</v>
      </c>
    </row>
    <row r="21" spans="1:22" x14ac:dyDescent="0.3">
      <c r="A21">
        <v>79452</v>
      </c>
      <c r="B21">
        <v>454964601</v>
      </c>
      <c r="C21" t="s">
        <v>608</v>
      </c>
      <c r="D21" s="9">
        <v>270306503</v>
      </c>
      <c r="E21" t="s">
        <v>530</v>
      </c>
      <c r="F21" t="s">
        <v>531</v>
      </c>
      <c r="G21" t="s">
        <v>30</v>
      </c>
      <c r="H21" t="s">
        <v>31</v>
      </c>
      <c r="I21" t="s">
        <v>52</v>
      </c>
      <c r="J21" t="s">
        <v>32</v>
      </c>
      <c r="K21" t="s">
        <v>29</v>
      </c>
      <c r="L21" t="s">
        <v>609</v>
      </c>
      <c r="M21" t="s">
        <v>610</v>
      </c>
      <c r="N21" t="s">
        <v>534</v>
      </c>
      <c r="O21" t="s">
        <v>39</v>
      </c>
      <c r="P21" t="s">
        <v>611</v>
      </c>
      <c r="Q21" t="s">
        <v>42</v>
      </c>
      <c r="R21" s="29">
        <v>46157.845833333333</v>
      </c>
      <c r="S21">
        <v>1</v>
      </c>
      <c r="T21">
        <v>3250</v>
      </c>
      <c r="U21">
        <v>0</v>
      </c>
      <c r="V21">
        <v>3250</v>
      </c>
    </row>
    <row r="22" spans="1:22" x14ac:dyDescent="0.3">
      <c r="A22">
        <v>79452</v>
      </c>
      <c r="B22">
        <v>455074327</v>
      </c>
      <c r="C22" t="s">
        <v>612</v>
      </c>
      <c r="D22" s="9">
        <v>270561061</v>
      </c>
      <c r="E22" t="s">
        <v>530</v>
      </c>
      <c r="F22" t="s">
        <v>531</v>
      </c>
      <c r="G22" t="s">
        <v>30</v>
      </c>
      <c r="H22" t="s">
        <v>31</v>
      </c>
      <c r="I22" t="s">
        <v>52</v>
      </c>
      <c r="J22" t="s">
        <v>32</v>
      </c>
      <c r="K22" t="s">
        <v>29</v>
      </c>
      <c r="L22" t="s">
        <v>613</v>
      </c>
      <c r="M22" t="s">
        <v>614</v>
      </c>
      <c r="N22" t="s">
        <v>534</v>
      </c>
      <c r="O22" t="s">
        <v>39</v>
      </c>
      <c r="P22" t="s">
        <v>615</v>
      </c>
      <c r="Q22" t="s">
        <v>76</v>
      </c>
      <c r="R22" s="29">
        <v>46161.835416666669</v>
      </c>
      <c r="S22">
        <v>1</v>
      </c>
      <c r="T22">
        <v>3653</v>
      </c>
      <c r="U22">
        <v>0</v>
      </c>
      <c r="V22">
        <v>3653</v>
      </c>
    </row>
    <row r="23" spans="1:22" x14ac:dyDescent="0.3">
      <c r="A23">
        <v>79452</v>
      </c>
      <c r="B23">
        <v>455049350</v>
      </c>
      <c r="C23" t="s">
        <v>616</v>
      </c>
      <c r="D23" s="9">
        <v>270485976</v>
      </c>
      <c r="E23" t="s">
        <v>530</v>
      </c>
      <c r="F23" t="s">
        <v>531</v>
      </c>
      <c r="G23" t="s">
        <v>30</v>
      </c>
      <c r="H23" t="s">
        <v>31</v>
      </c>
      <c r="I23" t="s">
        <v>52</v>
      </c>
      <c r="J23" t="s">
        <v>32</v>
      </c>
      <c r="K23" t="s">
        <v>29</v>
      </c>
      <c r="L23" t="s">
        <v>617</v>
      </c>
      <c r="M23" t="s">
        <v>618</v>
      </c>
      <c r="N23" t="s">
        <v>534</v>
      </c>
      <c r="O23" t="s">
        <v>39</v>
      </c>
      <c r="P23" t="s">
        <v>619</v>
      </c>
      <c r="Q23" t="s">
        <v>69</v>
      </c>
      <c r="R23" s="29">
        <v>46161.417361111111</v>
      </c>
      <c r="S23">
        <v>1</v>
      </c>
      <c r="T23">
        <v>5024</v>
      </c>
      <c r="U23">
        <v>0</v>
      </c>
      <c r="V23">
        <v>5024</v>
      </c>
    </row>
    <row r="24" spans="1:22" x14ac:dyDescent="0.3">
      <c r="A24">
        <v>79452</v>
      </c>
      <c r="B24">
        <v>455016980</v>
      </c>
      <c r="C24" t="s">
        <v>620</v>
      </c>
      <c r="D24" s="9">
        <v>270406155</v>
      </c>
      <c r="E24" t="s">
        <v>530</v>
      </c>
      <c r="F24" t="s">
        <v>531</v>
      </c>
      <c r="G24" t="s">
        <v>30</v>
      </c>
      <c r="H24" t="s">
        <v>31</v>
      </c>
      <c r="I24" t="s">
        <v>52</v>
      </c>
      <c r="J24" t="s">
        <v>32</v>
      </c>
      <c r="K24" t="s">
        <v>29</v>
      </c>
      <c r="L24" t="s">
        <v>621</v>
      </c>
      <c r="M24" t="s">
        <v>622</v>
      </c>
      <c r="N24" t="s">
        <v>534</v>
      </c>
      <c r="O24" t="s">
        <v>39</v>
      </c>
      <c r="P24" t="s">
        <v>623</v>
      </c>
      <c r="Q24" t="s">
        <v>162</v>
      </c>
      <c r="R24" s="29">
        <v>46160.477083333331</v>
      </c>
      <c r="S24">
        <v>0.77</v>
      </c>
      <c r="T24">
        <v>5564</v>
      </c>
      <c r="U24">
        <v>0</v>
      </c>
      <c r="V24">
        <v>5564</v>
      </c>
    </row>
    <row r="25" spans="1:22" x14ac:dyDescent="0.3">
      <c r="A25">
        <v>79452</v>
      </c>
      <c r="B25">
        <v>455016960</v>
      </c>
      <c r="C25" t="s">
        <v>624</v>
      </c>
      <c r="D25" s="9">
        <v>270406196</v>
      </c>
      <c r="E25" t="s">
        <v>530</v>
      </c>
      <c r="F25" t="s">
        <v>531</v>
      </c>
      <c r="G25" t="s">
        <v>30</v>
      </c>
      <c r="H25" t="s">
        <v>31</v>
      </c>
      <c r="I25" t="s">
        <v>52</v>
      </c>
      <c r="J25" t="s">
        <v>32</v>
      </c>
      <c r="K25" t="s">
        <v>29</v>
      </c>
      <c r="L25" t="s">
        <v>625</v>
      </c>
      <c r="M25" t="s">
        <v>626</v>
      </c>
      <c r="N25" t="s">
        <v>534</v>
      </c>
      <c r="O25" t="s">
        <v>39</v>
      </c>
      <c r="P25" t="s">
        <v>627</v>
      </c>
      <c r="Q25" t="s">
        <v>69</v>
      </c>
      <c r="R25" s="29">
        <v>46160.477083333331</v>
      </c>
      <c r="S25">
        <v>1</v>
      </c>
      <c r="T25">
        <v>5024</v>
      </c>
      <c r="U25">
        <v>0</v>
      </c>
      <c r="V25">
        <v>5024</v>
      </c>
    </row>
    <row r="26" spans="1:22" x14ac:dyDescent="0.3">
      <c r="A26">
        <v>79452</v>
      </c>
      <c r="B26">
        <v>454996948</v>
      </c>
      <c r="C26" t="s">
        <v>628</v>
      </c>
      <c r="D26" s="9">
        <v>270406234</v>
      </c>
      <c r="E26" t="s">
        <v>530</v>
      </c>
      <c r="F26" t="s">
        <v>531</v>
      </c>
      <c r="G26" t="s">
        <v>30</v>
      </c>
      <c r="H26" t="s">
        <v>31</v>
      </c>
      <c r="I26" t="s">
        <v>52</v>
      </c>
      <c r="J26" t="s">
        <v>32</v>
      </c>
      <c r="K26" t="s">
        <v>29</v>
      </c>
      <c r="L26" t="s">
        <v>629</v>
      </c>
      <c r="M26" t="s">
        <v>630</v>
      </c>
      <c r="N26" t="s">
        <v>534</v>
      </c>
      <c r="O26" t="s">
        <v>39</v>
      </c>
      <c r="P26" t="s">
        <v>631</v>
      </c>
      <c r="Q26" t="s">
        <v>69</v>
      </c>
      <c r="R26" s="29">
        <v>46159.875</v>
      </c>
      <c r="S26">
        <v>2.63</v>
      </c>
      <c r="T26">
        <v>5024</v>
      </c>
      <c r="U26">
        <v>0</v>
      </c>
      <c r="V26">
        <v>5024</v>
      </c>
    </row>
    <row r="27" spans="1:22" x14ac:dyDescent="0.3">
      <c r="A27">
        <v>79452</v>
      </c>
      <c r="B27">
        <v>455037854</v>
      </c>
      <c r="C27" t="s">
        <v>632</v>
      </c>
      <c r="D27" s="9">
        <v>270485989</v>
      </c>
      <c r="E27" t="s">
        <v>530</v>
      </c>
      <c r="F27" t="s">
        <v>531</v>
      </c>
      <c r="G27" t="s">
        <v>30</v>
      </c>
      <c r="H27" t="s">
        <v>31</v>
      </c>
      <c r="I27" t="s">
        <v>52</v>
      </c>
      <c r="J27" t="s">
        <v>32</v>
      </c>
      <c r="K27" t="s">
        <v>29</v>
      </c>
      <c r="L27" t="s">
        <v>633</v>
      </c>
      <c r="M27" t="s">
        <v>280</v>
      </c>
      <c r="N27" t="s">
        <v>534</v>
      </c>
      <c r="O27" t="s">
        <v>39</v>
      </c>
      <c r="P27" t="s">
        <v>281</v>
      </c>
      <c r="Q27" t="s">
        <v>116</v>
      </c>
      <c r="R27" s="29">
        <v>46160.874305555553</v>
      </c>
      <c r="S27">
        <v>1</v>
      </c>
      <c r="T27">
        <v>3737</v>
      </c>
      <c r="U27">
        <v>0</v>
      </c>
      <c r="V27">
        <v>3737</v>
      </c>
    </row>
    <row r="28" spans="1:22" x14ac:dyDescent="0.3">
      <c r="A28">
        <v>79452</v>
      </c>
      <c r="B28">
        <v>454964604</v>
      </c>
      <c r="C28" t="s">
        <v>634</v>
      </c>
      <c r="D28" s="9">
        <v>270306499</v>
      </c>
      <c r="E28" t="s">
        <v>530</v>
      </c>
      <c r="F28" t="s">
        <v>531</v>
      </c>
      <c r="G28" t="s">
        <v>30</v>
      </c>
      <c r="H28" t="s">
        <v>31</v>
      </c>
      <c r="I28" t="s">
        <v>52</v>
      </c>
      <c r="J28" t="s">
        <v>32</v>
      </c>
      <c r="K28" t="s">
        <v>29</v>
      </c>
      <c r="L28" t="s">
        <v>635</v>
      </c>
      <c r="M28" t="s">
        <v>636</v>
      </c>
      <c r="N28" t="s">
        <v>534</v>
      </c>
      <c r="O28" t="s">
        <v>39</v>
      </c>
      <c r="P28" t="s">
        <v>637</v>
      </c>
      <c r="Q28" t="s">
        <v>162</v>
      </c>
      <c r="R28" s="29">
        <v>46157.845833333333</v>
      </c>
      <c r="S28">
        <v>1.54</v>
      </c>
      <c r="T28">
        <v>5564</v>
      </c>
      <c r="U28">
        <v>0</v>
      </c>
      <c r="V28">
        <v>5564</v>
      </c>
    </row>
    <row r="29" spans="1:22" x14ac:dyDescent="0.3">
      <c r="A29">
        <v>79452</v>
      </c>
      <c r="B29">
        <v>454996933</v>
      </c>
      <c r="C29" t="s">
        <v>638</v>
      </c>
      <c r="D29" s="9">
        <v>270406271</v>
      </c>
      <c r="E29" t="s">
        <v>530</v>
      </c>
      <c r="F29" t="s">
        <v>531</v>
      </c>
      <c r="G29" t="s">
        <v>30</v>
      </c>
      <c r="H29" t="s">
        <v>31</v>
      </c>
      <c r="I29" t="s">
        <v>52</v>
      </c>
      <c r="J29" t="s">
        <v>32</v>
      </c>
      <c r="K29" t="s">
        <v>29</v>
      </c>
      <c r="L29" t="s">
        <v>639</v>
      </c>
      <c r="M29" t="s">
        <v>640</v>
      </c>
      <c r="N29" t="s">
        <v>534</v>
      </c>
      <c r="O29" t="s">
        <v>39</v>
      </c>
      <c r="P29" t="s">
        <v>641</v>
      </c>
      <c r="Q29" t="s">
        <v>69</v>
      </c>
      <c r="R29" s="29">
        <v>46159.875</v>
      </c>
      <c r="S29">
        <v>0.86</v>
      </c>
      <c r="T29">
        <v>5024</v>
      </c>
      <c r="U29">
        <v>0</v>
      </c>
      <c r="V29">
        <v>5024</v>
      </c>
    </row>
    <row r="30" spans="1:22" x14ac:dyDescent="0.3">
      <c r="A30">
        <v>79452</v>
      </c>
      <c r="B30">
        <v>455037853</v>
      </c>
      <c r="C30" t="s">
        <v>642</v>
      </c>
      <c r="D30" s="9">
        <v>270485986</v>
      </c>
      <c r="E30" t="s">
        <v>530</v>
      </c>
      <c r="F30" t="s">
        <v>531</v>
      </c>
      <c r="G30" t="s">
        <v>30</v>
      </c>
      <c r="H30" t="s">
        <v>31</v>
      </c>
      <c r="I30" t="s">
        <v>52</v>
      </c>
      <c r="J30" t="s">
        <v>32</v>
      </c>
      <c r="K30" t="s">
        <v>29</v>
      </c>
      <c r="L30" t="s">
        <v>643</v>
      </c>
      <c r="M30" t="s">
        <v>644</v>
      </c>
      <c r="N30" t="s">
        <v>534</v>
      </c>
      <c r="O30" t="s">
        <v>39</v>
      </c>
      <c r="P30" t="s">
        <v>645</v>
      </c>
      <c r="Q30" t="s">
        <v>74</v>
      </c>
      <c r="R30" s="29">
        <v>46160.874305555553</v>
      </c>
      <c r="S30">
        <v>1</v>
      </c>
      <c r="T30">
        <v>3653</v>
      </c>
      <c r="U30">
        <v>0</v>
      </c>
      <c r="V30">
        <v>3653</v>
      </c>
    </row>
    <row r="31" spans="1:22" x14ac:dyDescent="0.3">
      <c r="A31">
        <v>79452</v>
      </c>
      <c r="B31">
        <v>454971650</v>
      </c>
      <c r="C31" t="s">
        <v>646</v>
      </c>
      <c r="D31" s="9">
        <v>270306497</v>
      </c>
      <c r="E31" t="s">
        <v>530</v>
      </c>
      <c r="F31" t="s">
        <v>531</v>
      </c>
      <c r="G31" t="s">
        <v>30</v>
      </c>
      <c r="H31" t="s">
        <v>31</v>
      </c>
      <c r="I31" t="s">
        <v>52</v>
      </c>
      <c r="J31" t="s">
        <v>32</v>
      </c>
      <c r="K31" t="s">
        <v>29</v>
      </c>
      <c r="L31" t="s">
        <v>647</v>
      </c>
      <c r="M31" t="s">
        <v>648</v>
      </c>
      <c r="N31" t="s">
        <v>534</v>
      </c>
      <c r="O31" t="s">
        <v>39</v>
      </c>
      <c r="P31" t="s">
        <v>649</v>
      </c>
      <c r="Q31" t="s">
        <v>188</v>
      </c>
      <c r="R31" s="29">
        <v>46158.440972222219</v>
      </c>
      <c r="S31">
        <v>1.63</v>
      </c>
      <c r="T31">
        <v>4721</v>
      </c>
      <c r="U31">
        <v>0</v>
      </c>
      <c r="V31">
        <v>4721</v>
      </c>
    </row>
    <row r="32" spans="1:22" x14ac:dyDescent="0.3">
      <c r="A32">
        <v>79452</v>
      </c>
      <c r="B32">
        <v>454971652</v>
      </c>
      <c r="C32" t="s">
        <v>650</v>
      </c>
      <c r="D32" s="9">
        <v>270306496</v>
      </c>
      <c r="E32" t="s">
        <v>530</v>
      </c>
      <c r="F32" t="s">
        <v>531</v>
      </c>
      <c r="G32" t="s">
        <v>30</v>
      </c>
      <c r="H32" t="s">
        <v>31</v>
      </c>
      <c r="I32" t="s">
        <v>52</v>
      </c>
      <c r="J32" t="s">
        <v>32</v>
      </c>
      <c r="K32" t="s">
        <v>29</v>
      </c>
      <c r="L32" t="s">
        <v>651</v>
      </c>
      <c r="M32" t="s">
        <v>652</v>
      </c>
      <c r="N32" t="s">
        <v>534</v>
      </c>
      <c r="O32" t="s">
        <v>39</v>
      </c>
      <c r="P32" t="s">
        <v>653</v>
      </c>
      <c r="Q32" t="s">
        <v>162</v>
      </c>
      <c r="R32" s="29">
        <v>46158.440972222219</v>
      </c>
      <c r="S32">
        <v>2.41</v>
      </c>
      <c r="T32">
        <v>5564</v>
      </c>
      <c r="U32">
        <v>0</v>
      </c>
      <c r="V32">
        <v>5564</v>
      </c>
    </row>
    <row r="33" spans="1:22" x14ac:dyDescent="0.3">
      <c r="A33">
        <v>79452</v>
      </c>
      <c r="B33">
        <v>455037856</v>
      </c>
      <c r="C33" t="s">
        <v>654</v>
      </c>
      <c r="D33" s="9">
        <v>270485978</v>
      </c>
      <c r="E33" t="s">
        <v>530</v>
      </c>
      <c r="F33" t="s">
        <v>531</v>
      </c>
      <c r="G33" t="s">
        <v>30</v>
      </c>
      <c r="H33" t="s">
        <v>31</v>
      </c>
      <c r="I33" t="s">
        <v>52</v>
      </c>
      <c r="J33" t="s">
        <v>32</v>
      </c>
      <c r="K33" t="s">
        <v>29</v>
      </c>
      <c r="L33" t="s">
        <v>655</v>
      </c>
      <c r="M33" t="s">
        <v>656</v>
      </c>
      <c r="N33" t="s">
        <v>534</v>
      </c>
      <c r="O33" t="s">
        <v>39</v>
      </c>
      <c r="P33" t="s">
        <v>657</v>
      </c>
      <c r="Q33" t="s">
        <v>40</v>
      </c>
      <c r="R33" s="29">
        <v>46160.874305555553</v>
      </c>
      <c r="S33">
        <v>1</v>
      </c>
      <c r="T33">
        <v>3935</v>
      </c>
      <c r="U33">
        <v>0</v>
      </c>
      <c r="V33">
        <v>3935</v>
      </c>
    </row>
    <row r="34" spans="1:22" x14ac:dyDescent="0.3">
      <c r="A34">
        <v>79452</v>
      </c>
      <c r="B34">
        <v>455049351</v>
      </c>
      <c r="C34" t="s">
        <v>658</v>
      </c>
      <c r="D34" s="9">
        <v>270485972</v>
      </c>
      <c r="E34" t="s">
        <v>530</v>
      </c>
      <c r="F34" t="s">
        <v>531</v>
      </c>
      <c r="G34" t="s">
        <v>30</v>
      </c>
      <c r="H34" t="s">
        <v>31</v>
      </c>
      <c r="I34" t="s">
        <v>52</v>
      </c>
      <c r="J34" t="s">
        <v>32</v>
      </c>
      <c r="K34" t="s">
        <v>29</v>
      </c>
      <c r="L34" t="s">
        <v>659</v>
      </c>
      <c r="M34" t="s">
        <v>660</v>
      </c>
      <c r="N34" t="s">
        <v>534</v>
      </c>
      <c r="O34" t="s">
        <v>39</v>
      </c>
      <c r="P34" t="s">
        <v>661</v>
      </c>
      <c r="Q34" t="s">
        <v>33</v>
      </c>
      <c r="R34" s="29">
        <v>46161.417361111111</v>
      </c>
      <c r="S34">
        <v>1</v>
      </c>
      <c r="T34">
        <v>3631</v>
      </c>
      <c r="U34">
        <v>0</v>
      </c>
      <c r="V34">
        <v>3631</v>
      </c>
    </row>
    <row r="35" spans="1:22" x14ac:dyDescent="0.3">
      <c r="A35">
        <v>79452</v>
      </c>
      <c r="B35">
        <v>455016982</v>
      </c>
      <c r="C35" t="s">
        <v>662</v>
      </c>
      <c r="D35" s="9">
        <v>270406158</v>
      </c>
      <c r="E35" t="s">
        <v>530</v>
      </c>
      <c r="F35" t="s">
        <v>531</v>
      </c>
      <c r="G35" t="s">
        <v>30</v>
      </c>
      <c r="H35" t="s">
        <v>31</v>
      </c>
      <c r="I35" t="s">
        <v>52</v>
      </c>
      <c r="J35" t="s">
        <v>32</v>
      </c>
      <c r="K35" t="s">
        <v>29</v>
      </c>
      <c r="L35" t="s">
        <v>663</v>
      </c>
      <c r="M35" t="s">
        <v>664</v>
      </c>
      <c r="N35" t="s">
        <v>534</v>
      </c>
      <c r="O35" t="s">
        <v>39</v>
      </c>
      <c r="P35" t="s">
        <v>665</v>
      </c>
      <c r="Q35" t="s">
        <v>162</v>
      </c>
      <c r="R35" s="29">
        <v>46160.477083333331</v>
      </c>
      <c r="S35">
        <v>0.83</v>
      </c>
      <c r="T35">
        <v>5564</v>
      </c>
      <c r="U35">
        <v>0</v>
      </c>
      <c r="V35">
        <v>5564</v>
      </c>
    </row>
    <row r="36" spans="1:22" x14ac:dyDescent="0.3">
      <c r="A36">
        <v>79452</v>
      </c>
      <c r="B36">
        <v>454972109</v>
      </c>
      <c r="C36" t="s">
        <v>666</v>
      </c>
      <c r="D36" s="9">
        <v>270306468</v>
      </c>
      <c r="E36" t="s">
        <v>530</v>
      </c>
      <c r="F36" t="s">
        <v>531</v>
      </c>
      <c r="G36" t="s">
        <v>30</v>
      </c>
      <c r="H36" t="s">
        <v>31</v>
      </c>
      <c r="I36" t="s">
        <v>52</v>
      </c>
      <c r="J36" t="s">
        <v>32</v>
      </c>
      <c r="K36" t="s">
        <v>29</v>
      </c>
      <c r="L36" t="s">
        <v>667</v>
      </c>
      <c r="M36" t="s">
        <v>668</v>
      </c>
      <c r="N36" t="s">
        <v>534</v>
      </c>
      <c r="O36" t="s">
        <v>39</v>
      </c>
      <c r="P36" t="s">
        <v>669</v>
      </c>
      <c r="Q36" t="s">
        <v>69</v>
      </c>
      <c r="R36" s="29">
        <v>46158.459027777775</v>
      </c>
      <c r="S36">
        <v>1.65</v>
      </c>
      <c r="T36">
        <v>5024</v>
      </c>
      <c r="U36">
        <v>0</v>
      </c>
      <c r="V36">
        <v>5024</v>
      </c>
    </row>
    <row r="37" spans="1:22" x14ac:dyDescent="0.3">
      <c r="A37">
        <v>79452</v>
      </c>
      <c r="B37">
        <v>454964597</v>
      </c>
      <c r="C37" t="s">
        <v>670</v>
      </c>
      <c r="D37" s="9">
        <v>270306504</v>
      </c>
      <c r="E37" t="s">
        <v>530</v>
      </c>
      <c r="F37" t="s">
        <v>531</v>
      </c>
      <c r="G37" t="s">
        <v>30</v>
      </c>
      <c r="H37" t="s">
        <v>31</v>
      </c>
      <c r="I37" t="s">
        <v>52</v>
      </c>
      <c r="J37" t="s">
        <v>32</v>
      </c>
      <c r="K37" t="s">
        <v>29</v>
      </c>
      <c r="L37" t="s">
        <v>671</v>
      </c>
      <c r="M37" t="s">
        <v>672</v>
      </c>
      <c r="N37" t="s">
        <v>534</v>
      </c>
      <c r="O37" t="s">
        <v>39</v>
      </c>
      <c r="P37" t="s">
        <v>673</v>
      </c>
      <c r="Q37" t="s">
        <v>41</v>
      </c>
      <c r="R37" s="29">
        <v>46157.845138888886</v>
      </c>
      <c r="S37">
        <v>0.7</v>
      </c>
      <c r="T37">
        <v>3384</v>
      </c>
      <c r="U37">
        <v>0</v>
      </c>
      <c r="V37">
        <v>3384</v>
      </c>
    </row>
    <row r="38" spans="1:22" x14ac:dyDescent="0.3">
      <c r="A38">
        <v>79452</v>
      </c>
      <c r="B38">
        <v>454996931</v>
      </c>
      <c r="C38" t="s">
        <v>674</v>
      </c>
      <c r="D38" s="9">
        <v>270406299</v>
      </c>
      <c r="E38" t="s">
        <v>530</v>
      </c>
      <c r="F38" t="s">
        <v>531</v>
      </c>
      <c r="G38" t="s">
        <v>30</v>
      </c>
      <c r="H38" t="s">
        <v>31</v>
      </c>
      <c r="I38" t="s">
        <v>52</v>
      </c>
      <c r="J38" t="s">
        <v>32</v>
      </c>
      <c r="K38" t="s">
        <v>29</v>
      </c>
      <c r="L38" t="s">
        <v>675</v>
      </c>
      <c r="M38" t="s">
        <v>676</v>
      </c>
      <c r="N38" t="s">
        <v>534</v>
      </c>
      <c r="O38" t="s">
        <v>39</v>
      </c>
      <c r="P38" t="s">
        <v>677</v>
      </c>
      <c r="Q38" t="s">
        <v>140</v>
      </c>
      <c r="R38" s="29">
        <v>46159.875</v>
      </c>
      <c r="S38">
        <v>1</v>
      </c>
      <c r="T38">
        <v>3250</v>
      </c>
      <c r="U38">
        <v>0</v>
      </c>
      <c r="V38">
        <v>3250</v>
      </c>
    </row>
    <row r="39" spans="1:22" x14ac:dyDescent="0.3">
      <c r="A39">
        <v>79452</v>
      </c>
      <c r="B39">
        <v>454996945</v>
      </c>
      <c r="C39" t="s">
        <v>678</v>
      </c>
      <c r="D39" s="9">
        <v>270406248</v>
      </c>
      <c r="E39" t="s">
        <v>530</v>
      </c>
      <c r="F39" t="s">
        <v>531</v>
      </c>
      <c r="G39" t="s">
        <v>30</v>
      </c>
      <c r="H39" t="s">
        <v>31</v>
      </c>
      <c r="I39" t="s">
        <v>52</v>
      </c>
      <c r="J39" t="s">
        <v>32</v>
      </c>
      <c r="K39" t="s">
        <v>29</v>
      </c>
      <c r="L39" t="s">
        <v>679</v>
      </c>
      <c r="M39" t="s">
        <v>562</v>
      </c>
      <c r="N39" t="s">
        <v>534</v>
      </c>
      <c r="O39" t="s">
        <v>39</v>
      </c>
      <c r="P39" t="s">
        <v>563</v>
      </c>
      <c r="Q39" t="s">
        <v>65</v>
      </c>
      <c r="R39" s="29">
        <v>46159.875</v>
      </c>
      <c r="S39">
        <v>0.99</v>
      </c>
      <c r="T39">
        <v>3935</v>
      </c>
      <c r="U39">
        <v>0</v>
      </c>
      <c r="V39">
        <v>3935</v>
      </c>
    </row>
    <row r="40" spans="1:22" x14ac:dyDescent="0.3">
      <c r="A40">
        <v>79452</v>
      </c>
      <c r="B40">
        <v>455016967</v>
      </c>
      <c r="C40" t="s">
        <v>680</v>
      </c>
      <c r="D40" s="9">
        <v>270406149</v>
      </c>
      <c r="E40" t="s">
        <v>530</v>
      </c>
      <c r="F40" t="s">
        <v>531</v>
      </c>
      <c r="G40" t="s">
        <v>30</v>
      </c>
      <c r="H40" t="s">
        <v>31</v>
      </c>
      <c r="I40" t="s">
        <v>52</v>
      </c>
      <c r="J40" t="s">
        <v>32</v>
      </c>
      <c r="K40" t="s">
        <v>29</v>
      </c>
      <c r="L40" t="s">
        <v>681</v>
      </c>
      <c r="M40" t="s">
        <v>682</v>
      </c>
      <c r="N40" t="s">
        <v>534</v>
      </c>
      <c r="O40" t="s">
        <v>39</v>
      </c>
      <c r="P40" t="s">
        <v>683</v>
      </c>
      <c r="Q40" t="s">
        <v>70</v>
      </c>
      <c r="R40" s="29">
        <v>46160.477083333331</v>
      </c>
      <c r="S40">
        <v>1.75</v>
      </c>
      <c r="T40">
        <v>3631</v>
      </c>
      <c r="U40">
        <v>0</v>
      </c>
      <c r="V40">
        <v>3631</v>
      </c>
    </row>
    <row r="41" spans="1:22" x14ac:dyDescent="0.3">
      <c r="A41">
        <v>79452</v>
      </c>
      <c r="B41">
        <v>454945667</v>
      </c>
      <c r="C41" t="s">
        <v>684</v>
      </c>
      <c r="D41" s="9">
        <v>270251676</v>
      </c>
      <c r="E41" t="s">
        <v>530</v>
      </c>
      <c r="F41" t="s">
        <v>531</v>
      </c>
      <c r="G41" t="s">
        <v>30</v>
      </c>
      <c r="H41" t="s">
        <v>31</v>
      </c>
      <c r="I41" t="s">
        <v>52</v>
      </c>
      <c r="J41" t="s">
        <v>32</v>
      </c>
      <c r="K41" t="s">
        <v>29</v>
      </c>
      <c r="L41" t="s">
        <v>685</v>
      </c>
      <c r="M41" t="s">
        <v>686</v>
      </c>
      <c r="N41" t="s">
        <v>534</v>
      </c>
      <c r="O41" t="s">
        <v>39</v>
      </c>
      <c r="P41" t="s">
        <v>687</v>
      </c>
      <c r="Q41" t="s">
        <v>69</v>
      </c>
      <c r="R41" s="29">
        <v>46157.42291666667</v>
      </c>
      <c r="S41">
        <v>1.07</v>
      </c>
      <c r="T41">
        <v>5024</v>
      </c>
      <c r="U41">
        <v>0</v>
      </c>
      <c r="V41">
        <v>5024</v>
      </c>
    </row>
    <row r="42" spans="1:22" x14ac:dyDescent="0.3">
      <c r="A42">
        <v>79452</v>
      </c>
      <c r="B42">
        <v>454996939</v>
      </c>
      <c r="C42" t="s">
        <v>688</v>
      </c>
      <c r="D42" s="9">
        <v>270406272</v>
      </c>
      <c r="E42" t="s">
        <v>530</v>
      </c>
      <c r="F42" t="s">
        <v>531</v>
      </c>
      <c r="G42" t="s">
        <v>30</v>
      </c>
      <c r="H42" t="s">
        <v>31</v>
      </c>
      <c r="I42" t="s">
        <v>52</v>
      </c>
      <c r="J42" t="s">
        <v>32</v>
      </c>
      <c r="K42" t="s">
        <v>29</v>
      </c>
      <c r="L42" t="s">
        <v>689</v>
      </c>
      <c r="M42" t="s">
        <v>690</v>
      </c>
      <c r="N42" t="s">
        <v>534</v>
      </c>
      <c r="O42" t="s">
        <v>39</v>
      </c>
      <c r="P42" t="s">
        <v>691</v>
      </c>
      <c r="Q42" t="s">
        <v>200</v>
      </c>
      <c r="R42" s="29">
        <v>46159.875</v>
      </c>
      <c r="S42">
        <v>1.83</v>
      </c>
      <c r="T42">
        <v>3653</v>
      </c>
      <c r="U42">
        <v>0</v>
      </c>
      <c r="V42">
        <v>3653</v>
      </c>
    </row>
    <row r="43" spans="1:22" x14ac:dyDescent="0.3">
      <c r="A43">
        <v>79452</v>
      </c>
      <c r="B43">
        <v>455016955</v>
      </c>
      <c r="C43" t="s">
        <v>692</v>
      </c>
      <c r="D43" s="9">
        <v>270406201</v>
      </c>
      <c r="E43" t="s">
        <v>530</v>
      </c>
      <c r="F43" t="s">
        <v>531</v>
      </c>
      <c r="G43" t="s">
        <v>30</v>
      </c>
      <c r="H43" t="s">
        <v>31</v>
      </c>
      <c r="I43" t="s">
        <v>52</v>
      </c>
      <c r="J43" t="s">
        <v>32</v>
      </c>
      <c r="K43" t="s">
        <v>29</v>
      </c>
      <c r="L43" t="s">
        <v>693</v>
      </c>
      <c r="M43" t="s">
        <v>694</v>
      </c>
      <c r="N43" t="s">
        <v>534</v>
      </c>
      <c r="O43" t="s">
        <v>39</v>
      </c>
      <c r="P43" t="s">
        <v>695</v>
      </c>
      <c r="Q43" t="s">
        <v>33</v>
      </c>
      <c r="R43" s="29">
        <v>46160.477083333331</v>
      </c>
      <c r="S43">
        <v>1.26</v>
      </c>
      <c r="T43">
        <v>3631</v>
      </c>
      <c r="U43">
        <v>0</v>
      </c>
      <c r="V43">
        <v>3631</v>
      </c>
    </row>
    <row r="44" spans="1:22" x14ac:dyDescent="0.3">
      <c r="A44">
        <v>79452</v>
      </c>
      <c r="B44">
        <v>454972108</v>
      </c>
      <c r="C44" t="s">
        <v>696</v>
      </c>
      <c r="D44" s="9">
        <v>270306466</v>
      </c>
      <c r="E44" t="s">
        <v>530</v>
      </c>
      <c r="F44" t="s">
        <v>531</v>
      </c>
      <c r="G44" t="s">
        <v>30</v>
      </c>
      <c r="H44" t="s">
        <v>31</v>
      </c>
      <c r="I44" t="s">
        <v>52</v>
      </c>
      <c r="J44" t="s">
        <v>32</v>
      </c>
      <c r="K44" t="s">
        <v>29</v>
      </c>
      <c r="L44" t="s">
        <v>697</v>
      </c>
      <c r="M44" t="s">
        <v>698</v>
      </c>
      <c r="N44" t="s">
        <v>534</v>
      </c>
      <c r="O44" t="s">
        <v>39</v>
      </c>
      <c r="P44" t="s">
        <v>699</v>
      </c>
      <c r="Q44" t="s">
        <v>116</v>
      </c>
      <c r="R44" s="29">
        <v>46158.459027777775</v>
      </c>
      <c r="S44">
        <v>1</v>
      </c>
      <c r="T44">
        <v>3737</v>
      </c>
      <c r="U44">
        <v>0</v>
      </c>
      <c r="V44">
        <v>3737</v>
      </c>
    </row>
    <row r="45" spans="1:22" x14ac:dyDescent="0.3">
      <c r="A45">
        <v>79452</v>
      </c>
      <c r="B45">
        <v>454971655</v>
      </c>
      <c r="C45" t="s">
        <v>700</v>
      </c>
      <c r="D45" s="9">
        <v>270306487</v>
      </c>
      <c r="E45" t="s">
        <v>530</v>
      </c>
      <c r="F45" t="s">
        <v>531</v>
      </c>
      <c r="G45" t="s">
        <v>30</v>
      </c>
      <c r="H45" t="s">
        <v>31</v>
      </c>
      <c r="I45" t="s">
        <v>52</v>
      </c>
      <c r="J45" t="s">
        <v>32</v>
      </c>
      <c r="K45" t="s">
        <v>29</v>
      </c>
      <c r="L45" t="s">
        <v>701</v>
      </c>
      <c r="M45" t="s">
        <v>574</v>
      </c>
      <c r="N45" t="s">
        <v>534</v>
      </c>
      <c r="O45" t="s">
        <v>39</v>
      </c>
      <c r="P45" t="s">
        <v>702</v>
      </c>
      <c r="Q45" t="s">
        <v>33</v>
      </c>
      <c r="R45" s="29">
        <v>46158.440972222219</v>
      </c>
      <c r="S45">
        <v>1.43</v>
      </c>
      <c r="T45">
        <v>3631</v>
      </c>
      <c r="U45">
        <v>0</v>
      </c>
      <c r="V45">
        <v>3631</v>
      </c>
    </row>
    <row r="46" spans="1:22" x14ac:dyDescent="0.3">
      <c r="A46">
        <v>79452</v>
      </c>
      <c r="B46">
        <v>454996946</v>
      </c>
      <c r="C46" t="s">
        <v>703</v>
      </c>
      <c r="D46" s="9">
        <v>270406240</v>
      </c>
      <c r="E46" t="s">
        <v>530</v>
      </c>
      <c r="F46" t="s">
        <v>531</v>
      </c>
      <c r="G46" t="s">
        <v>30</v>
      </c>
      <c r="H46" t="s">
        <v>31</v>
      </c>
      <c r="I46" t="s">
        <v>52</v>
      </c>
      <c r="J46" t="s">
        <v>32</v>
      </c>
      <c r="K46" t="s">
        <v>29</v>
      </c>
      <c r="L46" t="s">
        <v>704</v>
      </c>
      <c r="M46" t="s">
        <v>705</v>
      </c>
      <c r="N46" t="s">
        <v>534</v>
      </c>
      <c r="O46" t="s">
        <v>39</v>
      </c>
      <c r="P46" t="s">
        <v>706</v>
      </c>
      <c r="Q46" t="s">
        <v>33</v>
      </c>
      <c r="R46" s="29">
        <v>46159.875</v>
      </c>
      <c r="S46">
        <v>1</v>
      </c>
      <c r="T46">
        <v>3631</v>
      </c>
      <c r="U46">
        <v>0</v>
      </c>
      <c r="V46">
        <v>3631</v>
      </c>
    </row>
    <row r="47" spans="1:22" x14ac:dyDescent="0.3">
      <c r="A47">
        <v>79452</v>
      </c>
      <c r="B47">
        <v>454996952</v>
      </c>
      <c r="C47" t="s">
        <v>707</v>
      </c>
      <c r="D47" s="9">
        <v>270406209</v>
      </c>
      <c r="E47" t="s">
        <v>530</v>
      </c>
      <c r="F47" t="s">
        <v>531</v>
      </c>
      <c r="G47" t="s">
        <v>30</v>
      </c>
      <c r="H47" t="s">
        <v>31</v>
      </c>
      <c r="I47" t="s">
        <v>52</v>
      </c>
      <c r="J47" t="s">
        <v>32</v>
      </c>
      <c r="K47" t="s">
        <v>29</v>
      </c>
      <c r="L47" t="s">
        <v>708</v>
      </c>
      <c r="M47" t="s">
        <v>709</v>
      </c>
      <c r="N47" t="s">
        <v>534</v>
      </c>
      <c r="O47" t="s">
        <v>39</v>
      </c>
      <c r="P47" t="s">
        <v>710</v>
      </c>
      <c r="Q47" t="s">
        <v>67</v>
      </c>
      <c r="R47" s="29">
        <v>46159.875</v>
      </c>
      <c r="S47">
        <v>1.9</v>
      </c>
      <c r="T47">
        <v>3250</v>
      </c>
      <c r="U47">
        <v>0</v>
      </c>
      <c r="V47">
        <v>3250</v>
      </c>
    </row>
    <row r="48" spans="1:22" x14ac:dyDescent="0.3">
      <c r="A48">
        <v>79452</v>
      </c>
      <c r="B48">
        <v>454996936</v>
      </c>
      <c r="C48" t="s">
        <v>711</v>
      </c>
      <c r="D48" s="9">
        <v>270406266</v>
      </c>
      <c r="E48" t="s">
        <v>530</v>
      </c>
      <c r="F48" t="s">
        <v>531</v>
      </c>
      <c r="G48" t="s">
        <v>30</v>
      </c>
      <c r="H48" t="s">
        <v>31</v>
      </c>
      <c r="I48" t="s">
        <v>52</v>
      </c>
      <c r="J48" t="s">
        <v>32</v>
      </c>
      <c r="K48" t="s">
        <v>29</v>
      </c>
      <c r="L48" t="s">
        <v>712</v>
      </c>
      <c r="M48" t="s">
        <v>713</v>
      </c>
      <c r="N48" t="s">
        <v>534</v>
      </c>
      <c r="O48" t="s">
        <v>39</v>
      </c>
      <c r="P48" t="s">
        <v>714</v>
      </c>
      <c r="Q48" t="s">
        <v>88</v>
      </c>
      <c r="R48" s="29">
        <v>46159.875</v>
      </c>
      <c r="S48">
        <v>1.19</v>
      </c>
      <c r="T48">
        <v>3631</v>
      </c>
      <c r="U48">
        <v>0</v>
      </c>
      <c r="V48">
        <v>3631</v>
      </c>
    </row>
    <row r="49" spans="1:22" x14ac:dyDescent="0.3">
      <c r="A49">
        <v>79452</v>
      </c>
      <c r="B49">
        <v>454996934</v>
      </c>
      <c r="C49" t="s">
        <v>715</v>
      </c>
      <c r="D49" s="9">
        <v>270406291</v>
      </c>
      <c r="E49" t="s">
        <v>530</v>
      </c>
      <c r="F49" t="s">
        <v>531</v>
      </c>
      <c r="G49" t="s">
        <v>30</v>
      </c>
      <c r="H49" t="s">
        <v>31</v>
      </c>
      <c r="I49" t="s">
        <v>52</v>
      </c>
      <c r="J49" t="s">
        <v>32</v>
      </c>
      <c r="K49" t="s">
        <v>29</v>
      </c>
      <c r="L49" t="s">
        <v>716</v>
      </c>
      <c r="M49" t="s">
        <v>717</v>
      </c>
      <c r="N49" t="s">
        <v>534</v>
      </c>
      <c r="O49" t="s">
        <v>39</v>
      </c>
      <c r="P49" t="s">
        <v>718</v>
      </c>
      <c r="Q49" t="s">
        <v>67</v>
      </c>
      <c r="R49" s="29">
        <v>46159.875</v>
      </c>
      <c r="S49">
        <v>1.41</v>
      </c>
      <c r="T49">
        <v>3250</v>
      </c>
      <c r="U49">
        <v>0</v>
      </c>
      <c r="V49">
        <v>3250</v>
      </c>
    </row>
    <row r="50" spans="1:22" x14ac:dyDescent="0.3">
      <c r="A50">
        <v>79452</v>
      </c>
      <c r="B50">
        <v>455016984</v>
      </c>
      <c r="C50" t="s">
        <v>719</v>
      </c>
      <c r="D50" s="9">
        <v>270406132</v>
      </c>
      <c r="E50" t="s">
        <v>530</v>
      </c>
      <c r="F50" t="s">
        <v>531</v>
      </c>
      <c r="G50" t="s">
        <v>30</v>
      </c>
      <c r="H50" t="s">
        <v>31</v>
      </c>
      <c r="I50" t="s">
        <v>52</v>
      </c>
      <c r="J50" t="s">
        <v>32</v>
      </c>
      <c r="K50" t="s">
        <v>29</v>
      </c>
      <c r="L50" t="s">
        <v>720</v>
      </c>
      <c r="M50" t="s">
        <v>473</v>
      </c>
      <c r="N50" t="s">
        <v>534</v>
      </c>
      <c r="O50" t="s">
        <v>39</v>
      </c>
      <c r="P50" t="s">
        <v>721</v>
      </c>
      <c r="Q50" t="s">
        <v>153</v>
      </c>
      <c r="R50" s="29">
        <v>46160.477083333331</v>
      </c>
      <c r="S50">
        <v>1.44</v>
      </c>
      <c r="T50">
        <v>3250</v>
      </c>
      <c r="U50">
        <v>0</v>
      </c>
      <c r="V50">
        <v>3250</v>
      </c>
    </row>
    <row r="51" spans="1:22" x14ac:dyDescent="0.3">
      <c r="A51">
        <v>79452</v>
      </c>
      <c r="B51">
        <v>454945658</v>
      </c>
      <c r="C51" t="s">
        <v>722</v>
      </c>
      <c r="D51" s="9">
        <v>270251677</v>
      </c>
      <c r="E51" t="s">
        <v>530</v>
      </c>
      <c r="F51" t="s">
        <v>531</v>
      </c>
      <c r="G51" t="s">
        <v>30</v>
      </c>
      <c r="H51" t="s">
        <v>31</v>
      </c>
      <c r="I51" t="s">
        <v>52</v>
      </c>
      <c r="J51" t="s">
        <v>32</v>
      </c>
      <c r="K51" t="s">
        <v>29</v>
      </c>
      <c r="L51" t="s">
        <v>723</v>
      </c>
      <c r="M51" t="s">
        <v>724</v>
      </c>
      <c r="N51" t="s">
        <v>534</v>
      </c>
      <c r="O51" t="s">
        <v>39</v>
      </c>
      <c r="P51" t="s">
        <v>725</v>
      </c>
      <c r="Q51" t="s">
        <v>84</v>
      </c>
      <c r="R51" s="29">
        <v>46157.42291666667</v>
      </c>
      <c r="S51">
        <v>2.61</v>
      </c>
      <c r="T51">
        <v>5564</v>
      </c>
      <c r="U51">
        <v>0</v>
      </c>
      <c r="V51">
        <v>5564</v>
      </c>
    </row>
    <row r="52" spans="1:22" x14ac:dyDescent="0.3">
      <c r="A52">
        <v>79452</v>
      </c>
      <c r="B52">
        <v>454911772</v>
      </c>
      <c r="C52" t="s">
        <v>726</v>
      </c>
      <c r="D52" s="9">
        <v>270180708</v>
      </c>
      <c r="E52" t="s">
        <v>530</v>
      </c>
      <c r="F52" t="s">
        <v>531</v>
      </c>
      <c r="G52" t="s">
        <v>30</v>
      </c>
      <c r="H52" t="s">
        <v>31</v>
      </c>
      <c r="I52" t="s">
        <v>52</v>
      </c>
      <c r="J52" t="s">
        <v>32</v>
      </c>
      <c r="K52" t="s">
        <v>29</v>
      </c>
      <c r="L52" t="s">
        <v>727</v>
      </c>
      <c r="M52" t="s">
        <v>566</v>
      </c>
      <c r="N52" t="s">
        <v>534</v>
      </c>
      <c r="O52" t="s">
        <v>39</v>
      </c>
      <c r="P52" t="s">
        <v>567</v>
      </c>
      <c r="Q52" t="s">
        <v>84</v>
      </c>
      <c r="R52" s="29">
        <v>46156.424305555556</v>
      </c>
      <c r="S52">
        <v>0.85</v>
      </c>
      <c r="T52">
        <v>5564</v>
      </c>
      <c r="U52">
        <v>0</v>
      </c>
      <c r="V52">
        <v>5564</v>
      </c>
    </row>
    <row r="53" spans="1:22" x14ac:dyDescent="0.3">
      <c r="A53">
        <v>79452</v>
      </c>
      <c r="B53">
        <v>454911764</v>
      </c>
      <c r="C53" t="s">
        <v>728</v>
      </c>
      <c r="D53" s="9">
        <v>270180719</v>
      </c>
      <c r="E53" t="s">
        <v>530</v>
      </c>
      <c r="F53" t="s">
        <v>531</v>
      </c>
      <c r="G53" t="s">
        <v>30</v>
      </c>
      <c r="H53" t="s">
        <v>31</v>
      </c>
      <c r="I53" t="s">
        <v>52</v>
      </c>
      <c r="J53" t="s">
        <v>32</v>
      </c>
      <c r="K53" t="s">
        <v>29</v>
      </c>
      <c r="L53" t="s">
        <v>729</v>
      </c>
      <c r="M53" t="s">
        <v>730</v>
      </c>
      <c r="N53" t="s">
        <v>534</v>
      </c>
      <c r="O53" t="s">
        <v>39</v>
      </c>
      <c r="P53" t="s">
        <v>731</v>
      </c>
      <c r="Q53" t="s">
        <v>36</v>
      </c>
      <c r="R53" s="29">
        <v>46156.424305555556</v>
      </c>
      <c r="S53">
        <v>1.67</v>
      </c>
      <c r="T53">
        <v>5564</v>
      </c>
      <c r="U53">
        <v>0</v>
      </c>
      <c r="V53">
        <v>5564</v>
      </c>
    </row>
    <row r="54" spans="1:22" x14ac:dyDescent="0.3">
      <c r="A54">
        <v>79452</v>
      </c>
      <c r="B54">
        <v>454945697</v>
      </c>
      <c r="C54" t="s">
        <v>732</v>
      </c>
      <c r="D54" s="9">
        <v>270251579</v>
      </c>
      <c r="E54" t="s">
        <v>530</v>
      </c>
      <c r="F54" t="s">
        <v>531</v>
      </c>
      <c r="G54" t="s">
        <v>30</v>
      </c>
      <c r="H54" t="s">
        <v>31</v>
      </c>
      <c r="I54" t="s">
        <v>52</v>
      </c>
      <c r="J54" t="s">
        <v>32</v>
      </c>
      <c r="K54" t="s">
        <v>29</v>
      </c>
      <c r="L54" t="s">
        <v>733</v>
      </c>
      <c r="M54" t="s">
        <v>734</v>
      </c>
      <c r="N54" t="s">
        <v>534</v>
      </c>
      <c r="O54" t="s">
        <v>39</v>
      </c>
      <c r="P54" t="s">
        <v>735</v>
      </c>
      <c r="Q54" t="s">
        <v>69</v>
      </c>
      <c r="R54" s="29">
        <v>46157.42291666667</v>
      </c>
      <c r="S54">
        <v>1.3</v>
      </c>
      <c r="T54">
        <v>5024</v>
      </c>
      <c r="U54">
        <v>0</v>
      </c>
      <c r="V54">
        <v>5024</v>
      </c>
    </row>
    <row r="55" spans="1:22" x14ac:dyDescent="0.3">
      <c r="A55">
        <v>79452</v>
      </c>
      <c r="B55">
        <v>454945678</v>
      </c>
      <c r="C55" t="s">
        <v>736</v>
      </c>
      <c r="D55" s="9">
        <v>270251627</v>
      </c>
      <c r="E55" t="s">
        <v>530</v>
      </c>
      <c r="F55" t="s">
        <v>531</v>
      </c>
      <c r="G55" t="s">
        <v>30</v>
      </c>
      <c r="H55" t="s">
        <v>31</v>
      </c>
      <c r="I55" t="s">
        <v>52</v>
      </c>
      <c r="J55" t="s">
        <v>32</v>
      </c>
      <c r="K55" t="s">
        <v>29</v>
      </c>
      <c r="L55" t="s">
        <v>737</v>
      </c>
      <c r="M55" t="s">
        <v>738</v>
      </c>
      <c r="N55" t="s">
        <v>534</v>
      </c>
      <c r="O55" t="s">
        <v>39</v>
      </c>
      <c r="P55" t="s">
        <v>739</v>
      </c>
      <c r="Q55" t="s">
        <v>61</v>
      </c>
      <c r="R55" s="29">
        <v>46157.42291666667</v>
      </c>
      <c r="S55">
        <v>1.61</v>
      </c>
      <c r="T55">
        <v>3935</v>
      </c>
      <c r="U55">
        <v>0</v>
      </c>
      <c r="V55">
        <v>3935</v>
      </c>
    </row>
    <row r="56" spans="1:22" x14ac:dyDescent="0.3">
      <c r="A56">
        <v>79452</v>
      </c>
      <c r="B56">
        <v>454899958</v>
      </c>
      <c r="C56" t="s">
        <v>740</v>
      </c>
      <c r="D56" s="9">
        <v>270180726</v>
      </c>
      <c r="E56" t="s">
        <v>530</v>
      </c>
      <c r="F56" t="s">
        <v>531</v>
      </c>
      <c r="G56" t="s">
        <v>30</v>
      </c>
      <c r="H56" t="s">
        <v>31</v>
      </c>
      <c r="I56" t="s">
        <v>52</v>
      </c>
      <c r="J56" t="s">
        <v>32</v>
      </c>
      <c r="K56" t="s">
        <v>29</v>
      </c>
      <c r="L56" t="s">
        <v>741</v>
      </c>
      <c r="M56" t="s">
        <v>742</v>
      </c>
      <c r="N56" t="s">
        <v>534</v>
      </c>
      <c r="O56" t="s">
        <v>39</v>
      </c>
      <c r="P56" t="s">
        <v>743</v>
      </c>
      <c r="Q56" t="s">
        <v>69</v>
      </c>
      <c r="R56" s="29">
        <v>46155.888888888891</v>
      </c>
      <c r="S56">
        <v>1.48</v>
      </c>
      <c r="T56">
        <v>5024</v>
      </c>
      <c r="U56">
        <v>0</v>
      </c>
      <c r="V56">
        <v>5024</v>
      </c>
    </row>
    <row r="57" spans="1:22" x14ac:dyDescent="0.3">
      <c r="A57">
        <v>79452</v>
      </c>
      <c r="B57">
        <v>454945676</v>
      </c>
      <c r="C57" t="s">
        <v>744</v>
      </c>
      <c r="D57" s="9">
        <v>270251631</v>
      </c>
      <c r="E57" t="s">
        <v>530</v>
      </c>
      <c r="F57" t="s">
        <v>531</v>
      </c>
      <c r="G57" t="s">
        <v>30</v>
      </c>
      <c r="H57" t="s">
        <v>31</v>
      </c>
      <c r="I57" t="s">
        <v>52</v>
      </c>
      <c r="J57" t="s">
        <v>32</v>
      </c>
      <c r="K57" t="s">
        <v>29</v>
      </c>
      <c r="L57" t="s">
        <v>745</v>
      </c>
      <c r="M57" t="s">
        <v>746</v>
      </c>
      <c r="N57" t="s">
        <v>534</v>
      </c>
      <c r="O57" t="s">
        <v>39</v>
      </c>
      <c r="P57" t="s">
        <v>747</v>
      </c>
      <c r="Q57" t="s">
        <v>69</v>
      </c>
      <c r="R57" s="29">
        <v>46157.42291666667</v>
      </c>
      <c r="S57">
        <v>1.6</v>
      </c>
      <c r="T57">
        <v>5024</v>
      </c>
      <c r="U57">
        <v>0</v>
      </c>
      <c r="V57">
        <v>5024</v>
      </c>
    </row>
    <row r="58" spans="1:22" x14ac:dyDescent="0.3">
      <c r="A58">
        <v>79452</v>
      </c>
      <c r="B58">
        <v>454945698</v>
      </c>
      <c r="C58" t="s">
        <v>748</v>
      </c>
      <c r="D58" s="9">
        <v>270251599</v>
      </c>
      <c r="E58" t="s">
        <v>530</v>
      </c>
      <c r="F58" t="s">
        <v>531</v>
      </c>
      <c r="G58" t="s">
        <v>30</v>
      </c>
      <c r="H58" t="s">
        <v>31</v>
      </c>
      <c r="I58" t="s">
        <v>52</v>
      </c>
      <c r="J58" t="s">
        <v>32</v>
      </c>
      <c r="K58" t="s">
        <v>29</v>
      </c>
      <c r="L58" t="s">
        <v>749</v>
      </c>
      <c r="M58" t="s">
        <v>750</v>
      </c>
      <c r="N58" t="s">
        <v>534</v>
      </c>
      <c r="O58" t="s">
        <v>39</v>
      </c>
      <c r="P58" t="s">
        <v>751</v>
      </c>
      <c r="Q58" t="s">
        <v>35</v>
      </c>
      <c r="R58" s="29">
        <v>46157.42291666667</v>
      </c>
      <c r="S58">
        <v>0.95</v>
      </c>
      <c r="T58">
        <v>3935</v>
      </c>
      <c r="U58">
        <v>0</v>
      </c>
      <c r="V58">
        <v>3935</v>
      </c>
    </row>
    <row r="59" spans="1:22" x14ac:dyDescent="0.3">
      <c r="A59">
        <v>79452</v>
      </c>
      <c r="B59">
        <v>454899948</v>
      </c>
      <c r="C59" t="s">
        <v>752</v>
      </c>
      <c r="D59" s="9">
        <v>270180754</v>
      </c>
      <c r="E59" t="s">
        <v>530</v>
      </c>
      <c r="F59" t="s">
        <v>531</v>
      </c>
      <c r="G59" t="s">
        <v>30</v>
      </c>
      <c r="H59" t="s">
        <v>31</v>
      </c>
      <c r="I59" t="s">
        <v>52</v>
      </c>
      <c r="J59" t="s">
        <v>32</v>
      </c>
      <c r="K59" t="s">
        <v>29</v>
      </c>
      <c r="L59" t="s">
        <v>753</v>
      </c>
      <c r="M59" t="s">
        <v>280</v>
      </c>
      <c r="N59" t="s">
        <v>534</v>
      </c>
      <c r="O59" t="s">
        <v>39</v>
      </c>
      <c r="P59" t="s">
        <v>281</v>
      </c>
      <c r="Q59" t="s">
        <v>116</v>
      </c>
      <c r="R59" s="29">
        <v>46155.888194444444</v>
      </c>
      <c r="S59">
        <v>1.34</v>
      </c>
      <c r="T59">
        <v>3737</v>
      </c>
      <c r="U59">
        <v>0</v>
      </c>
      <c r="V59">
        <v>3737</v>
      </c>
    </row>
    <row r="60" spans="1:22" x14ac:dyDescent="0.3">
      <c r="A60">
        <v>79452</v>
      </c>
      <c r="B60">
        <v>454899962</v>
      </c>
      <c r="C60" t="s">
        <v>754</v>
      </c>
      <c r="D60" s="9">
        <v>270180723</v>
      </c>
      <c r="E60" t="s">
        <v>530</v>
      </c>
      <c r="F60" t="s">
        <v>531</v>
      </c>
      <c r="G60" t="s">
        <v>30</v>
      </c>
      <c r="H60" t="s">
        <v>31</v>
      </c>
      <c r="I60" t="s">
        <v>52</v>
      </c>
      <c r="J60" t="s">
        <v>32</v>
      </c>
      <c r="K60" t="s">
        <v>29</v>
      </c>
      <c r="L60" t="s">
        <v>755</v>
      </c>
      <c r="M60" t="s">
        <v>756</v>
      </c>
      <c r="N60" t="s">
        <v>534</v>
      </c>
      <c r="O60" t="s">
        <v>39</v>
      </c>
      <c r="P60" t="s">
        <v>757</v>
      </c>
      <c r="Q60" t="s">
        <v>62</v>
      </c>
      <c r="R60" s="29">
        <v>46155.888888888891</v>
      </c>
      <c r="S60">
        <v>0.82</v>
      </c>
      <c r="T60">
        <v>3935</v>
      </c>
      <c r="U60">
        <v>0</v>
      </c>
      <c r="V60">
        <v>3935</v>
      </c>
    </row>
    <row r="61" spans="1:22" x14ac:dyDescent="0.3">
      <c r="A61">
        <v>79452</v>
      </c>
      <c r="B61">
        <v>454911768</v>
      </c>
      <c r="C61" t="s">
        <v>758</v>
      </c>
      <c r="D61" s="9">
        <v>270180645</v>
      </c>
      <c r="E61" t="s">
        <v>530</v>
      </c>
      <c r="F61" t="s">
        <v>531</v>
      </c>
      <c r="G61" t="s">
        <v>30</v>
      </c>
      <c r="H61" t="s">
        <v>31</v>
      </c>
      <c r="I61" t="s">
        <v>52</v>
      </c>
      <c r="J61" t="s">
        <v>32</v>
      </c>
      <c r="K61" t="s">
        <v>29</v>
      </c>
      <c r="L61" t="s">
        <v>759</v>
      </c>
      <c r="M61" t="s">
        <v>760</v>
      </c>
      <c r="N61" t="s">
        <v>534</v>
      </c>
      <c r="O61" t="s">
        <v>39</v>
      </c>
      <c r="P61" t="s">
        <v>761</v>
      </c>
      <c r="Q61" t="s">
        <v>70</v>
      </c>
      <c r="R61" s="29">
        <v>46156.424305555556</v>
      </c>
      <c r="S61">
        <v>0.96</v>
      </c>
      <c r="T61">
        <v>3631</v>
      </c>
      <c r="U61">
        <v>0</v>
      </c>
      <c r="V61">
        <v>3631</v>
      </c>
    </row>
    <row r="62" spans="1:22" x14ac:dyDescent="0.3">
      <c r="A62">
        <v>79452</v>
      </c>
      <c r="B62">
        <v>454945686</v>
      </c>
      <c r="C62" t="s">
        <v>762</v>
      </c>
      <c r="D62" s="9">
        <v>270251618</v>
      </c>
      <c r="E62" t="s">
        <v>530</v>
      </c>
      <c r="F62" t="s">
        <v>531</v>
      </c>
      <c r="G62" t="s">
        <v>30</v>
      </c>
      <c r="H62" t="s">
        <v>31</v>
      </c>
      <c r="I62" t="s">
        <v>52</v>
      </c>
      <c r="J62" t="s">
        <v>32</v>
      </c>
      <c r="K62" t="s">
        <v>29</v>
      </c>
      <c r="L62" t="s">
        <v>763</v>
      </c>
      <c r="M62" t="s">
        <v>490</v>
      </c>
      <c r="N62" t="s">
        <v>534</v>
      </c>
      <c r="O62" t="s">
        <v>39</v>
      </c>
      <c r="P62" t="s">
        <v>491</v>
      </c>
      <c r="Q62" t="s">
        <v>200</v>
      </c>
      <c r="R62" s="29">
        <v>46157.42291666667</v>
      </c>
      <c r="S62">
        <v>0.94</v>
      </c>
      <c r="T62">
        <v>3653</v>
      </c>
      <c r="U62">
        <v>0</v>
      </c>
      <c r="V62">
        <v>3653</v>
      </c>
    </row>
    <row r="63" spans="1:22" x14ac:dyDescent="0.3">
      <c r="A63">
        <v>79452</v>
      </c>
      <c r="B63">
        <v>454911765</v>
      </c>
      <c r="C63" t="s">
        <v>764</v>
      </c>
      <c r="D63" s="9">
        <v>270180648</v>
      </c>
      <c r="E63" t="s">
        <v>530</v>
      </c>
      <c r="F63" t="s">
        <v>531</v>
      </c>
      <c r="G63" t="s">
        <v>30</v>
      </c>
      <c r="H63" t="s">
        <v>31</v>
      </c>
      <c r="I63" t="s">
        <v>52</v>
      </c>
      <c r="J63" t="s">
        <v>32</v>
      </c>
      <c r="K63" t="s">
        <v>29</v>
      </c>
      <c r="L63" t="s">
        <v>765</v>
      </c>
      <c r="M63" t="s">
        <v>766</v>
      </c>
      <c r="N63" t="s">
        <v>534</v>
      </c>
      <c r="O63" t="s">
        <v>39</v>
      </c>
      <c r="P63" t="s">
        <v>767</v>
      </c>
      <c r="Q63" t="s">
        <v>226</v>
      </c>
      <c r="R63" s="29">
        <v>46156.424305555556</v>
      </c>
      <c r="S63">
        <v>1.1200000000000001</v>
      </c>
      <c r="T63">
        <v>3935</v>
      </c>
      <c r="U63">
        <v>0</v>
      </c>
      <c r="V63">
        <v>3935</v>
      </c>
    </row>
    <row r="64" spans="1:22" x14ac:dyDescent="0.3">
      <c r="A64">
        <v>79452</v>
      </c>
      <c r="B64">
        <v>454945661</v>
      </c>
      <c r="C64" t="s">
        <v>768</v>
      </c>
      <c r="D64" s="9">
        <v>270251703</v>
      </c>
      <c r="E64" t="s">
        <v>530</v>
      </c>
      <c r="F64" t="s">
        <v>531</v>
      </c>
      <c r="G64" t="s">
        <v>30</v>
      </c>
      <c r="H64" t="s">
        <v>31</v>
      </c>
      <c r="I64" t="s">
        <v>52</v>
      </c>
      <c r="J64" t="s">
        <v>32</v>
      </c>
      <c r="K64" t="s">
        <v>29</v>
      </c>
      <c r="L64" t="s">
        <v>769</v>
      </c>
      <c r="M64" t="s">
        <v>770</v>
      </c>
      <c r="N64" t="s">
        <v>534</v>
      </c>
      <c r="O64" t="s">
        <v>39</v>
      </c>
      <c r="P64" t="s">
        <v>771</v>
      </c>
      <c r="Q64" t="s">
        <v>41</v>
      </c>
      <c r="R64" s="29">
        <v>46157.42291666667</v>
      </c>
      <c r="S64">
        <v>3.17</v>
      </c>
      <c r="T64">
        <v>4182</v>
      </c>
      <c r="U64">
        <v>0</v>
      </c>
      <c r="V64">
        <v>4182</v>
      </c>
    </row>
    <row r="65" spans="1:22" x14ac:dyDescent="0.3">
      <c r="A65">
        <v>79452</v>
      </c>
      <c r="B65">
        <v>454945692</v>
      </c>
      <c r="C65" t="s">
        <v>772</v>
      </c>
      <c r="D65" s="9">
        <v>270251609</v>
      </c>
      <c r="E65" t="s">
        <v>530</v>
      </c>
      <c r="F65" t="s">
        <v>531</v>
      </c>
      <c r="G65" t="s">
        <v>30</v>
      </c>
      <c r="H65" t="s">
        <v>31</v>
      </c>
      <c r="I65" t="s">
        <v>52</v>
      </c>
      <c r="J65" t="s">
        <v>32</v>
      </c>
      <c r="K65" t="s">
        <v>29</v>
      </c>
      <c r="L65" t="s">
        <v>773</v>
      </c>
      <c r="M65" t="s">
        <v>335</v>
      </c>
      <c r="N65" t="s">
        <v>534</v>
      </c>
      <c r="O65" t="s">
        <v>39</v>
      </c>
      <c r="P65" t="s">
        <v>774</v>
      </c>
      <c r="Q65" t="s">
        <v>140</v>
      </c>
      <c r="R65" s="29">
        <v>46157.42291666667</v>
      </c>
      <c r="S65">
        <v>1.27</v>
      </c>
      <c r="T65">
        <v>3250</v>
      </c>
      <c r="U65">
        <v>0</v>
      </c>
      <c r="V65">
        <v>3250</v>
      </c>
    </row>
    <row r="66" spans="1:22" x14ac:dyDescent="0.3">
      <c r="A66">
        <v>79452</v>
      </c>
      <c r="B66">
        <v>454615233</v>
      </c>
      <c r="C66" t="s">
        <v>775</v>
      </c>
      <c r="D66" s="9">
        <v>269660958</v>
      </c>
      <c r="E66" t="s">
        <v>530</v>
      </c>
      <c r="F66" t="s">
        <v>531</v>
      </c>
      <c r="G66" t="s">
        <v>30</v>
      </c>
      <c r="H66" t="s">
        <v>31</v>
      </c>
      <c r="I66" t="s">
        <v>52</v>
      </c>
      <c r="J66" t="s">
        <v>32</v>
      </c>
      <c r="K66" t="s">
        <v>29</v>
      </c>
      <c r="L66" t="s">
        <v>776</v>
      </c>
      <c r="M66" t="s">
        <v>777</v>
      </c>
      <c r="N66" t="s">
        <v>534</v>
      </c>
      <c r="O66" t="s">
        <v>39</v>
      </c>
      <c r="P66" t="s">
        <v>778</v>
      </c>
      <c r="Q66" t="s">
        <v>49</v>
      </c>
      <c r="R66" s="29">
        <v>46147.829861111109</v>
      </c>
      <c r="S66">
        <v>1.1299999999999999</v>
      </c>
      <c r="T66">
        <v>5564</v>
      </c>
      <c r="U66">
        <v>0</v>
      </c>
      <c r="V66">
        <v>5564</v>
      </c>
    </row>
    <row r="67" spans="1:22" x14ac:dyDescent="0.3">
      <c r="A67">
        <v>79452</v>
      </c>
      <c r="B67">
        <v>454862889</v>
      </c>
      <c r="C67" t="s">
        <v>779</v>
      </c>
      <c r="D67" s="9">
        <v>270115724</v>
      </c>
      <c r="E67" t="s">
        <v>530</v>
      </c>
      <c r="F67" t="s">
        <v>531</v>
      </c>
      <c r="G67" t="s">
        <v>30</v>
      </c>
      <c r="H67" t="s">
        <v>31</v>
      </c>
      <c r="I67" t="s">
        <v>52</v>
      </c>
      <c r="J67" t="s">
        <v>32</v>
      </c>
      <c r="K67" t="s">
        <v>29</v>
      </c>
      <c r="L67" t="s">
        <v>780</v>
      </c>
      <c r="M67" t="s">
        <v>781</v>
      </c>
      <c r="N67" t="s">
        <v>534</v>
      </c>
      <c r="O67" t="s">
        <v>39</v>
      </c>
      <c r="P67" t="s">
        <v>782</v>
      </c>
      <c r="Q67" t="s">
        <v>69</v>
      </c>
      <c r="R67" s="29">
        <v>46154.893055555556</v>
      </c>
      <c r="S67">
        <v>1</v>
      </c>
      <c r="T67">
        <v>5024</v>
      </c>
      <c r="U67">
        <v>0</v>
      </c>
      <c r="V67">
        <v>5024</v>
      </c>
    </row>
    <row r="68" spans="1:22" x14ac:dyDescent="0.3">
      <c r="A68">
        <v>79452</v>
      </c>
      <c r="B68">
        <v>454410617</v>
      </c>
      <c r="C68" t="s">
        <v>783</v>
      </c>
      <c r="D68" s="9">
        <v>269250946</v>
      </c>
      <c r="E68" t="s">
        <v>530</v>
      </c>
      <c r="F68" t="s">
        <v>531</v>
      </c>
      <c r="G68" t="s">
        <v>30</v>
      </c>
      <c r="H68" t="s">
        <v>31</v>
      </c>
      <c r="I68" t="s">
        <v>52</v>
      </c>
      <c r="J68" t="s">
        <v>32</v>
      </c>
      <c r="K68" t="s">
        <v>29</v>
      </c>
      <c r="L68" t="s">
        <v>784</v>
      </c>
      <c r="M68" t="s">
        <v>785</v>
      </c>
      <c r="N68" t="s">
        <v>534</v>
      </c>
      <c r="O68" t="s">
        <v>39</v>
      </c>
      <c r="P68" t="s">
        <v>786</v>
      </c>
      <c r="Q68" t="s">
        <v>243</v>
      </c>
      <c r="R68" s="29">
        <v>46141.905555555553</v>
      </c>
      <c r="S68">
        <v>1.39</v>
      </c>
      <c r="T68">
        <v>5564</v>
      </c>
      <c r="U68">
        <v>0</v>
      </c>
      <c r="V68">
        <v>5564</v>
      </c>
    </row>
    <row r="69" spans="1:22" x14ac:dyDescent="0.3">
      <c r="A69">
        <v>79452</v>
      </c>
      <c r="B69">
        <v>454703731</v>
      </c>
      <c r="C69" t="s">
        <v>787</v>
      </c>
      <c r="D69" s="9">
        <v>269805758</v>
      </c>
      <c r="E69" t="s">
        <v>530</v>
      </c>
      <c r="F69" t="s">
        <v>531</v>
      </c>
      <c r="G69" t="s">
        <v>30</v>
      </c>
      <c r="H69" t="s">
        <v>31</v>
      </c>
      <c r="I69" t="s">
        <v>52</v>
      </c>
      <c r="J69" t="s">
        <v>32</v>
      </c>
      <c r="K69" t="s">
        <v>29</v>
      </c>
      <c r="L69" t="s">
        <v>788</v>
      </c>
      <c r="M69" t="s">
        <v>789</v>
      </c>
      <c r="N69" t="s">
        <v>534</v>
      </c>
      <c r="O69" t="s">
        <v>39</v>
      </c>
      <c r="P69" t="s">
        <v>790</v>
      </c>
      <c r="Q69" t="s">
        <v>49</v>
      </c>
      <c r="R69" s="29">
        <v>46149.922222222223</v>
      </c>
      <c r="S69">
        <v>1</v>
      </c>
      <c r="T69">
        <v>5564</v>
      </c>
      <c r="U69">
        <v>0</v>
      </c>
      <c r="V69">
        <v>5564</v>
      </c>
    </row>
    <row r="70" spans="1:22" x14ac:dyDescent="0.3">
      <c r="A70">
        <v>79452</v>
      </c>
      <c r="B70">
        <v>454862881</v>
      </c>
      <c r="C70" t="s">
        <v>791</v>
      </c>
      <c r="D70" s="9">
        <v>270115749</v>
      </c>
      <c r="E70" t="s">
        <v>530</v>
      </c>
      <c r="F70" t="s">
        <v>531</v>
      </c>
      <c r="G70" t="s">
        <v>30</v>
      </c>
      <c r="H70" t="s">
        <v>31</v>
      </c>
      <c r="I70" t="s">
        <v>52</v>
      </c>
      <c r="J70" t="s">
        <v>32</v>
      </c>
      <c r="K70" t="s">
        <v>29</v>
      </c>
      <c r="L70" t="s">
        <v>792</v>
      </c>
      <c r="M70" t="s">
        <v>793</v>
      </c>
      <c r="N70" t="s">
        <v>534</v>
      </c>
      <c r="O70" t="s">
        <v>39</v>
      </c>
      <c r="P70" t="s">
        <v>794</v>
      </c>
      <c r="Q70" t="s">
        <v>40</v>
      </c>
      <c r="R70" s="29">
        <v>46154.893055555556</v>
      </c>
      <c r="S70">
        <v>1.24</v>
      </c>
      <c r="T70">
        <v>3935</v>
      </c>
      <c r="U70">
        <v>0</v>
      </c>
      <c r="V70">
        <v>3935</v>
      </c>
    </row>
    <row r="71" spans="1:22" x14ac:dyDescent="0.3">
      <c r="A71">
        <v>79452</v>
      </c>
      <c r="B71">
        <v>454510781</v>
      </c>
      <c r="C71" t="s">
        <v>795</v>
      </c>
      <c r="D71" s="9">
        <v>269476612</v>
      </c>
      <c r="E71" t="s">
        <v>530</v>
      </c>
      <c r="F71" t="s">
        <v>531</v>
      </c>
      <c r="G71" t="s">
        <v>30</v>
      </c>
      <c r="H71" t="s">
        <v>31</v>
      </c>
      <c r="I71" t="s">
        <v>52</v>
      </c>
      <c r="J71" t="s">
        <v>32</v>
      </c>
      <c r="K71" t="s">
        <v>29</v>
      </c>
      <c r="L71" t="s">
        <v>796</v>
      </c>
      <c r="M71" t="s">
        <v>797</v>
      </c>
      <c r="N71" t="s">
        <v>534</v>
      </c>
      <c r="O71" t="s">
        <v>39</v>
      </c>
      <c r="P71" t="s">
        <v>798</v>
      </c>
      <c r="Q71" t="s">
        <v>49</v>
      </c>
      <c r="R71" s="29">
        <v>46145.861111111109</v>
      </c>
      <c r="S71">
        <v>1</v>
      </c>
      <c r="T71">
        <v>5564</v>
      </c>
      <c r="U71">
        <v>0</v>
      </c>
      <c r="V71">
        <v>5564</v>
      </c>
    </row>
    <row r="72" spans="1:22" x14ac:dyDescent="0.3">
      <c r="A72">
        <v>79452</v>
      </c>
      <c r="B72">
        <v>454862890</v>
      </c>
      <c r="C72" t="s">
        <v>799</v>
      </c>
      <c r="D72" s="9">
        <v>270115739</v>
      </c>
      <c r="E72" t="s">
        <v>530</v>
      </c>
      <c r="F72" t="s">
        <v>531</v>
      </c>
      <c r="G72" t="s">
        <v>30</v>
      </c>
      <c r="H72" t="s">
        <v>31</v>
      </c>
      <c r="I72" t="s">
        <v>52</v>
      </c>
      <c r="J72" t="s">
        <v>32</v>
      </c>
      <c r="K72" t="s">
        <v>29</v>
      </c>
      <c r="L72" t="s">
        <v>800</v>
      </c>
      <c r="M72" t="s">
        <v>439</v>
      </c>
      <c r="N72" t="s">
        <v>534</v>
      </c>
      <c r="O72" t="s">
        <v>39</v>
      </c>
      <c r="P72" t="s">
        <v>801</v>
      </c>
      <c r="Q72" t="s">
        <v>34</v>
      </c>
      <c r="R72" s="29">
        <v>46154.893055555556</v>
      </c>
      <c r="S72">
        <v>1</v>
      </c>
      <c r="T72">
        <v>3653</v>
      </c>
      <c r="U72">
        <v>0</v>
      </c>
      <c r="V72">
        <v>3653</v>
      </c>
    </row>
    <row r="73" spans="1:22" x14ac:dyDescent="0.3">
      <c r="A73">
        <v>79452</v>
      </c>
      <c r="B73">
        <v>454835710</v>
      </c>
      <c r="C73" t="s">
        <v>802</v>
      </c>
      <c r="D73" s="9">
        <v>270040493</v>
      </c>
      <c r="E73" t="s">
        <v>530</v>
      </c>
      <c r="F73" t="s">
        <v>531</v>
      </c>
      <c r="G73" t="s">
        <v>30</v>
      </c>
      <c r="H73" t="s">
        <v>31</v>
      </c>
      <c r="I73" t="s">
        <v>52</v>
      </c>
      <c r="J73" t="s">
        <v>32</v>
      </c>
      <c r="K73" t="s">
        <v>29</v>
      </c>
      <c r="L73" t="s">
        <v>803</v>
      </c>
      <c r="M73" t="s">
        <v>804</v>
      </c>
      <c r="N73" t="s">
        <v>534</v>
      </c>
      <c r="O73" t="s">
        <v>39</v>
      </c>
      <c r="P73" t="s">
        <v>805</v>
      </c>
      <c r="Q73" t="s">
        <v>162</v>
      </c>
      <c r="R73" s="29">
        <v>46154.416666666664</v>
      </c>
      <c r="S73">
        <v>1.9</v>
      </c>
      <c r="T73">
        <v>5564</v>
      </c>
      <c r="U73">
        <v>0</v>
      </c>
      <c r="V73">
        <v>5564</v>
      </c>
    </row>
    <row r="74" spans="1:22" x14ac:dyDescent="0.3">
      <c r="A74">
        <v>79452</v>
      </c>
      <c r="B74">
        <v>454862880</v>
      </c>
      <c r="C74" t="s">
        <v>806</v>
      </c>
      <c r="D74" s="9">
        <v>270115756</v>
      </c>
      <c r="E74" t="s">
        <v>530</v>
      </c>
      <c r="F74" t="s">
        <v>531</v>
      </c>
      <c r="G74" t="s">
        <v>30</v>
      </c>
      <c r="H74" t="s">
        <v>31</v>
      </c>
      <c r="I74" t="s">
        <v>52</v>
      </c>
      <c r="J74" t="s">
        <v>32</v>
      </c>
      <c r="K74" t="s">
        <v>29</v>
      </c>
      <c r="L74" t="s">
        <v>807</v>
      </c>
      <c r="M74" t="s">
        <v>808</v>
      </c>
      <c r="N74" t="s">
        <v>534</v>
      </c>
      <c r="O74" t="s">
        <v>39</v>
      </c>
      <c r="P74" t="s">
        <v>809</v>
      </c>
      <c r="Q74" t="s">
        <v>67</v>
      </c>
      <c r="R74" s="29">
        <v>46154.893055555556</v>
      </c>
      <c r="S74">
        <v>1</v>
      </c>
      <c r="T74">
        <v>3250</v>
      </c>
      <c r="U74">
        <v>0</v>
      </c>
      <c r="V74">
        <v>3250</v>
      </c>
    </row>
    <row r="75" spans="1:22" x14ac:dyDescent="0.3">
      <c r="A75">
        <v>79452</v>
      </c>
      <c r="B75">
        <v>454862879</v>
      </c>
      <c r="C75" t="s">
        <v>810</v>
      </c>
      <c r="D75" s="9">
        <v>270115729</v>
      </c>
      <c r="E75" t="s">
        <v>530</v>
      </c>
      <c r="F75" t="s">
        <v>531</v>
      </c>
      <c r="G75" t="s">
        <v>30</v>
      </c>
      <c r="H75" t="s">
        <v>31</v>
      </c>
      <c r="I75" t="s">
        <v>52</v>
      </c>
      <c r="J75" t="s">
        <v>32</v>
      </c>
      <c r="K75" t="s">
        <v>29</v>
      </c>
      <c r="L75" t="s">
        <v>811</v>
      </c>
      <c r="M75" t="s">
        <v>812</v>
      </c>
      <c r="N75" t="s">
        <v>534</v>
      </c>
      <c r="O75" t="s">
        <v>39</v>
      </c>
      <c r="P75" t="s">
        <v>813</v>
      </c>
      <c r="Q75" t="s">
        <v>33</v>
      </c>
      <c r="R75" s="29">
        <v>46154.893055555556</v>
      </c>
      <c r="S75">
        <v>0.92</v>
      </c>
      <c r="T75">
        <v>3631</v>
      </c>
      <c r="U75">
        <v>0</v>
      </c>
      <c r="V75">
        <v>3631</v>
      </c>
    </row>
    <row r="76" spans="1:22" x14ac:dyDescent="0.3">
      <c r="A76">
        <v>79452</v>
      </c>
      <c r="B76">
        <v>454862892</v>
      </c>
      <c r="C76" t="s">
        <v>814</v>
      </c>
      <c r="D76" s="9">
        <v>270115719</v>
      </c>
      <c r="E76" t="s">
        <v>530</v>
      </c>
      <c r="F76" t="s">
        <v>531</v>
      </c>
      <c r="G76" t="s">
        <v>30</v>
      </c>
      <c r="H76" t="s">
        <v>31</v>
      </c>
      <c r="I76" t="s">
        <v>52</v>
      </c>
      <c r="J76" t="s">
        <v>32</v>
      </c>
      <c r="K76" t="s">
        <v>29</v>
      </c>
      <c r="L76" t="s">
        <v>815</v>
      </c>
      <c r="M76" t="s">
        <v>816</v>
      </c>
      <c r="N76" t="s">
        <v>534</v>
      </c>
      <c r="O76" t="s">
        <v>39</v>
      </c>
      <c r="P76" t="s">
        <v>817</v>
      </c>
      <c r="Q76" t="s">
        <v>79</v>
      </c>
      <c r="R76" s="29">
        <v>46154.893055555556</v>
      </c>
      <c r="S76">
        <v>1</v>
      </c>
      <c r="T76">
        <v>3631</v>
      </c>
      <c r="U76">
        <v>0</v>
      </c>
      <c r="V76">
        <v>3631</v>
      </c>
    </row>
    <row r="77" spans="1:22" x14ac:dyDescent="0.3">
      <c r="A77">
        <v>79452</v>
      </c>
      <c r="B77">
        <v>454703724</v>
      </c>
      <c r="C77" t="s">
        <v>818</v>
      </c>
      <c r="D77" s="9">
        <v>269805786</v>
      </c>
      <c r="E77" t="s">
        <v>530</v>
      </c>
      <c r="F77" t="s">
        <v>531</v>
      </c>
      <c r="G77" t="s">
        <v>30</v>
      </c>
      <c r="H77" t="s">
        <v>31</v>
      </c>
      <c r="I77" t="s">
        <v>52</v>
      </c>
      <c r="J77" t="s">
        <v>32</v>
      </c>
      <c r="K77" t="s">
        <v>29</v>
      </c>
      <c r="L77" t="s">
        <v>819</v>
      </c>
      <c r="M77" t="s">
        <v>258</v>
      </c>
      <c r="N77" t="s">
        <v>534</v>
      </c>
      <c r="O77" t="s">
        <v>39</v>
      </c>
      <c r="P77" t="s">
        <v>820</v>
      </c>
      <c r="Q77" t="s">
        <v>49</v>
      </c>
      <c r="R77" s="29">
        <v>46149.922222222223</v>
      </c>
      <c r="S77">
        <v>1</v>
      </c>
      <c r="T77">
        <v>5564</v>
      </c>
      <c r="U77">
        <v>0</v>
      </c>
      <c r="V77">
        <v>5564</v>
      </c>
    </row>
    <row r="78" spans="1:22" x14ac:dyDescent="0.3">
      <c r="A78">
        <v>79452</v>
      </c>
      <c r="B78">
        <v>454874924</v>
      </c>
      <c r="C78" t="s">
        <v>821</v>
      </c>
      <c r="D78" s="9">
        <v>270115712</v>
      </c>
      <c r="E78" t="s">
        <v>530</v>
      </c>
      <c r="F78" t="s">
        <v>531</v>
      </c>
      <c r="G78" t="s">
        <v>30</v>
      </c>
      <c r="H78" t="s">
        <v>31</v>
      </c>
      <c r="I78" t="s">
        <v>52</v>
      </c>
      <c r="J78" t="s">
        <v>32</v>
      </c>
      <c r="K78" t="s">
        <v>29</v>
      </c>
      <c r="L78" t="s">
        <v>822</v>
      </c>
      <c r="M78" t="s">
        <v>823</v>
      </c>
      <c r="N78" t="s">
        <v>534</v>
      </c>
      <c r="O78" t="s">
        <v>39</v>
      </c>
      <c r="P78" t="s">
        <v>824</v>
      </c>
      <c r="Q78" t="s">
        <v>38</v>
      </c>
      <c r="R78" s="29">
        <v>46155.426388888889</v>
      </c>
      <c r="S78">
        <v>1</v>
      </c>
      <c r="T78">
        <v>3250</v>
      </c>
      <c r="U78">
        <v>0</v>
      </c>
      <c r="V78">
        <v>3250</v>
      </c>
    </row>
    <row r="79" spans="1:22" x14ac:dyDescent="0.3">
      <c r="A79">
        <v>79452</v>
      </c>
      <c r="B79">
        <v>454797893</v>
      </c>
      <c r="C79" t="s">
        <v>825</v>
      </c>
      <c r="D79" s="9">
        <v>270040520</v>
      </c>
      <c r="E79" t="s">
        <v>530</v>
      </c>
      <c r="F79" t="s">
        <v>531</v>
      </c>
      <c r="G79" t="s">
        <v>30</v>
      </c>
      <c r="H79" t="s">
        <v>31</v>
      </c>
      <c r="I79" t="s">
        <v>52</v>
      </c>
      <c r="J79" t="s">
        <v>32</v>
      </c>
      <c r="K79" t="s">
        <v>29</v>
      </c>
      <c r="L79" t="s">
        <v>826</v>
      </c>
      <c r="M79" t="s">
        <v>827</v>
      </c>
      <c r="N79" t="s">
        <v>534</v>
      </c>
      <c r="O79" t="s">
        <v>39</v>
      </c>
      <c r="P79" t="s">
        <v>828</v>
      </c>
      <c r="Q79" t="s">
        <v>69</v>
      </c>
      <c r="R79" s="29">
        <v>46153.484027777777</v>
      </c>
      <c r="S79">
        <v>2.27</v>
      </c>
      <c r="T79">
        <v>5024</v>
      </c>
      <c r="U79">
        <v>0</v>
      </c>
      <c r="V79">
        <v>5024</v>
      </c>
    </row>
    <row r="80" spans="1:22" x14ac:dyDescent="0.3">
      <c r="A80">
        <v>79452</v>
      </c>
      <c r="B80">
        <v>454874920</v>
      </c>
      <c r="C80" t="s">
        <v>829</v>
      </c>
      <c r="D80" s="9">
        <v>270115715</v>
      </c>
      <c r="E80" t="s">
        <v>530</v>
      </c>
      <c r="F80" t="s">
        <v>531</v>
      </c>
      <c r="G80" t="s">
        <v>30</v>
      </c>
      <c r="H80" t="s">
        <v>31</v>
      </c>
      <c r="I80" t="s">
        <v>52</v>
      </c>
      <c r="J80" t="s">
        <v>32</v>
      </c>
      <c r="K80" t="s">
        <v>29</v>
      </c>
      <c r="L80" t="s">
        <v>830</v>
      </c>
      <c r="M80" t="s">
        <v>831</v>
      </c>
      <c r="N80" t="s">
        <v>534</v>
      </c>
      <c r="O80" t="s">
        <v>39</v>
      </c>
      <c r="P80" t="s">
        <v>832</v>
      </c>
      <c r="Q80" t="s">
        <v>67</v>
      </c>
      <c r="R80" s="29">
        <v>46155.426388888889</v>
      </c>
      <c r="S80">
        <v>1.7</v>
      </c>
      <c r="T80">
        <v>3250</v>
      </c>
      <c r="U80">
        <v>0</v>
      </c>
      <c r="V80">
        <v>3250</v>
      </c>
    </row>
    <row r="81" spans="1:22" x14ac:dyDescent="0.3">
      <c r="A81">
        <v>79452</v>
      </c>
      <c r="B81">
        <v>454797878</v>
      </c>
      <c r="C81" t="s">
        <v>833</v>
      </c>
      <c r="D81" s="9">
        <v>270040528</v>
      </c>
      <c r="E81" t="s">
        <v>530</v>
      </c>
      <c r="F81" t="s">
        <v>531</v>
      </c>
      <c r="G81" t="s">
        <v>30</v>
      </c>
      <c r="H81" t="s">
        <v>31</v>
      </c>
      <c r="I81" t="s">
        <v>52</v>
      </c>
      <c r="J81" t="s">
        <v>32</v>
      </c>
      <c r="K81" t="s">
        <v>29</v>
      </c>
      <c r="L81" t="s">
        <v>834</v>
      </c>
      <c r="M81" t="s">
        <v>248</v>
      </c>
      <c r="N81" t="s">
        <v>534</v>
      </c>
      <c r="O81" t="s">
        <v>39</v>
      </c>
      <c r="P81" t="s">
        <v>835</v>
      </c>
      <c r="Q81" t="s">
        <v>69</v>
      </c>
      <c r="R81" s="29">
        <v>46153.484027777777</v>
      </c>
      <c r="S81">
        <v>1.31</v>
      </c>
      <c r="T81">
        <v>5024</v>
      </c>
      <c r="U81">
        <v>0</v>
      </c>
      <c r="V81">
        <v>5024</v>
      </c>
    </row>
    <row r="82" spans="1:22" x14ac:dyDescent="0.3">
      <c r="A82">
        <v>79452</v>
      </c>
      <c r="B82">
        <v>454774822</v>
      </c>
      <c r="C82" t="s">
        <v>836</v>
      </c>
      <c r="D82" s="9">
        <v>269963231</v>
      </c>
      <c r="E82" t="s">
        <v>530</v>
      </c>
      <c r="F82" t="s">
        <v>531</v>
      </c>
      <c r="G82" t="s">
        <v>30</v>
      </c>
      <c r="H82" t="s">
        <v>31</v>
      </c>
      <c r="I82" t="s">
        <v>52</v>
      </c>
      <c r="J82" t="s">
        <v>32</v>
      </c>
      <c r="K82" t="s">
        <v>29</v>
      </c>
      <c r="L82" t="s">
        <v>837</v>
      </c>
      <c r="M82" t="s">
        <v>838</v>
      </c>
      <c r="N82" t="s">
        <v>534</v>
      </c>
      <c r="O82" t="s">
        <v>39</v>
      </c>
      <c r="P82" t="s">
        <v>839</v>
      </c>
      <c r="Q82" t="s">
        <v>162</v>
      </c>
      <c r="R82" s="29">
        <v>46152.881944444445</v>
      </c>
      <c r="S82">
        <v>1</v>
      </c>
      <c r="T82">
        <v>5564</v>
      </c>
      <c r="U82">
        <v>0</v>
      </c>
      <c r="V82">
        <v>5564</v>
      </c>
    </row>
    <row r="83" spans="1:22" x14ac:dyDescent="0.3">
      <c r="A83">
        <v>79452</v>
      </c>
      <c r="B83">
        <v>454840239</v>
      </c>
      <c r="C83" t="s">
        <v>840</v>
      </c>
      <c r="D83" s="9">
        <v>270040452</v>
      </c>
      <c r="E83" t="s">
        <v>530</v>
      </c>
      <c r="F83" t="s">
        <v>531</v>
      </c>
      <c r="G83" t="s">
        <v>30</v>
      </c>
      <c r="H83" t="s">
        <v>31</v>
      </c>
      <c r="I83" t="s">
        <v>52</v>
      </c>
      <c r="J83" t="s">
        <v>32</v>
      </c>
      <c r="K83" t="s">
        <v>29</v>
      </c>
      <c r="L83" t="s">
        <v>841</v>
      </c>
      <c r="M83" t="s">
        <v>842</v>
      </c>
      <c r="N83" t="s">
        <v>534</v>
      </c>
      <c r="O83" t="s">
        <v>39</v>
      </c>
      <c r="P83" t="s">
        <v>843</v>
      </c>
      <c r="Q83" t="s">
        <v>35</v>
      </c>
      <c r="R83" s="29">
        <v>46154.461805555555</v>
      </c>
      <c r="S83">
        <v>1.34</v>
      </c>
      <c r="T83">
        <v>3935</v>
      </c>
      <c r="U83">
        <v>0</v>
      </c>
      <c r="V83">
        <v>3935</v>
      </c>
    </row>
    <row r="84" spans="1:22" x14ac:dyDescent="0.3">
      <c r="A84">
        <v>79452</v>
      </c>
      <c r="B84">
        <v>454736900</v>
      </c>
      <c r="C84" t="s">
        <v>844</v>
      </c>
      <c r="D84" s="9">
        <v>269963403</v>
      </c>
      <c r="E84" t="s">
        <v>530</v>
      </c>
      <c r="F84" t="s">
        <v>531</v>
      </c>
      <c r="G84" t="s">
        <v>30</v>
      </c>
      <c r="H84" t="s">
        <v>31</v>
      </c>
      <c r="I84" t="s">
        <v>52</v>
      </c>
      <c r="J84" t="s">
        <v>32</v>
      </c>
      <c r="K84" t="s">
        <v>29</v>
      </c>
      <c r="L84" t="s">
        <v>845</v>
      </c>
      <c r="M84" t="s">
        <v>846</v>
      </c>
      <c r="N84" t="s">
        <v>534</v>
      </c>
      <c r="O84" t="s">
        <v>39</v>
      </c>
      <c r="P84" t="s">
        <v>847</v>
      </c>
      <c r="Q84" t="s">
        <v>36</v>
      </c>
      <c r="R84" s="29">
        <v>46150.862500000003</v>
      </c>
      <c r="S84">
        <v>1</v>
      </c>
      <c r="T84">
        <v>5564</v>
      </c>
      <c r="U84">
        <v>0</v>
      </c>
      <c r="V84">
        <v>5564</v>
      </c>
    </row>
    <row r="85" spans="1:22" x14ac:dyDescent="0.3">
      <c r="A85">
        <v>79452</v>
      </c>
      <c r="B85">
        <v>454736893</v>
      </c>
      <c r="C85" t="s">
        <v>848</v>
      </c>
      <c r="D85" s="9">
        <v>269963435</v>
      </c>
      <c r="E85" t="s">
        <v>530</v>
      </c>
      <c r="F85" t="s">
        <v>531</v>
      </c>
      <c r="G85" t="s">
        <v>30</v>
      </c>
      <c r="H85" t="s">
        <v>31</v>
      </c>
      <c r="I85" t="s">
        <v>52</v>
      </c>
      <c r="J85" t="s">
        <v>32</v>
      </c>
      <c r="K85" t="s">
        <v>29</v>
      </c>
      <c r="L85" t="s">
        <v>849</v>
      </c>
      <c r="M85" t="s">
        <v>850</v>
      </c>
      <c r="N85" t="s">
        <v>534</v>
      </c>
      <c r="O85" t="s">
        <v>39</v>
      </c>
      <c r="P85" t="s">
        <v>851</v>
      </c>
      <c r="Q85" t="s">
        <v>69</v>
      </c>
      <c r="R85" s="29">
        <v>46150.862500000003</v>
      </c>
      <c r="S85">
        <v>1.79</v>
      </c>
      <c r="T85">
        <v>5024</v>
      </c>
      <c r="U85">
        <v>0</v>
      </c>
      <c r="V85">
        <v>5024</v>
      </c>
    </row>
    <row r="86" spans="1:22" x14ac:dyDescent="0.3">
      <c r="A86">
        <v>79452</v>
      </c>
      <c r="B86">
        <v>454797876</v>
      </c>
      <c r="C86" t="s">
        <v>852</v>
      </c>
      <c r="D86" s="9">
        <v>270040554</v>
      </c>
      <c r="E86" t="s">
        <v>530</v>
      </c>
      <c r="F86" t="s">
        <v>531</v>
      </c>
      <c r="G86" t="s">
        <v>30</v>
      </c>
      <c r="H86" t="s">
        <v>31</v>
      </c>
      <c r="I86" t="s">
        <v>52</v>
      </c>
      <c r="J86" t="s">
        <v>32</v>
      </c>
      <c r="K86" t="s">
        <v>29</v>
      </c>
      <c r="L86" t="s">
        <v>853</v>
      </c>
      <c r="M86" t="s">
        <v>854</v>
      </c>
      <c r="N86" t="s">
        <v>534</v>
      </c>
      <c r="O86" t="s">
        <v>39</v>
      </c>
      <c r="P86" t="s">
        <v>855</v>
      </c>
      <c r="Q86" t="s">
        <v>38</v>
      </c>
      <c r="R86" s="29">
        <v>46153.484027777777</v>
      </c>
      <c r="S86">
        <v>1.1100000000000001</v>
      </c>
      <c r="T86">
        <v>3250</v>
      </c>
      <c r="U86">
        <v>0</v>
      </c>
      <c r="V86">
        <v>3250</v>
      </c>
    </row>
    <row r="87" spans="1:22" x14ac:dyDescent="0.3">
      <c r="A87">
        <v>79452</v>
      </c>
      <c r="B87">
        <v>454774767</v>
      </c>
      <c r="C87" t="s">
        <v>856</v>
      </c>
      <c r="D87" s="9">
        <v>269963346</v>
      </c>
      <c r="E87" t="s">
        <v>530</v>
      </c>
      <c r="F87" t="s">
        <v>531</v>
      </c>
      <c r="G87" t="s">
        <v>30</v>
      </c>
      <c r="H87" t="s">
        <v>31</v>
      </c>
      <c r="I87" t="s">
        <v>52</v>
      </c>
      <c r="J87" t="s">
        <v>32</v>
      </c>
      <c r="K87" t="s">
        <v>29</v>
      </c>
      <c r="L87" t="s">
        <v>857</v>
      </c>
      <c r="M87" t="s">
        <v>858</v>
      </c>
      <c r="N87" t="s">
        <v>534</v>
      </c>
      <c r="O87" t="s">
        <v>39</v>
      </c>
      <c r="P87" t="s">
        <v>461</v>
      </c>
      <c r="Q87" t="s">
        <v>173</v>
      </c>
      <c r="R87" s="29">
        <v>46152.881249999999</v>
      </c>
      <c r="S87">
        <v>1</v>
      </c>
      <c r="T87">
        <v>7868</v>
      </c>
      <c r="U87">
        <v>0</v>
      </c>
      <c r="V87">
        <v>7868</v>
      </c>
    </row>
    <row r="88" spans="1:22" x14ac:dyDescent="0.3">
      <c r="A88">
        <v>79452</v>
      </c>
      <c r="B88">
        <v>454821713</v>
      </c>
      <c r="C88" t="s">
        <v>859</v>
      </c>
      <c r="D88" s="9">
        <v>270040496</v>
      </c>
      <c r="E88" t="s">
        <v>530</v>
      </c>
      <c r="F88" t="s">
        <v>531</v>
      </c>
      <c r="G88" t="s">
        <v>30</v>
      </c>
      <c r="H88" t="s">
        <v>31</v>
      </c>
      <c r="I88" t="s">
        <v>52</v>
      </c>
      <c r="J88" t="s">
        <v>32</v>
      </c>
      <c r="K88" t="s">
        <v>102</v>
      </c>
      <c r="L88" t="s">
        <v>103</v>
      </c>
      <c r="M88" t="s">
        <v>860</v>
      </c>
      <c r="N88" t="s">
        <v>534</v>
      </c>
      <c r="O88" t="s">
        <v>39</v>
      </c>
      <c r="P88" t="s">
        <v>861</v>
      </c>
      <c r="Q88" t="s">
        <v>42</v>
      </c>
      <c r="R88" s="29">
        <v>46153.84652777778</v>
      </c>
      <c r="S88">
        <v>2.5099999999999998</v>
      </c>
      <c r="T88">
        <v>3250</v>
      </c>
      <c r="U88">
        <v>0</v>
      </c>
      <c r="V88">
        <v>3250</v>
      </c>
    </row>
    <row r="89" spans="1:22" x14ac:dyDescent="0.3">
      <c r="A89">
        <v>79452</v>
      </c>
      <c r="B89">
        <v>454736897</v>
      </c>
      <c r="C89" t="s">
        <v>862</v>
      </c>
      <c r="D89" s="9">
        <v>269963409</v>
      </c>
      <c r="E89" t="s">
        <v>530</v>
      </c>
      <c r="F89" t="s">
        <v>531</v>
      </c>
      <c r="G89" t="s">
        <v>30</v>
      </c>
      <c r="H89" t="s">
        <v>31</v>
      </c>
      <c r="I89" t="s">
        <v>52</v>
      </c>
      <c r="J89" t="s">
        <v>32</v>
      </c>
      <c r="K89" t="s">
        <v>29</v>
      </c>
      <c r="L89" t="s">
        <v>863</v>
      </c>
      <c r="M89" t="s">
        <v>864</v>
      </c>
      <c r="N89" t="s">
        <v>534</v>
      </c>
      <c r="O89" t="s">
        <v>39</v>
      </c>
      <c r="P89" t="s">
        <v>865</v>
      </c>
      <c r="Q89" t="s">
        <v>36</v>
      </c>
      <c r="R89" s="29">
        <v>46150.862500000003</v>
      </c>
      <c r="S89">
        <v>1</v>
      </c>
      <c r="T89">
        <v>5564</v>
      </c>
      <c r="U89">
        <v>0</v>
      </c>
      <c r="V89">
        <v>5564</v>
      </c>
    </row>
    <row r="90" spans="1:22" x14ac:dyDescent="0.3">
      <c r="A90">
        <v>79452</v>
      </c>
      <c r="B90">
        <v>454510732</v>
      </c>
      <c r="C90" t="s">
        <v>866</v>
      </c>
      <c r="D90" s="9">
        <v>269476837</v>
      </c>
      <c r="E90" t="s">
        <v>530</v>
      </c>
      <c r="F90" t="s">
        <v>531</v>
      </c>
      <c r="G90" t="s">
        <v>30</v>
      </c>
      <c r="H90" t="s">
        <v>31</v>
      </c>
      <c r="I90" t="s">
        <v>52</v>
      </c>
      <c r="J90" t="s">
        <v>32</v>
      </c>
      <c r="K90" t="s">
        <v>29</v>
      </c>
      <c r="L90" t="s">
        <v>867</v>
      </c>
      <c r="M90" t="s">
        <v>868</v>
      </c>
      <c r="N90" t="s">
        <v>534</v>
      </c>
      <c r="O90" t="s">
        <v>39</v>
      </c>
      <c r="P90" t="s">
        <v>869</v>
      </c>
      <c r="Q90" t="s">
        <v>184</v>
      </c>
      <c r="R90" s="29">
        <v>46145.86041666667</v>
      </c>
      <c r="S90">
        <v>1</v>
      </c>
      <c r="T90">
        <v>5564</v>
      </c>
      <c r="U90">
        <v>0</v>
      </c>
      <c r="V90">
        <v>5564</v>
      </c>
    </row>
    <row r="91" spans="1:22" x14ac:dyDescent="0.3">
      <c r="A91">
        <v>79452</v>
      </c>
      <c r="B91">
        <v>454821708</v>
      </c>
      <c r="C91" t="s">
        <v>870</v>
      </c>
      <c r="D91" s="9">
        <v>270040513</v>
      </c>
      <c r="E91" t="s">
        <v>530</v>
      </c>
      <c r="F91" t="s">
        <v>531</v>
      </c>
      <c r="G91" t="s">
        <v>30</v>
      </c>
      <c r="H91" t="s">
        <v>31</v>
      </c>
      <c r="I91" t="s">
        <v>52</v>
      </c>
      <c r="J91" t="s">
        <v>32</v>
      </c>
      <c r="K91" t="s">
        <v>29</v>
      </c>
      <c r="L91" t="s">
        <v>871</v>
      </c>
      <c r="M91" t="s">
        <v>872</v>
      </c>
      <c r="N91" t="s">
        <v>534</v>
      </c>
      <c r="O91" t="s">
        <v>39</v>
      </c>
      <c r="P91" t="s">
        <v>873</v>
      </c>
      <c r="Q91" t="s">
        <v>38</v>
      </c>
      <c r="R91" s="29">
        <v>46153.84652777778</v>
      </c>
      <c r="S91">
        <v>1.21</v>
      </c>
      <c r="T91">
        <v>3250</v>
      </c>
      <c r="U91">
        <v>0</v>
      </c>
      <c r="V91">
        <v>3250</v>
      </c>
    </row>
    <row r="92" spans="1:22" x14ac:dyDescent="0.3">
      <c r="A92">
        <v>79452</v>
      </c>
      <c r="B92">
        <v>454835716</v>
      </c>
      <c r="C92" t="s">
        <v>874</v>
      </c>
      <c r="D92" s="9">
        <v>270040469</v>
      </c>
      <c r="E92" t="s">
        <v>530</v>
      </c>
      <c r="F92" t="s">
        <v>531</v>
      </c>
      <c r="G92" t="s">
        <v>30</v>
      </c>
      <c r="H92" t="s">
        <v>31</v>
      </c>
      <c r="I92" t="s">
        <v>52</v>
      </c>
      <c r="J92" t="s">
        <v>32</v>
      </c>
      <c r="K92" t="s">
        <v>29</v>
      </c>
      <c r="L92" t="s">
        <v>875</v>
      </c>
      <c r="M92" t="s">
        <v>876</v>
      </c>
      <c r="N92" t="s">
        <v>534</v>
      </c>
      <c r="O92" t="s">
        <v>39</v>
      </c>
      <c r="P92" t="s">
        <v>877</v>
      </c>
      <c r="Q92" t="s">
        <v>88</v>
      </c>
      <c r="R92" s="29">
        <v>46154.416666666664</v>
      </c>
      <c r="S92">
        <v>2.2999999999999998</v>
      </c>
      <c r="T92">
        <v>3631</v>
      </c>
      <c r="U92">
        <v>0</v>
      </c>
      <c r="V92">
        <v>3631</v>
      </c>
    </row>
    <row r="93" spans="1:22" x14ac:dyDescent="0.3">
      <c r="A93">
        <v>79452</v>
      </c>
      <c r="B93">
        <v>454797895</v>
      </c>
      <c r="C93" t="s">
        <v>878</v>
      </c>
      <c r="D93" s="9">
        <v>270040517</v>
      </c>
      <c r="E93" t="s">
        <v>530</v>
      </c>
      <c r="F93" t="s">
        <v>531</v>
      </c>
      <c r="G93" t="s">
        <v>30</v>
      </c>
      <c r="H93" t="s">
        <v>31</v>
      </c>
      <c r="I93" t="s">
        <v>52</v>
      </c>
      <c r="J93" t="s">
        <v>32</v>
      </c>
      <c r="K93" t="s">
        <v>29</v>
      </c>
      <c r="L93" t="s">
        <v>879</v>
      </c>
      <c r="M93" t="s">
        <v>371</v>
      </c>
      <c r="N93" t="s">
        <v>534</v>
      </c>
      <c r="O93" t="s">
        <v>39</v>
      </c>
      <c r="P93" t="s">
        <v>880</v>
      </c>
      <c r="Q93" t="s">
        <v>79</v>
      </c>
      <c r="R93" s="29">
        <v>46153.484027777777</v>
      </c>
      <c r="S93">
        <v>2.3199999999999998</v>
      </c>
      <c r="T93">
        <v>3631</v>
      </c>
      <c r="U93">
        <v>0</v>
      </c>
      <c r="V93">
        <v>3631</v>
      </c>
    </row>
    <row r="94" spans="1:22" x14ac:dyDescent="0.3">
      <c r="A94">
        <v>79452</v>
      </c>
      <c r="B94">
        <v>454797886</v>
      </c>
      <c r="C94" t="s">
        <v>881</v>
      </c>
      <c r="D94" s="9">
        <v>270040523</v>
      </c>
      <c r="E94" t="s">
        <v>530</v>
      </c>
      <c r="F94" t="s">
        <v>531</v>
      </c>
      <c r="G94" t="s">
        <v>30</v>
      </c>
      <c r="H94" t="s">
        <v>31</v>
      </c>
      <c r="I94" t="s">
        <v>52</v>
      </c>
      <c r="J94" t="s">
        <v>32</v>
      </c>
      <c r="K94" t="s">
        <v>29</v>
      </c>
      <c r="L94" t="s">
        <v>882</v>
      </c>
      <c r="M94" t="s">
        <v>883</v>
      </c>
      <c r="N94" t="s">
        <v>534</v>
      </c>
      <c r="O94" t="s">
        <v>39</v>
      </c>
      <c r="P94" t="s">
        <v>884</v>
      </c>
      <c r="Q94" t="s">
        <v>38</v>
      </c>
      <c r="R94" s="29">
        <v>46153.484027777777</v>
      </c>
      <c r="S94">
        <v>1.51</v>
      </c>
      <c r="T94">
        <v>3250</v>
      </c>
      <c r="U94">
        <v>0</v>
      </c>
      <c r="V94">
        <v>3250</v>
      </c>
    </row>
    <row r="95" spans="1:22" x14ac:dyDescent="0.3">
      <c r="A95">
        <v>79452</v>
      </c>
      <c r="B95">
        <v>454821709</v>
      </c>
      <c r="C95" t="s">
        <v>885</v>
      </c>
      <c r="D95" s="9">
        <v>270040508</v>
      </c>
      <c r="E95" t="s">
        <v>530</v>
      </c>
      <c r="F95" t="s">
        <v>531</v>
      </c>
      <c r="G95" t="s">
        <v>30</v>
      </c>
      <c r="H95" t="s">
        <v>31</v>
      </c>
      <c r="I95" t="s">
        <v>52</v>
      </c>
      <c r="J95" t="s">
        <v>32</v>
      </c>
      <c r="K95" t="s">
        <v>29</v>
      </c>
      <c r="L95" t="s">
        <v>886</v>
      </c>
      <c r="M95" t="s">
        <v>887</v>
      </c>
      <c r="N95" t="s">
        <v>534</v>
      </c>
      <c r="O95" t="s">
        <v>39</v>
      </c>
      <c r="P95" t="s">
        <v>888</v>
      </c>
      <c r="Q95" t="s">
        <v>209</v>
      </c>
      <c r="R95" s="29">
        <v>46153.84652777778</v>
      </c>
      <c r="S95">
        <v>1.24</v>
      </c>
      <c r="T95">
        <v>4028</v>
      </c>
      <c r="U95">
        <v>0</v>
      </c>
      <c r="V95">
        <v>4028</v>
      </c>
    </row>
    <row r="96" spans="1:22" x14ac:dyDescent="0.3">
      <c r="A96">
        <v>79452</v>
      </c>
      <c r="B96">
        <v>454774820</v>
      </c>
      <c r="C96" t="s">
        <v>889</v>
      </c>
      <c r="D96" s="9">
        <v>269963258</v>
      </c>
      <c r="E96" t="s">
        <v>530</v>
      </c>
      <c r="F96" t="s">
        <v>531</v>
      </c>
      <c r="G96" t="s">
        <v>30</v>
      </c>
      <c r="H96" t="s">
        <v>31</v>
      </c>
      <c r="I96" t="s">
        <v>52</v>
      </c>
      <c r="J96" t="s">
        <v>32</v>
      </c>
      <c r="K96" t="s">
        <v>29</v>
      </c>
      <c r="L96" t="s">
        <v>890</v>
      </c>
      <c r="M96" t="s">
        <v>891</v>
      </c>
      <c r="N96" t="s">
        <v>534</v>
      </c>
      <c r="O96" t="s">
        <v>39</v>
      </c>
      <c r="P96" t="s">
        <v>892</v>
      </c>
      <c r="Q96" t="s">
        <v>80</v>
      </c>
      <c r="R96" s="29">
        <v>46152.881944444445</v>
      </c>
      <c r="S96">
        <v>1</v>
      </c>
      <c r="T96">
        <v>5295</v>
      </c>
      <c r="U96">
        <v>0</v>
      </c>
      <c r="V96">
        <v>5295</v>
      </c>
    </row>
    <row r="97" spans="1:22" x14ac:dyDescent="0.3">
      <c r="A97">
        <v>79452</v>
      </c>
      <c r="B97">
        <v>454774819</v>
      </c>
      <c r="C97" t="s">
        <v>893</v>
      </c>
      <c r="D97" s="9">
        <v>269963247</v>
      </c>
      <c r="E97" t="s">
        <v>530</v>
      </c>
      <c r="F97" t="s">
        <v>531</v>
      </c>
      <c r="G97" t="s">
        <v>30</v>
      </c>
      <c r="H97" t="s">
        <v>31</v>
      </c>
      <c r="I97" t="s">
        <v>52</v>
      </c>
      <c r="J97" t="s">
        <v>32</v>
      </c>
      <c r="K97" t="s">
        <v>29</v>
      </c>
      <c r="L97" t="s">
        <v>894</v>
      </c>
      <c r="M97" t="s">
        <v>430</v>
      </c>
      <c r="N97" t="s">
        <v>534</v>
      </c>
      <c r="O97" t="s">
        <v>39</v>
      </c>
      <c r="P97" t="s">
        <v>895</v>
      </c>
      <c r="Q97" t="s">
        <v>69</v>
      </c>
      <c r="R97" s="29">
        <v>46152.881944444445</v>
      </c>
      <c r="S97">
        <v>1</v>
      </c>
      <c r="T97">
        <v>5024</v>
      </c>
      <c r="U97">
        <v>0</v>
      </c>
      <c r="V97">
        <v>5024</v>
      </c>
    </row>
    <row r="98" spans="1:22" x14ac:dyDescent="0.3">
      <c r="A98">
        <v>79452</v>
      </c>
      <c r="B98">
        <v>454510715</v>
      </c>
      <c r="C98" t="s">
        <v>896</v>
      </c>
      <c r="D98" s="9">
        <v>269477094</v>
      </c>
      <c r="E98" t="s">
        <v>530</v>
      </c>
      <c r="F98" t="s">
        <v>531</v>
      </c>
      <c r="G98" t="s">
        <v>30</v>
      </c>
      <c r="H98" t="s">
        <v>31</v>
      </c>
      <c r="I98" t="s">
        <v>52</v>
      </c>
      <c r="J98" t="s">
        <v>32</v>
      </c>
      <c r="K98" t="s">
        <v>29</v>
      </c>
      <c r="L98" t="s">
        <v>897</v>
      </c>
      <c r="M98" t="s">
        <v>898</v>
      </c>
      <c r="N98" t="s">
        <v>534</v>
      </c>
      <c r="O98" t="s">
        <v>39</v>
      </c>
      <c r="P98" t="s">
        <v>899</v>
      </c>
      <c r="Q98" t="s">
        <v>184</v>
      </c>
      <c r="R98" s="29">
        <v>46145.86041666667</v>
      </c>
      <c r="S98">
        <v>1</v>
      </c>
      <c r="T98">
        <v>5564</v>
      </c>
      <c r="U98">
        <v>0</v>
      </c>
      <c r="V98">
        <v>5564</v>
      </c>
    </row>
    <row r="99" spans="1:22" x14ac:dyDescent="0.3">
      <c r="A99">
        <v>79452</v>
      </c>
      <c r="B99">
        <v>454774817</v>
      </c>
      <c r="C99" t="s">
        <v>900</v>
      </c>
      <c r="D99" s="9">
        <v>269963262</v>
      </c>
      <c r="E99" t="s">
        <v>530</v>
      </c>
      <c r="F99" t="s">
        <v>531</v>
      </c>
      <c r="G99" t="s">
        <v>30</v>
      </c>
      <c r="H99" t="s">
        <v>31</v>
      </c>
      <c r="I99" t="s">
        <v>52</v>
      </c>
      <c r="J99" t="s">
        <v>32</v>
      </c>
      <c r="K99" t="s">
        <v>29</v>
      </c>
      <c r="L99" t="s">
        <v>901</v>
      </c>
      <c r="M99" t="s">
        <v>902</v>
      </c>
      <c r="N99" t="s">
        <v>534</v>
      </c>
      <c r="O99" t="s">
        <v>39</v>
      </c>
      <c r="P99" t="s">
        <v>903</v>
      </c>
      <c r="Q99" t="s">
        <v>43</v>
      </c>
      <c r="R99" s="29">
        <v>46152.881944444445</v>
      </c>
      <c r="S99">
        <v>1</v>
      </c>
      <c r="T99">
        <v>4205</v>
      </c>
      <c r="U99">
        <v>0</v>
      </c>
      <c r="V99">
        <v>4205</v>
      </c>
    </row>
    <row r="100" spans="1:22" x14ac:dyDescent="0.3">
      <c r="A100">
        <v>79452</v>
      </c>
      <c r="B100">
        <v>454774834</v>
      </c>
      <c r="C100" t="s">
        <v>904</v>
      </c>
      <c r="D100" s="9">
        <v>269963202</v>
      </c>
      <c r="E100" t="s">
        <v>530</v>
      </c>
      <c r="F100" t="s">
        <v>531</v>
      </c>
      <c r="G100" t="s">
        <v>30</v>
      </c>
      <c r="H100" t="s">
        <v>31</v>
      </c>
      <c r="I100" t="s">
        <v>52</v>
      </c>
      <c r="J100" t="s">
        <v>32</v>
      </c>
      <c r="K100" t="s">
        <v>29</v>
      </c>
      <c r="L100" t="s">
        <v>905</v>
      </c>
      <c r="M100" t="s">
        <v>906</v>
      </c>
      <c r="N100" t="s">
        <v>534</v>
      </c>
      <c r="O100" t="s">
        <v>39</v>
      </c>
      <c r="P100" t="s">
        <v>907</v>
      </c>
      <c r="Q100" t="s">
        <v>43</v>
      </c>
      <c r="R100" s="29">
        <v>46152.881944444445</v>
      </c>
      <c r="S100">
        <v>1</v>
      </c>
      <c r="T100">
        <v>4205</v>
      </c>
      <c r="U100">
        <v>0</v>
      </c>
      <c r="V100">
        <v>4205</v>
      </c>
    </row>
    <row r="101" spans="1:22" x14ac:dyDescent="0.3">
      <c r="A101">
        <v>79452</v>
      </c>
      <c r="B101">
        <v>454774766</v>
      </c>
      <c r="C101" t="s">
        <v>908</v>
      </c>
      <c r="D101" s="9">
        <v>269963365</v>
      </c>
      <c r="E101" t="s">
        <v>530</v>
      </c>
      <c r="F101" t="s">
        <v>531</v>
      </c>
      <c r="G101" t="s">
        <v>30</v>
      </c>
      <c r="H101" t="s">
        <v>31</v>
      </c>
      <c r="I101" t="s">
        <v>52</v>
      </c>
      <c r="J101" t="s">
        <v>32</v>
      </c>
      <c r="K101" t="s">
        <v>29</v>
      </c>
      <c r="L101" t="s">
        <v>909</v>
      </c>
      <c r="M101" t="s">
        <v>910</v>
      </c>
      <c r="N101" t="s">
        <v>534</v>
      </c>
      <c r="O101" t="s">
        <v>39</v>
      </c>
      <c r="P101" t="s">
        <v>911</v>
      </c>
      <c r="Q101" t="s">
        <v>42</v>
      </c>
      <c r="R101" s="29">
        <v>46152.881249999999</v>
      </c>
      <c r="S101">
        <v>1</v>
      </c>
      <c r="T101">
        <v>3250</v>
      </c>
      <c r="U101">
        <v>0</v>
      </c>
      <c r="V101">
        <v>3250</v>
      </c>
    </row>
    <row r="102" spans="1:22" x14ac:dyDescent="0.3">
      <c r="A102">
        <v>79452</v>
      </c>
      <c r="B102">
        <v>454774832</v>
      </c>
      <c r="C102" t="s">
        <v>912</v>
      </c>
      <c r="D102" s="9">
        <v>269963216</v>
      </c>
      <c r="E102" t="s">
        <v>530</v>
      </c>
      <c r="F102" t="s">
        <v>531</v>
      </c>
      <c r="G102" t="s">
        <v>30</v>
      </c>
      <c r="H102" t="s">
        <v>31</v>
      </c>
      <c r="I102" t="s">
        <v>52</v>
      </c>
      <c r="J102" t="s">
        <v>32</v>
      </c>
      <c r="K102" t="s">
        <v>29</v>
      </c>
      <c r="L102" t="s">
        <v>913</v>
      </c>
      <c r="M102" t="s">
        <v>914</v>
      </c>
      <c r="N102" t="s">
        <v>534</v>
      </c>
      <c r="O102" t="s">
        <v>39</v>
      </c>
      <c r="P102" t="s">
        <v>915</v>
      </c>
      <c r="Q102" t="s">
        <v>38</v>
      </c>
      <c r="R102" s="29">
        <v>46152.881944444445</v>
      </c>
      <c r="S102">
        <v>1</v>
      </c>
      <c r="T102">
        <v>3250</v>
      </c>
      <c r="U102">
        <v>0</v>
      </c>
      <c r="V102">
        <v>3250</v>
      </c>
    </row>
    <row r="103" spans="1:22" x14ac:dyDescent="0.3">
      <c r="A103">
        <v>79452</v>
      </c>
      <c r="B103">
        <v>454736899</v>
      </c>
      <c r="C103" t="s">
        <v>916</v>
      </c>
      <c r="D103" s="9">
        <v>269963400</v>
      </c>
      <c r="E103" t="s">
        <v>530</v>
      </c>
      <c r="F103" t="s">
        <v>531</v>
      </c>
      <c r="G103" t="s">
        <v>30</v>
      </c>
      <c r="H103" t="s">
        <v>31</v>
      </c>
      <c r="I103" t="s">
        <v>52</v>
      </c>
      <c r="J103" t="s">
        <v>32</v>
      </c>
      <c r="K103" t="s">
        <v>29</v>
      </c>
      <c r="L103" t="s">
        <v>917</v>
      </c>
      <c r="M103" t="s">
        <v>918</v>
      </c>
      <c r="N103" t="s">
        <v>534</v>
      </c>
      <c r="O103" t="s">
        <v>39</v>
      </c>
      <c r="P103" t="s">
        <v>919</v>
      </c>
      <c r="Q103" t="s">
        <v>41</v>
      </c>
      <c r="R103" s="29">
        <v>46150.862500000003</v>
      </c>
      <c r="S103">
        <v>1</v>
      </c>
      <c r="T103">
        <v>3384</v>
      </c>
      <c r="U103">
        <v>0</v>
      </c>
      <c r="V103">
        <v>3384</v>
      </c>
    </row>
    <row r="104" spans="1:22" x14ac:dyDescent="0.3">
      <c r="A104">
        <v>79452</v>
      </c>
      <c r="B104">
        <v>454774778</v>
      </c>
      <c r="C104" t="s">
        <v>920</v>
      </c>
      <c r="D104" s="9">
        <v>269963352</v>
      </c>
      <c r="E104" t="s">
        <v>530</v>
      </c>
      <c r="F104" t="s">
        <v>531</v>
      </c>
      <c r="G104" t="s">
        <v>30</v>
      </c>
      <c r="H104" t="s">
        <v>31</v>
      </c>
      <c r="I104" t="s">
        <v>52</v>
      </c>
      <c r="J104" t="s">
        <v>32</v>
      </c>
      <c r="K104" t="s">
        <v>29</v>
      </c>
      <c r="L104" t="s">
        <v>921</v>
      </c>
      <c r="M104" t="s">
        <v>922</v>
      </c>
      <c r="N104" t="s">
        <v>534</v>
      </c>
      <c r="O104" t="s">
        <v>39</v>
      </c>
      <c r="P104" t="s">
        <v>923</v>
      </c>
      <c r="Q104" t="s">
        <v>33</v>
      </c>
      <c r="R104" s="29">
        <v>46152.881944444445</v>
      </c>
      <c r="S104">
        <v>1</v>
      </c>
      <c r="T104">
        <v>3631</v>
      </c>
      <c r="U104">
        <v>0</v>
      </c>
      <c r="V104">
        <v>3631</v>
      </c>
    </row>
    <row r="105" spans="1:22" x14ac:dyDescent="0.3">
      <c r="A105">
        <v>79452</v>
      </c>
      <c r="B105">
        <v>454736898</v>
      </c>
      <c r="C105" t="s">
        <v>924</v>
      </c>
      <c r="D105" s="9">
        <v>269963396</v>
      </c>
      <c r="E105" t="s">
        <v>530</v>
      </c>
      <c r="F105" t="s">
        <v>531</v>
      </c>
      <c r="G105" t="s">
        <v>30</v>
      </c>
      <c r="H105" t="s">
        <v>31</v>
      </c>
      <c r="I105" t="s">
        <v>52</v>
      </c>
      <c r="J105" t="s">
        <v>32</v>
      </c>
      <c r="K105" t="s">
        <v>29</v>
      </c>
      <c r="L105" t="s">
        <v>925</v>
      </c>
      <c r="M105" t="s">
        <v>926</v>
      </c>
      <c r="N105" t="s">
        <v>534</v>
      </c>
      <c r="O105" t="s">
        <v>39</v>
      </c>
      <c r="P105" t="s">
        <v>927</v>
      </c>
      <c r="Q105" t="s">
        <v>34</v>
      </c>
      <c r="R105" s="29">
        <v>46150.862500000003</v>
      </c>
      <c r="S105">
        <v>1</v>
      </c>
      <c r="T105">
        <v>3653</v>
      </c>
      <c r="U105">
        <v>0</v>
      </c>
      <c r="V105">
        <v>3653</v>
      </c>
    </row>
    <row r="106" spans="1:22" x14ac:dyDescent="0.3">
      <c r="A106">
        <v>79452</v>
      </c>
      <c r="B106">
        <v>454774803</v>
      </c>
      <c r="C106" t="s">
        <v>928</v>
      </c>
      <c r="D106" s="9">
        <v>269963269</v>
      </c>
      <c r="E106" t="s">
        <v>530</v>
      </c>
      <c r="F106" t="s">
        <v>531</v>
      </c>
      <c r="G106" t="s">
        <v>30</v>
      </c>
      <c r="H106" t="s">
        <v>31</v>
      </c>
      <c r="I106" t="s">
        <v>52</v>
      </c>
      <c r="J106" t="s">
        <v>32</v>
      </c>
      <c r="K106" t="s">
        <v>29</v>
      </c>
      <c r="L106" t="s">
        <v>517</v>
      </c>
      <c r="M106" t="s">
        <v>929</v>
      </c>
      <c r="N106" t="s">
        <v>534</v>
      </c>
      <c r="O106" t="s">
        <v>39</v>
      </c>
      <c r="P106" t="s">
        <v>930</v>
      </c>
      <c r="Q106" t="s">
        <v>71</v>
      </c>
      <c r="R106" s="29">
        <v>46152.881944444445</v>
      </c>
      <c r="S106">
        <v>1</v>
      </c>
      <c r="T106">
        <v>3631</v>
      </c>
      <c r="U106">
        <v>0</v>
      </c>
      <c r="V106">
        <v>3631</v>
      </c>
    </row>
    <row r="107" spans="1:22" x14ac:dyDescent="0.3">
      <c r="A107">
        <v>79452</v>
      </c>
      <c r="B107">
        <v>454703732</v>
      </c>
      <c r="C107" t="s">
        <v>931</v>
      </c>
      <c r="D107" s="9">
        <v>269805749</v>
      </c>
      <c r="E107" t="s">
        <v>530</v>
      </c>
      <c r="F107" t="s">
        <v>531</v>
      </c>
      <c r="G107" t="s">
        <v>30</v>
      </c>
      <c r="H107" t="s">
        <v>31</v>
      </c>
      <c r="I107" t="s">
        <v>52</v>
      </c>
      <c r="J107" t="s">
        <v>32</v>
      </c>
      <c r="K107" t="s">
        <v>29</v>
      </c>
      <c r="L107" t="s">
        <v>932</v>
      </c>
      <c r="M107" t="s">
        <v>933</v>
      </c>
      <c r="N107" t="s">
        <v>534</v>
      </c>
      <c r="O107" t="s">
        <v>39</v>
      </c>
      <c r="P107" t="s">
        <v>934</v>
      </c>
      <c r="Q107" t="s">
        <v>161</v>
      </c>
      <c r="R107" s="29">
        <v>46149.922222222223</v>
      </c>
      <c r="S107">
        <v>1</v>
      </c>
      <c r="T107">
        <v>3935</v>
      </c>
      <c r="U107">
        <v>0</v>
      </c>
      <c r="V107">
        <v>3935</v>
      </c>
    </row>
    <row r="108" spans="1:22" x14ac:dyDescent="0.3">
      <c r="A108">
        <v>79452</v>
      </c>
      <c r="B108">
        <v>454774782</v>
      </c>
      <c r="C108" t="s">
        <v>935</v>
      </c>
      <c r="D108" s="9">
        <v>269963303</v>
      </c>
      <c r="E108" t="s">
        <v>530</v>
      </c>
      <c r="F108" t="s">
        <v>531</v>
      </c>
      <c r="G108" t="s">
        <v>30</v>
      </c>
      <c r="H108" t="s">
        <v>31</v>
      </c>
      <c r="I108" t="s">
        <v>52</v>
      </c>
      <c r="J108" t="s">
        <v>32</v>
      </c>
      <c r="K108" t="s">
        <v>29</v>
      </c>
      <c r="L108" t="s">
        <v>936</v>
      </c>
      <c r="M108" t="s">
        <v>937</v>
      </c>
      <c r="N108" t="s">
        <v>534</v>
      </c>
      <c r="O108" t="s">
        <v>39</v>
      </c>
      <c r="P108" t="s">
        <v>938</v>
      </c>
      <c r="Q108" t="s">
        <v>146</v>
      </c>
      <c r="R108" s="29">
        <v>46152.881944444445</v>
      </c>
      <c r="S108">
        <v>1</v>
      </c>
      <c r="T108">
        <v>3935</v>
      </c>
      <c r="U108">
        <v>0</v>
      </c>
      <c r="V108">
        <v>3935</v>
      </c>
    </row>
    <row r="109" spans="1:22" x14ac:dyDescent="0.3">
      <c r="A109">
        <v>79452</v>
      </c>
      <c r="B109">
        <v>454736891</v>
      </c>
      <c r="C109" t="s">
        <v>939</v>
      </c>
      <c r="D109" s="9">
        <v>269963444</v>
      </c>
      <c r="E109" t="s">
        <v>530</v>
      </c>
      <c r="F109" t="s">
        <v>531</v>
      </c>
      <c r="G109" t="s">
        <v>30</v>
      </c>
      <c r="H109" t="s">
        <v>31</v>
      </c>
      <c r="I109" t="s">
        <v>52</v>
      </c>
      <c r="J109" t="s">
        <v>32</v>
      </c>
      <c r="K109" t="s">
        <v>29</v>
      </c>
      <c r="L109" t="s">
        <v>940</v>
      </c>
      <c r="M109" t="s">
        <v>941</v>
      </c>
      <c r="N109" t="s">
        <v>534</v>
      </c>
      <c r="O109" t="s">
        <v>39</v>
      </c>
      <c r="P109" t="s">
        <v>942</v>
      </c>
      <c r="Q109" t="s">
        <v>65</v>
      </c>
      <c r="R109" s="29">
        <v>46150.862500000003</v>
      </c>
      <c r="S109">
        <v>1</v>
      </c>
      <c r="T109">
        <v>3935</v>
      </c>
      <c r="U109">
        <v>0</v>
      </c>
      <c r="V109">
        <v>3935</v>
      </c>
    </row>
    <row r="110" spans="1:22" x14ac:dyDescent="0.3">
      <c r="A110">
        <v>79452</v>
      </c>
      <c r="B110">
        <v>454774823</v>
      </c>
      <c r="C110" t="s">
        <v>943</v>
      </c>
      <c r="D110" s="9">
        <v>269963236</v>
      </c>
      <c r="E110" t="s">
        <v>530</v>
      </c>
      <c r="F110" t="s">
        <v>531</v>
      </c>
      <c r="G110" t="s">
        <v>30</v>
      </c>
      <c r="H110" t="s">
        <v>31</v>
      </c>
      <c r="I110" t="s">
        <v>52</v>
      </c>
      <c r="J110" t="s">
        <v>32</v>
      </c>
      <c r="K110" t="s">
        <v>29</v>
      </c>
      <c r="L110" t="s">
        <v>944</v>
      </c>
      <c r="M110" t="s">
        <v>945</v>
      </c>
      <c r="N110" t="s">
        <v>534</v>
      </c>
      <c r="O110" t="s">
        <v>39</v>
      </c>
      <c r="P110" t="s">
        <v>946</v>
      </c>
      <c r="Q110" t="s">
        <v>67</v>
      </c>
      <c r="R110" s="29">
        <v>46152.881944444445</v>
      </c>
      <c r="S110">
        <v>1</v>
      </c>
      <c r="T110">
        <v>3250</v>
      </c>
      <c r="U110">
        <v>0</v>
      </c>
      <c r="V110">
        <v>3250</v>
      </c>
    </row>
    <row r="111" spans="1:22" x14ac:dyDescent="0.3">
      <c r="A111">
        <v>79452</v>
      </c>
      <c r="B111">
        <v>454774785</v>
      </c>
      <c r="C111" t="s">
        <v>947</v>
      </c>
      <c r="D111" s="9">
        <v>269963299</v>
      </c>
      <c r="E111" t="s">
        <v>530</v>
      </c>
      <c r="F111" t="s">
        <v>531</v>
      </c>
      <c r="G111" t="s">
        <v>30</v>
      </c>
      <c r="H111" t="s">
        <v>31</v>
      </c>
      <c r="I111" t="s">
        <v>52</v>
      </c>
      <c r="J111" t="s">
        <v>32</v>
      </c>
      <c r="K111" t="s">
        <v>29</v>
      </c>
      <c r="L111" t="s">
        <v>948</v>
      </c>
      <c r="M111" t="s">
        <v>949</v>
      </c>
      <c r="N111" t="s">
        <v>534</v>
      </c>
      <c r="O111" t="s">
        <v>39</v>
      </c>
      <c r="P111" t="s">
        <v>950</v>
      </c>
      <c r="Q111" t="s">
        <v>180</v>
      </c>
      <c r="R111" s="29">
        <v>46152.881944444445</v>
      </c>
      <c r="S111">
        <v>1</v>
      </c>
      <c r="T111">
        <v>3250</v>
      </c>
      <c r="U111">
        <v>0</v>
      </c>
      <c r="V111">
        <v>3250</v>
      </c>
    </row>
    <row r="112" spans="1:22" x14ac:dyDescent="0.3">
      <c r="A112">
        <v>79452</v>
      </c>
      <c r="B112">
        <v>454774764</v>
      </c>
      <c r="C112" t="s">
        <v>951</v>
      </c>
      <c r="D112" s="9">
        <v>269963368</v>
      </c>
      <c r="E112" t="s">
        <v>530</v>
      </c>
      <c r="F112" t="s">
        <v>531</v>
      </c>
      <c r="G112" t="s">
        <v>30</v>
      </c>
      <c r="H112" t="s">
        <v>31</v>
      </c>
      <c r="I112" t="s">
        <v>52</v>
      </c>
      <c r="J112" t="s">
        <v>32</v>
      </c>
      <c r="K112" t="s">
        <v>29</v>
      </c>
      <c r="L112" t="s">
        <v>952</v>
      </c>
      <c r="M112" t="s">
        <v>953</v>
      </c>
      <c r="N112" t="s">
        <v>534</v>
      </c>
      <c r="O112" t="s">
        <v>39</v>
      </c>
      <c r="P112" t="s">
        <v>954</v>
      </c>
      <c r="Q112" t="s">
        <v>48</v>
      </c>
      <c r="R112" s="29">
        <v>46152.881249999999</v>
      </c>
      <c r="S112">
        <v>1</v>
      </c>
      <c r="T112">
        <v>3250</v>
      </c>
      <c r="U112">
        <v>0</v>
      </c>
      <c r="V112">
        <v>3250</v>
      </c>
    </row>
    <row r="113" spans="1:22" x14ac:dyDescent="0.3">
      <c r="A113">
        <v>79452</v>
      </c>
      <c r="B113">
        <v>454774792</v>
      </c>
      <c r="C113" t="s">
        <v>955</v>
      </c>
      <c r="D113" s="9">
        <v>269963294</v>
      </c>
      <c r="E113" t="s">
        <v>530</v>
      </c>
      <c r="F113" t="s">
        <v>531</v>
      </c>
      <c r="G113" t="s">
        <v>30</v>
      </c>
      <c r="H113" t="s">
        <v>31</v>
      </c>
      <c r="I113" t="s">
        <v>52</v>
      </c>
      <c r="J113" t="s">
        <v>32</v>
      </c>
      <c r="K113" t="s">
        <v>29</v>
      </c>
      <c r="L113" t="s">
        <v>956</v>
      </c>
      <c r="M113" t="s">
        <v>957</v>
      </c>
      <c r="N113" t="s">
        <v>534</v>
      </c>
      <c r="O113" t="s">
        <v>39</v>
      </c>
      <c r="P113" t="s">
        <v>958</v>
      </c>
      <c r="Q113" t="s">
        <v>74</v>
      </c>
      <c r="R113" s="29">
        <v>46152.881944444445</v>
      </c>
      <c r="S113">
        <v>1</v>
      </c>
      <c r="T113">
        <v>3653</v>
      </c>
      <c r="U113">
        <v>0</v>
      </c>
      <c r="V113">
        <v>3653</v>
      </c>
    </row>
    <row r="114" spans="1:22" x14ac:dyDescent="0.3">
      <c r="A114">
        <v>79452</v>
      </c>
      <c r="B114">
        <v>454774780</v>
      </c>
      <c r="C114" t="s">
        <v>959</v>
      </c>
      <c r="D114" s="9">
        <v>269963306</v>
      </c>
      <c r="E114" t="s">
        <v>530</v>
      </c>
      <c r="F114" t="s">
        <v>531</v>
      </c>
      <c r="G114" t="s">
        <v>30</v>
      </c>
      <c r="H114" t="s">
        <v>31</v>
      </c>
      <c r="I114" t="s">
        <v>52</v>
      </c>
      <c r="J114" t="s">
        <v>32</v>
      </c>
      <c r="K114" t="s">
        <v>29</v>
      </c>
      <c r="L114" t="s">
        <v>960</v>
      </c>
      <c r="M114" t="s">
        <v>961</v>
      </c>
      <c r="N114" t="s">
        <v>534</v>
      </c>
      <c r="O114" t="s">
        <v>39</v>
      </c>
      <c r="P114" t="s">
        <v>962</v>
      </c>
      <c r="Q114" t="s">
        <v>140</v>
      </c>
      <c r="R114" s="29">
        <v>46152.881944444445</v>
      </c>
      <c r="S114">
        <v>1</v>
      </c>
      <c r="T114">
        <v>3250</v>
      </c>
      <c r="U114">
        <v>0</v>
      </c>
      <c r="V114">
        <v>3250</v>
      </c>
    </row>
    <row r="115" spans="1:22" x14ac:dyDescent="0.3">
      <c r="A115">
        <v>79452</v>
      </c>
      <c r="B115">
        <v>454703722</v>
      </c>
      <c r="C115" t="s">
        <v>963</v>
      </c>
      <c r="D115" s="9">
        <v>269805793</v>
      </c>
      <c r="E115" t="s">
        <v>530</v>
      </c>
      <c r="F115" t="s">
        <v>531</v>
      </c>
      <c r="G115" t="s">
        <v>30</v>
      </c>
      <c r="H115" t="s">
        <v>31</v>
      </c>
      <c r="I115" t="s">
        <v>52</v>
      </c>
      <c r="J115" t="s">
        <v>32</v>
      </c>
      <c r="K115" t="s">
        <v>29</v>
      </c>
      <c r="L115" t="s">
        <v>964</v>
      </c>
      <c r="M115" t="s">
        <v>965</v>
      </c>
      <c r="N115" t="s">
        <v>534</v>
      </c>
      <c r="O115" t="s">
        <v>39</v>
      </c>
      <c r="P115" t="s">
        <v>966</v>
      </c>
      <c r="Q115" t="s">
        <v>69</v>
      </c>
      <c r="R115" s="29">
        <v>46149.922222222223</v>
      </c>
      <c r="S115">
        <v>1</v>
      </c>
      <c r="T115">
        <v>5024</v>
      </c>
      <c r="U115">
        <v>0</v>
      </c>
      <c r="V115">
        <v>5024</v>
      </c>
    </row>
    <row r="116" spans="1:22" x14ac:dyDescent="0.3">
      <c r="A116">
        <v>79452</v>
      </c>
      <c r="B116">
        <v>454719533</v>
      </c>
      <c r="C116" t="s">
        <v>967</v>
      </c>
      <c r="D116" s="9">
        <v>269805756</v>
      </c>
      <c r="E116" t="s">
        <v>530</v>
      </c>
      <c r="F116" t="s">
        <v>531</v>
      </c>
      <c r="G116" t="s">
        <v>30</v>
      </c>
      <c r="H116" t="s">
        <v>31</v>
      </c>
      <c r="I116" t="s">
        <v>52</v>
      </c>
      <c r="J116" t="s">
        <v>32</v>
      </c>
      <c r="K116" t="s">
        <v>29</v>
      </c>
      <c r="L116" t="s">
        <v>968</v>
      </c>
      <c r="M116" t="s">
        <v>352</v>
      </c>
      <c r="N116" t="s">
        <v>534</v>
      </c>
      <c r="O116" t="s">
        <v>39</v>
      </c>
      <c r="P116" t="s">
        <v>969</v>
      </c>
      <c r="Q116" t="s">
        <v>167</v>
      </c>
      <c r="R116" s="29">
        <v>46150.473611111112</v>
      </c>
      <c r="S116">
        <v>1</v>
      </c>
      <c r="T116">
        <v>4721</v>
      </c>
      <c r="U116">
        <v>0</v>
      </c>
      <c r="V116">
        <v>4721</v>
      </c>
    </row>
    <row r="117" spans="1:22" x14ac:dyDescent="0.3">
      <c r="A117">
        <v>79452</v>
      </c>
      <c r="B117">
        <v>454703719</v>
      </c>
      <c r="C117" t="s">
        <v>970</v>
      </c>
      <c r="D117" s="9">
        <v>269805803</v>
      </c>
      <c r="E117" t="s">
        <v>530</v>
      </c>
      <c r="F117" t="s">
        <v>531</v>
      </c>
      <c r="G117" t="s">
        <v>30</v>
      </c>
      <c r="H117" t="s">
        <v>31</v>
      </c>
      <c r="I117" t="s">
        <v>52</v>
      </c>
      <c r="J117" t="s">
        <v>32</v>
      </c>
      <c r="K117" t="s">
        <v>29</v>
      </c>
      <c r="L117" t="s">
        <v>971</v>
      </c>
      <c r="M117" t="s">
        <v>972</v>
      </c>
      <c r="N117" t="s">
        <v>534</v>
      </c>
      <c r="O117" t="s">
        <v>39</v>
      </c>
      <c r="P117" t="s">
        <v>973</v>
      </c>
      <c r="Q117" t="s">
        <v>69</v>
      </c>
      <c r="R117" s="29">
        <v>46149.922222222223</v>
      </c>
      <c r="S117">
        <v>1</v>
      </c>
      <c r="T117">
        <v>5024</v>
      </c>
      <c r="U117">
        <v>0</v>
      </c>
      <c r="V117">
        <v>5024</v>
      </c>
    </row>
    <row r="118" spans="1:22" x14ac:dyDescent="0.3">
      <c r="A118">
        <v>79452</v>
      </c>
      <c r="B118">
        <v>454383541</v>
      </c>
      <c r="C118" t="s">
        <v>974</v>
      </c>
      <c r="D118" s="9">
        <v>269206639</v>
      </c>
      <c r="E118" t="s">
        <v>530</v>
      </c>
      <c r="F118" t="s">
        <v>531</v>
      </c>
      <c r="G118" t="s">
        <v>30</v>
      </c>
      <c r="H118" t="s">
        <v>31</v>
      </c>
      <c r="I118" t="s">
        <v>52</v>
      </c>
      <c r="J118" t="s">
        <v>32</v>
      </c>
      <c r="K118" t="s">
        <v>29</v>
      </c>
      <c r="L118" t="s">
        <v>975</v>
      </c>
      <c r="M118" t="s">
        <v>976</v>
      </c>
      <c r="N118" t="s">
        <v>534</v>
      </c>
      <c r="O118" t="s">
        <v>39</v>
      </c>
      <c r="P118" t="s">
        <v>977</v>
      </c>
      <c r="Q118" t="s">
        <v>49</v>
      </c>
      <c r="R118" s="29">
        <v>46141.401388888888</v>
      </c>
      <c r="S118">
        <v>1</v>
      </c>
      <c r="T118">
        <v>5564</v>
      </c>
      <c r="U118">
        <v>0</v>
      </c>
      <c r="V118">
        <v>5564</v>
      </c>
    </row>
    <row r="119" spans="1:22" x14ac:dyDescent="0.3">
      <c r="A119">
        <v>79452</v>
      </c>
      <c r="B119">
        <v>454719550</v>
      </c>
      <c r="C119" t="s">
        <v>978</v>
      </c>
      <c r="D119" s="9">
        <v>269805733</v>
      </c>
      <c r="E119" t="s">
        <v>530</v>
      </c>
      <c r="F119" t="s">
        <v>531</v>
      </c>
      <c r="G119" t="s">
        <v>30</v>
      </c>
      <c r="H119" t="s">
        <v>31</v>
      </c>
      <c r="I119" t="s">
        <v>52</v>
      </c>
      <c r="J119" t="s">
        <v>32</v>
      </c>
      <c r="K119" t="s">
        <v>29</v>
      </c>
      <c r="L119" t="s">
        <v>979</v>
      </c>
      <c r="M119" t="s">
        <v>980</v>
      </c>
      <c r="N119" t="s">
        <v>534</v>
      </c>
      <c r="O119" t="s">
        <v>39</v>
      </c>
      <c r="P119" t="s">
        <v>981</v>
      </c>
      <c r="Q119" t="s">
        <v>35</v>
      </c>
      <c r="R119" s="29">
        <v>46150.473611111112</v>
      </c>
      <c r="S119">
        <v>1</v>
      </c>
      <c r="T119">
        <v>3935</v>
      </c>
      <c r="U119">
        <v>0</v>
      </c>
      <c r="V119">
        <v>3935</v>
      </c>
    </row>
    <row r="120" spans="1:22" x14ac:dyDescent="0.3">
      <c r="A120">
        <v>79452</v>
      </c>
      <c r="B120">
        <v>454678480</v>
      </c>
      <c r="C120" t="s">
        <v>982</v>
      </c>
      <c r="D120" s="9">
        <v>269805829</v>
      </c>
      <c r="E120" t="s">
        <v>530</v>
      </c>
      <c r="F120" t="s">
        <v>531</v>
      </c>
      <c r="G120" t="s">
        <v>30</v>
      </c>
      <c r="H120" t="s">
        <v>31</v>
      </c>
      <c r="I120" t="s">
        <v>52</v>
      </c>
      <c r="J120" t="s">
        <v>32</v>
      </c>
      <c r="K120" t="s">
        <v>29</v>
      </c>
      <c r="L120" t="s">
        <v>983</v>
      </c>
      <c r="M120" t="s">
        <v>984</v>
      </c>
      <c r="N120" t="s">
        <v>534</v>
      </c>
      <c r="O120" t="s">
        <v>39</v>
      </c>
      <c r="P120" t="s">
        <v>985</v>
      </c>
      <c r="Q120" t="s">
        <v>35</v>
      </c>
      <c r="R120" s="29">
        <v>46149.470138888886</v>
      </c>
      <c r="S120">
        <v>1</v>
      </c>
      <c r="T120">
        <v>3935</v>
      </c>
      <c r="U120">
        <v>0</v>
      </c>
      <c r="V120">
        <v>3935</v>
      </c>
    </row>
    <row r="121" spans="1:22" x14ac:dyDescent="0.3">
      <c r="A121">
        <v>79452</v>
      </c>
      <c r="B121">
        <v>454678487</v>
      </c>
      <c r="C121" t="s">
        <v>986</v>
      </c>
      <c r="D121" s="9">
        <v>269805834</v>
      </c>
      <c r="E121" t="s">
        <v>530</v>
      </c>
      <c r="F121" t="s">
        <v>531</v>
      </c>
      <c r="G121" t="s">
        <v>30</v>
      </c>
      <c r="H121" t="s">
        <v>31</v>
      </c>
      <c r="I121" t="s">
        <v>52</v>
      </c>
      <c r="J121" t="s">
        <v>32</v>
      </c>
      <c r="K121" t="s">
        <v>29</v>
      </c>
      <c r="L121" t="s">
        <v>987</v>
      </c>
      <c r="M121" t="s">
        <v>988</v>
      </c>
      <c r="N121" t="s">
        <v>534</v>
      </c>
      <c r="O121" t="s">
        <v>39</v>
      </c>
      <c r="P121" t="s">
        <v>989</v>
      </c>
      <c r="Q121" t="s">
        <v>140</v>
      </c>
      <c r="R121" s="29">
        <v>46149.470138888886</v>
      </c>
      <c r="S121">
        <v>1</v>
      </c>
      <c r="T121">
        <v>3250</v>
      </c>
      <c r="U121">
        <v>0</v>
      </c>
      <c r="V121">
        <v>3250</v>
      </c>
    </row>
    <row r="122" spans="1:22" x14ac:dyDescent="0.3">
      <c r="A122">
        <v>79452</v>
      </c>
      <c r="B122">
        <v>454678486</v>
      </c>
      <c r="C122" t="s">
        <v>990</v>
      </c>
      <c r="D122" s="9">
        <v>269805820</v>
      </c>
      <c r="E122" t="s">
        <v>530</v>
      </c>
      <c r="F122" t="s">
        <v>531</v>
      </c>
      <c r="G122" t="s">
        <v>30</v>
      </c>
      <c r="H122" t="s">
        <v>31</v>
      </c>
      <c r="I122" t="s">
        <v>52</v>
      </c>
      <c r="J122" t="s">
        <v>32</v>
      </c>
      <c r="K122" t="s">
        <v>29</v>
      </c>
      <c r="L122" t="s">
        <v>991</v>
      </c>
      <c r="M122" t="s">
        <v>992</v>
      </c>
      <c r="N122" t="s">
        <v>534</v>
      </c>
      <c r="O122" t="s">
        <v>39</v>
      </c>
      <c r="P122" t="s">
        <v>993</v>
      </c>
      <c r="Q122" t="s">
        <v>33</v>
      </c>
      <c r="R122" s="29">
        <v>46149.470138888886</v>
      </c>
      <c r="S122">
        <v>1</v>
      </c>
      <c r="T122">
        <v>3631</v>
      </c>
      <c r="U122">
        <v>0</v>
      </c>
      <c r="V122">
        <v>3631</v>
      </c>
    </row>
    <row r="123" spans="1:22" x14ac:dyDescent="0.3">
      <c r="A123">
        <v>79452</v>
      </c>
      <c r="B123">
        <v>454678483</v>
      </c>
      <c r="C123" t="s">
        <v>994</v>
      </c>
      <c r="D123" s="9">
        <v>269805838</v>
      </c>
      <c r="E123" t="s">
        <v>530</v>
      </c>
      <c r="F123" t="s">
        <v>531</v>
      </c>
      <c r="G123" t="s">
        <v>30</v>
      </c>
      <c r="H123" t="s">
        <v>31</v>
      </c>
      <c r="I123" t="s">
        <v>52</v>
      </c>
      <c r="J123" t="s">
        <v>32</v>
      </c>
      <c r="K123" t="s">
        <v>29</v>
      </c>
      <c r="L123" t="s">
        <v>995</v>
      </c>
      <c r="M123" t="s">
        <v>996</v>
      </c>
      <c r="N123" t="s">
        <v>534</v>
      </c>
      <c r="O123" t="s">
        <v>39</v>
      </c>
      <c r="P123" t="s">
        <v>997</v>
      </c>
      <c r="Q123" t="s">
        <v>33</v>
      </c>
      <c r="R123" s="29">
        <v>46149.470138888886</v>
      </c>
      <c r="S123">
        <v>1</v>
      </c>
      <c r="T123">
        <v>3631</v>
      </c>
      <c r="U123">
        <v>0</v>
      </c>
      <c r="V123">
        <v>3631</v>
      </c>
    </row>
    <row r="124" spans="1:22" x14ac:dyDescent="0.3">
      <c r="A124">
        <v>79452</v>
      </c>
      <c r="B124">
        <v>454703726</v>
      </c>
      <c r="C124" t="s">
        <v>998</v>
      </c>
      <c r="D124" s="9">
        <v>269805760</v>
      </c>
      <c r="E124" t="s">
        <v>530</v>
      </c>
      <c r="F124" t="s">
        <v>531</v>
      </c>
      <c r="G124" t="s">
        <v>30</v>
      </c>
      <c r="H124" t="s">
        <v>31</v>
      </c>
      <c r="I124" t="s">
        <v>52</v>
      </c>
      <c r="J124" t="s">
        <v>32</v>
      </c>
      <c r="K124" t="s">
        <v>102</v>
      </c>
      <c r="L124" t="s">
        <v>103</v>
      </c>
      <c r="M124" t="s">
        <v>999</v>
      </c>
      <c r="N124" t="s">
        <v>534</v>
      </c>
      <c r="O124" t="s">
        <v>39</v>
      </c>
      <c r="P124" t="s">
        <v>1000</v>
      </c>
      <c r="Q124" t="s">
        <v>33</v>
      </c>
      <c r="R124" s="29">
        <v>46149.922222222223</v>
      </c>
      <c r="S124">
        <v>1</v>
      </c>
      <c r="T124">
        <v>3631</v>
      </c>
      <c r="U124">
        <v>0</v>
      </c>
      <c r="V124">
        <v>3631</v>
      </c>
    </row>
    <row r="125" spans="1:22" x14ac:dyDescent="0.3">
      <c r="A125">
        <v>79452</v>
      </c>
      <c r="B125">
        <v>454719539</v>
      </c>
      <c r="C125" t="s">
        <v>1001</v>
      </c>
      <c r="D125" s="9">
        <v>269805754</v>
      </c>
      <c r="E125" t="s">
        <v>530</v>
      </c>
      <c r="F125" t="s">
        <v>531</v>
      </c>
      <c r="G125" t="s">
        <v>30</v>
      </c>
      <c r="H125" t="s">
        <v>31</v>
      </c>
      <c r="I125" t="s">
        <v>52</v>
      </c>
      <c r="J125" t="s">
        <v>32</v>
      </c>
      <c r="K125" t="s">
        <v>29</v>
      </c>
      <c r="L125" t="s">
        <v>1002</v>
      </c>
      <c r="M125" t="s">
        <v>1003</v>
      </c>
      <c r="N125" t="s">
        <v>534</v>
      </c>
      <c r="O125" t="s">
        <v>39</v>
      </c>
      <c r="P125" t="s">
        <v>1004</v>
      </c>
      <c r="Q125" t="s">
        <v>42</v>
      </c>
      <c r="R125" s="29">
        <v>46150.473611111112</v>
      </c>
      <c r="S125">
        <v>1</v>
      </c>
      <c r="T125">
        <v>3250</v>
      </c>
      <c r="U125">
        <v>0</v>
      </c>
      <c r="V125">
        <v>3250</v>
      </c>
    </row>
    <row r="126" spans="1:22" x14ac:dyDescent="0.3">
      <c r="A126">
        <v>79452</v>
      </c>
      <c r="B126">
        <v>454703727</v>
      </c>
      <c r="C126" t="s">
        <v>1005</v>
      </c>
      <c r="D126" s="9">
        <v>269805765</v>
      </c>
      <c r="E126" t="s">
        <v>530</v>
      </c>
      <c r="F126" t="s">
        <v>531</v>
      </c>
      <c r="G126" t="s">
        <v>30</v>
      </c>
      <c r="H126" t="s">
        <v>31</v>
      </c>
      <c r="I126" t="s">
        <v>52</v>
      </c>
      <c r="J126" t="s">
        <v>32</v>
      </c>
      <c r="K126" t="s">
        <v>29</v>
      </c>
      <c r="L126" t="s">
        <v>1006</v>
      </c>
      <c r="M126" t="s">
        <v>1007</v>
      </c>
      <c r="N126" t="s">
        <v>534</v>
      </c>
      <c r="O126" t="s">
        <v>39</v>
      </c>
      <c r="P126" t="s">
        <v>1008</v>
      </c>
      <c r="Q126" t="s">
        <v>40</v>
      </c>
      <c r="R126" s="29">
        <v>46149.922222222223</v>
      </c>
      <c r="S126">
        <v>1</v>
      </c>
      <c r="T126">
        <v>3935</v>
      </c>
      <c r="U126">
        <v>0</v>
      </c>
      <c r="V126">
        <v>3935</v>
      </c>
    </row>
    <row r="127" spans="1:22" x14ac:dyDescent="0.3">
      <c r="A127">
        <v>79452</v>
      </c>
      <c r="B127">
        <v>454661406</v>
      </c>
      <c r="C127" t="s">
        <v>1009</v>
      </c>
      <c r="D127" s="9">
        <v>269726592</v>
      </c>
      <c r="E127" t="s">
        <v>530</v>
      </c>
      <c r="F127" t="s">
        <v>531</v>
      </c>
      <c r="G127" t="s">
        <v>30</v>
      </c>
      <c r="H127" t="s">
        <v>31</v>
      </c>
      <c r="I127" t="s">
        <v>52</v>
      </c>
      <c r="J127" t="s">
        <v>32</v>
      </c>
      <c r="K127" t="s">
        <v>29</v>
      </c>
      <c r="L127" t="s">
        <v>1010</v>
      </c>
      <c r="M127" t="s">
        <v>1011</v>
      </c>
      <c r="N127" t="s">
        <v>534</v>
      </c>
      <c r="O127" t="s">
        <v>39</v>
      </c>
      <c r="P127" t="s">
        <v>1012</v>
      </c>
      <c r="Q127" t="s">
        <v>48</v>
      </c>
      <c r="R127" s="29">
        <v>46148.873611111114</v>
      </c>
      <c r="S127">
        <v>1</v>
      </c>
      <c r="T127">
        <v>3250</v>
      </c>
      <c r="U127">
        <v>0</v>
      </c>
      <c r="V127">
        <v>3250</v>
      </c>
    </row>
    <row r="128" spans="1:22" x14ac:dyDescent="0.3">
      <c r="A128">
        <v>79452</v>
      </c>
      <c r="B128">
        <v>454510741</v>
      </c>
      <c r="C128" t="s">
        <v>1013</v>
      </c>
      <c r="D128" s="9">
        <v>269476779</v>
      </c>
      <c r="E128" t="s">
        <v>530</v>
      </c>
      <c r="F128" t="s">
        <v>531</v>
      </c>
      <c r="G128" t="s">
        <v>30</v>
      </c>
      <c r="H128" t="s">
        <v>31</v>
      </c>
      <c r="I128" t="s">
        <v>52</v>
      </c>
      <c r="J128" t="s">
        <v>32</v>
      </c>
      <c r="K128" t="s">
        <v>29</v>
      </c>
      <c r="L128" t="s">
        <v>1014</v>
      </c>
      <c r="M128" t="s">
        <v>1015</v>
      </c>
      <c r="N128" t="s">
        <v>534</v>
      </c>
      <c r="O128" t="s">
        <v>39</v>
      </c>
      <c r="P128" t="s">
        <v>1016</v>
      </c>
      <c r="Q128" t="s">
        <v>219</v>
      </c>
      <c r="R128" s="29">
        <v>46145.86041666667</v>
      </c>
      <c r="S128">
        <v>1</v>
      </c>
      <c r="T128">
        <v>5024</v>
      </c>
      <c r="U128">
        <v>0</v>
      </c>
      <c r="V128">
        <v>5024</v>
      </c>
    </row>
    <row r="129" spans="1:22" x14ac:dyDescent="0.3">
      <c r="A129">
        <v>79452</v>
      </c>
      <c r="B129">
        <v>454661414</v>
      </c>
      <c r="C129" t="s">
        <v>1017</v>
      </c>
      <c r="D129" s="9">
        <v>269726577</v>
      </c>
      <c r="E129" t="s">
        <v>530</v>
      </c>
      <c r="F129" t="s">
        <v>531</v>
      </c>
      <c r="G129" t="s">
        <v>30</v>
      </c>
      <c r="H129" t="s">
        <v>31</v>
      </c>
      <c r="I129" t="s">
        <v>52</v>
      </c>
      <c r="J129" t="s">
        <v>32</v>
      </c>
      <c r="K129" t="s">
        <v>29</v>
      </c>
      <c r="L129" t="s">
        <v>1018</v>
      </c>
      <c r="M129" t="s">
        <v>1019</v>
      </c>
      <c r="N129" t="s">
        <v>534</v>
      </c>
      <c r="O129" t="s">
        <v>39</v>
      </c>
      <c r="P129" t="s">
        <v>1020</v>
      </c>
      <c r="Q129" t="s">
        <v>33</v>
      </c>
      <c r="R129" s="29">
        <v>46148.873611111114</v>
      </c>
      <c r="S129">
        <v>1</v>
      </c>
      <c r="T129">
        <v>3631</v>
      </c>
      <c r="U129">
        <v>0</v>
      </c>
      <c r="V129">
        <v>3631</v>
      </c>
    </row>
    <row r="130" spans="1:22" x14ac:dyDescent="0.3">
      <c r="A130">
        <v>79452</v>
      </c>
      <c r="B130">
        <v>454661399</v>
      </c>
      <c r="C130" t="s">
        <v>1021</v>
      </c>
      <c r="D130" s="9">
        <v>269726600</v>
      </c>
      <c r="E130" t="s">
        <v>530</v>
      </c>
      <c r="F130" t="s">
        <v>531</v>
      </c>
      <c r="G130" t="s">
        <v>30</v>
      </c>
      <c r="H130" t="s">
        <v>31</v>
      </c>
      <c r="I130" t="s">
        <v>52</v>
      </c>
      <c r="J130" t="s">
        <v>32</v>
      </c>
      <c r="K130" t="s">
        <v>29</v>
      </c>
      <c r="L130" t="s">
        <v>1022</v>
      </c>
      <c r="M130" t="s">
        <v>1023</v>
      </c>
      <c r="N130" t="s">
        <v>534</v>
      </c>
      <c r="O130" t="s">
        <v>39</v>
      </c>
      <c r="P130" t="s">
        <v>1024</v>
      </c>
      <c r="Q130" t="s">
        <v>33</v>
      </c>
      <c r="R130" s="29">
        <v>46148.873611111114</v>
      </c>
      <c r="S130">
        <v>1</v>
      </c>
      <c r="T130">
        <v>3631</v>
      </c>
      <c r="U130">
        <v>0</v>
      </c>
      <c r="V130">
        <v>3631</v>
      </c>
    </row>
    <row r="131" spans="1:22" x14ac:dyDescent="0.3">
      <c r="A131">
        <v>79452</v>
      </c>
      <c r="B131">
        <v>454639432</v>
      </c>
      <c r="C131" t="s">
        <v>1025</v>
      </c>
      <c r="D131" s="9">
        <v>269660869</v>
      </c>
      <c r="E131" t="s">
        <v>530</v>
      </c>
      <c r="F131" t="s">
        <v>531</v>
      </c>
      <c r="G131" t="s">
        <v>30</v>
      </c>
      <c r="H131" t="s">
        <v>31</v>
      </c>
      <c r="I131" t="s">
        <v>52</v>
      </c>
      <c r="J131" t="s">
        <v>32</v>
      </c>
      <c r="K131" t="s">
        <v>29</v>
      </c>
      <c r="L131" t="s">
        <v>1026</v>
      </c>
      <c r="M131" t="s">
        <v>1027</v>
      </c>
      <c r="N131" t="s">
        <v>534</v>
      </c>
      <c r="O131" t="s">
        <v>39</v>
      </c>
      <c r="P131" t="s">
        <v>1028</v>
      </c>
      <c r="Q131" t="s">
        <v>80</v>
      </c>
      <c r="R131" s="29">
        <v>46148.504166666666</v>
      </c>
      <c r="S131">
        <v>1</v>
      </c>
      <c r="T131">
        <v>5295</v>
      </c>
      <c r="U131">
        <v>0</v>
      </c>
      <c r="V131">
        <v>5295</v>
      </c>
    </row>
    <row r="132" spans="1:22" x14ac:dyDescent="0.3">
      <c r="A132">
        <v>79452</v>
      </c>
      <c r="B132">
        <v>454466230</v>
      </c>
      <c r="C132" t="s">
        <v>1029</v>
      </c>
      <c r="D132" s="9">
        <v>269477198</v>
      </c>
      <c r="E132" t="s">
        <v>530</v>
      </c>
      <c r="F132" t="s">
        <v>531</v>
      </c>
      <c r="G132" t="s">
        <v>30</v>
      </c>
      <c r="H132" t="s">
        <v>31</v>
      </c>
      <c r="I132" t="s">
        <v>52</v>
      </c>
      <c r="J132" t="s">
        <v>32</v>
      </c>
      <c r="K132" t="s">
        <v>29</v>
      </c>
      <c r="L132" t="s">
        <v>1030</v>
      </c>
      <c r="M132" t="s">
        <v>1031</v>
      </c>
      <c r="N132" t="s">
        <v>534</v>
      </c>
      <c r="O132" t="s">
        <v>39</v>
      </c>
      <c r="P132" t="s">
        <v>1032</v>
      </c>
      <c r="Q132" t="s">
        <v>219</v>
      </c>
      <c r="R132" s="29">
        <v>46143.9</v>
      </c>
      <c r="S132">
        <v>1</v>
      </c>
      <c r="T132">
        <v>5024</v>
      </c>
      <c r="U132">
        <v>0</v>
      </c>
      <c r="V132">
        <v>5024</v>
      </c>
    </row>
    <row r="133" spans="1:22" x14ac:dyDescent="0.3">
      <c r="A133">
        <v>79452</v>
      </c>
      <c r="B133">
        <v>454639446</v>
      </c>
      <c r="C133" t="s">
        <v>1033</v>
      </c>
      <c r="D133" s="9">
        <v>269660874</v>
      </c>
      <c r="E133" t="s">
        <v>530</v>
      </c>
      <c r="F133" t="s">
        <v>531</v>
      </c>
      <c r="G133" t="s">
        <v>30</v>
      </c>
      <c r="H133" t="s">
        <v>31</v>
      </c>
      <c r="I133" t="s">
        <v>52</v>
      </c>
      <c r="J133" t="s">
        <v>32</v>
      </c>
      <c r="K133" t="s">
        <v>29</v>
      </c>
      <c r="L133" t="s">
        <v>1034</v>
      </c>
      <c r="M133" t="s">
        <v>1035</v>
      </c>
      <c r="N133" t="s">
        <v>534</v>
      </c>
      <c r="O133" t="s">
        <v>39</v>
      </c>
      <c r="P133" t="s">
        <v>1036</v>
      </c>
      <c r="Q133" t="s">
        <v>69</v>
      </c>
      <c r="R133" s="29">
        <v>46148.504166666666</v>
      </c>
      <c r="S133">
        <v>1.0900000000000001</v>
      </c>
      <c r="T133">
        <v>5024</v>
      </c>
      <c r="U133">
        <v>0</v>
      </c>
      <c r="V133">
        <v>5024</v>
      </c>
    </row>
    <row r="134" spans="1:22" x14ac:dyDescent="0.3">
      <c r="A134">
        <v>79452</v>
      </c>
      <c r="B134">
        <v>454510776</v>
      </c>
      <c r="C134" t="s">
        <v>1037</v>
      </c>
      <c r="D134" s="9">
        <v>269476653</v>
      </c>
      <c r="E134" t="s">
        <v>530</v>
      </c>
      <c r="F134" t="s">
        <v>531</v>
      </c>
      <c r="G134" t="s">
        <v>30</v>
      </c>
      <c r="H134" t="s">
        <v>31</v>
      </c>
      <c r="I134" t="s">
        <v>52</v>
      </c>
      <c r="J134" t="s">
        <v>32</v>
      </c>
      <c r="K134" t="s">
        <v>29</v>
      </c>
      <c r="L134" t="s">
        <v>1038</v>
      </c>
      <c r="M134" t="s">
        <v>1039</v>
      </c>
      <c r="N134" t="s">
        <v>534</v>
      </c>
      <c r="O134" t="s">
        <v>39</v>
      </c>
      <c r="P134" t="s">
        <v>1040</v>
      </c>
      <c r="Q134" t="s">
        <v>36</v>
      </c>
      <c r="R134" s="29">
        <v>46145.861111111109</v>
      </c>
      <c r="S134">
        <v>1</v>
      </c>
      <c r="T134">
        <v>5564</v>
      </c>
      <c r="U134">
        <v>0</v>
      </c>
      <c r="V134">
        <v>5564</v>
      </c>
    </row>
    <row r="135" spans="1:22" x14ac:dyDescent="0.3">
      <c r="A135">
        <v>79452</v>
      </c>
      <c r="B135">
        <v>454661401</v>
      </c>
      <c r="C135" t="s">
        <v>1041</v>
      </c>
      <c r="D135" s="9">
        <v>269726594</v>
      </c>
      <c r="E135" t="s">
        <v>530</v>
      </c>
      <c r="F135" t="s">
        <v>531</v>
      </c>
      <c r="G135" t="s">
        <v>30</v>
      </c>
      <c r="H135" t="s">
        <v>31</v>
      </c>
      <c r="I135" t="s">
        <v>52</v>
      </c>
      <c r="J135" t="s">
        <v>32</v>
      </c>
      <c r="K135" t="s">
        <v>29</v>
      </c>
      <c r="L135" t="s">
        <v>1042</v>
      </c>
      <c r="M135" t="s">
        <v>1043</v>
      </c>
      <c r="N135" t="s">
        <v>534</v>
      </c>
      <c r="O135" t="s">
        <v>39</v>
      </c>
      <c r="P135" t="s">
        <v>1044</v>
      </c>
      <c r="Q135" t="s">
        <v>41</v>
      </c>
      <c r="R135" s="29">
        <v>46148.873611111114</v>
      </c>
      <c r="S135">
        <v>1</v>
      </c>
      <c r="T135">
        <v>3384</v>
      </c>
      <c r="U135">
        <v>0</v>
      </c>
      <c r="V135">
        <v>3384</v>
      </c>
    </row>
    <row r="136" spans="1:22" x14ac:dyDescent="0.3">
      <c r="A136">
        <v>79452</v>
      </c>
      <c r="B136">
        <v>454639417</v>
      </c>
      <c r="C136" t="s">
        <v>1045</v>
      </c>
      <c r="D136" s="9">
        <v>269660883</v>
      </c>
      <c r="E136" t="s">
        <v>530</v>
      </c>
      <c r="F136" t="s">
        <v>531</v>
      </c>
      <c r="G136" t="s">
        <v>30</v>
      </c>
      <c r="H136" t="s">
        <v>31</v>
      </c>
      <c r="I136" t="s">
        <v>52</v>
      </c>
      <c r="J136" t="s">
        <v>32</v>
      </c>
      <c r="K136" t="s">
        <v>29</v>
      </c>
      <c r="L136" t="s">
        <v>1046</v>
      </c>
      <c r="M136" t="s">
        <v>1047</v>
      </c>
      <c r="N136" t="s">
        <v>534</v>
      </c>
      <c r="O136" t="s">
        <v>39</v>
      </c>
      <c r="P136" t="s">
        <v>1048</v>
      </c>
      <c r="Q136" t="s">
        <v>80</v>
      </c>
      <c r="R136" s="29">
        <v>46148.504166666666</v>
      </c>
      <c r="S136">
        <v>1</v>
      </c>
      <c r="T136">
        <v>5295</v>
      </c>
      <c r="U136">
        <v>0</v>
      </c>
      <c r="V136">
        <v>5295</v>
      </c>
    </row>
    <row r="137" spans="1:22" x14ac:dyDescent="0.3">
      <c r="A137">
        <v>79452</v>
      </c>
      <c r="B137">
        <v>454510751</v>
      </c>
      <c r="C137" t="s">
        <v>1049</v>
      </c>
      <c r="D137" s="9">
        <v>269476714</v>
      </c>
      <c r="E137" t="s">
        <v>530</v>
      </c>
      <c r="F137" t="s">
        <v>531</v>
      </c>
      <c r="G137" t="s">
        <v>30</v>
      </c>
      <c r="H137" t="s">
        <v>31</v>
      </c>
      <c r="I137" t="s">
        <v>52</v>
      </c>
      <c r="J137" t="s">
        <v>32</v>
      </c>
      <c r="K137" t="s">
        <v>29</v>
      </c>
      <c r="L137" t="s">
        <v>1050</v>
      </c>
      <c r="M137" t="s">
        <v>489</v>
      </c>
      <c r="N137" t="s">
        <v>534</v>
      </c>
      <c r="O137" t="s">
        <v>39</v>
      </c>
      <c r="P137" t="s">
        <v>1051</v>
      </c>
      <c r="Q137" t="s">
        <v>69</v>
      </c>
      <c r="R137" s="29">
        <v>46145.86041666667</v>
      </c>
      <c r="S137">
        <v>1</v>
      </c>
      <c r="T137">
        <v>5024</v>
      </c>
      <c r="U137">
        <v>0</v>
      </c>
      <c r="V137">
        <v>5024</v>
      </c>
    </row>
    <row r="138" spans="1:22" x14ac:dyDescent="0.3">
      <c r="A138">
        <v>79452</v>
      </c>
      <c r="B138">
        <v>454639453</v>
      </c>
      <c r="C138" t="s">
        <v>1052</v>
      </c>
      <c r="D138" s="9">
        <v>269660850</v>
      </c>
      <c r="E138" t="s">
        <v>530</v>
      </c>
      <c r="F138" t="s">
        <v>531</v>
      </c>
      <c r="G138" t="s">
        <v>30</v>
      </c>
      <c r="H138" t="s">
        <v>31</v>
      </c>
      <c r="I138" t="s">
        <v>52</v>
      </c>
      <c r="J138" t="s">
        <v>32</v>
      </c>
      <c r="K138" t="s">
        <v>29</v>
      </c>
      <c r="L138" t="s">
        <v>1053</v>
      </c>
      <c r="M138" t="s">
        <v>1054</v>
      </c>
      <c r="N138" t="s">
        <v>534</v>
      </c>
      <c r="O138" t="s">
        <v>39</v>
      </c>
      <c r="P138" t="s">
        <v>1055</v>
      </c>
      <c r="Q138" t="s">
        <v>74</v>
      </c>
      <c r="R138" s="29">
        <v>46148.504166666666</v>
      </c>
      <c r="S138">
        <v>0.77</v>
      </c>
      <c r="T138">
        <v>3653</v>
      </c>
      <c r="U138">
        <v>0</v>
      </c>
      <c r="V138">
        <v>3653</v>
      </c>
    </row>
    <row r="139" spans="1:22" x14ac:dyDescent="0.3">
      <c r="A139">
        <v>79452</v>
      </c>
      <c r="B139">
        <v>454589563</v>
      </c>
      <c r="C139" t="s">
        <v>1056</v>
      </c>
      <c r="D139" s="9">
        <v>269570298</v>
      </c>
      <c r="E139" t="s">
        <v>530</v>
      </c>
      <c r="F139" t="s">
        <v>531</v>
      </c>
      <c r="G139" t="s">
        <v>30</v>
      </c>
      <c r="H139" t="s">
        <v>31</v>
      </c>
      <c r="I139" t="s">
        <v>52</v>
      </c>
      <c r="J139" t="s">
        <v>32</v>
      </c>
      <c r="K139" t="s">
        <v>29</v>
      </c>
      <c r="L139" t="s">
        <v>1057</v>
      </c>
      <c r="M139" t="s">
        <v>1058</v>
      </c>
      <c r="N139" t="s">
        <v>534</v>
      </c>
      <c r="O139" t="s">
        <v>39</v>
      </c>
      <c r="P139" t="s">
        <v>1059</v>
      </c>
      <c r="Q139" t="s">
        <v>140</v>
      </c>
      <c r="R139" s="29">
        <v>46147.469444444447</v>
      </c>
      <c r="S139">
        <v>1</v>
      </c>
      <c r="T139">
        <v>3250</v>
      </c>
      <c r="U139">
        <v>0</v>
      </c>
      <c r="V139">
        <v>3250</v>
      </c>
    </row>
    <row r="140" spans="1:22" x14ac:dyDescent="0.3">
      <c r="A140">
        <v>79452</v>
      </c>
      <c r="B140">
        <v>454639411</v>
      </c>
      <c r="C140" t="s">
        <v>1060</v>
      </c>
      <c r="D140" s="9">
        <v>269660889</v>
      </c>
      <c r="E140" t="s">
        <v>530</v>
      </c>
      <c r="F140" t="s">
        <v>531</v>
      </c>
      <c r="G140" t="s">
        <v>30</v>
      </c>
      <c r="H140" t="s">
        <v>31</v>
      </c>
      <c r="I140" t="s">
        <v>52</v>
      </c>
      <c r="J140" t="s">
        <v>32</v>
      </c>
      <c r="K140" t="s">
        <v>29</v>
      </c>
      <c r="L140" t="s">
        <v>1061</v>
      </c>
      <c r="M140" t="s">
        <v>1062</v>
      </c>
      <c r="N140" t="s">
        <v>534</v>
      </c>
      <c r="O140" t="s">
        <v>39</v>
      </c>
      <c r="P140" t="s">
        <v>1063</v>
      </c>
      <c r="Q140" t="s">
        <v>33</v>
      </c>
      <c r="R140" s="29">
        <v>46148.504166666666</v>
      </c>
      <c r="S140">
        <v>3.33</v>
      </c>
      <c r="T140">
        <v>4305</v>
      </c>
      <c r="U140">
        <v>0</v>
      </c>
      <c r="V140">
        <v>4305</v>
      </c>
    </row>
    <row r="141" spans="1:22" x14ac:dyDescent="0.3">
      <c r="A141">
        <v>79452</v>
      </c>
      <c r="B141">
        <v>454589560</v>
      </c>
      <c r="C141" t="s">
        <v>1064</v>
      </c>
      <c r="D141" s="9">
        <v>269570317</v>
      </c>
      <c r="E141" t="s">
        <v>530</v>
      </c>
      <c r="F141" t="s">
        <v>531</v>
      </c>
      <c r="G141" t="s">
        <v>30</v>
      </c>
      <c r="H141" t="s">
        <v>31</v>
      </c>
      <c r="I141" t="s">
        <v>52</v>
      </c>
      <c r="J141" t="s">
        <v>32</v>
      </c>
      <c r="K141" t="s">
        <v>29</v>
      </c>
      <c r="L141" t="s">
        <v>1065</v>
      </c>
      <c r="M141" t="s">
        <v>1066</v>
      </c>
      <c r="N141" t="s">
        <v>534</v>
      </c>
      <c r="O141" t="s">
        <v>39</v>
      </c>
      <c r="P141" t="s">
        <v>1067</v>
      </c>
      <c r="Q141" t="s">
        <v>80</v>
      </c>
      <c r="R141" s="29">
        <v>46147.469444444447</v>
      </c>
      <c r="S141">
        <v>1</v>
      </c>
      <c r="T141">
        <v>5295</v>
      </c>
      <c r="U141">
        <v>0</v>
      </c>
      <c r="V141">
        <v>5295</v>
      </c>
    </row>
    <row r="142" spans="1:22" x14ac:dyDescent="0.3">
      <c r="A142">
        <v>79452</v>
      </c>
      <c r="B142">
        <v>454615235</v>
      </c>
      <c r="C142" t="s">
        <v>1068</v>
      </c>
      <c r="D142" s="9">
        <v>269660953</v>
      </c>
      <c r="E142" t="s">
        <v>530</v>
      </c>
      <c r="F142" t="s">
        <v>531</v>
      </c>
      <c r="G142" t="s">
        <v>30</v>
      </c>
      <c r="H142" t="s">
        <v>31</v>
      </c>
      <c r="I142" t="s">
        <v>52</v>
      </c>
      <c r="J142" t="s">
        <v>32</v>
      </c>
      <c r="K142" t="s">
        <v>29</v>
      </c>
      <c r="L142" t="s">
        <v>1069</v>
      </c>
      <c r="M142" t="s">
        <v>1070</v>
      </c>
      <c r="N142" t="s">
        <v>534</v>
      </c>
      <c r="O142" t="s">
        <v>39</v>
      </c>
      <c r="P142" t="s">
        <v>1071</v>
      </c>
      <c r="Q142" t="s">
        <v>35</v>
      </c>
      <c r="R142" s="29">
        <v>46147.829861111109</v>
      </c>
      <c r="S142">
        <v>1.35</v>
      </c>
      <c r="T142">
        <v>3935</v>
      </c>
      <c r="U142">
        <v>0</v>
      </c>
      <c r="V142">
        <v>3935</v>
      </c>
    </row>
    <row r="143" spans="1:22" x14ac:dyDescent="0.3">
      <c r="A143">
        <v>79452</v>
      </c>
      <c r="B143">
        <v>454589529</v>
      </c>
      <c r="C143" t="s">
        <v>1072</v>
      </c>
      <c r="D143" s="9">
        <v>269570377</v>
      </c>
      <c r="E143" t="s">
        <v>530</v>
      </c>
      <c r="F143" t="s">
        <v>531</v>
      </c>
      <c r="G143" t="s">
        <v>30</v>
      </c>
      <c r="H143" t="s">
        <v>31</v>
      </c>
      <c r="I143" t="s">
        <v>52</v>
      </c>
      <c r="J143" t="s">
        <v>32</v>
      </c>
      <c r="K143" t="s">
        <v>29</v>
      </c>
      <c r="L143" t="s">
        <v>1073</v>
      </c>
      <c r="M143" t="s">
        <v>1074</v>
      </c>
      <c r="N143" t="s">
        <v>534</v>
      </c>
      <c r="O143" t="s">
        <v>39</v>
      </c>
      <c r="P143" t="s">
        <v>1075</v>
      </c>
      <c r="Q143" t="s">
        <v>34</v>
      </c>
      <c r="R143" s="29">
        <v>46147.469444444447</v>
      </c>
      <c r="S143">
        <v>1</v>
      </c>
      <c r="T143">
        <v>3653</v>
      </c>
      <c r="U143">
        <v>0</v>
      </c>
      <c r="V143">
        <v>3653</v>
      </c>
    </row>
    <row r="144" spans="1:22" x14ac:dyDescent="0.3">
      <c r="A144">
        <v>79452</v>
      </c>
      <c r="B144">
        <v>454510724</v>
      </c>
      <c r="C144" t="s">
        <v>1076</v>
      </c>
      <c r="D144" s="9">
        <v>269476888</v>
      </c>
      <c r="E144" t="s">
        <v>530</v>
      </c>
      <c r="F144" t="s">
        <v>531</v>
      </c>
      <c r="G144" t="s">
        <v>30</v>
      </c>
      <c r="H144" t="s">
        <v>31</v>
      </c>
      <c r="I144" t="s">
        <v>52</v>
      </c>
      <c r="J144" t="s">
        <v>32</v>
      </c>
      <c r="K144" t="s">
        <v>29</v>
      </c>
      <c r="L144" t="s">
        <v>1077</v>
      </c>
      <c r="M144" t="s">
        <v>1078</v>
      </c>
      <c r="N144" t="s">
        <v>534</v>
      </c>
      <c r="O144" t="s">
        <v>39</v>
      </c>
      <c r="P144" t="s">
        <v>1079</v>
      </c>
      <c r="Q144" t="s">
        <v>69</v>
      </c>
      <c r="R144" s="29">
        <v>46145.86041666667</v>
      </c>
      <c r="S144">
        <v>1</v>
      </c>
      <c r="T144">
        <v>5024</v>
      </c>
      <c r="U144">
        <v>0</v>
      </c>
      <c r="V144">
        <v>5024</v>
      </c>
    </row>
    <row r="145" spans="1:22" x14ac:dyDescent="0.3">
      <c r="A145">
        <v>79452</v>
      </c>
      <c r="B145">
        <v>454510744</v>
      </c>
      <c r="C145" t="s">
        <v>1080</v>
      </c>
      <c r="D145" s="9">
        <v>269476749</v>
      </c>
      <c r="E145" t="s">
        <v>530</v>
      </c>
      <c r="F145" t="s">
        <v>531</v>
      </c>
      <c r="G145" t="s">
        <v>30</v>
      </c>
      <c r="H145" t="s">
        <v>31</v>
      </c>
      <c r="I145" t="s">
        <v>52</v>
      </c>
      <c r="J145" t="s">
        <v>32</v>
      </c>
      <c r="K145" t="s">
        <v>29</v>
      </c>
      <c r="L145" t="s">
        <v>1081</v>
      </c>
      <c r="M145" t="s">
        <v>1082</v>
      </c>
      <c r="N145" t="s">
        <v>534</v>
      </c>
      <c r="O145" t="s">
        <v>39</v>
      </c>
      <c r="P145" t="s">
        <v>1083</v>
      </c>
      <c r="Q145" t="s">
        <v>69</v>
      </c>
      <c r="R145" s="29">
        <v>46145.86041666667</v>
      </c>
      <c r="S145">
        <v>1</v>
      </c>
      <c r="T145">
        <v>5024</v>
      </c>
      <c r="U145">
        <v>0</v>
      </c>
      <c r="V145">
        <v>5024</v>
      </c>
    </row>
    <row r="146" spans="1:22" x14ac:dyDescent="0.3">
      <c r="A146">
        <v>79452</v>
      </c>
      <c r="B146">
        <v>454615243</v>
      </c>
      <c r="C146" t="s">
        <v>1084</v>
      </c>
      <c r="D146" s="9">
        <v>269660926</v>
      </c>
      <c r="E146" t="s">
        <v>530</v>
      </c>
      <c r="F146" t="s">
        <v>531</v>
      </c>
      <c r="G146" t="s">
        <v>30</v>
      </c>
      <c r="H146" t="s">
        <v>31</v>
      </c>
      <c r="I146" t="s">
        <v>52</v>
      </c>
      <c r="J146" t="s">
        <v>32</v>
      </c>
      <c r="K146" t="s">
        <v>29</v>
      </c>
      <c r="L146" t="s">
        <v>1085</v>
      </c>
      <c r="M146" t="s">
        <v>1086</v>
      </c>
      <c r="N146" t="s">
        <v>534</v>
      </c>
      <c r="O146" t="s">
        <v>39</v>
      </c>
      <c r="P146" t="s">
        <v>1087</v>
      </c>
      <c r="Q146" t="s">
        <v>88</v>
      </c>
      <c r="R146" s="29">
        <v>46147.829861111109</v>
      </c>
      <c r="S146">
        <v>1.67</v>
      </c>
      <c r="T146">
        <v>3631</v>
      </c>
      <c r="U146">
        <v>0</v>
      </c>
      <c r="V146">
        <v>3631</v>
      </c>
    </row>
    <row r="147" spans="1:22" x14ac:dyDescent="0.3">
      <c r="A147">
        <v>79452</v>
      </c>
      <c r="B147">
        <v>454510782</v>
      </c>
      <c r="C147" t="s">
        <v>1088</v>
      </c>
      <c r="D147" s="9">
        <v>269476594</v>
      </c>
      <c r="E147" t="s">
        <v>530</v>
      </c>
      <c r="F147" t="s">
        <v>531</v>
      </c>
      <c r="G147" t="s">
        <v>30</v>
      </c>
      <c r="H147" t="s">
        <v>31</v>
      </c>
      <c r="I147" t="s">
        <v>52</v>
      </c>
      <c r="J147" t="s">
        <v>32</v>
      </c>
      <c r="K147" t="s">
        <v>29</v>
      </c>
      <c r="L147" t="s">
        <v>1089</v>
      </c>
      <c r="M147" t="s">
        <v>1090</v>
      </c>
      <c r="N147" t="s">
        <v>534</v>
      </c>
      <c r="O147" t="s">
        <v>39</v>
      </c>
      <c r="P147" t="s">
        <v>1091</v>
      </c>
      <c r="Q147" t="s">
        <v>69</v>
      </c>
      <c r="R147" s="29">
        <v>46145.861111111109</v>
      </c>
      <c r="S147">
        <v>1</v>
      </c>
      <c r="T147">
        <v>5024</v>
      </c>
      <c r="U147">
        <v>0</v>
      </c>
      <c r="V147">
        <v>5024</v>
      </c>
    </row>
    <row r="148" spans="1:22" x14ac:dyDescent="0.3">
      <c r="A148">
        <v>79452</v>
      </c>
      <c r="B148">
        <v>454539837</v>
      </c>
      <c r="C148" t="s">
        <v>1092</v>
      </c>
      <c r="D148" s="9">
        <v>269476438</v>
      </c>
      <c r="E148" t="s">
        <v>530</v>
      </c>
      <c r="F148" t="s">
        <v>531</v>
      </c>
      <c r="G148" t="s">
        <v>30</v>
      </c>
      <c r="H148" t="s">
        <v>31</v>
      </c>
      <c r="I148" t="s">
        <v>52</v>
      </c>
      <c r="J148" t="s">
        <v>32</v>
      </c>
      <c r="K148" t="s">
        <v>29</v>
      </c>
      <c r="L148" t="s">
        <v>1093</v>
      </c>
      <c r="M148" t="s">
        <v>1094</v>
      </c>
      <c r="N148" t="s">
        <v>534</v>
      </c>
      <c r="O148" t="s">
        <v>39</v>
      </c>
      <c r="P148" t="s">
        <v>1095</v>
      </c>
      <c r="Q148" t="s">
        <v>69</v>
      </c>
      <c r="R148" s="29">
        <v>46146.484027777777</v>
      </c>
      <c r="S148">
        <v>1</v>
      </c>
      <c r="T148">
        <v>5024</v>
      </c>
      <c r="U148">
        <v>0</v>
      </c>
      <c r="V148">
        <v>5024</v>
      </c>
    </row>
    <row r="149" spans="1:22" x14ac:dyDescent="0.3">
      <c r="A149">
        <v>79452</v>
      </c>
      <c r="B149">
        <v>454510788</v>
      </c>
      <c r="C149" t="s">
        <v>1096</v>
      </c>
      <c r="D149" s="9">
        <v>269476572</v>
      </c>
      <c r="E149" t="s">
        <v>530</v>
      </c>
      <c r="F149" t="s">
        <v>531</v>
      </c>
      <c r="G149" t="s">
        <v>30</v>
      </c>
      <c r="H149" t="s">
        <v>31</v>
      </c>
      <c r="I149" t="s">
        <v>52</v>
      </c>
      <c r="J149" t="s">
        <v>32</v>
      </c>
      <c r="K149" t="s">
        <v>102</v>
      </c>
      <c r="L149" t="s">
        <v>103</v>
      </c>
      <c r="M149" t="s">
        <v>1097</v>
      </c>
      <c r="N149" t="s">
        <v>534</v>
      </c>
      <c r="O149" t="s">
        <v>39</v>
      </c>
      <c r="P149" t="s">
        <v>1098</v>
      </c>
      <c r="Q149" t="s">
        <v>69</v>
      </c>
      <c r="R149" s="29">
        <v>46145.861111111109</v>
      </c>
      <c r="S149">
        <v>1</v>
      </c>
      <c r="T149">
        <v>5024</v>
      </c>
      <c r="U149">
        <v>0</v>
      </c>
      <c r="V149">
        <v>5024</v>
      </c>
    </row>
    <row r="150" spans="1:22" x14ac:dyDescent="0.3">
      <c r="A150">
        <v>79452</v>
      </c>
      <c r="B150">
        <v>454466221</v>
      </c>
      <c r="C150" t="s">
        <v>1099</v>
      </c>
      <c r="D150" s="9">
        <v>269477242</v>
      </c>
      <c r="E150" t="s">
        <v>530</v>
      </c>
      <c r="F150" t="s">
        <v>531</v>
      </c>
      <c r="G150" t="s">
        <v>30</v>
      </c>
      <c r="H150" t="s">
        <v>31</v>
      </c>
      <c r="I150" t="s">
        <v>52</v>
      </c>
      <c r="J150" t="s">
        <v>32</v>
      </c>
      <c r="K150" t="s">
        <v>29</v>
      </c>
      <c r="L150" t="s">
        <v>452</v>
      </c>
      <c r="M150" t="s">
        <v>1100</v>
      </c>
      <c r="N150" t="s">
        <v>534</v>
      </c>
      <c r="O150" t="s">
        <v>39</v>
      </c>
      <c r="P150" t="s">
        <v>1101</v>
      </c>
      <c r="Q150" t="s">
        <v>69</v>
      </c>
      <c r="R150" s="29">
        <v>46143.9</v>
      </c>
      <c r="S150">
        <v>1</v>
      </c>
      <c r="T150">
        <v>5024</v>
      </c>
      <c r="U150">
        <v>0</v>
      </c>
      <c r="V150">
        <v>5024</v>
      </c>
    </row>
    <row r="151" spans="1:22" x14ac:dyDescent="0.3">
      <c r="A151">
        <v>79452</v>
      </c>
      <c r="B151">
        <v>454539846</v>
      </c>
      <c r="C151" t="s">
        <v>1102</v>
      </c>
      <c r="D151" s="9">
        <v>269476391</v>
      </c>
      <c r="E151" t="s">
        <v>530</v>
      </c>
      <c r="F151" t="s">
        <v>531</v>
      </c>
      <c r="G151" t="s">
        <v>30</v>
      </c>
      <c r="H151" t="s">
        <v>31</v>
      </c>
      <c r="I151" t="s">
        <v>52</v>
      </c>
      <c r="J151" t="s">
        <v>32</v>
      </c>
      <c r="K151" t="s">
        <v>29</v>
      </c>
      <c r="L151" t="s">
        <v>1103</v>
      </c>
      <c r="M151" t="s">
        <v>1104</v>
      </c>
      <c r="N151" t="s">
        <v>534</v>
      </c>
      <c r="O151" t="s">
        <v>39</v>
      </c>
      <c r="P151" t="s">
        <v>1105</v>
      </c>
      <c r="Q151" t="s">
        <v>41</v>
      </c>
      <c r="R151" s="29">
        <v>46146.484027777777</v>
      </c>
      <c r="S151">
        <v>1</v>
      </c>
      <c r="T151">
        <v>3384</v>
      </c>
      <c r="U151">
        <v>0</v>
      </c>
      <c r="V151">
        <v>3384</v>
      </c>
    </row>
    <row r="152" spans="1:22" x14ac:dyDescent="0.3">
      <c r="A152">
        <v>79452</v>
      </c>
      <c r="B152">
        <v>454466217</v>
      </c>
      <c r="C152" t="s">
        <v>1106</v>
      </c>
      <c r="D152" s="9">
        <v>269477293</v>
      </c>
      <c r="E152" t="s">
        <v>530</v>
      </c>
      <c r="F152" t="s">
        <v>531</v>
      </c>
      <c r="G152" t="s">
        <v>30</v>
      </c>
      <c r="H152" t="s">
        <v>31</v>
      </c>
      <c r="I152" t="s">
        <v>52</v>
      </c>
      <c r="J152" t="s">
        <v>32</v>
      </c>
      <c r="K152" t="s">
        <v>29</v>
      </c>
      <c r="L152" t="s">
        <v>1107</v>
      </c>
      <c r="M152" t="s">
        <v>411</v>
      </c>
      <c r="N152" t="s">
        <v>534</v>
      </c>
      <c r="O152" t="s">
        <v>39</v>
      </c>
      <c r="P152" t="s">
        <v>1108</v>
      </c>
      <c r="Q152" t="s">
        <v>69</v>
      </c>
      <c r="R152" s="29">
        <v>46143.9</v>
      </c>
      <c r="S152">
        <v>1</v>
      </c>
      <c r="T152">
        <v>5024</v>
      </c>
      <c r="U152">
        <v>0</v>
      </c>
      <c r="V152">
        <v>5024</v>
      </c>
    </row>
    <row r="153" spans="1:22" x14ac:dyDescent="0.3">
      <c r="A153">
        <v>79452</v>
      </c>
      <c r="B153">
        <v>454639406</v>
      </c>
      <c r="C153" t="s">
        <v>1109</v>
      </c>
      <c r="D153" s="9">
        <v>269660913</v>
      </c>
      <c r="E153" t="s">
        <v>530</v>
      </c>
      <c r="F153" t="s">
        <v>531</v>
      </c>
      <c r="G153" t="s">
        <v>30</v>
      </c>
      <c r="H153" t="s">
        <v>31</v>
      </c>
      <c r="I153" t="s">
        <v>52</v>
      </c>
      <c r="J153" t="s">
        <v>32</v>
      </c>
      <c r="K153" t="s">
        <v>29</v>
      </c>
      <c r="L153" t="s">
        <v>1110</v>
      </c>
      <c r="M153" t="s">
        <v>278</v>
      </c>
      <c r="N153" t="s">
        <v>534</v>
      </c>
      <c r="O153" t="s">
        <v>39</v>
      </c>
      <c r="P153" t="s">
        <v>1111</v>
      </c>
      <c r="Q153" t="s">
        <v>33</v>
      </c>
      <c r="R153" s="29">
        <v>46148.504166666666</v>
      </c>
      <c r="S153">
        <v>1.06</v>
      </c>
      <c r="T153">
        <v>3631</v>
      </c>
      <c r="U153">
        <v>0</v>
      </c>
      <c r="V153">
        <v>3631</v>
      </c>
    </row>
    <row r="154" spans="1:22" x14ac:dyDescent="0.3">
      <c r="A154">
        <v>79452</v>
      </c>
      <c r="B154">
        <v>454510739</v>
      </c>
      <c r="C154" t="s">
        <v>1112</v>
      </c>
      <c r="D154" s="9">
        <v>269476812</v>
      </c>
      <c r="E154" t="s">
        <v>530</v>
      </c>
      <c r="F154" t="s">
        <v>531</v>
      </c>
      <c r="G154" t="s">
        <v>30</v>
      </c>
      <c r="H154" t="s">
        <v>31</v>
      </c>
      <c r="I154" t="s">
        <v>52</v>
      </c>
      <c r="J154" t="s">
        <v>32</v>
      </c>
      <c r="K154" t="s">
        <v>29</v>
      </c>
      <c r="L154" t="s">
        <v>1113</v>
      </c>
      <c r="M154" t="s">
        <v>1114</v>
      </c>
      <c r="N154" t="s">
        <v>534</v>
      </c>
      <c r="O154" t="s">
        <v>39</v>
      </c>
      <c r="P154" t="s">
        <v>1115</v>
      </c>
      <c r="Q154" t="s">
        <v>69</v>
      </c>
      <c r="R154" s="29">
        <v>46145.86041666667</v>
      </c>
      <c r="S154">
        <v>1</v>
      </c>
      <c r="T154">
        <v>5024</v>
      </c>
      <c r="U154">
        <v>0</v>
      </c>
      <c r="V154">
        <v>5024</v>
      </c>
    </row>
    <row r="155" spans="1:22" x14ac:dyDescent="0.3">
      <c r="A155">
        <v>79452</v>
      </c>
      <c r="B155">
        <v>454510771</v>
      </c>
      <c r="C155" t="s">
        <v>1116</v>
      </c>
      <c r="D155" s="9">
        <v>269476670</v>
      </c>
      <c r="E155" t="s">
        <v>530</v>
      </c>
      <c r="F155" t="s">
        <v>531</v>
      </c>
      <c r="G155" t="s">
        <v>30</v>
      </c>
      <c r="H155" t="s">
        <v>31</v>
      </c>
      <c r="I155" t="s">
        <v>52</v>
      </c>
      <c r="J155" t="s">
        <v>32</v>
      </c>
      <c r="K155" t="s">
        <v>29</v>
      </c>
      <c r="L155" t="s">
        <v>1117</v>
      </c>
      <c r="M155" t="s">
        <v>1118</v>
      </c>
      <c r="N155" t="s">
        <v>534</v>
      </c>
      <c r="O155" t="s">
        <v>39</v>
      </c>
      <c r="P155" t="s">
        <v>1119</v>
      </c>
      <c r="Q155" t="s">
        <v>69</v>
      </c>
      <c r="R155" s="29">
        <v>46145.861111111109</v>
      </c>
      <c r="S155">
        <v>1</v>
      </c>
      <c r="T155">
        <v>5024</v>
      </c>
      <c r="U155">
        <v>0</v>
      </c>
      <c r="V155">
        <v>5024</v>
      </c>
    </row>
    <row r="156" spans="1:22" x14ac:dyDescent="0.3">
      <c r="A156">
        <v>79452</v>
      </c>
      <c r="B156">
        <v>454615230</v>
      </c>
      <c r="C156" t="s">
        <v>1120</v>
      </c>
      <c r="D156" s="9">
        <v>269660978</v>
      </c>
      <c r="E156" t="s">
        <v>530</v>
      </c>
      <c r="F156" t="s">
        <v>531</v>
      </c>
      <c r="G156" t="s">
        <v>30</v>
      </c>
      <c r="H156" t="s">
        <v>31</v>
      </c>
      <c r="I156" t="s">
        <v>52</v>
      </c>
      <c r="J156" t="s">
        <v>32</v>
      </c>
      <c r="K156" t="s">
        <v>29</v>
      </c>
      <c r="L156" t="s">
        <v>1121</v>
      </c>
      <c r="M156" t="s">
        <v>812</v>
      </c>
      <c r="N156" t="s">
        <v>534</v>
      </c>
      <c r="O156" t="s">
        <v>39</v>
      </c>
      <c r="P156" t="s">
        <v>813</v>
      </c>
      <c r="Q156" t="s">
        <v>33</v>
      </c>
      <c r="R156" s="29">
        <v>46147.829861111109</v>
      </c>
      <c r="S156">
        <v>0.75</v>
      </c>
      <c r="T156">
        <v>3631</v>
      </c>
      <c r="U156">
        <v>0</v>
      </c>
      <c r="V156">
        <v>3631</v>
      </c>
    </row>
    <row r="157" spans="1:22" x14ac:dyDescent="0.3">
      <c r="A157">
        <v>79452</v>
      </c>
      <c r="B157">
        <v>454615247</v>
      </c>
      <c r="C157" t="s">
        <v>1122</v>
      </c>
      <c r="D157" s="9">
        <v>269660922</v>
      </c>
      <c r="E157" t="s">
        <v>530</v>
      </c>
      <c r="F157" t="s">
        <v>531</v>
      </c>
      <c r="G157" t="s">
        <v>30</v>
      </c>
      <c r="H157" t="s">
        <v>31</v>
      </c>
      <c r="I157" t="s">
        <v>52</v>
      </c>
      <c r="J157" t="s">
        <v>32</v>
      </c>
      <c r="K157" t="s">
        <v>29</v>
      </c>
      <c r="L157" t="s">
        <v>1123</v>
      </c>
      <c r="M157" t="s">
        <v>1124</v>
      </c>
      <c r="N157" t="s">
        <v>534</v>
      </c>
      <c r="O157" t="s">
        <v>39</v>
      </c>
      <c r="P157" t="s">
        <v>1125</v>
      </c>
      <c r="Q157" t="s">
        <v>41</v>
      </c>
      <c r="R157" s="29">
        <v>46147.829861111109</v>
      </c>
      <c r="S157">
        <v>1.63</v>
      </c>
      <c r="T157">
        <v>3384</v>
      </c>
      <c r="U157">
        <v>0</v>
      </c>
      <c r="V157">
        <v>3384</v>
      </c>
    </row>
    <row r="158" spans="1:22" x14ac:dyDescent="0.3">
      <c r="A158">
        <v>79452</v>
      </c>
      <c r="B158">
        <v>454539828</v>
      </c>
      <c r="C158" t="s">
        <v>1126</v>
      </c>
      <c r="D158" s="9">
        <v>269476431</v>
      </c>
      <c r="E158" t="s">
        <v>530</v>
      </c>
      <c r="F158" t="s">
        <v>531</v>
      </c>
      <c r="G158" t="s">
        <v>30</v>
      </c>
      <c r="H158" t="s">
        <v>31</v>
      </c>
      <c r="I158" t="s">
        <v>52</v>
      </c>
      <c r="J158" t="s">
        <v>32</v>
      </c>
      <c r="K158" t="s">
        <v>29</v>
      </c>
      <c r="L158" t="s">
        <v>1127</v>
      </c>
      <c r="M158" t="s">
        <v>1128</v>
      </c>
      <c r="N158" t="s">
        <v>534</v>
      </c>
      <c r="O158" t="s">
        <v>39</v>
      </c>
      <c r="P158" t="s">
        <v>1129</v>
      </c>
      <c r="Q158" t="s">
        <v>161</v>
      </c>
      <c r="R158" s="29">
        <v>46146.484027777777</v>
      </c>
      <c r="S158">
        <v>1</v>
      </c>
      <c r="T158">
        <v>3935</v>
      </c>
      <c r="U158">
        <v>0</v>
      </c>
      <c r="V158">
        <v>3935</v>
      </c>
    </row>
    <row r="159" spans="1:22" x14ac:dyDescent="0.3">
      <c r="A159">
        <v>79452</v>
      </c>
      <c r="B159">
        <v>454510747</v>
      </c>
      <c r="C159" t="s">
        <v>1130</v>
      </c>
      <c r="D159" s="9">
        <v>269476743</v>
      </c>
      <c r="E159" t="s">
        <v>530</v>
      </c>
      <c r="F159" t="s">
        <v>531</v>
      </c>
      <c r="G159" t="s">
        <v>30</v>
      </c>
      <c r="H159" t="s">
        <v>31</v>
      </c>
      <c r="I159" t="s">
        <v>52</v>
      </c>
      <c r="J159" t="s">
        <v>32</v>
      </c>
      <c r="K159" t="s">
        <v>29</v>
      </c>
      <c r="L159" t="s">
        <v>1131</v>
      </c>
      <c r="M159" t="s">
        <v>1132</v>
      </c>
      <c r="N159" t="s">
        <v>534</v>
      </c>
      <c r="O159" t="s">
        <v>39</v>
      </c>
      <c r="P159" t="s">
        <v>1133</v>
      </c>
      <c r="Q159" t="s">
        <v>43</v>
      </c>
      <c r="R159" s="29">
        <v>46145.86041666667</v>
      </c>
      <c r="S159">
        <v>1</v>
      </c>
      <c r="T159">
        <v>4205</v>
      </c>
      <c r="U159">
        <v>0</v>
      </c>
      <c r="V159">
        <v>4205</v>
      </c>
    </row>
    <row r="160" spans="1:22" x14ac:dyDescent="0.3">
      <c r="A160">
        <v>79452</v>
      </c>
      <c r="B160">
        <v>454510725</v>
      </c>
      <c r="C160" t="s">
        <v>1134</v>
      </c>
      <c r="D160" s="9">
        <v>269476932</v>
      </c>
      <c r="E160" t="s">
        <v>530</v>
      </c>
      <c r="F160" t="s">
        <v>531</v>
      </c>
      <c r="G160" t="s">
        <v>30</v>
      </c>
      <c r="H160" t="s">
        <v>31</v>
      </c>
      <c r="I160" t="s">
        <v>52</v>
      </c>
      <c r="J160" t="s">
        <v>32</v>
      </c>
      <c r="K160" t="s">
        <v>29</v>
      </c>
      <c r="L160" t="s">
        <v>1135</v>
      </c>
      <c r="M160" t="s">
        <v>1136</v>
      </c>
      <c r="N160" t="s">
        <v>534</v>
      </c>
      <c r="O160" t="s">
        <v>39</v>
      </c>
      <c r="P160" t="s">
        <v>1137</v>
      </c>
      <c r="Q160" t="s">
        <v>42</v>
      </c>
      <c r="R160" s="29">
        <v>46145.86041666667</v>
      </c>
      <c r="S160">
        <v>1</v>
      </c>
      <c r="T160">
        <v>3250</v>
      </c>
      <c r="U160">
        <v>0</v>
      </c>
      <c r="V160">
        <v>3250</v>
      </c>
    </row>
    <row r="161" spans="1:22" x14ac:dyDescent="0.3">
      <c r="A161">
        <v>79452</v>
      </c>
      <c r="B161">
        <v>454589570</v>
      </c>
      <c r="C161" t="s">
        <v>1138</v>
      </c>
      <c r="D161" s="9">
        <v>269570295</v>
      </c>
      <c r="E161" t="s">
        <v>530</v>
      </c>
      <c r="F161" t="s">
        <v>531</v>
      </c>
      <c r="G161" t="s">
        <v>30</v>
      </c>
      <c r="H161" t="s">
        <v>31</v>
      </c>
      <c r="I161" t="s">
        <v>52</v>
      </c>
      <c r="J161" t="s">
        <v>32</v>
      </c>
      <c r="K161" t="s">
        <v>29</v>
      </c>
      <c r="L161" t="s">
        <v>1139</v>
      </c>
      <c r="M161" t="s">
        <v>1140</v>
      </c>
      <c r="N161" t="s">
        <v>534</v>
      </c>
      <c r="O161" t="s">
        <v>39</v>
      </c>
      <c r="P161" t="s">
        <v>1141</v>
      </c>
      <c r="Q161" t="s">
        <v>38</v>
      </c>
      <c r="R161" s="29">
        <v>46147.469444444447</v>
      </c>
      <c r="S161">
        <v>1</v>
      </c>
      <c r="T161">
        <v>3250</v>
      </c>
      <c r="U161">
        <v>0</v>
      </c>
      <c r="V161">
        <v>3250</v>
      </c>
    </row>
    <row r="162" spans="1:22" x14ac:dyDescent="0.3">
      <c r="A162">
        <v>79452</v>
      </c>
      <c r="B162">
        <v>454510779</v>
      </c>
      <c r="C162" t="s">
        <v>1142</v>
      </c>
      <c r="D162" s="9">
        <v>269476619</v>
      </c>
      <c r="E162" t="s">
        <v>530</v>
      </c>
      <c r="F162" t="s">
        <v>531</v>
      </c>
      <c r="G162" t="s">
        <v>30</v>
      </c>
      <c r="H162" t="s">
        <v>31</v>
      </c>
      <c r="I162" t="s">
        <v>52</v>
      </c>
      <c r="J162" t="s">
        <v>32</v>
      </c>
      <c r="K162" t="s">
        <v>29</v>
      </c>
      <c r="L162" t="s">
        <v>1143</v>
      </c>
      <c r="M162" t="s">
        <v>1144</v>
      </c>
      <c r="N162" t="s">
        <v>534</v>
      </c>
      <c r="O162" t="s">
        <v>39</v>
      </c>
      <c r="P162" t="s">
        <v>1145</v>
      </c>
      <c r="Q162" t="s">
        <v>44</v>
      </c>
      <c r="R162" s="29">
        <v>46145.861111111109</v>
      </c>
      <c r="S162">
        <v>1</v>
      </c>
      <c r="T162">
        <v>4205</v>
      </c>
      <c r="U162">
        <v>0</v>
      </c>
      <c r="V162">
        <v>4205</v>
      </c>
    </row>
    <row r="163" spans="1:22" x14ac:dyDescent="0.3">
      <c r="A163">
        <v>79452</v>
      </c>
      <c r="B163">
        <v>454510717</v>
      </c>
      <c r="C163" t="s">
        <v>1146</v>
      </c>
      <c r="D163" s="9">
        <v>269477067</v>
      </c>
      <c r="E163" t="s">
        <v>530</v>
      </c>
      <c r="F163" t="s">
        <v>531</v>
      </c>
      <c r="G163" t="s">
        <v>30</v>
      </c>
      <c r="H163" t="s">
        <v>31</v>
      </c>
      <c r="I163" t="s">
        <v>52</v>
      </c>
      <c r="J163" t="s">
        <v>32</v>
      </c>
      <c r="K163" t="s">
        <v>29</v>
      </c>
      <c r="L163" t="s">
        <v>1147</v>
      </c>
      <c r="M163" t="s">
        <v>1148</v>
      </c>
      <c r="N163" t="s">
        <v>534</v>
      </c>
      <c r="O163" t="s">
        <v>39</v>
      </c>
      <c r="P163" t="s">
        <v>1149</v>
      </c>
      <c r="Q163" t="s">
        <v>34</v>
      </c>
      <c r="R163" s="29">
        <v>46145.86041666667</v>
      </c>
      <c r="S163">
        <v>1</v>
      </c>
      <c r="T163">
        <v>3653</v>
      </c>
      <c r="U163">
        <v>0</v>
      </c>
      <c r="V163">
        <v>3653</v>
      </c>
    </row>
    <row r="164" spans="1:22" x14ac:dyDescent="0.3">
      <c r="A164">
        <v>79452</v>
      </c>
      <c r="B164">
        <v>454510749</v>
      </c>
      <c r="C164" t="s">
        <v>1150</v>
      </c>
      <c r="D164" s="9">
        <v>269476736</v>
      </c>
      <c r="E164" t="s">
        <v>530</v>
      </c>
      <c r="F164" t="s">
        <v>531</v>
      </c>
      <c r="G164" t="s">
        <v>30</v>
      </c>
      <c r="H164" t="s">
        <v>31</v>
      </c>
      <c r="I164" t="s">
        <v>52</v>
      </c>
      <c r="J164" t="s">
        <v>32</v>
      </c>
      <c r="K164" t="s">
        <v>29</v>
      </c>
      <c r="L164" t="s">
        <v>1151</v>
      </c>
      <c r="M164" t="s">
        <v>1152</v>
      </c>
      <c r="N164" t="s">
        <v>534</v>
      </c>
      <c r="O164" t="s">
        <v>39</v>
      </c>
      <c r="P164" t="s">
        <v>1153</v>
      </c>
      <c r="Q164" t="s">
        <v>153</v>
      </c>
      <c r="R164" s="29">
        <v>46145.86041666667</v>
      </c>
      <c r="S164">
        <v>1</v>
      </c>
      <c r="T164">
        <v>3250</v>
      </c>
      <c r="U164">
        <v>0</v>
      </c>
      <c r="V164">
        <v>3250</v>
      </c>
    </row>
    <row r="165" spans="1:22" x14ac:dyDescent="0.3">
      <c r="A165">
        <v>79452</v>
      </c>
      <c r="B165">
        <v>454510736</v>
      </c>
      <c r="C165" t="s">
        <v>1154</v>
      </c>
      <c r="D165" s="9">
        <v>269476805</v>
      </c>
      <c r="E165" t="s">
        <v>530</v>
      </c>
      <c r="F165" t="s">
        <v>531</v>
      </c>
      <c r="G165" t="s">
        <v>30</v>
      </c>
      <c r="H165" t="s">
        <v>31</v>
      </c>
      <c r="I165" t="s">
        <v>52</v>
      </c>
      <c r="J165" t="s">
        <v>32</v>
      </c>
      <c r="K165" t="s">
        <v>29</v>
      </c>
      <c r="L165" t="s">
        <v>1155</v>
      </c>
      <c r="M165" t="s">
        <v>524</v>
      </c>
      <c r="N165" t="s">
        <v>534</v>
      </c>
      <c r="O165" t="s">
        <v>39</v>
      </c>
      <c r="P165" t="s">
        <v>1156</v>
      </c>
      <c r="Q165" t="s">
        <v>40</v>
      </c>
      <c r="R165" s="29">
        <v>46145.86041666667</v>
      </c>
      <c r="S165">
        <v>1</v>
      </c>
      <c r="T165">
        <v>3935</v>
      </c>
      <c r="U165">
        <v>0</v>
      </c>
      <c r="V165">
        <v>3935</v>
      </c>
    </row>
    <row r="166" spans="1:22" x14ac:dyDescent="0.3">
      <c r="A166">
        <v>79452</v>
      </c>
      <c r="B166">
        <v>454589528</v>
      </c>
      <c r="C166" t="s">
        <v>1157</v>
      </c>
      <c r="D166" s="9">
        <v>269570365</v>
      </c>
      <c r="E166" t="s">
        <v>530</v>
      </c>
      <c r="F166" t="s">
        <v>531</v>
      </c>
      <c r="G166" t="s">
        <v>30</v>
      </c>
      <c r="H166" t="s">
        <v>31</v>
      </c>
      <c r="I166" t="s">
        <v>52</v>
      </c>
      <c r="J166" t="s">
        <v>32</v>
      </c>
      <c r="K166" t="s">
        <v>29</v>
      </c>
      <c r="L166" t="s">
        <v>1158</v>
      </c>
      <c r="M166" t="s">
        <v>1159</v>
      </c>
      <c r="N166" t="s">
        <v>534</v>
      </c>
      <c r="O166" t="s">
        <v>39</v>
      </c>
      <c r="P166" t="s">
        <v>1160</v>
      </c>
      <c r="Q166" t="s">
        <v>200</v>
      </c>
      <c r="R166" s="29">
        <v>46147.469444444447</v>
      </c>
      <c r="S166">
        <v>1</v>
      </c>
      <c r="T166">
        <v>3653</v>
      </c>
      <c r="U166">
        <v>0</v>
      </c>
      <c r="V166">
        <v>3653</v>
      </c>
    </row>
    <row r="167" spans="1:22" x14ac:dyDescent="0.3">
      <c r="A167">
        <v>79452</v>
      </c>
      <c r="B167">
        <v>454568329</v>
      </c>
      <c r="C167" t="s">
        <v>1161</v>
      </c>
      <c r="D167" s="9">
        <v>269570383</v>
      </c>
      <c r="E167" t="s">
        <v>530</v>
      </c>
      <c r="F167" t="s">
        <v>531</v>
      </c>
      <c r="G167" t="s">
        <v>30</v>
      </c>
      <c r="H167" t="s">
        <v>31</v>
      </c>
      <c r="I167" t="s">
        <v>52</v>
      </c>
      <c r="J167" t="s">
        <v>32</v>
      </c>
      <c r="K167" t="s">
        <v>29</v>
      </c>
      <c r="L167" t="s">
        <v>1162</v>
      </c>
      <c r="M167" t="s">
        <v>1163</v>
      </c>
      <c r="N167" t="s">
        <v>534</v>
      </c>
      <c r="O167" t="s">
        <v>39</v>
      </c>
      <c r="P167" t="s">
        <v>1164</v>
      </c>
      <c r="Q167" t="s">
        <v>161</v>
      </c>
      <c r="R167" s="29">
        <v>46146.86041666667</v>
      </c>
      <c r="S167">
        <v>1</v>
      </c>
      <c r="T167">
        <v>3935</v>
      </c>
      <c r="U167">
        <v>0</v>
      </c>
      <c r="V167">
        <v>3935</v>
      </c>
    </row>
    <row r="168" spans="1:22" x14ac:dyDescent="0.3">
      <c r="A168">
        <v>79452</v>
      </c>
      <c r="B168">
        <v>454510720</v>
      </c>
      <c r="C168" t="s">
        <v>1165</v>
      </c>
      <c r="D168" s="9">
        <v>269477019</v>
      </c>
      <c r="E168" t="s">
        <v>530</v>
      </c>
      <c r="F168" t="s">
        <v>531</v>
      </c>
      <c r="G168" t="s">
        <v>30</v>
      </c>
      <c r="H168" t="s">
        <v>31</v>
      </c>
      <c r="I168" t="s">
        <v>52</v>
      </c>
      <c r="J168" t="s">
        <v>32</v>
      </c>
      <c r="K168" t="s">
        <v>29</v>
      </c>
      <c r="L168" t="s">
        <v>1166</v>
      </c>
      <c r="M168" t="s">
        <v>1167</v>
      </c>
      <c r="N168" t="s">
        <v>534</v>
      </c>
      <c r="O168" t="s">
        <v>39</v>
      </c>
      <c r="P168" t="s">
        <v>1168</v>
      </c>
      <c r="Q168" t="s">
        <v>74</v>
      </c>
      <c r="R168" s="29">
        <v>46145.86041666667</v>
      </c>
      <c r="S168">
        <v>1</v>
      </c>
      <c r="T168">
        <v>3653</v>
      </c>
      <c r="U168">
        <v>0</v>
      </c>
      <c r="V168">
        <v>3653</v>
      </c>
    </row>
    <row r="169" spans="1:22" x14ac:dyDescent="0.3">
      <c r="A169">
        <v>79452</v>
      </c>
      <c r="B169">
        <v>454589561</v>
      </c>
      <c r="C169" t="s">
        <v>1169</v>
      </c>
      <c r="D169" s="9">
        <v>269570335</v>
      </c>
      <c r="E169" t="s">
        <v>530</v>
      </c>
      <c r="F169" t="s">
        <v>531</v>
      </c>
      <c r="G169" t="s">
        <v>30</v>
      </c>
      <c r="H169" t="s">
        <v>31</v>
      </c>
      <c r="I169" t="s">
        <v>52</v>
      </c>
      <c r="J169" t="s">
        <v>32</v>
      </c>
      <c r="K169" t="s">
        <v>29</v>
      </c>
      <c r="L169" t="s">
        <v>1170</v>
      </c>
      <c r="M169" t="s">
        <v>1171</v>
      </c>
      <c r="N169" t="s">
        <v>534</v>
      </c>
      <c r="O169" t="s">
        <v>39</v>
      </c>
      <c r="P169" t="s">
        <v>1172</v>
      </c>
      <c r="Q169" t="s">
        <v>70</v>
      </c>
      <c r="R169" s="29">
        <v>46147.469444444447</v>
      </c>
      <c r="S169">
        <v>1</v>
      </c>
      <c r="T169">
        <v>3631</v>
      </c>
      <c r="U169">
        <v>0</v>
      </c>
      <c r="V169">
        <v>3631</v>
      </c>
    </row>
    <row r="170" spans="1:22" x14ac:dyDescent="0.3">
      <c r="A170">
        <v>79452</v>
      </c>
      <c r="B170">
        <v>454539806</v>
      </c>
      <c r="C170" t="s">
        <v>1173</v>
      </c>
      <c r="D170" s="9">
        <v>269476492</v>
      </c>
      <c r="E170" t="s">
        <v>530</v>
      </c>
      <c r="F170" t="s">
        <v>531</v>
      </c>
      <c r="G170" t="s">
        <v>30</v>
      </c>
      <c r="H170" t="s">
        <v>31</v>
      </c>
      <c r="I170" t="s">
        <v>52</v>
      </c>
      <c r="J170" t="s">
        <v>32</v>
      </c>
      <c r="K170" t="s">
        <v>29</v>
      </c>
      <c r="L170" t="s">
        <v>1174</v>
      </c>
      <c r="M170" t="s">
        <v>1175</v>
      </c>
      <c r="N170" t="s">
        <v>534</v>
      </c>
      <c r="O170" t="s">
        <v>39</v>
      </c>
      <c r="P170" t="s">
        <v>1176</v>
      </c>
      <c r="Q170" t="s">
        <v>33</v>
      </c>
      <c r="R170" s="29">
        <v>46146.48333333333</v>
      </c>
      <c r="S170">
        <v>1</v>
      </c>
      <c r="T170">
        <v>3631</v>
      </c>
      <c r="U170">
        <v>0</v>
      </c>
      <c r="V170">
        <v>3631</v>
      </c>
    </row>
    <row r="171" spans="1:22" x14ac:dyDescent="0.3">
      <c r="A171">
        <v>79452</v>
      </c>
      <c r="B171">
        <v>454466196</v>
      </c>
      <c r="C171" t="s">
        <v>1177</v>
      </c>
      <c r="D171" s="9">
        <v>269477541</v>
      </c>
      <c r="E171" t="s">
        <v>530</v>
      </c>
      <c r="F171" t="s">
        <v>531</v>
      </c>
      <c r="G171" t="s">
        <v>30</v>
      </c>
      <c r="H171" t="s">
        <v>31</v>
      </c>
      <c r="I171" t="s">
        <v>52</v>
      </c>
      <c r="J171" t="s">
        <v>32</v>
      </c>
      <c r="K171" t="s">
        <v>29</v>
      </c>
      <c r="L171" t="s">
        <v>1178</v>
      </c>
      <c r="M171" t="s">
        <v>864</v>
      </c>
      <c r="N171" t="s">
        <v>534</v>
      </c>
      <c r="O171" t="s">
        <v>39</v>
      </c>
      <c r="P171" t="s">
        <v>865</v>
      </c>
      <c r="Q171" t="s">
        <v>36</v>
      </c>
      <c r="R171" s="29">
        <v>46143.899305555555</v>
      </c>
      <c r="S171">
        <v>1</v>
      </c>
      <c r="T171">
        <v>5564</v>
      </c>
      <c r="U171">
        <v>0</v>
      </c>
      <c r="V171">
        <v>5564</v>
      </c>
    </row>
    <row r="172" spans="1:22" x14ac:dyDescent="0.3">
      <c r="A172">
        <v>79452</v>
      </c>
      <c r="B172">
        <v>454510755</v>
      </c>
      <c r="C172" t="s">
        <v>1179</v>
      </c>
      <c r="D172" s="9">
        <v>269476704</v>
      </c>
      <c r="E172" t="s">
        <v>530</v>
      </c>
      <c r="F172" t="s">
        <v>531</v>
      </c>
      <c r="G172" t="s">
        <v>30</v>
      </c>
      <c r="H172" t="s">
        <v>31</v>
      </c>
      <c r="I172" t="s">
        <v>52</v>
      </c>
      <c r="J172" t="s">
        <v>32</v>
      </c>
      <c r="K172" t="s">
        <v>29</v>
      </c>
      <c r="L172" t="s">
        <v>1180</v>
      </c>
      <c r="M172" t="s">
        <v>309</v>
      </c>
      <c r="N172" t="s">
        <v>534</v>
      </c>
      <c r="O172" t="s">
        <v>39</v>
      </c>
      <c r="P172" t="s">
        <v>1181</v>
      </c>
      <c r="Q172" t="s">
        <v>70</v>
      </c>
      <c r="R172" s="29">
        <v>46145.86041666667</v>
      </c>
      <c r="S172">
        <v>1</v>
      </c>
      <c r="T172">
        <v>3631</v>
      </c>
      <c r="U172">
        <v>0</v>
      </c>
      <c r="V172">
        <v>3631</v>
      </c>
    </row>
    <row r="173" spans="1:22" x14ac:dyDescent="0.3">
      <c r="A173">
        <v>79452</v>
      </c>
      <c r="B173">
        <v>454510729</v>
      </c>
      <c r="C173" t="s">
        <v>1182</v>
      </c>
      <c r="D173" s="9">
        <v>269476875</v>
      </c>
      <c r="E173" t="s">
        <v>530</v>
      </c>
      <c r="F173" t="s">
        <v>531</v>
      </c>
      <c r="G173" t="s">
        <v>30</v>
      </c>
      <c r="H173" t="s">
        <v>31</v>
      </c>
      <c r="I173" t="s">
        <v>52</v>
      </c>
      <c r="J173" t="s">
        <v>32</v>
      </c>
      <c r="K173" t="s">
        <v>29</v>
      </c>
      <c r="L173" t="s">
        <v>1183</v>
      </c>
      <c r="M173" t="s">
        <v>1184</v>
      </c>
      <c r="N173" t="s">
        <v>534</v>
      </c>
      <c r="O173" t="s">
        <v>39</v>
      </c>
      <c r="P173" t="s">
        <v>1185</v>
      </c>
      <c r="Q173" t="s">
        <v>40</v>
      </c>
      <c r="R173" s="29">
        <v>46145.86041666667</v>
      </c>
      <c r="S173">
        <v>1</v>
      </c>
      <c r="T173">
        <v>3935</v>
      </c>
      <c r="U173">
        <v>0</v>
      </c>
      <c r="V173">
        <v>3935</v>
      </c>
    </row>
    <row r="174" spans="1:22" x14ac:dyDescent="0.3">
      <c r="A174">
        <v>79452</v>
      </c>
      <c r="B174">
        <v>454539798</v>
      </c>
      <c r="C174" t="s">
        <v>1186</v>
      </c>
      <c r="D174" s="9">
        <v>269476506</v>
      </c>
      <c r="E174" t="s">
        <v>530</v>
      </c>
      <c r="F174" t="s">
        <v>531</v>
      </c>
      <c r="G174" t="s">
        <v>30</v>
      </c>
      <c r="H174" t="s">
        <v>31</v>
      </c>
      <c r="I174" t="s">
        <v>52</v>
      </c>
      <c r="J174" t="s">
        <v>32</v>
      </c>
      <c r="K174" t="s">
        <v>29</v>
      </c>
      <c r="L174" t="s">
        <v>1187</v>
      </c>
      <c r="M174" t="s">
        <v>451</v>
      </c>
      <c r="N174" t="s">
        <v>534</v>
      </c>
      <c r="O174" t="s">
        <v>39</v>
      </c>
      <c r="P174" t="s">
        <v>1188</v>
      </c>
      <c r="Q174" t="s">
        <v>207</v>
      </c>
      <c r="R174" s="29">
        <v>46146.48333333333</v>
      </c>
      <c r="S174">
        <v>1</v>
      </c>
      <c r="T174">
        <v>3737</v>
      </c>
      <c r="U174">
        <v>0</v>
      </c>
      <c r="V174">
        <v>3737</v>
      </c>
    </row>
    <row r="175" spans="1:22" x14ac:dyDescent="0.3">
      <c r="A175">
        <v>79452</v>
      </c>
      <c r="B175">
        <v>454510718</v>
      </c>
      <c r="C175" t="s">
        <v>1189</v>
      </c>
      <c r="D175" s="9">
        <v>269477036</v>
      </c>
      <c r="E175" t="s">
        <v>530</v>
      </c>
      <c r="F175" t="s">
        <v>531</v>
      </c>
      <c r="G175" t="s">
        <v>30</v>
      </c>
      <c r="H175" t="s">
        <v>31</v>
      </c>
      <c r="I175" t="s">
        <v>52</v>
      </c>
      <c r="J175" t="s">
        <v>32</v>
      </c>
      <c r="K175" t="s">
        <v>29</v>
      </c>
      <c r="L175" t="s">
        <v>1190</v>
      </c>
      <c r="M175" t="s">
        <v>383</v>
      </c>
      <c r="N175" t="s">
        <v>534</v>
      </c>
      <c r="O175" t="s">
        <v>39</v>
      </c>
      <c r="P175" t="s">
        <v>1191</v>
      </c>
      <c r="Q175" t="s">
        <v>73</v>
      </c>
      <c r="R175" s="29">
        <v>46145.86041666667</v>
      </c>
      <c r="S175">
        <v>1</v>
      </c>
      <c r="T175">
        <v>3250</v>
      </c>
      <c r="U175">
        <v>0</v>
      </c>
      <c r="V175">
        <v>3250</v>
      </c>
    </row>
    <row r="176" spans="1:22" x14ac:dyDescent="0.3">
      <c r="A176">
        <v>79452</v>
      </c>
      <c r="B176">
        <v>454420339</v>
      </c>
      <c r="C176" t="s">
        <v>1192</v>
      </c>
      <c r="D176" s="9">
        <v>269327383</v>
      </c>
      <c r="E176" t="s">
        <v>530</v>
      </c>
      <c r="F176" t="s">
        <v>531</v>
      </c>
      <c r="G176" t="s">
        <v>30</v>
      </c>
      <c r="H176" t="s">
        <v>31</v>
      </c>
      <c r="I176" t="s">
        <v>52</v>
      </c>
      <c r="J176" t="s">
        <v>32</v>
      </c>
      <c r="K176" t="s">
        <v>29</v>
      </c>
      <c r="L176" t="s">
        <v>1193</v>
      </c>
      <c r="M176" t="s">
        <v>1194</v>
      </c>
      <c r="N176" t="s">
        <v>534</v>
      </c>
      <c r="O176" t="s">
        <v>39</v>
      </c>
      <c r="P176" t="s">
        <v>1195</v>
      </c>
      <c r="Q176" t="s">
        <v>36</v>
      </c>
      <c r="R176" s="29">
        <v>46142.410416666666</v>
      </c>
      <c r="S176">
        <v>1</v>
      </c>
      <c r="T176">
        <v>5564</v>
      </c>
      <c r="U176">
        <v>0</v>
      </c>
      <c r="V176">
        <v>5564</v>
      </c>
    </row>
    <row r="177" spans="1:22" x14ac:dyDescent="0.3">
      <c r="A177">
        <v>79452</v>
      </c>
      <c r="B177">
        <v>454539830</v>
      </c>
      <c r="C177" t="s">
        <v>1196</v>
      </c>
      <c r="D177" s="9">
        <v>269476426</v>
      </c>
      <c r="E177" t="s">
        <v>530</v>
      </c>
      <c r="F177" t="s">
        <v>531</v>
      </c>
      <c r="G177" t="s">
        <v>30</v>
      </c>
      <c r="H177" t="s">
        <v>31</v>
      </c>
      <c r="I177" t="s">
        <v>52</v>
      </c>
      <c r="J177" t="s">
        <v>32</v>
      </c>
      <c r="K177" t="s">
        <v>29</v>
      </c>
      <c r="L177" t="s">
        <v>1197</v>
      </c>
      <c r="M177" t="s">
        <v>1198</v>
      </c>
      <c r="N177" t="s">
        <v>534</v>
      </c>
      <c r="O177" t="s">
        <v>39</v>
      </c>
      <c r="P177" t="s">
        <v>1199</v>
      </c>
      <c r="Q177" t="s">
        <v>38</v>
      </c>
      <c r="R177" s="29">
        <v>46146.484027777777</v>
      </c>
      <c r="S177">
        <v>1</v>
      </c>
      <c r="T177">
        <v>3250</v>
      </c>
      <c r="U177">
        <v>0</v>
      </c>
      <c r="V177">
        <v>3250</v>
      </c>
    </row>
    <row r="178" spans="1:22" x14ac:dyDescent="0.3">
      <c r="A178">
        <v>79452</v>
      </c>
      <c r="B178">
        <v>454510784</v>
      </c>
      <c r="C178" t="s">
        <v>1200</v>
      </c>
      <c r="D178" s="9">
        <v>269476569</v>
      </c>
      <c r="E178" t="s">
        <v>530</v>
      </c>
      <c r="F178" t="s">
        <v>531</v>
      </c>
      <c r="G178" t="s">
        <v>30</v>
      </c>
      <c r="H178" t="s">
        <v>31</v>
      </c>
      <c r="I178" t="s">
        <v>52</v>
      </c>
      <c r="J178" t="s">
        <v>32</v>
      </c>
      <c r="K178" t="s">
        <v>102</v>
      </c>
      <c r="L178" t="s">
        <v>103</v>
      </c>
      <c r="M178" t="s">
        <v>1201</v>
      </c>
      <c r="N178" t="s">
        <v>534</v>
      </c>
      <c r="O178" t="s">
        <v>39</v>
      </c>
      <c r="P178" t="s">
        <v>1202</v>
      </c>
      <c r="Q178" t="s">
        <v>71</v>
      </c>
      <c r="R178" s="29">
        <v>46145.861111111109</v>
      </c>
      <c r="S178">
        <v>1</v>
      </c>
      <c r="T178">
        <v>3631</v>
      </c>
      <c r="U178">
        <v>0</v>
      </c>
      <c r="V178">
        <v>3631</v>
      </c>
    </row>
    <row r="179" spans="1:22" x14ac:dyDescent="0.3">
      <c r="A179">
        <v>79452</v>
      </c>
      <c r="B179">
        <v>454466173</v>
      </c>
      <c r="C179" t="s">
        <v>1203</v>
      </c>
      <c r="D179" s="9">
        <v>269477683</v>
      </c>
      <c r="E179" t="s">
        <v>530</v>
      </c>
      <c r="F179" t="s">
        <v>531</v>
      </c>
      <c r="G179" t="s">
        <v>30</v>
      </c>
      <c r="H179" t="s">
        <v>31</v>
      </c>
      <c r="I179" t="s">
        <v>52</v>
      </c>
      <c r="J179" t="s">
        <v>32</v>
      </c>
      <c r="K179" t="s">
        <v>29</v>
      </c>
      <c r="L179" t="s">
        <v>1204</v>
      </c>
      <c r="M179" t="s">
        <v>1205</v>
      </c>
      <c r="N179" t="s">
        <v>534</v>
      </c>
      <c r="O179" t="s">
        <v>39</v>
      </c>
      <c r="P179" t="s">
        <v>1206</v>
      </c>
      <c r="Q179" t="s">
        <v>152</v>
      </c>
      <c r="R179" s="29">
        <v>46143.899305555555</v>
      </c>
      <c r="S179">
        <v>1</v>
      </c>
      <c r="T179">
        <v>3935</v>
      </c>
      <c r="U179">
        <v>0</v>
      </c>
      <c r="V179">
        <v>3935</v>
      </c>
    </row>
    <row r="180" spans="1:22" x14ac:dyDescent="0.3">
      <c r="A180">
        <v>79452</v>
      </c>
      <c r="B180">
        <v>454568318</v>
      </c>
      <c r="C180" t="s">
        <v>1207</v>
      </c>
      <c r="D180" s="9">
        <v>269570388</v>
      </c>
      <c r="E180" t="s">
        <v>530</v>
      </c>
      <c r="F180" t="s">
        <v>531</v>
      </c>
      <c r="G180" t="s">
        <v>30</v>
      </c>
      <c r="H180" t="s">
        <v>31</v>
      </c>
      <c r="I180" t="s">
        <v>52</v>
      </c>
      <c r="J180" t="s">
        <v>32</v>
      </c>
      <c r="K180" t="s">
        <v>29</v>
      </c>
      <c r="L180" t="s">
        <v>1208</v>
      </c>
      <c r="M180" t="s">
        <v>1209</v>
      </c>
      <c r="N180" t="s">
        <v>534</v>
      </c>
      <c r="O180" t="s">
        <v>39</v>
      </c>
      <c r="P180" t="s">
        <v>1210</v>
      </c>
      <c r="Q180" t="s">
        <v>33</v>
      </c>
      <c r="R180" s="29">
        <v>46146.86041666667</v>
      </c>
      <c r="S180">
        <v>1</v>
      </c>
      <c r="T180">
        <v>3631</v>
      </c>
      <c r="U180">
        <v>0</v>
      </c>
      <c r="V180">
        <v>3631</v>
      </c>
    </row>
    <row r="181" spans="1:22" x14ac:dyDescent="0.3">
      <c r="A181">
        <v>79452</v>
      </c>
      <c r="B181">
        <v>454539796</v>
      </c>
      <c r="C181" t="s">
        <v>1211</v>
      </c>
      <c r="D181" s="9">
        <v>269476545</v>
      </c>
      <c r="E181" t="s">
        <v>530</v>
      </c>
      <c r="F181" t="s">
        <v>531</v>
      </c>
      <c r="G181" t="s">
        <v>30</v>
      </c>
      <c r="H181" t="s">
        <v>31</v>
      </c>
      <c r="I181" t="s">
        <v>52</v>
      </c>
      <c r="J181" t="s">
        <v>32</v>
      </c>
      <c r="K181" t="s">
        <v>29</v>
      </c>
      <c r="L181" t="s">
        <v>1212</v>
      </c>
      <c r="M181" t="s">
        <v>1213</v>
      </c>
      <c r="N181" t="s">
        <v>534</v>
      </c>
      <c r="O181" t="s">
        <v>39</v>
      </c>
      <c r="P181" t="s">
        <v>1214</v>
      </c>
      <c r="Q181" t="s">
        <v>71</v>
      </c>
      <c r="R181" s="29">
        <v>46146.48333333333</v>
      </c>
      <c r="S181">
        <v>1</v>
      </c>
      <c r="T181">
        <v>3631</v>
      </c>
      <c r="U181">
        <v>0</v>
      </c>
      <c r="V181">
        <v>3631</v>
      </c>
    </row>
    <row r="182" spans="1:22" x14ac:dyDescent="0.3">
      <c r="A182">
        <v>79452</v>
      </c>
      <c r="B182">
        <v>454589557</v>
      </c>
      <c r="C182" t="s">
        <v>1215</v>
      </c>
      <c r="D182" s="9">
        <v>269570343</v>
      </c>
      <c r="E182" t="s">
        <v>530</v>
      </c>
      <c r="F182" t="s">
        <v>531</v>
      </c>
      <c r="G182" t="s">
        <v>30</v>
      </c>
      <c r="H182" t="s">
        <v>31</v>
      </c>
      <c r="I182" t="s">
        <v>52</v>
      </c>
      <c r="J182" t="s">
        <v>32</v>
      </c>
      <c r="K182" t="s">
        <v>102</v>
      </c>
      <c r="L182" t="s">
        <v>103</v>
      </c>
      <c r="M182" t="s">
        <v>1216</v>
      </c>
      <c r="N182" t="s">
        <v>534</v>
      </c>
      <c r="O182" t="s">
        <v>39</v>
      </c>
      <c r="P182" t="s">
        <v>1217</v>
      </c>
      <c r="Q182" t="s">
        <v>172</v>
      </c>
      <c r="R182" s="29">
        <v>46147.469444444447</v>
      </c>
      <c r="S182">
        <v>1</v>
      </c>
      <c r="T182">
        <v>3631</v>
      </c>
      <c r="U182">
        <v>0</v>
      </c>
      <c r="V182">
        <v>3631</v>
      </c>
    </row>
    <row r="183" spans="1:22" x14ac:dyDescent="0.3">
      <c r="A183">
        <v>79452</v>
      </c>
      <c r="B183">
        <v>454510721</v>
      </c>
      <c r="C183" t="s">
        <v>1218</v>
      </c>
      <c r="D183" s="9">
        <v>269476962</v>
      </c>
      <c r="E183" t="s">
        <v>530</v>
      </c>
      <c r="F183" t="s">
        <v>531</v>
      </c>
      <c r="G183" t="s">
        <v>30</v>
      </c>
      <c r="H183" t="s">
        <v>31</v>
      </c>
      <c r="I183" t="s">
        <v>52</v>
      </c>
      <c r="J183" t="s">
        <v>32</v>
      </c>
      <c r="K183" t="s">
        <v>29</v>
      </c>
      <c r="L183" t="s">
        <v>1219</v>
      </c>
      <c r="M183" t="s">
        <v>370</v>
      </c>
      <c r="N183" t="s">
        <v>534</v>
      </c>
      <c r="O183" t="s">
        <v>39</v>
      </c>
      <c r="P183" t="s">
        <v>1220</v>
      </c>
      <c r="Q183" t="s">
        <v>33</v>
      </c>
      <c r="R183" s="29">
        <v>46145.86041666667</v>
      </c>
      <c r="S183">
        <v>1</v>
      </c>
      <c r="T183">
        <v>3631</v>
      </c>
      <c r="U183">
        <v>0</v>
      </c>
      <c r="V183">
        <v>3631</v>
      </c>
    </row>
    <row r="184" spans="1:22" x14ac:dyDescent="0.3">
      <c r="A184">
        <v>79452</v>
      </c>
      <c r="B184">
        <v>454510726</v>
      </c>
      <c r="C184" t="s">
        <v>1221</v>
      </c>
      <c r="D184" s="9">
        <v>269476948</v>
      </c>
      <c r="E184" t="s">
        <v>530</v>
      </c>
      <c r="F184" t="s">
        <v>531</v>
      </c>
      <c r="G184" t="s">
        <v>30</v>
      </c>
      <c r="H184" t="s">
        <v>31</v>
      </c>
      <c r="I184" t="s">
        <v>52</v>
      </c>
      <c r="J184" t="s">
        <v>32</v>
      </c>
      <c r="K184" t="s">
        <v>29</v>
      </c>
      <c r="L184" t="s">
        <v>1222</v>
      </c>
      <c r="M184" t="s">
        <v>1223</v>
      </c>
      <c r="N184" t="s">
        <v>534</v>
      </c>
      <c r="O184" t="s">
        <v>39</v>
      </c>
      <c r="P184" t="s">
        <v>1224</v>
      </c>
      <c r="Q184" t="s">
        <v>70</v>
      </c>
      <c r="R184" s="29">
        <v>46145.86041666667</v>
      </c>
      <c r="S184">
        <v>1</v>
      </c>
      <c r="T184">
        <v>3631</v>
      </c>
      <c r="U184">
        <v>0</v>
      </c>
      <c r="V184">
        <v>3631</v>
      </c>
    </row>
    <row r="185" spans="1:22" x14ac:dyDescent="0.3">
      <c r="A185">
        <v>79452</v>
      </c>
      <c r="B185">
        <v>454510772</v>
      </c>
      <c r="C185" t="s">
        <v>1225</v>
      </c>
      <c r="D185" s="9">
        <v>269476662</v>
      </c>
      <c r="E185" t="s">
        <v>530</v>
      </c>
      <c r="F185" t="s">
        <v>531</v>
      </c>
      <c r="G185" t="s">
        <v>30</v>
      </c>
      <c r="H185" t="s">
        <v>31</v>
      </c>
      <c r="I185" t="s">
        <v>52</v>
      </c>
      <c r="J185" t="s">
        <v>32</v>
      </c>
      <c r="K185" t="s">
        <v>29</v>
      </c>
      <c r="L185" t="s">
        <v>1226</v>
      </c>
      <c r="M185" t="s">
        <v>1227</v>
      </c>
      <c r="N185" t="s">
        <v>534</v>
      </c>
      <c r="O185" t="s">
        <v>39</v>
      </c>
      <c r="P185" t="s">
        <v>1228</v>
      </c>
      <c r="Q185" t="s">
        <v>210</v>
      </c>
      <c r="R185" s="29">
        <v>46145.861111111109</v>
      </c>
      <c r="S185">
        <v>1</v>
      </c>
      <c r="T185">
        <v>3250</v>
      </c>
      <c r="U185">
        <v>0</v>
      </c>
      <c r="V185">
        <v>3250</v>
      </c>
    </row>
    <row r="186" spans="1:22" x14ac:dyDescent="0.3">
      <c r="A186">
        <v>79452</v>
      </c>
      <c r="B186">
        <v>454510714</v>
      </c>
      <c r="C186" t="s">
        <v>1229</v>
      </c>
      <c r="D186" s="9">
        <v>269477101</v>
      </c>
      <c r="E186" t="s">
        <v>530</v>
      </c>
      <c r="F186" t="s">
        <v>531</v>
      </c>
      <c r="G186" t="s">
        <v>30</v>
      </c>
      <c r="H186" t="s">
        <v>31</v>
      </c>
      <c r="I186" t="s">
        <v>52</v>
      </c>
      <c r="J186" t="s">
        <v>32</v>
      </c>
      <c r="K186" t="s">
        <v>29</v>
      </c>
      <c r="L186" t="s">
        <v>1230</v>
      </c>
      <c r="M186" t="s">
        <v>1231</v>
      </c>
      <c r="N186" t="s">
        <v>534</v>
      </c>
      <c r="O186" t="s">
        <v>39</v>
      </c>
      <c r="P186" t="s">
        <v>1232</v>
      </c>
      <c r="Q186" t="s">
        <v>161</v>
      </c>
      <c r="R186" s="29">
        <v>46145.86041666667</v>
      </c>
      <c r="S186">
        <v>1</v>
      </c>
      <c r="T186">
        <v>3935</v>
      </c>
      <c r="U186">
        <v>0</v>
      </c>
      <c r="V186">
        <v>3935</v>
      </c>
    </row>
    <row r="187" spans="1:22" x14ac:dyDescent="0.3">
      <c r="A187">
        <v>79452</v>
      </c>
      <c r="B187">
        <v>454466192</v>
      </c>
      <c r="C187" t="s">
        <v>1233</v>
      </c>
      <c r="D187" s="9">
        <v>269477563</v>
      </c>
      <c r="E187" t="s">
        <v>530</v>
      </c>
      <c r="F187" t="s">
        <v>531</v>
      </c>
      <c r="G187" t="s">
        <v>30</v>
      </c>
      <c r="H187" t="s">
        <v>31</v>
      </c>
      <c r="I187" t="s">
        <v>52</v>
      </c>
      <c r="J187" t="s">
        <v>32</v>
      </c>
      <c r="K187" t="s">
        <v>29</v>
      </c>
      <c r="L187" t="s">
        <v>1234</v>
      </c>
      <c r="M187" t="s">
        <v>1235</v>
      </c>
      <c r="N187" t="s">
        <v>534</v>
      </c>
      <c r="O187" t="s">
        <v>39</v>
      </c>
      <c r="P187" t="s">
        <v>1236</v>
      </c>
      <c r="Q187" t="s">
        <v>33</v>
      </c>
      <c r="R187" s="29">
        <v>46143.899305555555</v>
      </c>
      <c r="S187">
        <v>1</v>
      </c>
      <c r="T187">
        <v>3631</v>
      </c>
      <c r="U187">
        <v>0</v>
      </c>
      <c r="V187">
        <v>3631</v>
      </c>
    </row>
    <row r="188" spans="1:22" x14ac:dyDescent="0.3">
      <c r="A188">
        <v>79452</v>
      </c>
      <c r="B188">
        <v>454466197</v>
      </c>
      <c r="C188" t="s">
        <v>1237</v>
      </c>
      <c r="D188" s="9">
        <v>269477532</v>
      </c>
      <c r="E188" t="s">
        <v>530</v>
      </c>
      <c r="F188" t="s">
        <v>531</v>
      </c>
      <c r="G188" t="s">
        <v>30</v>
      </c>
      <c r="H188" t="s">
        <v>31</v>
      </c>
      <c r="I188" t="s">
        <v>52</v>
      </c>
      <c r="J188" t="s">
        <v>32</v>
      </c>
      <c r="K188" t="s">
        <v>29</v>
      </c>
      <c r="L188" t="s">
        <v>1238</v>
      </c>
      <c r="M188" t="s">
        <v>1239</v>
      </c>
      <c r="N188" t="s">
        <v>534</v>
      </c>
      <c r="O188" t="s">
        <v>39</v>
      </c>
      <c r="P188" t="s">
        <v>1240</v>
      </c>
      <c r="Q188" t="s">
        <v>41</v>
      </c>
      <c r="R188" s="29">
        <v>46143.899305555555</v>
      </c>
      <c r="S188">
        <v>1</v>
      </c>
      <c r="T188">
        <v>3384</v>
      </c>
      <c r="U188">
        <v>0</v>
      </c>
      <c r="V188">
        <v>3384</v>
      </c>
    </row>
    <row r="189" spans="1:22" x14ac:dyDescent="0.3">
      <c r="A189">
        <v>79452</v>
      </c>
      <c r="B189">
        <v>454466210</v>
      </c>
      <c r="C189" t="s">
        <v>1241</v>
      </c>
      <c r="D189" s="9">
        <v>269477337</v>
      </c>
      <c r="E189" t="s">
        <v>530</v>
      </c>
      <c r="F189" t="s">
        <v>531</v>
      </c>
      <c r="G189" t="s">
        <v>30</v>
      </c>
      <c r="H189" t="s">
        <v>31</v>
      </c>
      <c r="I189" t="s">
        <v>52</v>
      </c>
      <c r="J189" t="s">
        <v>32</v>
      </c>
      <c r="K189" t="s">
        <v>29</v>
      </c>
      <c r="L189" t="s">
        <v>1242</v>
      </c>
      <c r="M189" t="s">
        <v>1243</v>
      </c>
      <c r="N189" t="s">
        <v>534</v>
      </c>
      <c r="O189" t="s">
        <v>39</v>
      </c>
      <c r="P189" t="s">
        <v>1244</v>
      </c>
      <c r="Q189" t="s">
        <v>73</v>
      </c>
      <c r="R189" s="29">
        <v>46143.9</v>
      </c>
      <c r="S189">
        <v>1</v>
      </c>
      <c r="T189">
        <v>3250</v>
      </c>
      <c r="U189">
        <v>0</v>
      </c>
      <c r="V189">
        <v>3250</v>
      </c>
    </row>
    <row r="190" spans="1:22" x14ac:dyDescent="0.3">
      <c r="A190">
        <v>79452</v>
      </c>
      <c r="B190">
        <v>454466199</v>
      </c>
      <c r="C190" t="s">
        <v>1245</v>
      </c>
      <c r="D190" s="9">
        <v>269477448</v>
      </c>
      <c r="E190" t="s">
        <v>530</v>
      </c>
      <c r="F190" t="s">
        <v>531</v>
      </c>
      <c r="G190" t="s">
        <v>30</v>
      </c>
      <c r="H190" t="s">
        <v>31</v>
      </c>
      <c r="I190" t="s">
        <v>52</v>
      </c>
      <c r="J190" t="s">
        <v>32</v>
      </c>
      <c r="K190" t="s">
        <v>29</v>
      </c>
      <c r="L190" t="s">
        <v>1246</v>
      </c>
      <c r="M190" t="s">
        <v>1247</v>
      </c>
      <c r="N190" t="s">
        <v>534</v>
      </c>
      <c r="O190" t="s">
        <v>39</v>
      </c>
      <c r="P190" t="s">
        <v>1248</v>
      </c>
      <c r="Q190" t="s">
        <v>74</v>
      </c>
      <c r="R190" s="29">
        <v>46143.899305555555</v>
      </c>
      <c r="S190">
        <v>1</v>
      </c>
      <c r="T190">
        <v>3653</v>
      </c>
      <c r="U190">
        <v>0</v>
      </c>
      <c r="V190">
        <v>3653</v>
      </c>
    </row>
    <row r="191" spans="1:22" x14ac:dyDescent="0.3">
      <c r="A191">
        <v>79452</v>
      </c>
      <c r="B191">
        <v>454466213</v>
      </c>
      <c r="C191" t="s">
        <v>1249</v>
      </c>
      <c r="D191" s="9">
        <v>269477313</v>
      </c>
      <c r="E191" t="s">
        <v>530</v>
      </c>
      <c r="F191" t="s">
        <v>531</v>
      </c>
      <c r="G191" t="s">
        <v>30</v>
      </c>
      <c r="H191" t="s">
        <v>31</v>
      </c>
      <c r="I191" t="s">
        <v>52</v>
      </c>
      <c r="J191" t="s">
        <v>32</v>
      </c>
      <c r="K191" t="s">
        <v>29</v>
      </c>
      <c r="L191" t="s">
        <v>1250</v>
      </c>
      <c r="M191" t="s">
        <v>1251</v>
      </c>
      <c r="N191" t="s">
        <v>534</v>
      </c>
      <c r="O191" t="s">
        <v>39</v>
      </c>
      <c r="P191" t="s">
        <v>1252</v>
      </c>
      <c r="Q191" t="s">
        <v>33</v>
      </c>
      <c r="R191" s="29">
        <v>46143.9</v>
      </c>
      <c r="S191">
        <v>1</v>
      </c>
      <c r="T191">
        <v>3631</v>
      </c>
      <c r="U191">
        <v>0</v>
      </c>
      <c r="V191">
        <v>3631</v>
      </c>
    </row>
    <row r="192" spans="1:22" x14ac:dyDescent="0.3">
      <c r="A192">
        <v>79452</v>
      </c>
      <c r="B192">
        <v>454466216</v>
      </c>
      <c r="C192" t="s">
        <v>1253</v>
      </c>
      <c r="D192" s="9">
        <v>269477289</v>
      </c>
      <c r="E192" t="s">
        <v>530</v>
      </c>
      <c r="F192" t="s">
        <v>531</v>
      </c>
      <c r="G192" t="s">
        <v>30</v>
      </c>
      <c r="H192" t="s">
        <v>31</v>
      </c>
      <c r="I192" t="s">
        <v>52</v>
      </c>
      <c r="J192" t="s">
        <v>32</v>
      </c>
      <c r="K192" t="s">
        <v>29</v>
      </c>
      <c r="L192" t="s">
        <v>1254</v>
      </c>
      <c r="M192" t="s">
        <v>1255</v>
      </c>
      <c r="N192" t="s">
        <v>534</v>
      </c>
      <c r="O192" t="s">
        <v>39</v>
      </c>
      <c r="P192" t="s">
        <v>1256</v>
      </c>
      <c r="Q192" t="s">
        <v>43</v>
      </c>
      <c r="R192" s="29">
        <v>46143.9</v>
      </c>
      <c r="S192">
        <v>1</v>
      </c>
      <c r="T192">
        <v>4205</v>
      </c>
      <c r="U192">
        <v>0</v>
      </c>
      <c r="V192">
        <v>4205</v>
      </c>
    </row>
    <row r="193" spans="1:22" x14ac:dyDescent="0.3">
      <c r="A193">
        <v>79452</v>
      </c>
      <c r="B193">
        <v>454466203</v>
      </c>
      <c r="C193" t="s">
        <v>1257</v>
      </c>
      <c r="D193" s="9">
        <v>269477374</v>
      </c>
      <c r="E193" t="s">
        <v>530</v>
      </c>
      <c r="F193" t="s">
        <v>531</v>
      </c>
      <c r="G193" t="s">
        <v>30</v>
      </c>
      <c r="H193" t="s">
        <v>31</v>
      </c>
      <c r="I193" t="s">
        <v>52</v>
      </c>
      <c r="J193" t="s">
        <v>32</v>
      </c>
      <c r="K193" t="s">
        <v>29</v>
      </c>
      <c r="L193" t="s">
        <v>1258</v>
      </c>
      <c r="M193" t="s">
        <v>1259</v>
      </c>
      <c r="N193" t="s">
        <v>534</v>
      </c>
      <c r="O193" t="s">
        <v>39</v>
      </c>
      <c r="P193" t="s">
        <v>1260</v>
      </c>
      <c r="Q193" t="s">
        <v>180</v>
      </c>
      <c r="R193" s="29">
        <v>46143.899305555555</v>
      </c>
      <c r="S193">
        <v>1</v>
      </c>
      <c r="T193">
        <v>3250</v>
      </c>
      <c r="U193">
        <v>0</v>
      </c>
      <c r="V193">
        <v>3250</v>
      </c>
    </row>
    <row r="194" spans="1:22" x14ac:dyDescent="0.3">
      <c r="A194">
        <v>79452</v>
      </c>
      <c r="B194">
        <v>454474627</v>
      </c>
      <c r="C194" t="s">
        <v>1261</v>
      </c>
      <c r="D194" s="9">
        <v>269477153</v>
      </c>
      <c r="E194" t="s">
        <v>530</v>
      </c>
      <c r="F194" t="s">
        <v>531</v>
      </c>
      <c r="G194" t="s">
        <v>30</v>
      </c>
      <c r="H194" t="s">
        <v>31</v>
      </c>
      <c r="I194" t="s">
        <v>52</v>
      </c>
      <c r="J194" t="s">
        <v>32</v>
      </c>
      <c r="K194" t="s">
        <v>29</v>
      </c>
      <c r="L194" t="s">
        <v>1262</v>
      </c>
      <c r="M194" t="s">
        <v>1263</v>
      </c>
      <c r="N194" t="s">
        <v>534</v>
      </c>
      <c r="O194" t="s">
        <v>39</v>
      </c>
      <c r="P194" t="s">
        <v>1264</v>
      </c>
      <c r="Q194" t="s">
        <v>65</v>
      </c>
      <c r="R194" s="29">
        <v>46144.424305555556</v>
      </c>
      <c r="S194">
        <v>1</v>
      </c>
      <c r="T194">
        <v>3935</v>
      </c>
      <c r="U194">
        <v>0</v>
      </c>
      <c r="V194">
        <v>3935</v>
      </c>
    </row>
    <row r="195" spans="1:22" x14ac:dyDescent="0.3">
      <c r="A195">
        <v>79452</v>
      </c>
      <c r="B195">
        <v>454420348</v>
      </c>
      <c r="C195" t="s">
        <v>1265</v>
      </c>
      <c r="D195" s="9">
        <v>269327377</v>
      </c>
      <c r="E195" t="s">
        <v>530</v>
      </c>
      <c r="F195" t="s">
        <v>531</v>
      </c>
      <c r="G195" t="s">
        <v>30</v>
      </c>
      <c r="H195" t="s">
        <v>31</v>
      </c>
      <c r="I195" t="s">
        <v>52</v>
      </c>
      <c r="J195" t="s">
        <v>32</v>
      </c>
      <c r="K195" t="s">
        <v>29</v>
      </c>
      <c r="L195" t="s">
        <v>1266</v>
      </c>
      <c r="M195" t="s">
        <v>644</v>
      </c>
      <c r="N195" t="s">
        <v>534</v>
      </c>
      <c r="O195" t="s">
        <v>39</v>
      </c>
      <c r="P195" t="s">
        <v>1267</v>
      </c>
      <c r="Q195" t="s">
        <v>74</v>
      </c>
      <c r="R195" s="29">
        <v>46142.410416666666</v>
      </c>
      <c r="S195">
        <v>1</v>
      </c>
      <c r="T195">
        <v>3653</v>
      </c>
      <c r="U195">
        <v>0</v>
      </c>
      <c r="V195">
        <v>3653</v>
      </c>
    </row>
    <row r="196" spans="1:22" x14ac:dyDescent="0.3">
      <c r="A196">
        <v>79452</v>
      </c>
      <c r="B196">
        <v>454466229</v>
      </c>
      <c r="C196" t="s">
        <v>1268</v>
      </c>
      <c r="D196" s="9">
        <v>269477209</v>
      </c>
      <c r="E196" t="s">
        <v>530</v>
      </c>
      <c r="F196" t="s">
        <v>531</v>
      </c>
      <c r="G196" t="s">
        <v>30</v>
      </c>
      <c r="H196" t="s">
        <v>31</v>
      </c>
      <c r="I196" t="s">
        <v>52</v>
      </c>
      <c r="J196" t="s">
        <v>32</v>
      </c>
      <c r="K196" t="s">
        <v>29</v>
      </c>
      <c r="L196" t="s">
        <v>1269</v>
      </c>
      <c r="M196" t="s">
        <v>324</v>
      </c>
      <c r="N196" t="s">
        <v>534</v>
      </c>
      <c r="O196" t="s">
        <v>39</v>
      </c>
      <c r="P196" t="s">
        <v>1270</v>
      </c>
      <c r="Q196" t="s">
        <v>71</v>
      </c>
      <c r="R196" s="29">
        <v>46143.9</v>
      </c>
      <c r="S196">
        <v>1</v>
      </c>
      <c r="T196">
        <v>3631</v>
      </c>
      <c r="U196">
        <v>0</v>
      </c>
      <c r="V196">
        <v>3631</v>
      </c>
    </row>
    <row r="197" spans="1:22" x14ac:dyDescent="0.3">
      <c r="A197">
        <v>79452</v>
      </c>
      <c r="B197">
        <v>454466201</v>
      </c>
      <c r="C197" t="s">
        <v>1271</v>
      </c>
      <c r="D197" s="9">
        <v>269477410</v>
      </c>
      <c r="E197" t="s">
        <v>530</v>
      </c>
      <c r="F197" t="s">
        <v>531</v>
      </c>
      <c r="G197" t="s">
        <v>30</v>
      </c>
      <c r="H197" t="s">
        <v>31</v>
      </c>
      <c r="I197" t="s">
        <v>52</v>
      </c>
      <c r="J197" t="s">
        <v>32</v>
      </c>
      <c r="K197" t="s">
        <v>29</v>
      </c>
      <c r="L197" t="s">
        <v>1272</v>
      </c>
      <c r="M197" t="s">
        <v>1273</v>
      </c>
      <c r="N197" t="s">
        <v>534</v>
      </c>
      <c r="O197" t="s">
        <v>39</v>
      </c>
      <c r="P197" t="s">
        <v>1274</v>
      </c>
      <c r="Q197" t="s">
        <v>35</v>
      </c>
      <c r="R197" s="29">
        <v>46143.899305555555</v>
      </c>
      <c r="S197">
        <v>1</v>
      </c>
      <c r="T197">
        <v>3935</v>
      </c>
      <c r="U197">
        <v>0</v>
      </c>
      <c r="V197">
        <v>3935</v>
      </c>
    </row>
    <row r="198" spans="1:22" x14ac:dyDescent="0.3">
      <c r="A198">
        <v>79452</v>
      </c>
      <c r="B198">
        <v>454420335</v>
      </c>
      <c r="C198" t="s">
        <v>1275</v>
      </c>
      <c r="D198" s="9">
        <v>269327367</v>
      </c>
      <c r="E198" t="s">
        <v>530</v>
      </c>
      <c r="F198" t="s">
        <v>531</v>
      </c>
      <c r="G198" t="s">
        <v>30</v>
      </c>
      <c r="H198" t="s">
        <v>31</v>
      </c>
      <c r="I198" t="s">
        <v>52</v>
      </c>
      <c r="J198" t="s">
        <v>32</v>
      </c>
      <c r="K198" t="s">
        <v>29</v>
      </c>
      <c r="L198" t="s">
        <v>1276</v>
      </c>
      <c r="M198" t="s">
        <v>1277</v>
      </c>
      <c r="N198" t="s">
        <v>534</v>
      </c>
      <c r="O198" t="s">
        <v>39</v>
      </c>
      <c r="P198" t="s">
        <v>1278</v>
      </c>
      <c r="Q198" t="s">
        <v>98</v>
      </c>
      <c r="R198" s="29">
        <v>46142.410416666666</v>
      </c>
      <c r="S198">
        <v>1</v>
      </c>
      <c r="T198">
        <v>4202</v>
      </c>
      <c r="U198">
        <v>0</v>
      </c>
      <c r="V198">
        <v>4202</v>
      </c>
    </row>
    <row r="199" spans="1:22" x14ac:dyDescent="0.3">
      <c r="A199">
        <v>79452</v>
      </c>
      <c r="B199">
        <v>454420341</v>
      </c>
      <c r="C199" t="s">
        <v>1279</v>
      </c>
      <c r="D199" s="9">
        <v>269327362</v>
      </c>
      <c r="E199" t="s">
        <v>530</v>
      </c>
      <c r="F199" t="s">
        <v>531</v>
      </c>
      <c r="G199" t="s">
        <v>30</v>
      </c>
      <c r="H199" t="s">
        <v>31</v>
      </c>
      <c r="I199" t="s">
        <v>52</v>
      </c>
      <c r="J199" t="s">
        <v>32</v>
      </c>
      <c r="K199" t="s">
        <v>29</v>
      </c>
      <c r="L199" t="s">
        <v>1280</v>
      </c>
      <c r="M199" t="s">
        <v>1281</v>
      </c>
      <c r="N199" t="s">
        <v>534</v>
      </c>
      <c r="O199" t="s">
        <v>39</v>
      </c>
      <c r="P199" t="s">
        <v>1282</v>
      </c>
      <c r="Q199" t="s">
        <v>42</v>
      </c>
      <c r="R199" s="29">
        <v>46142.410416666666</v>
      </c>
      <c r="S199">
        <v>1</v>
      </c>
      <c r="T199">
        <v>3250</v>
      </c>
      <c r="U199">
        <v>0</v>
      </c>
      <c r="V199">
        <v>3250</v>
      </c>
    </row>
    <row r="200" spans="1:22" x14ac:dyDescent="0.3">
      <c r="A200">
        <v>79452</v>
      </c>
      <c r="B200">
        <v>454466184</v>
      </c>
      <c r="C200" t="s">
        <v>1283</v>
      </c>
      <c r="D200" s="9">
        <v>269477649</v>
      </c>
      <c r="E200" t="s">
        <v>530</v>
      </c>
      <c r="F200" t="s">
        <v>531</v>
      </c>
      <c r="G200" t="s">
        <v>30</v>
      </c>
      <c r="H200" t="s">
        <v>31</v>
      </c>
      <c r="I200" t="s">
        <v>52</v>
      </c>
      <c r="J200" t="s">
        <v>32</v>
      </c>
      <c r="K200" t="s">
        <v>29</v>
      </c>
      <c r="L200" t="s">
        <v>1284</v>
      </c>
      <c r="M200" t="s">
        <v>512</v>
      </c>
      <c r="N200" t="s">
        <v>534</v>
      </c>
      <c r="O200" t="s">
        <v>39</v>
      </c>
      <c r="P200" t="s">
        <v>513</v>
      </c>
      <c r="Q200" t="s">
        <v>38</v>
      </c>
      <c r="R200" s="29">
        <v>46143.899305555555</v>
      </c>
      <c r="S200">
        <v>1</v>
      </c>
      <c r="T200">
        <v>3250</v>
      </c>
      <c r="U200">
        <v>0</v>
      </c>
      <c r="V200">
        <v>3250</v>
      </c>
    </row>
    <row r="201" spans="1:22" x14ac:dyDescent="0.3">
      <c r="A201">
        <v>79452</v>
      </c>
      <c r="B201">
        <v>454466202</v>
      </c>
      <c r="C201" t="s">
        <v>1285</v>
      </c>
      <c r="D201" s="9">
        <v>269477389</v>
      </c>
      <c r="E201" t="s">
        <v>530</v>
      </c>
      <c r="F201" t="s">
        <v>531</v>
      </c>
      <c r="G201" t="s">
        <v>30</v>
      </c>
      <c r="H201" t="s">
        <v>31</v>
      </c>
      <c r="I201" t="s">
        <v>52</v>
      </c>
      <c r="J201" t="s">
        <v>32</v>
      </c>
      <c r="K201" t="s">
        <v>29</v>
      </c>
      <c r="L201" t="s">
        <v>1286</v>
      </c>
      <c r="M201" t="s">
        <v>375</v>
      </c>
      <c r="N201" t="s">
        <v>534</v>
      </c>
      <c r="O201" t="s">
        <v>39</v>
      </c>
      <c r="P201" t="s">
        <v>1287</v>
      </c>
      <c r="Q201" t="s">
        <v>38</v>
      </c>
      <c r="R201" s="29">
        <v>46143.899305555555</v>
      </c>
      <c r="S201">
        <v>1</v>
      </c>
      <c r="T201">
        <v>3250</v>
      </c>
      <c r="U201">
        <v>0</v>
      </c>
      <c r="V201">
        <v>3250</v>
      </c>
    </row>
    <row r="202" spans="1:22" x14ac:dyDescent="0.3">
      <c r="A202">
        <v>79452</v>
      </c>
      <c r="B202">
        <v>454466222</v>
      </c>
      <c r="C202" t="s">
        <v>1288</v>
      </c>
      <c r="D202" s="9">
        <v>269477166</v>
      </c>
      <c r="E202" t="s">
        <v>530</v>
      </c>
      <c r="F202" t="s">
        <v>531</v>
      </c>
      <c r="G202" t="s">
        <v>30</v>
      </c>
      <c r="H202" t="s">
        <v>31</v>
      </c>
      <c r="I202" t="s">
        <v>52</v>
      </c>
      <c r="J202" t="s">
        <v>32</v>
      </c>
      <c r="K202" t="s">
        <v>29</v>
      </c>
      <c r="L202" t="s">
        <v>1289</v>
      </c>
      <c r="M202" t="s">
        <v>1290</v>
      </c>
      <c r="N202" t="s">
        <v>534</v>
      </c>
      <c r="O202" t="s">
        <v>39</v>
      </c>
      <c r="P202" t="s">
        <v>1291</v>
      </c>
      <c r="Q202" t="s">
        <v>40</v>
      </c>
      <c r="R202" s="29">
        <v>46143.9</v>
      </c>
      <c r="S202">
        <v>1</v>
      </c>
      <c r="T202">
        <v>3935</v>
      </c>
      <c r="U202">
        <v>0</v>
      </c>
      <c r="V202">
        <v>3935</v>
      </c>
    </row>
    <row r="203" spans="1:22" x14ac:dyDescent="0.3">
      <c r="A203">
        <v>79452</v>
      </c>
      <c r="B203">
        <v>454420353</v>
      </c>
      <c r="C203" t="s">
        <v>1292</v>
      </c>
      <c r="D203" s="9">
        <v>269327359</v>
      </c>
      <c r="E203" t="s">
        <v>530</v>
      </c>
      <c r="F203" t="s">
        <v>531</v>
      </c>
      <c r="G203" t="s">
        <v>30</v>
      </c>
      <c r="H203" t="s">
        <v>31</v>
      </c>
      <c r="I203" t="s">
        <v>52</v>
      </c>
      <c r="J203" t="s">
        <v>32</v>
      </c>
      <c r="K203" t="s">
        <v>29</v>
      </c>
      <c r="L203" t="s">
        <v>1293</v>
      </c>
      <c r="M203" t="s">
        <v>1294</v>
      </c>
      <c r="N203" t="s">
        <v>534</v>
      </c>
      <c r="O203" t="s">
        <v>39</v>
      </c>
      <c r="P203" t="s">
        <v>1295</v>
      </c>
      <c r="Q203" t="s">
        <v>63</v>
      </c>
      <c r="R203" s="29">
        <v>46142.410416666666</v>
      </c>
      <c r="S203">
        <v>1</v>
      </c>
      <c r="T203">
        <v>3384</v>
      </c>
      <c r="U203">
        <v>0</v>
      </c>
      <c r="V203">
        <v>3384</v>
      </c>
    </row>
    <row r="204" spans="1:22" x14ac:dyDescent="0.3">
      <c r="A204">
        <v>79452</v>
      </c>
      <c r="B204">
        <v>454466198</v>
      </c>
      <c r="C204" t="s">
        <v>1296</v>
      </c>
      <c r="D204" s="9">
        <v>269477485</v>
      </c>
      <c r="E204" t="s">
        <v>530</v>
      </c>
      <c r="F204" t="s">
        <v>531</v>
      </c>
      <c r="G204" t="s">
        <v>30</v>
      </c>
      <c r="H204" t="s">
        <v>31</v>
      </c>
      <c r="I204" t="s">
        <v>52</v>
      </c>
      <c r="J204" t="s">
        <v>32</v>
      </c>
      <c r="K204" t="s">
        <v>29</v>
      </c>
      <c r="L204" t="s">
        <v>1297</v>
      </c>
      <c r="M204" t="s">
        <v>1298</v>
      </c>
      <c r="N204" t="s">
        <v>534</v>
      </c>
      <c r="O204" t="s">
        <v>39</v>
      </c>
      <c r="P204" t="s">
        <v>1299</v>
      </c>
      <c r="Q204" t="s">
        <v>70</v>
      </c>
      <c r="R204" s="29">
        <v>46143.899305555555</v>
      </c>
      <c r="S204">
        <v>1</v>
      </c>
      <c r="T204">
        <v>3631</v>
      </c>
      <c r="U204">
        <v>0</v>
      </c>
      <c r="V204">
        <v>3631</v>
      </c>
    </row>
    <row r="205" spans="1:22" x14ac:dyDescent="0.3">
      <c r="A205">
        <v>79452</v>
      </c>
      <c r="B205">
        <v>454420357</v>
      </c>
      <c r="C205" t="s">
        <v>1300</v>
      </c>
      <c r="D205" s="9">
        <v>269327372</v>
      </c>
      <c r="E205" t="s">
        <v>530</v>
      </c>
      <c r="F205" t="s">
        <v>531</v>
      </c>
      <c r="G205" t="s">
        <v>30</v>
      </c>
      <c r="H205" t="s">
        <v>31</v>
      </c>
      <c r="I205" t="s">
        <v>52</v>
      </c>
      <c r="J205" t="s">
        <v>32</v>
      </c>
      <c r="K205" t="s">
        <v>29</v>
      </c>
      <c r="L205" t="s">
        <v>1301</v>
      </c>
      <c r="M205" t="s">
        <v>1302</v>
      </c>
      <c r="N205" t="s">
        <v>534</v>
      </c>
      <c r="O205" t="s">
        <v>39</v>
      </c>
      <c r="P205" t="s">
        <v>1303</v>
      </c>
      <c r="Q205" t="s">
        <v>76</v>
      </c>
      <c r="R205" s="29">
        <v>46142.410416666666</v>
      </c>
      <c r="S205">
        <v>1</v>
      </c>
      <c r="T205">
        <v>3653</v>
      </c>
      <c r="U205">
        <v>0</v>
      </c>
      <c r="V205">
        <v>3653</v>
      </c>
    </row>
    <row r="206" spans="1:22" x14ac:dyDescent="0.3">
      <c r="A206">
        <v>79452</v>
      </c>
      <c r="B206">
        <v>454466189</v>
      </c>
      <c r="C206" t="s">
        <v>1304</v>
      </c>
      <c r="D206" s="9">
        <v>269477613</v>
      </c>
      <c r="E206" t="s">
        <v>530</v>
      </c>
      <c r="F206" t="s">
        <v>531</v>
      </c>
      <c r="G206" t="s">
        <v>30</v>
      </c>
      <c r="H206" t="s">
        <v>31</v>
      </c>
      <c r="I206" t="s">
        <v>52</v>
      </c>
      <c r="J206" t="s">
        <v>32</v>
      </c>
      <c r="K206" t="s">
        <v>29</v>
      </c>
      <c r="L206" t="s">
        <v>1305</v>
      </c>
      <c r="M206" t="s">
        <v>1306</v>
      </c>
      <c r="N206" t="s">
        <v>534</v>
      </c>
      <c r="O206" t="s">
        <v>39</v>
      </c>
      <c r="P206" t="s">
        <v>1307</v>
      </c>
      <c r="Q206" t="s">
        <v>170</v>
      </c>
      <c r="R206" s="29">
        <v>46143.899305555555</v>
      </c>
      <c r="S206">
        <v>1</v>
      </c>
      <c r="T206">
        <v>3250</v>
      </c>
      <c r="U206">
        <v>0</v>
      </c>
      <c r="V206">
        <v>3250</v>
      </c>
    </row>
    <row r="207" spans="1:22" x14ac:dyDescent="0.3">
      <c r="A207">
        <v>79452</v>
      </c>
      <c r="B207">
        <v>454251246</v>
      </c>
      <c r="C207" t="s">
        <v>1308</v>
      </c>
      <c r="D207" s="9">
        <v>268966843</v>
      </c>
      <c r="E207" t="s">
        <v>530</v>
      </c>
      <c r="F207" t="s">
        <v>531</v>
      </c>
      <c r="G207" t="s">
        <v>30</v>
      </c>
      <c r="H207" t="s">
        <v>31</v>
      </c>
      <c r="I207" t="s">
        <v>52</v>
      </c>
      <c r="J207" t="s">
        <v>32</v>
      </c>
      <c r="K207" t="s">
        <v>29</v>
      </c>
      <c r="L207" t="s">
        <v>1309</v>
      </c>
      <c r="M207" t="s">
        <v>1310</v>
      </c>
      <c r="N207" t="s">
        <v>534</v>
      </c>
      <c r="O207" t="s">
        <v>39</v>
      </c>
      <c r="P207" t="s">
        <v>1311</v>
      </c>
      <c r="Q207" t="s">
        <v>36</v>
      </c>
      <c r="R207" s="29">
        <v>46136.856944444444</v>
      </c>
      <c r="S207">
        <v>1.2</v>
      </c>
      <c r="T207">
        <v>5564</v>
      </c>
      <c r="U207">
        <v>0</v>
      </c>
      <c r="V207">
        <v>5564</v>
      </c>
    </row>
    <row r="208" spans="1:22" x14ac:dyDescent="0.3">
      <c r="A208">
        <v>79452</v>
      </c>
      <c r="B208">
        <v>454408951</v>
      </c>
      <c r="C208" t="s">
        <v>1312</v>
      </c>
      <c r="D208" s="9">
        <v>269250968</v>
      </c>
      <c r="E208" t="s">
        <v>530</v>
      </c>
      <c r="F208" t="s">
        <v>531</v>
      </c>
      <c r="G208" t="s">
        <v>30</v>
      </c>
      <c r="H208" t="s">
        <v>31</v>
      </c>
      <c r="I208" t="s">
        <v>52</v>
      </c>
      <c r="J208" t="s">
        <v>32</v>
      </c>
      <c r="K208" t="s">
        <v>29</v>
      </c>
      <c r="L208" t="s">
        <v>1313</v>
      </c>
      <c r="M208" t="s">
        <v>1314</v>
      </c>
      <c r="N208" t="s">
        <v>534</v>
      </c>
      <c r="O208" t="s">
        <v>39</v>
      </c>
      <c r="P208" t="s">
        <v>1315</v>
      </c>
      <c r="Q208" t="s">
        <v>69</v>
      </c>
      <c r="R208" s="29">
        <v>46141.832638888889</v>
      </c>
      <c r="S208">
        <v>1.89</v>
      </c>
      <c r="T208">
        <v>5024</v>
      </c>
      <c r="U208">
        <v>0</v>
      </c>
      <c r="V208">
        <v>5024</v>
      </c>
    </row>
    <row r="209" spans="1:22" x14ac:dyDescent="0.3">
      <c r="A209">
        <v>79452</v>
      </c>
      <c r="B209">
        <v>454410624</v>
      </c>
      <c r="C209" t="s">
        <v>1316</v>
      </c>
      <c r="D209" s="9">
        <v>269250961</v>
      </c>
      <c r="E209" t="s">
        <v>530</v>
      </c>
      <c r="F209" t="s">
        <v>531</v>
      </c>
      <c r="G209" t="s">
        <v>30</v>
      </c>
      <c r="H209" t="s">
        <v>31</v>
      </c>
      <c r="I209" t="s">
        <v>52</v>
      </c>
      <c r="J209" t="s">
        <v>32</v>
      </c>
      <c r="K209" t="s">
        <v>29</v>
      </c>
      <c r="L209" t="s">
        <v>1317</v>
      </c>
      <c r="M209" t="s">
        <v>1318</v>
      </c>
      <c r="N209" t="s">
        <v>534</v>
      </c>
      <c r="O209" t="s">
        <v>39</v>
      </c>
      <c r="P209" t="s">
        <v>1319</v>
      </c>
      <c r="Q209" t="s">
        <v>69</v>
      </c>
      <c r="R209" s="29">
        <v>46141.905555555553</v>
      </c>
      <c r="S209">
        <v>0.67</v>
      </c>
      <c r="T209">
        <v>5024</v>
      </c>
      <c r="U209">
        <v>0</v>
      </c>
      <c r="V209">
        <v>5024</v>
      </c>
    </row>
    <row r="210" spans="1:22" x14ac:dyDescent="0.3">
      <c r="A210">
        <v>79452</v>
      </c>
      <c r="B210">
        <v>454374037</v>
      </c>
      <c r="C210" t="s">
        <v>1320</v>
      </c>
      <c r="D210" s="9">
        <v>269206686</v>
      </c>
      <c r="E210" t="s">
        <v>530</v>
      </c>
      <c r="F210" t="s">
        <v>531</v>
      </c>
      <c r="G210" t="s">
        <v>30</v>
      </c>
      <c r="H210" t="s">
        <v>31</v>
      </c>
      <c r="I210" t="s">
        <v>52</v>
      </c>
      <c r="J210" t="s">
        <v>32</v>
      </c>
      <c r="K210" t="s">
        <v>29</v>
      </c>
      <c r="L210" t="s">
        <v>1321</v>
      </c>
      <c r="M210" t="s">
        <v>1322</v>
      </c>
      <c r="N210" t="s">
        <v>534</v>
      </c>
      <c r="O210" t="s">
        <v>39</v>
      </c>
      <c r="P210" t="s">
        <v>1323</v>
      </c>
      <c r="Q210" t="s">
        <v>162</v>
      </c>
      <c r="R210" s="29">
        <v>46140.856944444444</v>
      </c>
      <c r="S210">
        <v>1</v>
      </c>
      <c r="T210">
        <v>5564</v>
      </c>
      <c r="U210">
        <v>0</v>
      </c>
      <c r="V210">
        <v>5564</v>
      </c>
    </row>
    <row r="211" spans="1:22" x14ac:dyDescent="0.3">
      <c r="A211">
        <v>79452</v>
      </c>
      <c r="B211">
        <v>454410623</v>
      </c>
      <c r="C211" t="s">
        <v>1324</v>
      </c>
      <c r="D211" s="9">
        <v>269250962</v>
      </c>
      <c r="E211" t="s">
        <v>530</v>
      </c>
      <c r="F211" t="s">
        <v>531</v>
      </c>
      <c r="G211" t="s">
        <v>30</v>
      </c>
      <c r="H211" t="s">
        <v>31</v>
      </c>
      <c r="I211" t="s">
        <v>52</v>
      </c>
      <c r="J211" t="s">
        <v>32</v>
      </c>
      <c r="K211" t="s">
        <v>29</v>
      </c>
      <c r="L211" t="s">
        <v>1325</v>
      </c>
      <c r="M211" t="s">
        <v>1326</v>
      </c>
      <c r="N211" t="s">
        <v>534</v>
      </c>
      <c r="O211" t="s">
        <v>39</v>
      </c>
      <c r="P211" t="s">
        <v>1327</v>
      </c>
      <c r="Q211" t="s">
        <v>76</v>
      </c>
      <c r="R211" s="29">
        <v>46141.905555555553</v>
      </c>
      <c r="S211">
        <v>1.8</v>
      </c>
      <c r="T211">
        <v>3653</v>
      </c>
      <c r="U211">
        <v>0</v>
      </c>
      <c r="V211">
        <v>3653</v>
      </c>
    </row>
    <row r="212" spans="1:22" x14ac:dyDescent="0.3">
      <c r="A212">
        <v>79452</v>
      </c>
      <c r="B212">
        <v>454408950</v>
      </c>
      <c r="C212" t="s">
        <v>1328</v>
      </c>
      <c r="D212" s="9">
        <v>269250964</v>
      </c>
      <c r="E212" t="s">
        <v>530</v>
      </c>
      <c r="F212" t="s">
        <v>531</v>
      </c>
      <c r="G212" t="s">
        <v>30</v>
      </c>
      <c r="H212" t="s">
        <v>31</v>
      </c>
      <c r="I212" t="s">
        <v>52</v>
      </c>
      <c r="J212" t="s">
        <v>32</v>
      </c>
      <c r="K212" t="s">
        <v>29</v>
      </c>
      <c r="L212" t="s">
        <v>1329</v>
      </c>
      <c r="M212" t="s">
        <v>1330</v>
      </c>
      <c r="N212" t="s">
        <v>534</v>
      </c>
      <c r="O212" t="s">
        <v>39</v>
      </c>
      <c r="P212" t="s">
        <v>1331</v>
      </c>
      <c r="Q212" t="s">
        <v>35</v>
      </c>
      <c r="R212" s="29">
        <v>46141.832638888889</v>
      </c>
      <c r="S212">
        <v>1.68</v>
      </c>
      <c r="T212">
        <v>3935</v>
      </c>
      <c r="U212">
        <v>0</v>
      </c>
      <c r="V212">
        <v>3935</v>
      </c>
    </row>
    <row r="213" spans="1:22" x14ac:dyDescent="0.3">
      <c r="A213">
        <v>79452</v>
      </c>
      <c r="B213">
        <v>454408952</v>
      </c>
      <c r="C213" t="s">
        <v>1332</v>
      </c>
      <c r="D213" s="9">
        <v>269250971</v>
      </c>
      <c r="E213" t="s">
        <v>530</v>
      </c>
      <c r="F213" t="s">
        <v>531</v>
      </c>
      <c r="G213" t="s">
        <v>30</v>
      </c>
      <c r="H213" t="s">
        <v>31</v>
      </c>
      <c r="I213" t="s">
        <v>52</v>
      </c>
      <c r="J213" t="s">
        <v>32</v>
      </c>
      <c r="K213" t="s">
        <v>29</v>
      </c>
      <c r="L213" t="s">
        <v>1333</v>
      </c>
      <c r="M213" t="s">
        <v>1334</v>
      </c>
      <c r="N213" t="s">
        <v>534</v>
      </c>
      <c r="O213" t="s">
        <v>39</v>
      </c>
      <c r="P213" t="s">
        <v>1335</v>
      </c>
      <c r="Q213" t="s">
        <v>63</v>
      </c>
      <c r="R213" s="29">
        <v>46141.832638888889</v>
      </c>
      <c r="S213">
        <v>1.33</v>
      </c>
      <c r="T213">
        <v>3384</v>
      </c>
      <c r="U213">
        <v>0</v>
      </c>
      <c r="V213">
        <v>3384</v>
      </c>
    </row>
    <row r="214" spans="1:22" x14ac:dyDescent="0.3">
      <c r="A214">
        <v>79452</v>
      </c>
      <c r="B214">
        <v>454374018</v>
      </c>
      <c r="C214" t="s">
        <v>1336</v>
      </c>
      <c r="D214" s="9">
        <v>269206737</v>
      </c>
      <c r="E214" t="s">
        <v>530</v>
      </c>
      <c r="F214" t="s">
        <v>531</v>
      </c>
      <c r="G214" t="s">
        <v>30</v>
      </c>
      <c r="H214" t="s">
        <v>31</v>
      </c>
      <c r="I214" t="s">
        <v>52</v>
      </c>
      <c r="J214" t="s">
        <v>32</v>
      </c>
      <c r="K214" t="s">
        <v>29</v>
      </c>
      <c r="L214" t="s">
        <v>1337</v>
      </c>
      <c r="M214" t="s">
        <v>1338</v>
      </c>
      <c r="N214" t="s">
        <v>534</v>
      </c>
      <c r="O214" t="s">
        <v>39</v>
      </c>
      <c r="P214" t="s">
        <v>1339</v>
      </c>
      <c r="Q214" t="s">
        <v>36</v>
      </c>
      <c r="R214" s="29">
        <v>46140.856944444444</v>
      </c>
      <c r="S214">
        <v>1</v>
      </c>
      <c r="T214">
        <v>5564</v>
      </c>
      <c r="U214">
        <v>0</v>
      </c>
      <c r="V214">
        <v>5564</v>
      </c>
    </row>
    <row r="215" spans="1:22" x14ac:dyDescent="0.3">
      <c r="A215">
        <v>79452</v>
      </c>
      <c r="B215">
        <v>454374029</v>
      </c>
      <c r="C215" t="s">
        <v>1340</v>
      </c>
      <c r="D215" s="9">
        <v>269206707</v>
      </c>
      <c r="E215" t="s">
        <v>530</v>
      </c>
      <c r="F215" t="s">
        <v>531</v>
      </c>
      <c r="G215" t="s">
        <v>30</v>
      </c>
      <c r="H215" t="s">
        <v>31</v>
      </c>
      <c r="I215" t="s">
        <v>52</v>
      </c>
      <c r="J215" t="s">
        <v>32</v>
      </c>
      <c r="K215" t="s">
        <v>102</v>
      </c>
      <c r="L215" t="s">
        <v>103</v>
      </c>
      <c r="M215" t="s">
        <v>1341</v>
      </c>
      <c r="N215" t="s">
        <v>534</v>
      </c>
      <c r="O215" t="s">
        <v>39</v>
      </c>
      <c r="P215" t="s">
        <v>1342</v>
      </c>
      <c r="Q215" t="s">
        <v>65</v>
      </c>
      <c r="R215" s="29">
        <v>46140.856944444444</v>
      </c>
      <c r="S215">
        <v>1</v>
      </c>
      <c r="T215">
        <v>3935</v>
      </c>
      <c r="U215">
        <v>0</v>
      </c>
      <c r="V215">
        <v>3935</v>
      </c>
    </row>
    <row r="216" spans="1:22" x14ac:dyDescent="0.3">
      <c r="A216">
        <v>79452</v>
      </c>
      <c r="B216">
        <v>454408941</v>
      </c>
      <c r="C216" t="s">
        <v>1343</v>
      </c>
      <c r="D216" s="9">
        <v>269250972</v>
      </c>
      <c r="E216" t="s">
        <v>530</v>
      </c>
      <c r="F216" t="s">
        <v>531</v>
      </c>
      <c r="G216" t="s">
        <v>30</v>
      </c>
      <c r="H216" t="s">
        <v>31</v>
      </c>
      <c r="I216" t="s">
        <v>52</v>
      </c>
      <c r="J216" t="s">
        <v>32</v>
      </c>
      <c r="K216" t="s">
        <v>29</v>
      </c>
      <c r="L216" t="s">
        <v>1344</v>
      </c>
      <c r="M216" t="s">
        <v>690</v>
      </c>
      <c r="N216" t="s">
        <v>534</v>
      </c>
      <c r="O216" t="s">
        <v>39</v>
      </c>
      <c r="P216" t="s">
        <v>691</v>
      </c>
      <c r="Q216" t="s">
        <v>200</v>
      </c>
      <c r="R216" s="29">
        <v>46141.832638888889</v>
      </c>
      <c r="S216">
        <v>1.62</v>
      </c>
      <c r="T216">
        <v>3653</v>
      </c>
      <c r="U216">
        <v>0</v>
      </c>
      <c r="V216">
        <v>3653</v>
      </c>
    </row>
    <row r="217" spans="1:22" x14ac:dyDescent="0.3">
      <c r="A217">
        <v>79452</v>
      </c>
      <c r="B217">
        <v>454410824</v>
      </c>
      <c r="C217" t="s">
        <v>1345</v>
      </c>
      <c r="D217" s="9">
        <v>269251158</v>
      </c>
      <c r="E217" t="s">
        <v>530</v>
      </c>
      <c r="F217" t="s">
        <v>531</v>
      </c>
      <c r="G217" t="s">
        <v>30</v>
      </c>
      <c r="H217" t="s">
        <v>31</v>
      </c>
      <c r="I217" t="s">
        <v>52</v>
      </c>
      <c r="J217" t="s">
        <v>32</v>
      </c>
      <c r="K217" t="s">
        <v>29</v>
      </c>
      <c r="L217" t="s">
        <v>1346</v>
      </c>
      <c r="M217" t="s">
        <v>1347</v>
      </c>
      <c r="N217" t="s">
        <v>534</v>
      </c>
      <c r="O217" t="s">
        <v>39</v>
      </c>
      <c r="P217" t="s">
        <v>1348</v>
      </c>
      <c r="Q217" t="s">
        <v>33</v>
      </c>
      <c r="R217" s="29">
        <v>46141.913888888892</v>
      </c>
      <c r="S217">
        <v>0.7</v>
      </c>
      <c r="T217">
        <v>3631</v>
      </c>
      <c r="U217">
        <v>0</v>
      </c>
      <c r="V217">
        <v>3631</v>
      </c>
    </row>
    <row r="218" spans="1:22" x14ac:dyDescent="0.3">
      <c r="A218">
        <v>79452</v>
      </c>
      <c r="B218">
        <v>454336956</v>
      </c>
      <c r="C218" t="s">
        <v>1349</v>
      </c>
      <c r="D218" s="9">
        <v>269134378</v>
      </c>
      <c r="E218" t="s">
        <v>530</v>
      </c>
      <c r="F218" t="s">
        <v>531</v>
      </c>
      <c r="G218" t="s">
        <v>30</v>
      </c>
      <c r="H218" t="s">
        <v>31</v>
      </c>
      <c r="I218" t="s">
        <v>52</v>
      </c>
      <c r="J218" t="s">
        <v>32</v>
      </c>
      <c r="K218" t="s">
        <v>29</v>
      </c>
      <c r="L218" t="s">
        <v>1350</v>
      </c>
      <c r="M218" t="s">
        <v>1351</v>
      </c>
      <c r="N218" t="s">
        <v>534</v>
      </c>
      <c r="O218" t="s">
        <v>39</v>
      </c>
      <c r="P218" t="s">
        <v>1352</v>
      </c>
      <c r="Q218" t="s">
        <v>36</v>
      </c>
      <c r="R218" s="29">
        <v>46139.936805555553</v>
      </c>
      <c r="S218">
        <v>0.88</v>
      </c>
      <c r="T218">
        <v>5564</v>
      </c>
      <c r="U218">
        <v>0</v>
      </c>
      <c r="V218">
        <v>5564</v>
      </c>
    </row>
    <row r="219" spans="1:22" x14ac:dyDescent="0.3">
      <c r="A219">
        <v>79452</v>
      </c>
      <c r="B219">
        <v>454383535</v>
      </c>
      <c r="C219" t="s">
        <v>1353</v>
      </c>
      <c r="D219" s="9">
        <v>269206623</v>
      </c>
      <c r="E219" t="s">
        <v>530</v>
      </c>
      <c r="F219" t="s">
        <v>531</v>
      </c>
      <c r="G219" t="s">
        <v>30</v>
      </c>
      <c r="H219" t="s">
        <v>31</v>
      </c>
      <c r="I219" t="s">
        <v>52</v>
      </c>
      <c r="J219" t="s">
        <v>32</v>
      </c>
      <c r="K219" t="s">
        <v>29</v>
      </c>
      <c r="L219" t="s">
        <v>1354</v>
      </c>
      <c r="M219" t="s">
        <v>1355</v>
      </c>
      <c r="N219" t="s">
        <v>534</v>
      </c>
      <c r="O219" t="s">
        <v>39</v>
      </c>
      <c r="P219" t="s">
        <v>1356</v>
      </c>
      <c r="Q219" t="s">
        <v>69</v>
      </c>
      <c r="R219" s="29">
        <v>46141.401388888888</v>
      </c>
      <c r="S219">
        <v>1</v>
      </c>
      <c r="T219">
        <v>5024</v>
      </c>
      <c r="U219">
        <v>0</v>
      </c>
      <c r="V219">
        <v>5024</v>
      </c>
    </row>
    <row r="220" spans="1:22" x14ac:dyDescent="0.3">
      <c r="A220">
        <v>79452</v>
      </c>
      <c r="B220">
        <v>454374035</v>
      </c>
      <c r="C220" t="s">
        <v>1357</v>
      </c>
      <c r="D220" s="9">
        <v>269206691</v>
      </c>
      <c r="E220" t="s">
        <v>530</v>
      </c>
      <c r="F220" t="s">
        <v>531</v>
      </c>
      <c r="G220" t="s">
        <v>30</v>
      </c>
      <c r="H220" t="s">
        <v>31</v>
      </c>
      <c r="I220" t="s">
        <v>52</v>
      </c>
      <c r="J220" t="s">
        <v>32</v>
      </c>
      <c r="K220" t="s">
        <v>29</v>
      </c>
      <c r="L220" t="s">
        <v>1358</v>
      </c>
      <c r="M220" t="s">
        <v>1359</v>
      </c>
      <c r="N220" t="s">
        <v>534</v>
      </c>
      <c r="O220" t="s">
        <v>39</v>
      </c>
      <c r="P220" t="s">
        <v>1360</v>
      </c>
      <c r="Q220" t="s">
        <v>84</v>
      </c>
      <c r="R220" s="29">
        <v>46140.856944444444</v>
      </c>
      <c r="S220">
        <v>1</v>
      </c>
      <c r="T220">
        <v>5564</v>
      </c>
      <c r="U220">
        <v>0</v>
      </c>
      <c r="V220">
        <v>5564</v>
      </c>
    </row>
    <row r="221" spans="1:22" x14ac:dyDescent="0.3">
      <c r="A221">
        <v>79452</v>
      </c>
      <c r="B221">
        <v>454354284</v>
      </c>
      <c r="C221" t="s">
        <v>1361</v>
      </c>
      <c r="D221" s="9">
        <v>269134309</v>
      </c>
      <c r="E221" t="s">
        <v>530</v>
      </c>
      <c r="F221" t="s">
        <v>531</v>
      </c>
      <c r="G221" t="s">
        <v>30</v>
      </c>
      <c r="H221" t="s">
        <v>31</v>
      </c>
      <c r="I221" t="s">
        <v>52</v>
      </c>
      <c r="J221" t="s">
        <v>32</v>
      </c>
      <c r="K221" t="s">
        <v>29</v>
      </c>
      <c r="L221" t="s">
        <v>1362</v>
      </c>
      <c r="M221" t="s">
        <v>1363</v>
      </c>
      <c r="N221" t="s">
        <v>534</v>
      </c>
      <c r="O221" t="s">
        <v>39</v>
      </c>
      <c r="P221" t="s">
        <v>1364</v>
      </c>
      <c r="Q221" t="s">
        <v>43</v>
      </c>
      <c r="R221" s="29">
        <v>46140.493055555555</v>
      </c>
      <c r="S221">
        <v>1</v>
      </c>
      <c r="T221">
        <v>4205</v>
      </c>
      <c r="U221">
        <v>0</v>
      </c>
      <c r="V221">
        <v>4205</v>
      </c>
    </row>
    <row r="222" spans="1:22" x14ac:dyDescent="0.3">
      <c r="A222">
        <v>79452</v>
      </c>
      <c r="B222">
        <v>141750195</v>
      </c>
      <c r="C222" t="s">
        <v>1365</v>
      </c>
      <c r="D222" s="9">
        <v>268701753</v>
      </c>
      <c r="E222" t="s">
        <v>530</v>
      </c>
      <c r="F222" t="s">
        <v>531</v>
      </c>
      <c r="G222" t="s">
        <v>30</v>
      </c>
      <c r="H222" t="s">
        <v>31</v>
      </c>
      <c r="I222" t="s">
        <v>52</v>
      </c>
      <c r="J222" t="s">
        <v>32</v>
      </c>
      <c r="K222" t="s">
        <v>29</v>
      </c>
      <c r="L222" t="s">
        <v>1366</v>
      </c>
      <c r="M222" t="s">
        <v>1367</v>
      </c>
      <c r="N222" t="s">
        <v>534</v>
      </c>
      <c r="O222" t="s">
        <v>39</v>
      </c>
      <c r="P222" t="s">
        <v>1368</v>
      </c>
      <c r="Q222" t="s">
        <v>49</v>
      </c>
      <c r="R222" s="29">
        <v>46133.451388888891</v>
      </c>
      <c r="S222">
        <v>4.3499999999999996</v>
      </c>
      <c r="T222">
        <v>7745</v>
      </c>
      <c r="U222">
        <v>0</v>
      </c>
      <c r="V222">
        <v>7745</v>
      </c>
    </row>
    <row r="223" spans="1:22" x14ac:dyDescent="0.3">
      <c r="A223">
        <v>79452</v>
      </c>
      <c r="B223">
        <v>454383529</v>
      </c>
      <c r="C223" t="s">
        <v>1369</v>
      </c>
      <c r="D223" s="9">
        <v>269206628</v>
      </c>
      <c r="E223" t="s">
        <v>530</v>
      </c>
      <c r="F223" t="s">
        <v>531</v>
      </c>
      <c r="G223" t="s">
        <v>30</v>
      </c>
      <c r="H223" t="s">
        <v>31</v>
      </c>
      <c r="I223" t="s">
        <v>52</v>
      </c>
      <c r="J223" t="s">
        <v>32</v>
      </c>
      <c r="K223" t="s">
        <v>29</v>
      </c>
      <c r="L223" t="s">
        <v>1370</v>
      </c>
      <c r="M223" t="s">
        <v>1371</v>
      </c>
      <c r="N223" t="s">
        <v>534</v>
      </c>
      <c r="O223" t="s">
        <v>39</v>
      </c>
      <c r="P223" t="s">
        <v>1372</v>
      </c>
      <c r="Q223" t="s">
        <v>42</v>
      </c>
      <c r="R223" s="29">
        <v>46141.401388888888</v>
      </c>
      <c r="S223">
        <v>1</v>
      </c>
      <c r="T223">
        <v>3250</v>
      </c>
      <c r="U223">
        <v>0</v>
      </c>
      <c r="V223">
        <v>3250</v>
      </c>
    </row>
    <row r="224" spans="1:22" x14ac:dyDescent="0.3">
      <c r="A224">
        <v>79452</v>
      </c>
      <c r="B224">
        <v>454374034</v>
      </c>
      <c r="C224" t="s">
        <v>1373</v>
      </c>
      <c r="D224" s="9">
        <v>269206670</v>
      </c>
      <c r="E224" t="s">
        <v>530</v>
      </c>
      <c r="F224" t="s">
        <v>531</v>
      </c>
      <c r="G224" t="s">
        <v>30</v>
      </c>
      <c r="H224" t="s">
        <v>31</v>
      </c>
      <c r="I224" t="s">
        <v>52</v>
      </c>
      <c r="J224" t="s">
        <v>32</v>
      </c>
      <c r="K224" t="s">
        <v>29</v>
      </c>
      <c r="L224" t="s">
        <v>1374</v>
      </c>
      <c r="M224" t="s">
        <v>1375</v>
      </c>
      <c r="N224" t="s">
        <v>534</v>
      </c>
      <c r="O224" t="s">
        <v>39</v>
      </c>
      <c r="P224" t="s">
        <v>1376</v>
      </c>
      <c r="Q224" t="s">
        <v>140</v>
      </c>
      <c r="R224" s="29">
        <v>46140.856944444444</v>
      </c>
      <c r="S224">
        <v>1</v>
      </c>
      <c r="T224">
        <v>3250</v>
      </c>
      <c r="U224">
        <v>0</v>
      </c>
      <c r="V224">
        <v>3250</v>
      </c>
    </row>
    <row r="225" spans="1:22" x14ac:dyDescent="0.3">
      <c r="A225">
        <v>79452</v>
      </c>
      <c r="B225">
        <v>141753580</v>
      </c>
      <c r="C225" t="s">
        <v>1377</v>
      </c>
      <c r="D225" s="9">
        <v>269215793</v>
      </c>
      <c r="E225" t="s">
        <v>530</v>
      </c>
      <c r="F225" t="s">
        <v>531</v>
      </c>
      <c r="G225" t="s">
        <v>30</v>
      </c>
      <c r="H225" t="s">
        <v>31</v>
      </c>
      <c r="I225" t="s">
        <v>52</v>
      </c>
      <c r="J225" t="s">
        <v>32</v>
      </c>
      <c r="K225" t="s">
        <v>29</v>
      </c>
      <c r="L225" t="s">
        <v>1378</v>
      </c>
      <c r="M225" t="s">
        <v>1379</v>
      </c>
      <c r="N225" t="s">
        <v>534</v>
      </c>
      <c r="O225" t="s">
        <v>39</v>
      </c>
      <c r="P225" t="s">
        <v>1380</v>
      </c>
      <c r="Q225" t="s">
        <v>38</v>
      </c>
      <c r="R225" s="29">
        <v>46133.493750000001</v>
      </c>
      <c r="S225">
        <v>1</v>
      </c>
      <c r="T225">
        <v>3250</v>
      </c>
      <c r="U225">
        <v>0</v>
      </c>
      <c r="V225">
        <v>3250</v>
      </c>
    </row>
    <row r="226" spans="1:22" x14ac:dyDescent="0.3">
      <c r="A226">
        <v>79452</v>
      </c>
      <c r="B226">
        <v>454336970</v>
      </c>
      <c r="C226" t="s">
        <v>1381</v>
      </c>
      <c r="D226" s="9">
        <v>269134330</v>
      </c>
      <c r="E226" t="s">
        <v>530</v>
      </c>
      <c r="F226" t="s">
        <v>531</v>
      </c>
      <c r="G226" t="s">
        <v>30</v>
      </c>
      <c r="H226" t="s">
        <v>31</v>
      </c>
      <c r="I226" t="s">
        <v>52</v>
      </c>
      <c r="J226" t="s">
        <v>32</v>
      </c>
      <c r="K226" t="s">
        <v>29</v>
      </c>
      <c r="L226" t="s">
        <v>1382</v>
      </c>
      <c r="M226" t="s">
        <v>433</v>
      </c>
      <c r="N226" t="s">
        <v>534</v>
      </c>
      <c r="O226" t="s">
        <v>39</v>
      </c>
      <c r="P226" t="s">
        <v>1383</v>
      </c>
      <c r="Q226" t="s">
        <v>69</v>
      </c>
      <c r="R226" s="29">
        <v>46139.9375</v>
      </c>
      <c r="S226">
        <v>1</v>
      </c>
      <c r="T226">
        <v>5024</v>
      </c>
      <c r="U226">
        <v>0</v>
      </c>
      <c r="V226">
        <v>5024</v>
      </c>
    </row>
    <row r="227" spans="1:22" x14ac:dyDescent="0.3">
      <c r="A227">
        <v>79452</v>
      </c>
      <c r="B227">
        <v>454383546</v>
      </c>
      <c r="C227" t="s">
        <v>1384</v>
      </c>
      <c r="D227" s="9">
        <v>269206609</v>
      </c>
      <c r="E227" t="s">
        <v>530</v>
      </c>
      <c r="F227" t="s">
        <v>531</v>
      </c>
      <c r="G227" t="s">
        <v>30</v>
      </c>
      <c r="H227" t="s">
        <v>31</v>
      </c>
      <c r="I227" t="s">
        <v>52</v>
      </c>
      <c r="J227" t="s">
        <v>32</v>
      </c>
      <c r="K227" t="s">
        <v>29</v>
      </c>
      <c r="L227" t="s">
        <v>1385</v>
      </c>
      <c r="M227" t="s">
        <v>1386</v>
      </c>
      <c r="N227" t="s">
        <v>534</v>
      </c>
      <c r="O227" t="s">
        <v>39</v>
      </c>
      <c r="P227" t="s">
        <v>1387</v>
      </c>
      <c r="Q227" t="s">
        <v>40</v>
      </c>
      <c r="R227" s="29">
        <v>46141.401388888888</v>
      </c>
      <c r="S227">
        <v>1</v>
      </c>
      <c r="T227">
        <v>3935</v>
      </c>
      <c r="U227">
        <v>0</v>
      </c>
      <c r="V227">
        <v>3935</v>
      </c>
    </row>
    <row r="228" spans="1:22" x14ac:dyDescent="0.3">
      <c r="A228">
        <v>79452</v>
      </c>
      <c r="B228">
        <v>454374039</v>
      </c>
      <c r="C228" t="s">
        <v>1388</v>
      </c>
      <c r="D228" s="9">
        <v>269206654</v>
      </c>
      <c r="E228" t="s">
        <v>530</v>
      </c>
      <c r="F228" t="s">
        <v>531</v>
      </c>
      <c r="G228" t="s">
        <v>30</v>
      </c>
      <c r="H228" t="s">
        <v>31</v>
      </c>
      <c r="I228" t="s">
        <v>52</v>
      </c>
      <c r="J228" t="s">
        <v>32</v>
      </c>
      <c r="K228" t="s">
        <v>29</v>
      </c>
      <c r="L228" t="s">
        <v>1389</v>
      </c>
      <c r="M228" t="s">
        <v>1390</v>
      </c>
      <c r="N228" t="s">
        <v>534</v>
      </c>
      <c r="O228" t="s">
        <v>39</v>
      </c>
      <c r="P228" t="s">
        <v>1391</v>
      </c>
      <c r="Q228" t="s">
        <v>34</v>
      </c>
      <c r="R228" s="29">
        <v>46140.856944444444</v>
      </c>
      <c r="S228">
        <v>1</v>
      </c>
      <c r="T228">
        <v>3653</v>
      </c>
      <c r="U228">
        <v>0</v>
      </c>
      <c r="V228">
        <v>3653</v>
      </c>
    </row>
    <row r="229" spans="1:22" x14ac:dyDescent="0.3">
      <c r="A229">
        <v>79452</v>
      </c>
      <c r="B229">
        <v>454374036</v>
      </c>
      <c r="C229" t="s">
        <v>1392</v>
      </c>
      <c r="D229" s="9">
        <v>269206659</v>
      </c>
      <c r="E229" t="s">
        <v>530</v>
      </c>
      <c r="F229" t="s">
        <v>531</v>
      </c>
      <c r="G229" t="s">
        <v>30</v>
      </c>
      <c r="H229" t="s">
        <v>31</v>
      </c>
      <c r="I229" t="s">
        <v>52</v>
      </c>
      <c r="J229" t="s">
        <v>32</v>
      </c>
      <c r="K229" t="s">
        <v>29</v>
      </c>
      <c r="L229" t="s">
        <v>1393</v>
      </c>
      <c r="M229" t="s">
        <v>294</v>
      </c>
      <c r="N229" t="s">
        <v>534</v>
      </c>
      <c r="O229" t="s">
        <v>39</v>
      </c>
      <c r="P229" t="s">
        <v>1394</v>
      </c>
      <c r="Q229" t="s">
        <v>41</v>
      </c>
      <c r="R229" s="29">
        <v>46140.856944444444</v>
      </c>
      <c r="S229">
        <v>1</v>
      </c>
      <c r="T229">
        <v>3384</v>
      </c>
      <c r="U229">
        <v>0</v>
      </c>
      <c r="V229">
        <v>3384</v>
      </c>
    </row>
    <row r="230" spans="1:22" x14ac:dyDescent="0.3">
      <c r="A230">
        <v>79452</v>
      </c>
      <c r="B230">
        <v>454349189</v>
      </c>
      <c r="C230" t="s">
        <v>1395</v>
      </c>
      <c r="D230" s="9">
        <v>269134317</v>
      </c>
      <c r="E230" t="s">
        <v>530</v>
      </c>
      <c r="F230" t="s">
        <v>531</v>
      </c>
      <c r="G230" t="s">
        <v>30</v>
      </c>
      <c r="H230" t="s">
        <v>31</v>
      </c>
      <c r="I230" t="s">
        <v>52</v>
      </c>
      <c r="J230" t="s">
        <v>32</v>
      </c>
      <c r="K230" t="s">
        <v>29</v>
      </c>
      <c r="L230" t="s">
        <v>519</v>
      </c>
      <c r="M230" t="s">
        <v>520</v>
      </c>
      <c r="N230" t="s">
        <v>534</v>
      </c>
      <c r="O230" t="s">
        <v>39</v>
      </c>
      <c r="P230" t="s">
        <v>1396</v>
      </c>
      <c r="Q230" t="s">
        <v>162</v>
      </c>
      <c r="R230" s="29">
        <v>46140.44027777778</v>
      </c>
      <c r="S230">
        <v>3.29</v>
      </c>
      <c r="T230">
        <v>7745</v>
      </c>
      <c r="U230">
        <v>0</v>
      </c>
      <c r="V230">
        <v>7745</v>
      </c>
    </row>
    <row r="231" spans="1:22" x14ac:dyDescent="0.3">
      <c r="A231">
        <v>79452</v>
      </c>
      <c r="B231">
        <v>454383543</v>
      </c>
      <c r="C231" t="s">
        <v>1397</v>
      </c>
      <c r="D231" s="9">
        <v>269206613</v>
      </c>
      <c r="E231" t="s">
        <v>530</v>
      </c>
      <c r="F231" t="s">
        <v>531</v>
      </c>
      <c r="G231" t="s">
        <v>30</v>
      </c>
      <c r="H231" t="s">
        <v>31</v>
      </c>
      <c r="I231" t="s">
        <v>52</v>
      </c>
      <c r="J231" t="s">
        <v>32</v>
      </c>
      <c r="K231" t="s">
        <v>29</v>
      </c>
      <c r="L231" t="s">
        <v>1398</v>
      </c>
      <c r="M231" t="s">
        <v>831</v>
      </c>
      <c r="N231" t="s">
        <v>534</v>
      </c>
      <c r="O231" t="s">
        <v>39</v>
      </c>
      <c r="P231" t="s">
        <v>832</v>
      </c>
      <c r="Q231" t="s">
        <v>67</v>
      </c>
      <c r="R231" s="29">
        <v>46141.401388888888</v>
      </c>
      <c r="S231">
        <v>1</v>
      </c>
      <c r="T231">
        <v>3250</v>
      </c>
      <c r="U231">
        <v>0</v>
      </c>
      <c r="V231">
        <v>3250</v>
      </c>
    </row>
    <row r="232" spans="1:22" x14ac:dyDescent="0.3">
      <c r="A232">
        <v>79452</v>
      </c>
      <c r="B232">
        <v>454374016</v>
      </c>
      <c r="C232" t="s">
        <v>1399</v>
      </c>
      <c r="D232" s="9">
        <v>269206741</v>
      </c>
      <c r="E232" t="s">
        <v>530</v>
      </c>
      <c r="F232" t="s">
        <v>531</v>
      </c>
      <c r="G232" t="s">
        <v>30</v>
      </c>
      <c r="H232" t="s">
        <v>31</v>
      </c>
      <c r="I232" t="s">
        <v>52</v>
      </c>
      <c r="J232" t="s">
        <v>32</v>
      </c>
      <c r="K232" t="s">
        <v>29</v>
      </c>
      <c r="L232" t="s">
        <v>1400</v>
      </c>
      <c r="M232" t="s">
        <v>1401</v>
      </c>
      <c r="N232" t="s">
        <v>534</v>
      </c>
      <c r="O232" t="s">
        <v>39</v>
      </c>
      <c r="P232" t="s">
        <v>1402</v>
      </c>
      <c r="Q232" t="s">
        <v>74</v>
      </c>
      <c r="R232" s="29">
        <v>46140.856944444444</v>
      </c>
      <c r="S232">
        <v>1</v>
      </c>
      <c r="T232">
        <v>3653</v>
      </c>
      <c r="U232">
        <v>0</v>
      </c>
      <c r="V232">
        <v>3653</v>
      </c>
    </row>
    <row r="233" spans="1:22" x14ac:dyDescent="0.3">
      <c r="A233">
        <v>79452</v>
      </c>
      <c r="B233">
        <v>454258057</v>
      </c>
      <c r="C233" t="s">
        <v>1403</v>
      </c>
      <c r="D233" s="9">
        <v>268966811</v>
      </c>
      <c r="E233" t="s">
        <v>530</v>
      </c>
      <c r="F233" t="s">
        <v>531</v>
      </c>
      <c r="G233" t="s">
        <v>30</v>
      </c>
      <c r="H233" t="s">
        <v>31</v>
      </c>
      <c r="I233" t="s">
        <v>52</v>
      </c>
      <c r="J233" t="s">
        <v>32</v>
      </c>
      <c r="K233" t="s">
        <v>29</v>
      </c>
      <c r="L233" t="s">
        <v>1404</v>
      </c>
      <c r="M233" t="s">
        <v>1405</v>
      </c>
      <c r="N233" t="s">
        <v>534</v>
      </c>
      <c r="O233" t="s">
        <v>39</v>
      </c>
      <c r="P233" t="s">
        <v>1406</v>
      </c>
      <c r="Q233" t="s">
        <v>162</v>
      </c>
      <c r="R233" s="29">
        <v>46137.430555555555</v>
      </c>
      <c r="S233">
        <v>0.83</v>
      </c>
      <c r="T233">
        <v>5564</v>
      </c>
      <c r="U233">
        <v>0</v>
      </c>
      <c r="V233">
        <v>5564</v>
      </c>
    </row>
    <row r="234" spans="1:22" x14ac:dyDescent="0.3">
      <c r="A234">
        <v>79452</v>
      </c>
      <c r="B234">
        <v>454289587</v>
      </c>
      <c r="C234" t="s">
        <v>1407</v>
      </c>
      <c r="D234" s="9">
        <v>269055589</v>
      </c>
      <c r="E234" t="s">
        <v>530</v>
      </c>
      <c r="F234" t="s">
        <v>531</v>
      </c>
      <c r="G234" t="s">
        <v>30</v>
      </c>
      <c r="H234" t="s">
        <v>31</v>
      </c>
      <c r="I234" t="s">
        <v>52</v>
      </c>
      <c r="J234" t="s">
        <v>32</v>
      </c>
      <c r="K234" t="s">
        <v>29</v>
      </c>
      <c r="L234" t="s">
        <v>1408</v>
      </c>
      <c r="M234" t="s">
        <v>1409</v>
      </c>
      <c r="N234" t="s">
        <v>534</v>
      </c>
      <c r="O234" t="s">
        <v>39</v>
      </c>
      <c r="P234" t="s">
        <v>1410</v>
      </c>
      <c r="Q234" t="s">
        <v>80</v>
      </c>
      <c r="R234" s="29">
        <v>46138.914583333331</v>
      </c>
      <c r="S234">
        <v>3.18</v>
      </c>
      <c r="T234">
        <v>7487</v>
      </c>
      <c r="U234">
        <v>0</v>
      </c>
      <c r="V234">
        <v>7487</v>
      </c>
    </row>
    <row r="235" spans="1:22" x14ac:dyDescent="0.3">
      <c r="A235">
        <v>79452</v>
      </c>
      <c r="B235">
        <v>454336946</v>
      </c>
      <c r="C235" t="s">
        <v>1411</v>
      </c>
      <c r="D235" s="9">
        <v>269134393</v>
      </c>
      <c r="E235" t="s">
        <v>530</v>
      </c>
      <c r="F235" t="s">
        <v>531</v>
      </c>
      <c r="G235" t="s">
        <v>30</v>
      </c>
      <c r="H235" t="s">
        <v>31</v>
      </c>
      <c r="I235" t="s">
        <v>52</v>
      </c>
      <c r="J235" t="s">
        <v>32</v>
      </c>
      <c r="K235" t="s">
        <v>29</v>
      </c>
      <c r="L235" t="s">
        <v>1412</v>
      </c>
      <c r="M235" t="s">
        <v>1413</v>
      </c>
      <c r="N235" t="s">
        <v>534</v>
      </c>
      <c r="O235" t="s">
        <v>39</v>
      </c>
      <c r="P235" t="s">
        <v>1414</v>
      </c>
      <c r="Q235" t="s">
        <v>71</v>
      </c>
      <c r="R235" s="29">
        <v>46139.936805555553</v>
      </c>
      <c r="S235">
        <v>3</v>
      </c>
      <c r="T235">
        <v>3631</v>
      </c>
      <c r="U235">
        <v>0</v>
      </c>
      <c r="V235">
        <v>3631</v>
      </c>
    </row>
    <row r="236" spans="1:22" x14ac:dyDescent="0.3">
      <c r="A236">
        <v>79452</v>
      </c>
      <c r="B236">
        <v>454309886</v>
      </c>
      <c r="C236" t="s">
        <v>1415</v>
      </c>
      <c r="D236" s="9">
        <v>269055471</v>
      </c>
      <c r="E236" t="s">
        <v>530</v>
      </c>
      <c r="F236" t="s">
        <v>531</v>
      </c>
      <c r="G236" t="s">
        <v>30</v>
      </c>
      <c r="H236" t="s">
        <v>31</v>
      </c>
      <c r="I236" t="s">
        <v>52</v>
      </c>
      <c r="J236" t="s">
        <v>32</v>
      </c>
      <c r="K236" t="s">
        <v>29</v>
      </c>
      <c r="L236" t="s">
        <v>1416</v>
      </c>
      <c r="M236" t="s">
        <v>1417</v>
      </c>
      <c r="N236" t="s">
        <v>534</v>
      </c>
      <c r="O236" t="s">
        <v>39</v>
      </c>
      <c r="P236" t="s">
        <v>1418</v>
      </c>
      <c r="Q236" t="s">
        <v>162</v>
      </c>
      <c r="R236" s="29">
        <v>46139.478472222225</v>
      </c>
      <c r="S236">
        <v>1.1399999999999999</v>
      </c>
      <c r="T236">
        <v>5564</v>
      </c>
      <c r="U236">
        <v>0</v>
      </c>
      <c r="V236">
        <v>5564</v>
      </c>
    </row>
    <row r="237" spans="1:22" x14ac:dyDescent="0.3">
      <c r="A237">
        <v>79452</v>
      </c>
      <c r="B237">
        <v>454258056</v>
      </c>
      <c r="C237" t="s">
        <v>1419</v>
      </c>
      <c r="D237" s="9">
        <v>268966831</v>
      </c>
      <c r="E237" t="s">
        <v>530</v>
      </c>
      <c r="F237" t="s">
        <v>531</v>
      </c>
      <c r="G237" t="s">
        <v>30</v>
      </c>
      <c r="H237" t="s">
        <v>31</v>
      </c>
      <c r="I237" t="s">
        <v>52</v>
      </c>
      <c r="J237" t="s">
        <v>32</v>
      </c>
      <c r="K237" t="s">
        <v>29</v>
      </c>
      <c r="L237" t="s">
        <v>1420</v>
      </c>
      <c r="M237" t="s">
        <v>352</v>
      </c>
      <c r="N237" t="s">
        <v>534</v>
      </c>
      <c r="O237" t="s">
        <v>39</v>
      </c>
      <c r="P237" t="s">
        <v>969</v>
      </c>
      <c r="Q237" t="s">
        <v>167</v>
      </c>
      <c r="R237" s="29">
        <v>46137.430555555555</v>
      </c>
      <c r="S237">
        <v>2.66</v>
      </c>
      <c r="T237">
        <v>4721</v>
      </c>
      <c r="U237">
        <v>0</v>
      </c>
      <c r="V237">
        <v>4721</v>
      </c>
    </row>
    <row r="238" spans="1:22" x14ac:dyDescent="0.3">
      <c r="A238">
        <v>79452</v>
      </c>
      <c r="B238">
        <v>454289600</v>
      </c>
      <c r="C238" t="s">
        <v>1421</v>
      </c>
      <c r="D238" s="9">
        <v>269055552</v>
      </c>
      <c r="E238" t="s">
        <v>530</v>
      </c>
      <c r="F238" t="s">
        <v>531</v>
      </c>
      <c r="G238" t="s">
        <v>30</v>
      </c>
      <c r="H238" t="s">
        <v>31</v>
      </c>
      <c r="I238" t="s">
        <v>52</v>
      </c>
      <c r="J238" t="s">
        <v>32</v>
      </c>
      <c r="K238" t="s">
        <v>29</v>
      </c>
      <c r="L238" t="s">
        <v>1422</v>
      </c>
      <c r="M238" t="s">
        <v>276</v>
      </c>
      <c r="N238" t="s">
        <v>534</v>
      </c>
      <c r="O238" t="s">
        <v>39</v>
      </c>
      <c r="P238" t="s">
        <v>277</v>
      </c>
      <c r="Q238" t="s">
        <v>167</v>
      </c>
      <c r="R238" s="29">
        <v>46138.915277777778</v>
      </c>
      <c r="S238">
        <v>1.81</v>
      </c>
      <c r="T238">
        <v>4721</v>
      </c>
      <c r="U238">
        <v>0</v>
      </c>
      <c r="V238">
        <v>4721</v>
      </c>
    </row>
    <row r="239" spans="1:22" x14ac:dyDescent="0.3">
      <c r="A239">
        <v>79452</v>
      </c>
      <c r="B239">
        <v>454259852</v>
      </c>
      <c r="C239" t="s">
        <v>1423</v>
      </c>
      <c r="D239" s="9">
        <v>268966791</v>
      </c>
      <c r="E239" t="s">
        <v>530</v>
      </c>
      <c r="F239" t="s">
        <v>531</v>
      </c>
      <c r="G239" t="s">
        <v>30</v>
      </c>
      <c r="H239" t="s">
        <v>31</v>
      </c>
      <c r="I239" t="s">
        <v>52</v>
      </c>
      <c r="J239" t="s">
        <v>32</v>
      </c>
      <c r="K239" t="s">
        <v>29</v>
      </c>
      <c r="L239" t="s">
        <v>1424</v>
      </c>
      <c r="M239" t="s">
        <v>1425</v>
      </c>
      <c r="N239" t="s">
        <v>534</v>
      </c>
      <c r="O239" t="s">
        <v>39</v>
      </c>
      <c r="P239" t="s">
        <v>1426</v>
      </c>
      <c r="Q239" t="s">
        <v>69</v>
      </c>
      <c r="R239" s="29">
        <v>46137.479166666664</v>
      </c>
      <c r="S239">
        <v>1.1399999999999999</v>
      </c>
      <c r="T239">
        <v>5024</v>
      </c>
      <c r="U239">
        <v>0</v>
      </c>
      <c r="V239">
        <v>5024</v>
      </c>
    </row>
    <row r="240" spans="1:22" x14ac:dyDescent="0.3">
      <c r="A240">
        <v>79452</v>
      </c>
      <c r="B240">
        <v>454349053</v>
      </c>
      <c r="C240" t="s">
        <v>1427</v>
      </c>
      <c r="D240" s="9">
        <v>269134338</v>
      </c>
      <c r="E240" t="s">
        <v>530</v>
      </c>
      <c r="F240" t="s">
        <v>531</v>
      </c>
      <c r="G240" t="s">
        <v>30</v>
      </c>
      <c r="H240" t="s">
        <v>31</v>
      </c>
      <c r="I240" t="s">
        <v>52</v>
      </c>
      <c r="J240" t="s">
        <v>32</v>
      </c>
      <c r="K240" t="s">
        <v>29</v>
      </c>
      <c r="L240" t="s">
        <v>1428</v>
      </c>
      <c r="M240" t="s">
        <v>1429</v>
      </c>
      <c r="N240" t="s">
        <v>534</v>
      </c>
      <c r="O240" t="s">
        <v>39</v>
      </c>
      <c r="P240" t="s">
        <v>1430</v>
      </c>
      <c r="Q240" t="s">
        <v>38</v>
      </c>
      <c r="R240" s="29">
        <v>46140.439583333333</v>
      </c>
      <c r="S240">
        <v>1.92</v>
      </c>
      <c r="T240">
        <v>3250</v>
      </c>
      <c r="U240">
        <v>0</v>
      </c>
      <c r="V240">
        <v>3250</v>
      </c>
    </row>
    <row r="241" spans="1:22" x14ac:dyDescent="0.3">
      <c r="A241">
        <v>79452</v>
      </c>
      <c r="B241">
        <v>454354426</v>
      </c>
      <c r="C241" t="s">
        <v>1431</v>
      </c>
      <c r="D241" s="9">
        <v>269134300</v>
      </c>
      <c r="E241" t="s">
        <v>530</v>
      </c>
      <c r="F241" t="s">
        <v>531</v>
      </c>
      <c r="G241" t="s">
        <v>30</v>
      </c>
      <c r="H241" t="s">
        <v>31</v>
      </c>
      <c r="I241" t="s">
        <v>52</v>
      </c>
      <c r="J241" t="s">
        <v>32</v>
      </c>
      <c r="K241" t="s">
        <v>29</v>
      </c>
      <c r="L241" t="s">
        <v>1432</v>
      </c>
      <c r="M241" t="s">
        <v>812</v>
      </c>
      <c r="N241" t="s">
        <v>534</v>
      </c>
      <c r="O241" t="s">
        <v>39</v>
      </c>
      <c r="P241" t="s">
        <v>813</v>
      </c>
      <c r="Q241" t="s">
        <v>33</v>
      </c>
      <c r="R241" s="29">
        <v>46140.493750000001</v>
      </c>
      <c r="S241">
        <v>1</v>
      </c>
      <c r="T241">
        <v>3631</v>
      </c>
      <c r="U241">
        <v>0</v>
      </c>
      <c r="V241">
        <v>3631</v>
      </c>
    </row>
    <row r="242" spans="1:22" x14ac:dyDescent="0.3">
      <c r="A242">
        <v>79452</v>
      </c>
      <c r="B242">
        <v>454336950</v>
      </c>
      <c r="C242" t="s">
        <v>1433</v>
      </c>
      <c r="D242" s="9">
        <v>269134381</v>
      </c>
      <c r="E242" t="s">
        <v>530</v>
      </c>
      <c r="F242" t="s">
        <v>531</v>
      </c>
      <c r="G242" t="s">
        <v>30</v>
      </c>
      <c r="H242" t="s">
        <v>31</v>
      </c>
      <c r="I242" t="s">
        <v>52</v>
      </c>
      <c r="J242" t="s">
        <v>32</v>
      </c>
      <c r="K242" t="s">
        <v>29</v>
      </c>
      <c r="L242" t="s">
        <v>1434</v>
      </c>
      <c r="M242" t="s">
        <v>1435</v>
      </c>
      <c r="N242" t="s">
        <v>534</v>
      </c>
      <c r="O242" t="s">
        <v>39</v>
      </c>
      <c r="P242" t="s">
        <v>1436</v>
      </c>
      <c r="Q242" t="s">
        <v>38</v>
      </c>
      <c r="R242" s="29">
        <v>46139.936805555553</v>
      </c>
      <c r="S242">
        <v>0.64</v>
      </c>
      <c r="T242">
        <v>3250</v>
      </c>
      <c r="U242">
        <v>0</v>
      </c>
      <c r="V242">
        <v>3250</v>
      </c>
    </row>
    <row r="243" spans="1:22" x14ac:dyDescent="0.3">
      <c r="A243">
        <v>79452</v>
      </c>
      <c r="B243">
        <v>454289565</v>
      </c>
      <c r="C243" t="s">
        <v>1437</v>
      </c>
      <c r="D243" s="9">
        <v>269055638</v>
      </c>
      <c r="E243" t="s">
        <v>530</v>
      </c>
      <c r="F243" t="s">
        <v>531</v>
      </c>
      <c r="G243" t="s">
        <v>30</v>
      </c>
      <c r="H243" t="s">
        <v>31</v>
      </c>
      <c r="I243" t="s">
        <v>52</v>
      </c>
      <c r="J243" t="s">
        <v>32</v>
      </c>
      <c r="K243" t="s">
        <v>29</v>
      </c>
      <c r="L243" t="s">
        <v>1438</v>
      </c>
      <c r="M243" t="s">
        <v>664</v>
      </c>
      <c r="N243" t="s">
        <v>534</v>
      </c>
      <c r="O243" t="s">
        <v>39</v>
      </c>
      <c r="P243" t="s">
        <v>665</v>
      </c>
      <c r="Q243" t="s">
        <v>162</v>
      </c>
      <c r="R243" s="29">
        <v>46138.914583333331</v>
      </c>
      <c r="S243">
        <v>2.02</v>
      </c>
      <c r="T243">
        <v>5564</v>
      </c>
      <c r="U243">
        <v>0</v>
      </c>
      <c r="V243">
        <v>5564</v>
      </c>
    </row>
    <row r="244" spans="1:22" x14ac:dyDescent="0.3">
      <c r="A244">
        <v>79452</v>
      </c>
      <c r="B244">
        <v>141750368</v>
      </c>
      <c r="C244" t="s">
        <v>1439</v>
      </c>
      <c r="D244" s="9">
        <v>268701685</v>
      </c>
      <c r="E244" t="s">
        <v>530</v>
      </c>
      <c r="F244" t="s">
        <v>531</v>
      </c>
      <c r="G244" t="s">
        <v>30</v>
      </c>
      <c r="H244" t="s">
        <v>31</v>
      </c>
      <c r="I244" t="s">
        <v>52</v>
      </c>
      <c r="J244" t="s">
        <v>32</v>
      </c>
      <c r="K244" t="s">
        <v>29</v>
      </c>
      <c r="L244" t="s">
        <v>1440</v>
      </c>
      <c r="M244" t="s">
        <v>1441</v>
      </c>
      <c r="N244" t="s">
        <v>534</v>
      </c>
      <c r="O244" t="s">
        <v>39</v>
      </c>
      <c r="P244" t="s">
        <v>1442</v>
      </c>
      <c r="Q244" t="s">
        <v>49</v>
      </c>
      <c r="R244" s="29">
        <v>46133.45416666667</v>
      </c>
      <c r="S244">
        <v>1</v>
      </c>
      <c r="T244">
        <v>5564</v>
      </c>
      <c r="U244">
        <v>0</v>
      </c>
      <c r="V244">
        <v>5564</v>
      </c>
    </row>
    <row r="245" spans="1:22" x14ac:dyDescent="0.3">
      <c r="A245">
        <v>79452</v>
      </c>
      <c r="B245">
        <v>454251243</v>
      </c>
      <c r="C245" t="s">
        <v>1443</v>
      </c>
      <c r="D245" s="9">
        <v>268966850</v>
      </c>
      <c r="E245" t="s">
        <v>530</v>
      </c>
      <c r="F245" t="s">
        <v>531</v>
      </c>
      <c r="G245" t="s">
        <v>30</v>
      </c>
      <c r="H245" t="s">
        <v>31</v>
      </c>
      <c r="I245" t="s">
        <v>52</v>
      </c>
      <c r="J245" t="s">
        <v>32</v>
      </c>
      <c r="K245" t="s">
        <v>29</v>
      </c>
      <c r="L245" t="s">
        <v>1444</v>
      </c>
      <c r="M245" t="s">
        <v>1445</v>
      </c>
      <c r="N245" t="s">
        <v>534</v>
      </c>
      <c r="O245" t="s">
        <v>39</v>
      </c>
      <c r="P245" t="s">
        <v>1446</v>
      </c>
      <c r="Q245" t="s">
        <v>69</v>
      </c>
      <c r="R245" s="29">
        <v>46136.856944444444</v>
      </c>
      <c r="S245">
        <v>1.39</v>
      </c>
      <c r="T245">
        <v>5024</v>
      </c>
      <c r="U245">
        <v>0</v>
      </c>
      <c r="V245">
        <v>5024</v>
      </c>
    </row>
    <row r="246" spans="1:22" x14ac:dyDescent="0.3">
      <c r="A246">
        <v>79452</v>
      </c>
      <c r="B246">
        <v>454289568</v>
      </c>
      <c r="C246" t="s">
        <v>1447</v>
      </c>
      <c r="D246" s="9">
        <v>269055632</v>
      </c>
      <c r="E246" t="s">
        <v>530</v>
      </c>
      <c r="F246" t="s">
        <v>531</v>
      </c>
      <c r="G246" t="s">
        <v>30</v>
      </c>
      <c r="H246" t="s">
        <v>31</v>
      </c>
      <c r="I246" t="s">
        <v>52</v>
      </c>
      <c r="J246" t="s">
        <v>32</v>
      </c>
      <c r="K246" t="s">
        <v>29</v>
      </c>
      <c r="L246" t="s">
        <v>1448</v>
      </c>
      <c r="M246" t="s">
        <v>1449</v>
      </c>
      <c r="N246" t="s">
        <v>534</v>
      </c>
      <c r="O246" t="s">
        <v>39</v>
      </c>
      <c r="P246" t="s">
        <v>1450</v>
      </c>
      <c r="Q246" t="s">
        <v>61</v>
      </c>
      <c r="R246" s="29">
        <v>46138.914583333331</v>
      </c>
      <c r="S246">
        <v>1.1000000000000001</v>
      </c>
      <c r="T246">
        <v>3935</v>
      </c>
      <c r="U246">
        <v>0</v>
      </c>
      <c r="V246">
        <v>3935</v>
      </c>
    </row>
    <row r="247" spans="1:22" x14ac:dyDescent="0.3">
      <c r="A247">
        <v>79452</v>
      </c>
      <c r="B247">
        <v>141415395</v>
      </c>
      <c r="C247" t="s">
        <v>1451</v>
      </c>
      <c r="D247" s="9">
        <v>268035148</v>
      </c>
      <c r="E247" t="s">
        <v>530</v>
      </c>
      <c r="F247" t="s">
        <v>531</v>
      </c>
      <c r="G247" t="s">
        <v>30</v>
      </c>
      <c r="H247" t="s">
        <v>31</v>
      </c>
      <c r="I247" t="s">
        <v>52</v>
      </c>
      <c r="J247" t="s">
        <v>32</v>
      </c>
      <c r="K247" t="s">
        <v>29</v>
      </c>
      <c r="L247" t="s">
        <v>1452</v>
      </c>
      <c r="M247" t="s">
        <v>1453</v>
      </c>
      <c r="N247" t="s">
        <v>534</v>
      </c>
      <c r="O247" t="s">
        <v>39</v>
      </c>
      <c r="P247" t="s">
        <v>1454</v>
      </c>
      <c r="Q247" t="s">
        <v>49</v>
      </c>
      <c r="R247" s="29">
        <v>46121.838888888888</v>
      </c>
      <c r="S247">
        <v>1.23</v>
      </c>
      <c r="T247">
        <v>5564</v>
      </c>
      <c r="U247">
        <v>0</v>
      </c>
      <c r="V247">
        <v>5564</v>
      </c>
    </row>
    <row r="248" spans="1:22" x14ac:dyDescent="0.3">
      <c r="A248">
        <v>79452</v>
      </c>
      <c r="B248">
        <v>454336964</v>
      </c>
      <c r="C248" t="s">
        <v>1455</v>
      </c>
      <c r="D248" s="9">
        <v>269134374</v>
      </c>
      <c r="E248" t="s">
        <v>530</v>
      </c>
      <c r="F248" t="s">
        <v>531</v>
      </c>
      <c r="G248" t="s">
        <v>30</v>
      </c>
      <c r="H248" t="s">
        <v>31</v>
      </c>
      <c r="I248" t="s">
        <v>52</v>
      </c>
      <c r="J248" t="s">
        <v>32</v>
      </c>
      <c r="K248" t="s">
        <v>29</v>
      </c>
      <c r="L248" t="s">
        <v>1456</v>
      </c>
      <c r="M248" t="s">
        <v>1457</v>
      </c>
      <c r="N248" t="s">
        <v>534</v>
      </c>
      <c r="O248" t="s">
        <v>39</v>
      </c>
      <c r="P248" t="s">
        <v>1458</v>
      </c>
      <c r="Q248" t="s">
        <v>41</v>
      </c>
      <c r="R248" s="29">
        <v>46139.936805555553</v>
      </c>
      <c r="S248">
        <v>2.94</v>
      </c>
      <c r="T248">
        <v>3384</v>
      </c>
      <c r="U248">
        <v>0</v>
      </c>
      <c r="V248">
        <v>3384</v>
      </c>
    </row>
    <row r="249" spans="1:22" x14ac:dyDescent="0.3">
      <c r="A249">
        <v>79452</v>
      </c>
      <c r="B249">
        <v>454289595</v>
      </c>
      <c r="C249" t="s">
        <v>1459</v>
      </c>
      <c r="D249" s="9">
        <v>269055538</v>
      </c>
      <c r="E249" t="s">
        <v>530</v>
      </c>
      <c r="F249" t="s">
        <v>531</v>
      </c>
      <c r="G249" t="s">
        <v>30</v>
      </c>
      <c r="H249" t="s">
        <v>31</v>
      </c>
      <c r="I249" t="s">
        <v>52</v>
      </c>
      <c r="J249" t="s">
        <v>32</v>
      </c>
      <c r="K249" t="s">
        <v>29</v>
      </c>
      <c r="L249" t="s">
        <v>1460</v>
      </c>
      <c r="M249" t="s">
        <v>1461</v>
      </c>
      <c r="N249" t="s">
        <v>534</v>
      </c>
      <c r="O249" t="s">
        <v>39</v>
      </c>
      <c r="P249" t="s">
        <v>1462</v>
      </c>
      <c r="Q249" t="s">
        <v>201</v>
      </c>
      <c r="R249" s="29">
        <v>46138.915277777778</v>
      </c>
      <c r="S249">
        <v>1</v>
      </c>
      <c r="T249">
        <v>5564</v>
      </c>
      <c r="U249">
        <v>0</v>
      </c>
      <c r="V249">
        <v>5564</v>
      </c>
    </row>
    <row r="250" spans="1:22" x14ac:dyDescent="0.3">
      <c r="A250">
        <v>79452</v>
      </c>
      <c r="B250">
        <v>454251240</v>
      </c>
      <c r="C250" t="s">
        <v>1463</v>
      </c>
      <c r="D250" s="9">
        <v>268966895</v>
      </c>
      <c r="E250" t="s">
        <v>530</v>
      </c>
      <c r="F250" t="s">
        <v>531</v>
      </c>
      <c r="G250" t="s">
        <v>30</v>
      </c>
      <c r="H250" t="s">
        <v>31</v>
      </c>
      <c r="I250" t="s">
        <v>52</v>
      </c>
      <c r="J250" t="s">
        <v>32</v>
      </c>
      <c r="K250" t="s">
        <v>29</v>
      </c>
      <c r="L250" t="s">
        <v>1464</v>
      </c>
      <c r="M250" t="s">
        <v>1465</v>
      </c>
      <c r="N250" t="s">
        <v>534</v>
      </c>
      <c r="O250" t="s">
        <v>39</v>
      </c>
      <c r="P250" t="s">
        <v>1466</v>
      </c>
      <c r="Q250" t="s">
        <v>69</v>
      </c>
      <c r="R250" s="29">
        <v>46136.856944444444</v>
      </c>
      <c r="S250">
        <v>1.53</v>
      </c>
      <c r="T250">
        <v>5024</v>
      </c>
      <c r="U250">
        <v>0</v>
      </c>
      <c r="V250">
        <v>5024</v>
      </c>
    </row>
    <row r="251" spans="1:22" x14ac:dyDescent="0.3">
      <c r="A251">
        <v>79452</v>
      </c>
      <c r="B251">
        <v>454289597</v>
      </c>
      <c r="C251" t="s">
        <v>1467</v>
      </c>
      <c r="D251" s="9">
        <v>269055572</v>
      </c>
      <c r="E251" t="s">
        <v>530</v>
      </c>
      <c r="F251" t="s">
        <v>531</v>
      </c>
      <c r="G251" t="s">
        <v>30</v>
      </c>
      <c r="H251" t="s">
        <v>31</v>
      </c>
      <c r="I251" t="s">
        <v>52</v>
      </c>
      <c r="J251" t="s">
        <v>32</v>
      </c>
      <c r="K251" t="s">
        <v>29</v>
      </c>
      <c r="L251" t="s">
        <v>1468</v>
      </c>
      <c r="M251" t="s">
        <v>1469</v>
      </c>
      <c r="N251" t="s">
        <v>534</v>
      </c>
      <c r="O251" t="s">
        <v>39</v>
      </c>
      <c r="P251" t="s">
        <v>1470</v>
      </c>
      <c r="Q251" t="s">
        <v>150</v>
      </c>
      <c r="R251" s="29">
        <v>46138.915277777778</v>
      </c>
      <c r="S251">
        <v>2.2000000000000002</v>
      </c>
      <c r="T251">
        <v>3384</v>
      </c>
      <c r="U251">
        <v>0</v>
      </c>
      <c r="V251">
        <v>3384</v>
      </c>
    </row>
    <row r="252" spans="1:22" x14ac:dyDescent="0.3">
      <c r="A252">
        <v>79452</v>
      </c>
      <c r="B252">
        <v>454289557</v>
      </c>
      <c r="C252" t="s">
        <v>1471</v>
      </c>
      <c r="D252" s="9">
        <v>269055706</v>
      </c>
      <c r="E252" t="s">
        <v>530</v>
      </c>
      <c r="F252" t="s">
        <v>531</v>
      </c>
      <c r="G252" t="s">
        <v>30</v>
      </c>
      <c r="H252" t="s">
        <v>31</v>
      </c>
      <c r="I252" t="s">
        <v>52</v>
      </c>
      <c r="J252" t="s">
        <v>32</v>
      </c>
      <c r="K252" t="s">
        <v>29</v>
      </c>
      <c r="L252" t="s">
        <v>1472</v>
      </c>
      <c r="M252" t="s">
        <v>1473</v>
      </c>
      <c r="N252" t="s">
        <v>534</v>
      </c>
      <c r="O252" t="s">
        <v>39</v>
      </c>
      <c r="P252" t="s">
        <v>1474</v>
      </c>
      <c r="Q252" t="s">
        <v>80</v>
      </c>
      <c r="R252" s="29">
        <v>46138.914583333331</v>
      </c>
      <c r="S252">
        <v>0.96</v>
      </c>
      <c r="T252">
        <v>5295</v>
      </c>
      <c r="U252">
        <v>0</v>
      </c>
      <c r="V252">
        <v>5295</v>
      </c>
    </row>
    <row r="253" spans="1:22" x14ac:dyDescent="0.3">
      <c r="A253">
        <v>79452</v>
      </c>
      <c r="B253">
        <v>454258050</v>
      </c>
      <c r="C253" t="s">
        <v>1475</v>
      </c>
      <c r="D253" s="9">
        <v>268966857</v>
      </c>
      <c r="E253" t="s">
        <v>530</v>
      </c>
      <c r="F253" t="s">
        <v>531</v>
      </c>
      <c r="G253" t="s">
        <v>30</v>
      </c>
      <c r="H253" t="s">
        <v>31</v>
      </c>
      <c r="I253" t="s">
        <v>52</v>
      </c>
      <c r="J253" t="s">
        <v>32</v>
      </c>
      <c r="K253" t="s">
        <v>29</v>
      </c>
      <c r="L253" t="s">
        <v>1476</v>
      </c>
      <c r="M253" t="s">
        <v>1477</v>
      </c>
      <c r="N253" t="s">
        <v>534</v>
      </c>
      <c r="O253" t="s">
        <v>39</v>
      </c>
      <c r="P253" t="s">
        <v>1478</v>
      </c>
      <c r="Q253" t="s">
        <v>69</v>
      </c>
      <c r="R253" s="29">
        <v>46137.430555555555</v>
      </c>
      <c r="S253">
        <v>0.83</v>
      </c>
      <c r="T253">
        <v>5024</v>
      </c>
      <c r="U253">
        <v>0</v>
      </c>
      <c r="V253">
        <v>5024</v>
      </c>
    </row>
    <row r="254" spans="1:22" x14ac:dyDescent="0.3">
      <c r="A254">
        <v>79452</v>
      </c>
      <c r="B254">
        <v>454289611</v>
      </c>
      <c r="C254" t="s">
        <v>1479</v>
      </c>
      <c r="D254" s="9">
        <v>269055528</v>
      </c>
      <c r="E254" t="s">
        <v>530</v>
      </c>
      <c r="F254" t="s">
        <v>531</v>
      </c>
      <c r="G254" t="s">
        <v>30</v>
      </c>
      <c r="H254" t="s">
        <v>31</v>
      </c>
      <c r="I254" t="s">
        <v>52</v>
      </c>
      <c r="J254" t="s">
        <v>32</v>
      </c>
      <c r="K254" t="s">
        <v>29</v>
      </c>
      <c r="L254" t="s">
        <v>1480</v>
      </c>
      <c r="M254" t="s">
        <v>698</v>
      </c>
      <c r="N254" t="s">
        <v>534</v>
      </c>
      <c r="O254" t="s">
        <v>39</v>
      </c>
      <c r="P254" t="s">
        <v>699</v>
      </c>
      <c r="Q254" t="s">
        <v>116</v>
      </c>
      <c r="R254" s="29">
        <v>46138.915277777778</v>
      </c>
      <c r="S254">
        <v>1.59</v>
      </c>
      <c r="T254">
        <v>3737</v>
      </c>
      <c r="U254">
        <v>0</v>
      </c>
      <c r="V254">
        <v>3737</v>
      </c>
    </row>
    <row r="255" spans="1:22" x14ac:dyDescent="0.3">
      <c r="A255">
        <v>79452</v>
      </c>
      <c r="B255">
        <v>454309896</v>
      </c>
      <c r="C255" t="s">
        <v>1481</v>
      </c>
      <c r="D255" s="9">
        <v>269055468</v>
      </c>
      <c r="E255" t="s">
        <v>530</v>
      </c>
      <c r="F255" t="s">
        <v>531</v>
      </c>
      <c r="G255" t="s">
        <v>30</v>
      </c>
      <c r="H255" t="s">
        <v>31</v>
      </c>
      <c r="I255" t="s">
        <v>52</v>
      </c>
      <c r="J255" t="s">
        <v>32</v>
      </c>
      <c r="K255" t="s">
        <v>29</v>
      </c>
      <c r="L255" t="s">
        <v>1482</v>
      </c>
      <c r="M255" t="s">
        <v>842</v>
      </c>
      <c r="N255" t="s">
        <v>534</v>
      </c>
      <c r="O255" t="s">
        <v>39</v>
      </c>
      <c r="P255" t="s">
        <v>1483</v>
      </c>
      <c r="Q255" t="s">
        <v>35</v>
      </c>
      <c r="R255" s="29">
        <v>46139.479166666664</v>
      </c>
      <c r="S255">
        <v>1.22</v>
      </c>
      <c r="T255">
        <v>3935</v>
      </c>
      <c r="U255">
        <v>0</v>
      </c>
      <c r="V255">
        <v>3935</v>
      </c>
    </row>
    <row r="256" spans="1:22" x14ac:dyDescent="0.3">
      <c r="A256">
        <v>79452</v>
      </c>
      <c r="B256">
        <v>454289613</v>
      </c>
      <c r="C256" t="s">
        <v>1484</v>
      </c>
      <c r="D256" s="9">
        <v>269055501</v>
      </c>
      <c r="E256" t="s">
        <v>530</v>
      </c>
      <c r="F256" t="s">
        <v>531</v>
      </c>
      <c r="G256" t="s">
        <v>30</v>
      </c>
      <c r="H256" t="s">
        <v>31</v>
      </c>
      <c r="I256" t="s">
        <v>52</v>
      </c>
      <c r="J256" t="s">
        <v>32</v>
      </c>
      <c r="K256" t="s">
        <v>29</v>
      </c>
      <c r="L256" t="s">
        <v>1485</v>
      </c>
      <c r="M256" t="s">
        <v>1486</v>
      </c>
      <c r="N256" t="s">
        <v>534</v>
      </c>
      <c r="O256" t="s">
        <v>39</v>
      </c>
      <c r="P256" t="s">
        <v>1487</v>
      </c>
      <c r="Q256" t="s">
        <v>62</v>
      </c>
      <c r="R256" s="29">
        <v>46138.915277777778</v>
      </c>
      <c r="S256">
        <v>1</v>
      </c>
      <c r="T256">
        <v>3935</v>
      </c>
      <c r="U256">
        <v>0</v>
      </c>
      <c r="V256">
        <v>3935</v>
      </c>
    </row>
    <row r="257" spans="1:22" x14ac:dyDescent="0.3">
      <c r="A257">
        <v>79452</v>
      </c>
      <c r="B257">
        <v>454258064</v>
      </c>
      <c r="C257" t="s">
        <v>1488</v>
      </c>
      <c r="D257" s="9">
        <v>268966828</v>
      </c>
      <c r="E257" t="s">
        <v>530</v>
      </c>
      <c r="F257" t="s">
        <v>531</v>
      </c>
      <c r="G257" t="s">
        <v>30</v>
      </c>
      <c r="H257" t="s">
        <v>31</v>
      </c>
      <c r="I257" t="s">
        <v>52</v>
      </c>
      <c r="J257" t="s">
        <v>32</v>
      </c>
      <c r="K257" t="s">
        <v>29</v>
      </c>
      <c r="L257" t="s">
        <v>1489</v>
      </c>
      <c r="M257" t="s">
        <v>1490</v>
      </c>
      <c r="N257" t="s">
        <v>534</v>
      </c>
      <c r="O257" t="s">
        <v>39</v>
      </c>
      <c r="P257" t="s">
        <v>1491</v>
      </c>
      <c r="Q257" t="s">
        <v>38</v>
      </c>
      <c r="R257" s="29">
        <v>46137.430555555555</v>
      </c>
      <c r="S257">
        <v>1.0900000000000001</v>
      </c>
      <c r="T257">
        <v>3250</v>
      </c>
      <c r="U257">
        <v>0</v>
      </c>
      <c r="V257">
        <v>3250</v>
      </c>
    </row>
    <row r="258" spans="1:22" x14ac:dyDescent="0.3">
      <c r="A258">
        <v>79452</v>
      </c>
      <c r="B258">
        <v>454289585</v>
      </c>
      <c r="C258" t="s">
        <v>1492</v>
      </c>
      <c r="D258" s="9">
        <v>269055618</v>
      </c>
      <c r="E258" t="s">
        <v>530</v>
      </c>
      <c r="F258" t="s">
        <v>531</v>
      </c>
      <c r="G258" t="s">
        <v>30</v>
      </c>
      <c r="H258" t="s">
        <v>31</v>
      </c>
      <c r="I258" t="s">
        <v>52</v>
      </c>
      <c r="J258" t="s">
        <v>32</v>
      </c>
      <c r="K258" t="s">
        <v>29</v>
      </c>
      <c r="L258" t="s">
        <v>1493</v>
      </c>
      <c r="M258" t="s">
        <v>1494</v>
      </c>
      <c r="N258" t="s">
        <v>534</v>
      </c>
      <c r="O258" t="s">
        <v>39</v>
      </c>
      <c r="P258" t="s">
        <v>1495</v>
      </c>
      <c r="Q258" t="s">
        <v>79</v>
      </c>
      <c r="R258" s="29">
        <v>46138.914583333331</v>
      </c>
      <c r="S258">
        <v>1.1200000000000001</v>
      </c>
      <c r="T258">
        <v>3631</v>
      </c>
      <c r="U258">
        <v>0</v>
      </c>
      <c r="V258">
        <v>3631</v>
      </c>
    </row>
    <row r="259" spans="1:22" x14ac:dyDescent="0.3">
      <c r="A259">
        <v>79452</v>
      </c>
      <c r="B259">
        <v>454289561</v>
      </c>
      <c r="C259" t="s">
        <v>1496</v>
      </c>
      <c r="D259" s="9">
        <v>269055664</v>
      </c>
      <c r="E259" t="s">
        <v>530</v>
      </c>
      <c r="F259" t="s">
        <v>531</v>
      </c>
      <c r="G259" t="s">
        <v>30</v>
      </c>
      <c r="H259" t="s">
        <v>31</v>
      </c>
      <c r="I259" t="s">
        <v>52</v>
      </c>
      <c r="J259" t="s">
        <v>32</v>
      </c>
      <c r="K259" t="s">
        <v>29</v>
      </c>
      <c r="L259" t="s">
        <v>1497</v>
      </c>
      <c r="M259" t="s">
        <v>1498</v>
      </c>
      <c r="N259" t="s">
        <v>534</v>
      </c>
      <c r="O259" t="s">
        <v>39</v>
      </c>
      <c r="P259" t="s">
        <v>1499</v>
      </c>
      <c r="Q259" t="s">
        <v>34</v>
      </c>
      <c r="R259" s="29">
        <v>46138.914583333331</v>
      </c>
      <c r="S259">
        <v>1.5</v>
      </c>
      <c r="T259">
        <v>3653</v>
      </c>
      <c r="U259">
        <v>0</v>
      </c>
      <c r="V259">
        <v>3653</v>
      </c>
    </row>
    <row r="260" spans="1:22" x14ac:dyDescent="0.3">
      <c r="A260">
        <v>79452</v>
      </c>
      <c r="B260">
        <v>454289593</v>
      </c>
      <c r="C260" t="s">
        <v>1500</v>
      </c>
      <c r="D260" s="9">
        <v>269055593</v>
      </c>
      <c r="E260" t="s">
        <v>530</v>
      </c>
      <c r="F260" t="s">
        <v>531</v>
      </c>
      <c r="G260" t="s">
        <v>30</v>
      </c>
      <c r="H260" t="s">
        <v>31</v>
      </c>
      <c r="I260" t="s">
        <v>52</v>
      </c>
      <c r="J260" t="s">
        <v>32</v>
      </c>
      <c r="K260" t="s">
        <v>29</v>
      </c>
      <c r="L260" t="s">
        <v>1501</v>
      </c>
      <c r="M260" t="s">
        <v>501</v>
      </c>
      <c r="N260" t="s">
        <v>534</v>
      </c>
      <c r="O260" t="s">
        <v>39</v>
      </c>
      <c r="P260" t="s">
        <v>1502</v>
      </c>
      <c r="Q260" t="s">
        <v>42</v>
      </c>
      <c r="R260" s="29">
        <v>46138.915277777778</v>
      </c>
      <c r="S260">
        <v>1.5</v>
      </c>
      <c r="T260">
        <v>3250</v>
      </c>
      <c r="U260">
        <v>0</v>
      </c>
      <c r="V260">
        <v>3250</v>
      </c>
    </row>
    <row r="261" spans="1:22" x14ac:dyDescent="0.3">
      <c r="A261">
        <v>79452</v>
      </c>
      <c r="B261">
        <v>454289560</v>
      </c>
      <c r="C261" t="s">
        <v>1503</v>
      </c>
      <c r="D261" s="9">
        <v>269055679</v>
      </c>
      <c r="E261" t="s">
        <v>530</v>
      </c>
      <c r="F261" t="s">
        <v>531</v>
      </c>
      <c r="G261" t="s">
        <v>30</v>
      </c>
      <c r="H261" t="s">
        <v>31</v>
      </c>
      <c r="I261" t="s">
        <v>52</v>
      </c>
      <c r="J261" t="s">
        <v>32</v>
      </c>
      <c r="K261" t="s">
        <v>29</v>
      </c>
      <c r="L261" t="s">
        <v>1504</v>
      </c>
      <c r="M261" t="s">
        <v>351</v>
      </c>
      <c r="N261" t="s">
        <v>534</v>
      </c>
      <c r="O261" t="s">
        <v>39</v>
      </c>
      <c r="P261" t="s">
        <v>1505</v>
      </c>
      <c r="Q261" t="s">
        <v>48</v>
      </c>
      <c r="R261" s="29">
        <v>46138.914583333331</v>
      </c>
      <c r="S261">
        <v>1</v>
      </c>
      <c r="T261">
        <v>3250</v>
      </c>
      <c r="U261">
        <v>0</v>
      </c>
      <c r="V261">
        <v>3250</v>
      </c>
    </row>
    <row r="262" spans="1:22" x14ac:dyDescent="0.3">
      <c r="A262">
        <v>79452</v>
      </c>
      <c r="B262">
        <v>454258066</v>
      </c>
      <c r="C262" t="s">
        <v>1506</v>
      </c>
      <c r="D262" s="9">
        <v>268966820</v>
      </c>
      <c r="E262" t="s">
        <v>530</v>
      </c>
      <c r="F262" t="s">
        <v>531</v>
      </c>
      <c r="G262" t="s">
        <v>30</v>
      </c>
      <c r="H262" t="s">
        <v>31</v>
      </c>
      <c r="I262" t="s">
        <v>52</v>
      </c>
      <c r="J262" t="s">
        <v>32</v>
      </c>
      <c r="K262" t="s">
        <v>29</v>
      </c>
      <c r="L262" t="s">
        <v>1507</v>
      </c>
      <c r="M262" t="s">
        <v>1508</v>
      </c>
      <c r="N262" t="s">
        <v>534</v>
      </c>
      <c r="O262" t="s">
        <v>39</v>
      </c>
      <c r="P262" t="s">
        <v>1509</v>
      </c>
      <c r="Q262" t="s">
        <v>210</v>
      </c>
      <c r="R262" s="29">
        <v>46137.430555555555</v>
      </c>
      <c r="S262">
        <v>0.76</v>
      </c>
      <c r="T262">
        <v>3250</v>
      </c>
      <c r="U262">
        <v>0</v>
      </c>
      <c r="V262">
        <v>3250</v>
      </c>
    </row>
    <row r="263" spans="1:22" x14ac:dyDescent="0.3">
      <c r="A263">
        <v>79452</v>
      </c>
      <c r="B263">
        <v>141820648</v>
      </c>
      <c r="C263" t="s">
        <v>1510</v>
      </c>
      <c r="D263" s="9">
        <v>268840111</v>
      </c>
      <c r="E263" t="s">
        <v>530</v>
      </c>
      <c r="F263" t="s">
        <v>531</v>
      </c>
      <c r="G263" t="s">
        <v>30</v>
      </c>
      <c r="H263" t="s">
        <v>31</v>
      </c>
      <c r="I263" t="s">
        <v>52</v>
      </c>
      <c r="J263" t="s">
        <v>32</v>
      </c>
      <c r="K263" t="s">
        <v>29</v>
      </c>
      <c r="L263" t="s">
        <v>1511</v>
      </c>
      <c r="M263" t="s">
        <v>1512</v>
      </c>
      <c r="N263" t="s">
        <v>534</v>
      </c>
      <c r="O263" t="s">
        <v>39</v>
      </c>
      <c r="P263" t="s">
        <v>1513</v>
      </c>
      <c r="Q263" t="s">
        <v>209</v>
      </c>
      <c r="R263" s="29">
        <v>46135.436805555553</v>
      </c>
      <c r="S263">
        <v>1.78</v>
      </c>
      <c r="T263">
        <v>4028</v>
      </c>
      <c r="U263">
        <v>0</v>
      </c>
      <c r="V263">
        <v>4028</v>
      </c>
    </row>
    <row r="264" spans="1:22" x14ac:dyDescent="0.3">
      <c r="A264">
        <v>79452</v>
      </c>
      <c r="B264">
        <v>454219725</v>
      </c>
      <c r="C264" t="s">
        <v>1514</v>
      </c>
      <c r="D264" s="9">
        <v>268913079</v>
      </c>
      <c r="E264" t="s">
        <v>530</v>
      </c>
      <c r="F264" t="s">
        <v>531</v>
      </c>
      <c r="G264" t="s">
        <v>30</v>
      </c>
      <c r="H264" t="s">
        <v>31</v>
      </c>
      <c r="I264" t="s">
        <v>52</v>
      </c>
      <c r="J264" t="s">
        <v>32</v>
      </c>
      <c r="K264" t="s">
        <v>29</v>
      </c>
      <c r="L264" t="s">
        <v>1515</v>
      </c>
      <c r="M264" t="s">
        <v>1516</v>
      </c>
      <c r="N264" t="s">
        <v>534</v>
      </c>
      <c r="O264" t="s">
        <v>39</v>
      </c>
      <c r="P264" t="s">
        <v>1517</v>
      </c>
      <c r="Q264" t="s">
        <v>71</v>
      </c>
      <c r="R264" s="29">
        <v>46135.874305555553</v>
      </c>
      <c r="S264">
        <v>1</v>
      </c>
      <c r="T264">
        <v>3631</v>
      </c>
      <c r="U264">
        <v>0</v>
      </c>
      <c r="V264">
        <v>3631</v>
      </c>
    </row>
    <row r="265" spans="1:22" x14ac:dyDescent="0.3">
      <c r="A265">
        <v>79452</v>
      </c>
      <c r="B265">
        <v>455396105</v>
      </c>
      <c r="C265" t="s">
        <v>1518</v>
      </c>
      <c r="D265" s="9" t="s">
        <v>1519</v>
      </c>
      <c r="E265" t="s">
        <v>530</v>
      </c>
      <c r="F265" t="s">
        <v>531</v>
      </c>
      <c r="G265" t="s">
        <v>104</v>
      </c>
      <c r="H265" t="s">
        <v>105</v>
      </c>
      <c r="I265" t="s">
        <v>52</v>
      </c>
      <c r="J265" t="s">
        <v>106</v>
      </c>
      <c r="K265" t="s">
        <v>29</v>
      </c>
      <c r="L265" t="s">
        <v>1520</v>
      </c>
      <c r="M265" t="s">
        <v>1521</v>
      </c>
      <c r="N265" t="s">
        <v>534</v>
      </c>
      <c r="O265" t="s">
        <v>39</v>
      </c>
      <c r="P265" t="s">
        <v>1522</v>
      </c>
      <c r="Q265" t="s">
        <v>83</v>
      </c>
      <c r="R265" s="29" t="s">
        <v>1523</v>
      </c>
      <c r="S265">
        <v>0.28999999999999998</v>
      </c>
      <c r="T265">
        <v>5641</v>
      </c>
      <c r="U265">
        <v>149.94999999999999</v>
      </c>
      <c r="V265">
        <v>5790.95</v>
      </c>
    </row>
    <row r="266" spans="1:22" x14ac:dyDescent="0.3">
      <c r="A266">
        <v>79452</v>
      </c>
      <c r="B266">
        <v>455275129</v>
      </c>
      <c r="C266" t="s">
        <v>1524</v>
      </c>
      <c r="D266" s="9" t="s">
        <v>1525</v>
      </c>
      <c r="E266" t="s">
        <v>530</v>
      </c>
      <c r="F266" t="s">
        <v>531</v>
      </c>
      <c r="G266" t="s">
        <v>104</v>
      </c>
      <c r="H266" t="s">
        <v>105</v>
      </c>
      <c r="I266" t="s">
        <v>52</v>
      </c>
      <c r="J266" t="s">
        <v>106</v>
      </c>
      <c r="K266" t="s">
        <v>29</v>
      </c>
      <c r="L266" t="s">
        <v>1526</v>
      </c>
      <c r="M266" t="s">
        <v>1527</v>
      </c>
      <c r="N266" t="s">
        <v>534</v>
      </c>
      <c r="O266" t="s">
        <v>39</v>
      </c>
      <c r="P266" t="s">
        <v>1528</v>
      </c>
      <c r="Q266" t="s">
        <v>83</v>
      </c>
      <c r="R266" s="29" t="s">
        <v>1529</v>
      </c>
      <c r="S266">
        <v>0.59</v>
      </c>
      <c r="T266">
        <v>5641</v>
      </c>
      <c r="U266">
        <v>299.89999999999998</v>
      </c>
      <c r="V266">
        <v>5940.9</v>
      </c>
    </row>
    <row r="267" spans="1:22" x14ac:dyDescent="0.3">
      <c r="A267">
        <v>79452</v>
      </c>
      <c r="B267">
        <v>455229155</v>
      </c>
      <c r="C267" t="s">
        <v>1530</v>
      </c>
      <c r="D267" s="9" t="s">
        <v>1531</v>
      </c>
      <c r="E267" t="s">
        <v>530</v>
      </c>
      <c r="F267" t="s">
        <v>531</v>
      </c>
      <c r="G267" t="s">
        <v>104</v>
      </c>
      <c r="H267" t="s">
        <v>105</v>
      </c>
      <c r="I267" t="s">
        <v>52</v>
      </c>
      <c r="J267" t="s">
        <v>106</v>
      </c>
      <c r="K267" t="s">
        <v>29</v>
      </c>
      <c r="L267" t="s">
        <v>1532</v>
      </c>
      <c r="M267" t="s">
        <v>1533</v>
      </c>
      <c r="N267" t="s">
        <v>534</v>
      </c>
      <c r="O267" t="s">
        <v>39</v>
      </c>
      <c r="P267" t="s">
        <v>1534</v>
      </c>
      <c r="Q267" t="s">
        <v>68</v>
      </c>
      <c r="R267" s="29" t="s">
        <v>291</v>
      </c>
      <c r="S267">
        <v>0.47</v>
      </c>
      <c r="T267">
        <v>3963</v>
      </c>
      <c r="U267">
        <v>299.89999999999998</v>
      </c>
      <c r="V267">
        <v>4262.8999999999996</v>
      </c>
    </row>
    <row r="268" spans="1:22" x14ac:dyDescent="0.3">
      <c r="A268">
        <v>79452</v>
      </c>
      <c r="B268">
        <v>454835747</v>
      </c>
      <c r="C268" t="s">
        <v>1535</v>
      </c>
      <c r="D268" s="9" t="s">
        <v>1536</v>
      </c>
      <c r="E268" t="s">
        <v>530</v>
      </c>
      <c r="F268" t="s">
        <v>531</v>
      </c>
      <c r="G268" t="s">
        <v>104</v>
      </c>
      <c r="H268" t="s">
        <v>105</v>
      </c>
      <c r="I268" t="s">
        <v>52</v>
      </c>
      <c r="J268" t="s">
        <v>106</v>
      </c>
      <c r="K268" t="s">
        <v>29</v>
      </c>
      <c r="L268" t="s">
        <v>1537</v>
      </c>
      <c r="M268" t="s">
        <v>511</v>
      </c>
      <c r="N268" t="s">
        <v>534</v>
      </c>
      <c r="O268" t="s">
        <v>39</v>
      </c>
      <c r="P268" t="s">
        <v>1538</v>
      </c>
      <c r="Q268" t="s">
        <v>89</v>
      </c>
      <c r="R268" s="29" t="s">
        <v>132</v>
      </c>
      <c r="S268">
        <v>1.63</v>
      </c>
      <c r="T268">
        <v>5027</v>
      </c>
      <c r="U268">
        <v>899.7</v>
      </c>
      <c r="V268">
        <v>5926.7</v>
      </c>
    </row>
    <row r="269" spans="1:22" x14ac:dyDescent="0.3">
      <c r="A269">
        <v>79452</v>
      </c>
      <c r="B269">
        <v>454736890</v>
      </c>
      <c r="C269" t="s">
        <v>1539</v>
      </c>
      <c r="D269" s="9" t="s">
        <v>1540</v>
      </c>
      <c r="E269" t="s">
        <v>530</v>
      </c>
      <c r="F269" t="s">
        <v>531</v>
      </c>
      <c r="G269" t="s">
        <v>104</v>
      </c>
      <c r="H269" t="s">
        <v>105</v>
      </c>
      <c r="I269" t="s">
        <v>52</v>
      </c>
      <c r="J269" t="s">
        <v>106</v>
      </c>
      <c r="K269" t="s">
        <v>29</v>
      </c>
      <c r="L269" t="s">
        <v>1541</v>
      </c>
      <c r="M269" t="s">
        <v>1542</v>
      </c>
      <c r="N269" t="s">
        <v>534</v>
      </c>
      <c r="O269" t="s">
        <v>39</v>
      </c>
      <c r="P269" t="s">
        <v>1543</v>
      </c>
      <c r="Q269" t="s">
        <v>89</v>
      </c>
      <c r="R269" s="29" t="s">
        <v>508</v>
      </c>
      <c r="S269">
        <v>0.89</v>
      </c>
      <c r="T269">
        <v>4755</v>
      </c>
      <c r="U269">
        <v>299.95</v>
      </c>
      <c r="V269">
        <v>5054.95</v>
      </c>
    </row>
    <row r="270" spans="1:22" x14ac:dyDescent="0.3">
      <c r="A270">
        <v>79452</v>
      </c>
      <c r="B270">
        <v>454639407</v>
      </c>
      <c r="C270" t="s">
        <v>1544</v>
      </c>
      <c r="D270" s="9" t="s">
        <v>1545</v>
      </c>
      <c r="E270" t="s">
        <v>530</v>
      </c>
      <c r="F270" t="s">
        <v>531</v>
      </c>
      <c r="G270" t="s">
        <v>104</v>
      </c>
      <c r="H270" t="s">
        <v>105</v>
      </c>
      <c r="I270" t="s">
        <v>52</v>
      </c>
      <c r="J270" t="s">
        <v>106</v>
      </c>
      <c r="K270" t="s">
        <v>29</v>
      </c>
      <c r="L270" t="s">
        <v>1546</v>
      </c>
      <c r="M270" t="s">
        <v>1547</v>
      </c>
      <c r="N270" t="s">
        <v>534</v>
      </c>
      <c r="O270" t="s">
        <v>39</v>
      </c>
      <c r="P270" t="s">
        <v>1548</v>
      </c>
      <c r="Q270" t="s">
        <v>217</v>
      </c>
      <c r="R270" s="29" t="s">
        <v>134</v>
      </c>
      <c r="S270">
        <v>0.65</v>
      </c>
      <c r="T270">
        <v>7085</v>
      </c>
      <c r="U270">
        <v>149.94999999999999</v>
      </c>
      <c r="V270">
        <v>7234.95</v>
      </c>
    </row>
    <row r="271" spans="1:22" x14ac:dyDescent="0.3">
      <c r="A271">
        <v>79452</v>
      </c>
      <c r="B271">
        <v>454615229</v>
      </c>
      <c r="C271" t="s">
        <v>1549</v>
      </c>
      <c r="D271" s="9" t="s">
        <v>1550</v>
      </c>
      <c r="E271" t="s">
        <v>530</v>
      </c>
      <c r="F271" t="s">
        <v>531</v>
      </c>
      <c r="G271" t="s">
        <v>104</v>
      </c>
      <c r="H271" t="s">
        <v>105</v>
      </c>
      <c r="I271" t="s">
        <v>52</v>
      </c>
      <c r="J271" t="s">
        <v>106</v>
      </c>
      <c r="K271" t="s">
        <v>29</v>
      </c>
      <c r="L271" t="s">
        <v>1551</v>
      </c>
      <c r="M271" t="s">
        <v>472</v>
      </c>
      <c r="N271" t="s">
        <v>534</v>
      </c>
      <c r="O271" t="s">
        <v>39</v>
      </c>
      <c r="P271" t="s">
        <v>1552</v>
      </c>
      <c r="Q271" t="s">
        <v>169</v>
      </c>
      <c r="R271" s="29" t="s">
        <v>444</v>
      </c>
      <c r="S271">
        <v>0.52</v>
      </c>
      <c r="T271">
        <v>6770</v>
      </c>
      <c r="U271">
        <v>299.89999999999998</v>
      </c>
      <c r="V271">
        <v>7069.9</v>
      </c>
    </row>
    <row r="272" spans="1:22" x14ac:dyDescent="0.3">
      <c r="A272">
        <v>79452</v>
      </c>
      <c r="B272">
        <v>454639445</v>
      </c>
      <c r="C272" t="s">
        <v>1553</v>
      </c>
      <c r="D272" s="9" t="s">
        <v>1554</v>
      </c>
      <c r="E272" t="s">
        <v>530</v>
      </c>
      <c r="F272" t="s">
        <v>531</v>
      </c>
      <c r="G272" t="s">
        <v>104</v>
      </c>
      <c r="H272" t="s">
        <v>105</v>
      </c>
      <c r="I272" t="s">
        <v>52</v>
      </c>
      <c r="J272" t="s">
        <v>106</v>
      </c>
      <c r="K272" t="s">
        <v>29</v>
      </c>
      <c r="L272" t="s">
        <v>1555</v>
      </c>
      <c r="M272" t="s">
        <v>1556</v>
      </c>
      <c r="N272" t="s">
        <v>534</v>
      </c>
      <c r="O272" t="s">
        <v>39</v>
      </c>
      <c r="P272" t="s">
        <v>1557</v>
      </c>
      <c r="Q272" t="s">
        <v>91</v>
      </c>
      <c r="R272" s="29" t="s">
        <v>134</v>
      </c>
      <c r="S272">
        <v>0.75</v>
      </c>
      <c r="T272">
        <v>6997</v>
      </c>
      <c r="U272">
        <v>449.85</v>
      </c>
      <c r="V272">
        <v>7446.85</v>
      </c>
    </row>
    <row r="273" spans="1:22" x14ac:dyDescent="0.3">
      <c r="A273">
        <v>79452</v>
      </c>
      <c r="B273">
        <v>454466195</v>
      </c>
      <c r="C273" t="s">
        <v>1558</v>
      </c>
      <c r="D273" s="9" t="s">
        <v>1559</v>
      </c>
      <c r="E273" t="s">
        <v>530</v>
      </c>
      <c r="F273" t="s">
        <v>531</v>
      </c>
      <c r="G273" t="s">
        <v>104</v>
      </c>
      <c r="H273" t="s">
        <v>105</v>
      </c>
      <c r="I273" t="s">
        <v>52</v>
      </c>
      <c r="J273" t="s">
        <v>106</v>
      </c>
      <c r="K273" t="s">
        <v>29</v>
      </c>
      <c r="L273" t="s">
        <v>1560</v>
      </c>
      <c r="M273" t="s">
        <v>1561</v>
      </c>
      <c r="N273" t="s">
        <v>534</v>
      </c>
      <c r="O273" t="s">
        <v>39</v>
      </c>
      <c r="P273" t="s">
        <v>1562</v>
      </c>
      <c r="Q273" t="s">
        <v>68</v>
      </c>
      <c r="R273" s="29" t="s">
        <v>1563</v>
      </c>
      <c r="S273">
        <v>0.18</v>
      </c>
      <c r="T273">
        <v>3963</v>
      </c>
      <c r="U273">
        <v>149.94999999999999</v>
      </c>
      <c r="V273">
        <v>4112.95</v>
      </c>
    </row>
    <row r="274" spans="1:22" x14ac:dyDescent="0.3">
      <c r="A274">
        <v>79452</v>
      </c>
      <c r="B274">
        <v>454510731</v>
      </c>
      <c r="C274" t="s">
        <v>1564</v>
      </c>
      <c r="D274" s="9" t="s">
        <v>1565</v>
      </c>
      <c r="E274" t="s">
        <v>530</v>
      </c>
      <c r="F274" t="s">
        <v>531</v>
      </c>
      <c r="G274" t="s">
        <v>104</v>
      </c>
      <c r="H274" t="s">
        <v>105</v>
      </c>
      <c r="I274" t="s">
        <v>52</v>
      </c>
      <c r="J274" t="s">
        <v>106</v>
      </c>
      <c r="K274" t="s">
        <v>29</v>
      </c>
      <c r="L274" t="s">
        <v>1566</v>
      </c>
      <c r="M274" t="s">
        <v>1567</v>
      </c>
      <c r="N274" t="s">
        <v>534</v>
      </c>
      <c r="O274" t="s">
        <v>39</v>
      </c>
      <c r="P274" t="s">
        <v>1568</v>
      </c>
      <c r="Q274" t="s">
        <v>223</v>
      </c>
      <c r="R274" s="29" t="s">
        <v>1569</v>
      </c>
      <c r="S274">
        <v>0.34</v>
      </c>
      <c r="T274">
        <v>10439</v>
      </c>
      <c r="U274">
        <v>249.95</v>
      </c>
      <c r="V274">
        <v>10688.95</v>
      </c>
    </row>
    <row r="275" spans="1:22" x14ac:dyDescent="0.3">
      <c r="A275">
        <v>79452</v>
      </c>
      <c r="B275">
        <v>454589558</v>
      </c>
      <c r="C275" t="s">
        <v>1570</v>
      </c>
      <c r="D275" s="9" t="s">
        <v>1571</v>
      </c>
      <c r="E275" t="s">
        <v>530</v>
      </c>
      <c r="F275" t="s">
        <v>531</v>
      </c>
      <c r="G275" t="s">
        <v>104</v>
      </c>
      <c r="H275" t="s">
        <v>105</v>
      </c>
      <c r="I275" t="s">
        <v>52</v>
      </c>
      <c r="J275" t="s">
        <v>106</v>
      </c>
      <c r="K275" t="s">
        <v>29</v>
      </c>
      <c r="L275" t="s">
        <v>1572</v>
      </c>
      <c r="M275" t="s">
        <v>1573</v>
      </c>
      <c r="N275" t="s">
        <v>534</v>
      </c>
      <c r="O275" t="s">
        <v>39</v>
      </c>
      <c r="P275" t="s">
        <v>1574</v>
      </c>
      <c r="Q275" t="s">
        <v>85</v>
      </c>
      <c r="R275" s="29" t="s">
        <v>485</v>
      </c>
      <c r="S275">
        <v>0.49</v>
      </c>
      <c r="T275">
        <v>5641</v>
      </c>
      <c r="U275">
        <v>299.89999999999998</v>
      </c>
      <c r="V275">
        <v>5940.9</v>
      </c>
    </row>
    <row r="276" spans="1:22" x14ac:dyDescent="0.3">
      <c r="A276">
        <v>79452</v>
      </c>
      <c r="B276">
        <v>454510723</v>
      </c>
      <c r="C276" t="s">
        <v>1575</v>
      </c>
      <c r="D276" s="9" t="s">
        <v>1576</v>
      </c>
      <c r="E276" t="s">
        <v>530</v>
      </c>
      <c r="F276" t="s">
        <v>531</v>
      </c>
      <c r="G276" t="s">
        <v>104</v>
      </c>
      <c r="H276" t="s">
        <v>105</v>
      </c>
      <c r="I276" t="s">
        <v>52</v>
      </c>
      <c r="J276" t="s">
        <v>106</v>
      </c>
      <c r="K276" t="s">
        <v>29</v>
      </c>
      <c r="L276" t="s">
        <v>1577</v>
      </c>
      <c r="M276" t="s">
        <v>1578</v>
      </c>
      <c r="N276" t="s">
        <v>534</v>
      </c>
      <c r="O276" t="s">
        <v>39</v>
      </c>
      <c r="P276" t="s">
        <v>1579</v>
      </c>
      <c r="Q276" t="s">
        <v>91</v>
      </c>
      <c r="R276" s="29" t="s">
        <v>1569</v>
      </c>
      <c r="S276">
        <v>0.82</v>
      </c>
      <c r="T276">
        <v>6997</v>
      </c>
      <c r="U276">
        <v>299.89999999999998</v>
      </c>
      <c r="V276">
        <v>7296.9</v>
      </c>
    </row>
    <row r="277" spans="1:22" x14ac:dyDescent="0.3">
      <c r="A277">
        <v>79452</v>
      </c>
      <c r="B277">
        <v>454289586</v>
      </c>
      <c r="C277" t="s">
        <v>1580</v>
      </c>
      <c r="D277" s="9" t="s">
        <v>1581</v>
      </c>
      <c r="E277" t="s">
        <v>530</v>
      </c>
      <c r="F277" t="s">
        <v>531</v>
      </c>
      <c r="G277" t="s">
        <v>110</v>
      </c>
      <c r="H277" t="s">
        <v>111</v>
      </c>
      <c r="I277" t="s">
        <v>52</v>
      </c>
      <c r="J277" t="s">
        <v>112</v>
      </c>
      <c r="K277" t="s">
        <v>29</v>
      </c>
      <c r="L277" t="s">
        <v>113</v>
      </c>
      <c r="M277" t="s">
        <v>1582</v>
      </c>
      <c r="N277" t="s">
        <v>534</v>
      </c>
      <c r="O277" t="s">
        <v>39</v>
      </c>
      <c r="P277" t="s">
        <v>1583</v>
      </c>
      <c r="Q277" t="s">
        <v>155</v>
      </c>
      <c r="R277" s="29" t="s">
        <v>1584</v>
      </c>
      <c r="S277">
        <v>1</v>
      </c>
      <c r="T277">
        <v>4072</v>
      </c>
      <c r="U277">
        <v>0</v>
      </c>
      <c r="V277">
        <v>4072</v>
      </c>
    </row>
    <row r="278" spans="1:22" x14ac:dyDescent="0.3">
      <c r="A278">
        <v>79452</v>
      </c>
      <c r="B278">
        <v>454303906</v>
      </c>
      <c r="C278" t="s">
        <v>1585</v>
      </c>
      <c r="D278" s="9" t="s">
        <v>1586</v>
      </c>
      <c r="E278" t="s">
        <v>530</v>
      </c>
      <c r="F278" t="s">
        <v>531</v>
      </c>
      <c r="G278" t="s">
        <v>110</v>
      </c>
      <c r="H278" t="s">
        <v>111</v>
      </c>
      <c r="I278" t="s">
        <v>52</v>
      </c>
      <c r="J278" t="s">
        <v>112</v>
      </c>
      <c r="K278" t="s">
        <v>29</v>
      </c>
      <c r="L278" t="s">
        <v>113</v>
      </c>
      <c r="M278" t="s">
        <v>1587</v>
      </c>
      <c r="N278" t="s">
        <v>534</v>
      </c>
      <c r="O278" t="s">
        <v>39</v>
      </c>
      <c r="P278" t="s">
        <v>1588</v>
      </c>
      <c r="Q278" t="s">
        <v>157</v>
      </c>
      <c r="R278" s="29" t="s">
        <v>1589</v>
      </c>
      <c r="S278">
        <v>2.29</v>
      </c>
      <c r="T278">
        <v>8746</v>
      </c>
      <c r="U278">
        <v>0</v>
      </c>
      <c r="V278">
        <v>8746</v>
      </c>
    </row>
    <row r="279" spans="1:22" x14ac:dyDescent="0.3">
      <c r="A279">
        <v>79452</v>
      </c>
      <c r="B279">
        <v>454289571</v>
      </c>
      <c r="C279" t="s">
        <v>1590</v>
      </c>
      <c r="D279" s="9" t="s">
        <v>1591</v>
      </c>
      <c r="E279" t="s">
        <v>530</v>
      </c>
      <c r="F279" t="s">
        <v>531</v>
      </c>
      <c r="G279" t="s">
        <v>110</v>
      </c>
      <c r="H279" t="s">
        <v>111</v>
      </c>
      <c r="I279" t="s">
        <v>52</v>
      </c>
      <c r="J279" t="s">
        <v>112</v>
      </c>
      <c r="K279" t="s">
        <v>29</v>
      </c>
      <c r="L279" t="s">
        <v>113</v>
      </c>
      <c r="M279" t="s">
        <v>1592</v>
      </c>
      <c r="N279" t="s">
        <v>534</v>
      </c>
      <c r="O279" t="s">
        <v>39</v>
      </c>
      <c r="P279" t="s">
        <v>1593</v>
      </c>
      <c r="Q279" t="s">
        <v>64</v>
      </c>
      <c r="R279" s="29" t="s">
        <v>1584</v>
      </c>
      <c r="S279">
        <v>1.31</v>
      </c>
      <c r="T279">
        <v>6232</v>
      </c>
      <c r="U279">
        <v>0</v>
      </c>
      <c r="V279">
        <v>6232</v>
      </c>
    </row>
    <row r="280" spans="1:22" x14ac:dyDescent="0.3">
      <c r="A280">
        <v>79452</v>
      </c>
      <c r="B280">
        <v>454774772</v>
      </c>
      <c r="C280" t="s">
        <v>1594</v>
      </c>
      <c r="D280" s="9" t="s">
        <v>1595</v>
      </c>
      <c r="E280" t="s">
        <v>530</v>
      </c>
      <c r="F280" t="s">
        <v>531</v>
      </c>
      <c r="G280" t="s">
        <v>110</v>
      </c>
      <c r="H280" t="s">
        <v>111</v>
      </c>
      <c r="I280" t="s">
        <v>52</v>
      </c>
      <c r="J280" t="s">
        <v>112</v>
      </c>
      <c r="K280" t="s">
        <v>29</v>
      </c>
      <c r="L280" t="s">
        <v>113</v>
      </c>
      <c r="M280" t="s">
        <v>1596</v>
      </c>
      <c r="N280" t="s">
        <v>534</v>
      </c>
      <c r="O280" t="s">
        <v>39</v>
      </c>
      <c r="P280" t="s">
        <v>1597</v>
      </c>
      <c r="Q280" t="s">
        <v>64</v>
      </c>
      <c r="R280" s="29" t="s">
        <v>1598</v>
      </c>
      <c r="S280">
        <v>1.51</v>
      </c>
      <c r="T280">
        <v>7072</v>
      </c>
      <c r="U280">
        <v>0</v>
      </c>
      <c r="V280">
        <v>7072</v>
      </c>
    </row>
    <row r="281" spans="1:22" x14ac:dyDescent="0.3">
      <c r="A281">
        <v>79452</v>
      </c>
      <c r="B281">
        <v>454774774</v>
      </c>
      <c r="C281" t="s">
        <v>1599</v>
      </c>
      <c r="D281" s="9" t="s">
        <v>1600</v>
      </c>
      <c r="E281" t="s">
        <v>530</v>
      </c>
      <c r="F281" t="s">
        <v>531</v>
      </c>
      <c r="G281" t="s">
        <v>110</v>
      </c>
      <c r="H281" t="s">
        <v>111</v>
      </c>
      <c r="I281" t="s">
        <v>52</v>
      </c>
      <c r="J281" t="s">
        <v>112</v>
      </c>
      <c r="K281" t="s">
        <v>29</v>
      </c>
      <c r="L281" t="s">
        <v>113</v>
      </c>
      <c r="M281" t="s">
        <v>1601</v>
      </c>
      <c r="N281" t="s">
        <v>534</v>
      </c>
      <c r="O281" t="s">
        <v>39</v>
      </c>
      <c r="P281" t="s">
        <v>1602</v>
      </c>
      <c r="Q281" t="s">
        <v>82</v>
      </c>
      <c r="R281" s="29" t="s">
        <v>408</v>
      </c>
      <c r="S281">
        <v>0.94</v>
      </c>
      <c r="T281">
        <v>4072</v>
      </c>
      <c r="U281">
        <v>0</v>
      </c>
      <c r="V281">
        <v>4072</v>
      </c>
    </row>
    <row r="282" spans="1:22" x14ac:dyDescent="0.3">
      <c r="A282">
        <v>79452</v>
      </c>
      <c r="B282">
        <v>454840235</v>
      </c>
      <c r="C282" t="s">
        <v>1603</v>
      </c>
      <c r="D282" s="9" t="s">
        <v>1604</v>
      </c>
      <c r="E282" t="s">
        <v>530</v>
      </c>
      <c r="F282" t="s">
        <v>531</v>
      </c>
      <c r="G282" t="s">
        <v>110</v>
      </c>
      <c r="H282" t="s">
        <v>111</v>
      </c>
      <c r="I282" t="s">
        <v>52</v>
      </c>
      <c r="J282" t="s">
        <v>112</v>
      </c>
      <c r="K282" t="s">
        <v>29</v>
      </c>
      <c r="L282" t="s">
        <v>113</v>
      </c>
      <c r="M282" t="s">
        <v>415</v>
      </c>
      <c r="N282" t="s">
        <v>534</v>
      </c>
      <c r="O282" t="s">
        <v>39</v>
      </c>
      <c r="P282" t="s">
        <v>1605</v>
      </c>
      <c r="Q282" t="s">
        <v>208</v>
      </c>
      <c r="R282" s="29" t="s">
        <v>354</v>
      </c>
      <c r="S282">
        <v>0.78</v>
      </c>
      <c r="T282">
        <v>6636</v>
      </c>
      <c r="U282">
        <v>0</v>
      </c>
      <c r="V282">
        <v>6636</v>
      </c>
    </row>
    <row r="283" spans="1:22" x14ac:dyDescent="0.3">
      <c r="A283">
        <v>79452</v>
      </c>
      <c r="B283">
        <v>454736903</v>
      </c>
      <c r="C283" t="s">
        <v>1606</v>
      </c>
      <c r="D283" s="9" t="s">
        <v>1607</v>
      </c>
      <c r="E283" t="s">
        <v>530</v>
      </c>
      <c r="F283" t="s">
        <v>531</v>
      </c>
      <c r="G283" t="s">
        <v>110</v>
      </c>
      <c r="H283" t="s">
        <v>111</v>
      </c>
      <c r="I283" t="s">
        <v>52</v>
      </c>
      <c r="J283" t="s">
        <v>112</v>
      </c>
      <c r="K283" t="s">
        <v>29</v>
      </c>
      <c r="L283" t="s">
        <v>113</v>
      </c>
      <c r="M283" t="s">
        <v>1608</v>
      </c>
      <c r="N283" t="s">
        <v>534</v>
      </c>
      <c r="O283" t="s">
        <v>39</v>
      </c>
      <c r="P283" t="s">
        <v>1609</v>
      </c>
      <c r="Q283" t="s">
        <v>233</v>
      </c>
      <c r="R283" s="29" t="s">
        <v>508</v>
      </c>
      <c r="S283">
        <v>0.64</v>
      </c>
      <c r="T283">
        <v>6232</v>
      </c>
      <c r="U283">
        <v>0</v>
      </c>
      <c r="V283">
        <v>6232</v>
      </c>
    </row>
    <row r="284" spans="1:22" x14ac:dyDescent="0.3">
      <c r="A284">
        <v>79452</v>
      </c>
      <c r="B284">
        <v>454774769</v>
      </c>
      <c r="C284" t="s">
        <v>1610</v>
      </c>
      <c r="D284" s="9" t="s">
        <v>1611</v>
      </c>
      <c r="E284" t="s">
        <v>530</v>
      </c>
      <c r="F284" t="s">
        <v>531</v>
      </c>
      <c r="G284" t="s">
        <v>110</v>
      </c>
      <c r="H284" t="s">
        <v>111</v>
      </c>
      <c r="I284" t="s">
        <v>52</v>
      </c>
      <c r="J284" t="s">
        <v>112</v>
      </c>
      <c r="K284" t="s">
        <v>29</v>
      </c>
      <c r="L284" t="s">
        <v>113</v>
      </c>
      <c r="M284" t="s">
        <v>1612</v>
      </c>
      <c r="N284" t="s">
        <v>534</v>
      </c>
      <c r="O284" t="s">
        <v>39</v>
      </c>
      <c r="P284" t="s">
        <v>1613</v>
      </c>
      <c r="Q284" t="s">
        <v>75</v>
      </c>
      <c r="R284" s="29" t="s">
        <v>1598</v>
      </c>
      <c r="S284">
        <v>0.51</v>
      </c>
      <c r="T284">
        <v>4072</v>
      </c>
      <c r="U284">
        <v>0</v>
      </c>
      <c r="V284">
        <v>4072</v>
      </c>
    </row>
    <row r="285" spans="1:22" x14ac:dyDescent="0.3">
      <c r="A285">
        <v>79452</v>
      </c>
      <c r="B285">
        <v>454736896</v>
      </c>
      <c r="C285" t="s">
        <v>1614</v>
      </c>
      <c r="D285" s="9" t="s">
        <v>1615</v>
      </c>
      <c r="E285" t="s">
        <v>530</v>
      </c>
      <c r="F285" t="s">
        <v>531</v>
      </c>
      <c r="G285" t="s">
        <v>110</v>
      </c>
      <c r="H285" t="s">
        <v>111</v>
      </c>
      <c r="I285" t="s">
        <v>52</v>
      </c>
      <c r="J285" t="s">
        <v>112</v>
      </c>
      <c r="K285" t="s">
        <v>29</v>
      </c>
      <c r="L285" t="s">
        <v>113</v>
      </c>
      <c r="M285" t="s">
        <v>1616</v>
      </c>
      <c r="N285" t="s">
        <v>534</v>
      </c>
      <c r="O285" t="s">
        <v>39</v>
      </c>
      <c r="P285" t="s">
        <v>1617</v>
      </c>
      <c r="Q285" t="s">
        <v>64</v>
      </c>
      <c r="R285" s="29" t="s">
        <v>508</v>
      </c>
      <c r="S285">
        <v>0.62</v>
      </c>
      <c r="T285">
        <v>6232</v>
      </c>
      <c r="U285">
        <v>0</v>
      </c>
      <c r="V285">
        <v>6232</v>
      </c>
    </row>
    <row r="286" spans="1:22" x14ac:dyDescent="0.3">
      <c r="A286">
        <v>79452</v>
      </c>
      <c r="B286">
        <v>454678477</v>
      </c>
      <c r="C286" t="s">
        <v>1618</v>
      </c>
      <c r="D286" s="9" t="s">
        <v>1619</v>
      </c>
      <c r="E286" t="s">
        <v>530</v>
      </c>
      <c r="F286" t="s">
        <v>531</v>
      </c>
      <c r="G286" t="s">
        <v>110</v>
      </c>
      <c r="H286" t="s">
        <v>111</v>
      </c>
      <c r="I286" t="s">
        <v>52</v>
      </c>
      <c r="J286" t="s">
        <v>112</v>
      </c>
      <c r="K286" t="s">
        <v>29</v>
      </c>
      <c r="L286" t="s">
        <v>113</v>
      </c>
      <c r="M286" t="s">
        <v>465</v>
      </c>
      <c r="N286" t="s">
        <v>534</v>
      </c>
      <c r="O286" t="s">
        <v>39</v>
      </c>
      <c r="P286" t="s">
        <v>1620</v>
      </c>
      <c r="Q286" t="s">
        <v>87</v>
      </c>
      <c r="R286" s="29" t="s">
        <v>302</v>
      </c>
      <c r="S286">
        <v>0.3</v>
      </c>
      <c r="T286">
        <v>5825</v>
      </c>
      <c r="U286">
        <v>0</v>
      </c>
      <c r="V286">
        <v>5825</v>
      </c>
    </row>
    <row r="287" spans="1:22" x14ac:dyDescent="0.3">
      <c r="A287">
        <v>79452</v>
      </c>
      <c r="B287">
        <v>454466219</v>
      </c>
      <c r="C287" t="s">
        <v>1621</v>
      </c>
      <c r="D287" s="9" t="s">
        <v>1622</v>
      </c>
      <c r="E287" t="s">
        <v>530</v>
      </c>
      <c r="F287" t="s">
        <v>531</v>
      </c>
      <c r="G287" t="s">
        <v>110</v>
      </c>
      <c r="H287" t="s">
        <v>111</v>
      </c>
      <c r="I287" t="s">
        <v>52</v>
      </c>
      <c r="J287" t="s">
        <v>112</v>
      </c>
      <c r="K287" t="s">
        <v>29</v>
      </c>
      <c r="L287" t="s">
        <v>113</v>
      </c>
      <c r="M287" t="s">
        <v>1623</v>
      </c>
      <c r="N287" t="s">
        <v>534</v>
      </c>
      <c r="O287" t="s">
        <v>39</v>
      </c>
      <c r="P287" t="s">
        <v>1624</v>
      </c>
      <c r="Q287" t="s">
        <v>224</v>
      </c>
      <c r="R287" s="29" t="s">
        <v>385</v>
      </c>
      <c r="S287">
        <v>0.56999999999999995</v>
      </c>
      <c r="T287">
        <v>6636</v>
      </c>
      <c r="U287">
        <v>0</v>
      </c>
      <c r="V287">
        <v>6636</v>
      </c>
    </row>
    <row r="288" spans="1:22" x14ac:dyDescent="0.3">
      <c r="A288">
        <v>79452</v>
      </c>
      <c r="B288">
        <v>454510777</v>
      </c>
      <c r="C288" t="s">
        <v>1625</v>
      </c>
      <c r="D288" s="9" t="s">
        <v>1626</v>
      </c>
      <c r="E288" t="s">
        <v>530</v>
      </c>
      <c r="F288" t="s">
        <v>531</v>
      </c>
      <c r="G288" t="s">
        <v>110</v>
      </c>
      <c r="H288" t="s">
        <v>111</v>
      </c>
      <c r="I288" t="s">
        <v>52</v>
      </c>
      <c r="J288" t="s">
        <v>112</v>
      </c>
      <c r="K288" t="s">
        <v>29</v>
      </c>
      <c r="L288" t="s">
        <v>113</v>
      </c>
      <c r="M288" t="s">
        <v>1627</v>
      </c>
      <c r="N288" t="s">
        <v>534</v>
      </c>
      <c r="O288" t="s">
        <v>39</v>
      </c>
      <c r="P288" t="s">
        <v>1628</v>
      </c>
      <c r="Q288" t="s">
        <v>155</v>
      </c>
      <c r="R288" s="29" t="s">
        <v>483</v>
      </c>
      <c r="S288">
        <v>0.42</v>
      </c>
      <c r="T288">
        <v>3927</v>
      </c>
      <c r="U288">
        <v>0</v>
      </c>
      <c r="V288">
        <v>3927</v>
      </c>
    </row>
    <row r="289" spans="1:22" x14ac:dyDescent="0.3">
      <c r="A289">
        <v>79452</v>
      </c>
      <c r="B289">
        <v>454539825</v>
      </c>
      <c r="C289" t="s">
        <v>1629</v>
      </c>
      <c r="D289" s="9" t="s">
        <v>1630</v>
      </c>
      <c r="E289" t="s">
        <v>530</v>
      </c>
      <c r="F289" t="s">
        <v>531</v>
      </c>
      <c r="G289" t="s">
        <v>110</v>
      </c>
      <c r="H289" t="s">
        <v>111</v>
      </c>
      <c r="I289" t="s">
        <v>52</v>
      </c>
      <c r="J289" t="s">
        <v>112</v>
      </c>
      <c r="K289" t="s">
        <v>29</v>
      </c>
      <c r="L289" t="s">
        <v>113</v>
      </c>
      <c r="M289" t="s">
        <v>1631</v>
      </c>
      <c r="N289" t="s">
        <v>534</v>
      </c>
      <c r="O289" t="s">
        <v>39</v>
      </c>
      <c r="P289" t="s">
        <v>1632</v>
      </c>
      <c r="Q289" t="s">
        <v>171</v>
      </c>
      <c r="R289" s="29" t="s">
        <v>436</v>
      </c>
      <c r="S289">
        <v>0.56999999999999995</v>
      </c>
      <c r="T289">
        <v>6307</v>
      </c>
      <c r="U289">
        <v>0</v>
      </c>
      <c r="V289">
        <v>6307</v>
      </c>
    </row>
    <row r="290" spans="1:22" x14ac:dyDescent="0.3">
      <c r="A290">
        <v>79452</v>
      </c>
      <c r="B290">
        <v>454474643</v>
      </c>
      <c r="C290" t="s">
        <v>1633</v>
      </c>
      <c r="D290" s="9" t="s">
        <v>1634</v>
      </c>
      <c r="E290" t="s">
        <v>530</v>
      </c>
      <c r="F290" t="s">
        <v>531</v>
      </c>
      <c r="G290" t="s">
        <v>110</v>
      </c>
      <c r="H290" t="s">
        <v>111</v>
      </c>
      <c r="I290" t="s">
        <v>52</v>
      </c>
      <c r="J290" t="s">
        <v>112</v>
      </c>
      <c r="K290" t="s">
        <v>29</v>
      </c>
      <c r="L290" t="s">
        <v>113</v>
      </c>
      <c r="M290" t="s">
        <v>413</v>
      </c>
      <c r="N290" t="s">
        <v>534</v>
      </c>
      <c r="O290" t="s">
        <v>39</v>
      </c>
      <c r="P290" t="s">
        <v>1635</v>
      </c>
      <c r="Q290" t="s">
        <v>64</v>
      </c>
      <c r="R290" s="29" t="s">
        <v>1636</v>
      </c>
      <c r="S290">
        <v>0.81</v>
      </c>
      <c r="T290">
        <v>6232</v>
      </c>
      <c r="U290">
        <v>0</v>
      </c>
      <c r="V290">
        <v>6232</v>
      </c>
    </row>
    <row r="291" spans="1:22" x14ac:dyDescent="0.3">
      <c r="A291">
        <v>79452</v>
      </c>
      <c r="B291">
        <v>454539810</v>
      </c>
      <c r="C291" t="s">
        <v>1637</v>
      </c>
      <c r="D291" s="9" t="s">
        <v>1638</v>
      </c>
      <c r="E291" t="s">
        <v>530</v>
      </c>
      <c r="F291" t="s">
        <v>531</v>
      </c>
      <c r="G291" t="s">
        <v>110</v>
      </c>
      <c r="H291" t="s">
        <v>111</v>
      </c>
      <c r="I291" t="s">
        <v>52</v>
      </c>
      <c r="J291" t="s">
        <v>112</v>
      </c>
      <c r="K291" t="s">
        <v>29</v>
      </c>
      <c r="L291" t="s">
        <v>113</v>
      </c>
      <c r="M291" t="s">
        <v>1639</v>
      </c>
      <c r="N291" t="s">
        <v>534</v>
      </c>
      <c r="O291" t="s">
        <v>39</v>
      </c>
      <c r="P291" t="s">
        <v>1640</v>
      </c>
      <c r="Q291" t="s">
        <v>49</v>
      </c>
      <c r="R291" s="29" t="s">
        <v>380</v>
      </c>
      <c r="S291">
        <v>0.63</v>
      </c>
      <c r="T291">
        <v>10760</v>
      </c>
      <c r="U291">
        <v>0</v>
      </c>
      <c r="V291">
        <v>10760</v>
      </c>
    </row>
    <row r="292" spans="1:22" x14ac:dyDescent="0.3">
      <c r="A292">
        <v>79452</v>
      </c>
      <c r="B292">
        <v>454466172</v>
      </c>
      <c r="C292" t="s">
        <v>1641</v>
      </c>
      <c r="D292" s="9" t="s">
        <v>1642</v>
      </c>
      <c r="E292" t="s">
        <v>530</v>
      </c>
      <c r="F292" t="s">
        <v>531</v>
      </c>
      <c r="G292" t="s">
        <v>110</v>
      </c>
      <c r="H292" t="s">
        <v>111</v>
      </c>
      <c r="I292" t="s">
        <v>52</v>
      </c>
      <c r="J292" t="s">
        <v>112</v>
      </c>
      <c r="K292" t="s">
        <v>29</v>
      </c>
      <c r="L292" t="s">
        <v>113</v>
      </c>
      <c r="M292" t="s">
        <v>1643</v>
      </c>
      <c r="N292" t="s">
        <v>534</v>
      </c>
      <c r="O292" t="s">
        <v>39</v>
      </c>
      <c r="P292" t="s">
        <v>1644</v>
      </c>
      <c r="Q292" t="s">
        <v>144</v>
      </c>
      <c r="R292" s="29" t="s">
        <v>1563</v>
      </c>
      <c r="S292">
        <v>0.59</v>
      </c>
      <c r="T292">
        <v>6307</v>
      </c>
      <c r="U292">
        <v>0</v>
      </c>
      <c r="V292">
        <v>6307</v>
      </c>
    </row>
    <row r="293" spans="1:22" x14ac:dyDescent="0.3">
      <c r="A293">
        <v>79452</v>
      </c>
      <c r="B293">
        <v>454466178</v>
      </c>
      <c r="C293" t="s">
        <v>1645</v>
      </c>
      <c r="D293" s="9" t="s">
        <v>1646</v>
      </c>
      <c r="E293" t="s">
        <v>530</v>
      </c>
      <c r="F293" t="s">
        <v>531</v>
      </c>
      <c r="G293" t="s">
        <v>110</v>
      </c>
      <c r="H293" t="s">
        <v>111</v>
      </c>
      <c r="I293" t="s">
        <v>52</v>
      </c>
      <c r="J293" t="s">
        <v>112</v>
      </c>
      <c r="K293" t="s">
        <v>29</v>
      </c>
      <c r="L293" t="s">
        <v>113</v>
      </c>
      <c r="M293" t="s">
        <v>1647</v>
      </c>
      <c r="N293" t="s">
        <v>534</v>
      </c>
      <c r="O293" t="s">
        <v>39</v>
      </c>
      <c r="P293" t="s">
        <v>1648</v>
      </c>
      <c r="Q293" t="s">
        <v>181</v>
      </c>
      <c r="R293" s="29" t="s">
        <v>1563</v>
      </c>
      <c r="S293">
        <v>2.37</v>
      </c>
      <c r="T293">
        <v>7370</v>
      </c>
      <c r="U293">
        <v>0</v>
      </c>
      <c r="V293">
        <v>7370</v>
      </c>
    </row>
    <row r="294" spans="1:22" x14ac:dyDescent="0.3">
      <c r="A294">
        <v>79452</v>
      </c>
      <c r="B294">
        <v>454835732</v>
      </c>
      <c r="C294" t="s">
        <v>1649</v>
      </c>
      <c r="D294" s="9" t="s">
        <v>1650</v>
      </c>
      <c r="E294" t="s">
        <v>530</v>
      </c>
      <c r="F294" t="s">
        <v>531</v>
      </c>
      <c r="G294" t="s">
        <v>110</v>
      </c>
      <c r="H294" t="s">
        <v>111</v>
      </c>
      <c r="I294" t="s">
        <v>52</v>
      </c>
      <c r="J294" t="s">
        <v>112</v>
      </c>
      <c r="K294" t="s">
        <v>29</v>
      </c>
      <c r="L294" t="s">
        <v>113</v>
      </c>
      <c r="M294" t="s">
        <v>1651</v>
      </c>
      <c r="N294" t="s">
        <v>534</v>
      </c>
      <c r="O294" t="s">
        <v>39</v>
      </c>
      <c r="P294" t="s">
        <v>1652</v>
      </c>
      <c r="Q294" t="s">
        <v>228</v>
      </c>
      <c r="R294" s="29" t="s">
        <v>132</v>
      </c>
      <c r="S294">
        <v>0.96</v>
      </c>
      <c r="T294">
        <v>9459</v>
      </c>
      <c r="U294">
        <v>0</v>
      </c>
      <c r="V294">
        <v>9459</v>
      </c>
    </row>
    <row r="295" spans="1:22" x14ac:dyDescent="0.3">
      <c r="A295">
        <v>79452</v>
      </c>
      <c r="B295">
        <v>454879816</v>
      </c>
      <c r="C295" t="s">
        <v>1653</v>
      </c>
      <c r="D295" s="9" t="s">
        <v>1654</v>
      </c>
      <c r="E295" t="s">
        <v>530</v>
      </c>
      <c r="F295" t="s">
        <v>531</v>
      </c>
      <c r="G295" t="s">
        <v>110</v>
      </c>
      <c r="H295" t="s">
        <v>111</v>
      </c>
      <c r="I295" t="s">
        <v>52</v>
      </c>
      <c r="J295" t="s">
        <v>112</v>
      </c>
      <c r="K295" t="s">
        <v>29</v>
      </c>
      <c r="L295" t="s">
        <v>113</v>
      </c>
      <c r="M295" t="s">
        <v>1655</v>
      </c>
      <c r="N295" t="s">
        <v>534</v>
      </c>
      <c r="O295" t="s">
        <v>39</v>
      </c>
      <c r="P295" t="s">
        <v>1656</v>
      </c>
      <c r="Q295" t="s">
        <v>75</v>
      </c>
      <c r="R295" s="29" t="s">
        <v>466</v>
      </c>
      <c r="S295">
        <v>0.73</v>
      </c>
      <c r="T295">
        <v>4072</v>
      </c>
      <c r="U295">
        <v>0</v>
      </c>
      <c r="V295">
        <v>4072</v>
      </c>
    </row>
    <row r="296" spans="1:22" x14ac:dyDescent="0.3">
      <c r="A296">
        <v>79452</v>
      </c>
      <c r="B296">
        <v>454589544</v>
      </c>
      <c r="C296" t="s">
        <v>1657</v>
      </c>
      <c r="D296" s="9" t="s">
        <v>1658</v>
      </c>
      <c r="E296" t="s">
        <v>530</v>
      </c>
      <c r="F296" t="s">
        <v>531</v>
      </c>
      <c r="G296" t="s">
        <v>110</v>
      </c>
      <c r="H296" t="s">
        <v>111</v>
      </c>
      <c r="I296" t="s">
        <v>52</v>
      </c>
      <c r="J296" t="s">
        <v>112</v>
      </c>
      <c r="K296" t="s">
        <v>29</v>
      </c>
      <c r="L296" t="s">
        <v>113</v>
      </c>
      <c r="M296" t="s">
        <v>1659</v>
      </c>
      <c r="N296" t="s">
        <v>534</v>
      </c>
      <c r="O296" t="s">
        <v>39</v>
      </c>
      <c r="P296" t="s">
        <v>1660</v>
      </c>
      <c r="Q296" t="s">
        <v>155</v>
      </c>
      <c r="R296" s="29" t="s">
        <v>485</v>
      </c>
      <c r="S296">
        <v>0.48</v>
      </c>
      <c r="T296">
        <v>3927</v>
      </c>
      <c r="U296">
        <v>0</v>
      </c>
      <c r="V296">
        <v>3927</v>
      </c>
    </row>
    <row r="297" spans="1:22" x14ac:dyDescent="0.3">
      <c r="A297">
        <v>79452</v>
      </c>
      <c r="B297">
        <v>454661409</v>
      </c>
      <c r="C297" t="s">
        <v>1661</v>
      </c>
      <c r="D297" s="9" t="s">
        <v>1662</v>
      </c>
      <c r="E297" t="s">
        <v>530</v>
      </c>
      <c r="F297" t="s">
        <v>531</v>
      </c>
      <c r="G297" t="s">
        <v>110</v>
      </c>
      <c r="H297" t="s">
        <v>111</v>
      </c>
      <c r="I297" t="s">
        <v>52</v>
      </c>
      <c r="J297" t="s">
        <v>112</v>
      </c>
      <c r="K297" t="s">
        <v>29</v>
      </c>
      <c r="L297" t="s">
        <v>113</v>
      </c>
      <c r="M297" t="s">
        <v>1663</v>
      </c>
      <c r="N297" t="s">
        <v>534</v>
      </c>
      <c r="O297" t="s">
        <v>39</v>
      </c>
      <c r="P297" t="s">
        <v>1664</v>
      </c>
      <c r="Q297" t="s">
        <v>181</v>
      </c>
      <c r="R297" s="29" t="s">
        <v>409</v>
      </c>
      <c r="S297">
        <v>2.15</v>
      </c>
      <c r="T297">
        <v>7370</v>
      </c>
      <c r="U297">
        <v>0</v>
      </c>
      <c r="V297">
        <v>7370</v>
      </c>
    </row>
    <row r="298" spans="1:22" x14ac:dyDescent="0.3">
      <c r="A298">
        <v>79452</v>
      </c>
      <c r="B298">
        <v>141786391</v>
      </c>
      <c r="C298" t="s">
        <v>1665</v>
      </c>
      <c r="D298" s="9" t="s">
        <v>1666</v>
      </c>
      <c r="E298" t="s">
        <v>530</v>
      </c>
      <c r="F298" t="s">
        <v>531</v>
      </c>
      <c r="G298" t="s">
        <v>110</v>
      </c>
      <c r="H298" t="s">
        <v>111</v>
      </c>
      <c r="I298" t="s">
        <v>52</v>
      </c>
      <c r="J298" t="s">
        <v>112</v>
      </c>
      <c r="K298" t="s">
        <v>29</v>
      </c>
      <c r="L298" t="s">
        <v>113</v>
      </c>
      <c r="M298" t="s">
        <v>1667</v>
      </c>
      <c r="N298" t="s">
        <v>534</v>
      </c>
      <c r="O298" t="s">
        <v>39</v>
      </c>
      <c r="P298" t="s">
        <v>1668</v>
      </c>
      <c r="Q298" t="s">
        <v>231</v>
      </c>
      <c r="R298" s="29" t="s">
        <v>1669</v>
      </c>
      <c r="S298">
        <v>0.68</v>
      </c>
      <c r="T298">
        <v>6636</v>
      </c>
      <c r="U298">
        <v>0</v>
      </c>
      <c r="V298">
        <v>6636</v>
      </c>
    </row>
    <row r="299" spans="1:22" x14ac:dyDescent="0.3">
      <c r="A299">
        <v>79452</v>
      </c>
      <c r="B299">
        <v>454219726</v>
      </c>
      <c r="C299" t="s">
        <v>1670</v>
      </c>
      <c r="D299" s="9" t="s">
        <v>1671</v>
      </c>
      <c r="E299" t="s">
        <v>530</v>
      </c>
      <c r="F299" t="s">
        <v>531</v>
      </c>
      <c r="G299" t="s">
        <v>110</v>
      </c>
      <c r="H299" t="s">
        <v>111</v>
      </c>
      <c r="I299" t="s">
        <v>52</v>
      </c>
      <c r="J299" t="s">
        <v>112</v>
      </c>
      <c r="K299" t="s">
        <v>29</v>
      </c>
      <c r="L299" t="s">
        <v>113</v>
      </c>
      <c r="M299" t="s">
        <v>1672</v>
      </c>
      <c r="N299" t="s">
        <v>534</v>
      </c>
      <c r="O299" t="s">
        <v>39</v>
      </c>
      <c r="P299" t="s">
        <v>1673</v>
      </c>
      <c r="Q299" t="s">
        <v>64</v>
      </c>
      <c r="R299" s="29" t="s">
        <v>1674</v>
      </c>
      <c r="S299">
        <v>0.67</v>
      </c>
      <c r="T299">
        <v>6232</v>
      </c>
      <c r="U299">
        <v>0</v>
      </c>
      <c r="V299">
        <v>6232</v>
      </c>
    </row>
    <row r="300" spans="1:22" x14ac:dyDescent="0.3">
      <c r="A300">
        <v>79452</v>
      </c>
      <c r="B300">
        <v>454258065</v>
      </c>
      <c r="C300" t="s">
        <v>1675</v>
      </c>
      <c r="D300" s="9" t="s">
        <v>1676</v>
      </c>
      <c r="E300" t="s">
        <v>530</v>
      </c>
      <c r="F300" t="s">
        <v>531</v>
      </c>
      <c r="G300" t="s">
        <v>110</v>
      </c>
      <c r="H300" t="s">
        <v>111</v>
      </c>
      <c r="I300" t="s">
        <v>52</v>
      </c>
      <c r="J300" t="s">
        <v>112</v>
      </c>
      <c r="K300" t="s">
        <v>29</v>
      </c>
      <c r="L300" t="s">
        <v>113</v>
      </c>
      <c r="M300" t="s">
        <v>1677</v>
      </c>
      <c r="N300" t="s">
        <v>534</v>
      </c>
      <c r="O300" t="s">
        <v>39</v>
      </c>
      <c r="P300" t="s">
        <v>1678</v>
      </c>
      <c r="Q300" t="s">
        <v>207</v>
      </c>
      <c r="R300" s="29" t="s">
        <v>1679</v>
      </c>
      <c r="S300">
        <v>0.78</v>
      </c>
      <c r="T300">
        <v>9459</v>
      </c>
      <c r="U300">
        <v>0</v>
      </c>
      <c r="V300">
        <v>9459</v>
      </c>
    </row>
    <row r="301" spans="1:22" x14ac:dyDescent="0.3">
      <c r="A301">
        <v>79452</v>
      </c>
      <c r="B301">
        <v>455164708</v>
      </c>
      <c r="C301" t="s">
        <v>1680</v>
      </c>
      <c r="D301" s="9" t="s">
        <v>1681</v>
      </c>
      <c r="E301" t="s">
        <v>530</v>
      </c>
      <c r="F301" t="s">
        <v>531</v>
      </c>
      <c r="G301" t="s">
        <v>110</v>
      </c>
      <c r="H301" t="s">
        <v>111</v>
      </c>
      <c r="I301" t="s">
        <v>52</v>
      </c>
      <c r="J301" t="s">
        <v>112</v>
      </c>
      <c r="K301" t="s">
        <v>29</v>
      </c>
      <c r="L301" t="s">
        <v>113</v>
      </c>
      <c r="M301" t="s">
        <v>1682</v>
      </c>
      <c r="N301" t="s">
        <v>534</v>
      </c>
      <c r="O301" t="s">
        <v>39</v>
      </c>
      <c r="P301" t="s">
        <v>1683</v>
      </c>
      <c r="Q301" t="s">
        <v>46</v>
      </c>
      <c r="R301" s="29" t="s">
        <v>406</v>
      </c>
      <c r="S301">
        <v>0.81</v>
      </c>
      <c r="T301">
        <v>4072</v>
      </c>
      <c r="U301">
        <v>0</v>
      </c>
      <c r="V301">
        <v>4072</v>
      </c>
    </row>
    <row r="302" spans="1:22" x14ac:dyDescent="0.3">
      <c r="A302">
        <v>79452</v>
      </c>
      <c r="B302">
        <v>455181721</v>
      </c>
      <c r="C302" t="s">
        <v>1684</v>
      </c>
      <c r="D302" s="9" t="s">
        <v>1685</v>
      </c>
      <c r="E302" t="s">
        <v>530</v>
      </c>
      <c r="F302" t="s">
        <v>531</v>
      </c>
      <c r="G302" t="s">
        <v>110</v>
      </c>
      <c r="H302" t="s">
        <v>111</v>
      </c>
      <c r="I302" t="s">
        <v>52</v>
      </c>
      <c r="J302" t="s">
        <v>112</v>
      </c>
      <c r="K302" t="s">
        <v>29</v>
      </c>
      <c r="L302" t="s">
        <v>113</v>
      </c>
      <c r="M302" t="s">
        <v>1686</v>
      </c>
      <c r="N302" t="s">
        <v>534</v>
      </c>
      <c r="O302" t="s">
        <v>39</v>
      </c>
      <c r="P302" t="s">
        <v>1687</v>
      </c>
      <c r="Q302" t="s">
        <v>141</v>
      </c>
      <c r="R302" s="29" t="s">
        <v>1688</v>
      </c>
      <c r="S302">
        <v>0.75</v>
      </c>
      <c r="T302">
        <v>6636</v>
      </c>
      <c r="U302">
        <v>0</v>
      </c>
      <c r="V302">
        <v>6636</v>
      </c>
    </row>
    <row r="303" spans="1:22" x14ac:dyDescent="0.3">
      <c r="A303">
        <v>79452</v>
      </c>
      <c r="B303">
        <v>455037850</v>
      </c>
      <c r="C303" t="s">
        <v>1689</v>
      </c>
      <c r="D303" s="9" t="s">
        <v>1690</v>
      </c>
      <c r="E303" t="s">
        <v>530</v>
      </c>
      <c r="F303" t="s">
        <v>531</v>
      </c>
      <c r="G303" t="s">
        <v>110</v>
      </c>
      <c r="H303" t="s">
        <v>111</v>
      </c>
      <c r="I303" t="s">
        <v>52</v>
      </c>
      <c r="J303" t="s">
        <v>112</v>
      </c>
      <c r="K303" t="s">
        <v>29</v>
      </c>
      <c r="L303" t="s">
        <v>113</v>
      </c>
      <c r="M303" t="s">
        <v>1691</v>
      </c>
      <c r="N303" t="s">
        <v>534</v>
      </c>
      <c r="O303" t="s">
        <v>39</v>
      </c>
      <c r="P303" t="s">
        <v>1692</v>
      </c>
      <c r="Q303" t="s">
        <v>197</v>
      </c>
      <c r="R303" s="29" t="s">
        <v>1693</v>
      </c>
      <c r="S303">
        <v>1.94</v>
      </c>
      <c r="T303">
        <v>7072</v>
      </c>
      <c r="U303">
        <v>0</v>
      </c>
      <c r="V303">
        <v>7072</v>
      </c>
    </row>
    <row r="304" spans="1:22" x14ac:dyDescent="0.3">
      <c r="A304">
        <v>79452</v>
      </c>
      <c r="B304">
        <v>455016961</v>
      </c>
      <c r="C304" t="s">
        <v>1694</v>
      </c>
      <c r="D304" s="9" t="s">
        <v>1695</v>
      </c>
      <c r="E304" t="s">
        <v>530</v>
      </c>
      <c r="F304" t="s">
        <v>531</v>
      </c>
      <c r="G304" t="s">
        <v>110</v>
      </c>
      <c r="H304" t="s">
        <v>111</v>
      </c>
      <c r="I304" t="s">
        <v>52</v>
      </c>
      <c r="J304" t="s">
        <v>112</v>
      </c>
      <c r="K304" t="s">
        <v>29</v>
      </c>
      <c r="L304" t="s">
        <v>113</v>
      </c>
      <c r="M304" t="s">
        <v>474</v>
      </c>
      <c r="N304" t="s">
        <v>534</v>
      </c>
      <c r="O304" t="s">
        <v>39</v>
      </c>
      <c r="P304" t="s">
        <v>1696</v>
      </c>
      <c r="Q304" t="s">
        <v>75</v>
      </c>
      <c r="R304" s="29" t="s">
        <v>304</v>
      </c>
      <c r="S304">
        <v>1.1599999999999999</v>
      </c>
      <c r="T304">
        <v>4072</v>
      </c>
      <c r="U304">
        <v>0</v>
      </c>
      <c r="V304">
        <v>4072</v>
      </c>
    </row>
    <row r="305" spans="1:22" x14ac:dyDescent="0.3">
      <c r="A305">
        <v>194290</v>
      </c>
      <c r="B305">
        <v>454473421</v>
      </c>
      <c r="C305" t="s">
        <v>1697</v>
      </c>
      <c r="D305" s="9">
        <v>269346801</v>
      </c>
      <c r="E305" t="s">
        <v>1698</v>
      </c>
      <c r="F305" t="s">
        <v>531</v>
      </c>
      <c r="G305" t="s">
        <v>30</v>
      </c>
      <c r="H305" t="s">
        <v>31</v>
      </c>
      <c r="I305" t="s">
        <v>52</v>
      </c>
      <c r="J305" t="s">
        <v>32</v>
      </c>
      <c r="K305" t="s">
        <v>29</v>
      </c>
      <c r="L305" t="s">
        <v>1699</v>
      </c>
      <c r="M305" t="s">
        <v>1700</v>
      </c>
      <c r="N305" t="s">
        <v>534</v>
      </c>
      <c r="O305" t="s">
        <v>39</v>
      </c>
      <c r="P305" t="s">
        <v>1701</v>
      </c>
      <c r="Q305" t="s">
        <v>33</v>
      </c>
      <c r="R305" s="29">
        <v>46144.393750000003</v>
      </c>
      <c r="S305">
        <v>0.04</v>
      </c>
      <c r="T305">
        <v>3552</v>
      </c>
      <c r="U305">
        <v>0</v>
      </c>
      <c r="V305">
        <v>3552</v>
      </c>
    </row>
    <row r="306" spans="1:22" x14ac:dyDescent="0.3">
      <c r="A306">
        <v>194290</v>
      </c>
      <c r="B306">
        <v>454363634</v>
      </c>
      <c r="C306" t="s">
        <v>1702</v>
      </c>
      <c r="D306" s="9">
        <v>269153138</v>
      </c>
      <c r="E306" t="s">
        <v>1698</v>
      </c>
      <c r="F306" t="s">
        <v>531</v>
      </c>
      <c r="G306" t="s">
        <v>30</v>
      </c>
      <c r="H306" t="s">
        <v>31</v>
      </c>
      <c r="I306" t="s">
        <v>52</v>
      </c>
      <c r="J306" t="s">
        <v>32</v>
      </c>
      <c r="K306" t="s">
        <v>29</v>
      </c>
      <c r="L306" t="s">
        <v>1703</v>
      </c>
      <c r="M306" t="s">
        <v>1704</v>
      </c>
      <c r="N306" t="s">
        <v>534</v>
      </c>
      <c r="O306" t="s">
        <v>39</v>
      </c>
      <c r="P306" t="s">
        <v>1705</v>
      </c>
      <c r="Q306" t="s">
        <v>41</v>
      </c>
      <c r="R306" s="29">
        <v>46140.638194444444</v>
      </c>
      <c r="S306">
        <v>0.14000000000000001</v>
      </c>
      <c r="T306">
        <v>3339</v>
      </c>
      <c r="U306">
        <v>0</v>
      </c>
      <c r="V306">
        <v>3339</v>
      </c>
    </row>
    <row r="307" spans="1:22" x14ac:dyDescent="0.3">
      <c r="A307">
        <v>194290</v>
      </c>
      <c r="B307">
        <v>454364088</v>
      </c>
      <c r="C307" t="s">
        <v>1706</v>
      </c>
      <c r="D307" s="9">
        <v>269154458</v>
      </c>
      <c r="E307" t="s">
        <v>1698</v>
      </c>
      <c r="F307" t="s">
        <v>531</v>
      </c>
      <c r="G307" t="s">
        <v>30</v>
      </c>
      <c r="H307" t="s">
        <v>31</v>
      </c>
      <c r="I307" t="s">
        <v>52</v>
      </c>
      <c r="J307" t="s">
        <v>32</v>
      </c>
      <c r="K307" t="s">
        <v>29</v>
      </c>
      <c r="L307" t="s">
        <v>1707</v>
      </c>
      <c r="M307" t="s">
        <v>428</v>
      </c>
      <c r="N307" t="s">
        <v>534</v>
      </c>
      <c r="O307" t="s">
        <v>39</v>
      </c>
      <c r="P307" t="s">
        <v>1708</v>
      </c>
      <c r="Q307" t="s">
        <v>38</v>
      </c>
      <c r="R307" s="29">
        <v>46140.646527777775</v>
      </c>
      <c r="S307">
        <v>0.04</v>
      </c>
      <c r="T307">
        <v>3193</v>
      </c>
      <c r="U307">
        <v>0</v>
      </c>
      <c r="V307">
        <v>3193</v>
      </c>
    </row>
    <row r="308" spans="1:22" x14ac:dyDescent="0.3">
      <c r="A308">
        <v>194044</v>
      </c>
      <c r="B308">
        <v>455149707</v>
      </c>
      <c r="C308" t="s">
        <v>1709</v>
      </c>
      <c r="D308" s="9">
        <v>270613896</v>
      </c>
      <c r="E308" t="s">
        <v>1710</v>
      </c>
      <c r="F308" t="s">
        <v>531</v>
      </c>
      <c r="G308" t="s">
        <v>30</v>
      </c>
      <c r="H308" t="s">
        <v>31</v>
      </c>
      <c r="I308" t="s">
        <v>52</v>
      </c>
      <c r="J308" t="s">
        <v>32</v>
      </c>
      <c r="K308" t="s">
        <v>29</v>
      </c>
      <c r="L308" t="s">
        <v>1711</v>
      </c>
      <c r="M308" t="s">
        <v>1712</v>
      </c>
      <c r="N308" t="s">
        <v>534</v>
      </c>
      <c r="O308" t="s">
        <v>39</v>
      </c>
      <c r="P308" t="s">
        <v>1713</v>
      </c>
      <c r="Q308" t="s">
        <v>88</v>
      </c>
      <c r="R308" s="29">
        <v>46163.400694444441</v>
      </c>
      <c r="S308">
        <v>0.52</v>
      </c>
      <c r="T308">
        <v>3631</v>
      </c>
      <c r="U308">
        <v>0</v>
      </c>
      <c r="V308">
        <v>3631</v>
      </c>
    </row>
    <row r="309" spans="1:22" x14ac:dyDescent="0.3">
      <c r="A309">
        <v>194044</v>
      </c>
      <c r="B309">
        <v>455089879</v>
      </c>
      <c r="C309" t="s">
        <v>1714</v>
      </c>
      <c r="D309" s="9">
        <v>270559409</v>
      </c>
      <c r="E309" t="s">
        <v>1710</v>
      </c>
      <c r="F309" t="s">
        <v>531</v>
      </c>
      <c r="G309" t="s">
        <v>30</v>
      </c>
      <c r="H309" t="s">
        <v>31</v>
      </c>
      <c r="I309" t="s">
        <v>52</v>
      </c>
      <c r="J309" t="s">
        <v>115</v>
      </c>
      <c r="K309" t="s">
        <v>29</v>
      </c>
      <c r="L309" t="s">
        <v>1715</v>
      </c>
      <c r="M309" t="s">
        <v>1716</v>
      </c>
      <c r="N309" t="s">
        <v>534</v>
      </c>
      <c r="O309" t="s">
        <v>39</v>
      </c>
      <c r="P309" t="s">
        <v>1717</v>
      </c>
      <c r="Q309" t="s">
        <v>155</v>
      </c>
      <c r="R309" s="29">
        <v>46162.484722222223</v>
      </c>
      <c r="S309">
        <v>0.51</v>
      </c>
      <c r="T309">
        <v>4946</v>
      </c>
      <c r="U309">
        <v>0</v>
      </c>
      <c r="V309">
        <v>4946</v>
      </c>
    </row>
    <row r="310" spans="1:22" x14ac:dyDescent="0.3">
      <c r="A310">
        <v>194044</v>
      </c>
      <c r="B310">
        <v>455003706</v>
      </c>
      <c r="C310" t="s">
        <v>1718</v>
      </c>
      <c r="D310" s="9">
        <v>270378987</v>
      </c>
      <c r="E310" t="s">
        <v>1710</v>
      </c>
      <c r="F310" t="s">
        <v>531</v>
      </c>
      <c r="G310" t="s">
        <v>30</v>
      </c>
      <c r="H310" t="s">
        <v>31</v>
      </c>
      <c r="I310" t="s">
        <v>52</v>
      </c>
      <c r="J310" t="s">
        <v>32</v>
      </c>
      <c r="K310" t="s">
        <v>29</v>
      </c>
      <c r="L310" t="s">
        <v>1719</v>
      </c>
      <c r="M310" t="s">
        <v>1720</v>
      </c>
      <c r="N310" t="s">
        <v>534</v>
      </c>
      <c r="O310" t="s">
        <v>39</v>
      </c>
      <c r="P310" t="s">
        <v>1721</v>
      </c>
      <c r="Q310" t="s">
        <v>187</v>
      </c>
      <c r="R310" s="29">
        <v>46160.324305555558</v>
      </c>
      <c r="S310">
        <v>0.71</v>
      </c>
      <c r="T310">
        <v>3631</v>
      </c>
      <c r="U310">
        <v>0</v>
      </c>
      <c r="V310">
        <v>3631</v>
      </c>
    </row>
    <row r="311" spans="1:22" x14ac:dyDescent="0.3">
      <c r="A311">
        <v>194044</v>
      </c>
      <c r="B311">
        <v>454995998</v>
      </c>
      <c r="C311" t="s">
        <v>1722</v>
      </c>
      <c r="D311" s="9">
        <v>270365085</v>
      </c>
      <c r="E311" t="s">
        <v>1710</v>
      </c>
      <c r="F311" t="s">
        <v>531</v>
      </c>
      <c r="G311" t="s">
        <v>30</v>
      </c>
      <c r="H311" t="s">
        <v>31</v>
      </c>
      <c r="I311" t="s">
        <v>52</v>
      </c>
      <c r="J311" t="s">
        <v>32</v>
      </c>
      <c r="K311" t="s">
        <v>29</v>
      </c>
      <c r="L311" t="s">
        <v>1723</v>
      </c>
      <c r="M311" t="s">
        <v>1724</v>
      </c>
      <c r="N311" t="s">
        <v>534</v>
      </c>
      <c r="O311" t="s">
        <v>39</v>
      </c>
      <c r="P311" t="s">
        <v>1725</v>
      </c>
      <c r="Q311" t="s">
        <v>33</v>
      </c>
      <c r="R311" s="29">
        <v>46159.839583333334</v>
      </c>
      <c r="S311">
        <v>0.4</v>
      </c>
      <c r="T311">
        <v>3552</v>
      </c>
      <c r="U311">
        <v>0</v>
      </c>
      <c r="V311">
        <v>3552</v>
      </c>
    </row>
    <row r="312" spans="1:22" x14ac:dyDescent="0.3">
      <c r="A312">
        <v>194044</v>
      </c>
      <c r="B312">
        <v>454995144</v>
      </c>
      <c r="C312" t="s">
        <v>1726</v>
      </c>
      <c r="D312" s="9">
        <v>270363458</v>
      </c>
      <c r="E312" t="s">
        <v>1710</v>
      </c>
      <c r="F312" t="s">
        <v>531</v>
      </c>
      <c r="G312" t="s">
        <v>30</v>
      </c>
      <c r="H312" t="s">
        <v>31</v>
      </c>
      <c r="I312" t="s">
        <v>52</v>
      </c>
      <c r="J312" t="s">
        <v>32</v>
      </c>
      <c r="K312" t="s">
        <v>29</v>
      </c>
      <c r="L312" t="s">
        <v>1727</v>
      </c>
      <c r="M312" t="s">
        <v>1728</v>
      </c>
      <c r="N312" t="s">
        <v>534</v>
      </c>
      <c r="O312" t="s">
        <v>39</v>
      </c>
      <c r="P312" t="s">
        <v>1729</v>
      </c>
      <c r="Q312" t="s">
        <v>41</v>
      </c>
      <c r="R312" s="29">
        <v>46159.808333333334</v>
      </c>
      <c r="S312">
        <v>0.37</v>
      </c>
      <c r="T312">
        <v>3339</v>
      </c>
      <c r="U312">
        <v>0</v>
      </c>
      <c r="V312">
        <v>3339</v>
      </c>
    </row>
    <row r="313" spans="1:22" x14ac:dyDescent="0.3">
      <c r="A313">
        <v>194044</v>
      </c>
      <c r="B313">
        <v>454939909</v>
      </c>
      <c r="C313" t="s">
        <v>1730</v>
      </c>
      <c r="D313" s="9">
        <v>270231832</v>
      </c>
      <c r="E313" t="s">
        <v>1710</v>
      </c>
      <c r="F313" t="s">
        <v>531</v>
      </c>
      <c r="G313" t="s">
        <v>30</v>
      </c>
      <c r="H313" t="s">
        <v>31</v>
      </c>
      <c r="I313" t="s">
        <v>52</v>
      </c>
      <c r="J313" t="s">
        <v>32</v>
      </c>
      <c r="K313" t="s">
        <v>29</v>
      </c>
      <c r="L313" t="s">
        <v>1731</v>
      </c>
      <c r="M313" t="s">
        <v>1732</v>
      </c>
      <c r="N313" t="s">
        <v>534</v>
      </c>
      <c r="O313" t="s">
        <v>39</v>
      </c>
      <c r="P313" t="s">
        <v>1733</v>
      </c>
      <c r="Q313" t="s">
        <v>186</v>
      </c>
      <c r="R313" s="29">
        <v>46157.316666666666</v>
      </c>
      <c r="S313">
        <v>0.59</v>
      </c>
      <c r="T313">
        <v>3631</v>
      </c>
      <c r="U313">
        <v>0</v>
      </c>
      <c r="V313">
        <v>3631</v>
      </c>
    </row>
    <row r="314" spans="1:22" x14ac:dyDescent="0.3">
      <c r="A314">
        <v>194044</v>
      </c>
      <c r="B314">
        <v>454635389</v>
      </c>
      <c r="C314" t="s">
        <v>1734</v>
      </c>
      <c r="D314" s="9">
        <v>269651512</v>
      </c>
      <c r="E314" t="s">
        <v>1710</v>
      </c>
      <c r="F314" t="s">
        <v>531</v>
      </c>
      <c r="G314" t="s">
        <v>30</v>
      </c>
      <c r="H314" t="s">
        <v>31</v>
      </c>
      <c r="I314" t="s">
        <v>52</v>
      </c>
      <c r="J314" t="s">
        <v>32</v>
      </c>
      <c r="K314" t="s">
        <v>29</v>
      </c>
      <c r="L314" t="s">
        <v>1735</v>
      </c>
      <c r="M314" t="s">
        <v>1736</v>
      </c>
      <c r="N314" t="s">
        <v>534</v>
      </c>
      <c r="O314" t="s">
        <v>39</v>
      </c>
      <c r="P314" t="s">
        <v>1737</v>
      </c>
      <c r="Q314" t="s">
        <v>234</v>
      </c>
      <c r="R314" s="29">
        <v>46148.464583333334</v>
      </c>
      <c r="S314">
        <v>0.3</v>
      </c>
      <c r="T314">
        <v>4440</v>
      </c>
      <c r="U314">
        <v>0</v>
      </c>
      <c r="V314">
        <v>4440</v>
      </c>
    </row>
    <row r="315" spans="1:22" x14ac:dyDescent="0.3">
      <c r="A315">
        <v>194044</v>
      </c>
      <c r="B315">
        <v>454831449</v>
      </c>
      <c r="C315" t="s">
        <v>1738</v>
      </c>
      <c r="D315" s="9">
        <v>270026373</v>
      </c>
      <c r="E315" t="s">
        <v>1710</v>
      </c>
      <c r="F315" t="s">
        <v>531</v>
      </c>
      <c r="G315" t="s">
        <v>30</v>
      </c>
      <c r="H315" t="s">
        <v>31</v>
      </c>
      <c r="I315" t="s">
        <v>52</v>
      </c>
      <c r="J315" t="s">
        <v>32</v>
      </c>
      <c r="K315" t="s">
        <v>29</v>
      </c>
      <c r="L315" t="s">
        <v>1739</v>
      </c>
      <c r="M315" t="s">
        <v>507</v>
      </c>
      <c r="N315" t="s">
        <v>534</v>
      </c>
      <c r="O315" t="s">
        <v>39</v>
      </c>
      <c r="P315" t="s">
        <v>1740</v>
      </c>
      <c r="Q315" t="s">
        <v>140</v>
      </c>
      <c r="R315" s="29">
        <v>46154.364583333336</v>
      </c>
      <c r="S315">
        <v>0.28999999999999998</v>
      </c>
      <c r="T315">
        <v>3193</v>
      </c>
      <c r="U315">
        <v>0</v>
      </c>
      <c r="V315">
        <v>3193</v>
      </c>
    </row>
    <row r="316" spans="1:22" x14ac:dyDescent="0.3">
      <c r="A316">
        <v>194044</v>
      </c>
      <c r="B316">
        <v>454737122</v>
      </c>
      <c r="C316" t="s">
        <v>1741</v>
      </c>
      <c r="D316" s="9">
        <v>269848504</v>
      </c>
      <c r="E316" t="s">
        <v>1710</v>
      </c>
      <c r="F316" t="s">
        <v>531</v>
      </c>
      <c r="G316" t="s">
        <v>30</v>
      </c>
      <c r="H316" t="s">
        <v>31</v>
      </c>
      <c r="I316" t="s">
        <v>52</v>
      </c>
      <c r="J316" t="s">
        <v>32</v>
      </c>
      <c r="K316" t="s">
        <v>29</v>
      </c>
      <c r="L316" t="s">
        <v>1742</v>
      </c>
      <c r="M316" t="s">
        <v>1743</v>
      </c>
      <c r="N316" t="s">
        <v>534</v>
      </c>
      <c r="O316" t="s">
        <v>39</v>
      </c>
      <c r="P316" t="s">
        <v>1744</v>
      </c>
      <c r="Q316" t="s">
        <v>38</v>
      </c>
      <c r="R316" s="29">
        <v>46150.870138888888</v>
      </c>
      <c r="S316">
        <v>1</v>
      </c>
      <c r="T316">
        <v>3250</v>
      </c>
      <c r="U316">
        <v>0</v>
      </c>
      <c r="V316">
        <v>3250</v>
      </c>
    </row>
    <row r="317" spans="1:22" x14ac:dyDescent="0.3">
      <c r="A317">
        <v>194044</v>
      </c>
      <c r="B317">
        <v>454742788</v>
      </c>
      <c r="C317" t="s">
        <v>1745</v>
      </c>
      <c r="D317" s="9">
        <v>269856840</v>
      </c>
      <c r="E317" t="s">
        <v>1710</v>
      </c>
      <c r="F317" t="s">
        <v>531</v>
      </c>
      <c r="G317" t="s">
        <v>30</v>
      </c>
      <c r="H317" t="s">
        <v>31</v>
      </c>
      <c r="I317" t="s">
        <v>52</v>
      </c>
      <c r="J317" t="s">
        <v>32</v>
      </c>
      <c r="K317" t="s">
        <v>29</v>
      </c>
      <c r="L317" t="s">
        <v>1746</v>
      </c>
      <c r="M317" t="s">
        <v>1747</v>
      </c>
      <c r="N317" t="s">
        <v>534</v>
      </c>
      <c r="O317" t="s">
        <v>39</v>
      </c>
      <c r="P317" t="s">
        <v>1748</v>
      </c>
      <c r="Q317" t="s">
        <v>33</v>
      </c>
      <c r="R317" s="29">
        <v>46151.339583333334</v>
      </c>
      <c r="S317">
        <v>1</v>
      </c>
      <c r="T317">
        <v>3631</v>
      </c>
      <c r="U317">
        <v>0</v>
      </c>
      <c r="V317">
        <v>3631</v>
      </c>
    </row>
    <row r="318" spans="1:22" x14ac:dyDescent="0.3">
      <c r="A318">
        <v>194044</v>
      </c>
      <c r="B318">
        <v>454690411</v>
      </c>
      <c r="C318" t="s">
        <v>1749</v>
      </c>
      <c r="D318" s="9">
        <v>269749445</v>
      </c>
      <c r="E318" t="s">
        <v>1710</v>
      </c>
      <c r="F318" t="s">
        <v>531</v>
      </c>
      <c r="G318" t="s">
        <v>30</v>
      </c>
      <c r="H318" t="s">
        <v>31</v>
      </c>
      <c r="I318" t="s">
        <v>52</v>
      </c>
      <c r="J318" t="s">
        <v>32</v>
      </c>
      <c r="K318" t="s">
        <v>29</v>
      </c>
      <c r="L318" t="s">
        <v>1750</v>
      </c>
      <c r="M318" t="s">
        <v>1751</v>
      </c>
      <c r="N318" t="s">
        <v>534</v>
      </c>
      <c r="O318" t="s">
        <v>39</v>
      </c>
      <c r="P318" t="s">
        <v>1752</v>
      </c>
      <c r="Q318" t="s">
        <v>63</v>
      </c>
      <c r="R318" s="29">
        <v>46149.625694444447</v>
      </c>
      <c r="S318">
        <v>1</v>
      </c>
      <c r="T318">
        <v>3384</v>
      </c>
      <c r="U318">
        <v>0</v>
      </c>
      <c r="V318">
        <v>3384</v>
      </c>
    </row>
    <row r="319" spans="1:22" x14ac:dyDescent="0.3">
      <c r="A319">
        <v>194044</v>
      </c>
      <c r="B319">
        <v>454670190</v>
      </c>
      <c r="C319" t="s">
        <v>1753</v>
      </c>
      <c r="D319" s="9">
        <v>269715730</v>
      </c>
      <c r="E319" t="s">
        <v>1710</v>
      </c>
      <c r="F319" t="s">
        <v>531</v>
      </c>
      <c r="G319" t="s">
        <v>30</v>
      </c>
      <c r="H319" t="s">
        <v>31</v>
      </c>
      <c r="I319" t="s">
        <v>52</v>
      </c>
      <c r="J319" t="s">
        <v>32</v>
      </c>
      <c r="K319" t="s">
        <v>29</v>
      </c>
      <c r="L319" t="s">
        <v>514</v>
      </c>
      <c r="M319" t="s">
        <v>1754</v>
      </c>
      <c r="N319" t="s">
        <v>534</v>
      </c>
      <c r="O319" t="s">
        <v>39</v>
      </c>
      <c r="P319" t="s">
        <v>1755</v>
      </c>
      <c r="Q319" t="s">
        <v>42</v>
      </c>
      <c r="R319" s="29">
        <v>46149.370138888888</v>
      </c>
      <c r="S319">
        <v>1</v>
      </c>
      <c r="T319">
        <v>3250</v>
      </c>
      <c r="U319">
        <v>0</v>
      </c>
      <c r="V319">
        <v>3250</v>
      </c>
    </row>
    <row r="320" spans="1:22" x14ac:dyDescent="0.3">
      <c r="A320">
        <v>194044</v>
      </c>
      <c r="B320">
        <v>454472814</v>
      </c>
      <c r="C320" t="s">
        <v>1756</v>
      </c>
      <c r="D320" s="9">
        <v>269345198</v>
      </c>
      <c r="E320" t="s">
        <v>1710</v>
      </c>
      <c r="F320" t="s">
        <v>531</v>
      </c>
      <c r="G320" t="s">
        <v>30</v>
      </c>
      <c r="H320" t="s">
        <v>31</v>
      </c>
      <c r="I320" t="s">
        <v>52</v>
      </c>
      <c r="J320" t="s">
        <v>32</v>
      </c>
      <c r="K320" t="s">
        <v>29</v>
      </c>
      <c r="L320" t="s">
        <v>1757</v>
      </c>
      <c r="M320" t="s">
        <v>1758</v>
      </c>
      <c r="N320" t="s">
        <v>534</v>
      </c>
      <c r="O320" t="s">
        <v>39</v>
      </c>
      <c r="P320" t="s">
        <v>1759</v>
      </c>
      <c r="Q320" t="s">
        <v>211</v>
      </c>
      <c r="R320" s="29">
        <v>46144.379166666666</v>
      </c>
      <c r="S320">
        <v>1</v>
      </c>
      <c r="T320">
        <v>3250</v>
      </c>
      <c r="U320">
        <v>0</v>
      </c>
      <c r="V320">
        <v>3250</v>
      </c>
    </row>
    <row r="321" spans="1:22" x14ac:dyDescent="0.3">
      <c r="A321">
        <v>194044</v>
      </c>
      <c r="B321">
        <v>454454335</v>
      </c>
      <c r="C321" t="s">
        <v>1760</v>
      </c>
      <c r="D321" s="9">
        <v>269325900</v>
      </c>
      <c r="E321" t="s">
        <v>1710</v>
      </c>
      <c r="F321" t="s">
        <v>531</v>
      </c>
      <c r="G321" t="s">
        <v>30</v>
      </c>
      <c r="H321" t="s">
        <v>31</v>
      </c>
      <c r="I321" t="s">
        <v>52</v>
      </c>
      <c r="J321" t="s">
        <v>32</v>
      </c>
      <c r="K321" t="s">
        <v>29</v>
      </c>
      <c r="L321" t="s">
        <v>1761</v>
      </c>
      <c r="M321" t="s">
        <v>1762</v>
      </c>
      <c r="N321" t="s">
        <v>534</v>
      </c>
      <c r="O321" t="s">
        <v>39</v>
      </c>
      <c r="P321" t="s">
        <v>1763</v>
      </c>
      <c r="Q321" t="s">
        <v>44</v>
      </c>
      <c r="R321" s="29">
        <v>46143.493750000001</v>
      </c>
      <c r="S321">
        <v>1</v>
      </c>
      <c r="T321">
        <v>4205</v>
      </c>
      <c r="U321">
        <v>0</v>
      </c>
      <c r="V321">
        <v>4205</v>
      </c>
    </row>
    <row r="322" spans="1:22" x14ac:dyDescent="0.3">
      <c r="A322">
        <v>194044</v>
      </c>
      <c r="B322">
        <v>454505842</v>
      </c>
      <c r="C322" t="s">
        <v>1764</v>
      </c>
      <c r="D322" s="9">
        <v>269424193</v>
      </c>
      <c r="E322" t="s">
        <v>1710</v>
      </c>
      <c r="F322" t="s">
        <v>531</v>
      </c>
      <c r="G322" t="s">
        <v>30</v>
      </c>
      <c r="H322" t="s">
        <v>31</v>
      </c>
      <c r="I322" t="s">
        <v>52</v>
      </c>
      <c r="J322" t="s">
        <v>32</v>
      </c>
      <c r="K322" t="s">
        <v>29</v>
      </c>
      <c r="L322" t="s">
        <v>1765</v>
      </c>
      <c r="M322" t="s">
        <v>1766</v>
      </c>
      <c r="N322" t="s">
        <v>534</v>
      </c>
      <c r="O322" t="s">
        <v>39</v>
      </c>
      <c r="P322" t="s">
        <v>1767</v>
      </c>
      <c r="Q322" t="s">
        <v>77</v>
      </c>
      <c r="R322" s="29">
        <v>46145.704861111109</v>
      </c>
      <c r="S322">
        <v>1</v>
      </c>
      <c r="T322">
        <v>3631</v>
      </c>
      <c r="U322">
        <v>0</v>
      </c>
      <c r="V322">
        <v>3631</v>
      </c>
    </row>
    <row r="323" spans="1:22" x14ac:dyDescent="0.3">
      <c r="A323">
        <v>194044</v>
      </c>
      <c r="B323">
        <v>454418991</v>
      </c>
      <c r="C323" t="s">
        <v>1768</v>
      </c>
      <c r="D323" s="9">
        <v>269263913</v>
      </c>
      <c r="E323" t="s">
        <v>1710</v>
      </c>
      <c r="F323" t="s">
        <v>531</v>
      </c>
      <c r="G323" t="s">
        <v>30</v>
      </c>
      <c r="H323" t="s">
        <v>31</v>
      </c>
      <c r="I323" t="s">
        <v>52</v>
      </c>
      <c r="J323" t="s">
        <v>32</v>
      </c>
      <c r="K323" t="s">
        <v>29</v>
      </c>
      <c r="L323" t="s">
        <v>1769</v>
      </c>
      <c r="M323" t="s">
        <v>1770</v>
      </c>
      <c r="N323" t="s">
        <v>534</v>
      </c>
      <c r="O323" t="s">
        <v>39</v>
      </c>
      <c r="P323" t="s">
        <v>1771</v>
      </c>
      <c r="Q323" t="s">
        <v>72</v>
      </c>
      <c r="R323" s="29">
        <v>46142.393055555556</v>
      </c>
      <c r="S323">
        <v>0.34</v>
      </c>
      <c r="T323">
        <v>3552</v>
      </c>
      <c r="U323">
        <v>0</v>
      </c>
      <c r="V323">
        <v>3552</v>
      </c>
    </row>
    <row r="324" spans="1:22" x14ac:dyDescent="0.3">
      <c r="A324">
        <v>194044</v>
      </c>
      <c r="B324">
        <v>454494810</v>
      </c>
      <c r="C324" t="s">
        <v>1772</v>
      </c>
      <c r="D324" s="9">
        <v>269383590</v>
      </c>
      <c r="E324" t="s">
        <v>1710</v>
      </c>
      <c r="F324" t="s">
        <v>531</v>
      </c>
      <c r="G324" t="s">
        <v>30</v>
      </c>
      <c r="H324" t="s">
        <v>31</v>
      </c>
      <c r="I324" t="s">
        <v>52</v>
      </c>
      <c r="J324" t="s">
        <v>32</v>
      </c>
      <c r="K324" t="s">
        <v>29</v>
      </c>
      <c r="L324" t="s">
        <v>1773</v>
      </c>
      <c r="M324" t="s">
        <v>1774</v>
      </c>
      <c r="N324" t="s">
        <v>534</v>
      </c>
      <c r="O324" t="s">
        <v>39</v>
      </c>
      <c r="P324" t="s">
        <v>1775</v>
      </c>
      <c r="Q324" t="s">
        <v>33</v>
      </c>
      <c r="R324" s="29">
        <v>46145.013194444444</v>
      </c>
      <c r="S324">
        <v>1</v>
      </c>
      <c r="T324">
        <v>3631</v>
      </c>
      <c r="U324">
        <v>0</v>
      </c>
      <c r="V324">
        <v>3631</v>
      </c>
    </row>
    <row r="325" spans="1:22" x14ac:dyDescent="0.3">
      <c r="A325">
        <v>194044</v>
      </c>
      <c r="B325">
        <v>454383495</v>
      </c>
      <c r="C325" t="s">
        <v>1776</v>
      </c>
      <c r="D325" s="9">
        <v>269193955</v>
      </c>
      <c r="E325" t="s">
        <v>1710</v>
      </c>
      <c r="F325" t="s">
        <v>531</v>
      </c>
      <c r="G325" t="s">
        <v>30</v>
      </c>
      <c r="H325" t="s">
        <v>31</v>
      </c>
      <c r="I325" t="s">
        <v>52</v>
      </c>
      <c r="J325" t="s">
        <v>32</v>
      </c>
      <c r="K325" t="s">
        <v>29</v>
      </c>
      <c r="L325" t="s">
        <v>1777</v>
      </c>
      <c r="M325" t="s">
        <v>449</v>
      </c>
      <c r="N325" t="s">
        <v>534</v>
      </c>
      <c r="O325" t="s">
        <v>39</v>
      </c>
      <c r="P325" t="s">
        <v>1778</v>
      </c>
      <c r="Q325" t="s">
        <v>147</v>
      </c>
      <c r="R325" s="29">
        <v>46141.4</v>
      </c>
      <c r="S325">
        <v>1</v>
      </c>
      <c r="T325">
        <v>4205</v>
      </c>
      <c r="U325">
        <v>0</v>
      </c>
      <c r="V325">
        <v>4205</v>
      </c>
    </row>
    <row r="326" spans="1:22" x14ac:dyDescent="0.3">
      <c r="A326">
        <v>194044</v>
      </c>
      <c r="B326">
        <v>454338278</v>
      </c>
      <c r="C326" t="s">
        <v>1779</v>
      </c>
      <c r="D326" s="9">
        <v>269108568</v>
      </c>
      <c r="E326" t="s">
        <v>1710</v>
      </c>
      <c r="F326" t="s">
        <v>531</v>
      </c>
      <c r="G326" t="s">
        <v>30</v>
      </c>
      <c r="H326" t="s">
        <v>31</v>
      </c>
      <c r="I326" t="s">
        <v>52</v>
      </c>
      <c r="J326" t="s">
        <v>32</v>
      </c>
      <c r="K326" t="s">
        <v>29</v>
      </c>
      <c r="L326" t="s">
        <v>1780</v>
      </c>
      <c r="M326" t="s">
        <v>1781</v>
      </c>
      <c r="N326" t="s">
        <v>534</v>
      </c>
      <c r="O326" t="s">
        <v>39</v>
      </c>
      <c r="P326" t="s">
        <v>1782</v>
      </c>
      <c r="Q326" t="s">
        <v>38</v>
      </c>
      <c r="R326" s="29">
        <v>46139.988888888889</v>
      </c>
      <c r="S326">
        <v>1</v>
      </c>
      <c r="T326">
        <v>3250</v>
      </c>
      <c r="U326">
        <v>0</v>
      </c>
      <c r="V326">
        <v>3250</v>
      </c>
    </row>
    <row r="327" spans="1:22" x14ac:dyDescent="0.3">
      <c r="A327">
        <v>194044</v>
      </c>
      <c r="B327">
        <v>454345786</v>
      </c>
      <c r="C327" t="s">
        <v>1783</v>
      </c>
      <c r="D327" s="9">
        <v>269121926</v>
      </c>
      <c r="E327" t="s">
        <v>1710</v>
      </c>
      <c r="F327" t="s">
        <v>531</v>
      </c>
      <c r="G327" t="s">
        <v>30</v>
      </c>
      <c r="H327" t="s">
        <v>31</v>
      </c>
      <c r="I327" t="s">
        <v>52</v>
      </c>
      <c r="J327" t="s">
        <v>32</v>
      </c>
      <c r="K327" t="s">
        <v>29</v>
      </c>
      <c r="L327" t="s">
        <v>1784</v>
      </c>
      <c r="M327" t="s">
        <v>1785</v>
      </c>
      <c r="N327" t="s">
        <v>534</v>
      </c>
      <c r="O327" t="s">
        <v>39</v>
      </c>
      <c r="P327" t="s">
        <v>1786</v>
      </c>
      <c r="Q327" t="s">
        <v>35</v>
      </c>
      <c r="R327" s="29">
        <v>46140.40902777778</v>
      </c>
      <c r="S327">
        <v>1</v>
      </c>
      <c r="T327">
        <v>3935</v>
      </c>
      <c r="U327">
        <v>0</v>
      </c>
      <c r="V327">
        <v>3935</v>
      </c>
    </row>
    <row r="328" spans="1:22" x14ac:dyDescent="0.3">
      <c r="A328">
        <v>194044</v>
      </c>
      <c r="B328">
        <v>454320832</v>
      </c>
      <c r="C328" t="s">
        <v>1787</v>
      </c>
      <c r="D328" s="9">
        <v>269075449</v>
      </c>
      <c r="E328" t="s">
        <v>1710</v>
      </c>
      <c r="F328" t="s">
        <v>531</v>
      </c>
      <c r="G328" t="s">
        <v>30</v>
      </c>
      <c r="H328" t="s">
        <v>31</v>
      </c>
      <c r="I328" t="s">
        <v>52</v>
      </c>
      <c r="J328" t="s">
        <v>32</v>
      </c>
      <c r="K328" t="s">
        <v>29</v>
      </c>
      <c r="L328" t="s">
        <v>1788</v>
      </c>
      <c r="M328" t="s">
        <v>1789</v>
      </c>
      <c r="N328" t="s">
        <v>534</v>
      </c>
      <c r="O328" t="s">
        <v>39</v>
      </c>
      <c r="P328" t="s">
        <v>1790</v>
      </c>
      <c r="Q328" t="s">
        <v>48</v>
      </c>
      <c r="R328" s="29">
        <v>46139.613888888889</v>
      </c>
      <c r="S328">
        <v>0.31</v>
      </c>
      <c r="T328">
        <v>3193</v>
      </c>
      <c r="U328">
        <v>0</v>
      </c>
      <c r="V328">
        <v>3193</v>
      </c>
    </row>
    <row r="329" spans="1:22" x14ac:dyDescent="0.3">
      <c r="A329">
        <v>194044</v>
      </c>
      <c r="B329">
        <v>454347034</v>
      </c>
      <c r="C329" t="s">
        <v>1791</v>
      </c>
      <c r="D329" s="9">
        <v>269123729</v>
      </c>
      <c r="E329" t="s">
        <v>1710</v>
      </c>
      <c r="F329" t="s">
        <v>531</v>
      </c>
      <c r="G329" t="s">
        <v>30</v>
      </c>
      <c r="H329" t="s">
        <v>31</v>
      </c>
      <c r="I329" t="s">
        <v>52</v>
      </c>
      <c r="J329" t="s">
        <v>32</v>
      </c>
      <c r="K329" t="s">
        <v>29</v>
      </c>
      <c r="L329" t="s">
        <v>1792</v>
      </c>
      <c r="M329" t="s">
        <v>376</v>
      </c>
      <c r="N329" t="s">
        <v>534</v>
      </c>
      <c r="O329" t="s">
        <v>39</v>
      </c>
      <c r="P329" t="s">
        <v>1793</v>
      </c>
      <c r="Q329" t="s">
        <v>70</v>
      </c>
      <c r="R329" s="29">
        <v>46140.42291666667</v>
      </c>
      <c r="S329">
        <v>1</v>
      </c>
      <c r="T329">
        <v>3631</v>
      </c>
      <c r="U329">
        <v>0</v>
      </c>
      <c r="V329">
        <v>3631</v>
      </c>
    </row>
    <row r="330" spans="1:22" x14ac:dyDescent="0.3">
      <c r="A330">
        <v>194044</v>
      </c>
      <c r="B330">
        <v>454335995</v>
      </c>
      <c r="C330" t="s">
        <v>1794</v>
      </c>
      <c r="D330" s="9">
        <v>269105948</v>
      </c>
      <c r="E330" t="s">
        <v>1710</v>
      </c>
      <c r="F330" t="s">
        <v>531</v>
      </c>
      <c r="G330" t="s">
        <v>30</v>
      </c>
      <c r="H330" t="s">
        <v>31</v>
      </c>
      <c r="I330" t="s">
        <v>52</v>
      </c>
      <c r="J330" t="s">
        <v>32</v>
      </c>
      <c r="K330" t="s">
        <v>29</v>
      </c>
      <c r="L330" t="s">
        <v>1795</v>
      </c>
      <c r="M330" t="s">
        <v>1796</v>
      </c>
      <c r="N330" t="s">
        <v>534</v>
      </c>
      <c r="O330" t="s">
        <v>39</v>
      </c>
      <c r="P330" t="s">
        <v>1797</v>
      </c>
      <c r="Q330" t="s">
        <v>74</v>
      </c>
      <c r="R330" s="29">
        <v>46139.901388888888</v>
      </c>
      <c r="S330">
        <v>1</v>
      </c>
      <c r="T330">
        <v>3653</v>
      </c>
      <c r="U330">
        <v>0</v>
      </c>
      <c r="V330">
        <v>3653</v>
      </c>
    </row>
    <row r="331" spans="1:22" x14ac:dyDescent="0.3">
      <c r="A331">
        <v>194044</v>
      </c>
      <c r="B331">
        <v>454272593</v>
      </c>
      <c r="C331" t="s">
        <v>1798</v>
      </c>
      <c r="D331" s="9">
        <v>268984397</v>
      </c>
      <c r="E331" t="s">
        <v>1710</v>
      </c>
      <c r="F331" t="s">
        <v>531</v>
      </c>
      <c r="G331" t="s">
        <v>30</v>
      </c>
      <c r="H331" t="s">
        <v>31</v>
      </c>
      <c r="I331" t="s">
        <v>52</v>
      </c>
      <c r="J331" t="s">
        <v>32</v>
      </c>
      <c r="K331" t="s">
        <v>29</v>
      </c>
      <c r="L331" t="s">
        <v>1799</v>
      </c>
      <c r="M331" t="s">
        <v>1800</v>
      </c>
      <c r="N331" t="s">
        <v>534</v>
      </c>
      <c r="O331" t="s">
        <v>39</v>
      </c>
      <c r="P331" t="s">
        <v>1801</v>
      </c>
      <c r="Q331" t="s">
        <v>44</v>
      </c>
      <c r="R331" s="29">
        <v>46137.94027777778</v>
      </c>
      <c r="S331">
        <v>0.43</v>
      </c>
      <c r="T331">
        <v>3552</v>
      </c>
      <c r="U331">
        <v>0</v>
      </c>
      <c r="V331">
        <v>3552</v>
      </c>
    </row>
    <row r="332" spans="1:22" x14ac:dyDescent="0.3">
      <c r="A332">
        <v>194044</v>
      </c>
      <c r="B332">
        <v>454309542</v>
      </c>
      <c r="C332" t="s">
        <v>1802</v>
      </c>
      <c r="D332" s="9">
        <v>269054117</v>
      </c>
      <c r="E332" t="s">
        <v>1710</v>
      </c>
      <c r="F332" t="s">
        <v>531</v>
      </c>
      <c r="G332" t="s">
        <v>30</v>
      </c>
      <c r="H332" t="s">
        <v>31</v>
      </c>
      <c r="I332" t="s">
        <v>52</v>
      </c>
      <c r="J332" t="s">
        <v>115</v>
      </c>
      <c r="K332" t="s">
        <v>29</v>
      </c>
      <c r="L332" t="s">
        <v>1803</v>
      </c>
      <c r="M332" t="s">
        <v>1804</v>
      </c>
      <c r="N332" t="s">
        <v>534</v>
      </c>
      <c r="O332" t="s">
        <v>39</v>
      </c>
      <c r="P332" t="s">
        <v>1805</v>
      </c>
      <c r="Q332" t="s">
        <v>46</v>
      </c>
      <c r="R332" s="29">
        <v>46139.474999999999</v>
      </c>
      <c r="S332">
        <v>0.36</v>
      </c>
      <c r="T332">
        <v>3157</v>
      </c>
      <c r="U332">
        <v>0</v>
      </c>
      <c r="V332">
        <v>3157</v>
      </c>
    </row>
    <row r="333" spans="1:22" x14ac:dyDescent="0.3">
      <c r="A333">
        <v>194044</v>
      </c>
      <c r="B333">
        <v>454966490</v>
      </c>
      <c r="C333" t="s">
        <v>1806</v>
      </c>
      <c r="D333" s="9" t="s">
        <v>1807</v>
      </c>
      <c r="E333" t="s">
        <v>1710</v>
      </c>
      <c r="F333" t="s">
        <v>531</v>
      </c>
      <c r="G333" t="s">
        <v>104</v>
      </c>
      <c r="H333" t="s">
        <v>105</v>
      </c>
      <c r="I333" t="s">
        <v>52</v>
      </c>
      <c r="J333" t="s">
        <v>106</v>
      </c>
      <c r="K333" t="s">
        <v>29</v>
      </c>
      <c r="L333" t="s">
        <v>1808</v>
      </c>
      <c r="M333" t="s">
        <v>1809</v>
      </c>
      <c r="N333" t="s">
        <v>534</v>
      </c>
      <c r="O333" t="s">
        <v>39</v>
      </c>
      <c r="P333" t="s">
        <v>1810</v>
      </c>
      <c r="Q333" t="s">
        <v>89</v>
      </c>
      <c r="R333" s="29" t="s">
        <v>1811</v>
      </c>
      <c r="S333">
        <v>0.48</v>
      </c>
      <c r="T333">
        <v>4755</v>
      </c>
      <c r="U333">
        <v>30</v>
      </c>
      <c r="V333">
        <v>4785</v>
      </c>
    </row>
    <row r="334" spans="1:22" x14ac:dyDescent="0.3">
      <c r="A334">
        <v>194044</v>
      </c>
      <c r="B334">
        <v>454762765</v>
      </c>
      <c r="C334" t="s">
        <v>1812</v>
      </c>
      <c r="D334" s="9" t="s">
        <v>1813</v>
      </c>
      <c r="E334" t="s">
        <v>1710</v>
      </c>
      <c r="F334" t="s">
        <v>531</v>
      </c>
      <c r="G334" t="s">
        <v>104</v>
      </c>
      <c r="H334" t="s">
        <v>105</v>
      </c>
      <c r="I334" t="s">
        <v>52</v>
      </c>
      <c r="J334" t="s">
        <v>106</v>
      </c>
      <c r="K334" t="s">
        <v>29</v>
      </c>
      <c r="L334" t="s">
        <v>1814</v>
      </c>
      <c r="M334" t="s">
        <v>1815</v>
      </c>
      <c r="N334" t="s">
        <v>534</v>
      </c>
      <c r="O334" t="s">
        <v>39</v>
      </c>
      <c r="P334" t="s">
        <v>1816</v>
      </c>
      <c r="Q334" t="s">
        <v>215</v>
      </c>
      <c r="R334" s="29" t="s">
        <v>1817</v>
      </c>
      <c r="S334">
        <v>0.11</v>
      </c>
      <c r="T334">
        <v>6997</v>
      </c>
      <c r="U334">
        <v>120</v>
      </c>
      <c r="V334">
        <v>7117</v>
      </c>
    </row>
    <row r="335" spans="1:22" x14ac:dyDescent="0.3">
      <c r="A335">
        <v>194044</v>
      </c>
      <c r="B335">
        <v>454361376</v>
      </c>
      <c r="C335" t="s">
        <v>1818</v>
      </c>
      <c r="D335" s="9" t="s">
        <v>1819</v>
      </c>
      <c r="E335" t="s">
        <v>1710</v>
      </c>
      <c r="F335" t="s">
        <v>531</v>
      </c>
      <c r="G335" t="s">
        <v>110</v>
      </c>
      <c r="H335" t="s">
        <v>111</v>
      </c>
      <c r="I335" t="s">
        <v>52</v>
      </c>
      <c r="J335" t="s">
        <v>112</v>
      </c>
      <c r="K335" t="s">
        <v>29</v>
      </c>
      <c r="L335" t="s">
        <v>113</v>
      </c>
      <c r="M335" t="s">
        <v>1820</v>
      </c>
      <c r="N335" t="s">
        <v>534</v>
      </c>
      <c r="O335" t="s">
        <v>39</v>
      </c>
      <c r="P335" t="s">
        <v>1821</v>
      </c>
      <c r="Q335" t="s">
        <v>238</v>
      </c>
      <c r="R335" s="29" t="s">
        <v>455</v>
      </c>
      <c r="S335">
        <v>1</v>
      </c>
      <c r="T335">
        <v>9953</v>
      </c>
      <c r="U335">
        <v>0</v>
      </c>
      <c r="V335">
        <v>9953</v>
      </c>
    </row>
    <row r="336" spans="1:22" x14ac:dyDescent="0.3">
      <c r="A336">
        <v>194044</v>
      </c>
      <c r="B336">
        <v>454366665</v>
      </c>
      <c r="C336" t="s">
        <v>1822</v>
      </c>
      <c r="D336" s="9" t="s">
        <v>1823</v>
      </c>
      <c r="E336" t="s">
        <v>1710</v>
      </c>
      <c r="F336" t="s">
        <v>531</v>
      </c>
      <c r="G336" t="s">
        <v>110</v>
      </c>
      <c r="H336" t="s">
        <v>111</v>
      </c>
      <c r="I336" t="s">
        <v>52</v>
      </c>
      <c r="J336" t="s">
        <v>112</v>
      </c>
      <c r="K336" t="s">
        <v>29</v>
      </c>
      <c r="L336" t="s">
        <v>113</v>
      </c>
      <c r="M336" t="s">
        <v>1824</v>
      </c>
      <c r="N336" t="s">
        <v>534</v>
      </c>
      <c r="O336" t="s">
        <v>39</v>
      </c>
      <c r="P336" t="s">
        <v>1825</v>
      </c>
      <c r="Q336" t="s">
        <v>156</v>
      </c>
      <c r="R336" s="29" t="s">
        <v>396</v>
      </c>
      <c r="S336">
        <v>0.2</v>
      </c>
      <c r="T336">
        <v>6203</v>
      </c>
      <c r="U336">
        <v>0</v>
      </c>
      <c r="V336">
        <v>6203</v>
      </c>
    </row>
    <row r="337" spans="1:22" x14ac:dyDescent="0.3">
      <c r="A337">
        <v>194044</v>
      </c>
      <c r="B337">
        <v>454743573</v>
      </c>
      <c r="C337" t="s">
        <v>1826</v>
      </c>
      <c r="D337" s="9" t="s">
        <v>1827</v>
      </c>
      <c r="E337" t="s">
        <v>1710</v>
      </c>
      <c r="F337" t="s">
        <v>531</v>
      </c>
      <c r="G337" t="s">
        <v>110</v>
      </c>
      <c r="H337" t="s">
        <v>111</v>
      </c>
      <c r="I337" t="s">
        <v>52</v>
      </c>
      <c r="J337" t="s">
        <v>112</v>
      </c>
      <c r="K337" t="s">
        <v>29</v>
      </c>
      <c r="L337" t="s">
        <v>113</v>
      </c>
      <c r="M337" t="s">
        <v>1828</v>
      </c>
      <c r="N337" t="s">
        <v>534</v>
      </c>
      <c r="O337" t="s">
        <v>39</v>
      </c>
      <c r="P337" t="s">
        <v>1829</v>
      </c>
      <c r="Q337" t="s">
        <v>178</v>
      </c>
      <c r="R337" s="29" t="s">
        <v>1830</v>
      </c>
      <c r="S337">
        <v>0.13</v>
      </c>
      <c r="T337">
        <v>3927</v>
      </c>
      <c r="U337">
        <v>0</v>
      </c>
      <c r="V337">
        <v>3927</v>
      </c>
    </row>
    <row r="338" spans="1:22" x14ac:dyDescent="0.3">
      <c r="A338">
        <v>194044</v>
      </c>
      <c r="B338">
        <v>454677462</v>
      </c>
      <c r="C338" t="s">
        <v>1831</v>
      </c>
      <c r="D338" s="9" t="s">
        <v>1832</v>
      </c>
      <c r="E338" t="s">
        <v>1710</v>
      </c>
      <c r="F338" t="s">
        <v>531</v>
      </c>
      <c r="G338" t="s">
        <v>110</v>
      </c>
      <c r="H338" t="s">
        <v>111</v>
      </c>
      <c r="I338" t="s">
        <v>52</v>
      </c>
      <c r="J338" t="s">
        <v>112</v>
      </c>
      <c r="K338" t="s">
        <v>29</v>
      </c>
      <c r="L338" t="s">
        <v>113</v>
      </c>
      <c r="M338" t="s">
        <v>1833</v>
      </c>
      <c r="N338" t="s">
        <v>534</v>
      </c>
      <c r="O338" t="s">
        <v>39</v>
      </c>
      <c r="P338" t="s">
        <v>1834</v>
      </c>
      <c r="Q338" t="s">
        <v>151</v>
      </c>
      <c r="R338" s="29" t="s">
        <v>307</v>
      </c>
      <c r="S338">
        <v>0.18</v>
      </c>
      <c r="T338">
        <v>5825</v>
      </c>
      <c r="U338">
        <v>0</v>
      </c>
      <c r="V338">
        <v>5825</v>
      </c>
    </row>
    <row r="339" spans="1:22" x14ac:dyDescent="0.3">
      <c r="A339">
        <v>194044</v>
      </c>
      <c r="B339">
        <v>141826373</v>
      </c>
      <c r="C339" t="s">
        <v>1835</v>
      </c>
      <c r="D339" s="9" t="s">
        <v>1836</v>
      </c>
      <c r="E339" t="s">
        <v>1710</v>
      </c>
      <c r="F339" t="s">
        <v>531</v>
      </c>
      <c r="G339" t="s">
        <v>110</v>
      </c>
      <c r="H339" t="s">
        <v>111</v>
      </c>
      <c r="I339" t="s">
        <v>52</v>
      </c>
      <c r="J339" t="s">
        <v>112</v>
      </c>
      <c r="K339" t="s">
        <v>29</v>
      </c>
      <c r="L339" t="s">
        <v>113</v>
      </c>
      <c r="M339" t="s">
        <v>1837</v>
      </c>
      <c r="N339" t="s">
        <v>534</v>
      </c>
      <c r="O339" t="s">
        <v>39</v>
      </c>
      <c r="P339" t="s">
        <v>1838</v>
      </c>
      <c r="Q339" t="s">
        <v>64</v>
      </c>
      <c r="R339" s="29" t="s">
        <v>1839</v>
      </c>
      <c r="S339">
        <v>0.27</v>
      </c>
      <c r="T339">
        <v>5825</v>
      </c>
      <c r="U339">
        <v>0</v>
      </c>
      <c r="V339">
        <v>5825</v>
      </c>
    </row>
    <row r="340" spans="1:22" x14ac:dyDescent="0.3">
      <c r="A340">
        <v>80147</v>
      </c>
      <c r="B340">
        <v>455164844</v>
      </c>
      <c r="C340" t="s">
        <v>1840</v>
      </c>
      <c r="D340" s="9">
        <v>270656048</v>
      </c>
      <c r="E340" t="s">
        <v>1841</v>
      </c>
      <c r="F340" t="s">
        <v>531</v>
      </c>
      <c r="G340" t="s">
        <v>30</v>
      </c>
      <c r="H340" t="s">
        <v>31</v>
      </c>
      <c r="I340" t="s">
        <v>52</v>
      </c>
      <c r="J340" t="s">
        <v>32</v>
      </c>
      <c r="K340" t="s">
        <v>29</v>
      </c>
      <c r="L340" t="s">
        <v>1842</v>
      </c>
      <c r="M340" t="s">
        <v>1843</v>
      </c>
      <c r="N340" t="s">
        <v>534</v>
      </c>
      <c r="O340" t="s">
        <v>39</v>
      </c>
      <c r="P340" t="s">
        <v>1844</v>
      </c>
      <c r="Q340" t="s">
        <v>84</v>
      </c>
      <c r="R340" s="29">
        <v>46163.868750000001</v>
      </c>
      <c r="S340">
        <v>6.16</v>
      </c>
      <c r="T340">
        <v>10206</v>
      </c>
      <c r="U340">
        <v>0</v>
      </c>
      <c r="V340">
        <v>10206</v>
      </c>
    </row>
    <row r="341" spans="1:22" x14ac:dyDescent="0.3">
      <c r="A341">
        <v>80147</v>
      </c>
      <c r="B341">
        <v>455181739</v>
      </c>
      <c r="C341" t="s">
        <v>1845</v>
      </c>
      <c r="D341" s="9">
        <v>270656002</v>
      </c>
      <c r="E341" t="s">
        <v>1841</v>
      </c>
      <c r="F341" t="s">
        <v>531</v>
      </c>
      <c r="G341" t="s">
        <v>30</v>
      </c>
      <c r="H341" t="s">
        <v>31</v>
      </c>
      <c r="I341" t="s">
        <v>52</v>
      </c>
      <c r="J341" t="s">
        <v>32</v>
      </c>
      <c r="K341" t="s">
        <v>29</v>
      </c>
      <c r="L341" t="s">
        <v>1846</v>
      </c>
      <c r="M341" t="s">
        <v>1847</v>
      </c>
      <c r="N341" t="s">
        <v>534</v>
      </c>
      <c r="O341" t="s">
        <v>39</v>
      </c>
      <c r="P341" t="s">
        <v>1848</v>
      </c>
      <c r="Q341" t="s">
        <v>78</v>
      </c>
      <c r="R341" s="29">
        <v>46164.488194444442</v>
      </c>
      <c r="S341">
        <v>6.07</v>
      </c>
      <c r="T341">
        <v>5024</v>
      </c>
      <c r="U341">
        <v>0</v>
      </c>
      <c r="V341">
        <v>5024</v>
      </c>
    </row>
    <row r="342" spans="1:22" x14ac:dyDescent="0.3">
      <c r="A342">
        <v>80147</v>
      </c>
      <c r="B342">
        <v>455164841</v>
      </c>
      <c r="C342" t="s">
        <v>1849</v>
      </c>
      <c r="D342" s="9">
        <v>270656079</v>
      </c>
      <c r="E342" t="s">
        <v>1841</v>
      </c>
      <c r="F342" t="s">
        <v>531</v>
      </c>
      <c r="G342" t="s">
        <v>30</v>
      </c>
      <c r="H342" t="s">
        <v>31</v>
      </c>
      <c r="I342" t="s">
        <v>52</v>
      </c>
      <c r="J342" t="s">
        <v>32</v>
      </c>
      <c r="K342" t="s">
        <v>29</v>
      </c>
      <c r="L342" t="s">
        <v>1850</v>
      </c>
      <c r="M342" t="s">
        <v>497</v>
      </c>
      <c r="N342" t="s">
        <v>534</v>
      </c>
      <c r="O342" t="s">
        <v>39</v>
      </c>
      <c r="P342" t="s">
        <v>1851</v>
      </c>
      <c r="Q342" t="s">
        <v>38</v>
      </c>
      <c r="R342" s="29">
        <v>46163.868750000001</v>
      </c>
      <c r="S342">
        <v>6.03</v>
      </c>
      <c r="T342">
        <v>5024</v>
      </c>
      <c r="U342">
        <v>0</v>
      </c>
      <c r="V342">
        <v>5024</v>
      </c>
    </row>
    <row r="343" spans="1:22" x14ac:dyDescent="0.3">
      <c r="A343">
        <v>80147</v>
      </c>
      <c r="B343">
        <v>455164848</v>
      </c>
      <c r="C343" t="s">
        <v>1852</v>
      </c>
      <c r="D343" s="9">
        <v>270656044</v>
      </c>
      <c r="E343" t="s">
        <v>1841</v>
      </c>
      <c r="F343" t="s">
        <v>531</v>
      </c>
      <c r="G343" t="s">
        <v>30</v>
      </c>
      <c r="H343" t="s">
        <v>31</v>
      </c>
      <c r="I343" t="s">
        <v>52</v>
      </c>
      <c r="J343" t="s">
        <v>32</v>
      </c>
      <c r="K343" t="s">
        <v>29</v>
      </c>
      <c r="L343" t="s">
        <v>1853</v>
      </c>
      <c r="M343" t="s">
        <v>391</v>
      </c>
      <c r="N343" t="s">
        <v>534</v>
      </c>
      <c r="O343" t="s">
        <v>39</v>
      </c>
      <c r="P343" t="s">
        <v>1854</v>
      </c>
      <c r="Q343" t="s">
        <v>64</v>
      </c>
      <c r="R343" s="29">
        <v>46163.868750000001</v>
      </c>
      <c r="S343">
        <v>1</v>
      </c>
      <c r="T343">
        <v>3250</v>
      </c>
      <c r="U343">
        <v>0</v>
      </c>
      <c r="V343">
        <v>3250</v>
      </c>
    </row>
    <row r="344" spans="1:22" x14ac:dyDescent="0.3">
      <c r="A344">
        <v>80147</v>
      </c>
      <c r="B344">
        <v>455164837</v>
      </c>
      <c r="C344" t="s">
        <v>1855</v>
      </c>
      <c r="D344" s="9">
        <v>270656085</v>
      </c>
      <c r="E344" t="s">
        <v>1841</v>
      </c>
      <c r="F344" t="s">
        <v>531</v>
      </c>
      <c r="G344" t="s">
        <v>30</v>
      </c>
      <c r="H344" t="s">
        <v>31</v>
      </c>
      <c r="I344" t="s">
        <v>52</v>
      </c>
      <c r="J344" t="s">
        <v>32</v>
      </c>
      <c r="K344" t="s">
        <v>29</v>
      </c>
      <c r="L344" t="s">
        <v>1856</v>
      </c>
      <c r="M344" t="s">
        <v>1857</v>
      </c>
      <c r="N344" t="s">
        <v>534</v>
      </c>
      <c r="O344" t="s">
        <v>39</v>
      </c>
      <c r="P344" t="s">
        <v>1858</v>
      </c>
      <c r="Q344" t="s">
        <v>65</v>
      </c>
      <c r="R344" s="29">
        <v>46163.868750000001</v>
      </c>
      <c r="S344">
        <v>5.2</v>
      </c>
      <c r="T344">
        <v>6114</v>
      </c>
      <c r="U344">
        <v>0</v>
      </c>
      <c r="V344">
        <v>6114</v>
      </c>
    </row>
    <row r="345" spans="1:22" x14ac:dyDescent="0.3">
      <c r="A345">
        <v>80147</v>
      </c>
      <c r="B345">
        <v>455181738</v>
      </c>
      <c r="C345" t="s">
        <v>1859</v>
      </c>
      <c r="D345" s="9">
        <v>270655997</v>
      </c>
      <c r="E345" t="s">
        <v>1841</v>
      </c>
      <c r="F345" t="s">
        <v>531</v>
      </c>
      <c r="G345" t="s">
        <v>30</v>
      </c>
      <c r="H345" t="s">
        <v>31</v>
      </c>
      <c r="I345" t="s">
        <v>52</v>
      </c>
      <c r="J345" t="s">
        <v>32</v>
      </c>
      <c r="K345" t="s">
        <v>29</v>
      </c>
      <c r="L345" t="s">
        <v>1860</v>
      </c>
      <c r="M345" t="s">
        <v>1861</v>
      </c>
      <c r="N345" t="s">
        <v>534</v>
      </c>
      <c r="O345" t="s">
        <v>39</v>
      </c>
      <c r="P345" t="s">
        <v>1862</v>
      </c>
      <c r="Q345" t="s">
        <v>65</v>
      </c>
      <c r="R345" s="29">
        <v>46164.488194444442</v>
      </c>
      <c r="S345">
        <v>6.38</v>
      </c>
      <c r="T345">
        <v>6114</v>
      </c>
      <c r="U345">
        <v>0</v>
      </c>
      <c r="V345">
        <v>6114</v>
      </c>
    </row>
    <row r="346" spans="1:22" x14ac:dyDescent="0.3">
      <c r="A346">
        <v>80147</v>
      </c>
      <c r="B346">
        <v>455164856</v>
      </c>
      <c r="C346" t="s">
        <v>1863</v>
      </c>
      <c r="D346" s="9">
        <v>270656032</v>
      </c>
      <c r="E346" t="s">
        <v>1841</v>
      </c>
      <c r="F346" t="s">
        <v>531</v>
      </c>
      <c r="G346" t="s">
        <v>30</v>
      </c>
      <c r="H346" t="s">
        <v>31</v>
      </c>
      <c r="I346" t="s">
        <v>52</v>
      </c>
      <c r="J346" t="s">
        <v>32</v>
      </c>
      <c r="K346" t="s">
        <v>29</v>
      </c>
      <c r="L346" t="s">
        <v>1864</v>
      </c>
      <c r="M346" t="s">
        <v>1865</v>
      </c>
      <c r="N346" t="s">
        <v>534</v>
      </c>
      <c r="O346" t="s">
        <v>39</v>
      </c>
      <c r="P346" t="s">
        <v>1866</v>
      </c>
      <c r="Q346" t="s">
        <v>33</v>
      </c>
      <c r="R346" s="29">
        <v>46163.869444444441</v>
      </c>
      <c r="S346">
        <v>5.57</v>
      </c>
      <c r="T346">
        <v>5564</v>
      </c>
      <c r="U346">
        <v>0</v>
      </c>
      <c r="V346">
        <v>5564</v>
      </c>
    </row>
    <row r="347" spans="1:22" x14ac:dyDescent="0.3">
      <c r="A347">
        <v>80147</v>
      </c>
      <c r="B347">
        <v>455164851</v>
      </c>
      <c r="C347" t="s">
        <v>1867</v>
      </c>
      <c r="D347" s="9">
        <v>270656029</v>
      </c>
      <c r="E347" t="s">
        <v>1841</v>
      </c>
      <c r="F347" t="s">
        <v>531</v>
      </c>
      <c r="G347" t="s">
        <v>30</v>
      </c>
      <c r="H347" t="s">
        <v>31</v>
      </c>
      <c r="I347" t="s">
        <v>52</v>
      </c>
      <c r="J347" t="s">
        <v>32</v>
      </c>
      <c r="K347" t="s">
        <v>29</v>
      </c>
      <c r="L347" t="s">
        <v>1868</v>
      </c>
      <c r="M347" t="s">
        <v>1869</v>
      </c>
      <c r="N347" t="s">
        <v>534</v>
      </c>
      <c r="O347" t="s">
        <v>39</v>
      </c>
      <c r="P347" t="s">
        <v>1870</v>
      </c>
      <c r="Q347" t="s">
        <v>33</v>
      </c>
      <c r="R347" s="29">
        <v>46163.869444444441</v>
      </c>
      <c r="S347">
        <v>6.28</v>
      </c>
      <c r="T347">
        <v>5564</v>
      </c>
      <c r="U347">
        <v>0</v>
      </c>
      <c r="V347">
        <v>5564</v>
      </c>
    </row>
    <row r="348" spans="1:22" x14ac:dyDescent="0.3">
      <c r="A348">
        <v>80147</v>
      </c>
      <c r="B348">
        <v>455049507</v>
      </c>
      <c r="C348" t="s">
        <v>1871</v>
      </c>
      <c r="D348" s="9">
        <v>270486532</v>
      </c>
      <c r="E348" t="s">
        <v>1841</v>
      </c>
      <c r="F348" t="s">
        <v>531</v>
      </c>
      <c r="G348" t="s">
        <v>30</v>
      </c>
      <c r="H348" t="s">
        <v>31</v>
      </c>
      <c r="I348" t="s">
        <v>52</v>
      </c>
      <c r="J348" t="s">
        <v>32</v>
      </c>
      <c r="K348" t="s">
        <v>29</v>
      </c>
      <c r="L348" t="s">
        <v>1872</v>
      </c>
      <c r="M348" t="s">
        <v>1873</v>
      </c>
      <c r="N348" t="s">
        <v>534</v>
      </c>
      <c r="O348" t="s">
        <v>39</v>
      </c>
      <c r="P348" t="s">
        <v>1874</v>
      </c>
      <c r="Q348" t="s">
        <v>36</v>
      </c>
      <c r="R348" s="29">
        <v>46161.419444444444</v>
      </c>
      <c r="S348">
        <v>5.53</v>
      </c>
      <c r="T348">
        <v>10476</v>
      </c>
      <c r="U348">
        <v>0</v>
      </c>
      <c r="V348">
        <v>10476</v>
      </c>
    </row>
    <row r="349" spans="1:22" x14ac:dyDescent="0.3">
      <c r="A349">
        <v>80147</v>
      </c>
      <c r="B349">
        <v>455049506</v>
      </c>
      <c r="C349" t="s">
        <v>1875</v>
      </c>
      <c r="D349" s="9">
        <v>270486509</v>
      </c>
      <c r="E349" t="s">
        <v>1841</v>
      </c>
      <c r="F349" t="s">
        <v>531</v>
      </c>
      <c r="G349" t="s">
        <v>30</v>
      </c>
      <c r="H349" t="s">
        <v>31</v>
      </c>
      <c r="I349" t="s">
        <v>52</v>
      </c>
      <c r="J349" t="s">
        <v>32</v>
      </c>
      <c r="K349" t="s">
        <v>29</v>
      </c>
      <c r="L349" t="s">
        <v>1876</v>
      </c>
      <c r="M349" t="s">
        <v>1877</v>
      </c>
      <c r="N349" t="s">
        <v>534</v>
      </c>
      <c r="O349" t="s">
        <v>39</v>
      </c>
      <c r="P349" t="s">
        <v>1878</v>
      </c>
      <c r="Q349" t="s">
        <v>193</v>
      </c>
      <c r="R349" s="29">
        <v>46161.419444444444</v>
      </c>
      <c r="S349">
        <v>5.77</v>
      </c>
      <c r="T349">
        <v>5295</v>
      </c>
      <c r="U349">
        <v>0</v>
      </c>
      <c r="V349">
        <v>5295</v>
      </c>
    </row>
    <row r="350" spans="1:22" x14ac:dyDescent="0.3">
      <c r="A350">
        <v>80147</v>
      </c>
      <c r="B350">
        <v>455074552</v>
      </c>
      <c r="C350" t="s">
        <v>1879</v>
      </c>
      <c r="D350" s="9">
        <v>270561222</v>
      </c>
      <c r="E350" t="s">
        <v>1841</v>
      </c>
      <c r="F350" t="s">
        <v>531</v>
      </c>
      <c r="G350" t="s">
        <v>30</v>
      </c>
      <c r="H350" t="s">
        <v>31</v>
      </c>
      <c r="I350" t="s">
        <v>52</v>
      </c>
      <c r="J350" t="s">
        <v>32</v>
      </c>
      <c r="K350" t="s">
        <v>29</v>
      </c>
      <c r="L350" t="s">
        <v>1880</v>
      </c>
      <c r="M350" t="s">
        <v>1881</v>
      </c>
      <c r="N350" t="s">
        <v>534</v>
      </c>
      <c r="O350" t="s">
        <v>39</v>
      </c>
      <c r="P350" t="s">
        <v>1882</v>
      </c>
      <c r="Q350" t="s">
        <v>189</v>
      </c>
      <c r="R350" s="29">
        <v>46161.842361111114</v>
      </c>
      <c r="S350">
        <v>5.6</v>
      </c>
      <c r="T350">
        <v>5024</v>
      </c>
      <c r="U350">
        <v>0</v>
      </c>
      <c r="V350">
        <v>5024</v>
      </c>
    </row>
    <row r="351" spans="1:22" x14ac:dyDescent="0.3">
      <c r="A351">
        <v>80147</v>
      </c>
      <c r="B351">
        <v>455086884</v>
      </c>
      <c r="C351" t="s">
        <v>1883</v>
      </c>
      <c r="D351" s="9">
        <v>270561216</v>
      </c>
      <c r="E351" t="s">
        <v>1841</v>
      </c>
      <c r="F351" t="s">
        <v>531</v>
      </c>
      <c r="G351" t="s">
        <v>30</v>
      </c>
      <c r="H351" t="s">
        <v>31</v>
      </c>
      <c r="I351" t="s">
        <v>52</v>
      </c>
      <c r="J351" t="s">
        <v>32</v>
      </c>
      <c r="K351" t="s">
        <v>29</v>
      </c>
      <c r="L351" t="s">
        <v>1884</v>
      </c>
      <c r="M351" t="s">
        <v>1885</v>
      </c>
      <c r="N351" t="s">
        <v>534</v>
      </c>
      <c r="O351" t="s">
        <v>39</v>
      </c>
      <c r="P351" t="s">
        <v>1886</v>
      </c>
      <c r="Q351" t="s">
        <v>180</v>
      </c>
      <c r="R351" s="29">
        <v>46162.439583333333</v>
      </c>
      <c r="S351">
        <v>6.36</v>
      </c>
      <c r="T351">
        <v>5024</v>
      </c>
      <c r="U351">
        <v>0</v>
      </c>
      <c r="V351">
        <v>5024</v>
      </c>
    </row>
    <row r="352" spans="1:22" x14ac:dyDescent="0.3">
      <c r="A352">
        <v>80147</v>
      </c>
      <c r="B352">
        <v>455018126</v>
      </c>
      <c r="C352" t="s">
        <v>1887</v>
      </c>
      <c r="D352" s="9">
        <v>270411525</v>
      </c>
      <c r="E352" t="s">
        <v>1841</v>
      </c>
      <c r="F352" t="s">
        <v>531</v>
      </c>
      <c r="G352" t="s">
        <v>30</v>
      </c>
      <c r="H352" t="s">
        <v>31</v>
      </c>
      <c r="I352" t="s">
        <v>52</v>
      </c>
      <c r="J352" t="s">
        <v>32</v>
      </c>
      <c r="K352" t="s">
        <v>29</v>
      </c>
      <c r="L352" t="s">
        <v>1888</v>
      </c>
      <c r="M352" t="s">
        <v>1889</v>
      </c>
      <c r="N352" t="s">
        <v>534</v>
      </c>
      <c r="O352" t="s">
        <v>39</v>
      </c>
      <c r="P352" t="s">
        <v>1890</v>
      </c>
      <c r="Q352" t="s">
        <v>43</v>
      </c>
      <c r="R352" s="29">
        <v>46160.489583333336</v>
      </c>
      <c r="S352">
        <v>2.95</v>
      </c>
      <c r="T352">
        <v>4205</v>
      </c>
      <c r="U352">
        <v>0</v>
      </c>
      <c r="V352">
        <v>4205</v>
      </c>
    </row>
    <row r="353" spans="1:22" x14ac:dyDescent="0.3">
      <c r="A353">
        <v>80147</v>
      </c>
      <c r="B353">
        <v>455018133</v>
      </c>
      <c r="C353" t="s">
        <v>1891</v>
      </c>
      <c r="D353" s="9">
        <v>270411480</v>
      </c>
      <c r="E353" t="s">
        <v>1841</v>
      </c>
      <c r="F353" t="s">
        <v>531</v>
      </c>
      <c r="G353" t="s">
        <v>30</v>
      </c>
      <c r="H353" t="s">
        <v>31</v>
      </c>
      <c r="I353" t="s">
        <v>52</v>
      </c>
      <c r="J353" t="s">
        <v>32</v>
      </c>
      <c r="K353" t="s">
        <v>29</v>
      </c>
      <c r="L353" t="s">
        <v>1892</v>
      </c>
      <c r="M353" t="s">
        <v>1893</v>
      </c>
      <c r="N353" t="s">
        <v>534</v>
      </c>
      <c r="O353" t="s">
        <v>39</v>
      </c>
      <c r="P353" t="s">
        <v>1894</v>
      </c>
      <c r="Q353" t="s">
        <v>40</v>
      </c>
      <c r="R353" s="29">
        <v>46160.489583333336</v>
      </c>
      <c r="S353">
        <v>5.46</v>
      </c>
      <c r="T353">
        <v>6114</v>
      </c>
      <c r="U353">
        <v>0</v>
      </c>
      <c r="V353">
        <v>6114</v>
      </c>
    </row>
    <row r="354" spans="1:22" x14ac:dyDescent="0.3">
      <c r="A354">
        <v>80147</v>
      </c>
      <c r="B354">
        <v>455018132</v>
      </c>
      <c r="C354" t="s">
        <v>1895</v>
      </c>
      <c r="D354" s="9">
        <v>270411489</v>
      </c>
      <c r="E354" t="s">
        <v>1841</v>
      </c>
      <c r="F354" t="s">
        <v>531</v>
      </c>
      <c r="G354" t="s">
        <v>30</v>
      </c>
      <c r="H354" t="s">
        <v>31</v>
      </c>
      <c r="I354" t="s">
        <v>52</v>
      </c>
      <c r="J354" t="s">
        <v>32</v>
      </c>
      <c r="K354" t="s">
        <v>29</v>
      </c>
      <c r="L354" t="s">
        <v>1896</v>
      </c>
      <c r="M354" t="s">
        <v>1897</v>
      </c>
      <c r="N354" t="s">
        <v>534</v>
      </c>
      <c r="O354" t="s">
        <v>39</v>
      </c>
      <c r="P354" t="s">
        <v>1898</v>
      </c>
      <c r="Q354" t="s">
        <v>38</v>
      </c>
      <c r="R354" s="29">
        <v>46160.489583333336</v>
      </c>
      <c r="S354">
        <v>5.69</v>
      </c>
      <c r="T354">
        <v>5024</v>
      </c>
      <c r="U354">
        <v>0</v>
      </c>
      <c r="V354">
        <v>5024</v>
      </c>
    </row>
    <row r="355" spans="1:22" x14ac:dyDescent="0.3">
      <c r="A355">
        <v>80147</v>
      </c>
      <c r="B355">
        <v>455018130</v>
      </c>
      <c r="C355" t="s">
        <v>1899</v>
      </c>
      <c r="D355" s="9">
        <v>270411495</v>
      </c>
      <c r="E355" t="s">
        <v>1841</v>
      </c>
      <c r="F355" t="s">
        <v>531</v>
      </c>
      <c r="G355" t="s">
        <v>30</v>
      </c>
      <c r="H355" t="s">
        <v>31</v>
      </c>
      <c r="I355" t="s">
        <v>52</v>
      </c>
      <c r="J355" t="s">
        <v>32</v>
      </c>
      <c r="K355" t="s">
        <v>29</v>
      </c>
      <c r="L355" t="s">
        <v>1900</v>
      </c>
      <c r="M355" t="s">
        <v>1901</v>
      </c>
      <c r="N355" t="s">
        <v>534</v>
      </c>
      <c r="O355" t="s">
        <v>39</v>
      </c>
      <c r="P355" t="s">
        <v>1902</v>
      </c>
      <c r="Q355" t="s">
        <v>35</v>
      </c>
      <c r="R355" s="29">
        <v>46160.489583333336</v>
      </c>
      <c r="S355">
        <v>24.68</v>
      </c>
      <c r="T355">
        <v>17467</v>
      </c>
      <c r="U355">
        <v>0</v>
      </c>
      <c r="V355">
        <v>17467</v>
      </c>
    </row>
    <row r="356" spans="1:22" x14ac:dyDescent="0.3">
      <c r="A356">
        <v>80147</v>
      </c>
      <c r="B356">
        <v>454997388</v>
      </c>
      <c r="C356" t="s">
        <v>1903</v>
      </c>
      <c r="D356" s="9">
        <v>270411503</v>
      </c>
      <c r="E356" t="s">
        <v>1841</v>
      </c>
      <c r="F356" t="s">
        <v>531</v>
      </c>
      <c r="G356" t="s">
        <v>30</v>
      </c>
      <c r="H356" t="s">
        <v>31</v>
      </c>
      <c r="I356" t="s">
        <v>52</v>
      </c>
      <c r="J356" t="s">
        <v>32</v>
      </c>
      <c r="K356" t="s">
        <v>29</v>
      </c>
      <c r="L356" t="s">
        <v>1904</v>
      </c>
      <c r="M356" t="s">
        <v>1905</v>
      </c>
      <c r="N356" t="s">
        <v>534</v>
      </c>
      <c r="O356" t="s">
        <v>39</v>
      </c>
      <c r="P356" t="s">
        <v>1906</v>
      </c>
      <c r="Q356" t="s">
        <v>71</v>
      </c>
      <c r="R356" s="29">
        <v>46159.885416666664</v>
      </c>
      <c r="S356">
        <v>6.59</v>
      </c>
      <c r="T356">
        <v>5564</v>
      </c>
      <c r="U356">
        <v>0</v>
      </c>
      <c r="V356">
        <v>5564</v>
      </c>
    </row>
    <row r="357" spans="1:22" x14ac:dyDescent="0.3">
      <c r="A357">
        <v>80147</v>
      </c>
      <c r="B357">
        <v>454997380</v>
      </c>
      <c r="C357" t="s">
        <v>1907</v>
      </c>
      <c r="D357" s="9">
        <v>270411562</v>
      </c>
      <c r="E357" t="s">
        <v>1841</v>
      </c>
      <c r="F357" t="s">
        <v>531</v>
      </c>
      <c r="G357" t="s">
        <v>30</v>
      </c>
      <c r="H357" t="s">
        <v>31</v>
      </c>
      <c r="I357" t="s">
        <v>52</v>
      </c>
      <c r="J357" t="s">
        <v>32</v>
      </c>
      <c r="K357" t="s">
        <v>29</v>
      </c>
      <c r="L357" t="s">
        <v>1908</v>
      </c>
      <c r="M357" t="s">
        <v>1909</v>
      </c>
      <c r="N357" t="s">
        <v>534</v>
      </c>
      <c r="O357" t="s">
        <v>39</v>
      </c>
      <c r="P357" t="s">
        <v>1910</v>
      </c>
      <c r="Q357" t="s">
        <v>38</v>
      </c>
      <c r="R357" s="29">
        <v>46159.885416666664</v>
      </c>
      <c r="S357">
        <v>1</v>
      </c>
      <c r="T357">
        <v>3250</v>
      </c>
      <c r="U357">
        <v>0</v>
      </c>
      <c r="V357">
        <v>3250</v>
      </c>
    </row>
    <row r="358" spans="1:22" x14ac:dyDescent="0.3">
      <c r="A358">
        <v>80147</v>
      </c>
      <c r="B358">
        <v>454997383</v>
      </c>
      <c r="C358" t="s">
        <v>1911</v>
      </c>
      <c r="D358" s="9">
        <v>270411542</v>
      </c>
      <c r="E358" t="s">
        <v>1841</v>
      </c>
      <c r="F358" t="s">
        <v>531</v>
      </c>
      <c r="G358" t="s">
        <v>30</v>
      </c>
      <c r="H358" t="s">
        <v>31</v>
      </c>
      <c r="I358" t="s">
        <v>52</v>
      </c>
      <c r="J358" t="s">
        <v>32</v>
      </c>
      <c r="K358" t="s">
        <v>29</v>
      </c>
      <c r="L358" t="s">
        <v>403</v>
      </c>
      <c r="M358" t="s">
        <v>1912</v>
      </c>
      <c r="N358" t="s">
        <v>534</v>
      </c>
      <c r="O358" t="s">
        <v>39</v>
      </c>
      <c r="P358" t="s">
        <v>1913</v>
      </c>
      <c r="Q358" t="s">
        <v>38</v>
      </c>
      <c r="R358" s="29">
        <v>46159.885416666664</v>
      </c>
      <c r="S358">
        <v>1</v>
      </c>
      <c r="T358">
        <v>3250</v>
      </c>
      <c r="U358">
        <v>0</v>
      </c>
      <c r="V358">
        <v>3250</v>
      </c>
    </row>
    <row r="359" spans="1:22" x14ac:dyDescent="0.3">
      <c r="A359">
        <v>80147</v>
      </c>
      <c r="B359">
        <v>454945974</v>
      </c>
      <c r="C359" t="s">
        <v>1914</v>
      </c>
      <c r="D359" s="9">
        <v>270253396</v>
      </c>
      <c r="E359" t="s">
        <v>1841</v>
      </c>
      <c r="F359" t="s">
        <v>531</v>
      </c>
      <c r="G359" t="s">
        <v>30</v>
      </c>
      <c r="H359" t="s">
        <v>31</v>
      </c>
      <c r="I359" t="s">
        <v>52</v>
      </c>
      <c r="J359" t="s">
        <v>32</v>
      </c>
      <c r="K359" t="s">
        <v>29</v>
      </c>
      <c r="L359" t="s">
        <v>1915</v>
      </c>
      <c r="M359" t="s">
        <v>334</v>
      </c>
      <c r="N359" t="s">
        <v>534</v>
      </c>
      <c r="O359" t="s">
        <v>39</v>
      </c>
      <c r="P359" t="s">
        <v>1916</v>
      </c>
      <c r="Q359" t="s">
        <v>65</v>
      </c>
      <c r="R359" s="29">
        <v>46157.426388888889</v>
      </c>
      <c r="S359">
        <v>5.77</v>
      </c>
      <c r="T359">
        <v>6114</v>
      </c>
      <c r="U359">
        <v>0</v>
      </c>
      <c r="V359">
        <v>6114</v>
      </c>
    </row>
    <row r="360" spans="1:22" x14ac:dyDescent="0.3">
      <c r="A360">
        <v>80147</v>
      </c>
      <c r="B360">
        <v>454945972</v>
      </c>
      <c r="C360" t="s">
        <v>1917</v>
      </c>
      <c r="D360" s="9">
        <v>270253408</v>
      </c>
      <c r="E360" t="s">
        <v>1841</v>
      </c>
      <c r="F360" t="s">
        <v>531</v>
      </c>
      <c r="G360" t="s">
        <v>30</v>
      </c>
      <c r="H360" t="s">
        <v>31</v>
      </c>
      <c r="I360" t="s">
        <v>52</v>
      </c>
      <c r="J360" t="s">
        <v>32</v>
      </c>
      <c r="K360" t="s">
        <v>29</v>
      </c>
      <c r="L360" t="s">
        <v>1918</v>
      </c>
      <c r="M360" t="s">
        <v>266</v>
      </c>
      <c r="N360" t="s">
        <v>534</v>
      </c>
      <c r="O360" t="s">
        <v>39</v>
      </c>
      <c r="P360" t="s">
        <v>1919</v>
      </c>
      <c r="Q360" t="s">
        <v>146</v>
      </c>
      <c r="R360" s="29">
        <v>46157.426388888889</v>
      </c>
      <c r="S360">
        <v>5.8</v>
      </c>
      <c r="T360">
        <v>6655</v>
      </c>
      <c r="U360">
        <v>0</v>
      </c>
      <c r="V360">
        <v>6655</v>
      </c>
    </row>
    <row r="361" spans="1:22" x14ac:dyDescent="0.3">
      <c r="A361">
        <v>80147</v>
      </c>
      <c r="B361">
        <v>454945968</v>
      </c>
      <c r="C361" t="s">
        <v>1920</v>
      </c>
      <c r="D361" s="9">
        <v>270253435</v>
      </c>
      <c r="E361" t="s">
        <v>1841</v>
      </c>
      <c r="F361" t="s">
        <v>531</v>
      </c>
      <c r="G361" t="s">
        <v>30</v>
      </c>
      <c r="H361" t="s">
        <v>31</v>
      </c>
      <c r="I361" t="s">
        <v>52</v>
      </c>
      <c r="J361" t="s">
        <v>32</v>
      </c>
      <c r="K361" t="s">
        <v>29</v>
      </c>
      <c r="L361" t="s">
        <v>1921</v>
      </c>
      <c r="M361" t="s">
        <v>337</v>
      </c>
      <c r="N361" t="s">
        <v>534</v>
      </c>
      <c r="O361" t="s">
        <v>39</v>
      </c>
      <c r="P361" t="s">
        <v>1922</v>
      </c>
      <c r="Q361" t="s">
        <v>62</v>
      </c>
      <c r="R361" s="29">
        <v>46157.426388888889</v>
      </c>
      <c r="S361">
        <v>1</v>
      </c>
      <c r="T361">
        <v>3935</v>
      </c>
      <c r="U361">
        <v>0</v>
      </c>
      <c r="V361">
        <v>3935</v>
      </c>
    </row>
    <row r="362" spans="1:22" x14ac:dyDescent="0.3">
      <c r="A362">
        <v>80147</v>
      </c>
      <c r="B362">
        <v>454945962</v>
      </c>
      <c r="C362" t="s">
        <v>1923</v>
      </c>
      <c r="D362" s="9">
        <v>270253468</v>
      </c>
      <c r="E362" t="s">
        <v>1841</v>
      </c>
      <c r="F362" t="s">
        <v>531</v>
      </c>
      <c r="G362" t="s">
        <v>30</v>
      </c>
      <c r="H362" t="s">
        <v>31</v>
      </c>
      <c r="I362" t="s">
        <v>52</v>
      </c>
      <c r="J362" t="s">
        <v>32</v>
      </c>
      <c r="K362" t="s">
        <v>29</v>
      </c>
      <c r="L362" t="s">
        <v>1924</v>
      </c>
      <c r="M362" t="s">
        <v>361</v>
      </c>
      <c r="N362" t="s">
        <v>534</v>
      </c>
      <c r="O362" t="s">
        <v>39</v>
      </c>
      <c r="P362" t="s">
        <v>1925</v>
      </c>
      <c r="Q362" t="s">
        <v>116</v>
      </c>
      <c r="R362" s="29">
        <v>46157.426388888889</v>
      </c>
      <c r="S362">
        <v>5.51</v>
      </c>
      <c r="T362">
        <v>5778</v>
      </c>
      <c r="U362">
        <v>0</v>
      </c>
      <c r="V362">
        <v>5778</v>
      </c>
    </row>
    <row r="363" spans="1:22" x14ac:dyDescent="0.3">
      <c r="A363">
        <v>80147</v>
      </c>
      <c r="B363">
        <v>454945969</v>
      </c>
      <c r="C363" t="s">
        <v>1926</v>
      </c>
      <c r="D363" s="9">
        <v>270255309</v>
      </c>
      <c r="E363" t="s">
        <v>1841</v>
      </c>
      <c r="F363" t="s">
        <v>531</v>
      </c>
      <c r="G363" t="s">
        <v>30</v>
      </c>
      <c r="H363" t="s">
        <v>31</v>
      </c>
      <c r="I363" t="s">
        <v>52</v>
      </c>
      <c r="J363" t="s">
        <v>32</v>
      </c>
      <c r="K363" t="s">
        <v>29</v>
      </c>
      <c r="L363" t="s">
        <v>1927</v>
      </c>
      <c r="M363" t="s">
        <v>1928</v>
      </c>
      <c r="N363" t="s">
        <v>534</v>
      </c>
      <c r="O363" t="s">
        <v>39</v>
      </c>
      <c r="P363" t="s">
        <v>1929</v>
      </c>
      <c r="Q363" t="s">
        <v>34</v>
      </c>
      <c r="R363" s="29">
        <v>46157.426388888889</v>
      </c>
      <c r="S363">
        <v>6.47</v>
      </c>
      <c r="T363">
        <v>5295</v>
      </c>
      <c r="U363">
        <v>0</v>
      </c>
      <c r="V363">
        <v>5295</v>
      </c>
    </row>
    <row r="364" spans="1:22" x14ac:dyDescent="0.3">
      <c r="A364">
        <v>80147</v>
      </c>
      <c r="B364">
        <v>454945971</v>
      </c>
      <c r="C364" t="s">
        <v>1930</v>
      </c>
      <c r="D364" s="9">
        <v>270253404</v>
      </c>
      <c r="E364" t="s">
        <v>1841</v>
      </c>
      <c r="F364" t="s">
        <v>531</v>
      </c>
      <c r="G364" t="s">
        <v>30</v>
      </c>
      <c r="H364" t="s">
        <v>31</v>
      </c>
      <c r="I364" t="s">
        <v>52</v>
      </c>
      <c r="J364" t="s">
        <v>32</v>
      </c>
      <c r="K364" t="s">
        <v>29</v>
      </c>
      <c r="L364" t="s">
        <v>1931</v>
      </c>
      <c r="M364" t="s">
        <v>1932</v>
      </c>
      <c r="N364" t="s">
        <v>534</v>
      </c>
      <c r="O364" t="s">
        <v>39</v>
      </c>
      <c r="P364" t="s">
        <v>1933</v>
      </c>
      <c r="Q364" t="s">
        <v>140</v>
      </c>
      <c r="R364" s="29">
        <v>46157.426388888889</v>
      </c>
      <c r="S364">
        <v>5.38</v>
      </c>
      <c r="T364">
        <v>5024</v>
      </c>
      <c r="U364">
        <v>0</v>
      </c>
      <c r="V364">
        <v>5024</v>
      </c>
    </row>
    <row r="365" spans="1:22" x14ac:dyDescent="0.3">
      <c r="A365">
        <v>80147</v>
      </c>
      <c r="B365">
        <v>454945975</v>
      </c>
      <c r="C365" t="s">
        <v>1934</v>
      </c>
      <c r="D365" s="9">
        <v>270253370</v>
      </c>
      <c r="E365" t="s">
        <v>1841</v>
      </c>
      <c r="F365" t="s">
        <v>531</v>
      </c>
      <c r="G365" t="s">
        <v>30</v>
      </c>
      <c r="H365" t="s">
        <v>31</v>
      </c>
      <c r="I365" t="s">
        <v>52</v>
      </c>
      <c r="J365" t="s">
        <v>32</v>
      </c>
      <c r="K365" t="s">
        <v>29</v>
      </c>
      <c r="L365" t="s">
        <v>1935</v>
      </c>
      <c r="M365" t="s">
        <v>1936</v>
      </c>
      <c r="N365" t="s">
        <v>534</v>
      </c>
      <c r="O365" t="s">
        <v>39</v>
      </c>
      <c r="P365" t="s">
        <v>1937</v>
      </c>
      <c r="Q365" t="s">
        <v>140</v>
      </c>
      <c r="R365" s="29">
        <v>46157.426388888889</v>
      </c>
      <c r="S365">
        <v>1</v>
      </c>
      <c r="T365">
        <v>3250</v>
      </c>
      <c r="U365">
        <v>0</v>
      </c>
      <c r="V365">
        <v>3250</v>
      </c>
    </row>
    <row r="366" spans="1:22" x14ac:dyDescent="0.3">
      <c r="A366">
        <v>80147</v>
      </c>
      <c r="B366">
        <v>454911922</v>
      </c>
      <c r="C366" t="s">
        <v>1938</v>
      </c>
      <c r="D366" s="9">
        <v>270184059</v>
      </c>
      <c r="E366" t="s">
        <v>1841</v>
      </c>
      <c r="F366" t="s">
        <v>531</v>
      </c>
      <c r="G366" t="s">
        <v>30</v>
      </c>
      <c r="H366" t="s">
        <v>31</v>
      </c>
      <c r="I366" t="s">
        <v>52</v>
      </c>
      <c r="J366" t="s">
        <v>32</v>
      </c>
      <c r="K366" t="s">
        <v>29</v>
      </c>
      <c r="L366" t="s">
        <v>1939</v>
      </c>
      <c r="M366" t="s">
        <v>1940</v>
      </c>
      <c r="N366" t="s">
        <v>534</v>
      </c>
      <c r="O366" t="s">
        <v>39</v>
      </c>
      <c r="P366" t="s">
        <v>1941</v>
      </c>
      <c r="Q366" t="s">
        <v>44</v>
      </c>
      <c r="R366" s="29">
        <v>46156.426388888889</v>
      </c>
      <c r="S366">
        <v>1</v>
      </c>
      <c r="T366">
        <v>4205</v>
      </c>
      <c r="U366">
        <v>0</v>
      </c>
      <c r="V366">
        <v>4205</v>
      </c>
    </row>
    <row r="367" spans="1:22" x14ac:dyDescent="0.3">
      <c r="A367">
        <v>80147</v>
      </c>
      <c r="B367">
        <v>454900023</v>
      </c>
      <c r="C367" t="s">
        <v>1942</v>
      </c>
      <c r="D367" s="9">
        <v>270184079</v>
      </c>
      <c r="E367" t="s">
        <v>1841</v>
      </c>
      <c r="F367" t="s">
        <v>531</v>
      </c>
      <c r="G367" t="s">
        <v>30</v>
      </c>
      <c r="H367" t="s">
        <v>31</v>
      </c>
      <c r="I367" t="s">
        <v>52</v>
      </c>
      <c r="J367" t="s">
        <v>32</v>
      </c>
      <c r="K367" t="s">
        <v>29</v>
      </c>
      <c r="L367" t="s">
        <v>1943</v>
      </c>
      <c r="M367" t="s">
        <v>249</v>
      </c>
      <c r="N367" t="s">
        <v>534</v>
      </c>
      <c r="O367" t="s">
        <v>39</v>
      </c>
      <c r="P367" t="s">
        <v>1944</v>
      </c>
      <c r="Q367" t="s">
        <v>42</v>
      </c>
      <c r="R367" s="29">
        <v>46155.890972222223</v>
      </c>
      <c r="S367">
        <v>1</v>
      </c>
      <c r="T367">
        <v>3250</v>
      </c>
      <c r="U367">
        <v>0</v>
      </c>
      <c r="V367">
        <v>3250</v>
      </c>
    </row>
    <row r="368" spans="1:22" x14ac:dyDescent="0.3">
      <c r="A368">
        <v>80147</v>
      </c>
      <c r="B368">
        <v>454775034</v>
      </c>
      <c r="C368" t="s">
        <v>1945</v>
      </c>
      <c r="D368" s="9">
        <v>269962462</v>
      </c>
      <c r="E368" t="s">
        <v>1841</v>
      </c>
      <c r="F368" t="s">
        <v>531</v>
      </c>
      <c r="G368" t="s">
        <v>30</v>
      </c>
      <c r="H368" t="s">
        <v>31</v>
      </c>
      <c r="I368" t="s">
        <v>52</v>
      </c>
      <c r="J368" t="s">
        <v>32</v>
      </c>
      <c r="K368" t="s">
        <v>29</v>
      </c>
      <c r="L368" t="s">
        <v>1946</v>
      </c>
      <c r="M368" t="s">
        <v>1947</v>
      </c>
      <c r="N368" t="s">
        <v>534</v>
      </c>
      <c r="O368" t="s">
        <v>39</v>
      </c>
      <c r="P368" t="s">
        <v>1948</v>
      </c>
      <c r="Q368" t="s">
        <v>182</v>
      </c>
      <c r="R368" s="29">
        <v>46152.887499999997</v>
      </c>
      <c r="S368">
        <v>6.51</v>
      </c>
      <c r="T368">
        <v>10206</v>
      </c>
      <c r="U368">
        <v>0</v>
      </c>
      <c r="V368">
        <v>10206</v>
      </c>
    </row>
    <row r="369" spans="1:22" x14ac:dyDescent="0.3">
      <c r="A369">
        <v>80147</v>
      </c>
      <c r="B369">
        <v>454911929</v>
      </c>
      <c r="C369" t="s">
        <v>1949</v>
      </c>
      <c r="D369" s="9">
        <v>270184047</v>
      </c>
      <c r="E369" t="s">
        <v>1841</v>
      </c>
      <c r="F369" t="s">
        <v>531</v>
      </c>
      <c r="G369" t="s">
        <v>30</v>
      </c>
      <c r="H369" t="s">
        <v>31</v>
      </c>
      <c r="I369" t="s">
        <v>52</v>
      </c>
      <c r="J369" t="s">
        <v>32</v>
      </c>
      <c r="K369" t="s">
        <v>29</v>
      </c>
      <c r="L369" t="s">
        <v>1950</v>
      </c>
      <c r="M369" t="s">
        <v>1951</v>
      </c>
      <c r="N369" t="s">
        <v>534</v>
      </c>
      <c r="O369" t="s">
        <v>39</v>
      </c>
      <c r="P369" t="s">
        <v>1952</v>
      </c>
      <c r="Q369" t="s">
        <v>71</v>
      </c>
      <c r="R369" s="29">
        <v>46156.426388888889</v>
      </c>
      <c r="S369">
        <v>1</v>
      </c>
      <c r="T369">
        <v>3631</v>
      </c>
      <c r="U369">
        <v>0</v>
      </c>
      <c r="V369">
        <v>3631</v>
      </c>
    </row>
    <row r="370" spans="1:22" x14ac:dyDescent="0.3">
      <c r="A370">
        <v>80147</v>
      </c>
      <c r="B370">
        <v>454911924</v>
      </c>
      <c r="C370" t="s">
        <v>1953</v>
      </c>
      <c r="D370" s="9">
        <v>270184050</v>
      </c>
      <c r="E370" t="s">
        <v>1841</v>
      </c>
      <c r="F370" t="s">
        <v>531</v>
      </c>
      <c r="G370" t="s">
        <v>30</v>
      </c>
      <c r="H370" t="s">
        <v>31</v>
      </c>
      <c r="I370" t="s">
        <v>52</v>
      </c>
      <c r="J370" t="s">
        <v>32</v>
      </c>
      <c r="K370" t="s">
        <v>29</v>
      </c>
      <c r="L370" t="s">
        <v>1954</v>
      </c>
      <c r="M370" t="s">
        <v>1955</v>
      </c>
      <c r="N370" t="s">
        <v>534</v>
      </c>
      <c r="O370" t="s">
        <v>39</v>
      </c>
      <c r="P370" t="s">
        <v>1956</v>
      </c>
      <c r="Q370" t="s">
        <v>116</v>
      </c>
      <c r="R370" s="29">
        <v>46156.426388888889</v>
      </c>
      <c r="S370">
        <v>1</v>
      </c>
      <c r="T370">
        <v>3737</v>
      </c>
      <c r="U370">
        <v>0</v>
      </c>
      <c r="V370">
        <v>3737</v>
      </c>
    </row>
    <row r="371" spans="1:22" x14ac:dyDescent="0.3">
      <c r="A371">
        <v>80147</v>
      </c>
      <c r="B371">
        <v>454900022</v>
      </c>
      <c r="C371" t="s">
        <v>1957</v>
      </c>
      <c r="D371" s="9">
        <v>270184074</v>
      </c>
      <c r="E371" t="s">
        <v>1841</v>
      </c>
      <c r="F371" t="s">
        <v>531</v>
      </c>
      <c r="G371" t="s">
        <v>30</v>
      </c>
      <c r="H371" t="s">
        <v>31</v>
      </c>
      <c r="I371" t="s">
        <v>52</v>
      </c>
      <c r="J371" t="s">
        <v>32</v>
      </c>
      <c r="K371" t="s">
        <v>29</v>
      </c>
      <c r="L371" t="s">
        <v>1958</v>
      </c>
      <c r="M371" t="s">
        <v>1959</v>
      </c>
      <c r="N371" t="s">
        <v>534</v>
      </c>
      <c r="O371" t="s">
        <v>39</v>
      </c>
      <c r="P371" t="s">
        <v>1960</v>
      </c>
      <c r="Q371" t="s">
        <v>74</v>
      </c>
      <c r="R371" s="29">
        <v>46155.890972222223</v>
      </c>
      <c r="S371">
        <v>1</v>
      </c>
      <c r="T371">
        <v>3653</v>
      </c>
      <c r="U371">
        <v>0</v>
      </c>
      <c r="V371">
        <v>3653</v>
      </c>
    </row>
    <row r="372" spans="1:22" x14ac:dyDescent="0.3">
      <c r="A372">
        <v>80147</v>
      </c>
      <c r="B372">
        <v>454775019</v>
      </c>
      <c r="C372" t="s">
        <v>1961</v>
      </c>
      <c r="D372" s="9">
        <v>269962524</v>
      </c>
      <c r="E372" t="s">
        <v>1841</v>
      </c>
      <c r="F372" t="s">
        <v>531</v>
      </c>
      <c r="G372" t="s">
        <v>30</v>
      </c>
      <c r="H372" t="s">
        <v>31</v>
      </c>
      <c r="I372" t="s">
        <v>52</v>
      </c>
      <c r="J372" t="s">
        <v>32</v>
      </c>
      <c r="K372" t="s">
        <v>29</v>
      </c>
      <c r="L372" t="s">
        <v>1962</v>
      </c>
      <c r="M372" t="s">
        <v>1963</v>
      </c>
      <c r="N372" t="s">
        <v>534</v>
      </c>
      <c r="O372" t="s">
        <v>39</v>
      </c>
      <c r="P372" t="s">
        <v>1964</v>
      </c>
      <c r="Q372" t="s">
        <v>182</v>
      </c>
      <c r="R372" s="29">
        <v>46152.887499999997</v>
      </c>
      <c r="S372">
        <v>1</v>
      </c>
      <c r="T372">
        <v>5295</v>
      </c>
      <c r="U372">
        <v>0</v>
      </c>
      <c r="V372">
        <v>5295</v>
      </c>
    </row>
    <row r="373" spans="1:22" x14ac:dyDescent="0.3">
      <c r="A373">
        <v>80147</v>
      </c>
      <c r="B373">
        <v>454863004</v>
      </c>
      <c r="C373" t="s">
        <v>1965</v>
      </c>
      <c r="D373" s="9">
        <v>270116484</v>
      </c>
      <c r="E373" t="s">
        <v>1841</v>
      </c>
      <c r="F373" t="s">
        <v>531</v>
      </c>
      <c r="G373" t="s">
        <v>30</v>
      </c>
      <c r="H373" t="s">
        <v>31</v>
      </c>
      <c r="I373" t="s">
        <v>52</v>
      </c>
      <c r="J373" t="s">
        <v>32</v>
      </c>
      <c r="K373" t="s">
        <v>29</v>
      </c>
      <c r="L373" t="s">
        <v>1966</v>
      </c>
      <c r="M373" t="s">
        <v>1967</v>
      </c>
      <c r="N373" t="s">
        <v>534</v>
      </c>
      <c r="O373" t="s">
        <v>39</v>
      </c>
      <c r="P373" t="s">
        <v>1968</v>
      </c>
      <c r="Q373" t="s">
        <v>161</v>
      </c>
      <c r="R373" s="29">
        <v>46154.895833333336</v>
      </c>
      <c r="S373">
        <v>1</v>
      </c>
      <c r="T373">
        <v>3935</v>
      </c>
      <c r="U373">
        <v>0</v>
      </c>
      <c r="V373">
        <v>3935</v>
      </c>
    </row>
    <row r="374" spans="1:22" x14ac:dyDescent="0.3">
      <c r="A374">
        <v>80147</v>
      </c>
      <c r="B374">
        <v>454821815</v>
      </c>
      <c r="C374" t="s">
        <v>1969</v>
      </c>
      <c r="D374" s="9">
        <v>270040909</v>
      </c>
      <c r="E374" t="s">
        <v>1841</v>
      </c>
      <c r="F374" t="s">
        <v>531</v>
      </c>
      <c r="G374" t="s">
        <v>30</v>
      </c>
      <c r="H374" t="s">
        <v>31</v>
      </c>
      <c r="I374" t="s">
        <v>52</v>
      </c>
      <c r="J374" t="s">
        <v>32</v>
      </c>
      <c r="K374" t="s">
        <v>29</v>
      </c>
      <c r="L374" t="s">
        <v>1970</v>
      </c>
      <c r="M374" t="s">
        <v>279</v>
      </c>
      <c r="N374" t="s">
        <v>534</v>
      </c>
      <c r="O374" t="s">
        <v>39</v>
      </c>
      <c r="P374" t="s">
        <v>1971</v>
      </c>
      <c r="Q374" t="s">
        <v>114</v>
      </c>
      <c r="R374" s="29">
        <v>46153.848611111112</v>
      </c>
      <c r="S374">
        <v>4.79</v>
      </c>
      <c r="T374">
        <v>5193</v>
      </c>
      <c r="U374">
        <v>0</v>
      </c>
      <c r="V374">
        <v>5193</v>
      </c>
    </row>
    <row r="375" spans="1:22" x14ac:dyDescent="0.3">
      <c r="A375">
        <v>80147</v>
      </c>
      <c r="B375">
        <v>454862998</v>
      </c>
      <c r="C375" t="s">
        <v>1972</v>
      </c>
      <c r="D375" s="9">
        <v>270116500</v>
      </c>
      <c r="E375" t="s">
        <v>1841</v>
      </c>
      <c r="F375" t="s">
        <v>531</v>
      </c>
      <c r="G375" t="s">
        <v>30</v>
      </c>
      <c r="H375" t="s">
        <v>31</v>
      </c>
      <c r="I375" t="s">
        <v>52</v>
      </c>
      <c r="J375" t="s">
        <v>32</v>
      </c>
      <c r="K375" t="s">
        <v>29</v>
      </c>
      <c r="L375" t="s">
        <v>1973</v>
      </c>
      <c r="M375" t="s">
        <v>1974</v>
      </c>
      <c r="N375" t="s">
        <v>534</v>
      </c>
      <c r="O375" t="s">
        <v>39</v>
      </c>
      <c r="P375" t="s">
        <v>1975</v>
      </c>
      <c r="Q375" t="s">
        <v>33</v>
      </c>
      <c r="R375" s="29">
        <v>46154.895833333336</v>
      </c>
      <c r="S375">
        <v>1</v>
      </c>
      <c r="T375">
        <v>3631</v>
      </c>
      <c r="U375">
        <v>0</v>
      </c>
      <c r="V375">
        <v>3631</v>
      </c>
    </row>
    <row r="376" spans="1:22" x14ac:dyDescent="0.3">
      <c r="A376">
        <v>80147</v>
      </c>
      <c r="B376">
        <v>454875458</v>
      </c>
      <c r="C376" t="s">
        <v>1976</v>
      </c>
      <c r="D376" s="9">
        <v>270116468</v>
      </c>
      <c r="E376" t="s">
        <v>1841</v>
      </c>
      <c r="F376" t="s">
        <v>531</v>
      </c>
      <c r="G376" t="s">
        <v>30</v>
      </c>
      <c r="H376" t="s">
        <v>31</v>
      </c>
      <c r="I376" t="s">
        <v>52</v>
      </c>
      <c r="J376" t="s">
        <v>32</v>
      </c>
      <c r="K376" t="s">
        <v>29</v>
      </c>
      <c r="L376" t="s">
        <v>1977</v>
      </c>
      <c r="M376" t="s">
        <v>1978</v>
      </c>
      <c r="N376" t="s">
        <v>534</v>
      </c>
      <c r="O376" t="s">
        <v>39</v>
      </c>
      <c r="P376" t="s">
        <v>1979</v>
      </c>
      <c r="Q376" t="s">
        <v>33</v>
      </c>
      <c r="R376" s="29">
        <v>46155.430555555555</v>
      </c>
      <c r="S376">
        <v>1</v>
      </c>
      <c r="T376">
        <v>3631</v>
      </c>
      <c r="U376">
        <v>0</v>
      </c>
      <c r="V376">
        <v>3631</v>
      </c>
    </row>
    <row r="377" spans="1:22" x14ac:dyDescent="0.3">
      <c r="A377">
        <v>80147</v>
      </c>
      <c r="B377">
        <v>454798121</v>
      </c>
      <c r="C377" t="s">
        <v>1980</v>
      </c>
      <c r="D377" s="9">
        <v>270040943</v>
      </c>
      <c r="E377" t="s">
        <v>1841</v>
      </c>
      <c r="F377" t="s">
        <v>531</v>
      </c>
      <c r="G377" t="s">
        <v>30</v>
      </c>
      <c r="H377" t="s">
        <v>31</v>
      </c>
      <c r="I377" t="s">
        <v>52</v>
      </c>
      <c r="J377" t="s">
        <v>32</v>
      </c>
      <c r="K377" t="s">
        <v>29</v>
      </c>
      <c r="L377" t="s">
        <v>1981</v>
      </c>
      <c r="M377" t="s">
        <v>1982</v>
      </c>
      <c r="N377" t="s">
        <v>534</v>
      </c>
      <c r="O377" t="s">
        <v>39</v>
      </c>
      <c r="P377" t="s">
        <v>1983</v>
      </c>
      <c r="Q377" t="s">
        <v>188</v>
      </c>
      <c r="R377" s="29">
        <v>46153.486805555556</v>
      </c>
      <c r="S377">
        <v>6.51</v>
      </c>
      <c r="T377">
        <v>7339</v>
      </c>
      <c r="U377">
        <v>0</v>
      </c>
      <c r="V377">
        <v>7339</v>
      </c>
    </row>
    <row r="378" spans="1:22" x14ac:dyDescent="0.3">
      <c r="A378">
        <v>80147</v>
      </c>
      <c r="B378">
        <v>454862999</v>
      </c>
      <c r="C378" t="s">
        <v>1984</v>
      </c>
      <c r="D378" s="9">
        <v>270116505</v>
      </c>
      <c r="E378" t="s">
        <v>1841</v>
      </c>
      <c r="F378" t="s">
        <v>531</v>
      </c>
      <c r="G378" t="s">
        <v>30</v>
      </c>
      <c r="H378" t="s">
        <v>31</v>
      </c>
      <c r="I378" t="s">
        <v>52</v>
      </c>
      <c r="J378" t="s">
        <v>32</v>
      </c>
      <c r="K378" t="s">
        <v>29</v>
      </c>
      <c r="L378" t="s">
        <v>1985</v>
      </c>
      <c r="M378" t="s">
        <v>125</v>
      </c>
      <c r="N378" t="s">
        <v>534</v>
      </c>
      <c r="O378" t="s">
        <v>39</v>
      </c>
      <c r="P378" t="s">
        <v>1986</v>
      </c>
      <c r="Q378" t="s">
        <v>74</v>
      </c>
      <c r="R378" s="29">
        <v>46154.895833333336</v>
      </c>
      <c r="S378">
        <v>1</v>
      </c>
      <c r="T378">
        <v>3653</v>
      </c>
      <c r="U378">
        <v>0</v>
      </c>
      <c r="V378">
        <v>3653</v>
      </c>
    </row>
    <row r="379" spans="1:22" x14ac:dyDescent="0.3">
      <c r="A379">
        <v>80147</v>
      </c>
      <c r="B379">
        <v>454640114</v>
      </c>
      <c r="C379" t="s">
        <v>1987</v>
      </c>
      <c r="D379" s="9">
        <v>269659675</v>
      </c>
      <c r="E379" t="s">
        <v>1841</v>
      </c>
      <c r="F379" t="s">
        <v>531</v>
      </c>
      <c r="G379" t="s">
        <v>30</v>
      </c>
      <c r="H379" t="s">
        <v>31</v>
      </c>
      <c r="I379" t="s">
        <v>52</v>
      </c>
      <c r="J379" t="s">
        <v>32</v>
      </c>
      <c r="K379" t="s">
        <v>29</v>
      </c>
      <c r="L379" t="s">
        <v>1988</v>
      </c>
      <c r="M379" t="s">
        <v>432</v>
      </c>
      <c r="N379" t="s">
        <v>534</v>
      </c>
      <c r="O379" t="s">
        <v>39</v>
      </c>
      <c r="P379" t="s">
        <v>1989</v>
      </c>
      <c r="Q379" t="s">
        <v>49</v>
      </c>
      <c r="R379" s="29">
        <v>46148.511111111111</v>
      </c>
      <c r="S379">
        <v>6.2</v>
      </c>
      <c r="T379">
        <v>11027</v>
      </c>
      <c r="U379">
        <v>0</v>
      </c>
      <c r="V379">
        <v>11027</v>
      </c>
    </row>
    <row r="380" spans="1:22" x14ac:dyDescent="0.3">
      <c r="A380">
        <v>80147</v>
      </c>
      <c r="B380">
        <v>454863006</v>
      </c>
      <c r="C380" t="s">
        <v>1990</v>
      </c>
      <c r="D380" s="9">
        <v>270116492</v>
      </c>
      <c r="E380" t="s">
        <v>1841</v>
      </c>
      <c r="F380" t="s">
        <v>531</v>
      </c>
      <c r="G380" t="s">
        <v>30</v>
      </c>
      <c r="H380" t="s">
        <v>31</v>
      </c>
      <c r="I380" t="s">
        <v>52</v>
      </c>
      <c r="J380" t="s">
        <v>32</v>
      </c>
      <c r="K380" t="s">
        <v>29</v>
      </c>
      <c r="L380" t="s">
        <v>1991</v>
      </c>
      <c r="M380" t="s">
        <v>1992</v>
      </c>
      <c r="N380" t="s">
        <v>534</v>
      </c>
      <c r="O380" t="s">
        <v>39</v>
      </c>
      <c r="P380" t="s">
        <v>1993</v>
      </c>
      <c r="Q380" t="s">
        <v>74</v>
      </c>
      <c r="R380" s="29">
        <v>46154.895833333336</v>
      </c>
      <c r="S380">
        <v>1</v>
      </c>
      <c r="T380">
        <v>3653</v>
      </c>
      <c r="U380">
        <v>0</v>
      </c>
      <c r="V380">
        <v>3653</v>
      </c>
    </row>
    <row r="381" spans="1:22" x14ac:dyDescent="0.3">
      <c r="A381">
        <v>80147</v>
      </c>
      <c r="B381">
        <v>454775029</v>
      </c>
      <c r="C381" t="s">
        <v>1994</v>
      </c>
      <c r="D381" s="9">
        <v>269962471</v>
      </c>
      <c r="E381" t="s">
        <v>1841</v>
      </c>
      <c r="F381" t="s">
        <v>531</v>
      </c>
      <c r="G381" t="s">
        <v>30</v>
      </c>
      <c r="H381" t="s">
        <v>31</v>
      </c>
      <c r="I381" t="s">
        <v>52</v>
      </c>
      <c r="J381" t="s">
        <v>32</v>
      </c>
      <c r="K381" t="s">
        <v>29</v>
      </c>
      <c r="L381" t="s">
        <v>1995</v>
      </c>
      <c r="M381" t="s">
        <v>1996</v>
      </c>
      <c r="N381" t="s">
        <v>534</v>
      </c>
      <c r="O381" t="s">
        <v>39</v>
      </c>
      <c r="P381" t="s">
        <v>1997</v>
      </c>
      <c r="Q381" t="s">
        <v>84</v>
      </c>
      <c r="R381" s="29">
        <v>46152.887499999997</v>
      </c>
      <c r="S381">
        <v>5.64</v>
      </c>
      <c r="T381">
        <v>10206</v>
      </c>
      <c r="U381">
        <v>0</v>
      </c>
      <c r="V381">
        <v>10206</v>
      </c>
    </row>
    <row r="382" spans="1:22" x14ac:dyDescent="0.3">
      <c r="A382">
        <v>80147</v>
      </c>
      <c r="B382">
        <v>454840371</v>
      </c>
      <c r="C382" t="s">
        <v>1998</v>
      </c>
      <c r="D382" s="9">
        <v>270040912</v>
      </c>
      <c r="E382" t="s">
        <v>1841</v>
      </c>
      <c r="F382" t="s">
        <v>531</v>
      </c>
      <c r="G382" t="s">
        <v>30</v>
      </c>
      <c r="H382" t="s">
        <v>31</v>
      </c>
      <c r="I382" t="s">
        <v>52</v>
      </c>
      <c r="J382" t="s">
        <v>32</v>
      </c>
      <c r="K382" t="s">
        <v>29</v>
      </c>
      <c r="L382" t="s">
        <v>1999</v>
      </c>
      <c r="M382" t="s">
        <v>2000</v>
      </c>
      <c r="N382" t="s">
        <v>534</v>
      </c>
      <c r="O382" t="s">
        <v>39</v>
      </c>
      <c r="P382" t="s">
        <v>2001</v>
      </c>
      <c r="Q382" t="s">
        <v>74</v>
      </c>
      <c r="R382" s="29">
        <v>46154.463194444441</v>
      </c>
      <c r="S382">
        <v>5.27</v>
      </c>
      <c r="T382">
        <v>5295</v>
      </c>
      <c r="U382">
        <v>0</v>
      </c>
      <c r="V382">
        <v>5295</v>
      </c>
    </row>
    <row r="383" spans="1:22" x14ac:dyDescent="0.3">
      <c r="A383">
        <v>80147</v>
      </c>
      <c r="B383">
        <v>454821814</v>
      </c>
      <c r="C383" t="s">
        <v>2002</v>
      </c>
      <c r="D383" s="9">
        <v>270040923</v>
      </c>
      <c r="E383" t="s">
        <v>1841</v>
      </c>
      <c r="F383" t="s">
        <v>531</v>
      </c>
      <c r="G383" t="s">
        <v>30</v>
      </c>
      <c r="H383" t="s">
        <v>31</v>
      </c>
      <c r="I383" t="s">
        <v>52</v>
      </c>
      <c r="J383" t="s">
        <v>32</v>
      </c>
      <c r="K383" t="s">
        <v>29</v>
      </c>
      <c r="L383" t="s">
        <v>2003</v>
      </c>
      <c r="M383" t="s">
        <v>2004</v>
      </c>
      <c r="N383" t="s">
        <v>534</v>
      </c>
      <c r="O383" t="s">
        <v>39</v>
      </c>
      <c r="P383" t="s">
        <v>2005</v>
      </c>
      <c r="Q383" t="s">
        <v>116</v>
      </c>
      <c r="R383" s="29">
        <v>46153.848611111112</v>
      </c>
      <c r="S383">
        <v>5.81</v>
      </c>
      <c r="T383">
        <v>5778</v>
      </c>
      <c r="U383">
        <v>0</v>
      </c>
      <c r="V383">
        <v>5778</v>
      </c>
    </row>
    <row r="384" spans="1:22" x14ac:dyDescent="0.3">
      <c r="A384">
        <v>80147</v>
      </c>
      <c r="B384">
        <v>454615295</v>
      </c>
      <c r="C384" t="s">
        <v>2006</v>
      </c>
      <c r="D384" s="9">
        <v>269659720</v>
      </c>
      <c r="E384" t="s">
        <v>1841</v>
      </c>
      <c r="F384" t="s">
        <v>531</v>
      </c>
      <c r="G384" t="s">
        <v>30</v>
      </c>
      <c r="H384" t="s">
        <v>31</v>
      </c>
      <c r="I384" t="s">
        <v>52</v>
      </c>
      <c r="J384" t="s">
        <v>32</v>
      </c>
      <c r="K384" t="s">
        <v>29</v>
      </c>
      <c r="L384" t="s">
        <v>2007</v>
      </c>
      <c r="M384" t="s">
        <v>2008</v>
      </c>
      <c r="N384" t="s">
        <v>534</v>
      </c>
      <c r="O384" t="s">
        <v>39</v>
      </c>
      <c r="P384" t="s">
        <v>2009</v>
      </c>
      <c r="Q384" t="s">
        <v>184</v>
      </c>
      <c r="R384" s="29">
        <v>46147.831250000003</v>
      </c>
      <c r="S384">
        <v>6.43</v>
      </c>
      <c r="T384">
        <v>11027</v>
      </c>
      <c r="U384">
        <v>0</v>
      </c>
      <c r="V384">
        <v>11027</v>
      </c>
    </row>
    <row r="385" spans="1:22" x14ac:dyDescent="0.3">
      <c r="A385">
        <v>80147</v>
      </c>
      <c r="B385">
        <v>454736983</v>
      </c>
      <c r="C385" t="s">
        <v>2010</v>
      </c>
      <c r="D385" s="9">
        <v>269962575</v>
      </c>
      <c r="E385" t="s">
        <v>1841</v>
      </c>
      <c r="F385" t="s">
        <v>531</v>
      </c>
      <c r="G385" t="s">
        <v>30</v>
      </c>
      <c r="H385" t="s">
        <v>31</v>
      </c>
      <c r="I385" t="s">
        <v>52</v>
      </c>
      <c r="J385" t="s">
        <v>32</v>
      </c>
      <c r="K385" t="s">
        <v>29</v>
      </c>
      <c r="L385" t="s">
        <v>2011</v>
      </c>
      <c r="M385" t="s">
        <v>2012</v>
      </c>
      <c r="N385" t="s">
        <v>534</v>
      </c>
      <c r="O385" t="s">
        <v>39</v>
      </c>
      <c r="P385" t="s">
        <v>2013</v>
      </c>
      <c r="Q385" t="s">
        <v>98</v>
      </c>
      <c r="R385" s="29">
        <v>46150.865277777775</v>
      </c>
      <c r="S385">
        <v>5.52</v>
      </c>
      <c r="T385">
        <v>6089</v>
      </c>
      <c r="U385">
        <v>0</v>
      </c>
      <c r="V385">
        <v>6089</v>
      </c>
    </row>
    <row r="386" spans="1:22" x14ac:dyDescent="0.3">
      <c r="A386">
        <v>80147</v>
      </c>
      <c r="B386">
        <v>454835949</v>
      </c>
      <c r="C386" t="s">
        <v>2014</v>
      </c>
      <c r="D386" s="9">
        <v>270040902</v>
      </c>
      <c r="E386" t="s">
        <v>1841</v>
      </c>
      <c r="F386" t="s">
        <v>531</v>
      </c>
      <c r="G386" t="s">
        <v>30</v>
      </c>
      <c r="H386" t="s">
        <v>31</v>
      </c>
      <c r="I386" t="s">
        <v>52</v>
      </c>
      <c r="J386" t="s">
        <v>32</v>
      </c>
      <c r="K386" t="s">
        <v>29</v>
      </c>
      <c r="L386" t="s">
        <v>2015</v>
      </c>
      <c r="M386" t="s">
        <v>2016</v>
      </c>
      <c r="N386" t="s">
        <v>534</v>
      </c>
      <c r="O386" t="s">
        <v>39</v>
      </c>
      <c r="P386" t="s">
        <v>2017</v>
      </c>
      <c r="Q386" t="s">
        <v>33</v>
      </c>
      <c r="R386" s="29">
        <v>46154.418055555558</v>
      </c>
      <c r="S386">
        <v>6.51</v>
      </c>
      <c r="T386">
        <v>5564</v>
      </c>
      <c r="U386">
        <v>0</v>
      </c>
      <c r="V386">
        <v>5564</v>
      </c>
    </row>
    <row r="387" spans="1:22" x14ac:dyDescent="0.3">
      <c r="A387">
        <v>80147</v>
      </c>
      <c r="B387">
        <v>454798114</v>
      </c>
      <c r="C387" t="s">
        <v>2018</v>
      </c>
      <c r="D387" s="9">
        <v>270040953</v>
      </c>
      <c r="E387" t="s">
        <v>1841</v>
      </c>
      <c r="F387" t="s">
        <v>531</v>
      </c>
      <c r="G387" t="s">
        <v>30</v>
      </c>
      <c r="H387" t="s">
        <v>31</v>
      </c>
      <c r="I387" t="s">
        <v>52</v>
      </c>
      <c r="J387" t="s">
        <v>32</v>
      </c>
      <c r="K387" t="s">
        <v>29</v>
      </c>
      <c r="L387" t="s">
        <v>2019</v>
      </c>
      <c r="M387" t="s">
        <v>2020</v>
      </c>
      <c r="N387" t="s">
        <v>534</v>
      </c>
      <c r="O387" t="s">
        <v>39</v>
      </c>
      <c r="P387" t="s">
        <v>2021</v>
      </c>
      <c r="Q387" t="s">
        <v>140</v>
      </c>
      <c r="R387" s="29">
        <v>46153.486805555556</v>
      </c>
      <c r="S387">
        <v>6.22</v>
      </c>
      <c r="T387">
        <v>5024</v>
      </c>
      <c r="U387">
        <v>0</v>
      </c>
      <c r="V387">
        <v>5024</v>
      </c>
    </row>
    <row r="388" spans="1:22" x14ac:dyDescent="0.3">
      <c r="A388">
        <v>80147</v>
      </c>
      <c r="B388">
        <v>454775018</v>
      </c>
      <c r="C388" t="s">
        <v>2022</v>
      </c>
      <c r="D388" s="9">
        <v>269962519</v>
      </c>
      <c r="E388" t="s">
        <v>1841</v>
      </c>
      <c r="F388" t="s">
        <v>531</v>
      </c>
      <c r="G388" t="s">
        <v>30</v>
      </c>
      <c r="H388" t="s">
        <v>31</v>
      </c>
      <c r="I388" t="s">
        <v>52</v>
      </c>
      <c r="J388" t="s">
        <v>32</v>
      </c>
      <c r="K388" t="s">
        <v>29</v>
      </c>
      <c r="L388" t="s">
        <v>2023</v>
      </c>
      <c r="M388" t="s">
        <v>2024</v>
      </c>
      <c r="N388" t="s">
        <v>534</v>
      </c>
      <c r="O388" t="s">
        <v>39</v>
      </c>
      <c r="P388" t="s">
        <v>2025</v>
      </c>
      <c r="Q388" t="s">
        <v>72</v>
      </c>
      <c r="R388" s="29">
        <v>46152.887499999997</v>
      </c>
      <c r="S388">
        <v>6.04</v>
      </c>
      <c r="T388">
        <v>6114</v>
      </c>
      <c r="U388">
        <v>0</v>
      </c>
      <c r="V388">
        <v>6114</v>
      </c>
    </row>
    <row r="389" spans="1:22" x14ac:dyDescent="0.3">
      <c r="A389">
        <v>80147</v>
      </c>
      <c r="B389">
        <v>454746462</v>
      </c>
      <c r="C389" t="s">
        <v>2026</v>
      </c>
      <c r="D389" s="9">
        <v>269962558</v>
      </c>
      <c r="E389" t="s">
        <v>1841</v>
      </c>
      <c r="F389" t="s">
        <v>531</v>
      </c>
      <c r="G389" t="s">
        <v>30</v>
      </c>
      <c r="H389" t="s">
        <v>31</v>
      </c>
      <c r="I389" t="s">
        <v>52</v>
      </c>
      <c r="J389" t="s">
        <v>32</v>
      </c>
      <c r="K389" t="s">
        <v>29</v>
      </c>
      <c r="L389" t="s">
        <v>2027</v>
      </c>
      <c r="M389" t="s">
        <v>2028</v>
      </c>
      <c r="N389" t="s">
        <v>534</v>
      </c>
      <c r="O389" t="s">
        <v>39</v>
      </c>
      <c r="P389" t="s">
        <v>2029</v>
      </c>
      <c r="Q389" t="s">
        <v>38</v>
      </c>
      <c r="R389" s="29">
        <v>46151.467361111114</v>
      </c>
      <c r="S389">
        <v>1</v>
      </c>
      <c r="T389">
        <v>3250</v>
      </c>
      <c r="U389">
        <v>0</v>
      </c>
      <c r="V389">
        <v>3250</v>
      </c>
    </row>
    <row r="390" spans="1:22" x14ac:dyDescent="0.3">
      <c r="A390">
        <v>80147</v>
      </c>
      <c r="B390">
        <v>454775025</v>
      </c>
      <c r="C390" t="s">
        <v>2030</v>
      </c>
      <c r="D390" s="9">
        <v>269962515</v>
      </c>
      <c r="E390" t="s">
        <v>1841</v>
      </c>
      <c r="F390" t="s">
        <v>531</v>
      </c>
      <c r="G390" t="s">
        <v>30</v>
      </c>
      <c r="H390" t="s">
        <v>31</v>
      </c>
      <c r="I390" t="s">
        <v>52</v>
      </c>
      <c r="J390" t="s">
        <v>32</v>
      </c>
      <c r="K390" t="s">
        <v>29</v>
      </c>
      <c r="L390" t="s">
        <v>2031</v>
      </c>
      <c r="M390" t="s">
        <v>2032</v>
      </c>
      <c r="N390" t="s">
        <v>534</v>
      </c>
      <c r="O390" t="s">
        <v>39</v>
      </c>
      <c r="P390" t="s">
        <v>2033</v>
      </c>
      <c r="Q390" t="s">
        <v>65</v>
      </c>
      <c r="R390" s="29">
        <v>46152.887499999997</v>
      </c>
      <c r="S390">
        <v>5.53</v>
      </c>
      <c r="T390">
        <v>6114</v>
      </c>
      <c r="U390">
        <v>0</v>
      </c>
      <c r="V390">
        <v>6114</v>
      </c>
    </row>
    <row r="391" spans="1:22" x14ac:dyDescent="0.3">
      <c r="A391">
        <v>80147</v>
      </c>
      <c r="B391">
        <v>454736980</v>
      </c>
      <c r="C391" t="s">
        <v>2034</v>
      </c>
      <c r="D391" s="9">
        <v>269962583</v>
      </c>
      <c r="E391" t="s">
        <v>1841</v>
      </c>
      <c r="F391" t="s">
        <v>531</v>
      </c>
      <c r="G391" t="s">
        <v>30</v>
      </c>
      <c r="H391" t="s">
        <v>31</v>
      </c>
      <c r="I391" t="s">
        <v>52</v>
      </c>
      <c r="J391" t="s">
        <v>32</v>
      </c>
      <c r="K391" t="s">
        <v>29</v>
      </c>
      <c r="L391" t="s">
        <v>2035</v>
      </c>
      <c r="M391" t="s">
        <v>306</v>
      </c>
      <c r="N391" t="s">
        <v>534</v>
      </c>
      <c r="O391" t="s">
        <v>39</v>
      </c>
      <c r="P391" t="s">
        <v>2036</v>
      </c>
      <c r="Q391" t="s">
        <v>48</v>
      </c>
      <c r="R391" s="29">
        <v>46150.865277777775</v>
      </c>
      <c r="S391">
        <v>5.62</v>
      </c>
      <c r="T391">
        <v>5024</v>
      </c>
      <c r="U391">
        <v>0</v>
      </c>
      <c r="V391">
        <v>5024</v>
      </c>
    </row>
    <row r="392" spans="1:22" x14ac:dyDescent="0.3">
      <c r="A392">
        <v>80147</v>
      </c>
      <c r="B392">
        <v>454775027</v>
      </c>
      <c r="C392" t="s">
        <v>2037</v>
      </c>
      <c r="D392" s="9">
        <v>269962510</v>
      </c>
      <c r="E392" t="s">
        <v>1841</v>
      </c>
      <c r="F392" t="s">
        <v>531</v>
      </c>
      <c r="G392" t="s">
        <v>30</v>
      </c>
      <c r="H392" t="s">
        <v>31</v>
      </c>
      <c r="I392" t="s">
        <v>52</v>
      </c>
      <c r="J392" t="s">
        <v>32</v>
      </c>
      <c r="K392" t="s">
        <v>29</v>
      </c>
      <c r="L392" t="s">
        <v>2038</v>
      </c>
      <c r="M392" t="s">
        <v>263</v>
      </c>
      <c r="N392" t="s">
        <v>534</v>
      </c>
      <c r="O392" t="s">
        <v>39</v>
      </c>
      <c r="P392" t="s">
        <v>2039</v>
      </c>
      <c r="Q392" t="s">
        <v>189</v>
      </c>
      <c r="R392" s="29">
        <v>46152.887499999997</v>
      </c>
      <c r="S392">
        <v>1</v>
      </c>
      <c r="T392">
        <v>3250</v>
      </c>
      <c r="U392">
        <v>0</v>
      </c>
      <c r="V392">
        <v>3250</v>
      </c>
    </row>
    <row r="393" spans="1:22" x14ac:dyDescent="0.3">
      <c r="A393">
        <v>80147</v>
      </c>
      <c r="B393">
        <v>454775028</v>
      </c>
      <c r="C393" t="s">
        <v>2040</v>
      </c>
      <c r="D393" s="9">
        <v>269962502</v>
      </c>
      <c r="E393" t="s">
        <v>1841</v>
      </c>
      <c r="F393" t="s">
        <v>531</v>
      </c>
      <c r="G393" t="s">
        <v>30</v>
      </c>
      <c r="H393" t="s">
        <v>31</v>
      </c>
      <c r="I393" t="s">
        <v>52</v>
      </c>
      <c r="J393" t="s">
        <v>32</v>
      </c>
      <c r="K393" t="s">
        <v>29</v>
      </c>
      <c r="L393" t="s">
        <v>2041</v>
      </c>
      <c r="M393" t="s">
        <v>344</v>
      </c>
      <c r="N393" t="s">
        <v>534</v>
      </c>
      <c r="O393" t="s">
        <v>39</v>
      </c>
      <c r="P393" t="s">
        <v>2042</v>
      </c>
      <c r="Q393" t="s">
        <v>38</v>
      </c>
      <c r="R393" s="29">
        <v>46152.887499999997</v>
      </c>
      <c r="S393">
        <v>3</v>
      </c>
      <c r="T393">
        <v>3250</v>
      </c>
      <c r="U393">
        <v>0</v>
      </c>
      <c r="V393">
        <v>3250</v>
      </c>
    </row>
    <row r="394" spans="1:22" x14ac:dyDescent="0.3">
      <c r="A394">
        <v>80147</v>
      </c>
      <c r="B394">
        <v>454775016</v>
      </c>
      <c r="C394" t="s">
        <v>2043</v>
      </c>
      <c r="D394" s="9">
        <v>269962551</v>
      </c>
      <c r="E394" t="s">
        <v>1841</v>
      </c>
      <c r="F394" t="s">
        <v>531</v>
      </c>
      <c r="G394" t="s">
        <v>30</v>
      </c>
      <c r="H394" t="s">
        <v>31</v>
      </c>
      <c r="I394" t="s">
        <v>52</v>
      </c>
      <c r="J394" t="s">
        <v>32</v>
      </c>
      <c r="K394" t="s">
        <v>29</v>
      </c>
      <c r="L394" t="s">
        <v>2044</v>
      </c>
      <c r="M394" t="s">
        <v>2045</v>
      </c>
      <c r="N394" t="s">
        <v>534</v>
      </c>
      <c r="O394" t="s">
        <v>39</v>
      </c>
      <c r="P394" t="s">
        <v>2046</v>
      </c>
      <c r="Q394" t="s">
        <v>76</v>
      </c>
      <c r="R394" s="29">
        <v>46152.887499999997</v>
      </c>
      <c r="S394">
        <v>7.54</v>
      </c>
      <c r="T394">
        <v>5564</v>
      </c>
      <c r="U394">
        <v>0</v>
      </c>
      <c r="V394">
        <v>5564</v>
      </c>
    </row>
    <row r="395" spans="1:22" x14ac:dyDescent="0.3">
      <c r="A395">
        <v>80147</v>
      </c>
      <c r="B395">
        <v>454615386</v>
      </c>
      <c r="C395" t="s">
        <v>2047</v>
      </c>
      <c r="D395" s="9">
        <v>269659712</v>
      </c>
      <c r="E395" t="s">
        <v>1841</v>
      </c>
      <c r="F395" t="s">
        <v>531</v>
      </c>
      <c r="G395" t="s">
        <v>30</v>
      </c>
      <c r="H395" t="s">
        <v>31</v>
      </c>
      <c r="I395" t="s">
        <v>52</v>
      </c>
      <c r="J395" t="s">
        <v>32</v>
      </c>
      <c r="K395" t="s">
        <v>29</v>
      </c>
      <c r="L395" t="s">
        <v>2048</v>
      </c>
      <c r="M395" t="s">
        <v>419</v>
      </c>
      <c r="N395" t="s">
        <v>534</v>
      </c>
      <c r="O395" t="s">
        <v>39</v>
      </c>
      <c r="P395" t="s">
        <v>2049</v>
      </c>
      <c r="Q395" t="s">
        <v>36</v>
      </c>
      <c r="R395" s="29">
        <v>46147.833333333336</v>
      </c>
      <c r="S395">
        <v>1</v>
      </c>
      <c r="T395">
        <v>5564</v>
      </c>
      <c r="U395">
        <v>0</v>
      </c>
      <c r="V395">
        <v>5564</v>
      </c>
    </row>
    <row r="396" spans="1:22" x14ac:dyDescent="0.3">
      <c r="A396">
        <v>80147</v>
      </c>
      <c r="B396">
        <v>454678730</v>
      </c>
      <c r="C396" t="s">
        <v>2050</v>
      </c>
      <c r="D396" s="9">
        <v>269807330</v>
      </c>
      <c r="E396" t="s">
        <v>1841</v>
      </c>
      <c r="F396" t="s">
        <v>531</v>
      </c>
      <c r="G396" t="s">
        <v>30</v>
      </c>
      <c r="H396" t="s">
        <v>31</v>
      </c>
      <c r="I396" t="s">
        <v>52</v>
      </c>
      <c r="J396" t="s">
        <v>32</v>
      </c>
      <c r="K396" t="s">
        <v>29</v>
      </c>
      <c r="L396" t="s">
        <v>2051</v>
      </c>
      <c r="M396" t="s">
        <v>2052</v>
      </c>
      <c r="N396" t="s">
        <v>534</v>
      </c>
      <c r="O396" t="s">
        <v>39</v>
      </c>
      <c r="P396" t="s">
        <v>2053</v>
      </c>
      <c r="Q396" t="s">
        <v>162</v>
      </c>
      <c r="R396" s="29">
        <v>46149.472916666666</v>
      </c>
      <c r="S396">
        <v>1</v>
      </c>
      <c r="T396">
        <v>5564</v>
      </c>
      <c r="U396">
        <v>0</v>
      </c>
      <c r="V396">
        <v>5564</v>
      </c>
    </row>
    <row r="397" spans="1:22" x14ac:dyDescent="0.3">
      <c r="A397">
        <v>80147</v>
      </c>
      <c r="B397">
        <v>454661497</v>
      </c>
      <c r="C397" t="s">
        <v>2054</v>
      </c>
      <c r="D397" s="9">
        <v>269728608</v>
      </c>
      <c r="E397" t="s">
        <v>1841</v>
      </c>
      <c r="F397" t="s">
        <v>531</v>
      </c>
      <c r="G397" t="s">
        <v>30</v>
      </c>
      <c r="H397" t="s">
        <v>31</v>
      </c>
      <c r="I397" t="s">
        <v>52</v>
      </c>
      <c r="J397" t="s">
        <v>32</v>
      </c>
      <c r="K397" t="s">
        <v>29</v>
      </c>
      <c r="L397" t="s">
        <v>2055</v>
      </c>
      <c r="M397" t="s">
        <v>2056</v>
      </c>
      <c r="N397" t="s">
        <v>534</v>
      </c>
      <c r="O397" t="s">
        <v>39</v>
      </c>
      <c r="P397" t="s">
        <v>2057</v>
      </c>
      <c r="Q397" t="s">
        <v>43</v>
      </c>
      <c r="R397" s="29">
        <v>46148.876388888886</v>
      </c>
      <c r="S397">
        <v>1</v>
      </c>
      <c r="T397">
        <v>4205</v>
      </c>
      <c r="U397">
        <v>0</v>
      </c>
      <c r="V397">
        <v>4205</v>
      </c>
    </row>
    <row r="398" spans="1:22" x14ac:dyDescent="0.3">
      <c r="A398">
        <v>80147</v>
      </c>
      <c r="B398">
        <v>454703908</v>
      </c>
      <c r="C398" t="s">
        <v>2058</v>
      </c>
      <c r="D398" s="9">
        <v>269807301</v>
      </c>
      <c r="E398" t="s">
        <v>1841</v>
      </c>
      <c r="F398" t="s">
        <v>531</v>
      </c>
      <c r="G398" t="s">
        <v>30</v>
      </c>
      <c r="H398" t="s">
        <v>31</v>
      </c>
      <c r="I398" t="s">
        <v>52</v>
      </c>
      <c r="J398" t="s">
        <v>32</v>
      </c>
      <c r="K398" t="s">
        <v>102</v>
      </c>
      <c r="L398" t="s">
        <v>103</v>
      </c>
      <c r="M398" t="s">
        <v>2059</v>
      </c>
      <c r="N398" t="s">
        <v>534</v>
      </c>
      <c r="O398" t="s">
        <v>39</v>
      </c>
      <c r="P398" t="s">
        <v>2060</v>
      </c>
      <c r="Q398" t="s">
        <v>202</v>
      </c>
      <c r="R398" s="29">
        <v>46149.926388888889</v>
      </c>
      <c r="S398">
        <v>1</v>
      </c>
      <c r="T398">
        <v>3935</v>
      </c>
      <c r="U398">
        <v>0</v>
      </c>
      <c r="V398">
        <v>3935</v>
      </c>
    </row>
    <row r="399" spans="1:22" x14ac:dyDescent="0.3">
      <c r="A399">
        <v>80147</v>
      </c>
      <c r="B399">
        <v>454466505</v>
      </c>
      <c r="C399" t="s">
        <v>2061</v>
      </c>
      <c r="D399" s="9">
        <v>269481161</v>
      </c>
      <c r="E399" t="s">
        <v>1841</v>
      </c>
      <c r="F399" t="s">
        <v>531</v>
      </c>
      <c r="G399" t="s">
        <v>30</v>
      </c>
      <c r="H399" t="s">
        <v>31</v>
      </c>
      <c r="I399" t="s">
        <v>52</v>
      </c>
      <c r="J399" t="s">
        <v>32</v>
      </c>
      <c r="K399" t="s">
        <v>29</v>
      </c>
      <c r="L399" t="s">
        <v>2062</v>
      </c>
      <c r="M399" t="s">
        <v>329</v>
      </c>
      <c r="N399" t="s">
        <v>534</v>
      </c>
      <c r="O399" t="s">
        <v>39</v>
      </c>
      <c r="P399" t="s">
        <v>2063</v>
      </c>
      <c r="Q399" t="s">
        <v>234</v>
      </c>
      <c r="R399" s="29">
        <v>46143.909722222219</v>
      </c>
      <c r="S399">
        <v>5.32</v>
      </c>
      <c r="T399">
        <v>6955</v>
      </c>
      <c r="U399">
        <v>0</v>
      </c>
      <c r="V399">
        <v>6955</v>
      </c>
    </row>
    <row r="400" spans="1:22" x14ac:dyDescent="0.3">
      <c r="A400">
        <v>80147</v>
      </c>
      <c r="B400">
        <v>454678735</v>
      </c>
      <c r="C400" t="s">
        <v>2064</v>
      </c>
      <c r="D400" s="9">
        <v>269807338</v>
      </c>
      <c r="E400" t="s">
        <v>1841</v>
      </c>
      <c r="F400" t="s">
        <v>531</v>
      </c>
      <c r="G400" t="s">
        <v>30</v>
      </c>
      <c r="H400" t="s">
        <v>31</v>
      </c>
      <c r="I400" t="s">
        <v>52</v>
      </c>
      <c r="J400" t="s">
        <v>32</v>
      </c>
      <c r="K400" t="s">
        <v>29</v>
      </c>
      <c r="L400" t="s">
        <v>2065</v>
      </c>
      <c r="M400" t="s">
        <v>2066</v>
      </c>
      <c r="N400" t="s">
        <v>534</v>
      </c>
      <c r="O400" t="s">
        <v>39</v>
      </c>
      <c r="P400" t="s">
        <v>2067</v>
      </c>
      <c r="Q400" t="s">
        <v>84</v>
      </c>
      <c r="R400" s="29">
        <v>46149.472916666666</v>
      </c>
      <c r="S400">
        <v>1</v>
      </c>
      <c r="T400">
        <v>5564</v>
      </c>
      <c r="U400">
        <v>0</v>
      </c>
      <c r="V400">
        <v>5564</v>
      </c>
    </row>
    <row r="401" spans="1:22" x14ac:dyDescent="0.3">
      <c r="A401">
        <v>80147</v>
      </c>
      <c r="B401">
        <v>454703911</v>
      </c>
      <c r="C401" t="s">
        <v>2068</v>
      </c>
      <c r="D401" s="9">
        <v>269807271</v>
      </c>
      <c r="E401" t="s">
        <v>1841</v>
      </c>
      <c r="F401" t="s">
        <v>531</v>
      </c>
      <c r="G401" t="s">
        <v>30</v>
      </c>
      <c r="H401" t="s">
        <v>31</v>
      </c>
      <c r="I401" t="s">
        <v>52</v>
      </c>
      <c r="J401" t="s">
        <v>32</v>
      </c>
      <c r="K401" t="s">
        <v>102</v>
      </c>
      <c r="L401" t="s">
        <v>103</v>
      </c>
      <c r="M401" t="s">
        <v>2069</v>
      </c>
      <c r="N401" t="s">
        <v>534</v>
      </c>
      <c r="O401" t="s">
        <v>39</v>
      </c>
      <c r="P401" t="s">
        <v>2070</v>
      </c>
      <c r="Q401" t="s">
        <v>69</v>
      </c>
      <c r="R401" s="29">
        <v>46149.926388888889</v>
      </c>
      <c r="S401">
        <v>1</v>
      </c>
      <c r="T401">
        <v>5024</v>
      </c>
      <c r="U401">
        <v>0</v>
      </c>
      <c r="V401">
        <v>5024</v>
      </c>
    </row>
    <row r="402" spans="1:22" x14ac:dyDescent="0.3">
      <c r="A402">
        <v>80147</v>
      </c>
      <c r="B402">
        <v>454678717</v>
      </c>
      <c r="C402" t="s">
        <v>2071</v>
      </c>
      <c r="D402" s="9">
        <v>269807356</v>
      </c>
      <c r="E402" t="s">
        <v>1841</v>
      </c>
      <c r="F402" t="s">
        <v>531</v>
      </c>
      <c r="G402" t="s">
        <v>30</v>
      </c>
      <c r="H402" t="s">
        <v>31</v>
      </c>
      <c r="I402" t="s">
        <v>52</v>
      </c>
      <c r="J402" t="s">
        <v>32</v>
      </c>
      <c r="K402" t="s">
        <v>29</v>
      </c>
      <c r="L402" t="s">
        <v>2072</v>
      </c>
      <c r="M402" t="s">
        <v>2073</v>
      </c>
      <c r="N402" t="s">
        <v>534</v>
      </c>
      <c r="O402" t="s">
        <v>39</v>
      </c>
      <c r="P402" t="s">
        <v>2074</v>
      </c>
      <c r="Q402" t="s">
        <v>74</v>
      </c>
      <c r="R402" s="29">
        <v>46149.472916666666</v>
      </c>
      <c r="S402">
        <v>1</v>
      </c>
      <c r="T402">
        <v>3653</v>
      </c>
      <c r="U402">
        <v>0</v>
      </c>
      <c r="V402">
        <v>3653</v>
      </c>
    </row>
    <row r="403" spans="1:22" x14ac:dyDescent="0.3">
      <c r="A403">
        <v>80147</v>
      </c>
      <c r="B403">
        <v>454719762</v>
      </c>
      <c r="C403" t="s">
        <v>2075</v>
      </c>
      <c r="D403" s="9">
        <v>269807242</v>
      </c>
      <c r="E403" t="s">
        <v>1841</v>
      </c>
      <c r="F403" t="s">
        <v>531</v>
      </c>
      <c r="G403" t="s">
        <v>30</v>
      </c>
      <c r="H403" t="s">
        <v>31</v>
      </c>
      <c r="I403" t="s">
        <v>52</v>
      </c>
      <c r="J403" t="s">
        <v>32</v>
      </c>
      <c r="K403" t="s">
        <v>29</v>
      </c>
      <c r="L403" t="s">
        <v>2076</v>
      </c>
      <c r="M403" t="s">
        <v>2077</v>
      </c>
      <c r="N403" t="s">
        <v>534</v>
      </c>
      <c r="O403" t="s">
        <v>39</v>
      </c>
      <c r="P403" t="s">
        <v>2078</v>
      </c>
      <c r="Q403" t="s">
        <v>38</v>
      </c>
      <c r="R403" s="29">
        <v>46150.476388888892</v>
      </c>
      <c r="S403">
        <v>1</v>
      </c>
      <c r="T403">
        <v>3250</v>
      </c>
      <c r="U403">
        <v>0</v>
      </c>
      <c r="V403">
        <v>3250</v>
      </c>
    </row>
    <row r="404" spans="1:22" x14ac:dyDescent="0.3">
      <c r="A404">
        <v>80147</v>
      </c>
      <c r="B404">
        <v>454588677</v>
      </c>
      <c r="C404" t="s">
        <v>2079</v>
      </c>
      <c r="D404" s="9">
        <v>269568717</v>
      </c>
      <c r="E404" t="s">
        <v>1841</v>
      </c>
      <c r="F404" t="s">
        <v>531</v>
      </c>
      <c r="G404" t="s">
        <v>30</v>
      </c>
      <c r="H404" t="s">
        <v>31</v>
      </c>
      <c r="I404" t="s">
        <v>52</v>
      </c>
      <c r="J404" t="s">
        <v>32</v>
      </c>
      <c r="K404" t="s">
        <v>29</v>
      </c>
      <c r="L404" t="s">
        <v>2080</v>
      </c>
      <c r="M404" t="s">
        <v>477</v>
      </c>
      <c r="N404" t="s">
        <v>534</v>
      </c>
      <c r="O404" t="s">
        <v>39</v>
      </c>
      <c r="P404" t="s">
        <v>2081</v>
      </c>
      <c r="Q404" t="s">
        <v>152</v>
      </c>
      <c r="R404" s="29">
        <v>46147.461805555555</v>
      </c>
      <c r="S404">
        <v>6.39</v>
      </c>
      <c r="T404">
        <v>6114</v>
      </c>
      <c r="U404">
        <v>0</v>
      </c>
      <c r="V404">
        <v>6114</v>
      </c>
    </row>
    <row r="405" spans="1:22" x14ac:dyDescent="0.3">
      <c r="A405">
        <v>80147</v>
      </c>
      <c r="B405">
        <v>454540166</v>
      </c>
      <c r="C405" t="s">
        <v>2082</v>
      </c>
      <c r="D405" s="9">
        <v>269480688</v>
      </c>
      <c r="E405" t="s">
        <v>1841</v>
      </c>
      <c r="F405" t="s">
        <v>531</v>
      </c>
      <c r="G405" t="s">
        <v>30</v>
      </c>
      <c r="H405" t="s">
        <v>31</v>
      </c>
      <c r="I405" t="s">
        <v>52</v>
      </c>
      <c r="J405" t="s">
        <v>32</v>
      </c>
      <c r="K405" t="s">
        <v>29</v>
      </c>
      <c r="L405" t="s">
        <v>2083</v>
      </c>
      <c r="M405" t="s">
        <v>2084</v>
      </c>
      <c r="N405" t="s">
        <v>534</v>
      </c>
      <c r="O405" t="s">
        <v>39</v>
      </c>
      <c r="P405" t="s">
        <v>2085</v>
      </c>
      <c r="Q405" t="s">
        <v>36</v>
      </c>
      <c r="R405" s="29">
        <v>46146.486111111109</v>
      </c>
      <c r="S405">
        <v>6.32</v>
      </c>
      <c r="T405">
        <v>10476</v>
      </c>
      <c r="U405">
        <v>0</v>
      </c>
      <c r="V405">
        <v>10476</v>
      </c>
    </row>
    <row r="406" spans="1:22" x14ac:dyDescent="0.3">
      <c r="A406">
        <v>80147</v>
      </c>
      <c r="B406">
        <v>454703919</v>
      </c>
      <c r="C406" t="s">
        <v>2086</v>
      </c>
      <c r="D406" s="9">
        <v>269807247</v>
      </c>
      <c r="E406" t="s">
        <v>1841</v>
      </c>
      <c r="F406" t="s">
        <v>531</v>
      </c>
      <c r="G406" t="s">
        <v>30</v>
      </c>
      <c r="H406" t="s">
        <v>31</v>
      </c>
      <c r="I406" t="s">
        <v>52</v>
      </c>
      <c r="J406" t="s">
        <v>32</v>
      </c>
      <c r="K406" t="s">
        <v>29</v>
      </c>
      <c r="L406" t="s">
        <v>2087</v>
      </c>
      <c r="M406" t="s">
        <v>2088</v>
      </c>
      <c r="N406" t="s">
        <v>534</v>
      </c>
      <c r="O406" t="s">
        <v>39</v>
      </c>
      <c r="P406" t="s">
        <v>2089</v>
      </c>
      <c r="Q406" t="s">
        <v>38</v>
      </c>
      <c r="R406" s="29">
        <v>46149.926388888889</v>
      </c>
      <c r="S406">
        <v>1</v>
      </c>
      <c r="T406">
        <v>3250</v>
      </c>
      <c r="U406">
        <v>0</v>
      </c>
      <c r="V406">
        <v>3250</v>
      </c>
    </row>
    <row r="407" spans="1:22" x14ac:dyDescent="0.3">
      <c r="A407">
        <v>80147</v>
      </c>
      <c r="B407">
        <v>454703916</v>
      </c>
      <c r="C407" t="s">
        <v>2090</v>
      </c>
      <c r="D407" s="9">
        <v>269807275</v>
      </c>
      <c r="E407" t="s">
        <v>1841</v>
      </c>
      <c r="F407" t="s">
        <v>531</v>
      </c>
      <c r="G407" t="s">
        <v>30</v>
      </c>
      <c r="H407" t="s">
        <v>31</v>
      </c>
      <c r="I407" t="s">
        <v>52</v>
      </c>
      <c r="J407" t="s">
        <v>32</v>
      </c>
      <c r="K407" t="s">
        <v>29</v>
      </c>
      <c r="L407" t="s">
        <v>2091</v>
      </c>
      <c r="M407" t="s">
        <v>2092</v>
      </c>
      <c r="N407" t="s">
        <v>534</v>
      </c>
      <c r="O407" t="s">
        <v>39</v>
      </c>
      <c r="P407" t="s">
        <v>2093</v>
      </c>
      <c r="Q407" t="s">
        <v>34</v>
      </c>
      <c r="R407" s="29">
        <v>46149.926388888889</v>
      </c>
      <c r="S407">
        <v>1</v>
      </c>
      <c r="T407">
        <v>3653</v>
      </c>
      <c r="U407">
        <v>0</v>
      </c>
      <c r="V407">
        <v>3653</v>
      </c>
    </row>
    <row r="408" spans="1:22" x14ac:dyDescent="0.3">
      <c r="A408">
        <v>80147</v>
      </c>
      <c r="B408">
        <v>454703918</v>
      </c>
      <c r="C408" t="s">
        <v>2094</v>
      </c>
      <c r="D408" s="9">
        <v>269807252</v>
      </c>
      <c r="E408" t="s">
        <v>1841</v>
      </c>
      <c r="F408" t="s">
        <v>531</v>
      </c>
      <c r="G408" t="s">
        <v>30</v>
      </c>
      <c r="H408" t="s">
        <v>31</v>
      </c>
      <c r="I408" t="s">
        <v>52</v>
      </c>
      <c r="J408" t="s">
        <v>32</v>
      </c>
      <c r="K408" t="s">
        <v>29</v>
      </c>
      <c r="L408" t="s">
        <v>2095</v>
      </c>
      <c r="M408" t="s">
        <v>393</v>
      </c>
      <c r="N408" t="s">
        <v>534</v>
      </c>
      <c r="O408" t="s">
        <v>39</v>
      </c>
      <c r="P408" t="s">
        <v>2096</v>
      </c>
      <c r="Q408" t="s">
        <v>67</v>
      </c>
      <c r="R408" s="29">
        <v>46149.926388888889</v>
      </c>
      <c r="S408">
        <v>1</v>
      </c>
      <c r="T408">
        <v>3250</v>
      </c>
      <c r="U408">
        <v>0</v>
      </c>
      <c r="V408">
        <v>3250</v>
      </c>
    </row>
    <row r="409" spans="1:22" x14ac:dyDescent="0.3">
      <c r="A409">
        <v>80147</v>
      </c>
      <c r="B409">
        <v>454640113</v>
      </c>
      <c r="C409" t="s">
        <v>2097</v>
      </c>
      <c r="D409" s="9">
        <v>269659700</v>
      </c>
      <c r="E409" t="s">
        <v>1841</v>
      </c>
      <c r="F409" t="s">
        <v>531</v>
      </c>
      <c r="G409" t="s">
        <v>30</v>
      </c>
      <c r="H409" t="s">
        <v>31</v>
      </c>
      <c r="I409" t="s">
        <v>52</v>
      </c>
      <c r="J409" t="s">
        <v>32</v>
      </c>
      <c r="K409" t="s">
        <v>29</v>
      </c>
      <c r="L409" t="s">
        <v>2098</v>
      </c>
      <c r="M409" t="s">
        <v>2099</v>
      </c>
      <c r="N409" t="s">
        <v>534</v>
      </c>
      <c r="O409" t="s">
        <v>39</v>
      </c>
      <c r="P409" t="s">
        <v>2100</v>
      </c>
      <c r="Q409" t="s">
        <v>36</v>
      </c>
      <c r="R409" s="29">
        <v>46148.511111111111</v>
      </c>
      <c r="S409">
        <v>6.7</v>
      </c>
      <c r="T409">
        <v>10476</v>
      </c>
      <c r="U409">
        <v>0</v>
      </c>
      <c r="V409">
        <v>10476</v>
      </c>
    </row>
    <row r="410" spans="1:22" x14ac:dyDescent="0.3">
      <c r="A410">
        <v>80147</v>
      </c>
      <c r="B410">
        <v>454703906</v>
      </c>
      <c r="C410" t="s">
        <v>2101</v>
      </c>
      <c r="D410" s="9">
        <v>269807311</v>
      </c>
      <c r="E410" t="s">
        <v>1841</v>
      </c>
      <c r="F410" t="s">
        <v>531</v>
      </c>
      <c r="G410" t="s">
        <v>30</v>
      </c>
      <c r="H410" t="s">
        <v>31</v>
      </c>
      <c r="I410" t="s">
        <v>52</v>
      </c>
      <c r="J410" t="s">
        <v>32</v>
      </c>
      <c r="K410" t="s">
        <v>29</v>
      </c>
      <c r="L410" t="s">
        <v>2102</v>
      </c>
      <c r="M410" t="s">
        <v>2103</v>
      </c>
      <c r="N410" t="s">
        <v>534</v>
      </c>
      <c r="O410" t="s">
        <v>39</v>
      </c>
      <c r="P410" t="s">
        <v>2104</v>
      </c>
      <c r="Q410" t="s">
        <v>38</v>
      </c>
      <c r="R410" s="29">
        <v>46149.926388888889</v>
      </c>
      <c r="S410">
        <v>1</v>
      </c>
      <c r="T410">
        <v>3250</v>
      </c>
      <c r="U410">
        <v>0</v>
      </c>
      <c r="V410">
        <v>3250</v>
      </c>
    </row>
    <row r="411" spans="1:22" x14ac:dyDescent="0.3">
      <c r="A411">
        <v>80147</v>
      </c>
      <c r="B411">
        <v>454703914</v>
      </c>
      <c r="C411" t="s">
        <v>2105</v>
      </c>
      <c r="D411" s="9">
        <v>269807263</v>
      </c>
      <c r="E411" t="s">
        <v>1841</v>
      </c>
      <c r="F411" t="s">
        <v>531</v>
      </c>
      <c r="G411" t="s">
        <v>30</v>
      </c>
      <c r="H411" t="s">
        <v>31</v>
      </c>
      <c r="I411" t="s">
        <v>52</v>
      </c>
      <c r="J411" t="s">
        <v>32</v>
      </c>
      <c r="K411" t="s">
        <v>29</v>
      </c>
      <c r="L411" t="s">
        <v>2106</v>
      </c>
      <c r="M411" t="s">
        <v>2107</v>
      </c>
      <c r="N411" t="s">
        <v>534</v>
      </c>
      <c r="O411" t="s">
        <v>39</v>
      </c>
      <c r="P411" t="s">
        <v>2108</v>
      </c>
      <c r="Q411" t="s">
        <v>41</v>
      </c>
      <c r="R411" s="29">
        <v>46149.926388888889</v>
      </c>
      <c r="S411">
        <v>1</v>
      </c>
      <c r="T411">
        <v>3384</v>
      </c>
      <c r="U411">
        <v>0</v>
      </c>
      <c r="V411">
        <v>3384</v>
      </c>
    </row>
    <row r="412" spans="1:22" x14ac:dyDescent="0.3">
      <c r="A412">
        <v>80147</v>
      </c>
      <c r="B412">
        <v>454568530</v>
      </c>
      <c r="C412" t="s">
        <v>2109</v>
      </c>
      <c r="D412" s="9">
        <v>269568848</v>
      </c>
      <c r="E412" t="s">
        <v>1841</v>
      </c>
      <c r="F412" t="s">
        <v>531</v>
      </c>
      <c r="G412" t="s">
        <v>30</v>
      </c>
      <c r="H412" t="s">
        <v>31</v>
      </c>
      <c r="I412" t="s">
        <v>52</v>
      </c>
      <c r="J412" t="s">
        <v>32</v>
      </c>
      <c r="K412" t="s">
        <v>29</v>
      </c>
      <c r="L412" t="s">
        <v>2110</v>
      </c>
      <c r="M412" t="s">
        <v>2111</v>
      </c>
      <c r="N412" t="s">
        <v>534</v>
      </c>
      <c r="O412" t="s">
        <v>39</v>
      </c>
      <c r="P412" t="s">
        <v>2112</v>
      </c>
      <c r="Q412" t="s">
        <v>69</v>
      </c>
      <c r="R412" s="29">
        <v>46146.865277777775</v>
      </c>
      <c r="S412">
        <v>6.5</v>
      </c>
      <c r="T412">
        <v>9387</v>
      </c>
      <c r="U412">
        <v>0</v>
      </c>
      <c r="V412">
        <v>9387</v>
      </c>
    </row>
    <row r="413" spans="1:22" x14ac:dyDescent="0.3">
      <c r="A413">
        <v>80147</v>
      </c>
      <c r="B413">
        <v>454640122</v>
      </c>
      <c r="C413" t="s">
        <v>2113</v>
      </c>
      <c r="D413" s="9">
        <v>269659693</v>
      </c>
      <c r="E413" t="s">
        <v>1841</v>
      </c>
      <c r="F413" t="s">
        <v>531</v>
      </c>
      <c r="G413" t="s">
        <v>30</v>
      </c>
      <c r="H413" t="s">
        <v>31</v>
      </c>
      <c r="I413" t="s">
        <v>52</v>
      </c>
      <c r="J413" t="s">
        <v>32</v>
      </c>
      <c r="K413" t="s">
        <v>29</v>
      </c>
      <c r="L413" t="s">
        <v>2114</v>
      </c>
      <c r="M413" t="s">
        <v>2115</v>
      </c>
      <c r="N413" t="s">
        <v>534</v>
      </c>
      <c r="O413" t="s">
        <v>39</v>
      </c>
      <c r="P413" t="s">
        <v>2116</v>
      </c>
      <c r="Q413" t="s">
        <v>69</v>
      </c>
      <c r="R413" s="29">
        <v>46148.511111111111</v>
      </c>
      <c r="S413">
        <v>5.53</v>
      </c>
      <c r="T413">
        <v>9387</v>
      </c>
      <c r="U413">
        <v>0</v>
      </c>
      <c r="V413">
        <v>9387</v>
      </c>
    </row>
    <row r="414" spans="1:22" x14ac:dyDescent="0.3">
      <c r="A414">
        <v>80147</v>
      </c>
      <c r="B414">
        <v>454661502</v>
      </c>
      <c r="C414" t="s">
        <v>2117</v>
      </c>
      <c r="D414" s="9">
        <v>269728601</v>
      </c>
      <c r="E414" t="s">
        <v>1841</v>
      </c>
      <c r="F414" t="s">
        <v>531</v>
      </c>
      <c r="G414" t="s">
        <v>30</v>
      </c>
      <c r="H414" t="s">
        <v>31</v>
      </c>
      <c r="I414" t="s">
        <v>52</v>
      </c>
      <c r="J414" t="s">
        <v>32</v>
      </c>
      <c r="K414" t="s">
        <v>29</v>
      </c>
      <c r="L414" t="s">
        <v>2118</v>
      </c>
      <c r="M414" t="s">
        <v>262</v>
      </c>
      <c r="N414" t="s">
        <v>534</v>
      </c>
      <c r="O414" t="s">
        <v>39</v>
      </c>
      <c r="P414" t="s">
        <v>2119</v>
      </c>
      <c r="Q414" t="s">
        <v>148</v>
      </c>
      <c r="R414" s="29">
        <v>46148.876388888886</v>
      </c>
      <c r="S414">
        <v>1</v>
      </c>
      <c r="T414">
        <v>3935</v>
      </c>
      <c r="U414">
        <v>0</v>
      </c>
      <c r="V414">
        <v>3935</v>
      </c>
    </row>
    <row r="415" spans="1:22" x14ac:dyDescent="0.3">
      <c r="A415">
        <v>80147</v>
      </c>
      <c r="B415">
        <v>454540159</v>
      </c>
      <c r="C415" t="s">
        <v>2120</v>
      </c>
      <c r="D415" s="9">
        <v>269480704</v>
      </c>
      <c r="E415" t="s">
        <v>1841</v>
      </c>
      <c r="F415" t="s">
        <v>531</v>
      </c>
      <c r="G415" t="s">
        <v>30</v>
      </c>
      <c r="H415" t="s">
        <v>31</v>
      </c>
      <c r="I415" t="s">
        <v>52</v>
      </c>
      <c r="J415" t="s">
        <v>32</v>
      </c>
      <c r="K415" t="s">
        <v>29</v>
      </c>
      <c r="L415" t="s">
        <v>2121</v>
      </c>
      <c r="M415" t="s">
        <v>2122</v>
      </c>
      <c r="N415" t="s">
        <v>534</v>
      </c>
      <c r="O415" t="s">
        <v>39</v>
      </c>
      <c r="P415" t="s">
        <v>2123</v>
      </c>
      <c r="Q415" t="s">
        <v>90</v>
      </c>
      <c r="R415" s="29">
        <v>46146.486111111109</v>
      </c>
      <c r="S415">
        <v>5.8</v>
      </c>
      <c r="T415">
        <v>5295</v>
      </c>
      <c r="U415">
        <v>0</v>
      </c>
      <c r="V415">
        <v>5295</v>
      </c>
    </row>
    <row r="416" spans="1:22" x14ac:dyDescent="0.3">
      <c r="A416">
        <v>80147</v>
      </c>
      <c r="B416">
        <v>454588671</v>
      </c>
      <c r="C416" t="s">
        <v>2124</v>
      </c>
      <c r="D416" s="9">
        <v>269568738</v>
      </c>
      <c r="E416" t="s">
        <v>1841</v>
      </c>
      <c r="F416" t="s">
        <v>531</v>
      </c>
      <c r="G416" t="s">
        <v>30</v>
      </c>
      <c r="H416" t="s">
        <v>31</v>
      </c>
      <c r="I416" t="s">
        <v>52</v>
      </c>
      <c r="J416" t="s">
        <v>32</v>
      </c>
      <c r="K416" t="s">
        <v>29</v>
      </c>
      <c r="L416" t="s">
        <v>2125</v>
      </c>
      <c r="M416" t="s">
        <v>2126</v>
      </c>
      <c r="N416" t="s">
        <v>534</v>
      </c>
      <c r="O416" t="s">
        <v>39</v>
      </c>
      <c r="P416" t="s">
        <v>2127</v>
      </c>
      <c r="Q416" t="s">
        <v>69</v>
      </c>
      <c r="R416" s="29">
        <v>46147.461805555555</v>
      </c>
      <c r="S416">
        <v>6.1</v>
      </c>
      <c r="T416">
        <v>9387</v>
      </c>
      <c r="U416">
        <v>0</v>
      </c>
      <c r="V416">
        <v>9387</v>
      </c>
    </row>
    <row r="417" spans="1:22" x14ac:dyDescent="0.3">
      <c r="A417">
        <v>80147</v>
      </c>
      <c r="B417">
        <v>454588663</v>
      </c>
      <c r="C417" t="s">
        <v>2128</v>
      </c>
      <c r="D417" s="9">
        <v>269568769</v>
      </c>
      <c r="E417" t="s">
        <v>1841</v>
      </c>
      <c r="F417" t="s">
        <v>531</v>
      </c>
      <c r="G417" t="s">
        <v>30</v>
      </c>
      <c r="H417" t="s">
        <v>31</v>
      </c>
      <c r="I417" t="s">
        <v>52</v>
      </c>
      <c r="J417" t="s">
        <v>32</v>
      </c>
      <c r="K417" t="s">
        <v>29</v>
      </c>
      <c r="L417" t="s">
        <v>2129</v>
      </c>
      <c r="M417" t="s">
        <v>2130</v>
      </c>
      <c r="N417" t="s">
        <v>534</v>
      </c>
      <c r="O417" t="s">
        <v>39</v>
      </c>
      <c r="P417" t="s">
        <v>2131</v>
      </c>
      <c r="Q417" t="s">
        <v>162</v>
      </c>
      <c r="R417" s="29">
        <v>46147.461805555555</v>
      </c>
      <c r="S417">
        <v>10.72</v>
      </c>
      <c r="T417">
        <v>13465</v>
      </c>
      <c r="U417">
        <v>0</v>
      </c>
      <c r="V417">
        <v>13465</v>
      </c>
    </row>
    <row r="418" spans="1:22" x14ac:dyDescent="0.3">
      <c r="A418">
        <v>80147</v>
      </c>
      <c r="B418">
        <v>454540174</v>
      </c>
      <c r="C418" t="s">
        <v>2132</v>
      </c>
      <c r="D418" s="9">
        <v>269480676</v>
      </c>
      <c r="E418" t="s">
        <v>1841</v>
      </c>
      <c r="F418" t="s">
        <v>531</v>
      </c>
      <c r="G418" t="s">
        <v>30</v>
      </c>
      <c r="H418" t="s">
        <v>31</v>
      </c>
      <c r="I418" t="s">
        <v>52</v>
      </c>
      <c r="J418" t="s">
        <v>32</v>
      </c>
      <c r="K418" t="s">
        <v>29</v>
      </c>
      <c r="L418" t="s">
        <v>2133</v>
      </c>
      <c r="M418" t="s">
        <v>313</v>
      </c>
      <c r="N418" t="s">
        <v>534</v>
      </c>
      <c r="O418" t="s">
        <v>39</v>
      </c>
      <c r="P418" t="s">
        <v>2134</v>
      </c>
      <c r="Q418" t="s">
        <v>204</v>
      </c>
      <c r="R418" s="29">
        <v>46146.486111111109</v>
      </c>
      <c r="S418">
        <v>6.03</v>
      </c>
      <c r="T418">
        <v>5564</v>
      </c>
      <c r="U418">
        <v>0</v>
      </c>
      <c r="V418">
        <v>5564</v>
      </c>
    </row>
    <row r="419" spans="1:22" x14ac:dyDescent="0.3">
      <c r="A419">
        <v>80147</v>
      </c>
      <c r="B419">
        <v>454661495</v>
      </c>
      <c r="C419" t="s">
        <v>2135</v>
      </c>
      <c r="D419" s="9">
        <v>269728633</v>
      </c>
      <c r="E419" t="s">
        <v>1841</v>
      </c>
      <c r="F419" t="s">
        <v>531</v>
      </c>
      <c r="G419" t="s">
        <v>30</v>
      </c>
      <c r="H419" t="s">
        <v>31</v>
      </c>
      <c r="I419" t="s">
        <v>52</v>
      </c>
      <c r="J419" t="s">
        <v>32</v>
      </c>
      <c r="K419" t="s">
        <v>29</v>
      </c>
      <c r="L419" t="s">
        <v>2136</v>
      </c>
      <c r="M419" t="s">
        <v>2137</v>
      </c>
      <c r="N419" t="s">
        <v>534</v>
      </c>
      <c r="O419" t="s">
        <v>39</v>
      </c>
      <c r="P419" t="s">
        <v>2138</v>
      </c>
      <c r="Q419" t="s">
        <v>40</v>
      </c>
      <c r="R419" s="29">
        <v>46148.876388888886</v>
      </c>
      <c r="S419">
        <v>1</v>
      </c>
      <c r="T419">
        <v>3935</v>
      </c>
      <c r="U419">
        <v>0</v>
      </c>
      <c r="V419">
        <v>3935</v>
      </c>
    </row>
    <row r="420" spans="1:22" x14ac:dyDescent="0.3">
      <c r="A420">
        <v>80147</v>
      </c>
      <c r="B420">
        <v>454661511</v>
      </c>
      <c r="C420" t="s">
        <v>2139</v>
      </c>
      <c r="D420" s="9">
        <v>269728568</v>
      </c>
      <c r="E420" t="s">
        <v>1841</v>
      </c>
      <c r="F420" t="s">
        <v>531</v>
      </c>
      <c r="G420" t="s">
        <v>30</v>
      </c>
      <c r="H420" t="s">
        <v>31</v>
      </c>
      <c r="I420" t="s">
        <v>52</v>
      </c>
      <c r="J420" t="s">
        <v>32</v>
      </c>
      <c r="K420" t="s">
        <v>29</v>
      </c>
      <c r="L420" t="s">
        <v>2140</v>
      </c>
      <c r="M420" t="s">
        <v>2141</v>
      </c>
      <c r="N420" t="s">
        <v>534</v>
      </c>
      <c r="O420" t="s">
        <v>39</v>
      </c>
      <c r="P420" t="s">
        <v>2142</v>
      </c>
      <c r="Q420" t="s">
        <v>74</v>
      </c>
      <c r="R420" s="29">
        <v>46148.876388888886</v>
      </c>
      <c r="S420">
        <v>1</v>
      </c>
      <c r="T420">
        <v>3653</v>
      </c>
      <c r="U420">
        <v>0</v>
      </c>
      <c r="V420">
        <v>3653</v>
      </c>
    </row>
    <row r="421" spans="1:22" x14ac:dyDescent="0.3">
      <c r="A421">
        <v>80147</v>
      </c>
      <c r="B421">
        <v>454661501</v>
      </c>
      <c r="C421" t="s">
        <v>2143</v>
      </c>
      <c r="D421" s="9">
        <v>269728594</v>
      </c>
      <c r="E421" t="s">
        <v>1841</v>
      </c>
      <c r="F421" t="s">
        <v>531</v>
      </c>
      <c r="G421" t="s">
        <v>30</v>
      </c>
      <c r="H421" t="s">
        <v>31</v>
      </c>
      <c r="I421" t="s">
        <v>52</v>
      </c>
      <c r="J421" t="s">
        <v>32</v>
      </c>
      <c r="K421" t="s">
        <v>29</v>
      </c>
      <c r="L421" t="s">
        <v>2144</v>
      </c>
      <c r="M421" t="s">
        <v>523</v>
      </c>
      <c r="N421" t="s">
        <v>534</v>
      </c>
      <c r="O421" t="s">
        <v>39</v>
      </c>
      <c r="P421" t="s">
        <v>2145</v>
      </c>
      <c r="Q421" t="s">
        <v>73</v>
      </c>
      <c r="R421" s="29">
        <v>46148.876388888886</v>
      </c>
      <c r="S421">
        <v>1</v>
      </c>
      <c r="T421">
        <v>3250</v>
      </c>
      <c r="U421">
        <v>0</v>
      </c>
      <c r="V421">
        <v>3250</v>
      </c>
    </row>
    <row r="422" spans="1:22" x14ac:dyDescent="0.3">
      <c r="A422">
        <v>80147</v>
      </c>
      <c r="B422">
        <v>454640115</v>
      </c>
      <c r="C422" t="s">
        <v>2146</v>
      </c>
      <c r="D422" s="9">
        <v>269659696</v>
      </c>
      <c r="E422" t="s">
        <v>1841</v>
      </c>
      <c r="F422" t="s">
        <v>531</v>
      </c>
      <c r="G422" t="s">
        <v>30</v>
      </c>
      <c r="H422" t="s">
        <v>31</v>
      </c>
      <c r="I422" t="s">
        <v>52</v>
      </c>
      <c r="J422" t="s">
        <v>32</v>
      </c>
      <c r="K422" t="s">
        <v>29</v>
      </c>
      <c r="L422" t="s">
        <v>2147</v>
      </c>
      <c r="M422" t="s">
        <v>2148</v>
      </c>
      <c r="N422" t="s">
        <v>534</v>
      </c>
      <c r="O422" t="s">
        <v>39</v>
      </c>
      <c r="P422" t="s">
        <v>2149</v>
      </c>
      <c r="Q422" t="s">
        <v>38</v>
      </c>
      <c r="R422" s="29">
        <v>46148.511111111111</v>
      </c>
      <c r="S422">
        <v>5.95</v>
      </c>
      <c r="T422">
        <v>5024</v>
      </c>
      <c r="U422">
        <v>0</v>
      </c>
      <c r="V422">
        <v>5024</v>
      </c>
    </row>
    <row r="423" spans="1:22" x14ac:dyDescent="0.3">
      <c r="A423">
        <v>80147</v>
      </c>
      <c r="B423">
        <v>454540173</v>
      </c>
      <c r="C423" t="s">
        <v>2150</v>
      </c>
      <c r="D423" s="9">
        <v>269480669</v>
      </c>
      <c r="E423" t="s">
        <v>1841</v>
      </c>
      <c r="F423" t="s">
        <v>531</v>
      </c>
      <c r="G423" t="s">
        <v>30</v>
      </c>
      <c r="H423" t="s">
        <v>31</v>
      </c>
      <c r="I423" t="s">
        <v>52</v>
      </c>
      <c r="J423" t="s">
        <v>32</v>
      </c>
      <c r="K423" t="s">
        <v>29</v>
      </c>
      <c r="L423" t="s">
        <v>2151</v>
      </c>
      <c r="M423" t="s">
        <v>2152</v>
      </c>
      <c r="N423" t="s">
        <v>534</v>
      </c>
      <c r="O423" t="s">
        <v>39</v>
      </c>
      <c r="P423" t="s">
        <v>2153</v>
      </c>
      <c r="Q423" t="s">
        <v>35</v>
      </c>
      <c r="R423" s="29">
        <v>46146.486111111109</v>
      </c>
      <c r="S423">
        <v>5.65</v>
      </c>
      <c r="T423">
        <v>6114</v>
      </c>
      <c r="U423">
        <v>0</v>
      </c>
      <c r="V423">
        <v>6114</v>
      </c>
    </row>
    <row r="424" spans="1:22" x14ac:dyDescent="0.3">
      <c r="A424">
        <v>80147</v>
      </c>
      <c r="B424">
        <v>454568537</v>
      </c>
      <c r="C424" t="s">
        <v>2154</v>
      </c>
      <c r="D424" s="9">
        <v>269568810</v>
      </c>
      <c r="E424" t="s">
        <v>1841</v>
      </c>
      <c r="F424" t="s">
        <v>531</v>
      </c>
      <c r="G424" t="s">
        <v>30</v>
      </c>
      <c r="H424" t="s">
        <v>31</v>
      </c>
      <c r="I424" t="s">
        <v>52</v>
      </c>
      <c r="J424" t="s">
        <v>32</v>
      </c>
      <c r="K424" t="s">
        <v>29</v>
      </c>
      <c r="L424" t="s">
        <v>2155</v>
      </c>
      <c r="M424" t="s">
        <v>2156</v>
      </c>
      <c r="N424" t="s">
        <v>534</v>
      </c>
      <c r="O424" t="s">
        <v>39</v>
      </c>
      <c r="P424" t="s">
        <v>2157</v>
      </c>
      <c r="Q424" t="s">
        <v>38</v>
      </c>
      <c r="R424" s="29">
        <v>46146.865277777775</v>
      </c>
      <c r="S424">
        <v>5.5</v>
      </c>
      <c r="T424">
        <v>5024</v>
      </c>
      <c r="U424">
        <v>0</v>
      </c>
      <c r="V424">
        <v>5024</v>
      </c>
    </row>
    <row r="425" spans="1:22" x14ac:dyDescent="0.3">
      <c r="A425">
        <v>80147</v>
      </c>
      <c r="B425">
        <v>454466495</v>
      </c>
      <c r="C425" t="s">
        <v>2158</v>
      </c>
      <c r="D425" s="9">
        <v>269481278</v>
      </c>
      <c r="E425" t="s">
        <v>1841</v>
      </c>
      <c r="F425" t="s">
        <v>531</v>
      </c>
      <c r="G425" t="s">
        <v>30</v>
      </c>
      <c r="H425" t="s">
        <v>31</v>
      </c>
      <c r="I425" t="s">
        <v>52</v>
      </c>
      <c r="J425" t="s">
        <v>32</v>
      </c>
      <c r="K425" t="s">
        <v>29</v>
      </c>
      <c r="L425" t="s">
        <v>2159</v>
      </c>
      <c r="M425" t="s">
        <v>2160</v>
      </c>
      <c r="N425" t="s">
        <v>534</v>
      </c>
      <c r="O425" t="s">
        <v>39</v>
      </c>
      <c r="P425" t="s">
        <v>2161</v>
      </c>
      <c r="Q425" t="s">
        <v>69</v>
      </c>
      <c r="R425" s="29">
        <v>46143.909722222219</v>
      </c>
      <c r="S425">
        <v>1</v>
      </c>
      <c r="T425">
        <v>5024</v>
      </c>
      <c r="U425">
        <v>0</v>
      </c>
      <c r="V425">
        <v>5024</v>
      </c>
    </row>
    <row r="426" spans="1:22" x14ac:dyDescent="0.3">
      <c r="A426">
        <v>80147</v>
      </c>
      <c r="B426">
        <v>454466482</v>
      </c>
      <c r="C426" t="s">
        <v>2162</v>
      </c>
      <c r="D426" s="9">
        <v>269481332</v>
      </c>
      <c r="E426" t="s">
        <v>1841</v>
      </c>
      <c r="F426" t="s">
        <v>531</v>
      </c>
      <c r="G426" t="s">
        <v>30</v>
      </c>
      <c r="H426" t="s">
        <v>31</v>
      </c>
      <c r="I426" t="s">
        <v>52</v>
      </c>
      <c r="J426" t="s">
        <v>32</v>
      </c>
      <c r="K426" t="s">
        <v>29</v>
      </c>
      <c r="L426" t="s">
        <v>2163</v>
      </c>
      <c r="M426" t="s">
        <v>2164</v>
      </c>
      <c r="N426" t="s">
        <v>534</v>
      </c>
      <c r="O426" t="s">
        <v>39</v>
      </c>
      <c r="P426" t="s">
        <v>2165</v>
      </c>
      <c r="Q426" t="s">
        <v>162</v>
      </c>
      <c r="R426" s="29">
        <v>46143.909722222219</v>
      </c>
      <c r="S426">
        <v>5.41</v>
      </c>
      <c r="T426">
        <v>10206</v>
      </c>
      <c r="U426">
        <v>0</v>
      </c>
      <c r="V426">
        <v>10206</v>
      </c>
    </row>
    <row r="427" spans="1:22" x14ac:dyDescent="0.3">
      <c r="A427">
        <v>80147</v>
      </c>
      <c r="B427">
        <v>454588651</v>
      </c>
      <c r="C427" t="s">
        <v>2166</v>
      </c>
      <c r="D427" s="9">
        <v>269568799</v>
      </c>
      <c r="E427" t="s">
        <v>1841</v>
      </c>
      <c r="F427" t="s">
        <v>531</v>
      </c>
      <c r="G427" t="s">
        <v>30</v>
      </c>
      <c r="H427" t="s">
        <v>31</v>
      </c>
      <c r="I427" t="s">
        <v>52</v>
      </c>
      <c r="J427" t="s">
        <v>32</v>
      </c>
      <c r="K427" t="s">
        <v>29</v>
      </c>
      <c r="L427" t="s">
        <v>2167</v>
      </c>
      <c r="M427" t="s">
        <v>2168</v>
      </c>
      <c r="N427" t="s">
        <v>534</v>
      </c>
      <c r="O427" t="s">
        <v>39</v>
      </c>
      <c r="P427" t="s">
        <v>2169</v>
      </c>
      <c r="Q427" t="s">
        <v>48</v>
      </c>
      <c r="R427" s="29">
        <v>46147.461805555555</v>
      </c>
      <c r="S427">
        <v>1</v>
      </c>
      <c r="T427">
        <v>3250</v>
      </c>
      <c r="U427">
        <v>0</v>
      </c>
      <c r="V427">
        <v>3250</v>
      </c>
    </row>
    <row r="428" spans="1:22" x14ac:dyDescent="0.3">
      <c r="A428">
        <v>80147</v>
      </c>
      <c r="B428">
        <v>454466491</v>
      </c>
      <c r="C428" t="s">
        <v>2170</v>
      </c>
      <c r="D428" s="9">
        <v>269481264</v>
      </c>
      <c r="E428" t="s">
        <v>1841</v>
      </c>
      <c r="F428" t="s">
        <v>531</v>
      </c>
      <c r="G428" t="s">
        <v>30</v>
      </c>
      <c r="H428" t="s">
        <v>31</v>
      </c>
      <c r="I428" t="s">
        <v>52</v>
      </c>
      <c r="J428" t="s">
        <v>32</v>
      </c>
      <c r="K428" t="s">
        <v>29</v>
      </c>
      <c r="L428" t="s">
        <v>2171</v>
      </c>
      <c r="M428" t="s">
        <v>464</v>
      </c>
      <c r="N428" t="s">
        <v>534</v>
      </c>
      <c r="O428" t="s">
        <v>39</v>
      </c>
      <c r="P428" t="s">
        <v>2172</v>
      </c>
      <c r="Q428" t="s">
        <v>176</v>
      </c>
      <c r="R428" s="29">
        <v>46143.909722222219</v>
      </c>
      <c r="S428">
        <v>5.23</v>
      </c>
      <c r="T428">
        <v>5564</v>
      </c>
      <c r="U428">
        <v>0</v>
      </c>
      <c r="V428">
        <v>5564</v>
      </c>
    </row>
    <row r="429" spans="1:22" x14ac:dyDescent="0.3">
      <c r="A429">
        <v>80147</v>
      </c>
      <c r="B429">
        <v>454615296</v>
      </c>
      <c r="C429" t="s">
        <v>2173</v>
      </c>
      <c r="D429" s="9">
        <v>269659724</v>
      </c>
      <c r="E429" t="s">
        <v>1841</v>
      </c>
      <c r="F429" t="s">
        <v>531</v>
      </c>
      <c r="G429" t="s">
        <v>30</v>
      </c>
      <c r="H429" t="s">
        <v>31</v>
      </c>
      <c r="I429" t="s">
        <v>52</v>
      </c>
      <c r="J429" t="s">
        <v>32</v>
      </c>
      <c r="K429" t="s">
        <v>29</v>
      </c>
      <c r="L429" t="s">
        <v>2174</v>
      </c>
      <c r="M429" t="s">
        <v>2175</v>
      </c>
      <c r="N429" t="s">
        <v>534</v>
      </c>
      <c r="O429" t="s">
        <v>39</v>
      </c>
      <c r="P429" t="s">
        <v>2176</v>
      </c>
      <c r="Q429" t="s">
        <v>78</v>
      </c>
      <c r="R429" s="29">
        <v>46147.831250000003</v>
      </c>
      <c r="S429">
        <v>9.49</v>
      </c>
      <c r="T429">
        <v>6183</v>
      </c>
      <c r="U429">
        <v>0</v>
      </c>
      <c r="V429">
        <v>6183</v>
      </c>
    </row>
    <row r="430" spans="1:22" x14ac:dyDescent="0.3">
      <c r="A430">
        <v>80147</v>
      </c>
      <c r="B430">
        <v>454588664</v>
      </c>
      <c r="C430" t="s">
        <v>2177</v>
      </c>
      <c r="D430" s="9">
        <v>269568792</v>
      </c>
      <c r="E430" t="s">
        <v>1841</v>
      </c>
      <c r="F430" t="s">
        <v>531</v>
      </c>
      <c r="G430" t="s">
        <v>30</v>
      </c>
      <c r="H430" t="s">
        <v>31</v>
      </c>
      <c r="I430" t="s">
        <v>52</v>
      </c>
      <c r="J430" t="s">
        <v>32</v>
      </c>
      <c r="K430" t="s">
        <v>29</v>
      </c>
      <c r="L430" t="s">
        <v>2178</v>
      </c>
      <c r="M430" t="s">
        <v>269</v>
      </c>
      <c r="N430" t="s">
        <v>534</v>
      </c>
      <c r="O430" t="s">
        <v>39</v>
      </c>
      <c r="P430" t="s">
        <v>2179</v>
      </c>
      <c r="Q430" t="s">
        <v>70</v>
      </c>
      <c r="R430" s="29">
        <v>46147.461805555555</v>
      </c>
      <c r="S430">
        <v>6.71</v>
      </c>
      <c r="T430">
        <v>5564</v>
      </c>
      <c r="U430">
        <v>0</v>
      </c>
      <c r="V430">
        <v>5564</v>
      </c>
    </row>
    <row r="431" spans="1:22" x14ac:dyDescent="0.3">
      <c r="A431">
        <v>80147</v>
      </c>
      <c r="B431">
        <v>454568533</v>
      </c>
      <c r="C431" t="s">
        <v>2180</v>
      </c>
      <c r="D431" s="9">
        <v>269568834</v>
      </c>
      <c r="E431" t="s">
        <v>1841</v>
      </c>
      <c r="F431" t="s">
        <v>531</v>
      </c>
      <c r="G431" t="s">
        <v>30</v>
      </c>
      <c r="H431" t="s">
        <v>31</v>
      </c>
      <c r="I431" t="s">
        <v>52</v>
      </c>
      <c r="J431" t="s">
        <v>32</v>
      </c>
      <c r="K431" t="s">
        <v>29</v>
      </c>
      <c r="L431" t="s">
        <v>2181</v>
      </c>
      <c r="M431" t="s">
        <v>2182</v>
      </c>
      <c r="N431" t="s">
        <v>534</v>
      </c>
      <c r="O431" t="s">
        <v>39</v>
      </c>
      <c r="P431" t="s">
        <v>2183</v>
      </c>
      <c r="Q431" t="s">
        <v>140</v>
      </c>
      <c r="R431" s="29">
        <v>46146.865277777775</v>
      </c>
      <c r="S431">
        <v>1</v>
      </c>
      <c r="T431">
        <v>3250</v>
      </c>
      <c r="U431">
        <v>0</v>
      </c>
      <c r="V431">
        <v>3250</v>
      </c>
    </row>
    <row r="432" spans="1:22" x14ac:dyDescent="0.3">
      <c r="A432">
        <v>80147</v>
      </c>
      <c r="B432">
        <v>454540148</v>
      </c>
      <c r="C432" t="s">
        <v>2184</v>
      </c>
      <c r="D432" s="9">
        <v>269480762</v>
      </c>
      <c r="E432" t="s">
        <v>1841</v>
      </c>
      <c r="F432" t="s">
        <v>531</v>
      </c>
      <c r="G432" t="s">
        <v>30</v>
      </c>
      <c r="H432" t="s">
        <v>31</v>
      </c>
      <c r="I432" t="s">
        <v>52</v>
      </c>
      <c r="J432" t="s">
        <v>32</v>
      </c>
      <c r="K432" t="s">
        <v>29</v>
      </c>
      <c r="L432" t="s">
        <v>2185</v>
      </c>
      <c r="M432" t="s">
        <v>2186</v>
      </c>
      <c r="N432" t="s">
        <v>534</v>
      </c>
      <c r="O432" t="s">
        <v>39</v>
      </c>
      <c r="P432" t="s">
        <v>2187</v>
      </c>
      <c r="Q432" t="s">
        <v>33</v>
      </c>
      <c r="R432" s="29">
        <v>46146.486111111109</v>
      </c>
      <c r="S432">
        <v>6.07</v>
      </c>
      <c r="T432">
        <v>5564</v>
      </c>
      <c r="U432">
        <v>0</v>
      </c>
      <c r="V432">
        <v>5564</v>
      </c>
    </row>
    <row r="433" spans="1:22" x14ac:dyDescent="0.3">
      <c r="A433">
        <v>80147</v>
      </c>
      <c r="B433">
        <v>454588670</v>
      </c>
      <c r="C433" t="s">
        <v>2188</v>
      </c>
      <c r="D433" s="9">
        <v>269568760</v>
      </c>
      <c r="E433" t="s">
        <v>1841</v>
      </c>
      <c r="F433" t="s">
        <v>531</v>
      </c>
      <c r="G433" t="s">
        <v>30</v>
      </c>
      <c r="H433" t="s">
        <v>31</v>
      </c>
      <c r="I433" t="s">
        <v>52</v>
      </c>
      <c r="J433" t="s">
        <v>32</v>
      </c>
      <c r="K433" t="s">
        <v>29</v>
      </c>
      <c r="L433" t="s">
        <v>2189</v>
      </c>
      <c r="M433" t="s">
        <v>2190</v>
      </c>
      <c r="N433" t="s">
        <v>534</v>
      </c>
      <c r="O433" t="s">
        <v>39</v>
      </c>
      <c r="P433" t="s">
        <v>2191</v>
      </c>
      <c r="Q433" t="s">
        <v>38</v>
      </c>
      <c r="R433" s="29">
        <v>46147.461805555555</v>
      </c>
      <c r="S433">
        <v>7.45</v>
      </c>
      <c r="T433">
        <v>5024</v>
      </c>
      <c r="U433">
        <v>0</v>
      </c>
      <c r="V433">
        <v>5024</v>
      </c>
    </row>
    <row r="434" spans="1:22" x14ac:dyDescent="0.3">
      <c r="A434">
        <v>80147</v>
      </c>
      <c r="B434">
        <v>454540156</v>
      </c>
      <c r="C434" t="s">
        <v>2192</v>
      </c>
      <c r="D434" s="9">
        <v>269480724</v>
      </c>
      <c r="E434" t="s">
        <v>1841</v>
      </c>
      <c r="F434" t="s">
        <v>531</v>
      </c>
      <c r="G434" t="s">
        <v>30</v>
      </c>
      <c r="H434" t="s">
        <v>31</v>
      </c>
      <c r="I434" t="s">
        <v>52</v>
      </c>
      <c r="J434" t="s">
        <v>32</v>
      </c>
      <c r="K434" t="s">
        <v>29</v>
      </c>
      <c r="L434" t="s">
        <v>2193</v>
      </c>
      <c r="M434" t="s">
        <v>2194</v>
      </c>
      <c r="N434" t="s">
        <v>534</v>
      </c>
      <c r="O434" t="s">
        <v>39</v>
      </c>
      <c r="P434" t="s">
        <v>2195</v>
      </c>
      <c r="Q434" t="s">
        <v>63</v>
      </c>
      <c r="R434" s="29">
        <v>46146.486111111109</v>
      </c>
      <c r="S434">
        <v>1</v>
      </c>
      <c r="T434">
        <v>3384</v>
      </c>
      <c r="U434">
        <v>0</v>
      </c>
      <c r="V434">
        <v>3384</v>
      </c>
    </row>
    <row r="435" spans="1:22" x14ac:dyDescent="0.3">
      <c r="A435">
        <v>80147</v>
      </c>
      <c r="B435">
        <v>454510876</v>
      </c>
      <c r="C435" t="s">
        <v>2196</v>
      </c>
      <c r="D435" s="9">
        <v>269480987</v>
      </c>
      <c r="E435" t="s">
        <v>1841</v>
      </c>
      <c r="F435" t="s">
        <v>531</v>
      </c>
      <c r="G435" t="s">
        <v>30</v>
      </c>
      <c r="H435" t="s">
        <v>31</v>
      </c>
      <c r="I435" t="s">
        <v>52</v>
      </c>
      <c r="J435" t="s">
        <v>32</v>
      </c>
      <c r="K435" t="s">
        <v>29</v>
      </c>
      <c r="L435" t="s">
        <v>2197</v>
      </c>
      <c r="M435" t="s">
        <v>456</v>
      </c>
      <c r="N435" t="s">
        <v>534</v>
      </c>
      <c r="O435" t="s">
        <v>39</v>
      </c>
      <c r="P435" t="s">
        <v>2198</v>
      </c>
      <c r="Q435" t="s">
        <v>69</v>
      </c>
      <c r="R435" s="29">
        <v>46145.863194444442</v>
      </c>
      <c r="S435">
        <v>7.83</v>
      </c>
      <c r="T435">
        <v>9387</v>
      </c>
      <c r="U435">
        <v>0</v>
      </c>
      <c r="V435">
        <v>9387</v>
      </c>
    </row>
    <row r="436" spans="1:22" x14ac:dyDescent="0.3">
      <c r="A436">
        <v>80147</v>
      </c>
      <c r="B436">
        <v>454540165</v>
      </c>
      <c r="C436" t="s">
        <v>2199</v>
      </c>
      <c r="D436" s="9">
        <v>269480700</v>
      </c>
      <c r="E436" t="s">
        <v>1841</v>
      </c>
      <c r="F436" t="s">
        <v>531</v>
      </c>
      <c r="G436" t="s">
        <v>30</v>
      </c>
      <c r="H436" t="s">
        <v>31</v>
      </c>
      <c r="I436" t="s">
        <v>52</v>
      </c>
      <c r="J436" t="s">
        <v>32</v>
      </c>
      <c r="K436" t="s">
        <v>29</v>
      </c>
      <c r="L436" t="s">
        <v>2200</v>
      </c>
      <c r="M436" t="s">
        <v>296</v>
      </c>
      <c r="N436" t="s">
        <v>534</v>
      </c>
      <c r="O436" t="s">
        <v>39</v>
      </c>
      <c r="P436" t="s">
        <v>2201</v>
      </c>
      <c r="Q436" t="s">
        <v>86</v>
      </c>
      <c r="R436" s="29">
        <v>46146.486111111109</v>
      </c>
      <c r="S436">
        <v>1</v>
      </c>
      <c r="T436">
        <v>3631</v>
      </c>
      <c r="U436">
        <v>0</v>
      </c>
      <c r="V436">
        <v>3631</v>
      </c>
    </row>
    <row r="437" spans="1:22" x14ac:dyDescent="0.3">
      <c r="A437">
        <v>80147</v>
      </c>
      <c r="B437">
        <v>454466503</v>
      </c>
      <c r="C437" t="s">
        <v>2202</v>
      </c>
      <c r="D437" s="9">
        <v>269481186</v>
      </c>
      <c r="E437" t="s">
        <v>1841</v>
      </c>
      <c r="F437" t="s">
        <v>531</v>
      </c>
      <c r="G437" t="s">
        <v>30</v>
      </c>
      <c r="H437" t="s">
        <v>31</v>
      </c>
      <c r="I437" t="s">
        <v>52</v>
      </c>
      <c r="J437" t="s">
        <v>32</v>
      </c>
      <c r="K437" t="s">
        <v>29</v>
      </c>
      <c r="L437" t="s">
        <v>2203</v>
      </c>
      <c r="M437" t="s">
        <v>330</v>
      </c>
      <c r="N437" t="s">
        <v>534</v>
      </c>
      <c r="O437" t="s">
        <v>39</v>
      </c>
      <c r="P437" t="s">
        <v>2204</v>
      </c>
      <c r="Q437" t="s">
        <v>69</v>
      </c>
      <c r="R437" s="29">
        <v>46143.909722222219</v>
      </c>
      <c r="S437">
        <v>6.13</v>
      </c>
      <c r="T437">
        <v>9387</v>
      </c>
      <c r="U437">
        <v>0</v>
      </c>
      <c r="V437">
        <v>9387</v>
      </c>
    </row>
    <row r="438" spans="1:22" x14ac:dyDescent="0.3">
      <c r="A438">
        <v>80147</v>
      </c>
      <c r="B438">
        <v>454466502</v>
      </c>
      <c r="C438" t="s">
        <v>2205</v>
      </c>
      <c r="D438" s="9">
        <v>269481230</v>
      </c>
      <c r="E438" t="s">
        <v>1841</v>
      </c>
      <c r="F438" t="s">
        <v>531</v>
      </c>
      <c r="G438" t="s">
        <v>30</v>
      </c>
      <c r="H438" t="s">
        <v>31</v>
      </c>
      <c r="I438" t="s">
        <v>52</v>
      </c>
      <c r="J438" t="s">
        <v>32</v>
      </c>
      <c r="K438" t="s">
        <v>29</v>
      </c>
      <c r="L438" t="s">
        <v>2206</v>
      </c>
      <c r="M438" t="s">
        <v>388</v>
      </c>
      <c r="N438" t="s">
        <v>534</v>
      </c>
      <c r="O438" t="s">
        <v>39</v>
      </c>
      <c r="P438" t="s">
        <v>2207</v>
      </c>
      <c r="Q438" t="s">
        <v>69</v>
      </c>
      <c r="R438" s="29">
        <v>46143.909722222219</v>
      </c>
      <c r="S438">
        <v>5.99</v>
      </c>
      <c r="T438">
        <v>9387</v>
      </c>
      <c r="U438">
        <v>0</v>
      </c>
      <c r="V438">
        <v>9387</v>
      </c>
    </row>
    <row r="439" spans="1:22" x14ac:dyDescent="0.3">
      <c r="A439">
        <v>80147</v>
      </c>
      <c r="B439">
        <v>454510869</v>
      </c>
      <c r="C439" t="s">
        <v>2208</v>
      </c>
      <c r="D439" s="9">
        <v>269481036</v>
      </c>
      <c r="E439" t="s">
        <v>1841</v>
      </c>
      <c r="F439" t="s">
        <v>531</v>
      </c>
      <c r="G439" t="s">
        <v>30</v>
      </c>
      <c r="H439" t="s">
        <v>31</v>
      </c>
      <c r="I439" t="s">
        <v>52</v>
      </c>
      <c r="J439" t="s">
        <v>32</v>
      </c>
      <c r="K439" t="s">
        <v>29</v>
      </c>
      <c r="L439" t="s">
        <v>2209</v>
      </c>
      <c r="M439" t="s">
        <v>496</v>
      </c>
      <c r="N439" t="s">
        <v>534</v>
      </c>
      <c r="O439" t="s">
        <v>39</v>
      </c>
      <c r="P439" t="s">
        <v>2210</v>
      </c>
      <c r="Q439" t="s">
        <v>80</v>
      </c>
      <c r="R439" s="29">
        <v>46145.863194444442</v>
      </c>
      <c r="S439">
        <v>5.91</v>
      </c>
      <c r="T439">
        <v>10206</v>
      </c>
      <c r="U439">
        <v>0</v>
      </c>
      <c r="V439">
        <v>10206</v>
      </c>
    </row>
    <row r="440" spans="1:22" x14ac:dyDescent="0.3">
      <c r="A440">
        <v>80147</v>
      </c>
      <c r="B440">
        <v>454640129</v>
      </c>
      <c r="C440" t="s">
        <v>2211</v>
      </c>
      <c r="D440" s="9">
        <v>269659658</v>
      </c>
      <c r="E440" t="s">
        <v>1841</v>
      </c>
      <c r="F440" t="s">
        <v>531</v>
      </c>
      <c r="G440" t="s">
        <v>30</v>
      </c>
      <c r="H440" t="s">
        <v>31</v>
      </c>
      <c r="I440" t="s">
        <v>52</v>
      </c>
      <c r="J440" t="s">
        <v>32</v>
      </c>
      <c r="K440" t="s">
        <v>29</v>
      </c>
      <c r="L440" t="s">
        <v>2212</v>
      </c>
      <c r="M440" t="s">
        <v>321</v>
      </c>
      <c r="N440" t="s">
        <v>534</v>
      </c>
      <c r="O440" t="s">
        <v>39</v>
      </c>
      <c r="P440" t="s">
        <v>2213</v>
      </c>
      <c r="Q440" t="s">
        <v>76</v>
      </c>
      <c r="R440" s="29">
        <v>46148.511111111111</v>
      </c>
      <c r="S440">
        <v>2.95</v>
      </c>
      <c r="T440">
        <v>3653</v>
      </c>
      <c r="U440">
        <v>0</v>
      </c>
      <c r="V440">
        <v>3653</v>
      </c>
    </row>
    <row r="441" spans="1:22" x14ac:dyDescent="0.3">
      <c r="A441">
        <v>80147</v>
      </c>
      <c r="B441">
        <v>454466490</v>
      </c>
      <c r="C441" t="s">
        <v>2214</v>
      </c>
      <c r="D441" s="9">
        <v>269481313</v>
      </c>
      <c r="E441" t="s">
        <v>1841</v>
      </c>
      <c r="F441" t="s">
        <v>531</v>
      </c>
      <c r="G441" t="s">
        <v>30</v>
      </c>
      <c r="H441" t="s">
        <v>31</v>
      </c>
      <c r="I441" t="s">
        <v>52</v>
      </c>
      <c r="J441" t="s">
        <v>32</v>
      </c>
      <c r="K441" t="s">
        <v>29</v>
      </c>
      <c r="L441" t="s">
        <v>2215</v>
      </c>
      <c r="M441" t="s">
        <v>2216</v>
      </c>
      <c r="N441" t="s">
        <v>534</v>
      </c>
      <c r="O441" t="s">
        <v>39</v>
      </c>
      <c r="P441" t="s">
        <v>2217</v>
      </c>
      <c r="Q441" t="s">
        <v>69</v>
      </c>
      <c r="R441" s="29">
        <v>46143.909722222219</v>
      </c>
      <c r="S441">
        <v>1.02</v>
      </c>
      <c r="T441">
        <v>5024</v>
      </c>
      <c r="U441">
        <v>0</v>
      </c>
      <c r="V441">
        <v>5024</v>
      </c>
    </row>
    <row r="442" spans="1:22" x14ac:dyDescent="0.3">
      <c r="A442">
        <v>80147</v>
      </c>
      <c r="B442">
        <v>454510895</v>
      </c>
      <c r="C442" t="s">
        <v>2218</v>
      </c>
      <c r="D442" s="9">
        <v>269480886</v>
      </c>
      <c r="E442" t="s">
        <v>1841</v>
      </c>
      <c r="F442" t="s">
        <v>531</v>
      </c>
      <c r="G442" t="s">
        <v>30</v>
      </c>
      <c r="H442" t="s">
        <v>31</v>
      </c>
      <c r="I442" t="s">
        <v>52</v>
      </c>
      <c r="J442" t="s">
        <v>32</v>
      </c>
      <c r="K442" t="s">
        <v>29</v>
      </c>
      <c r="L442" t="s">
        <v>2219</v>
      </c>
      <c r="M442" t="s">
        <v>2220</v>
      </c>
      <c r="N442" t="s">
        <v>534</v>
      </c>
      <c r="O442" t="s">
        <v>39</v>
      </c>
      <c r="P442" t="s">
        <v>2221</v>
      </c>
      <c r="Q442" t="s">
        <v>140</v>
      </c>
      <c r="R442" s="29">
        <v>46145.863194444442</v>
      </c>
      <c r="S442">
        <v>5.97</v>
      </c>
      <c r="T442">
        <v>5024</v>
      </c>
      <c r="U442">
        <v>0</v>
      </c>
      <c r="V442">
        <v>5024</v>
      </c>
    </row>
    <row r="443" spans="1:22" x14ac:dyDescent="0.3">
      <c r="A443">
        <v>80147</v>
      </c>
      <c r="B443">
        <v>454466488</v>
      </c>
      <c r="C443" t="s">
        <v>2222</v>
      </c>
      <c r="D443" s="9">
        <v>269481321</v>
      </c>
      <c r="E443" t="s">
        <v>1841</v>
      </c>
      <c r="F443" t="s">
        <v>531</v>
      </c>
      <c r="G443" t="s">
        <v>30</v>
      </c>
      <c r="H443" t="s">
        <v>31</v>
      </c>
      <c r="I443" t="s">
        <v>52</v>
      </c>
      <c r="J443" t="s">
        <v>32</v>
      </c>
      <c r="K443" t="s">
        <v>29</v>
      </c>
      <c r="L443" t="s">
        <v>2223</v>
      </c>
      <c r="M443" t="s">
        <v>2224</v>
      </c>
      <c r="N443" t="s">
        <v>534</v>
      </c>
      <c r="O443" t="s">
        <v>39</v>
      </c>
      <c r="P443" t="s">
        <v>2225</v>
      </c>
      <c r="Q443" t="s">
        <v>79</v>
      </c>
      <c r="R443" s="29">
        <v>46143.909722222219</v>
      </c>
      <c r="S443">
        <v>5.13</v>
      </c>
      <c r="T443">
        <v>5564</v>
      </c>
      <c r="U443">
        <v>0</v>
      </c>
      <c r="V443">
        <v>5564</v>
      </c>
    </row>
    <row r="444" spans="1:22" x14ac:dyDescent="0.3">
      <c r="A444">
        <v>80147</v>
      </c>
      <c r="B444">
        <v>454510882</v>
      </c>
      <c r="C444" t="s">
        <v>2226</v>
      </c>
      <c r="D444" s="9">
        <v>269480925</v>
      </c>
      <c r="E444" t="s">
        <v>1841</v>
      </c>
      <c r="F444" t="s">
        <v>531</v>
      </c>
      <c r="G444" t="s">
        <v>30</v>
      </c>
      <c r="H444" t="s">
        <v>31</v>
      </c>
      <c r="I444" t="s">
        <v>52</v>
      </c>
      <c r="J444" t="s">
        <v>32</v>
      </c>
      <c r="K444" t="s">
        <v>29</v>
      </c>
      <c r="L444" t="s">
        <v>2227</v>
      </c>
      <c r="M444" t="s">
        <v>2228</v>
      </c>
      <c r="N444" t="s">
        <v>534</v>
      </c>
      <c r="O444" t="s">
        <v>39</v>
      </c>
      <c r="P444" t="s">
        <v>2229</v>
      </c>
      <c r="Q444" t="s">
        <v>71</v>
      </c>
      <c r="R444" s="29">
        <v>46145.863194444442</v>
      </c>
      <c r="S444">
        <v>6.46</v>
      </c>
      <c r="T444">
        <v>5564</v>
      </c>
      <c r="U444">
        <v>0</v>
      </c>
      <c r="V444">
        <v>5564</v>
      </c>
    </row>
    <row r="445" spans="1:22" x14ac:dyDescent="0.3">
      <c r="A445">
        <v>80147</v>
      </c>
      <c r="B445">
        <v>454420562</v>
      </c>
      <c r="C445" t="s">
        <v>2230</v>
      </c>
      <c r="D445" s="9">
        <v>269327725</v>
      </c>
      <c r="E445" t="s">
        <v>1841</v>
      </c>
      <c r="F445" t="s">
        <v>531</v>
      </c>
      <c r="G445" t="s">
        <v>30</v>
      </c>
      <c r="H445" t="s">
        <v>31</v>
      </c>
      <c r="I445" t="s">
        <v>52</v>
      </c>
      <c r="J445" t="s">
        <v>32</v>
      </c>
      <c r="K445" t="s">
        <v>29</v>
      </c>
      <c r="L445" t="s">
        <v>2231</v>
      </c>
      <c r="M445" t="s">
        <v>2232</v>
      </c>
      <c r="N445" t="s">
        <v>534</v>
      </c>
      <c r="O445" t="s">
        <v>39</v>
      </c>
      <c r="P445" t="s">
        <v>2233</v>
      </c>
      <c r="Q445" t="s">
        <v>40</v>
      </c>
      <c r="R445" s="29">
        <v>46142.413194444445</v>
      </c>
      <c r="S445">
        <v>1.02</v>
      </c>
      <c r="T445">
        <v>3935</v>
      </c>
      <c r="U445">
        <v>0</v>
      </c>
      <c r="V445">
        <v>3935</v>
      </c>
    </row>
    <row r="446" spans="1:22" x14ac:dyDescent="0.3">
      <c r="A446">
        <v>80147</v>
      </c>
      <c r="B446">
        <v>454540129</v>
      </c>
      <c r="C446" t="s">
        <v>2234</v>
      </c>
      <c r="D446" s="9">
        <v>269480836</v>
      </c>
      <c r="E446" t="s">
        <v>1841</v>
      </c>
      <c r="F446" t="s">
        <v>531</v>
      </c>
      <c r="G446" t="s">
        <v>30</v>
      </c>
      <c r="H446" t="s">
        <v>31</v>
      </c>
      <c r="I446" t="s">
        <v>52</v>
      </c>
      <c r="J446" t="s">
        <v>32</v>
      </c>
      <c r="K446" t="s">
        <v>29</v>
      </c>
      <c r="L446" t="s">
        <v>2235</v>
      </c>
      <c r="M446" t="s">
        <v>1897</v>
      </c>
      <c r="N446" t="s">
        <v>534</v>
      </c>
      <c r="O446" t="s">
        <v>39</v>
      </c>
      <c r="P446" t="s">
        <v>1898</v>
      </c>
      <c r="Q446" t="s">
        <v>38</v>
      </c>
      <c r="R446" s="29">
        <v>46146.486111111109</v>
      </c>
      <c r="S446">
        <v>12.79</v>
      </c>
      <c r="T446">
        <v>6183</v>
      </c>
      <c r="U446">
        <v>0</v>
      </c>
      <c r="V446">
        <v>6183</v>
      </c>
    </row>
    <row r="447" spans="1:22" x14ac:dyDescent="0.3">
      <c r="A447">
        <v>80147</v>
      </c>
      <c r="B447">
        <v>454510867</v>
      </c>
      <c r="C447" t="s">
        <v>2236</v>
      </c>
      <c r="D447" s="9">
        <v>269481043</v>
      </c>
      <c r="E447" t="s">
        <v>1841</v>
      </c>
      <c r="F447" t="s">
        <v>531</v>
      </c>
      <c r="G447" t="s">
        <v>30</v>
      </c>
      <c r="H447" t="s">
        <v>31</v>
      </c>
      <c r="I447" t="s">
        <v>52</v>
      </c>
      <c r="J447" t="s">
        <v>32</v>
      </c>
      <c r="K447" t="s">
        <v>29</v>
      </c>
      <c r="L447" t="s">
        <v>2237</v>
      </c>
      <c r="M447" t="s">
        <v>2238</v>
      </c>
      <c r="N447" t="s">
        <v>534</v>
      </c>
      <c r="O447" t="s">
        <v>39</v>
      </c>
      <c r="P447" t="s">
        <v>2239</v>
      </c>
      <c r="Q447" t="s">
        <v>33</v>
      </c>
      <c r="R447" s="29">
        <v>46145.863194444442</v>
      </c>
      <c r="S447">
        <v>5.73</v>
      </c>
      <c r="T447">
        <v>5564</v>
      </c>
      <c r="U447">
        <v>0</v>
      </c>
      <c r="V447">
        <v>5564</v>
      </c>
    </row>
    <row r="448" spans="1:22" x14ac:dyDescent="0.3">
      <c r="A448">
        <v>80147</v>
      </c>
      <c r="B448">
        <v>454540135</v>
      </c>
      <c r="C448" t="s">
        <v>2240</v>
      </c>
      <c r="D448" s="9">
        <v>269480809</v>
      </c>
      <c r="E448" t="s">
        <v>1841</v>
      </c>
      <c r="F448" t="s">
        <v>531</v>
      </c>
      <c r="G448" t="s">
        <v>30</v>
      </c>
      <c r="H448" t="s">
        <v>31</v>
      </c>
      <c r="I448" t="s">
        <v>52</v>
      </c>
      <c r="J448" t="s">
        <v>32</v>
      </c>
      <c r="K448" t="s">
        <v>29</v>
      </c>
      <c r="L448" t="s">
        <v>2241</v>
      </c>
      <c r="M448" t="s">
        <v>2242</v>
      </c>
      <c r="N448" t="s">
        <v>534</v>
      </c>
      <c r="O448" t="s">
        <v>39</v>
      </c>
      <c r="P448" t="s">
        <v>2243</v>
      </c>
      <c r="Q448" t="s">
        <v>38</v>
      </c>
      <c r="R448" s="29">
        <v>46146.486111111109</v>
      </c>
      <c r="S448">
        <v>5.7</v>
      </c>
      <c r="T448">
        <v>5024</v>
      </c>
      <c r="U448">
        <v>0</v>
      </c>
      <c r="V448">
        <v>5024</v>
      </c>
    </row>
    <row r="449" spans="1:22" x14ac:dyDescent="0.3">
      <c r="A449">
        <v>80147</v>
      </c>
      <c r="B449">
        <v>454510880</v>
      </c>
      <c r="C449" t="s">
        <v>2244</v>
      </c>
      <c r="D449" s="9">
        <v>269480952</v>
      </c>
      <c r="E449" t="s">
        <v>1841</v>
      </c>
      <c r="F449" t="s">
        <v>531</v>
      </c>
      <c r="G449" t="s">
        <v>30</v>
      </c>
      <c r="H449" t="s">
        <v>31</v>
      </c>
      <c r="I449" t="s">
        <v>52</v>
      </c>
      <c r="J449" t="s">
        <v>32</v>
      </c>
      <c r="K449" t="s">
        <v>29</v>
      </c>
      <c r="L449" t="s">
        <v>2245</v>
      </c>
      <c r="M449" t="s">
        <v>2246</v>
      </c>
      <c r="N449" t="s">
        <v>534</v>
      </c>
      <c r="O449" t="s">
        <v>39</v>
      </c>
      <c r="P449" t="s">
        <v>2247</v>
      </c>
      <c r="Q449" t="s">
        <v>65</v>
      </c>
      <c r="R449" s="29">
        <v>46145.863194444442</v>
      </c>
      <c r="S449">
        <v>5.56</v>
      </c>
      <c r="T449">
        <v>6114</v>
      </c>
      <c r="U449">
        <v>0</v>
      </c>
      <c r="V449">
        <v>6114</v>
      </c>
    </row>
    <row r="450" spans="1:22" x14ac:dyDescent="0.3">
      <c r="A450">
        <v>80147</v>
      </c>
      <c r="B450">
        <v>454510870</v>
      </c>
      <c r="C450" t="s">
        <v>2248</v>
      </c>
      <c r="D450" s="9">
        <v>269481021</v>
      </c>
      <c r="E450" t="s">
        <v>1841</v>
      </c>
      <c r="F450" t="s">
        <v>531</v>
      </c>
      <c r="G450" t="s">
        <v>30</v>
      </c>
      <c r="H450" t="s">
        <v>31</v>
      </c>
      <c r="I450" t="s">
        <v>52</v>
      </c>
      <c r="J450" t="s">
        <v>32</v>
      </c>
      <c r="K450" t="s">
        <v>29</v>
      </c>
      <c r="L450" t="s">
        <v>2249</v>
      </c>
      <c r="M450" t="s">
        <v>2250</v>
      </c>
      <c r="N450" t="s">
        <v>534</v>
      </c>
      <c r="O450" t="s">
        <v>39</v>
      </c>
      <c r="P450" t="s">
        <v>2251</v>
      </c>
      <c r="Q450" t="s">
        <v>38</v>
      </c>
      <c r="R450" s="29">
        <v>46145.863194444442</v>
      </c>
      <c r="S450">
        <v>5.98</v>
      </c>
      <c r="T450">
        <v>5024</v>
      </c>
      <c r="U450">
        <v>0</v>
      </c>
      <c r="V450">
        <v>5024</v>
      </c>
    </row>
    <row r="451" spans="1:22" x14ac:dyDescent="0.3">
      <c r="A451">
        <v>80147</v>
      </c>
      <c r="B451">
        <v>454540143</v>
      </c>
      <c r="C451" t="s">
        <v>2252</v>
      </c>
      <c r="D451" s="9">
        <v>269480794</v>
      </c>
      <c r="E451" t="s">
        <v>1841</v>
      </c>
      <c r="F451" t="s">
        <v>531</v>
      </c>
      <c r="G451" t="s">
        <v>30</v>
      </c>
      <c r="H451" t="s">
        <v>31</v>
      </c>
      <c r="I451" t="s">
        <v>52</v>
      </c>
      <c r="J451" t="s">
        <v>32</v>
      </c>
      <c r="K451" t="s">
        <v>29</v>
      </c>
      <c r="L451" t="s">
        <v>2253</v>
      </c>
      <c r="M451" t="s">
        <v>2254</v>
      </c>
      <c r="N451" t="s">
        <v>534</v>
      </c>
      <c r="O451" t="s">
        <v>39</v>
      </c>
      <c r="P451" t="s">
        <v>2255</v>
      </c>
      <c r="Q451" t="s">
        <v>207</v>
      </c>
      <c r="R451" s="29">
        <v>46146.486111111109</v>
      </c>
      <c r="S451">
        <v>5.54</v>
      </c>
      <c r="T451">
        <v>5778</v>
      </c>
      <c r="U451">
        <v>0</v>
      </c>
      <c r="V451">
        <v>5778</v>
      </c>
    </row>
    <row r="452" spans="1:22" x14ac:dyDescent="0.3">
      <c r="A452">
        <v>80147</v>
      </c>
      <c r="B452">
        <v>454466473</v>
      </c>
      <c r="C452" t="s">
        <v>2256</v>
      </c>
      <c r="D452" s="9">
        <v>269481393</v>
      </c>
      <c r="E452" t="s">
        <v>1841</v>
      </c>
      <c r="F452" t="s">
        <v>531</v>
      </c>
      <c r="G452" t="s">
        <v>30</v>
      </c>
      <c r="H452" t="s">
        <v>31</v>
      </c>
      <c r="I452" t="s">
        <v>52</v>
      </c>
      <c r="J452" t="s">
        <v>32</v>
      </c>
      <c r="K452" t="s">
        <v>29</v>
      </c>
      <c r="L452" t="s">
        <v>2257</v>
      </c>
      <c r="M452" t="s">
        <v>2258</v>
      </c>
      <c r="N452" t="s">
        <v>534</v>
      </c>
      <c r="O452" t="s">
        <v>39</v>
      </c>
      <c r="P452" t="s">
        <v>2259</v>
      </c>
      <c r="Q452" t="s">
        <v>69</v>
      </c>
      <c r="R452" s="29">
        <v>46143.909722222219</v>
      </c>
      <c r="S452">
        <v>5.91</v>
      </c>
      <c r="T452">
        <v>9387</v>
      </c>
      <c r="U452">
        <v>0</v>
      </c>
      <c r="V452">
        <v>9387</v>
      </c>
    </row>
    <row r="453" spans="1:22" x14ac:dyDescent="0.3">
      <c r="A453">
        <v>80147</v>
      </c>
      <c r="B453">
        <v>454510866</v>
      </c>
      <c r="C453" t="s">
        <v>2260</v>
      </c>
      <c r="D453" s="9">
        <v>269481064</v>
      </c>
      <c r="E453" t="s">
        <v>1841</v>
      </c>
      <c r="F453" t="s">
        <v>531</v>
      </c>
      <c r="G453" t="s">
        <v>30</v>
      </c>
      <c r="H453" t="s">
        <v>31</v>
      </c>
      <c r="I453" t="s">
        <v>52</v>
      </c>
      <c r="J453" t="s">
        <v>32</v>
      </c>
      <c r="K453" t="s">
        <v>29</v>
      </c>
      <c r="L453" t="s">
        <v>2261</v>
      </c>
      <c r="M453" t="s">
        <v>2262</v>
      </c>
      <c r="N453" t="s">
        <v>534</v>
      </c>
      <c r="O453" t="s">
        <v>39</v>
      </c>
      <c r="P453" t="s">
        <v>2263</v>
      </c>
      <c r="Q453" t="s">
        <v>76</v>
      </c>
      <c r="R453" s="29">
        <v>46145.863194444442</v>
      </c>
      <c r="S453">
        <v>6.15</v>
      </c>
      <c r="T453">
        <v>5564</v>
      </c>
      <c r="U453">
        <v>0</v>
      </c>
      <c r="V453">
        <v>5564</v>
      </c>
    </row>
    <row r="454" spans="1:22" x14ac:dyDescent="0.3">
      <c r="A454">
        <v>80147</v>
      </c>
      <c r="B454">
        <v>454466476</v>
      </c>
      <c r="C454" t="s">
        <v>2264</v>
      </c>
      <c r="D454" s="9">
        <v>269481341</v>
      </c>
      <c r="E454" t="s">
        <v>1841</v>
      </c>
      <c r="F454" t="s">
        <v>531</v>
      </c>
      <c r="G454" t="s">
        <v>30</v>
      </c>
      <c r="H454" t="s">
        <v>31</v>
      </c>
      <c r="I454" t="s">
        <v>52</v>
      </c>
      <c r="J454" t="s">
        <v>32</v>
      </c>
      <c r="K454" t="s">
        <v>29</v>
      </c>
      <c r="L454" t="s">
        <v>2265</v>
      </c>
      <c r="M454" t="s">
        <v>2266</v>
      </c>
      <c r="N454" t="s">
        <v>534</v>
      </c>
      <c r="O454" t="s">
        <v>39</v>
      </c>
      <c r="P454" t="s">
        <v>2267</v>
      </c>
      <c r="Q454" t="s">
        <v>42</v>
      </c>
      <c r="R454" s="29">
        <v>46143.909722222219</v>
      </c>
      <c r="S454">
        <v>2.95</v>
      </c>
      <c r="T454">
        <v>3250</v>
      </c>
      <c r="U454">
        <v>0</v>
      </c>
      <c r="V454">
        <v>3250</v>
      </c>
    </row>
    <row r="455" spans="1:22" x14ac:dyDescent="0.3">
      <c r="A455">
        <v>80147</v>
      </c>
      <c r="B455">
        <v>454474803</v>
      </c>
      <c r="C455" t="s">
        <v>2268</v>
      </c>
      <c r="D455" s="9">
        <v>269481117</v>
      </c>
      <c r="E455" t="s">
        <v>1841</v>
      </c>
      <c r="F455" t="s">
        <v>531</v>
      </c>
      <c r="G455" t="s">
        <v>30</v>
      </c>
      <c r="H455" t="s">
        <v>31</v>
      </c>
      <c r="I455" t="s">
        <v>52</v>
      </c>
      <c r="J455" t="s">
        <v>32</v>
      </c>
      <c r="K455" t="s">
        <v>29</v>
      </c>
      <c r="L455" t="s">
        <v>2269</v>
      </c>
      <c r="M455" t="s">
        <v>2270</v>
      </c>
      <c r="N455" t="s">
        <v>534</v>
      </c>
      <c r="O455" t="s">
        <v>39</v>
      </c>
      <c r="P455" t="s">
        <v>2271</v>
      </c>
      <c r="Q455" t="s">
        <v>76</v>
      </c>
      <c r="R455" s="29">
        <v>46144.426388888889</v>
      </c>
      <c r="S455">
        <v>5.44</v>
      </c>
      <c r="T455">
        <v>5564</v>
      </c>
      <c r="U455">
        <v>0</v>
      </c>
      <c r="V455">
        <v>5564</v>
      </c>
    </row>
    <row r="456" spans="1:22" x14ac:dyDescent="0.3">
      <c r="A456">
        <v>80147</v>
      </c>
      <c r="B456">
        <v>454466509</v>
      </c>
      <c r="C456" t="s">
        <v>2272</v>
      </c>
      <c r="D456" s="9">
        <v>269481135</v>
      </c>
      <c r="E456" t="s">
        <v>1841</v>
      </c>
      <c r="F456" t="s">
        <v>531</v>
      </c>
      <c r="G456" t="s">
        <v>30</v>
      </c>
      <c r="H456" t="s">
        <v>31</v>
      </c>
      <c r="I456" t="s">
        <v>52</v>
      </c>
      <c r="J456" t="s">
        <v>32</v>
      </c>
      <c r="K456" t="s">
        <v>29</v>
      </c>
      <c r="L456" t="s">
        <v>2273</v>
      </c>
      <c r="M456" t="s">
        <v>2274</v>
      </c>
      <c r="N456" t="s">
        <v>534</v>
      </c>
      <c r="O456" t="s">
        <v>39</v>
      </c>
      <c r="P456" t="s">
        <v>2275</v>
      </c>
      <c r="Q456" t="s">
        <v>67</v>
      </c>
      <c r="R456" s="29">
        <v>46143.909722222219</v>
      </c>
      <c r="S456">
        <v>5.17</v>
      </c>
      <c r="T456">
        <v>5024</v>
      </c>
      <c r="U456">
        <v>0</v>
      </c>
      <c r="V456">
        <v>5024</v>
      </c>
    </row>
    <row r="457" spans="1:22" x14ac:dyDescent="0.3">
      <c r="A457">
        <v>80147</v>
      </c>
      <c r="B457">
        <v>454510879</v>
      </c>
      <c r="C457" t="s">
        <v>2276</v>
      </c>
      <c r="D457" s="9">
        <v>269480962</v>
      </c>
      <c r="E457" t="s">
        <v>1841</v>
      </c>
      <c r="F457" t="s">
        <v>531</v>
      </c>
      <c r="G457" t="s">
        <v>30</v>
      </c>
      <c r="H457" t="s">
        <v>31</v>
      </c>
      <c r="I457" t="s">
        <v>52</v>
      </c>
      <c r="J457" t="s">
        <v>32</v>
      </c>
      <c r="K457" t="s">
        <v>29</v>
      </c>
      <c r="L457" t="s">
        <v>2277</v>
      </c>
      <c r="M457" t="s">
        <v>311</v>
      </c>
      <c r="N457" t="s">
        <v>534</v>
      </c>
      <c r="O457" t="s">
        <v>39</v>
      </c>
      <c r="P457" t="s">
        <v>2278</v>
      </c>
      <c r="Q457" t="s">
        <v>40</v>
      </c>
      <c r="R457" s="29">
        <v>46145.863194444442</v>
      </c>
      <c r="S457">
        <v>5.42</v>
      </c>
      <c r="T457">
        <v>6114</v>
      </c>
      <c r="U457">
        <v>0</v>
      </c>
      <c r="V457">
        <v>6114</v>
      </c>
    </row>
    <row r="458" spans="1:22" x14ac:dyDescent="0.3">
      <c r="A458">
        <v>80147</v>
      </c>
      <c r="B458">
        <v>454540177</v>
      </c>
      <c r="C458" t="s">
        <v>2279</v>
      </c>
      <c r="D458" s="9">
        <v>269480630</v>
      </c>
      <c r="E458" t="s">
        <v>1841</v>
      </c>
      <c r="F458" t="s">
        <v>531</v>
      </c>
      <c r="G458" t="s">
        <v>30</v>
      </c>
      <c r="H458" t="s">
        <v>31</v>
      </c>
      <c r="I458" t="s">
        <v>52</v>
      </c>
      <c r="J458" t="s">
        <v>32</v>
      </c>
      <c r="K458" t="s">
        <v>29</v>
      </c>
      <c r="L458" t="s">
        <v>2280</v>
      </c>
      <c r="M458" t="s">
        <v>2281</v>
      </c>
      <c r="N458" t="s">
        <v>534</v>
      </c>
      <c r="O458" t="s">
        <v>39</v>
      </c>
      <c r="P458" t="s">
        <v>2282</v>
      </c>
      <c r="Q458" t="s">
        <v>67</v>
      </c>
      <c r="R458" s="29">
        <v>46146.486111111109</v>
      </c>
      <c r="S458">
        <v>5.59</v>
      </c>
      <c r="T458">
        <v>5024</v>
      </c>
      <c r="U458">
        <v>0</v>
      </c>
      <c r="V458">
        <v>5024</v>
      </c>
    </row>
    <row r="459" spans="1:22" x14ac:dyDescent="0.3">
      <c r="A459">
        <v>80147</v>
      </c>
      <c r="B459">
        <v>454466498</v>
      </c>
      <c r="C459" t="s">
        <v>2283</v>
      </c>
      <c r="D459" s="9">
        <v>269481209</v>
      </c>
      <c r="E459" t="s">
        <v>1841</v>
      </c>
      <c r="F459" t="s">
        <v>531</v>
      </c>
      <c r="G459" t="s">
        <v>30</v>
      </c>
      <c r="H459" t="s">
        <v>31</v>
      </c>
      <c r="I459" t="s">
        <v>52</v>
      </c>
      <c r="J459" t="s">
        <v>32</v>
      </c>
      <c r="K459" t="s">
        <v>29</v>
      </c>
      <c r="L459" t="s">
        <v>2284</v>
      </c>
      <c r="M459" t="s">
        <v>2285</v>
      </c>
      <c r="N459" t="s">
        <v>534</v>
      </c>
      <c r="O459" t="s">
        <v>39</v>
      </c>
      <c r="P459" t="s">
        <v>2286</v>
      </c>
      <c r="Q459" t="s">
        <v>205</v>
      </c>
      <c r="R459" s="29">
        <v>46143.909722222219</v>
      </c>
      <c r="S459">
        <v>1.1000000000000001</v>
      </c>
      <c r="T459">
        <v>3899</v>
      </c>
      <c r="U459">
        <v>0</v>
      </c>
      <c r="V459">
        <v>3899</v>
      </c>
    </row>
    <row r="460" spans="1:22" x14ac:dyDescent="0.3">
      <c r="A460">
        <v>80147</v>
      </c>
      <c r="B460">
        <v>454466508</v>
      </c>
      <c r="C460" t="s">
        <v>2287</v>
      </c>
      <c r="D460" s="9">
        <v>269481142</v>
      </c>
      <c r="E460" t="s">
        <v>1841</v>
      </c>
      <c r="F460" t="s">
        <v>531</v>
      </c>
      <c r="G460" t="s">
        <v>30</v>
      </c>
      <c r="H460" t="s">
        <v>31</v>
      </c>
      <c r="I460" t="s">
        <v>52</v>
      </c>
      <c r="J460" t="s">
        <v>32</v>
      </c>
      <c r="K460" t="s">
        <v>29</v>
      </c>
      <c r="L460" t="s">
        <v>2288</v>
      </c>
      <c r="M460" t="s">
        <v>2289</v>
      </c>
      <c r="N460" t="s">
        <v>534</v>
      </c>
      <c r="O460" t="s">
        <v>39</v>
      </c>
      <c r="P460" t="s">
        <v>2290</v>
      </c>
      <c r="Q460" t="s">
        <v>207</v>
      </c>
      <c r="R460" s="29">
        <v>46143.909722222219</v>
      </c>
      <c r="S460">
        <v>6.11</v>
      </c>
      <c r="T460">
        <v>5778</v>
      </c>
      <c r="U460">
        <v>0</v>
      </c>
      <c r="V460">
        <v>5778</v>
      </c>
    </row>
    <row r="461" spans="1:22" x14ac:dyDescent="0.3">
      <c r="A461">
        <v>80147</v>
      </c>
      <c r="B461">
        <v>454510862</v>
      </c>
      <c r="C461" t="s">
        <v>2291</v>
      </c>
      <c r="D461" s="9">
        <v>269481095</v>
      </c>
      <c r="E461" t="s">
        <v>1841</v>
      </c>
      <c r="F461" t="s">
        <v>531</v>
      </c>
      <c r="G461" t="s">
        <v>30</v>
      </c>
      <c r="H461" t="s">
        <v>31</v>
      </c>
      <c r="I461" t="s">
        <v>52</v>
      </c>
      <c r="J461" t="s">
        <v>32</v>
      </c>
      <c r="K461" t="s">
        <v>29</v>
      </c>
      <c r="L461" t="s">
        <v>2292</v>
      </c>
      <c r="M461" t="s">
        <v>2293</v>
      </c>
      <c r="N461" t="s">
        <v>534</v>
      </c>
      <c r="O461" t="s">
        <v>39</v>
      </c>
      <c r="P461" t="s">
        <v>2294</v>
      </c>
      <c r="Q461" t="s">
        <v>40</v>
      </c>
      <c r="R461" s="29">
        <v>46145.863194444442</v>
      </c>
      <c r="S461">
        <v>5.52</v>
      </c>
      <c r="T461">
        <v>6114</v>
      </c>
      <c r="U461">
        <v>0</v>
      </c>
      <c r="V461">
        <v>6114</v>
      </c>
    </row>
    <row r="462" spans="1:22" x14ac:dyDescent="0.3">
      <c r="A462">
        <v>80147</v>
      </c>
      <c r="B462">
        <v>454510902</v>
      </c>
      <c r="C462" t="s">
        <v>2295</v>
      </c>
      <c r="D462" s="9">
        <v>269480871</v>
      </c>
      <c r="E462" t="s">
        <v>1841</v>
      </c>
      <c r="F462" t="s">
        <v>531</v>
      </c>
      <c r="G462" t="s">
        <v>30</v>
      </c>
      <c r="H462" t="s">
        <v>31</v>
      </c>
      <c r="I462" t="s">
        <v>52</v>
      </c>
      <c r="J462" t="s">
        <v>32</v>
      </c>
      <c r="K462" t="s">
        <v>29</v>
      </c>
      <c r="L462" t="s">
        <v>2296</v>
      </c>
      <c r="M462" t="s">
        <v>2297</v>
      </c>
      <c r="N462" t="s">
        <v>534</v>
      </c>
      <c r="O462" t="s">
        <v>39</v>
      </c>
      <c r="P462" t="s">
        <v>2298</v>
      </c>
      <c r="Q462" t="s">
        <v>42</v>
      </c>
      <c r="R462" s="29">
        <v>46145.863194444442</v>
      </c>
      <c r="S462">
        <v>5.64</v>
      </c>
      <c r="T462">
        <v>5024</v>
      </c>
      <c r="U462">
        <v>0</v>
      </c>
      <c r="V462">
        <v>5024</v>
      </c>
    </row>
    <row r="463" spans="1:22" x14ac:dyDescent="0.3">
      <c r="A463">
        <v>80147</v>
      </c>
      <c r="B463">
        <v>454568531</v>
      </c>
      <c r="C463" t="s">
        <v>2299</v>
      </c>
      <c r="D463" s="9">
        <v>269568841</v>
      </c>
      <c r="E463" t="s">
        <v>1841</v>
      </c>
      <c r="F463" t="s">
        <v>531</v>
      </c>
      <c r="G463" t="s">
        <v>30</v>
      </c>
      <c r="H463" t="s">
        <v>31</v>
      </c>
      <c r="I463" t="s">
        <v>52</v>
      </c>
      <c r="J463" t="s">
        <v>32</v>
      </c>
      <c r="K463" t="s">
        <v>29</v>
      </c>
      <c r="L463" t="s">
        <v>2300</v>
      </c>
      <c r="M463" t="s">
        <v>2301</v>
      </c>
      <c r="N463" t="s">
        <v>534</v>
      </c>
      <c r="O463" t="s">
        <v>39</v>
      </c>
      <c r="P463" t="s">
        <v>2302</v>
      </c>
      <c r="Q463" t="s">
        <v>34</v>
      </c>
      <c r="R463" s="29">
        <v>46146.865277777775</v>
      </c>
      <c r="S463">
        <v>2.95</v>
      </c>
      <c r="T463">
        <v>3653</v>
      </c>
      <c r="U463">
        <v>0</v>
      </c>
      <c r="V463">
        <v>3653</v>
      </c>
    </row>
    <row r="464" spans="1:22" x14ac:dyDescent="0.3">
      <c r="A464">
        <v>80147</v>
      </c>
      <c r="B464">
        <v>454466474</v>
      </c>
      <c r="C464" t="s">
        <v>2303</v>
      </c>
      <c r="D464" s="9">
        <v>269481372</v>
      </c>
      <c r="E464" t="s">
        <v>1841</v>
      </c>
      <c r="F464" t="s">
        <v>531</v>
      </c>
      <c r="G464" t="s">
        <v>30</v>
      </c>
      <c r="H464" t="s">
        <v>31</v>
      </c>
      <c r="I464" t="s">
        <v>52</v>
      </c>
      <c r="J464" t="s">
        <v>32</v>
      </c>
      <c r="K464" t="s">
        <v>29</v>
      </c>
      <c r="L464" t="s">
        <v>2304</v>
      </c>
      <c r="M464" t="s">
        <v>2305</v>
      </c>
      <c r="N464" t="s">
        <v>534</v>
      </c>
      <c r="O464" t="s">
        <v>39</v>
      </c>
      <c r="P464" t="s">
        <v>2306</v>
      </c>
      <c r="Q464" t="s">
        <v>40</v>
      </c>
      <c r="R464" s="29">
        <v>46143.909722222219</v>
      </c>
      <c r="S464">
        <v>5.38</v>
      </c>
      <c r="T464">
        <v>6114</v>
      </c>
      <c r="U464">
        <v>0</v>
      </c>
      <c r="V464">
        <v>6114</v>
      </c>
    </row>
    <row r="465" spans="1:22" x14ac:dyDescent="0.3">
      <c r="A465">
        <v>80147</v>
      </c>
      <c r="B465">
        <v>454409174</v>
      </c>
      <c r="C465" t="s">
        <v>2307</v>
      </c>
      <c r="D465" s="9">
        <v>269251459</v>
      </c>
      <c r="E465" t="s">
        <v>1841</v>
      </c>
      <c r="F465" t="s">
        <v>531</v>
      </c>
      <c r="G465" t="s">
        <v>30</v>
      </c>
      <c r="H465" t="s">
        <v>31</v>
      </c>
      <c r="I465" t="s">
        <v>52</v>
      </c>
      <c r="J465" t="s">
        <v>32</v>
      </c>
      <c r="K465" t="s">
        <v>29</v>
      </c>
      <c r="L465" t="s">
        <v>2308</v>
      </c>
      <c r="M465" t="s">
        <v>2309</v>
      </c>
      <c r="N465" t="s">
        <v>534</v>
      </c>
      <c r="O465" t="s">
        <v>39</v>
      </c>
      <c r="P465" t="s">
        <v>2310</v>
      </c>
      <c r="Q465" t="s">
        <v>162</v>
      </c>
      <c r="R465" s="29">
        <v>46141.84097222222</v>
      </c>
      <c r="S465">
        <v>7.29</v>
      </c>
      <c r="T465">
        <v>10206</v>
      </c>
      <c r="U465">
        <v>0</v>
      </c>
      <c r="V465">
        <v>10206</v>
      </c>
    </row>
    <row r="466" spans="1:22" x14ac:dyDescent="0.3">
      <c r="A466">
        <v>80147</v>
      </c>
      <c r="B466">
        <v>141753239</v>
      </c>
      <c r="C466" t="s">
        <v>2311</v>
      </c>
      <c r="D466" s="9">
        <v>268705671</v>
      </c>
      <c r="E466" t="s">
        <v>1841</v>
      </c>
      <c r="F466" t="s">
        <v>531</v>
      </c>
      <c r="G466" t="s">
        <v>30</v>
      </c>
      <c r="H466" t="s">
        <v>31</v>
      </c>
      <c r="I466" t="s">
        <v>52</v>
      </c>
      <c r="J466" t="s">
        <v>32</v>
      </c>
      <c r="K466" t="s">
        <v>29</v>
      </c>
      <c r="L466" t="s">
        <v>2312</v>
      </c>
      <c r="M466" t="s">
        <v>2313</v>
      </c>
      <c r="N466" t="s">
        <v>534</v>
      </c>
      <c r="O466" t="s">
        <v>39</v>
      </c>
      <c r="P466" t="s">
        <v>2314</v>
      </c>
      <c r="Q466" t="s">
        <v>49</v>
      </c>
      <c r="R466" s="29">
        <v>46133.490972222222</v>
      </c>
      <c r="S466">
        <v>1</v>
      </c>
      <c r="T466">
        <v>5564</v>
      </c>
      <c r="U466">
        <v>0</v>
      </c>
      <c r="V466">
        <v>5564</v>
      </c>
    </row>
    <row r="467" spans="1:22" x14ac:dyDescent="0.3">
      <c r="A467">
        <v>80147</v>
      </c>
      <c r="B467">
        <v>454383810</v>
      </c>
      <c r="C467" t="s">
        <v>2315</v>
      </c>
      <c r="D467" s="9">
        <v>269207197</v>
      </c>
      <c r="E467" t="s">
        <v>1841</v>
      </c>
      <c r="F467" t="s">
        <v>531</v>
      </c>
      <c r="G467" t="s">
        <v>30</v>
      </c>
      <c r="H467" t="s">
        <v>31</v>
      </c>
      <c r="I467" t="s">
        <v>52</v>
      </c>
      <c r="J467" t="s">
        <v>32</v>
      </c>
      <c r="K467" t="s">
        <v>29</v>
      </c>
      <c r="L467" t="s">
        <v>2316</v>
      </c>
      <c r="M467" t="s">
        <v>2317</v>
      </c>
      <c r="N467" t="s">
        <v>534</v>
      </c>
      <c r="O467" t="s">
        <v>39</v>
      </c>
      <c r="P467" t="s">
        <v>2318</v>
      </c>
      <c r="Q467" t="s">
        <v>69</v>
      </c>
      <c r="R467" s="29">
        <v>46141.405555555553</v>
      </c>
      <c r="S467">
        <v>1</v>
      </c>
      <c r="T467">
        <v>5024</v>
      </c>
      <c r="U467">
        <v>0</v>
      </c>
      <c r="V467">
        <v>5024</v>
      </c>
    </row>
    <row r="468" spans="1:22" x14ac:dyDescent="0.3">
      <c r="A468">
        <v>80147</v>
      </c>
      <c r="B468">
        <v>454409180</v>
      </c>
      <c r="C468" t="s">
        <v>2319</v>
      </c>
      <c r="D468" s="9">
        <v>269251454</v>
      </c>
      <c r="E468" t="s">
        <v>1841</v>
      </c>
      <c r="F468" t="s">
        <v>531</v>
      </c>
      <c r="G468" t="s">
        <v>30</v>
      </c>
      <c r="H468" t="s">
        <v>31</v>
      </c>
      <c r="I468" t="s">
        <v>52</v>
      </c>
      <c r="J468" t="s">
        <v>32</v>
      </c>
      <c r="K468" t="s">
        <v>29</v>
      </c>
      <c r="L468" t="s">
        <v>2320</v>
      </c>
      <c r="M468" t="s">
        <v>2321</v>
      </c>
      <c r="N468" t="s">
        <v>534</v>
      </c>
      <c r="O468" t="s">
        <v>39</v>
      </c>
      <c r="P468" t="s">
        <v>2322</v>
      </c>
      <c r="Q468" t="s">
        <v>76</v>
      </c>
      <c r="R468" s="29">
        <v>46141.84097222222</v>
      </c>
      <c r="S468">
        <v>8.69</v>
      </c>
      <c r="T468">
        <v>5564</v>
      </c>
      <c r="U468">
        <v>0</v>
      </c>
      <c r="V468">
        <v>5564</v>
      </c>
    </row>
    <row r="469" spans="1:22" x14ac:dyDescent="0.3">
      <c r="A469">
        <v>80147</v>
      </c>
      <c r="B469">
        <v>454409178</v>
      </c>
      <c r="C469" t="s">
        <v>2323</v>
      </c>
      <c r="D469" s="9">
        <v>269251456</v>
      </c>
      <c r="E469" t="s">
        <v>1841</v>
      </c>
      <c r="F469" t="s">
        <v>531</v>
      </c>
      <c r="G469" t="s">
        <v>30</v>
      </c>
      <c r="H469" t="s">
        <v>31</v>
      </c>
      <c r="I469" t="s">
        <v>52</v>
      </c>
      <c r="J469" t="s">
        <v>32</v>
      </c>
      <c r="K469" t="s">
        <v>29</v>
      </c>
      <c r="L469" t="s">
        <v>2324</v>
      </c>
      <c r="M469" t="s">
        <v>2325</v>
      </c>
      <c r="N469" t="s">
        <v>534</v>
      </c>
      <c r="O469" t="s">
        <v>39</v>
      </c>
      <c r="P469" t="s">
        <v>2326</v>
      </c>
      <c r="Q469" t="s">
        <v>40</v>
      </c>
      <c r="R469" s="29">
        <v>46141.84097222222</v>
      </c>
      <c r="S469">
        <v>0.64</v>
      </c>
      <c r="T469">
        <v>3935</v>
      </c>
      <c r="U469">
        <v>0</v>
      </c>
      <c r="V469">
        <v>3935</v>
      </c>
    </row>
    <row r="470" spans="1:22" x14ac:dyDescent="0.3">
      <c r="A470">
        <v>80147</v>
      </c>
      <c r="B470">
        <v>454383811</v>
      </c>
      <c r="C470" t="s">
        <v>2327</v>
      </c>
      <c r="D470" s="9">
        <v>269207212</v>
      </c>
      <c r="E470" t="s">
        <v>1841</v>
      </c>
      <c r="F470" t="s">
        <v>531</v>
      </c>
      <c r="G470" t="s">
        <v>30</v>
      </c>
      <c r="H470" t="s">
        <v>31</v>
      </c>
      <c r="I470" t="s">
        <v>52</v>
      </c>
      <c r="J470" t="s">
        <v>32</v>
      </c>
      <c r="K470" t="s">
        <v>29</v>
      </c>
      <c r="L470" t="s">
        <v>2328</v>
      </c>
      <c r="M470" t="s">
        <v>2329</v>
      </c>
      <c r="N470" t="s">
        <v>534</v>
      </c>
      <c r="O470" t="s">
        <v>39</v>
      </c>
      <c r="P470" t="s">
        <v>2330</v>
      </c>
      <c r="Q470" t="s">
        <v>69</v>
      </c>
      <c r="R470" s="29">
        <v>46141.405555555553</v>
      </c>
      <c r="S470">
        <v>1</v>
      </c>
      <c r="T470">
        <v>5024</v>
      </c>
      <c r="U470">
        <v>0</v>
      </c>
      <c r="V470">
        <v>5024</v>
      </c>
    </row>
    <row r="471" spans="1:22" x14ac:dyDescent="0.3">
      <c r="A471">
        <v>80147</v>
      </c>
      <c r="B471">
        <v>454374250</v>
      </c>
      <c r="C471" t="s">
        <v>2331</v>
      </c>
      <c r="D471" s="9">
        <v>269207222</v>
      </c>
      <c r="E471" t="s">
        <v>1841</v>
      </c>
      <c r="F471" t="s">
        <v>531</v>
      </c>
      <c r="G471" t="s">
        <v>30</v>
      </c>
      <c r="H471" t="s">
        <v>31</v>
      </c>
      <c r="I471" t="s">
        <v>52</v>
      </c>
      <c r="J471" t="s">
        <v>32</v>
      </c>
      <c r="K471" t="s">
        <v>29</v>
      </c>
      <c r="L471" t="s">
        <v>2332</v>
      </c>
      <c r="M471" t="s">
        <v>2333</v>
      </c>
      <c r="N471" t="s">
        <v>534</v>
      </c>
      <c r="O471" t="s">
        <v>39</v>
      </c>
      <c r="P471" t="s">
        <v>2334</v>
      </c>
      <c r="Q471" t="s">
        <v>43</v>
      </c>
      <c r="R471" s="29">
        <v>46140.863888888889</v>
      </c>
      <c r="S471">
        <v>6.13</v>
      </c>
      <c r="T471">
        <v>6655</v>
      </c>
      <c r="U471">
        <v>0</v>
      </c>
      <c r="V471">
        <v>6655</v>
      </c>
    </row>
    <row r="472" spans="1:22" x14ac:dyDescent="0.3">
      <c r="A472">
        <v>80147</v>
      </c>
      <c r="B472">
        <v>454383818</v>
      </c>
      <c r="C472" t="s">
        <v>2335</v>
      </c>
      <c r="D472" s="9">
        <v>269207185</v>
      </c>
      <c r="E472" t="s">
        <v>1841</v>
      </c>
      <c r="F472" t="s">
        <v>531</v>
      </c>
      <c r="G472" t="s">
        <v>30</v>
      </c>
      <c r="H472" t="s">
        <v>31</v>
      </c>
      <c r="I472" t="s">
        <v>52</v>
      </c>
      <c r="J472" t="s">
        <v>32</v>
      </c>
      <c r="K472" t="s">
        <v>29</v>
      </c>
      <c r="L472" t="s">
        <v>2336</v>
      </c>
      <c r="M472" t="s">
        <v>2337</v>
      </c>
      <c r="N472" t="s">
        <v>534</v>
      </c>
      <c r="O472" t="s">
        <v>39</v>
      </c>
      <c r="P472" t="s">
        <v>2338</v>
      </c>
      <c r="Q472" t="s">
        <v>74</v>
      </c>
      <c r="R472" s="29">
        <v>46141.405555555553</v>
      </c>
      <c r="S472">
        <v>1</v>
      </c>
      <c r="T472">
        <v>3653</v>
      </c>
      <c r="U472">
        <v>0</v>
      </c>
      <c r="V472">
        <v>3653</v>
      </c>
    </row>
    <row r="473" spans="1:22" x14ac:dyDescent="0.3">
      <c r="A473">
        <v>80147</v>
      </c>
      <c r="B473">
        <v>141820863</v>
      </c>
      <c r="C473" t="s">
        <v>2339</v>
      </c>
      <c r="D473" s="9">
        <v>268841838</v>
      </c>
      <c r="E473" t="s">
        <v>1841</v>
      </c>
      <c r="F473" t="s">
        <v>531</v>
      </c>
      <c r="G473" t="s">
        <v>30</v>
      </c>
      <c r="H473" t="s">
        <v>31</v>
      </c>
      <c r="I473" t="s">
        <v>52</v>
      </c>
      <c r="J473" t="s">
        <v>32</v>
      </c>
      <c r="K473" t="s">
        <v>29</v>
      </c>
      <c r="L473" t="s">
        <v>2340</v>
      </c>
      <c r="M473" t="s">
        <v>2341</v>
      </c>
      <c r="N473" t="s">
        <v>534</v>
      </c>
      <c r="O473" t="s">
        <v>39</v>
      </c>
      <c r="P473" t="s">
        <v>2342</v>
      </c>
      <c r="Q473" t="s">
        <v>86</v>
      </c>
      <c r="R473" s="29">
        <v>46135.438888888886</v>
      </c>
      <c r="S473">
        <v>1</v>
      </c>
      <c r="T473">
        <v>3631</v>
      </c>
      <c r="U473">
        <v>0</v>
      </c>
      <c r="V473">
        <v>3631</v>
      </c>
    </row>
    <row r="474" spans="1:22" x14ac:dyDescent="0.3">
      <c r="A474">
        <v>80147</v>
      </c>
      <c r="B474">
        <v>454337090</v>
      </c>
      <c r="C474" t="s">
        <v>2343</v>
      </c>
      <c r="D474" s="9">
        <v>269134975</v>
      </c>
      <c r="E474" t="s">
        <v>1841</v>
      </c>
      <c r="F474" t="s">
        <v>531</v>
      </c>
      <c r="G474" t="s">
        <v>30</v>
      </c>
      <c r="H474" t="s">
        <v>31</v>
      </c>
      <c r="I474" t="s">
        <v>52</v>
      </c>
      <c r="J474" t="s">
        <v>32</v>
      </c>
      <c r="K474" t="s">
        <v>29</v>
      </c>
      <c r="L474" t="s">
        <v>2344</v>
      </c>
      <c r="M474" t="s">
        <v>2345</v>
      </c>
      <c r="N474" t="s">
        <v>534</v>
      </c>
      <c r="O474" t="s">
        <v>39</v>
      </c>
      <c r="P474" t="s">
        <v>2346</v>
      </c>
      <c r="Q474" t="s">
        <v>69</v>
      </c>
      <c r="R474" s="29">
        <v>46139.940972222219</v>
      </c>
      <c r="S474">
        <v>1</v>
      </c>
      <c r="T474">
        <v>5024</v>
      </c>
      <c r="U474">
        <v>0</v>
      </c>
      <c r="V474">
        <v>5024</v>
      </c>
    </row>
    <row r="475" spans="1:22" x14ac:dyDescent="0.3">
      <c r="A475">
        <v>80147</v>
      </c>
      <c r="B475">
        <v>454352763</v>
      </c>
      <c r="C475" t="s">
        <v>2347</v>
      </c>
      <c r="D475" s="9">
        <v>269134947</v>
      </c>
      <c r="E475" t="s">
        <v>1841</v>
      </c>
      <c r="F475" t="s">
        <v>531</v>
      </c>
      <c r="G475" t="s">
        <v>30</v>
      </c>
      <c r="H475" t="s">
        <v>31</v>
      </c>
      <c r="I475" t="s">
        <v>52</v>
      </c>
      <c r="J475" t="s">
        <v>32</v>
      </c>
      <c r="K475" t="s">
        <v>29</v>
      </c>
      <c r="L475" t="s">
        <v>2348</v>
      </c>
      <c r="M475" t="s">
        <v>2349</v>
      </c>
      <c r="N475" t="s">
        <v>534</v>
      </c>
      <c r="O475" t="s">
        <v>39</v>
      </c>
      <c r="P475" t="s">
        <v>2350</v>
      </c>
      <c r="Q475" t="s">
        <v>206</v>
      </c>
      <c r="R475" s="29">
        <v>46140.476388888892</v>
      </c>
      <c r="S475">
        <v>1</v>
      </c>
      <c r="T475">
        <v>4721</v>
      </c>
      <c r="U475">
        <v>0</v>
      </c>
      <c r="V475">
        <v>4721</v>
      </c>
    </row>
    <row r="476" spans="1:22" x14ac:dyDescent="0.3">
      <c r="A476">
        <v>80147</v>
      </c>
      <c r="B476">
        <v>454289770</v>
      </c>
      <c r="C476" t="s">
        <v>2351</v>
      </c>
      <c r="D476" s="9">
        <v>269057150</v>
      </c>
      <c r="E476" t="s">
        <v>1841</v>
      </c>
      <c r="F476" t="s">
        <v>531</v>
      </c>
      <c r="G476" t="s">
        <v>30</v>
      </c>
      <c r="H476" t="s">
        <v>31</v>
      </c>
      <c r="I476" t="s">
        <v>52</v>
      </c>
      <c r="J476" t="s">
        <v>32</v>
      </c>
      <c r="K476" t="s">
        <v>29</v>
      </c>
      <c r="L476" t="s">
        <v>2352</v>
      </c>
      <c r="M476" t="s">
        <v>2353</v>
      </c>
      <c r="N476" t="s">
        <v>534</v>
      </c>
      <c r="O476" t="s">
        <v>39</v>
      </c>
      <c r="P476" t="s">
        <v>2354</v>
      </c>
      <c r="Q476" t="s">
        <v>182</v>
      </c>
      <c r="R476" s="29">
        <v>46138.918749999997</v>
      </c>
      <c r="S476">
        <v>1</v>
      </c>
      <c r="T476">
        <v>5295</v>
      </c>
      <c r="U476">
        <v>0</v>
      </c>
      <c r="V476">
        <v>5295</v>
      </c>
    </row>
    <row r="477" spans="1:22" x14ac:dyDescent="0.3">
      <c r="A477">
        <v>80147</v>
      </c>
      <c r="B477">
        <v>141807547</v>
      </c>
      <c r="C477" t="s">
        <v>2355</v>
      </c>
      <c r="D477" s="9">
        <v>268841854</v>
      </c>
      <c r="E477" t="s">
        <v>1841</v>
      </c>
      <c r="F477" t="s">
        <v>531</v>
      </c>
      <c r="G477" t="s">
        <v>30</v>
      </c>
      <c r="H477" t="s">
        <v>31</v>
      </c>
      <c r="I477" t="s">
        <v>52</v>
      </c>
      <c r="J477" t="s">
        <v>32</v>
      </c>
      <c r="K477" t="s">
        <v>29</v>
      </c>
      <c r="L477" t="s">
        <v>2356</v>
      </c>
      <c r="M477" t="s">
        <v>2357</v>
      </c>
      <c r="N477" t="s">
        <v>534</v>
      </c>
      <c r="O477" t="s">
        <v>39</v>
      </c>
      <c r="P477" t="s">
        <v>2358</v>
      </c>
      <c r="Q477" t="s">
        <v>168</v>
      </c>
      <c r="R477" s="29">
        <v>46134.847916666666</v>
      </c>
      <c r="S477">
        <v>1</v>
      </c>
      <c r="T477">
        <v>3250</v>
      </c>
      <c r="U477">
        <v>0</v>
      </c>
      <c r="V477">
        <v>3250</v>
      </c>
    </row>
    <row r="478" spans="1:22" x14ac:dyDescent="0.3">
      <c r="A478">
        <v>80147</v>
      </c>
      <c r="B478">
        <v>454390538</v>
      </c>
      <c r="C478" t="s">
        <v>2359</v>
      </c>
      <c r="D478" s="9">
        <v>269207165</v>
      </c>
      <c r="E478" t="s">
        <v>1841</v>
      </c>
      <c r="F478" t="s">
        <v>531</v>
      </c>
      <c r="G478" t="s">
        <v>30</v>
      </c>
      <c r="H478" t="s">
        <v>31</v>
      </c>
      <c r="I478" t="s">
        <v>52</v>
      </c>
      <c r="J478" t="s">
        <v>32</v>
      </c>
      <c r="K478" t="s">
        <v>29</v>
      </c>
      <c r="L478" t="s">
        <v>2360</v>
      </c>
      <c r="M478" t="s">
        <v>2361</v>
      </c>
      <c r="N478" t="s">
        <v>534</v>
      </c>
      <c r="O478" t="s">
        <v>39</v>
      </c>
      <c r="P478" t="s">
        <v>2362</v>
      </c>
      <c r="Q478" t="s">
        <v>88</v>
      </c>
      <c r="R478" s="29">
        <v>46141.48333333333</v>
      </c>
      <c r="S478">
        <v>1</v>
      </c>
      <c r="T478">
        <v>3631</v>
      </c>
      <c r="U478">
        <v>0</v>
      </c>
      <c r="V478">
        <v>3631</v>
      </c>
    </row>
    <row r="479" spans="1:22" x14ac:dyDescent="0.3">
      <c r="A479">
        <v>80147</v>
      </c>
      <c r="B479">
        <v>454374246</v>
      </c>
      <c r="C479" t="s">
        <v>2363</v>
      </c>
      <c r="D479" s="9">
        <v>269207229</v>
      </c>
      <c r="E479" t="s">
        <v>1841</v>
      </c>
      <c r="F479" t="s">
        <v>531</v>
      </c>
      <c r="G479" t="s">
        <v>30</v>
      </c>
      <c r="H479" t="s">
        <v>31</v>
      </c>
      <c r="I479" t="s">
        <v>52</v>
      </c>
      <c r="J479" t="s">
        <v>32</v>
      </c>
      <c r="K479" t="s">
        <v>29</v>
      </c>
      <c r="L479" t="s">
        <v>2364</v>
      </c>
      <c r="M479" t="s">
        <v>2365</v>
      </c>
      <c r="N479" t="s">
        <v>534</v>
      </c>
      <c r="O479" t="s">
        <v>39</v>
      </c>
      <c r="P479" t="s">
        <v>2366</v>
      </c>
      <c r="Q479" t="s">
        <v>199</v>
      </c>
      <c r="R479" s="29">
        <v>46140.863888888889</v>
      </c>
      <c r="S479">
        <v>1</v>
      </c>
      <c r="T479">
        <v>3631</v>
      </c>
      <c r="U479">
        <v>0</v>
      </c>
      <c r="V479">
        <v>3631</v>
      </c>
    </row>
    <row r="480" spans="1:22" x14ac:dyDescent="0.3">
      <c r="A480">
        <v>80147</v>
      </c>
      <c r="B480">
        <v>454289779</v>
      </c>
      <c r="C480" t="s">
        <v>2367</v>
      </c>
      <c r="D480" s="9">
        <v>269057136</v>
      </c>
      <c r="E480" t="s">
        <v>1841</v>
      </c>
      <c r="F480" t="s">
        <v>531</v>
      </c>
      <c r="G480" t="s">
        <v>30</v>
      </c>
      <c r="H480" t="s">
        <v>31</v>
      </c>
      <c r="I480" t="s">
        <v>52</v>
      </c>
      <c r="J480" t="s">
        <v>32</v>
      </c>
      <c r="K480" t="s">
        <v>29</v>
      </c>
      <c r="L480" t="s">
        <v>2368</v>
      </c>
      <c r="M480" t="s">
        <v>349</v>
      </c>
      <c r="N480" t="s">
        <v>534</v>
      </c>
      <c r="O480" t="s">
        <v>39</v>
      </c>
      <c r="P480" t="s">
        <v>2369</v>
      </c>
      <c r="Q480" t="s">
        <v>33</v>
      </c>
      <c r="R480" s="29">
        <v>46138.918749999997</v>
      </c>
      <c r="S480">
        <v>0.68</v>
      </c>
      <c r="T480">
        <v>3631</v>
      </c>
      <c r="U480">
        <v>0</v>
      </c>
      <c r="V480">
        <v>3631</v>
      </c>
    </row>
    <row r="481" spans="1:22" x14ac:dyDescent="0.3">
      <c r="A481">
        <v>80147</v>
      </c>
      <c r="B481">
        <v>454289776</v>
      </c>
      <c r="C481" t="s">
        <v>2370</v>
      </c>
      <c r="D481" s="9">
        <v>269057141</v>
      </c>
      <c r="E481" t="s">
        <v>1841</v>
      </c>
      <c r="F481" t="s">
        <v>531</v>
      </c>
      <c r="G481" t="s">
        <v>30</v>
      </c>
      <c r="H481" t="s">
        <v>31</v>
      </c>
      <c r="I481" t="s">
        <v>52</v>
      </c>
      <c r="J481" t="s">
        <v>32</v>
      </c>
      <c r="K481" t="s">
        <v>29</v>
      </c>
      <c r="L481" t="s">
        <v>2371</v>
      </c>
      <c r="M481" t="s">
        <v>2372</v>
      </c>
      <c r="N481" t="s">
        <v>534</v>
      </c>
      <c r="O481" t="s">
        <v>39</v>
      </c>
      <c r="P481" t="s">
        <v>2373</v>
      </c>
      <c r="Q481" t="s">
        <v>200</v>
      </c>
      <c r="R481" s="29">
        <v>46138.918749999997</v>
      </c>
      <c r="S481">
        <v>1.43</v>
      </c>
      <c r="T481">
        <v>3653</v>
      </c>
      <c r="U481">
        <v>0</v>
      </c>
      <c r="V481">
        <v>3653</v>
      </c>
    </row>
    <row r="482" spans="1:22" x14ac:dyDescent="0.3">
      <c r="A482">
        <v>80147</v>
      </c>
      <c r="B482">
        <v>454289765</v>
      </c>
      <c r="C482" t="s">
        <v>2374</v>
      </c>
      <c r="D482" s="9">
        <v>269057191</v>
      </c>
      <c r="E482" t="s">
        <v>1841</v>
      </c>
      <c r="F482" t="s">
        <v>531</v>
      </c>
      <c r="G482" t="s">
        <v>30</v>
      </c>
      <c r="H482" t="s">
        <v>31</v>
      </c>
      <c r="I482" t="s">
        <v>52</v>
      </c>
      <c r="J482" t="s">
        <v>32</v>
      </c>
      <c r="K482" t="s">
        <v>29</v>
      </c>
      <c r="L482" t="s">
        <v>2375</v>
      </c>
      <c r="M482" t="s">
        <v>2376</v>
      </c>
      <c r="N482" t="s">
        <v>534</v>
      </c>
      <c r="O482" t="s">
        <v>39</v>
      </c>
      <c r="P482" t="s">
        <v>2377</v>
      </c>
      <c r="Q482" t="s">
        <v>162</v>
      </c>
      <c r="R482" s="29">
        <v>46138.918749999997</v>
      </c>
      <c r="S482">
        <v>1</v>
      </c>
      <c r="T482">
        <v>5564</v>
      </c>
      <c r="U482">
        <v>0</v>
      </c>
      <c r="V482">
        <v>5564</v>
      </c>
    </row>
    <row r="483" spans="1:22" x14ac:dyDescent="0.3">
      <c r="A483">
        <v>80147</v>
      </c>
      <c r="B483">
        <v>454289775</v>
      </c>
      <c r="C483" t="s">
        <v>2378</v>
      </c>
      <c r="D483" s="9">
        <v>269057170</v>
      </c>
      <c r="E483" t="s">
        <v>1841</v>
      </c>
      <c r="F483" t="s">
        <v>531</v>
      </c>
      <c r="G483" t="s">
        <v>30</v>
      </c>
      <c r="H483" t="s">
        <v>31</v>
      </c>
      <c r="I483" t="s">
        <v>52</v>
      </c>
      <c r="J483" t="s">
        <v>32</v>
      </c>
      <c r="K483" t="s">
        <v>29</v>
      </c>
      <c r="L483" t="s">
        <v>2379</v>
      </c>
      <c r="M483" t="s">
        <v>2380</v>
      </c>
      <c r="N483" t="s">
        <v>534</v>
      </c>
      <c r="O483" t="s">
        <v>39</v>
      </c>
      <c r="P483" t="s">
        <v>2381</v>
      </c>
      <c r="Q483" t="s">
        <v>80</v>
      </c>
      <c r="R483" s="29">
        <v>46138.918749999997</v>
      </c>
      <c r="S483">
        <v>1</v>
      </c>
      <c r="T483">
        <v>5295</v>
      </c>
      <c r="U483">
        <v>0</v>
      </c>
      <c r="V483">
        <v>5295</v>
      </c>
    </row>
    <row r="484" spans="1:22" x14ac:dyDescent="0.3">
      <c r="A484">
        <v>80147</v>
      </c>
      <c r="B484">
        <v>454251397</v>
      </c>
      <c r="C484" t="s">
        <v>2382</v>
      </c>
      <c r="D484" s="9">
        <v>269057229</v>
      </c>
      <c r="E484" t="s">
        <v>1841</v>
      </c>
      <c r="F484" t="s">
        <v>531</v>
      </c>
      <c r="G484" t="s">
        <v>30</v>
      </c>
      <c r="H484" t="s">
        <v>31</v>
      </c>
      <c r="I484" t="s">
        <v>52</v>
      </c>
      <c r="J484" t="s">
        <v>32</v>
      </c>
      <c r="K484" t="s">
        <v>29</v>
      </c>
      <c r="L484" t="s">
        <v>2383</v>
      </c>
      <c r="M484" t="s">
        <v>270</v>
      </c>
      <c r="N484" t="s">
        <v>534</v>
      </c>
      <c r="O484" t="s">
        <v>39</v>
      </c>
      <c r="P484" t="s">
        <v>2384</v>
      </c>
      <c r="Q484" t="s">
        <v>64</v>
      </c>
      <c r="R484" s="29">
        <v>46136.865277777775</v>
      </c>
      <c r="S484">
        <v>1</v>
      </c>
      <c r="T484">
        <v>3250</v>
      </c>
      <c r="U484">
        <v>0</v>
      </c>
      <c r="V484">
        <v>3250</v>
      </c>
    </row>
    <row r="485" spans="1:22" x14ac:dyDescent="0.3">
      <c r="A485">
        <v>80147</v>
      </c>
      <c r="B485">
        <v>454289780</v>
      </c>
      <c r="C485" t="s">
        <v>2385</v>
      </c>
      <c r="D485" s="9">
        <v>269057124</v>
      </c>
      <c r="E485" t="s">
        <v>1841</v>
      </c>
      <c r="F485" t="s">
        <v>531</v>
      </c>
      <c r="G485" t="s">
        <v>30</v>
      </c>
      <c r="H485" t="s">
        <v>31</v>
      </c>
      <c r="I485" t="s">
        <v>52</v>
      </c>
      <c r="J485" t="s">
        <v>32</v>
      </c>
      <c r="K485" t="s">
        <v>29</v>
      </c>
      <c r="L485" t="s">
        <v>2324</v>
      </c>
      <c r="M485" t="s">
        <v>2325</v>
      </c>
      <c r="N485" t="s">
        <v>534</v>
      </c>
      <c r="O485" t="s">
        <v>39</v>
      </c>
      <c r="P485" t="s">
        <v>2326</v>
      </c>
      <c r="Q485" t="s">
        <v>40</v>
      </c>
      <c r="R485" s="29">
        <v>46138.918749999997</v>
      </c>
      <c r="S485">
        <v>1</v>
      </c>
      <c r="T485">
        <v>3935</v>
      </c>
      <c r="U485">
        <v>0</v>
      </c>
      <c r="V485">
        <v>3935</v>
      </c>
    </row>
    <row r="486" spans="1:22" x14ac:dyDescent="0.3">
      <c r="A486">
        <v>80147</v>
      </c>
      <c r="B486">
        <v>454289778</v>
      </c>
      <c r="C486" t="s">
        <v>2386</v>
      </c>
      <c r="D486" s="9">
        <v>269057163</v>
      </c>
      <c r="E486" t="s">
        <v>1841</v>
      </c>
      <c r="F486" t="s">
        <v>531</v>
      </c>
      <c r="G486" t="s">
        <v>30</v>
      </c>
      <c r="H486" t="s">
        <v>31</v>
      </c>
      <c r="I486" t="s">
        <v>52</v>
      </c>
      <c r="J486" t="s">
        <v>32</v>
      </c>
      <c r="K486" t="s">
        <v>29</v>
      </c>
      <c r="L486" t="s">
        <v>2387</v>
      </c>
      <c r="M486" t="s">
        <v>363</v>
      </c>
      <c r="N486" t="s">
        <v>534</v>
      </c>
      <c r="O486" t="s">
        <v>39</v>
      </c>
      <c r="P486" t="s">
        <v>2388</v>
      </c>
      <c r="Q486" t="s">
        <v>35</v>
      </c>
      <c r="R486" s="29">
        <v>46138.918749999997</v>
      </c>
      <c r="S486">
        <v>1</v>
      </c>
      <c r="T486">
        <v>3935</v>
      </c>
      <c r="U486">
        <v>0</v>
      </c>
      <c r="V486">
        <v>3935</v>
      </c>
    </row>
    <row r="487" spans="1:22" x14ac:dyDescent="0.3">
      <c r="A487">
        <v>80147</v>
      </c>
      <c r="B487">
        <v>454251399</v>
      </c>
      <c r="C487" t="s">
        <v>2389</v>
      </c>
      <c r="D487" s="9">
        <v>269057219</v>
      </c>
      <c r="E487" t="s">
        <v>1841</v>
      </c>
      <c r="F487" t="s">
        <v>531</v>
      </c>
      <c r="G487" t="s">
        <v>30</v>
      </c>
      <c r="H487" t="s">
        <v>31</v>
      </c>
      <c r="I487" t="s">
        <v>52</v>
      </c>
      <c r="J487" t="s">
        <v>32</v>
      </c>
      <c r="K487" t="s">
        <v>29</v>
      </c>
      <c r="L487" t="s">
        <v>2390</v>
      </c>
      <c r="M487" t="s">
        <v>338</v>
      </c>
      <c r="N487" t="s">
        <v>534</v>
      </c>
      <c r="O487" t="s">
        <v>39</v>
      </c>
      <c r="P487" t="s">
        <v>2391</v>
      </c>
      <c r="Q487" t="s">
        <v>33</v>
      </c>
      <c r="R487" s="29">
        <v>46136.865277777775</v>
      </c>
      <c r="S487">
        <v>1</v>
      </c>
      <c r="T487">
        <v>3631</v>
      </c>
      <c r="U487">
        <v>0</v>
      </c>
      <c r="V487">
        <v>3631</v>
      </c>
    </row>
    <row r="488" spans="1:22" x14ac:dyDescent="0.3">
      <c r="A488">
        <v>80147</v>
      </c>
      <c r="B488">
        <v>454303988</v>
      </c>
      <c r="C488" t="s">
        <v>2392</v>
      </c>
      <c r="D488" s="9">
        <v>269057120</v>
      </c>
      <c r="E488" t="s">
        <v>1841</v>
      </c>
      <c r="F488" t="s">
        <v>531</v>
      </c>
      <c r="G488" t="s">
        <v>30</v>
      </c>
      <c r="H488" t="s">
        <v>31</v>
      </c>
      <c r="I488" t="s">
        <v>52</v>
      </c>
      <c r="J488" t="s">
        <v>32</v>
      </c>
      <c r="K488" t="s">
        <v>29</v>
      </c>
      <c r="L488" t="s">
        <v>2393</v>
      </c>
      <c r="M488" t="s">
        <v>2394</v>
      </c>
      <c r="N488" t="s">
        <v>534</v>
      </c>
      <c r="O488" t="s">
        <v>39</v>
      </c>
      <c r="P488" t="s">
        <v>2395</v>
      </c>
      <c r="Q488" t="s">
        <v>38</v>
      </c>
      <c r="R488" s="29">
        <v>46139.418749999997</v>
      </c>
      <c r="S488">
        <v>1</v>
      </c>
      <c r="T488">
        <v>3250</v>
      </c>
      <c r="U488">
        <v>0</v>
      </c>
      <c r="V488">
        <v>3250</v>
      </c>
    </row>
    <row r="489" spans="1:22" x14ac:dyDescent="0.3">
      <c r="A489">
        <v>80147</v>
      </c>
      <c r="B489">
        <v>454219815</v>
      </c>
      <c r="C489" t="s">
        <v>2396</v>
      </c>
      <c r="D489" s="9">
        <v>268914073</v>
      </c>
      <c r="E489" t="s">
        <v>1841</v>
      </c>
      <c r="F489" t="s">
        <v>531</v>
      </c>
      <c r="G489" t="s">
        <v>30</v>
      </c>
      <c r="H489" t="s">
        <v>31</v>
      </c>
      <c r="I489" t="s">
        <v>52</v>
      </c>
      <c r="J489" t="s">
        <v>32</v>
      </c>
      <c r="K489" t="s">
        <v>29</v>
      </c>
      <c r="L489" t="s">
        <v>2397</v>
      </c>
      <c r="M489" t="s">
        <v>487</v>
      </c>
      <c r="N489" t="s">
        <v>534</v>
      </c>
      <c r="O489" t="s">
        <v>39</v>
      </c>
      <c r="P489" t="s">
        <v>2398</v>
      </c>
      <c r="Q489" t="s">
        <v>168</v>
      </c>
      <c r="R489" s="29">
        <v>46135.877083333333</v>
      </c>
      <c r="S489">
        <v>6.15</v>
      </c>
      <c r="T489">
        <v>5024</v>
      </c>
      <c r="U489">
        <v>0</v>
      </c>
      <c r="V489">
        <v>5024</v>
      </c>
    </row>
    <row r="490" spans="1:22" x14ac:dyDescent="0.3">
      <c r="A490">
        <v>80147</v>
      </c>
      <c r="B490">
        <v>454640121</v>
      </c>
      <c r="C490" t="s">
        <v>2399</v>
      </c>
      <c r="D490" s="9" t="s">
        <v>2400</v>
      </c>
      <c r="E490" t="s">
        <v>1841</v>
      </c>
      <c r="F490" t="s">
        <v>531</v>
      </c>
      <c r="G490" t="s">
        <v>104</v>
      </c>
      <c r="H490" t="s">
        <v>105</v>
      </c>
      <c r="I490" t="s">
        <v>52</v>
      </c>
      <c r="J490" t="s">
        <v>106</v>
      </c>
      <c r="K490" t="s">
        <v>29</v>
      </c>
      <c r="L490" t="s">
        <v>2401</v>
      </c>
      <c r="M490" t="s">
        <v>2402</v>
      </c>
      <c r="N490" t="s">
        <v>534</v>
      </c>
      <c r="O490" t="s">
        <v>39</v>
      </c>
      <c r="P490" t="s">
        <v>2403</v>
      </c>
      <c r="Q490" t="s">
        <v>89</v>
      </c>
      <c r="R490" s="29" t="s">
        <v>2404</v>
      </c>
      <c r="S490">
        <v>2.95</v>
      </c>
      <c r="T490">
        <v>5027</v>
      </c>
      <c r="U490">
        <v>224.95</v>
      </c>
      <c r="V490">
        <v>5251.95</v>
      </c>
    </row>
    <row r="491" spans="1:22" x14ac:dyDescent="0.3">
      <c r="A491">
        <v>80147</v>
      </c>
      <c r="B491">
        <v>454540137</v>
      </c>
      <c r="C491" t="s">
        <v>2405</v>
      </c>
      <c r="D491" s="9" t="s">
        <v>2406</v>
      </c>
      <c r="E491" t="s">
        <v>1841</v>
      </c>
      <c r="F491" t="s">
        <v>531</v>
      </c>
      <c r="G491" t="s">
        <v>104</v>
      </c>
      <c r="H491" t="s">
        <v>105</v>
      </c>
      <c r="I491" t="s">
        <v>52</v>
      </c>
      <c r="J491" t="s">
        <v>106</v>
      </c>
      <c r="K491" t="s">
        <v>29</v>
      </c>
      <c r="L491" t="s">
        <v>2407</v>
      </c>
      <c r="M491" t="s">
        <v>2408</v>
      </c>
      <c r="N491" t="s">
        <v>534</v>
      </c>
      <c r="O491" t="s">
        <v>39</v>
      </c>
      <c r="P491" t="s">
        <v>2409</v>
      </c>
      <c r="Q491" t="s">
        <v>155</v>
      </c>
      <c r="R491" s="29" t="s">
        <v>484</v>
      </c>
      <c r="S491">
        <v>2.96</v>
      </c>
      <c r="T491">
        <v>4191</v>
      </c>
      <c r="U491">
        <v>224.95</v>
      </c>
      <c r="V491">
        <v>4415.95</v>
      </c>
    </row>
    <row r="492" spans="1:22" x14ac:dyDescent="0.3">
      <c r="A492">
        <v>80147</v>
      </c>
      <c r="B492">
        <v>454588672</v>
      </c>
      <c r="C492" t="s">
        <v>2410</v>
      </c>
      <c r="D492" s="9" t="s">
        <v>2411</v>
      </c>
      <c r="E492" t="s">
        <v>1841</v>
      </c>
      <c r="F492" t="s">
        <v>531</v>
      </c>
      <c r="G492" t="s">
        <v>104</v>
      </c>
      <c r="H492" t="s">
        <v>105</v>
      </c>
      <c r="I492" t="s">
        <v>52</v>
      </c>
      <c r="J492" t="s">
        <v>106</v>
      </c>
      <c r="K492" t="s">
        <v>29</v>
      </c>
      <c r="L492" t="s">
        <v>2412</v>
      </c>
      <c r="M492" t="s">
        <v>2413</v>
      </c>
      <c r="N492" t="s">
        <v>534</v>
      </c>
      <c r="O492" t="s">
        <v>39</v>
      </c>
      <c r="P492" t="s">
        <v>2414</v>
      </c>
      <c r="Q492" t="s">
        <v>155</v>
      </c>
      <c r="R492" s="29" t="s">
        <v>356</v>
      </c>
      <c r="S492">
        <v>3.43</v>
      </c>
      <c r="T492">
        <v>4723</v>
      </c>
      <c r="U492">
        <v>224.95</v>
      </c>
      <c r="V492">
        <v>4947.95</v>
      </c>
    </row>
    <row r="493" spans="1:22" x14ac:dyDescent="0.3">
      <c r="A493">
        <v>80147</v>
      </c>
      <c r="B493">
        <v>454258201</v>
      </c>
      <c r="C493" t="s">
        <v>2415</v>
      </c>
      <c r="D493" s="9" t="s">
        <v>2416</v>
      </c>
      <c r="E493" t="s">
        <v>1841</v>
      </c>
      <c r="F493" t="s">
        <v>531</v>
      </c>
      <c r="G493" t="s">
        <v>110</v>
      </c>
      <c r="H493" t="s">
        <v>111</v>
      </c>
      <c r="I493" t="s">
        <v>52</v>
      </c>
      <c r="J493" t="s">
        <v>112</v>
      </c>
      <c r="K493" t="s">
        <v>29</v>
      </c>
      <c r="L493" t="s">
        <v>113</v>
      </c>
      <c r="M493" t="s">
        <v>2417</v>
      </c>
      <c r="N493" t="s">
        <v>534</v>
      </c>
      <c r="O493" t="s">
        <v>39</v>
      </c>
      <c r="P493" t="s">
        <v>2418</v>
      </c>
      <c r="Q493" t="s">
        <v>181</v>
      </c>
      <c r="R493" s="29" t="s">
        <v>2419</v>
      </c>
      <c r="S493">
        <v>1.98</v>
      </c>
      <c r="T493">
        <v>7370</v>
      </c>
      <c r="U493">
        <v>0</v>
      </c>
      <c r="V493">
        <v>7370</v>
      </c>
    </row>
    <row r="494" spans="1:22" x14ac:dyDescent="0.3">
      <c r="A494">
        <v>80147</v>
      </c>
      <c r="B494">
        <v>454736979</v>
      </c>
      <c r="C494" t="s">
        <v>2420</v>
      </c>
      <c r="D494" s="9" t="s">
        <v>2421</v>
      </c>
      <c r="E494" t="s">
        <v>1841</v>
      </c>
      <c r="F494" t="s">
        <v>531</v>
      </c>
      <c r="G494" t="s">
        <v>110</v>
      </c>
      <c r="H494" t="s">
        <v>111</v>
      </c>
      <c r="I494" t="s">
        <v>52</v>
      </c>
      <c r="J494" t="s">
        <v>112</v>
      </c>
      <c r="K494" t="s">
        <v>29</v>
      </c>
      <c r="L494" t="s">
        <v>113</v>
      </c>
      <c r="M494" t="s">
        <v>2422</v>
      </c>
      <c r="N494" t="s">
        <v>534</v>
      </c>
      <c r="O494" t="s">
        <v>39</v>
      </c>
      <c r="P494" t="s">
        <v>2423</v>
      </c>
      <c r="Q494" t="s">
        <v>174</v>
      </c>
      <c r="R494" s="29" t="s">
        <v>2424</v>
      </c>
      <c r="S494">
        <v>7.8</v>
      </c>
      <c r="T494">
        <v>9706</v>
      </c>
      <c r="U494">
        <v>0</v>
      </c>
      <c r="V494">
        <v>9706</v>
      </c>
    </row>
    <row r="495" spans="1:22" x14ac:dyDescent="0.3">
      <c r="A495">
        <v>80147</v>
      </c>
      <c r="B495">
        <v>454736986</v>
      </c>
      <c r="C495" t="s">
        <v>2425</v>
      </c>
      <c r="D495" s="9" t="s">
        <v>2426</v>
      </c>
      <c r="E495" t="s">
        <v>1841</v>
      </c>
      <c r="F495" t="s">
        <v>531</v>
      </c>
      <c r="G495" t="s">
        <v>110</v>
      </c>
      <c r="H495" t="s">
        <v>111</v>
      </c>
      <c r="I495" t="s">
        <v>52</v>
      </c>
      <c r="J495" t="s">
        <v>112</v>
      </c>
      <c r="K495" t="s">
        <v>29</v>
      </c>
      <c r="L495" t="s">
        <v>113</v>
      </c>
      <c r="M495" t="s">
        <v>2427</v>
      </c>
      <c r="N495" t="s">
        <v>534</v>
      </c>
      <c r="O495" t="s">
        <v>39</v>
      </c>
      <c r="P495" t="s">
        <v>2428</v>
      </c>
      <c r="Q495" t="s">
        <v>250</v>
      </c>
      <c r="R495" s="29" t="s">
        <v>2424</v>
      </c>
      <c r="S495">
        <v>7.57</v>
      </c>
      <c r="T495">
        <v>17322</v>
      </c>
      <c r="U495">
        <v>0</v>
      </c>
      <c r="V495">
        <v>17322</v>
      </c>
    </row>
    <row r="496" spans="1:22" x14ac:dyDescent="0.3">
      <c r="A496">
        <v>80147</v>
      </c>
      <c r="B496">
        <v>454510888</v>
      </c>
      <c r="C496" t="s">
        <v>2429</v>
      </c>
      <c r="D496" s="9" t="s">
        <v>2430</v>
      </c>
      <c r="E496" t="s">
        <v>1841</v>
      </c>
      <c r="F496" t="s">
        <v>531</v>
      </c>
      <c r="G496" t="s">
        <v>110</v>
      </c>
      <c r="H496" t="s">
        <v>111</v>
      </c>
      <c r="I496" t="s">
        <v>52</v>
      </c>
      <c r="J496" t="s">
        <v>112</v>
      </c>
      <c r="K496" t="s">
        <v>29</v>
      </c>
      <c r="L496" t="s">
        <v>113</v>
      </c>
      <c r="M496" t="s">
        <v>245</v>
      </c>
      <c r="N496" t="s">
        <v>534</v>
      </c>
      <c r="O496" t="s">
        <v>39</v>
      </c>
      <c r="P496" t="s">
        <v>2431</v>
      </c>
      <c r="Q496" t="s">
        <v>227</v>
      </c>
      <c r="R496" s="29" t="s">
        <v>2432</v>
      </c>
      <c r="S496">
        <v>7.77</v>
      </c>
      <c r="T496">
        <v>9706</v>
      </c>
      <c r="U496">
        <v>0</v>
      </c>
      <c r="V496">
        <v>9706</v>
      </c>
    </row>
    <row r="497" spans="1:22" x14ac:dyDescent="0.3">
      <c r="A497">
        <v>80147</v>
      </c>
      <c r="B497">
        <v>454510887</v>
      </c>
      <c r="C497" t="s">
        <v>2433</v>
      </c>
      <c r="D497" s="9" t="s">
        <v>2434</v>
      </c>
      <c r="E497" t="s">
        <v>1841</v>
      </c>
      <c r="F497" t="s">
        <v>531</v>
      </c>
      <c r="G497" t="s">
        <v>110</v>
      </c>
      <c r="H497" t="s">
        <v>111</v>
      </c>
      <c r="I497" t="s">
        <v>52</v>
      </c>
      <c r="J497" t="s">
        <v>112</v>
      </c>
      <c r="K497" t="s">
        <v>29</v>
      </c>
      <c r="L497" t="s">
        <v>113</v>
      </c>
      <c r="M497" t="s">
        <v>2435</v>
      </c>
      <c r="N497" t="s">
        <v>534</v>
      </c>
      <c r="O497" t="s">
        <v>39</v>
      </c>
      <c r="P497" t="s">
        <v>2436</v>
      </c>
      <c r="Q497" t="s">
        <v>75</v>
      </c>
      <c r="R497" s="29" t="s">
        <v>2432</v>
      </c>
      <c r="S497">
        <v>5.65</v>
      </c>
      <c r="T497">
        <v>4718</v>
      </c>
      <c r="U497">
        <v>0</v>
      </c>
      <c r="V497">
        <v>4718</v>
      </c>
    </row>
    <row r="498" spans="1:22" x14ac:dyDescent="0.3">
      <c r="A498">
        <v>80147</v>
      </c>
      <c r="B498">
        <v>454466500</v>
      </c>
      <c r="C498" t="s">
        <v>2437</v>
      </c>
      <c r="D498" s="9" t="s">
        <v>2438</v>
      </c>
      <c r="E498" t="s">
        <v>1841</v>
      </c>
      <c r="F498" t="s">
        <v>531</v>
      </c>
      <c r="G498" t="s">
        <v>110</v>
      </c>
      <c r="H498" t="s">
        <v>111</v>
      </c>
      <c r="I498" t="s">
        <v>52</v>
      </c>
      <c r="J498" t="s">
        <v>112</v>
      </c>
      <c r="K498" t="s">
        <v>29</v>
      </c>
      <c r="L498" t="s">
        <v>113</v>
      </c>
      <c r="M498" t="s">
        <v>2439</v>
      </c>
      <c r="N498" t="s">
        <v>534</v>
      </c>
      <c r="O498" t="s">
        <v>39</v>
      </c>
      <c r="P498" t="s">
        <v>2440</v>
      </c>
      <c r="Q498" t="s">
        <v>75</v>
      </c>
      <c r="R498" s="29" t="s">
        <v>390</v>
      </c>
      <c r="S498">
        <v>6.9</v>
      </c>
      <c r="T498">
        <v>5465</v>
      </c>
      <c r="U498">
        <v>0</v>
      </c>
      <c r="V498">
        <v>5465</v>
      </c>
    </row>
    <row r="499" spans="1:22" x14ac:dyDescent="0.3">
      <c r="A499">
        <v>80147</v>
      </c>
      <c r="B499">
        <v>454410664</v>
      </c>
      <c r="C499" t="s">
        <v>2441</v>
      </c>
      <c r="D499" s="9" t="s">
        <v>2442</v>
      </c>
      <c r="E499" t="s">
        <v>1841</v>
      </c>
      <c r="F499" t="s">
        <v>531</v>
      </c>
      <c r="G499" t="s">
        <v>110</v>
      </c>
      <c r="H499" t="s">
        <v>111</v>
      </c>
      <c r="I499" t="s">
        <v>52</v>
      </c>
      <c r="J499" t="s">
        <v>112</v>
      </c>
      <c r="K499" t="s">
        <v>29</v>
      </c>
      <c r="L499" t="s">
        <v>113</v>
      </c>
      <c r="M499" t="s">
        <v>2443</v>
      </c>
      <c r="N499" t="s">
        <v>534</v>
      </c>
      <c r="O499" t="s">
        <v>39</v>
      </c>
      <c r="P499" t="s">
        <v>2444</v>
      </c>
      <c r="Q499" t="s">
        <v>218</v>
      </c>
      <c r="R499" s="29" t="s">
        <v>2445</v>
      </c>
      <c r="S499">
        <v>9.14</v>
      </c>
      <c r="T499">
        <v>9706</v>
      </c>
      <c r="U499">
        <v>0</v>
      </c>
      <c r="V499">
        <v>9706</v>
      </c>
    </row>
    <row r="500" spans="1:22" x14ac:dyDescent="0.3">
      <c r="A500">
        <v>80147</v>
      </c>
      <c r="B500">
        <v>454510901</v>
      </c>
      <c r="C500" t="s">
        <v>2446</v>
      </c>
      <c r="D500" s="9" t="s">
        <v>2447</v>
      </c>
      <c r="E500" t="s">
        <v>1841</v>
      </c>
      <c r="F500" t="s">
        <v>531</v>
      </c>
      <c r="G500" t="s">
        <v>110</v>
      </c>
      <c r="H500" t="s">
        <v>111</v>
      </c>
      <c r="I500" t="s">
        <v>52</v>
      </c>
      <c r="J500" t="s">
        <v>112</v>
      </c>
      <c r="K500" t="s">
        <v>29</v>
      </c>
      <c r="L500" t="s">
        <v>113</v>
      </c>
      <c r="M500" t="s">
        <v>2448</v>
      </c>
      <c r="N500" t="s">
        <v>534</v>
      </c>
      <c r="O500" t="s">
        <v>39</v>
      </c>
      <c r="P500" t="s">
        <v>2449</v>
      </c>
      <c r="Q500" t="s">
        <v>200</v>
      </c>
      <c r="R500" s="29" t="s">
        <v>2432</v>
      </c>
      <c r="S500">
        <v>6.96</v>
      </c>
      <c r="T500">
        <v>10245</v>
      </c>
      <c r="U500">
        <v>0</v>
      </c>
      <c r="V500">
        <v>10245</v>
      </c>
    </row>
    <row r="501" spans="1:22" x14ac:dyDescent="0.3">
      <c r="A501">
        <v>80147</v>
      </c>
      <c r="B501">
        <v>454540154</v>
      </c>
      <c r="C501" t="s">
        <v>2450</v>
      </c>
      <c r="D501" s="9" t="s">
        <v>2451</v>
      </c>
      <c r="E501" t="s">
        <v>1841</v>
      </c>
      <c r="F501" t="s">
        <v>531</v>
      </c>
      <c r="G501" t="s">
        <v>110</v>
      </c>
      <c r="H501" t="s">
        <v>111</v>
      </c>
      <c r="I501" t="s">
        <v>52</v>
      </c>
      <c r="J501" t="s">
        <v>112</v>
      </c>
      <c r="K501" t="s">
        <v>29</v>
      </c>
      <c r="L501" t="s">
        <v>113</v>
      </c>
      <c r="M501" t="s">
        <v>2452</v>
      </c>
      <c r="N501" t="s">
        <v>534</v>
      </c>
      <c r="O501" t="s">
        <v>39</v>
      </c>
      <c r="P501" t="s">
        <v>2453</v>
      </c>
      <c r="Q501" t="s">
        <v>44</v>
      </c>
      <c r="R501" s="29" t="s">
        <v>484</v>
      </c>
      <c r="S501">
        <v>5.56</v>
      </c>
      <c r="T501">
        <v>9203</v>
      </c>
      <c r="U501">
        <v>0</v>
      </c>
      <c r="V501">
        <v>9203</v>
      </c>
    </row>
    <row r="502" spans="1:22" x14ac:dyDescent="0.3">
      <c r="A502">
        <v>80147</v>
      </c>
      <c r="B502">
        <v>454863002</v>
      </c>
      <c r="C502" t="s">
        <v>2454</v>
      </c>
      <c r="D502" s="9" t="s">
        <v>2455</v>
      </c>
      <c r="E502" t="s">
        <v>1841</v>
      </c>
      <c r="F502" t="s">
        <v>531</v>
      </c>
      <c r="G502" t="s">
        <v>110</v>
      </c>
      <c r="H502" t="s">
        <v>111</v>
      </c>
      <c r="I502" t="s">
        <v>52</v>
      </c>
      <c r="J502" t="s">
        <v>112</v>
      </c>
      <c r="K502" t="s">
        <v>29</v>
      </c>
      <c r="L502" t="s">
        <v>113</v>
      </c>
      <c r="M502" t="s">
        <v>2456</v>
      </c>
      <c r="N502" t="s">
        <v>534</v>
      </c>
      <c r="O502" t="s">
        <v>39</v>
      </c>
      <c r="P502" t="s">
        <v>2457</v>
      </c>
      <c r="Q502" t="s">
        <v>231</v>
      </c>
      <c r="R502" s="29" t="s">
        <v>2458</v>
      </c>
      <c r="S502">
        <v>5.58</v>
      </c>
      <c r="T502">
        <v>7747</v>
      </c>
      <c r="U502">
        <v>0</v>
      </c>
      <c r="V502">
        <v>7747</v>
      </c>
    </row>
    <row r="503" spans="1:22" x14ac:dyDescent="0.3">
      <c r="A503">
        <v>80147</v>
      </c>
      <c r="B503">
        <v>454862994</v>
      </c>
      <c r="C503" t="s">
        <v>2459</v>
      </c>
      <c r="D503" s="9" t="s">
        <v>2460</v>
      </c>
      <c r="E503" t="s">
        <v>1841</v>
      </c>
      <c r="F503" t="s">
        <v>531</v>
      </c>
      <c r="G503" t="s">
        <v>110</v>
      </c>
      <c r="H503" t="s">
        <v>111</v>
      </c>
      <c r="I503" t="s">
        <v>52</v>
      </c>
      <c r="J503" t="s">
        <v>112</v>
      </c>
      <c r="K503" t="s">
        <v>29</v>
      </c>
      <c r="L503" t="s">
        <v>113</v>
      </c>
      <c r="M503" t="s">
        <v>2461</v>
      </c>
      <c r="N503" t="s">
        <v>534</v>
      </c>
      <c r="O503" t="s">
        <v>39</v>
      </c>
      <c r="P503" t="s">
        <v>2462</v>
      </c>
      <c r="Q503" t="s">
        <v>231</v>
      </c>
      <c r="R503" s="29" t="s">
        <v>2458</v>
      </c>
      <c r="S503">
        <v>6.37</v>
      </c>
      <c r="T503">
        <v>9706</v>
      </c>
      <c r="U503">
        <v>0</v>
      </c>
      <c r="V503">
        <v>9706</v>
      </c>
    </row>
    <row r="504" spans="1:22" x14ac:dyDescent="0.3">
      <c r="A504">
        <v>80147</v>
      </c>
      <c r="B504">
        <v>454568527</v>
      </c>
      <c r="C504" t="s">
        <v>2463</v>
      </c>
      <c r="D504" s="9" t="s">
        <v>2464</v>
      </c>
      <c r="E504" t="s">
        <v>1841</v>
      </c>
      <c r="F504" t="s">
        <v>531</v>
      </c>
      <c r="G504" t="s">
        <v>110</v>
      </c>
      <c r="H504" t="s">
        <v>111</v>
      </c>
      <c r="I504" t="s">
        <v>52</v>
      </c>
      <c r="J504" t="s">
        <v>112</v>
      </c>
      <c r="K504" t="s">
        <v>29</v>
      </c>
      <c r="L504" t="s">
        <v>113</v>
      </c>
      <c r="M504" t="s">
        <v>2465</v>
      </c>
      <c r="N504" t="s">
        <v>534</v>
      </c>
      <c r="O504" t="s">
        <v>39</v>
      </c>
      <c r="P504" t="s">
        <v>2466</v>
      </c>
      <c r="Q504" t="s">
        <v>177</v>
      </c>
      <c r="R504" s="29" t="s">
        <v>2467</v>
      </c>
      <c r="S504">
        <v>6.73</v>
      </c>
      <c r="T504">
        <v>9287</v>
      </c>
      <c r="U504">
        <v>0</v>
      </c>
      <c r="V504">
        <v>9287</v>
      </c>
    </row>
    <row r="505" spans="1:22" x14ac:dyDescent="0.3">
      <c r="A505">
        <v>80147</v>
      </c>
      <c r="B505">
        <v>454661513</v>
      </c>
      <c r="C505" t="s">
        <v>2468</v>
      </c>
      <c r="D505" s="9" t="s">
        <v>2469</v>
      </c>
      <c r="E505" t="s">
        <v>1841</v>
      </c>
      <c r="F505" t="s">
        <v>531</v>
      </c>
      <c r="G505" t="s">
        <v>110</v>
      </c>
      <c r="H505" t="s">
        <v>111</v>
      </c>
      <c r="I505" t="s">
        <v>52</v>
      </c>
      <c r="J505" t="s">
        <v>112</v>
      </c>
      <c r="K505" t="s">
        <v>29</v>
      </c>
      <c r="L505" t="s">
        <v>113</v>
      </c>
      <c r="M505" t="s">
        <v>2470</v>
      </c>
      <c r="N505" t="s">
        <v>534</v>
      </c>
      <c r="O505" t="s">
        <v>39</v>
      </c>
      <c r="P505" t="s">
        <v>2471</v>
      </c>
      <c r="Q505" t="s">
        <v>91</v>
      </c>
      <c r="R505" s="29" t="s">
        <v>457</v>
      </c>
      <c r="S505">
        <v>8.2899999999999991</v>
      </c>
      <c r="T505">
        <v>13474</v>
      </c>
      <c r="U505">
        <v>0</v>
      </c>
      <c r="V505">
        <v>13474</v>
      </c>
    </row>
    <row r="506" spans="1:22" x14ac:dyDescent="0.3">
      <c r="A506">
        <v>80147</v>
      </c>
      <c r="B506">
        <v>454640126</v>
      </c>
      <c r="C506" t="s">
        <v>2472</v>
      </c>
      <c r="D506" s="9" t="s">
        <v>2473</v>
      </c>
      <c r="E506" t="s">
        <v>1841</v>
      </c>
      <c r="F506" t="s">
        <v>531</v>
      </c>
      <c r="G506" t="s">
        <v>110</v>
      </c>
      <c r="H506" t="s">
        <v>111</v>
      </c>
      <c r="I506" t="s">
        <v>52</v>
      </c>
      <c r="J506" t="s">
        <v>112</v>
      </c>
      <c r="K506" t="s">
        <v>29</v>
      </c>
      <c r="L506" t="s">
        <v>113</v>
      </c>
      <c r="M506" t="s">
        <v>2474</v>
      </c>
      <c r="N506" t="s">
        <v>534</v>
      </c>
      <c r="O506" t="s">
        <v>39</v>
      </c>
      <c r="P506" t="s">
        <v>2475</v>
      </c>
      <c r="Q506" t="s">
        <v>230</v>
      </c>
      <c r="R506" s="29" t="s">
        <v>2404</v>
      </c>
      <c r="S506">
        <v>7.09</v>
      </c>
      <c r="T506">
        <v>10865</v>
      </c>
      <c r="U506">
        <v>0</v>
      </c>
      <c r="V506">
        <v>10865</v>
      </c>
    </row>
    <row r="507" spans="1:22" x14ac:dyDescent="0.3">
      <c r="A507">
        <v>80147</v>
      </c>
      <c r="B507">
        <v>454640118</v>
      </c>
      <c r="C507" t="s">
        <v>2476</v>
      </c>
      <c r="D507" s="9" t="s">
        <v>2477</v>
      </c>
      <c r="E507" t="s">
        <v>1841</v>
      </c>
      <c r="F507" t="s">
        <v>531</v>
      </c>
      <c r="G507" t="s">
        <v>110</v>
      </c>
      <c r="H507" t="s">
        <v>111</v>
      </c>
      <c r="I507" t="s">
        <v>52</v>
      </c>
      <c r="J507" t="s">
        <v>112</v>
      </c>
      <c r="K507" t="s">
        <v>29</v>
      </c>
      <c r="L507" t="s">
        <v>113</v>
      </c>
      <c r="M507" t="s">
        <v>2478</v>
      </c>
      <c r="N507" t="s">
        <v>534</v>
      </c>
      <c r="O507" t="s">
        <v>39</v>
      </c>
      <c r="P507" t="s">
        <v>2479</v>
      </c>
      <c r="Q507" t="s">
        <v>188</v>
      </c>
      <c r="R507" s="29" t="s">
        <v>2404</v>
      </c>
      <c r="S507">
        <v>8.27</v>
      </c>
      <c r="T507">
        <v>11856</v>
      </c>
      <c r="U507">
        <v>0</v>
      </c>
      <c r="V507">
        <v>11856</v>
      </c>
    </row>
    <row r="508" spans="1:22" x14ac:dyDescent="0.3">
      <c r="A508">
        <v>80147</v>
      </c>
      <c r="B508">
        <v>454661499</v>
      </c>
      <c r="C508" t="s">
        <v>2480</v>
      </c>
      <c r="D508" s="9" t="s">
        <v>2481</v>
      </c>
      <c r="E508" t="s">
        <v>1841</v>
      </c>
      <c r="F508" t="s">
        <v>531</v>
      </c>
      <c r="G508" t="s">
        <v>110</v>
      </c>
      <c r="H508" t="s">
        <v>111</v>
      </c>
      <c r="I508" t="s">
        <v>52</v>
      </c>
      <c r="J508" t="s">
        <v>112</v>
      </c>
      <c r="K508" t="s">
        <v>29</v>
      </c>
      <c r="L508" t="s">
        <v>113</v>
      </c>
      <c r="M508" t="s">
        <v>350</v>
      </c>
      <c r="N508" t="s">
        <v>534</v>
      </c>
      <c r="O508" t="s">
        <v>39</v>
      </c>
      <c r="P508" t="s">
        <v>2482</v>
      </c>
      <c r="Q508" t="s">
        <v>75</v>
      </c>
      <c r="R508" s="29" t="s">
        <v>457</v>
      </c>
      <c r="S508">
        <v>5.86</v>
      </c>
      <c r="T508">
        <v>4718</v>
      </c>
      <c r="U508">
        <v>0</v>
      </c>
      <c r="V508">
        <v>4718</v>
      </c>
    </row>
    <row r="509" spans="1:22" x14ac:dyDescent="0.3">
      <c r="A509">
        <v>80147</v>
      </c>
      <c r="B509">
        <v>454568539</v>
      </c>
      <c r="C509" t="s">
        <v>2483</v>
      </c>
      <c r="D509" s="9" t="s">
        <v>2484</v>
      </c>
      <c r="E509" t="s">
        <v>1841</v>
      </c>
      <c r="F509" t="s">
        <v>531</v>
      </c>
      <c r="G509" t="s">
        <v>110</v>
      </c>
      <c r="H509" t="s">
        <v>111</v>
      </c>
      <c r="I509" t="s">
        <v>52</v>
      </c>
      <c r="J509" t="s">
        <v>112</v>
      </c>
      <c r="K509" t="s">
        <v>29</v>
      </c>
      <c r="L509" t="s">
        <v>113</v>
      </c>
      <c r="M509" t="s">
        <v>2485</v>
      </c>
      <c r="N509" t="s">
        <v>534</v>
      </c>
      <c r="O509" t="s">
        <v>39</v>
      </c>
      <c r="P509" t="s">
        <v>2486</v>
      </c>
      <c r="Q509" t="s">
        <v>93</v>
      </c>
      <c r="R509" s="29" t="s">
        <v>2467</v>
      </c>
      <c r="S509">
        <v>5.83</v>
      </c>
      <c r="T509">
        <v>4718</v>
      </c>
      <c r="U509">
        <v>0</v>
      </c>
      <c r="V509">
        <v>4718</v>
      </c>
    </row>
    <row r="510" spans="1:22" x14ac:dyDescent="0.3">
      <c r="A510">
        <v>80147</v>
      </c>
      <c r="B510">
        <v>454640127</v>
      </c>
      <c r="C510" t="s">
        <v>2487</v>
      </c>
      <c r="D510" s="9" t="s">
        <v>2488</v>
      </c>
      <c r="E510" t="s">
        <v>1841</v>
      </c>
      <c r="F510" t="s">
        <v>531</v>
      </c>
      <c r="G510" t="s">
        <v>110</v>
      </c>
      <c r="H510" t="s">
        <v>111</v>
      </c>
      <c r="I510" t="s">
        <v>52</v>
      </c>
      <c r="J510" t="s">
        <v>112</v>
      </c>
      <c r="K510" t="s">
        <v>29</v>
      </c>
      <c r="L510" t="s">
        <v>113</v>
      </c>
      <c r="M510" t="s">
        <v>2489</v>
      </c>
      <c r="N510" t="s">
        <v>534</v>
      </c>
      <c r="O510" t="s">
        <v>39</v>
      </c>
      <c r="P510" t="s">
        <v>2490</v>
      </c>
      <c r="Q510" t="s">
        <v>229</v>
      </c>
      <c r="R510" s="29" t="s">
        <v>2404</v>
      </c>
      <c r="S510">
        <v>6.7</v>
      </c>
      <c r="T510">
        <v>9287</v>
      </c>
      <c r="U510">
        <v>0</v>
      </c>
      <c r="V510">
        <v>9287</v>
      </c>
    </row>
    <row r="511" spans="1:22" x14ac:dyDescent="0.3">
      <c r="A511">
        <v>80147</v>
      </c>
      <c r="B511">
        <v>141807552</v>
      </c>
      <c r="C511" t="s">
        <v>2491</v>
      </c>
      <c r="D511" s="9" t="s">
        <v>2492</v>
      </c>
      <c r="E511" t="s">
        <v>1841</v>
      </c>
      <c r="F511" t="s">
        <v>531</v>
      </c>
      <c r="G511" t="s">
        <v>110</v>
      </c>
      <c r="H511" t="s">
        <v>111</v>
      </c>
      <c r="I511" t="s">
        <v>52</v>
      </c>
      <c r="J511" t="s">
        <v>112</v>
      </c>
      <c r="K511" t="s">
        <v>29</v>
      </c>
      <c r="L511" t="s">
        <v>113</v>
      </c>
      <c r="M511" t="s">
        <v>2493</v>
      </c>
      <c r="N511" t="s">
        <v>534</v>
      </c>
      <c r="O511" t="s">
        <v>39</v>
      </c>
      <c r="P511" t="s">
        <v>2494</v>
      </c>
      <c r="Q511" t="s">
        <v>151</v>
      </c>
      <c r="R511" s="29" t="s">
        <v>2495</v>
      </c>
      <c r="S511">
        <v>7.05</v>
      </c>
      <c r="T511">
        <v>9041</v>
      </c>
      <c r="U511">
        <v>0</v>
      </c>
      <c r="V511">
        <v>9041</v>
      </c>
    </row>
    <row r="512" spans="1:22" x14ac:dyDescent="0.3">
      <c r="A512">
        <v>80147</v>
      </c>
      <c r="B512">
        <v>454219813</v>
      </c>
      <c r="C512" t="s">
        <v>2496</v>
      </c>
      <c r="D512" s="9" t="s">
        <v>2497</v>
      </c>
      <c r="E512" t="s">
        <v>1841</v>
      </c>
      <c r="F512" t="s">
        <v>531</v>
      </c>
      <c r="G512" t="s">
        <v>110</v>
      </c>
      <c r="H512" t="s">
        <v>111</v>
      </c>
      <c r="I512" t="s">
        <v>52</v>
      </c>
      <c r="J512" t="s">
        <v>112</v>
      </c>
      <c r="K512" t="s">
        <v>29</v>
      </c>
      <c r="L512" t="s">
        <v>113</v>
      </c>
      <c r="M512" t="s">
        <v>2498</v>
      </c>
      <c r="N512" t="s">
        <v>534</v>
      </c>
      <c r="O512" t="s">
        <v>39</v>
      </c>
      <c r="P512" t="s">
        <v>2499</v>
      </c>
      <c r="Q512" t="s">
        <v>151</v>
      </c>
      <c r="R512" s="29" t="s">
        <v>2500</v>
      </c>
      <c r="S512">
        <v>1.35</v>
      </c>
      <c r="T512">
        <v>6232</v>
      </c>
      <c r="U512">
        <v>0</v>
      </c>
      <c r="V512">
        <v>6232</v>
      </c>
    </row>
    <row r="513" spans="1:22" x14ac:dyDescent="0.3">
      <c r="A513">
        <v>80147</v>
      </c>
      <c r="B513">
        <v>455164836</v>
      </c>
      <c r="C513" t="s">
        <v>2501</v>
      </c>
      <c r="D513" s="9" t="s">
        <v>2502</v>
      </c>
      <c r="E513" t="s">
        <v>1841</v>
      </c>
      <c r="F513" t="s">
        <v>531</v>
      </c>
      <c r="G513" t="s">
        <v>110</v>
      </c>
      <c r="H513" t="s">
        <v>111</v>
      </c>
      <c r="I513" t="s">
        <v>52</v>
      </c>
      <c r="J513" t="s">
        <v>112</v>
      </c>
      <c r="K513" t="s">
        <v>29</v>
      </c>
      <c r="L513" t="s">
        <v>113</v>
      </c>
      <c r="M513" t="s">
        <v>2503</v>
      </c>
      <c r="N513" t="s">
        <v>534</v>
      </c>
      <c r="O513" t="s">
        <v>39</v>
      </c>
      <c r="P513" t="s">
        <v>2504</v>
      </c>
      <c r="Q513" t="s">
        <v>87</v>
      </c>
      <c r="R513" s="29" t="s">
        <v>298</v>
      </c>
      <c r="S513">
        <v>5.66</v>
      </c>
      <c r="T513">
        <v>7414</v>
      </c>
      <c r="U513">
        <v>0</v>
      </c>
      <c r="V513">
        <v>7414</v>
      </c>
    </row>
    <row r="514" spans="1:22" x14ac:dyDescent="0.3">
      <c r="A514">
        <v>80147</v>
      </c>
      <c r="B514">
        <v>455164835</v>
      </c>
      <c r="C514" t="s">
        <v>2505</v>
      </c>
      <c r="D514" s="9" t="s">
        <v>2506</v>
      </c>
      <c r="E514" t="s">
        <v>1841</v>
      </c>
      <c r="F514" t="s">
        <v>531</v>
      </c>
      <c r="G514" t="s">
        <v>110</v>
      </c>
      <c r="H514" t="s">
        <v>111</v>
      </c>
      <c r="I514" t="s">
        <v>52</v>
      </c>
      <c r="J514" t="s">
        <v>112</v>
      </c>
      <c r="K514" t="s">
        <v>29</v>
      </c>
      <c r="L514" t="s">
        <v>113</v>
      </c>
      <c r="M514" t="s">
        <v>2507</v>
      </c>
      <c r="N514" t="s">
        <v>534</v>
      </c>
      <c r="O514" t="s">
        <v>39</v>
      </c>
      <c r="P514" t="s">
        <v>2508</v>
      </c>
      <c r="Q514" t="s">
        <v>224</v>
      </c>
      <c r="R514" s="29" t="s">
        <v>298</v>
      </c>
      <c r="S514">
        <v>10.31</v>
      </c>
      <c r="T514">
        <v>11761</v>
      </c>
      <c r="U514">
        <v>0</v>
      </c>
      <c r="V514">
        <v>11761</v>
      </c>
    </row>
    <row r="515" spans="1:22" x14ac:dyDescent="0.3">
      <c r="A515">
        <v>80147</v>
      </c>
      <c r="B515">
        <v>455164845</v>
      </c>
      <c r="C515" t="s">
        <v>2509</v>
      </c>
      <c r="D515" s="9" t="s">
        <v>2510</v>
      </c>
      <c r="E515" t="s">
        <v>1841</v>
      </c>
      <c r="F515" t="s">
        <v>531</v>
      </c>
      <c r="G515" t="s">
        <v>110</v>
      </c>
      <c r="H515" t="s">
        <v>111</v>
      </c>
      <c r="I515" t="s">
        <v>52</v>
      </c>
      <c r="J515" t="s">
        <v>112</v>
      </c>
      <c r="K515" t="s">
        <v>29</v>
      </c>
      <c r="L515" t="s">
        <v>113</v>
      </c>
      <c r="M515" t="s">
        <v>424</v>
      </c>
      <c r="N515" t="s">
        <v>534</v>
      </c>
      <c r="O515" t="s">
        <v>39</v>
      </c>
      <c r="P515" t="s">
        <v>2511</v>
      </c>
      <c r="Q515" t="s">
        <v>75</v>
      </c>
      <c r="R515" s="29" t="s">
        <v>298</v>
      </c>
      <c r="S515">
        <v>5.62</v>
      </c>
      <c r="T515">
        <v>4718</v>
      </c>
      <c r="U515">
        <v>0</v>
      </c>
      <c r="V515">
        <v>4718</v>
      </c>
    </row>
    <row r="516" spans="1:22" x14ac:dyDescent="0.3">
      <c r="A516">
        <v>80147</v>
      </c>
      <c r="B516">
        <v>454997378</v>
      </c>
      <c r="C516" t="s">
        <v>2512</v>
      </c>
      <c r="D516" s="9" t="s">
        <v>2513</v>
      </c>
      <c r="E516" t="s">
        <v>1841</v>
      </c>
      <c r="F516" t="s">
        <v>531</v>
      </c>
      <c r="G516" t="s">
        <v>110</v>
      </c>
      <c r="H516" t="s">
        <v>111</v>
      </c>
      <c r="I516" t="s">
        <v>52</v>
      </c>
      <c r="J516" t="s">
        <v>112</v>
      </c>
      <c r="K516" t="s">
        <v>29</v>
      </c>
      <c r="L516" t="s">
        <v>113</v>
      </c>
      <c r="M516" t="s">
        <v>2514</v>
      </c>
      <c r="N516" t="s">
        <v>534</v>
      </c>
      <c r="O516" t="s">
        <v>39</v>
      </c>
      <c r="P516" t="s">
        <v>2515</v>
      </c>
      <c r="Q516" t="s">
        <v>46</v>
      </c>
      <c r="R516" s="29" t="s">
        <v>305</v>
      </c>
      <c r="S516">
        <v>5.57</v>
      </c>
      <c r="T516">
        <v>4718</v>
      </c>
      <c r="U516">
        <v>0</v>
      </c>
      <c r="V516">
        <v>4718</v>
      </c>
    </row>
    <row r="517" spans="1:22" x14ac:dyDescent="0.3">
      <c r="A517">
        <v>197676</v>
      </c>
      <c r="B517">
        <v>454961144</v>
      </c>
      <c r="C517" t="s">
        <v>2516</v>
      </c>
      <c r="D517" s="9">
        <v>270280284</v>
      </c>
      <c r="E517" t="s">
        <v>2517</v>
      </c>
      <c r="F517" t="s">
        <v>531</v>
      </c>
      <c r="G517" t="s">
        <v>30</v>
      </c>
      <c r="H517" t="s">
        <v>31</v>
      </c>
      <c r="I517" t="s">
        <v>52</v>
      </c>
      <c r="J517" t="s">
        <v>115</v>
      </c>
      <c r="K517" t="s">
        <v>29</v>
      </c>
      <c r="L517" t="s">
        <v>2518</v>
      </c>
      <c r="M517" t="s">
        <v>2519</v>
      </c>
      <c r="N517" t="s">
        <v>534</v>
      </c>
      <c r="O517" t="s">
        <v>39</v>
      </c>
      <c r="P517" t="s">
        <v>2520</v>
      </c>
      <c r="Q517" t="s">
        <v>81</v>
      </c>
      <c r="R517" s="29">
        <v>46157.711111111108</v>
      </c>
      <c r="S517">
        <v>1</v>
      </c>
      <c r="T517">
        <v>2474</v>
      </c>
      <c r="U517">
        <v>0</v>
      </c>
      <c r="V517">
        <v>2474</v>
      </c>
    </row>
    <row r="518" spans="1:22" x14ac:dyDescent="0.3">
      <c r="A518">
        <v>197676</v>
      </c>
      <c r="B518">
        <v>454954246</v>
      </c>
      <c r="C518" t="s">
        <v>2521</v>
      </c>
      <c r="D518" s="9">
        <v>270257326</v>
      </c>
      <c r="E518" t="s">
        <v>2517</v>
      </c>
      <c r="F518" t="s">
        <v>531</v>
      </c>
      <c r="G518" t="s">
        <v>30</v>
      </c>
      <c r="H518" t="s">
        <v>31</v>
      </c>
      <c r="I518" t="s">
        <v>52</v>
      </c>
      <c r="J518" t="s">
        <v>32</v>
      </c>
      <c r="K518" t="s">
        <v>29</v>
      </c>
      <c r="L518" t="s">
        <v>2522</v>
      </c>
      <c r="M518" t="s">
        <v>2523</v>
      </c>
      <c r="N518" t="s">
        <v>534</v>
      </c>
      <c r="O518" t="s">
        <v>39</v>
      </c>
      <c r="P518" t="s">
        <v>2524</v>
      </c>
      <c r="Q518" t="s">
        <v>75</v>
      </c>
      <c r="R518" s="29">
        <v>46157.541666666664</v>
      </c>
      <c r="S518">
        <v>39.1</v>
      </c>
      <c r="T518">
        <v>16401</v>
      </c>
      <c r="U518">
        <v>16993.330000000002</v>
      </c>
      <c r="V518">
        <v>33394.33</v>
      </c>
    </row>
    <row r="519" spans="1:22" x14ac:dyDescent="0.3">
      <c r="A519">
        <v>197676</v>
      </c>
      <c r="B519">
        <v>141582507</v>
      </c>
      <c r="C519" t="s">
        <v>2525</v>
      </c>
      <c r="D519" s="9">
        <v>268337588</v>
      </c>
      <c r="E519" t="s">
        <v>2517</v>
      </c>
      <c r="F519" t="s">
        <v>531</v>
      </c>
      <c r="G519" t="s">
        <v>30</v>
      </c>
      <c r="H519" t="s">
        <v>31</v>
      </c>
      <c r="I519" t="s">
        <v>52</v>
      </c>
      <c r="J519" t="s">
        <v>115</v>
      </c>
      <c r="K519" t="s">
        <v>29</v>
      </c>
      <c r="L519" t="s">
        <v>2526</v>
      </c>
      <c r="M519" t="s">
        <v>2527</v>
      </c>
      <c r="N519" t="s">
        <v>534</v>
      </c>
      <c r="O519" t="s">
        <v>39</v>
      </c>
      <c r="P519" t="s">
        <v>2528</v>
      </c>
      <c r="Q519" t="s">
        <v>219</v>
      </c>
      <c r="R519" s="29">
        <v>46127.566666666666</v>
      </c>
      <c r="S519">
        <v>1.2</v>
      </c>
      <c r="T519">
        <v>5024</v>
      </c>
      <c r="U519">
        <v>0</v>
      </c>
      <c r="V519">
        <v>5024</v>
      </c>
    </row>
    <row r="520" spans="1:22" x14ac:dyDescent="0.3">
      <c r="A520">
        <v>194165</v>
      </c>
      <c r="B520">
        <v>455364390</v>
      </c>
      <c r="C520" t="s">
        <v>2529</v>
      </c>
      <c r="D520" s="9" t="s">
        <v>2530</v>
      </c>
      <c r="E520" t="s">
        <v>2531</v>
      </c>
      <c r="F520" t="s">
        <v>531</v>
      </c>
      <c r="G520" t="s">
        <v>104</v>
      </c>
      <c r="H520" t="s">
        <v>105</v>
      </c>
      <c r="I520" t="s">
        <v>52</v>
      </c>
      <c r="J520" t="s">
        <v>322</v>
      </c>
      <c r="K520" t="s">
        <v>29</v>
      </c>
      <c r="L520" t="s">
        <v>2532</v>
      </c>
      <c r="M520" t="s">
        <v>2533</v>
      </c>
      <c r="N520" t="s">
        <v>534</v>
      </c>
      <c r="O520" t="s">
        <v>39</v>
      </c>
      <c r="P520" t="s">
        <v>2534</v>
      </c>
      <c r="Q520" t="s">
        <v>204</v>
      </c>
      <c r="R520" s="29" t="s">
        <v>2535</v>
      </c>
      <c r="S520">
        <v>2.02</v>
      </c>
      <c r="T520">
        <v>7784</v>
      </c>
      <c r="U520">
        <v>899.85</v>
      </c>
      <c r="V520">
        <v>8683.85</v>
      </c>
    </row>
    <row r="521" spans="1:22" x14ac:dyDescent="0.3">
      <c r="A521">
        <v>194165</v>
      </c>
      <c r="B521">
        <v>455021982</v>
      </c>
      <c r="C521" t="s">
        <v>2536</v>
      </c>
      <c r="D521" s="9" t="s">
        <v>2537</v>
      </c>
      <c r="E521" t="s">
        <v>2531</v>
      </c>
      <c r="F521" t="s">
        <v>531</v>
      </c>
      <c r="G521" t="s">
        <v>104</v>
      </c>
      <c r="H521" t="s">
        <v>105</v>
      </c>
      <c r="I521" t="s">
        <v>52</v>
      </c>
      <c r="J521" t="s">
        <v>322</v>
      </c>
      <c r="K521" t="s">
        <v>102</v>
      </c>
      <c r="L521" t="s">
        <v>107</v>
      </c>
      <c r="M521" t="s">
        <v>2538</v>
      </c>
      <c r="N521" t="s">
        <v>534</v>
      </c>
      <c r="O521" t="s">
        <v>39</v>
      </c>
      <c r="P521" t="s">
        <v>2539</v>
      </c>
      <c r="Q521" t="s">
        <v>240</v>
      </c>
      <c r="R521" s="29" t="s">
        <v>427</v>
      </c>
      <c r="S521">
        <v>2.54</v>
      </c>
      <c r="T521">
        <v>8842</v>
      </c>
      <c r="U521">
        <v>519.95000000000005</v>
      </c>
      <c r="V521">
        <v>9361.9500000000007</v>
      </c>
    </row>
    <row r="522" spans="1:22" x14ac:dyDescent="0.3">
      <c r="A522">
        <v>179660</v>
      </c>
      <c r="B522">
        <v>454799650</v>
      </c>
      <c r="C522" t="s">
        <v>2540</v>
      </c>
      <c r="D522" s="9">
        <v>269966128</v>
      </c>
      <c r="E522" t="s">
        <v>2541</v>
      </c>
      <c r="F522" t="s">
        <v>531</v>
      </c>
      <c r="G522" t="s">
        <v>30</v>
      </c>
      <c r="H522" t="s">
        <v>31</v>
      </c>
      <c r="I522" t="s">
        <v>52</v>
      </c>
      <c r="J522" t="s">
        <v>115</v>
      </c>
      <c r="K522" t="s">
        <v>29</v>
      </c>
      <c r="L522" t="s">
        <v>2542</v>
      </c>
      <c r="M522" t="s">
        <v>2543</v>
      </c>
      <c r="N522" t="s">
        <v>534</v>
      </c>
      <c r="O522" t="s">
        <v>39</v>
      </c>
      <c r="P522" t="s">
        <v>2544</v>
      </c>
      <c r="Q522" t="s">
        <v>48</v>
      </c>
      <c r="R522" s="29">
        <v>46153.502083333333</v>
      </c>
      <c r="S522">
        <v>1.98</v>
      </c>
      <c r="T522">
        <v>3250</v>
      </c>
      <c r="U522">
        <v>0</v>
      </c>
      <c r="V522">
        <v>3250</v>
      </c>
    </row>
    <row r="523" spans="1:22" x14ac:dyDescent="0.3">
      <c r="A523">
        <v>197070</v>
      </c>
      <c r="B523">
        <v>455181684</v>
      </c>
      <c r="C523" t="s">
        <v>2545</v>
      </c>
      <c r="D523" s="9">
        <v>270657474</v>
      </c>
      <c r="E523" t="s">
        <v>2546</v>
      </c>
      <c r="F523" t="s">
        <v>531</v>
      </c>
      <c r="G523" t="s">
        <v>30</v>
      </c>
      <c r="H523" t="s">
        <v>31</v>
      </c>
      <c r="I523" t="s">
        <v>52</v>
      </c>
      <c r="J523" t="s">
        <v>115</v>
      </c>
      <c r="K523" t="s">
        <v>29</v>
      </c>
      <c r="L523" t="s">
        <v>2547</v>
      </c>
      <c r="M523" t="s">
        <v>2548</v>
      </c>
      <c r="N523" t="s">
        <v>534</v>
      </c>
      <c r="O523" t="s">
        <v>39</v>
      </c>
      <c r="P523" t="s">
        <v>2549</v>
      </c>
      <c r="Q523" t="s">
        <v>196</v>
      </c>
      <c r="R523" s="29">
        <v>46164.487500000003</v>
      </c>
      <c r="S523">
        <v>3.05</v>
      </c>
      <c r="T523">
        <v>7329</v>
      </c>
      <c r="U523">
        <v>0</v>
      </c>
      <c r="V523">
        <v>7329</v>
      </c>
    </row>
    <row r="524" spans="1:22" x14ac:dyDescent="0.3">
      <c r="A524">
        <v>197070</v>
      </c>
      <c r="B524">
        <v>455045849</v>
      </c>
      <c r="C524" t="s">
        <v>2550</v>
      </c>
      <c r="D524" s="9">
        <v>270472143</v>
      </c>
      <c r="E524" t="s">
        <v>2546</v>
      </c>
      <c r="F524" t="s">
        <v>531</v>
      </c>
      <c r="G524" t="s">
        <v>30</v>
      </c>
      <c r="H524" t="s">
        <v>31</v>
      </c>
      <c r="I524" t="s">
        <v>52</v>
      </c>
      <c r="J524" t="s">
        <v>32</v>
      </c>
      <c r="K524" t="s">
        <v>29</v>
      </c>
      <c r="L524" t="s">
        <v>2551</v>
      </c>
      <c r="M524" t="s">
        <v>341</v>
      </c>
      <c r="N524" t="s">
        <v>534</v>
      </c>
      <c r="O524" t="s">
        <v>39</v>
      </c>
      <c r="P524" t="s">
        <v>2552</v>
      </c>
      <c r="Q524" t="s">
        <v>207</v>
      </c>
      <c r="R524" s="29">
        <v>46161.37222222222</v>
      </c>
      <c r="S524">
        <v>2.6</v>
      </c>
      <c r="T524">
        <v>3737</v>
      </c>
      <c r="U524">
        <v>0</v>
      </c>
      <c r="V524">
        <v>3737</v>
      </c>
    </row>
    <row r="525" spans="1:22" x14ac:dyDescent="0.3">
      <c r="A525">
        <v>197070</v>
      </c>
      <c r="B525">
        <v>454856175</v>
      </c>
      <c r="C525" t="s">
        <v>2553</v>
      </c>
      <c r="D525" s="9">
        <v>270075650</v>
      </c>
      <c r="E525" t="s">
        <v>2546</v>
      </c>
      <c r="F525" t="s">
        <v>531</v>
      </c>
      <c r="G525" t="s">
        <v>30</v>
      </c>
      <c r="H525" t="s">
        <v>31</v>
      </c>
      <c r="I525" t="s">
        <v>52</v>
      </c>
      <c r="J525" t="s">
        <v>115</v>
      </c>
      <c r="K525" t="s">
        <v>29</v>
      </c>
      <c r="L525" t="s">
        <v>2554</v>
      </c>
      <c r="M525" t="s">
        <v>2555</v>
      </c>
      <c r="N525" t="s">
        <v>534</v>
      </c>
      <c r="O525" t="s">
        <v>39</v>
      </c>
      <c r="P525" t="s">
        <v>2556</v>
      </c>
      <c r="Q525" t="s">
        <v>40</v>
      </c>
      <c r="R525" s="29">
        <v>46154.702777777777</v>
      </c>
      <c r="S525">
        <v>3.71</v>
      </c>
      <c r="T525">
        <v>4935</v>
      </c>
      <c r="U525">
        <v>0</v>
      </c>
      <c r="V525">
        <v>4935</v>
      </c>
    </row>
    <row r="526" spans="1:22" x14ac:dyDescent="0.3">
      <c r="A526">
        <v>197070</v>
      </c>
      <c r="B526">
        <v>454534947</v>
      </c>
      <c r="C526" t="s">
        <v>2557</v>
      </c>
      <c r="D526" s="9">
        <v>269467105</v>
      </c>
      <c r="E526" t="s">
        <v>2546</v>
      </c>
      <c r="F526" t="s">
        <v>531</v>
      </c>
      <c r="G526" t="s">
        <v>30</v>
      </c>
      <c r="H526" t="s">
        <v>31</v>
      </c>
      <c r="I526" t="s">
        <v>52</v>
      </c>
      <c r="J526" t="s">
        <v>115</v>
      </c>
      <c r="K526" t="s">
        <v>29</v>
      </c>
      <c r="L526" t="s">
        <v>2558</v>
      </c>
      <c r="M526" t="s">
        <v>2559</v>
      </c>
      <c r="N526" t="s">
        <v>534</v>
      </c>
      <c r="O526" t="s">
        <v>39</v>
      </c>
      <c r="P526" t="s">
        <v>2560</v>
      </c>
      <c r="Q526" t="s">
        <v>63</v>
      </c>
      <c r="R526" s="29">
        <v>46146.444444444445</v>
      </c>
      <c r="S526">
        <v>4.5</v>
      </c>
      <c r="T526">
        <v>4182</v>
      </c>
      <c r="U526">
        <v>0</v>
      </c>
      <c r="V526">
        <v>4182</v>
      </c>
    </row>
    <row r="527" spans="1:22" x14ac:dyDescent="0.3">
      <c r="A527">
        <v>197070</v>
      </c>
      <c r="B527">
        <v>454707228</v>
      </c>
      <c r="C527" t="s">
        <v>2561</v>
      </c>
      <c r="D527" s="9">
        <v>269783769</v>
      </c>
      <c r="E527" t="s">
        <v>2546</v>
      </c>
      <c r="F527" t="s">
        <v>531</v>
      </c>
      <c r="G527" t="s">
        <v>30</v>
      </c>
      <c r="H527" t="s">
        <v>31</v>
      </c>
      <c r="I527" t="s">
        <v>52</v>
      </c>
      <c r="J527" t="s">
        <v>32</v>
      </c>
      <c r="K527" t="s">
        <v>29</v>
      </c>
      <c r="L527" t="s">
        <v>2562</v>
      </c>
      <c r="M527" t="s">
        <v>2563</v>
      </c>
      <c r="N527" t="s">
        <v>534</v>
      </c>
      <c r="O527" t="s">
        <v>39</v>
      </c>
      <c r="P527" t="s">
        <v>2564</v>
      </c>
      <c r="Q527" t="s">
        <v>48</v>
      </c>
      <c r="R527" s="29">
        <v>46150.084722222222</v>
      </c>
      <c r="S527">
        <v>3.39</v>
      </c>
      <c r="T527">
        <v>3664</v>
      </c>
      <c r="U527">
        <v>0</v>
      </c>
      <c r="V527">
        <v>3664</v>
      </c>
    </row>
    <row r="528" spans="1:22" x14ac:dyDescent="0.3">
      <c r="A528">
        <v>197070</v>
      </c>
      <c r="B528">
        <v>454491438</v>
      </c>
      <c r="C528" t="s">
        <v>2565</v>
      </c>
      <c r="D528" s="9">
        <v>269374131</v>
      </c>
      <c r="E528" t="s">
        <v>2546</v>
      </c>
      <c r="F528" t="s">
        <v>531</v>
      </c>
      <c r="G528" t="s">
        <v>30</v>
      </c>
      <c r="H528" t="s">
        <v>31</v>
      </c>
      <c r="I528" t="s">
        <v>52</v>
      </c>
      <c r="J528" t="s">
        <v>115</v>
      </c>
      <c r="K528" t="s">
        <v>29</v>
      </c>
      <c r="L528" t="s">
        <v>2566</v>
      </c>
      <c r="M528" t="s">
        <v>2567</v>
      </c>
      <c r="N528" t="s">
        <v>534</v>
      </c>
      <c r="O528" t="s">
        <v>39</v>
      </c>
      <c r="P528" t="s">
        <v>2568</v>
      </c>
      <c r="Q528" t="s">
        <v>169</v>
      </c>
      <c r="R528" s="29">
        <v>46144.864583333336</v>
      </c>
      <c r="S528">
        <v>3.34</v>
      </c>
      <c r="T528">
        <v>5436</v>
      </c>
      <c r="U528">
        <v>0</v>
      </c>
      <c r="V528">
        <v>5436</v>
      </c>
    </row>
    <row r="529" spans="1:22" x14ac:dyDescent="0.3">
      <c r="A529">
        <v>197070</v>
      </c>
      <c r="B529">
        <v>454505712</v>
      </c>
      <c r="C529" t="s">
        <v>2569</v>
      </c>
      <c r="D529" s="9">
        <v>269423877</v>
      </c>
      <c r="E529" t="s">
        <v>2546</v>
      </c>
      <c r="F529" t="s">
        <v>531</v>
      </c>
      <c r="G529" t="s">
        <v>30</v>
      </c>
      <c r="H529" t="s">
        <v>31</v>
      </c>
      <c r="I529" t="s">
        <v>52</v>
      </c>
      <c r="J529" t="s">
        <v>32</v>
      </c>
      <c r="K529" t="s">
        <v>29</v>
      </c>
      <c r="L529" t="s">
        <v>2570</v>
      </c>
      <c r="M529" t="s">
        <v>358</v>
      </c>
      <c r="N529" t="s">
        <v>534</v>
      </c>
      <c r="O529" t="s">
        <v>39</v>
      </c>
      <c r="P529" t="s">
        <v>2571</v>
      </c>
      <c r="Q529" t="s">
        <v>63</v>
      </c>
      <c r="R529" s="29">
        <v>46145.701388888891</v>
      </c>
      <c r="S529">
        <v>3.76</v>
      </c>
      <c r="T529">
        <v>4182</v>
      </c>
      <c r="U529">
        <v>0</v>
      </c>
      <c r="V529">
        <v>4182</v>
      </c>
    </row>
    <row r="530" spans="1:22" x14ac:dyDescent="0.3">
      <c r="A530">
        <v>197070</v>
      </c>
      <c r="B530">
        <v>454486973</v>
      </c>
      <c r="C530" t="s">
        <v>2572</v>
      </c>
      <c r="D530" s="9">
        <v>269369213</v>
      </c>
      <c r="E530" t="s">
        <v>2546</v>
      </c>
      <c r="F530" t="s">
        <v>531</v>
      </c>
      <c r="G530" t="s">
        <v>30</v>
      </c>
      <c r="H530" t="s">
        <v>31</v>
      </c>
      <c r="I530" t="s">
        <v>52</v>
      </c>
      <c r="J530" t="s">
        <v>32</v>
      </c>
      <c r="K530" t="s">
        <v>29</v>
      </c>
      <c r="L530" t="s">
        <v>2573</v>
      </c>
      <c r="M530" t="s">
        <v>2574</v>
      </c>
      <c r="N530" t="s">
        <v>534</v>
      </c>
      <c r="O530" t="s">
        <v>39</v>
      </c>
      <c r="P530" t="s">
        <v>2575</v>
      </c>
      <c r="Q530" t="s">
        <v>70</v>
      </c>
      <c r="R530" s="29">
        <v>46144.700694444444</v>
      </c>
      <c r="S530">
        <v>3.23</v>
      </c>
      <c r="T530">
        <v>4182</v>
      </c>
      <c r="U530">
        <v>0</v>
      </c>
      <c r="V530">
        <v>4182</v>
      </c>
    </row>
    <row r="531" spans="1:22" x14ac:dyDescent="0.3">
      <c r="A531">
        <v>197070</v>
      </c>
      <c r="B531">
        <v>454434469</v>
      </c>
      <c r="C531" t="s">
        <v>2576</v>
      </c>
      <c r="D531" s="9">
        <v>269292406</v>
      </c>
      <c r="E531" t="s">
        <v>2546</v>
      </c>
      <c r="F531" t="s">
        <v>531</v>
      </c>
      <c r="G531" t="s">
        <v>30</v>
      </c>
      <c r="H531" t="s">
        <v>31</v>
      </c>
      <c r="I531" t="s">
        <v>52</v>
      </c>
      <c r="J531" t="s">
        <v>32</v>
      </c>
      <c r="K531" t="s">
        <v>29</v>
      </c>
      <c r="L531" t="s">
        <v>2577</v>
      </c>
      <c r="M531" t="s">
        <v>2578</v>
      </c>
      <c r="N531" t="s">
        <v>534</v>
      </c>
      <c r="O531" t="s">
        <v>39</v>
      </c>
      <c r="P531" t="s">
        <v>2579</v>
      </c>
      <c r="Q531" t="s">
        <v>70</v>
      </c>
      <c r="R531" s="29">
        <v>46142.617361111108</v>
      </c>
      <c r="S531">
        <v>3.67</v>
      </c>
      <c r="T531">
        <v>4182</v>
      </c>
      <c r="U531">
        <v>0</v>
      </c>
      <c r="V531">
        <v>4182</v>
      </c>
    </row>
    <row r="532" spans="1:22" x14ac:dyDescent="0.3">
      <c r="A532">
        <v>197070</v>
      </c>
      <c r="B532">
        <v>454402513</v>
      </c>
      <c r="C532" t="s">
        <v>2580</v>
      </c>
      <c r="D532" s="9">
        <v>269232753</v>
      </c>
      <c r="E532" t="s">
        <v>2546</v>
      </c>
      <c r="F532" t="s">
        <v>531</v>
      </c>
      <c r="G532" t="s">
        <v>30</v>
      </c>
      <c r="H532" t="s">
        <v>31</v>
      </c>
      <c r="I532" t="s">
        <v>52</v>
      </c>
      <c r="J532" t="s">
        <v>32</v>
      </c>
      <c r="K532" t="s">
        <v>29</v>
      </c>
      <c r="L532" t="s">
        <v>2581</v>
      </c>
      <c r="M532" t="s">
        <v>2582</v>
      </c>
      <c r="N532" t="s">
        <v>534</v>
      </c>
      <c r="O532" t="s">
        <v>39</v>
      </c>
      <c r="P532" t="s">
        <v>2583</v>
      </c>
      <c r="Q532" t="s">
        <v>207</v>
      </c>
      <c r="R532" s="29">
        <v>46141.685416666667</v>
      </c>
      <c r="S532">
        <v>3.51</v>
      </c>
      <c r="T532">
        <v>4214</v>
      </c>
      <c r="U532">
        <v>0</v>
      </c>
      <c r="V532">
        <v>4214</v>
      </c>
    </row>
    <row r="533" spans="1:22" x14ac:dyDescent="0.3">
      <c r="A533">
        <v>197070</v>
      </c>
      <c r="B533">
        <v>141820120</v>
      </c>
      <c r="C533" t="s">
        <v>2584</v>
      </c>
      <c r="D533" s="9">
        <v>268836026</v>
      </c>
      <c r="E533" t="s">
        <v>2546</v>
      </c>
      <c r="F533" t="s">
        <v>531</v>
      </c>
      <c r="G533" t="s">
        <v>30</v>
      </c>
      <c r="H533" t="s">
        <v>31</v>
      </c>
      <c r="I533" t="s">
        <v>52</v>
      </c>
      <c r="J533" t="s">
        <v>32</v>
      </c>
      <c r="K533" t="s">
        <v>29</v>
      </c>
      <c r="L533" t="s">
        <v>2585</v>
      </c>
      <c r="M533" t="s">
        <v>341</v>
      </c>
      <c r="N533" t="s">
        <v>534</v>
      </c>
      <c r="O533" t="s">
        <v>39</v>
      </c>
      <c r="P533" t="s">
        <v>2552</v>
      </c>
      <c r="Q533" t="s">
        <v>207</v>
      </c>
      <c r="R533" s="29">
        <v>46135.429861111108</v>
      </c>
      <c r="S533">
        <v>3.1</v>
      </c>
      <c r="T533">
        <v>4214</v>
      </c>
      <c r="U533">
        <v>0</v>
      </c>
      <c r="V533">
        <v>4214</v>
      </c>
    </row>
    <row r="534" spans="1:22" x14ac:dyDescent="0.3">
      <c r="A534">
        <v>197070</v>
      </c>
      <c r="B534">
        <v>455346596</v>
      </c>
      <c r="C534" t="s">
        <v>2586</v>
      </c>
      <c r="D534" s="9" t="s">
        <v>2587</v>
      </c>
      <c r="E534" t="s">
        <v>2546</v>
      </c>
      <c r="F534" t="s">
        <v>531</v>
      </c>
      <c r="G534" t="s">
        <v>104</v>
      </c>
      <c r="H534" t="s">
        <v>105</v>
      </c>
      <c r="I534" t="s">
        <v>52</v>
      </c>
      <c r="J534" t="s">
        <v>106</v>
      </c>
      <c r="K534" t="s">
        <v>120</v>
      </c>
      <c r="L534" t="s">
        <v>107</v>
      </c>
      <c r="M534" t="s">
        <v>2588</v>
      </c>
      <c r="N534" t="s">
        <v>534</v>
      </c>
      <c r="O534" t="s">
        <v>39</v>
      </c>
      <c r="P534" t="s">
        <v>2589</v>
      </c>
      <c r="Q534" t="s">
        <v>158</v>
      </c>
      <c r="R534" s="29" t="s">
        <v>2590</v>
      </c>
      <c r="S534">
        <v>6.63</v>
      </c>
      <c r="T534">
        <v>14795</v>
      </c>
      <c r="U534">
        <v>5386.5</v>
      </c>
      <c r="V534">
        <v>20181.5</v>
      </c>
    </row>
    <row r="535" spans="1:22" x14ac:dyDescent="0.3">
      <c r="A535">
        <v>197070</v>
      </c>
      <c r="B535">
        <v>454827560</v>
      </c>
      <c r="C535" t="s">
        <v>2591</v>
      </c>
      <c r="D535" s="9" t="s">
        <v>2592</v>
      </c>
      <c r="E535" t="s">
        <v>2546</v>
      </c>
      <c r="F535" t="s">
        <v>531</v>
      </c>
      <c r="G535" t="s">
        <v>104</v>
      </c>
      <c r="H535" t="s">
        <v>105</v>
      </c>
      <c r="I535" t="s">
        <v>52</v>
      </c>
      <c r="J535" t="s">
        <v>106</v>
      </c>
      <c r="K535" t="s">
        <v>29</v>
      </c>
      <c r="L535" t="s">
        <v>2593</v>
      </c>
      <c r="M535" t="s">
        <v>2594</v>
      </c>
      <c r="N535" t="s">
        <v>534</v>
      </c>
      <c r="O535" t="s">
        <v>39</v>
      </c>
      <c r="P535" t="s">
        <v>2595</v>
      </c>
      <c r="Q535" t="s">
        <v>284</v>
      </c>
      <c r="R535" s="29" t="s">
        <v>2596</v>
      </c>
      <c r="S535">
        <v>1.1000000000000001</v>
      </c>
      <c r="T535">
        <v>9065</v>
      </c>
      <c r="U535">
        <v>649.5</v>
      </c>
      <c r="V535">
        <v>9714.5</v>
      </c>
    </row>
    <row r="536" spans="1:22" x14ac:dyDescent="0.3">
      <c r="A536">
        <v>197070</v>
      </c>
      <c r="B536">
        <v>454439164</v>
      </c>
      <c r="C536" t="s">
        <v>2597</v>
      </c>
      <c r="D536" s="9" t="s">
        <v>2598</v>
      </c>
      <c r="E536" t="s">
        <v>2546</v>
      </c>
      <c r="F536" t="s">
        <v>531</v>
      </c>
      <c r="G536" t="s">
        <v>110</v>
      </c>
      <c r="H536" t="s">
        <v>111</v>
      </c>
      <c r="I536" t="s">
        <v>52</v>
      </c>
      <c r="J536" t="s">
        <v>112</v>
      </c>
      <c r="K536" t="s">
        <v>29</v>
      </c>
      <c r="L536" t="s">
        <v>113</v>
      </c>
      <c r="M536" t="s">
        <v>2599</v>
      </c>
      <c r="N536" t="s">
        <v>534</v>
      </c>
      <c r="O536" t="s">
        <v>39</v>
      </c>
      <c r="P536" t="s">
        <v>2600</v>
      </c>
      <c r="Q536" t="s">
        <v>82</v>
      </c>
      <c r="R536" s="29" t="s">
        <v>425</v>
      </c>
      <c r="S536">
        <v>3.45</v>
      </c>
      <c r="T536">
        <v>4718</v>
      </c>
      <c r="U536">
        <v>0</v>
      </c>
      <c r="V536">
        <v>4718</v>
      </c>
    </row>
    <row r="537" spans="1:22" x14ac:dyDescent="0.3">
      <c r="A537">
        <v>178778</v>
      </c>
      <c r="B537">
        <v>454588519</v>
      </c>
      <c r="C537" t="s">
        <v>2601</v>
      </c>
      <c r="D537" s="9">
        <v>269568231</v>
      </c>
      <c r="E537" t="s">
        <v>2602</v>
      </c>
      <c r="F537" t="s">
        <v>531</v>
      </c>
      <c r="G537" t="s">
        <v>30</v>
      </c>
      <c r="H537" t="s">
        <v>31</v>
      </c>
      <c r="I537" t="s">
        <v>52</v>
      </c>
      <c r="J537" t="s">
        <v>115</v>
      </c>
      <c r="K537" t="s">
        <v>29</v>
      </c>
      <c r="L537" t="s">
        <v>2603</v>
      </c>
      <c r="M537" t="s">
        <v>271</v>
      </c>
      <c r="N537" t="s">
        <v>534</v>
      </c>
      <c r="O537" t="s">
        <v>39</v>
      </c>
      <c r="P537" t="s">
        <v>2604</v>
      </c>
      <c r="Q537" t="s">
        <v>38</v>
      </c>
      <c r="R537" s="29">
        <v>46147.460416666669</v>
      </c>
      <c r="S537">
        <v>1</v>
      </c>
      <c r="T537">
        <v>3250</v>
      </c>
      <c r="U537">
        <v>0</v>
      </c>
      <c r="V537">
        <v>3250</v>
      </c>
    </row>
    <row r="538" spans="1:22" x14ac:dyDescent="0.3">
      <c r="A538">
        <v>194568</v>
      </c>
      <c r="B538">
        <v>454650112</v>
      </c>
      <c r="C538">
        <v>283</v>
      </c>
      <c r="D538" s="9">
        <v>269679849</v>
      </c>
      <c r="E538" t="s">
        <v>2605</v>
      </c>
      <c r="F538" t="s">
        <v>531</v>
      </c>
      <c r="G538" t="s">
        <v>30</v>
      </c>
      <c r="H538" t="s">
        <v>31</v>
      </c>
      <c r="I538" t="s">
        <v>52</v>
      </c>
      <c r="J538" t="s">
        <v>32</v>
      </c>
      <c r="K538" t="s">
        <v>29</v>
      </c>
      <c r="L538" t="s">
        <v>2606</v>
      </c>
      <c r="M538" t="s">
        <v>494</v>
      </c>
      <c r="N538" t="s">
        <v>534</v>
      </c>
      <c r="O538" t="s">
        <v>39</v>
      </c>
      <c r="P538" t="s">
        <v>2607</v>
      </c>
      <c r="Q538" t="s">
        <v>42</v>
      </c>
      <c r="R538" s="29">
        <v>46148.654861111114</v>
      </c>
      <c r="S538">
        <v>0.15</v>
      </c>
      <c r="T538">
        <v>3193</v>
      </c>
      <c r="U538">
        <v>0</v>
      </c>
      <c r="V538">
        <v>3193</v>
      </c>
    </row>
    <row r="539" spans="1:22" x14ac:dyDescent="0.3">
      <c r="A539">
        <v>194568</v>
      </c>
      <c r="B539">
        <v>454478657</v>
      </c>
      <c r="C539">
        <v>279</v>
      </c>
      <c r="D539" s="9">
        <v>269360142</v>
      </c>
      <c r="E539" t="s">
        <v>2605</v>
      </c>
      <c r="F539" t="s">
        <v>531</v>
      </c>
      <c r="G539" t="s">
        <v>30</v>
      </c>
      <c r="H539" t="s">
        <v>31</v>
      </c>
      <c r="I539" t="s">
        <v>52</v>
      </c>
      <c r="J539" t="s">
        <v>32</v>
      </c>
      <c r="K539" t="s">
        <v>29</v>
      </c>
      <c r="L539" t="s">
        <v>2608</v>
      </c>
      <c r="M539" t="s">
        <v>2609</v>
      </c>
      <c r="N539" t="s">
        <v>534</v>
      </c>
      <c r="O539" t="s">
        <v>39</v>
      </c>
      <c r="P539" t="s">
        <v>2610</v>
      </c>
      <c r="Q539" t="s">
        <v>140</v>
      </c>
      <c r="R539" s="29">
        <v>46144.506249999999</v>
      </c>
      <c r="S539">
        <v>0.15</v>
      </c>
      <c r="T539">
        <v>3193</v>
      </c>
      <c r="U539">
        <v>0</v>
      </c>
      <c r="V539">
        <v>3193</v>
      </c>
    </row>
    <row r="540" spans="1:22" x14ac:dyDescent="0.3">
      <c r="A540">
        <v>194568</v>
      </c>
      <c r="B540">
        <v>141828338</v>
      </c>
      <c r="C540">
        <v>267</v>
      </c>
      <c r="D540" s="9">
        <v>268849738</v>
      </c>
      <c r="E540" t="s">
        <v>2605</v>
      </c>
      <c r="F540" t="s">
        <v>531</v>
      </c>
      <c r="G540" t="s">
        <v>30</v>
      </c>
      <c r="H540" t="s">
        <v>31</v>
      </c>
      <c r="I540" t="s">
        <v>52</v>
      </c>
      <c r="J540" t="s">
        <v>32</v>
      </c>
      <c r="K540" t="s">
        <v>29</v>
      </c>
      <c r="L540" t="s">
        <v>2611</v>
      </c>
      <c r="M540" t="s">
        <v>2612</v>
      </c>
      <c r="N540" t="s">
        <v>534</v>
      </c>
      <c r="O540" t="s">
        <v>39</v>
      </c>
      <c r="P540" t="s">
        <v>2613</v>
      </c>
      <c r="Q540" t="s">
        <v>80</v>
      </c>
      <c r="R540" s="29">
        <v>46135.538888888892</v>
      </c>
      <c r="S540">
        <v>1.45</v>
      </c>
      <c r="T540">
        <v>5295</v>
      </c>
      <c r="U540">
        <v>0</v>
      </c>
      <c r="V540">
        <v>5295</v>
      </c>
    </row>
    <row r="541" spans="1:22" x14ac:dyDescent="0.3">
      <c r="A541">
        <v>194568</v>
      </c>
      <c r="B541">
        <v>454274854</v>
      </c>
      <c r="C541">
        <v>271</v>
      </c>
      <c r="D541" s="9">
        <v>268997401</v>
      </c>
      <c r="E541" t="s">
        <v>2605</v>
      </c>
      <c r="F541" t="s">
        <v>531</v>
      </c>
      <c r="G541" t="s">
        <v>30</v>
      </c>
      <c r="H541" t="s">
        <v>31</v>
      </c>
      <c r="I541" t="s">
        <v>52</v>
      </c>
      <c r="J541" t="s">
        <v>32</v>
      </c>
      <c r="K541" t="s">
        <v>29</v>
      </c>
      <c r="L541" t="s">
        <v>2614</v>
      </c>
      <c r="M541" t="s">
        <v>2615</v>
      </c>
      <c r="N541" t="s">
        <v>534</v>
      </c>
      <c r="O541" t="s">
        <v>39</v>
      </c>
      <c r="P541" t="s">
        <v>2616</v>
      </c>
      <c r="Q541" t="s">
        <v>140</v>
      </c>
      <c r="R541" s="29">
        <v>46138.297222222223</v>
      </c>
      <c r="S541">
        <v>0.5</v>
      </c>
      <c r="T541">
        <v>3193</v>
      </c>
      <c r="U541">
        <v>0</v>
      </c>
      <c r="V541">
        <v>3193</v>
      </c>
    </row>
    <row r="542" spans="1:22" x14ac:dyDescent="0.3">
      <c r="A542">
        <v>187694</v>
      </c>
      <c r="B542">
        <v>454804203</v>
      </c>
      <c r="C542" t="s">
        <v>2617</v>
      </c>
      <c r="D542" s="9">
        <v>269973675</v>
      </c>
      <c r="E542" t="s">
        <v>2618</v>
      </c>
      <c r="F542" t="s">
        <v>531</v>
      </c>
      <c r="G542" t="s">
        <v>30</v>
      </c>
      <c r="H542" t="s">
        <v>31</v>
      </c>
      <c r="I542" t="s">
        <v>52</v>
      </c>
      <c r="J542" t="s">
        <v>32</v>
      </c>
      <c r="K542" t="s">
        <v>29</v>
      </c>
      <c r="L542" t="s">
        <v>2619</v>
      </c>
      <c r="M542" t="s">
        <v>2620</v>
      </c>
      <c r="N542" t="s">
        <v>534</v>
      </c>
      <c r="O542" t="s">
        <v>39</v>
      </c>
      <c r="P542" t="s">
        <v>2621</v>
      </c>
      <c r="Q542" t="s">
        <v>35</v>
      </c>
      <c r="R542" s="29">
        <v>46153.551388888889</v>
      </c>
      <c r="S542">
        <v>3.32</v>
      </c>
      <c r="T542">
        <v>4687</v>
      </c>
      <c r="U542">
        <v>0</v>
      </c>
      <c r="V542">
        <v>4687</v>
      </c>
    </row>
    <row r="543" spans="1:22" x14ac:dyDescent="0.3">
      <c r="A543">
        <v>187694</v>
      </c>
      <c r="B543">
        <v>454431903</v>
      </c>
      <c r="C543" t="s">
        <v>2622</v>
      </c>
      <c r="D543" s="9">
        <v>269286266</v>
      </c>
      <c r="E543" t="s">
        <v>2618</v>
      </c>
      <c r="F543" t="s">
        <v>531</v>
      </c>
      <c r="G543" t="s">
        <v>30</v>
      </c>
      <c r="H543" t="s">
        <v>31</v>
      </c>
      <c r="I543" t="s">
        <v>52</v>
      </c>
      <c r="J543" t="s">
        <v>32</v>
      </c>
      <c r="K543" t="s">
        <v>29</v>
      </c>
      <c r="L543" t="s">
        <v>2623</v>
      </c>
      <c r="M543" t="s">
        <v>2624</v>
      </c>
      <c r="N543" t="s">
        <v>534</v>
      </c>
      <c r="O543" t="s">
        <v>39</v>
      </c>
      <c r="P543" t="s">
        <v>2625</v>
      </c>
      <c r="Q543" t="s">
        <v>183</v>
      </c>
      <c r="R543" s="29">
        <v>46142.564583333333</v>
      </c>
      <c r="S543">
        <v>2.09</v>
      </c>
      <c r="T543">
        <v>3737</v>
      </c>
      <c r="U543">
        <v>0</v>
      </c>
      <c r="V543">
        <v>3737</v>
      </c>
    </row>
    <row r="544" spans="1:22" x14ac:dyDescent="0.3">
      <c r="A544">
        <v>187694</v>
      </c>
      <c r="B544">
        <v>454356208</v>
      </c>
      <c r="C544" t="s">
        <v>2626</v>
      </c>
      <c r="D544" s="9">
        <v>269136627</v>
      </c>
      <c r="E544" t="s">
        <v>2618</v>
      </c>
      <c r="F544" t="s">
        <v>531</v>
      </c>
      <c r="G544" t="s">
        <v>30</v>
      </c>
      <c r="H544" t="s">
        <v>31</v>
      </c>
      <c r="I544" t="s">
        <v>52</v>
      </c>
      <c r="J544" t="s">
        <v>32</v>
      </c>
      <c r="K544" t="s">
        <v>29</v>
      </c>
      <c r="L544" t="s">
        <v>2627</v>
      </c>
      <c r="M544" t="s">
        <v>2628</v>
      </c>
      <c r="N544" t="s">
        <v>534</v>
      </c>
      <c r="O544" t="s">
        <v>39</v>
      </c>
      <c r="P544" t="s">
        <v>2629</v>
      </c>
      <c r="Q544" t="s">
        <v>34</v>
      </c>
      <c r="R544" s="29">
        <v>46140.515277777777</v>
      </c>
      <c r="S544">
        <v>1.87</v>
      </c>
      <c r="T544">
        <v>3653</v>
      </c>
      <c r="U544">
        <v>0</v>
      </c>
      <c r="V544">
        <v>3653</v>
      </c>
    </row>
    <row r="545" spans="1:22" x14ac:dyDescent="0.3">
      <c r="A545">
        <v>187694</v>
      </c>
      <c r="B545">
        <v>454319535</v>
      </c>
      <c r="C545" t="s">
        <v>2630</v>
      </c>
      <c r="D545" s="9">
        <v>269072263</v>
      </c>
      <c r="E545" t="s">
        <v>2618</v>
      </c>
      <c r="F545" t="s">
        <v>531</v>
      </c>
      <c r="G545" t="s">
        <v>30</v>
      </c>
      <c r="H545" t="s">
        <v>31</v>
      </c>
      <c r="I545" t="s">
        <v>52</v>
      </c>
      <c r="J545" t="s">
        <v>32</v>
      </c>
      <c r="K545" t="s">
        <v>29</v>
      </c>
      <c r="L545" t="s">
        <v>2631</v>
      </c>
      <c r="M545" t="s">
        <v>2632</v>
      </c>
      <c r="N545" t="s">
        <v>534</v>
      </c>
      <c r="O545" t="s">
        <v>39</v>
      </c>
      <c r="P545" t="s">
        <v>2633</v>
      </c>
      <c r="Q545" t="s">
        <v>73</v>
      </c>
      <c r="R545" s="29">
        <v>46139.592361111114</v>
      </c>
      <c r="S545">
        <v>1.59</v>
      </c>
      <c r="T545">
        <v>3250</v>
      </c>
      <c r="U545">
        <v>0</v>
      </c>
      <c r="V545">
        <v>3250</v>
      </c>
    </row>
    <row r="546" spans="1:22" x14ac:dyDescent="0.3">
      <c r="A546">
        <v>187694</v>
      </c>
      <c r="B546">
        <v>454749578</v>
      </c>
      <c r="C546" t="s">
        <v>2634</v>
      </c>
      <c r="D546" s="9" t="s">
        <v>2635</v>
      </c>
      <c r="E546" t="s">
        <v>2618</v>
      </c>
      <c r="F546" t="s">
        <v>531</v>
      </c>
      <c r="G546" t="s">
        <v>110</v>
      </c>
      <c r="H546" t="s">
        <v>111</v>
      </c>
      <c r="I546" t="s">
        <v>52</v>
      </c>
      <c r="J546" t="s">
        <v>112</v>
      </c>
      <c r="K546" t="s">
        <v>29</v>
      </c>
      <c r="L546" t="s">
        <v>113</v>
      </c>
      <c r="M546" t="s">
        <v>2636</v>
      </c>
      <c r="N546" t="s">
        <v>534</v>
      </c>
      <c r="O546" t="s">
        <v>39</v>
      </c>
      <c r="P546" t="s">
        <v>2637</v>
      </c>
      <c r="Q546" t="s">
        <v>233</v>
      </c>
      <c r="R546" s="29" t="s">
        <v>2638</v>
      </c>
      <c r="S546">
        <v>0.52</v>
      </c>
      <c r="T546">
        <v>6232</v>
      </c>
      <c r="U546">
        <v>0</v>
      </c>
      <c r="V546">
        <v>6232</v>
      </c>
    </row>
    <row r="547" spans="1:22" x14ac:dyDescent="0.3">
      <c r="A547">
        <v>187694</v>
      </c>
      <c r="B547">
        <v>455019553</v>
      </c>
      <c r="C547" t="s">
        <v>2639</v>
      </c>
      <c r="D547" s="9" t="s">
        <v>2640</v>
      </c>
      <c r="E547" t="s">
        <v>2618</v>
      </c>
      <c r="F547" t="s">
        <v>531</v>
      </c>
      <c r="G547" t="s">
        <v>110</v>
      </c>
      <c r="H547" t="s">
        <v>111</v>
      </c>
      <c r="I547" t="s">
        <v>52</v>
      </c>
      <c r="J547" t="s">
        <v>112</v>
      </c>
      <c r="K547" t="s">
        <v>29</v>
      </c>
      <c r="L547" t="s">
        <v>113</v>
      </c>
      <c r="M547" t="s">
        <v>2641</v>
      </c>
      <c r="N547" t="s">
        <v>534</v>
      </c>
      <c r="O547" t="s">
        <v>39</v>
      </c>
      <c r="P547" t="s">
        <v>2642</v>
      </c>
      <c r="Q547" t="s">
        <v>46</v>
      </c>
      <c r="R547" s="29" t="s">
        <v>129</v>
      </c>
      <c r="S547">
        <v>1.37</v>
      </c>
      <c r="T547">
        <v>4072</v>
      </c>
      <c r="U547">
        <v>0</v>
      </c>
      <c r="V547">
        <v>4072</v>
      </c>
    </row>
    <row r="548" spans="1:22" x14ac:dyDescent="0.3">
      <c r="A548">
        <v>152577</v>
      </c>
      <c r="B548">
        <v>135126194</v>
      </c>
      <c r="C548" t="s">
        <v>2643</v>
      </c>
      <c r="D548" s="9">
        <v>259526227</v>
      </c>
      <c r="E548" t="s">
        <v>2644</v>
      </c>
      <c r="F548" t="s">
        <v>531</v>
      </c>
      <c r="G548" t="s">
        <v>30</v>
      </c>
      <c r="H548" t="s">
        <v>31</v>
      </c>
      <c r="I548" t="s">
        <v>52</v>
      </c>
      <c r="J548" t="s">
        <v>32</v>
      </c>
      <c r="K548" t="s">
        <v>127</v>
      </c>
      <c r="L548" t="s">
        <v>450</v>
      </c>
      <c r="M548" t="s">
        <v>2645</v>
      </c>
      <c r="N548" t="s">
        <v>534</v>
      </c>
      <c r="O548" t="s">
        <v>39</v>
      </c>
      <c r="P548" t="s">
        <v>2646</v>
      </c>
      <c r="Q548" t="s">
        <v>207</v>
      </c>
      <c r="R548" s="29">
        <v>45974.498611111114</v>
      </c>
      <c r="S548">
        <v>2.15</v>
      </c>
      <c r="T548">
        <v>7563.03</v>
      </c>
      <c r="U548">
        <v>0</v>
      </c>
      <c r="V548">
        <v>7563.03</v>
      </c>
    </row>
    <row r="549" spans="1:22" x14ac:dyDescent="0.3">
      <c r="A549">
        <v>148303</v>
      </c>
      <c r="B549">
        <v>454395505</v>
      </c>
      <c r="C549" t="s">
        <v>2647</v>
      </c>
      <c r="D549" s="9" t="s">
        <v>2648</v>
      </c>
      <c r="E549" t="s">
        <v>2649</v>
      </c>
      <c r="F549" t="s">
        <v>531</v>
      </c>
      <c r="G549" t="s">
        <v>110</v>
      </c>
      <c r="H549" t="s">
        <v>111</v>
      </c>
      <c r="I549" t="s">
        <v>52</v>
      </c>
      <c r="J549" t="s">
        <v>112</v>
      </c>
      <c r="K549" t="s">
        <v>29</v>
      </c>
      <c r="L549" t="s">
        <v>113</v>
      </c>
      <c r="M549" t="s">
        <v>2650</v>
      </c>
      <c r="N549" t="s">
        <v>534</v>
      </c>
      <c r="O549" t="s">
        <v>39</v>
      </c>
      <c r="P549" t="s">
        <v>2651</v>
      </c>
      <c r="Q549" t="s">
        <v>33</v>
      </c>
      <c r="R549" s="29" t="s">
        <v>384</v>
      </c>
      <c r="S549">
        <v>1.73</v>
      </c>
      <c r="T549">
        <v>8263</v>
      </c>
      <c r="U549">
        <v>0</v>
      </c>
      <c r="V549">
        <v>8263</v>
      </c>
    </row>
    <row r="550" spans="1:22" x14ac:dyDescent="0.3">
      <c r="A550">
        <v>148303</v>
      </c>
      <c r="B550">
        <v>454374538</v>
      </c>
      <c r="C550" t="s">
        <v>2652</v>
      </c>
      <c r="D550" s="9" t="s">
        <v>2653</v>
      </c>
      <c r="E550" t="s">
        <v>2649</v>
      </c>
      <c r="F550" t="s">
        <v>531</v>
      </c>
      <c r="G550" t="s">
        <v>110</v>
      </c>
      <c r="H550" t="s">
        <v>111</v>
      </c>
      <c r="I550" t="s">
        <v>52</v>
      </c>
      <c r="J550" t="s">
        <v>112</v>
      </c>
      <c r="K550" t="s">
        <v>29</v>
      </c>
      <c r="L550" t="s">
        <v>113</v>
      </c>
      <c r="M550" t="s">
        <v>2654</v>
      </c>
      <c r="N550" t="s">
        <v>534</v>
      </c>
      <c r="O550" t="s">
        <v>39</v>
      </c>
      <c r="P550" t="s">
        <v>2655</v>
      </c>
      <c r="Q550" t="s">
        <v>63</v>
      </c>
      <c r="R550" s="29" t="s">
        <v>2656</v>
      </c>
      <c r="S550">
        <v>2.78</v>
      </c>
      <c r="T550">
        <v>7619</v>
      </c>
      <c r="U550">
        <v>0</v>
      </c>
      <c r="V550">
        <v>7619</v>
      </c>
    </row>
    <row r="551" spans="1:22" x14ac:dyDescent="0.3">
      <c r="A551">
        <v>148303</v>
      </c>
      <c r="B551">
        <v>454850628</v>
      </c>
      <c r="C551" t="s">
        <v>2657</v>
      </c>
      <c r="D551" s="9" t="s">
        <v>2658</v>
      </c>
      <c r="E551" t="s">
        <v>2649</v>
      </c>
      <c r="F551" t="s">
        <v>531</v>
      </c>
      <c r="G551" t="s">
        <v>110</v>
      </c>
      <c r="H551" t="s">
        <v>111</v>
      </c>
      <c r="I551" t="s">
        <v>52</v>
      </c>
      <c r="J551" t="s">
        <v>112</v>
      </c>
      <c r="K551" t="s">
        <v>29</v>
      </c>
      <c r="L551" t="s">
        <v>113</v>
      </c>
      <c r="M551" t="s">
        <v>2659</v>
      </c>
      <c r="N551" t="s">
        <v>534</v>
      </c>
      <c r="O551" t="s">
        <v>39</v>
      </c>
      <c r="P551" t="s">
        <v>2660</v>
      </c>
      <c r="Q551" t="s">
        <v>181</v>
      </c>
      <c r="R551" s="29" t="s">
        <v>327</v>
      </c>
      <c r="S551">
        <v>2.95</v>
      </c>
      <c r="T551">
        <v>7370</v>
      </c>
      <c r="U551">
        <v>0</v>
      </c>
      <c r="V551">
        <v>7370</v>
      </c>
    </row>
    <row r="552" spans="1:22" x14ac:dyDescent="0.3">
      <c r="A552">
        <v>148303</v>
      </c>
      <c r="B552">
        <v>454847622</v>
      </c>
      <c r="C552" t="s">
        <v>2661</v>
      </c>
      <c r="D552" s="9" t="s">
        <v>2662</v>
      </c>
      <c r="E552" t="s">
        <v>2649</v>
      </c>
      <c r="F552" t="s">
        <v>531</v>
      </c>
      <c r="G552" t="s">
        <v>110</v>
      </c>
      <c r="H552" t="s">
        <v>111</v>
      </c>
      <c r="I552" t="s">
        <v>52</v>
      </c>
      <c r="J552" t="s">
        <v>112</v>
      </c>
      <c r="K552" t="s">
        <v>29</v>
      </c>
      <c r="L552" t="s">
        <v>113</v>
      </c>
      <c r="M552" t="s">
        <v>2663</v>
      </c>
      <c r="N552" t="s">
        <v>534</v>
      </c>
      <c r="O552" t="s">
        <v>39</v>
      </c>
      <c r="P552" t="s">
        <v>2664</v>
      </c>
      <c r="Q552" t="s">
        <v>153</v>
      </c>
      <c r="R552" s="29" t="s">
        <v>422</v>
      </c>
      <c r="S552">
        <v>5.89</v>
      </c>
      <c r="T552">
        <v>7589</v>
      </c>
      <c r="U552">
        <v>0</v>
      </c>
      <c r="V552">
        <v>7589</v>
      </c>
    </row>
    <row r="553" spans="1:22" x14ac:dyDescent="0.3">
      <c r="A553">
        <v>148303</v>
      </c>
      <c r="B553">
        <v>454888436</v>
      </c>
      <c r="C553" t="s">
        <v>2665</v>
      </c>
      <c r="D553" s="9" t="s">
        <v>2666</v>
      </c>
      <c r="E553" t="s">
        <v>2649</v>
      </c>
      <c r="F553" t="s">
        <v>531</v>
      </c>
      <c r="G553" t="s">
        <v>110</v>
      </c>
      <c r="H553" t="s">
        <v>111</v>
      </c>
      <c r="I553" t="s">
        <v>52</v>
      </c>
      <c r="J553" t="s">
        <v>112</v>
      </c>
      <c r="K553" t="s">
        <v>29</v>
      </c>
      <c r="L553" t="s">
        <v>113</v>
      </c>
      <c r="M553" t="s">
        <v>2667</v>
      </c>
      <c r="N553" t="s">
        <v>534</v>
      </c>
      <c r="O553" t="s">
        <v>39</v>
      </c>
      <c r="P553" t="s">
        <v>2668</v>
      </c>
      <c r="Q553" t="s">
        <v>67</v>
      </c>
      <c r="R553" s="29" t="s">
        <v>2669</v>
      </c>
      <c r="S553">
        <v>1.49</v>
      </c>
      <c r="T553">
        <v>6307</v>
      </c>
      <c r="U553">
        <v>0</v>
      </c>
      <c r="V553">
        <v>6307</v>
      </c>
    </row>
    <row r="554" spans="1:22" x14ac:dyDescent="0.3">
      <c r="A554">
        <v>148303</v>
      </c>
      <c r="B554">
        <v>454544714</v>
      </c>
      <c r="C554" t="s">
        <v>2670</v>
      </c>
      <c r="D554" s="9" t="s">
        <v>2671</v>
      </c>
      <c r="E554" t="s">
        <v>2649</v>
      </c>
      <c r="F554" t="s">
        <v>531</v>
      </c>
      <c r="G554" t="s">
        <v>110</v>
      </c>
      <c r="H554" t="s">
        <v>111</v>
      </c>
      <c r="I554" t="s">
        <v>52</v>
      </c>
      <c r="J554" t="s">
        <v>112</v>
      </c>
      <c r="K554" t="s">
        <v>29</v>
      </c>
      <c r="L554" t="s">
        <v>113</v>
      </c>
      <c r="M554" t="s">
        <v>2672</v>
      </c>
      <c r="N554" t="s">
        <v>534</v>
      </c>
      <c r="O554" t="s">
        <v>39</v>
      </c>
      <c r="P554" t="s">
        <v>2673</v>
      </c>
      <c r="Q554" t="s">
        <v>67</v>
      </c>
      <c r="R554" s="29" t="s">
        <v>288</v>
      </c>
      <c r="S554">
        <v>1.95</v>
      </c>
      <c r="T554">
        <v>7296</v>
      </c>
      <c r="U554">
        <v>0</v>
      </c>
      <c r="V554">
        <v>7296</v>
      </c>
    </row>
    <row r="555" spans="1:22" x14ac:dyDescent="0.3">
      <c r="A555">
        <v>148303</v>
      </c>
      <c r="B555">
        <v>454321175</v>
      </c>
      <c r="C555" t="s">
        <v>2674</v>
      </c>
      <c r="D555" s="9" t="s">
        <v>2675</v>
      </c>
      <c r="E555" t="s">
        <v>2649</v>
      </c>
      <c r="F555" t="s">
        <v>531</v>
      </c>
      <c r="G555" t="s">
        <v>110</v>
      </c>
      <c r="H555" t="s">
        <v>111</v>
      </c>
      <c r="I555" t="s">
        <v>52</v>
      </c>
      <c r="J555" t="s">
        <v>112</v>
      </c>
      <c r="K555" t="s">
        <v>29</v>
      </c>
      <c r="L555" t="s">
        <v>113</v>
      </c>
      <c r="M555" t="s">
        <v>2676</v>
      </c>
      <c r="N555" t="s">
        <v>534</v>
      </c>
      <c r="O555" t="s">
        <v>39</v>
      </c>
      <c r="P555" t="s">
        <v>2677</v>
      </c>
      <c r="Q555" t="s">
        <v>36</v>
      </c>
      <c r="R555" s="29" t="s">
        <v>2678</v>
      </c>
      <c r="S555">
        <v>1.1000000000000001</v>
      </c>
      <c r="T555">
        <v>10025</v>
      </c>
      <c r="U555">
        <v>0</v>
      </c>
      <c r="V555">
        <v>10025</v>
      </c>
    </row>
    <row r="556" spans="1:22" x14ac:dyDescent="0.3">
      <c r="A556">
        <v>148303</v>
      </c>
      <c r="B556">
        <v>454359419</v>
      </c>
      <c r="C556" t="s">
        <v>2679</v>
      </c>
      <c r="D556" s="9" t="s">
        <v>2680</v>
      </c>
      <c r="E556" t="s">
        <v>2649</v>
      </c>
      <c r="F556" t="s">
        <v>531</v>
      </c>
      <c r="G556" t="s">
        <v>110</v>
      </c>
      <c r="H556" t="s">
        <v>111</v>
      </c>
      <c r="I556" t="s">
        <v>52</v>
      </c>
      <c r="J556" t="s">
        <v>112</v>
      </c>
      <c r="K556" t="s">
        <v>29</v>
      </c>
      <c r="L556" t="s">
        <v>113</v>
      </c>
      <c r="M556" t="s">
        <v>2681</v>
      </c>
      <c r="N556" t="s">
        <v>534</v>
      </c>
      <c r="O556" t="s">
        <v>39</v>
      </c>
      <c r="P556" t="s">
        <v>2682</v>
      </c>
      <c r="Q556" t="s">
        <v>74</v>
      </c>
      <c r="R556" s="29" t="s">
        <v>2683</v>
      </c>
      <c r="S556">
        <v>1</v>
      </c>
      <c r="T556">
        <v>7581</v>
      </c>
      <c r="U556">
        <v>0</v>
      </c>
      <c r="V556">
        <v>7581</v>
      </c>
    </row>
    <row r="557" spans="1:22" x14ac:dyDescent="0.3">
      <c r="A557">
        <v>148303</v>
      </c>
      <c r="B557">
        <v>454319082</v>
      </c>
      <c r="C557" t="s">
        <v>2684</v>
      </c>
      <c r="D557" s="9" t="s">
        <v>2685</v>
      </c>
      <c r="E557" t="s">
        <v>2649</v>
      </c>
      <c r="F557" t="s">
        <v>531</v>
      </c>
      <c r="G557" t="s">
        <v>110</v>
      </c>
      <c r="H557" t="s">
        <v>111</v>
      </c>
      <c r="I557" t="s">
        <v>52</v>
      </c>
      <c r="J557" t="s">
        <v>112</v>
      </c>
      <c r="K557" t="s">
        <v>29</v>
      </c>
      <c r="L557" t="s">
        <v>113</v>
      </c>
      <c r="M557" t="s">
        <v>2686</v>
      </c>
      <c r="N557" t="s">
        <v>534</v>
      </c>
      <c r="O557" t="s">
        <v>39</v>
      </c>
      <c r="P557" t="s">
        <v>2687</v>
      </c>
      <c r="Q557" t="s">
        <v>74</v>
      </c>
      <c r="R557" s="29" t="s">
        <v>2688</v>
      </c>
      <c r="S557">
        <v>3.98</v>
      </c>
      <c r="T557">
        <v>8430</v>
      </c>
      <c r="U557">
        <v>0</v>
      </c>
      <c r="V557">
        <v>8430</v>
      </c>
    </row>
    <row r="558" spans="1:22" x14ac:dyDescent="0.3">
      <c r="A558">
        <v>148303</v>
      </c>
      <c r="B558">
        <v>454806080</v>
      </c>
      <c r="C558" t="s">
        <v>2689</v>
      </c>
      <c r="D558" s="9" t="s">
        <v>2690</v>
      </c>
      <c r="E558" t="s">
        <v>2649</v>
      </c>
      <c r="F558" t="s">
        <v>531</v>
      </c>
      <c r="G558" t="s">
        <v>110</v>
      </c>
      <c r="H558" t="s">
        <v>111</v>
      </c>
      <c r="I558" t="s">
        <v>52</v>
      </c>
      <c r="J558" t="s">
        <v>112</v>
      </c>
      <c r="K558" t="s">
        <v>29</v>
      </c>
      <c r="L558" t="s">
        <v>113</v>
      </c>
      <c r="M558" t="s">
        <v>2691</v>
      </c>
      <c r="N558" t="s">
        <v>534</v>
      </c>
      <c r="O558" t="s">
        <v>39</v>
      </c>
      <c r="P558" t="s">
        <v>2692</v>
      </c>
      <c r="Q558" t="s">
        <v>34</v>
      </c>
      <c r="R558" s="29" t="s">
        <v>423</v>
      </c>
      <c r="S558">
        <v>0.12</v>
      </c>
      <c r="T558">
        <v>6888</v>
      </c>
      <c r="U558">
        <v>0</v>
      </c>
      <c r="V558">
        <v>6888</v>
      </c>
    </row>
    <row r="559" spans="1:22" x14ac:dyDescent="0.3">
      <c r="A559">
        <v>148303</v>
      </c>
      <c r="B559">
        <v>454730531</v>
      </c>
      <c r="C559" t="s">
        <v>2693</v>
      </c>
      <c r="D559" s="9" t="s">
        <v>2694</v>
      </c>
      <c r="E559" t="s">
        <v>2649</v>
      </c>
      <c r="F559" t="s">
        <v>531</v>
      </c>
      <c r="G559" t="s">
        <v>110</v>
      </c>
      <c r="H559" t="s">
        <v>111</v>
      </c>
      <c r="I559" t="s">
        <v>52</v>
      </c>
      <c r="J559" t="s">
        <v>112</v>
      </c>
      <c r="K559" t="s">
        <v>29</v>
      </c>
      <c r="L559" t="s">
        <v>113</v>
      </c>
      <c r="M559" t="s">
        <v>2695</v>
      </c>
      <c r="N559" t="s">
        <v>534</v>
      </c>
      <c r="O559" t="s">
        <v>39</v>
      </c>
      <c r="P559" t="s">
        <v>2696</v>
      </c>
      <c r="Q559" t="s">
        <v>79</v>
      </c>
      <c r="R559" s="29" t="s">
        <v>418</v>
      </c>
      <c r="S559">
        <v>1.76</v>
      </c>
      <c r="T559">
        <v>8263</v>
      </c>
      <c r="U559">
        <v>0</v>
      </c>
      <c r="V559">
        <v>8263</v>
      </c>
    </row>
    <row r="560" spans="1:22" x14ac:dyDescent="0.3">
      <c r="A560">
        <v>148303</v>
      </c>
      <c r="B560">
        <v>454773983</v>
      </c>
      <c r="C560" t="s">
        <v>2697</v>
      </c>
      <c r="D560" s="9" t="s">
        <v>2698</v>
      </c>
      <c r="E560" t="s">
        <v>2649</v>
      </c>
      <c r="F560" t="s">
        <v>531</v>
      </c>
      <c r="G560" t="s">
        <v>110</v>
      </c>
      <c r="H560" t="s">
        <v>111</v>
      </c>
      <c r="I560" t="s">
        <v>52</v>
      </c>
      <c r="J560" t="s">
        <v>112</v>
      </c>
      <c r="K560" t="s">
        <v>29</v>
      </c>
      <c r="L560" t="s">
        <v>113</v>
      </c>
      <c r="M560" t="s">
        <v>2699</v>
      </c>
      <c r="N560" t="s">
        <v>534</v>
      </c>
      <c r="O560" t="s">
        <v>39</v>
      </c>
      <c r="P560" t="s">
        <v>2700</v>
      </c>
      <c r="Q560" t="s">
        <v>35</v>
      </c>
      <c r="R560" s="29" t="s">
        <v>2701</v>
      </c>
      <c r="S560">
        <v>1.95</v>
      </c>
      <c r="T560">
        <v>8985</v>
      </c>
      <c r="U560">
        <v>0</v>
      </c>
      <c r="V560">
        <v>8985</v>
      </c>
    </row>
    <row r="561" spans="1:22" x14ac:dyDescent="0.3">
      <c r="A561">
        <v>148303</v>
      </c>
      <c r="B561">
        <v>454705665</v>
      </c>
      <c r="C561" t="s">
        <v>2702</v>
      </c>
      <c r="D561" s="9" t="s">
        <v>2703</v>
      </c>
      <c r="E561" t="s">
        <v>2649</v>
      </c>
      <c r="F561" t="s">
        <v>531</v>
      </c>
      <c r="G561" t="s">
        <v>110</v>
      </c>
      <c r="H561" t="s">
        <v>111</v>
      </c>
      <c r="I561" t="s">
        <v>52</v>
      </c>
      <c r="J561" t="s">
        <v>112</v>
      </c>
      <c r="K561" t="s">
        <v>29</v>
      </c>
      <c r="L561" t="s">
        <v>113</v>
      </c>
      <c r="M561" t="s">
        <v>2704</v>
      </c>
      <c r="N561" t="s">
        <v>534</v>
      </c>
      <c r="O561" t="s">
        <v>39</v>
      </c>
      <c r="P561" t="s">
        <v>2705</v>
      </c>
      <c r="Q561" t="s">
        <v>40</v>
      </c>
      <c r="R561" s="29" t="s">
        <v>290</v>
      </c>
      <c r="S561">
        <v>1.71</v>
      </c>
      <c r="T561">
        <v>8746</v>
      </c>
      <c r="U561">
        <v>0</v>
      </c>
      <c r="V561">
        <v>8746</v>
      </c>
    </row>
    <row r="562" spans="1:22" x14ac:dyDescent="0.3">
      <c r="A562">
        <v>148303</v>
      </c>
      <c r="B562">
        <v>454702850</v>
      </c>
      <c r="C562" t="s">
        <v>2706</v>
      </c>
      <c r="D562" s="9" t="s">
        <v>2707</v>
      </c>
      <c r="E562" t="s">
        <v>2649</v>
      </c>
      <c r="F562" t="s">
        <v>531</v>
      </c>
      <c r="G562" t="s">
        <v>110</v>
      </c>
      <c r="H562" t="s">
        <v>111</v>
      </c>
      <c r="I562" t="s">
        <v>52</v>
      </c>
      <c r="J562" t="s">
        <v>112</v>
      </c>
      <c r="K562" t="s">
        <v>29</v>
      </c>
      <c r="L562" t="s">
        <v>113</v>
      </c>
      <c r="M562" t="s">
        <v>2708</v>
      </c>
      <c r="N562" t="s">
        <v>534</v>
      </c>
      <c r="O562" t="s">
        <v>39</v>
      </c>
      <c r="P562" t="s">
        <v>2709</v>
      </c>
      <c r="Q562" t="s">
        <v>78</v>
      </c>
      <c r="R562" s="29" t="s">
        <v>2710</v>
      </c>
      <c r="S562">
        <v>1.3</v>
      </c>
      <c r="T562">
        <v>6307</v>
      </c>
      <c r="U562">
        <v>0</v>
      </c>
      <c r="V562">
        <v>6307</v>
      </c>
    </row>
    <row r="563" spans="1:22" x14ac:dyDescent="0.3">
      <c r="A563">
        <v>148303</v>
      </c>
      <c r="B563">
        <v>454768682</v>
      </c>
      <c r="C563" t="s">
        <v>2711</v>
      </c>
      <c r="D563" s="9" t="s">
        <v>2712</v>
      </c>
      <c r="E563" t="s">
        <v>2649</v>
      </c>
      <c r="F563" t="s">
        <v>531</v>
      </c>
      <c r="G563" t="s">
        <v>110</v>
      </c>
      <c r="H563" t="s">
        <v>111</v>
      </c>
      <c r="I563" t="s">
        <v>52</v>
      </c>
      <c r="J563" t="s">
        <v>112</v>
      </c>
      <c r="K563" t="s">
        <v>29</v>
      </c>
      <c r="L563" t="s">
        <v>113</v>
      </c>
      <c r="M563" t="s">
        <v>2713</v>
      </c>
      <c r="N563" t="s">
        <v>534</v>
      </c>
      <c r="O563" t="s">
        <v>39</v>
      </c>
      <c r="P563" t="s">
        <v>2714</v>
      </c>
      <c r="Q563" t="s">
        <v>85</v>
      </c>
      <c r="R563" s="29" t="s">
        <v>2715</v>
      </c>
      <c r="S563">
        <v>4.0199999999999996</v>
      </c>
      <c r="T563">
        <v>8343</v>
      </c>
      <c r="U563">
        <v>0</v>
      </c>
      <c r="V563">
        <v>8343</v>
      </c>
    </row>
    <row r="564" spans="1:22" x14ac:dyDescent="0.3">
      <c r="A564">
        <v>148303</v>
      </c>
      <c r="B564">
        <v>454737440</v>
      </c>
      <c r="C564" t="s">
        <v>2716</v>
      </c>
      <c r="D564" s="9" t="s">
        <v>2717</v>
      </c>
      <c r="E564" t="s">
        <v>2649</v>
      </c>
      <c r="F564" t="s">
        <v>531</v>
      </c>
      <c r="G564" t="s">
        <v>110</v>
      </c>
      <c r="H564" t="s">
        <v>111</v>
      </c>
      <c r="I564" t="s">
        <v>52</v>
      </c>
      <c r="J564" t="s">
        <v>112</v>
      </c>
      <c r="K564" t="s">
        <v>29</v>
      </c>
      <c r="L564" t="s">
        <v>113</v>
      </c>
      <c r="M564" t="s">
        <v>2718</v>
      </c>
      <c r="N564" t="s">
        <v>534</v>
      </c>
      <c r="O564" t="s">
        <v>39</v>
      </c>
      <c r="P564" t="s">
        <v>2719</v>
      </c>
      <c r="Q564" t="s">
        <v>74</v>
      </c>
      <c r="R564" s="29" t="s">
        <v>2720</v>
      </c>
      <c r="S564">
        <v>3.45</v>
      </c>
      <c r="T564">
        <v>8430</v>
      </c>
      <c r="U564">
        <v>0</v>
      </c>
      <c r="V564">
        <v>8430</v>
      </c>
    </row>
    <row r="565" spans="1:22" x14ac:dyDescent="0.3">
      <c r="A565">
        <v>148303</v>
      </c>
      <c r="B565">
        <v>454806251</v>
      </c>
      <c r="C565" t="s">
        <v>2721</v>
      </c>
      <c r="D565" s="9" t="s">
        <v>2722</v>
      </c>
      <c r="E565" t="s">
        <v>2649</v>
      </c>
      <c r="F565" t="s">
        <v>531</v>
      </c>
      <c r="G565" t="s">
        <v>110</v>
      </c>
      <c r="H565" t="s">
        <v>111</v>
      </c>
      <c r="I565" t="s">
        <v>52</v>
      </c>
      <c r="J565" t="s">
        <v>112</v>
      </c>
      <c r="K565" t="s">
        <v>29</v>
      </c>
      <c r="L565" t="s">
        <v>113</v>
      </c>
      <c r="M565" t="s">
        <v>2723</v>
      </c>
      <c r="N565" t="s">
        <v>534</v>
      </c>
      <c r="O565" t="s">
        <v>39</v>
      </c>
      <c r="P565" t="s">
        <v>2724</v>
      </c>
      <c r="Q565" t="s">
        <v>156</v>
      </c>
      <c r="R565" s="29" t="s">
        <v>525</v>
      </c>
      <c r="S565">
        <v>4.08</v>
      </c>
      <c r="T565">
        <v>7747</v>
      </c>
      <c r="U565">
        <v>0</v>
      </c>
      <c r="V565">
        <v>7747</v>
      </c>
    </row>
    <row r="566" spans="1:22" x14ac:dyDescent="0.3">
      <c r="A566">
        <v>148303</v>
      </c>
      <c r="B566">
        <v>454720620</v>
      </c>
      <c r="C566" t="s">
        <v>2725</v>
      </c>
      <c r="D566" s="9" t="s">
        <v>2726</v>
      </c>
      <c r="E566" t="s">
        <v>2649</v>
      </c>
      <c r="F566" t="s">
        <v>531</v>
      </c>
      <c r="G566" t="s">
        <v>110</v>
      </c>
      <c r="H566" t="s">
        <v>111</v>
      </c>
      <c r="I566" t="s">
        <v>52</v>
      </c>
      <c r="J566" t="s">
        <v>112</v>
      </c>
      <c r="K566" t="s">
        <v>29</v>
      </c>
      <c r="L566" t="s">
        <v>113</v>
      </c>
      <c r="M566" t="s">
        <v>2727</v>
      </c>
      <c r="N566" t="s">
        <v>534</v>
      </c>
      <c r="O566" t="s">
        <v>39</v>
      </c>
      <c r="P566" t="s">
        <v>2728</v>
      </c>
      <c r="Q566" t="s">
        <v>80</v>
      </c>
      <c r="R566" s="29" t="s">
        <v>527</v>
      </c>
      <c r="S566">
        <v>4.75</v>
      </c>
      <c r="T566">
        <v>11151</v>
      </c>
      <c r="U566">
        <v>0</v>
      </c>
      <c r="V566">
        <v>11151</v>
      </c>
    </row>
    <row r="567" spans="1:22" x14ac:dyDescent="0.3">
      <c r="A567">
        <v>148303</v>
      </c>
      <c r="B567">
        <v>454491461</v>
      </c>
      <c r="C567" t="s">
        <v>2729</v>
      </c>
      <c r="D567" s="9" t="s">
        <v>2730</v>
      </c>
      <c r="E567" t="s">
        <v>2649</v>
      </c>
      <c r="F567" t="s">
        <v>531</v>
      </c>
      <c r="G567" t="s">
        <v>110</v>
      </c>
      <c r="H567" t="s">
        <v>111</v>
      </c>
      <c r="I567" t="s">
        <v>52</v>
      </c>
      <c r="J567" t="s">
        <v>112</v>
      </c>
      <c r="K567" t="s">
        <v>29</v>
      </c>
      <c r="L567" t="s">
        <v>113</v>
      </c>
      <c r="M567" t="s">
        <v>2731</v>
      </c>
      <c r="N567" t="s">
        <v>534</v>
      </c>
      <c r="O567" t="s">
        <v>39</v>
      </c>
      <c r="P567" t="s">
        <v>2732</v>
      </c>
      <c r="Q567" t="s">
        <v>36</v>
      </c>
      <c r="R567" s="29" t="s">
        <v>2733</v>
      </c>
      <c r="S567">
        <v>4.7300000000000004</v>
      </c>
      <c r="T567">
        <v>11930</v>
      </c>
      <c r="U567">
        <v>0</v>
      </c>
      <c r="V567">
        <v>11930</v>
      </c>
    </row>
    <row r="568" spans="1:22" x14ac:dyDescent="0.3">
      <c r="A568">
        <v>148303</v>
      </c>
      <c r="B568">
        <v>454483762</v>
      </c>
      <c r="C568" t="s">
        <v>2734</v>
      </c>
      <c r="D568" s="9" t="s">
        <v>2735</v>
      </c>
      <c r="E568" t="s">
        <v>2649</v>
      </c>
      <c r="F568" t="s">
        <v>531</v>
      </c>
      <c r="G568" t="s">
        <v>110</v>
      </c>
      <c r="H568" t="s">
        <v>111</v>
      </c>
      <c r="I568" t="s">
        <v>52</v>
      </c>
      <c r="J568" t="s">
        <v>112</v>
      </c>
      <c r="K568" t="s">
        <v>29</v>
      </c>
      <c r="L568" t="s">
        <v>113</v>
      </c>
      <c r="M568" t="s">
        <v>2736</v>
      </c>
      <c r="N568" t="s">
        <v>534</v>
      </c>
      <c r="O568" t="s">
        <v>39</v>
      </c>
      <c r="P568" t="s">
        <v>2737</v>
      </c>
      <c r="Q568" t="s">
        <v>189</v>
      </c>
      <c r="R568" s="29" t="s">
        <v>2738</v>
      </c>
      <c r="S568">
        <v>1.47</v>
      </c>
      <c r="T568">
        <v>6232</v>
      </c>
      <c r="U568">
        <v>0</v>
      </c>
      <c r="V568">
        <v>6232</v>
      </c>
    </row>
    <row r="569" spans="1:22" x14ac:dyDescent="0.3">
      <c r="A569">
        <v>148303</v>
      </c>
      <c r="B569">
        <v>454451457</v>
      </c>
      <c r="C569" t="s">
        <v>2739</v>
      </c>
      <c r="D569" s="9" t="s">
        <v>2740</v>
      </c>
      <c r="E569" t="s">
        <v>2649</v>
      </c>
      <c r="F569" t="s">
        <v>531</v>
      </c>
      <c r="G569" t="s">
        <v>110</v>
      </c>
      <c r="H569" t="s">
        <v>111</v>
      </c>
      <c r="I569" t="s">
        <v>52</v>
      </c>
      <c r="J569" t="s">
        <v>112</v>
      </c>
      <c r="K569" t="s">
        <v>29</v>
      </c>
      <c r="L569" t="s">
        <v>113</v>
      </c>
      <c r="M569" t="s">
        <v>2741</v>
      </c>
      <c r="N569" t="s">
        <v>534</v>
      </c>
      <c r="O569" t="s">
        <v>39</v>
      </c>
      <c r="P569" t="s">
        <v>2742</v>
      </c>
      <c r="Q569" t="s">
        <v>175</v>
      </c>
      <c r="R569" s="29" t="s">
        <v>2743</v>
      </c>
      <c r="S569">
        <v>2.7</v>
      </c>
      <c r="T569">
        <v>6976</v>
      </c>
      <c r="U569">
        <v>0</v>
      </c>
      <c r="V569">
        <v>6976</v>
      </c>
    </row>
    <row r="570" spans="1:22" x14ac:dyDescent="0.3">
      <c r="A570">
        <v>148303</v>
      </c>
      <c r="B570">
        <v>454492558</v>
      </c>
      <c r="C570" t="s">
        <v>2744</v>
      </c>
      <c r="D570" s="9" t="s">
        <v>2745</v>
      </c>
      <c r="E570" t="s">
        <v>2649</v>
      </c>
      <c r="F570" t="s">
        <v>531</v>
      </c>
      <c r="G570" t="s">
        <v>110</v>
      </c>
      <c r="H570" t="s">
        <v>111</v>
      </c>
      <c r="I570" t="s">
        <v>52</v>
      </c>
      <c r="J570" t="s">
        <v>112</v>
      </c>
      <c r="K570" t="s">
        <v>29</v>
      </c>
      <c r="L570" t="s">
        <v>113</v>
      </c>
      <c r="M570" t="s">
        <v>2746</v>
      </c>
      <c r="N570" t="s">
        <v>534</v>
      </c>
      <c r="O570" t="s">
        <v>39</v>
      </c>
      <c r="P570" t="s">
        <v>2747</v>
      </c>
      <c r="Q570" t="s">
        <v>41</v>
      </c>
      <c r="R570" s="29" t="s">
        <v>320</v>
      </c>
      <c r="S570">
        <v>1.54</v>
      </c>
      <c r="T570">
        <v>7619</v>
      </c>
      <c r="U570">
        <v>0</v>
      </c>
      <c r="V570">
        <v>7619</v>
      </c>
    </row>
    <row r="571" spans="1:22" x14ac:dyDescent="0.3">
      <c r="A571">
        <v>148303</v>
      </c>
      <c r="B571">
        <v>454591363</v>
      </c>
      <c r="C571" t="s">
        <v>2748</v>
      </c>
      <c r="D571" s="9" t="s">
        <v>2749</v>
      </c>
      <c r="E571" t="s">
        <v>2649</v>
      </c>
      <c r="F571" t="s">
        <v>531</v>
      </c>
      <c r="G571" t="s">
        <v>110</v>
      </c>
      <c r="H571" t="s">
        <v>111</v>
      </c>
      <c r="I571" t="s">
        <v>52</v>
      </c>
      <c r="J571" t="s">
        <v>112</v>
      </c>
      <c r="K571" t="s">
        <v>29</v>
      </c>
      <c r="L571" t="s">
        <v>113</v>
      </c>
      <c r="M571" t="s">
        <v>2750</v>
      </c>
      <c r="N571" t="s">
        <v>534</v>
      </c>
      <c r="O571" t="s">
        <v>39</v>
      </c>
      <c r="P571" t="s">
        <v>2751</v>
      </c>
      <c r="Q571" t="s">
        <v>63</v>
      </c>
      <c r="R571" s="29" t="s">
        <v>326</v>
      </c>
      <c r="S571">
        <v>3.33</v>
      </c>
      <c r="T571">
        <v>7747</v>
      </c>
      <c r="U571">
        <v>0</v>
      </c>
      <c r="V571">
        <v>7747</v>
      </c>
    </row>
    <row r="572" spans="1:22" x14ac:dyDescent="0.3">
      <c r="A572">
        <v>148303</v>
      </c>
      <c r="B572">
        <v>454468224</v>
      </c>
      <c r="C572" t="s">
        <v>2752</v>
      </c>
      <c r="D572" s="9" t="s">
        <v>2753</v>
      </c>
      <c r="E572" t="s">
        <v>2649</v>
      </c>
      <c r="F572" t="s">
        <v>531</v>
      </c>
      <c r="G572" t="s">
        <v>110</v>
      </c>
      <c r="H572" t="s">
        <v>111</v>
      </c>
      <c r="I572" t="s">
        <v>52</v>
      </c>
      <c r="J572" t="s">
        <v>112</v>
      </c>
      <c r="K572" t="s">
        <v>29</v>
      </c>
      <c r="L572" t="s">
        <v>113</v>
      </c>
      <c r="M572" t="s">
        <v>2754</v>
      </c>
      <c r="N572" t="s">
        <v>534</v>
      </c>
      <c r="O572" t="s">
        <v>39</v>
      </c>
      <c r="P572" t="s">
        <v>2755</v>
      </c>
      <c r="Q572" t="s">
        <v>200</v>
      </c>
      <c r="R572" s="29" t="s">
        <v>382</v>
      </c>
      <c r="S572">
        <v>13.2</v>
      </c>
      <c r="T572">
        <v>12377</v>
      </c>
      <c r="U572">
        <v>0</v>
      </c>
      <c r="V572">
        <v>12377</v>
      </c>
    </row>
    <row r="573" spans="1:22" x14ac:dyDescent="0.3">
      <c r="A573">
        <v>148303</v>
      </c>
      <c r="B573">
        <v>454424627</v>
      </c>
      <c r="C573" t="s">
        <v>2756</v>
      </c>
      <c r="D573" s="9" t="s">
        <v>2757</v>
      </c>
      <c r="E573" t="s">
        <v>2649</v>
      </c>
      <c r="F573" t="s">
        <v>531</v>
      </c>
      <c r="G573" t="s">
        <v>110</v>
      </c>
      <c r="H573" t="s">
        <v>111</v>
      </c>
      <c r="I573" t="s">
        <v>52</v>
      </c>
      <c r="J573" t="s">
        <v>112</v>
      </c>
      <c r="K573" t="s">
        <v>29</v>
      </c>
      <c r="L573" t="s">
        <v>113</v>
      </c>
      <c r="M573" t="s">
        <v>2758</v>
      </c>
      <c r="N573" t="s">
        <v>534</v>
      </c>
      <c r="O573" t="s">
        <v>39</v>
      </c>
      <c r="P573" t="s">
        <v>2759</v>
      </c>
      <c r="Q573" t="s">
        <v>168</v>
      </c>
      <c r="R573" s="29" t="s">
        <v>274</v>
      </c>
      <c r="S573">
        <v>5.28</v>
      </c>
      <c r="T573">
        <v>7513</v>
      </c>
      <c r="U573">
        <v>0</v>
      </c>
      <c r="V573">
        <v>7513</v>
      </c>
    </row>
    <row r="574" spans="1:22" x14ac:dyDescent="0.3">
      <c r="A574">
        <v>148303</v>
      </c>
      <c r="B574">
        <v>454824463</v>
      </c>
      <c r="C574" t="s">
        <v>2760</v>
      </c>
      <c r="D574" s="9" t="s">
        <v>2761</v>
      </c>
      <c r="E574" t="s">
        <v>2649</v>
      </c>
      <c r="F574" t="s">
        <v>531</v>
      </c>
      <c r="G574" t="s">
        <v>110</v>
      </c>
      <c r="H574" t="s">
        <v>111</v>
      </c>
      <c r="I574" t="s">
        <v>52</v>
      </c>
      <c r="J574" t="s">
        <v>112</v>
      </c>
      <c r="K574" t="s">
        <v>29</v>
      </c>
      <c r="L574" t="s">
        <v>113</v>
      </c>
      <c r="M574" t="s">
        <v>2762</v>
      </c>
      <c r="N574" t="s">
        <v>534</v>
      </c>
      <c r="O574" t="s">
        <v>39</v>
      </c>
      <c r="P574" t="s">
        <v>2763</v>
      </c>
      <c r="Q574" t="s">
        <v>158</v>
      </c>
      <c r="R574" s="29" t="s">
        <v>339</v>
      </c>
      <c r="S574">
        <v>4.51</v>
      </c>
      <c r="T574">
        <v>9203</v>
      </c>
      <c r="U574">
        <v>0</v>
      </c>
      <c r="V574">
        <v>9203</v>
      </c>
    </row>
    <row r="575" spans="1:22" x14ac:dyDescent="0.3">
      <c r="A575">
        <v>148303</v>
      </c>
      <c r="B575">
        <v>454655152</v>
      </c>
      <c r="C575" t="s">
        <v>2764</v>
      </c>
      <c r="D575" s="9" t="s">
        <v>2765</v>
      </c>
      <c r="E575" t="s">
        <v>2649</v>
      </c>
      <c r="F575" t="s">
        <v>531</v>
      </c>
      <c r="G575" t="s">
        <v>110</v>
      </c>
      <c r="H575" t="s">
        <v>111</v>
      </c>
      <c r="I575" t="s">
        <v>52</v>
      </c>
      <c r="J575" t="s">
        <v>112</v>
      </c>
      <c r="K575" t="s">
        <v>29</v>
      </c>
      <c r="L575" t="s">
        <v>113</v>
      </c>
      <c r="M575" t="s">
        <v>2766</v>
      </c>
      <c r="N575" t="s">
        <v>534</v>
      </c>
      <c r="O575" t="s">
        <v>39</v>
      </c>
      <c r="P575" t="s">
        <v>2767</v>
      </c>
      <c r="Q575" t="s">
        <v>181</v>
      </c>
      <c r="R575" s="29" t="s">
        <v>2768</v>
      </c>
      <c r="S575">
        <v>3.31</v>
      </c>
      <c r="T575">
        <v>7589</v>
      </c>
      <c r="U575">
        <v>0</v>
      </c>
      <c r="V575">
        <v>7589</v>
      </c>
    </row>
    <row r="576" spans="1:22" x14ac:dyDescent="0.3">
      <c r="A576">
        <v>148303</v>
      </c>
      <c r="B576">
        <v>454635540</v>
      </c>
      <c r="C576" t="s">
        <v>2769</v>
      </c>
      <c r="D576" s="9" t="s">
        <v>2770</v>
      </c>
      <c r="E576" t="s">
        <v>2649</v>
      </c>
      <c r="F576" t="s">
        <v>531</v>
      </c>
      <c r="G576" t="s">
        <v>110</v>
      </c>
      <c r="H576" t="s">
        <v>111</v>
      </c>
      <c r="I576" t="s">
        <v>52</v>
      </c>
      <c r="J576" t="s">
        <v>112</v>
      </c>
      <c r="K576" t="s">
        <v>29</v>
      </c>
      <c r="L576" t="s">
        <v>113</v>
      </c>
      <c r="M576" t="s">
        <v>2771</v>
      </c>
      <c r="N576" t="s">
        <v>534</v>
      </c>
      <c r="O576" t="s">
        <v>39</v>
      </c>
      <c r="P576" t="s">
        <v>2772</v>
      </c>
      <c r="Q576" t="s">
        <v>69</v>
      </c>
      <c r="R576" s="29" t="s">
        <v>528</v>
      </c>
      <c r="S576">
        <v>4.54</v>
      </c>
      <c r="T576">
        <v>10486</v>
      </c>
      <c r="U576">
        <v>0</v>
      </c>
      <c r="V576">
        <v>10486</v>
      </c>
    </row>
    <row r="577" spans="1:22" x14ac:dyDescent="0.3">
      <c r="A577">
        <v>148303</v>
      </c>
      <c r="B577">
        <v>454567962</v>
      </c>
      <c r="C577" t="s">
        <v>2773</v>
      </c>
      <c r="D577" s="9" t="s">
        <v>2774</v>
      </c>
      <c r="E577" t="s">
        <v>2649</v>
      </c>
      <c r="F577" t="s">
        <v>531</v>
      </c>
      <c r="G577" t="s">
        <v>110</v>
      </c>
      <c r="H577" t="s">
        <v>111</v>
      </c>
      <c r="I577" t="s">
        <v>52</v>
      </c>
      <c r="J577" t="s">
        <v>112</v>
      </c>
      <c r="K577" t="s">
        <v>29</v>
      </c>
      <c r="L577" t="s">
        <v>113</v>
      </c>
      <c r="M577" t="s">
        <v>2775</v>
      </c>
      <c r="N577" t="s">
        <v>534</v>
      </c>
      <c r="O577" t="s">
        <v>39</v>
      </c>
      <c r="P577" t="s">
        <v>2776</v>
      </c>
      <c r="Q577" t="s">
        <v>163</v>
      </c>
      <c r="R577" s="29" t="s">
        <v>2777</v>
      </c>
      <c r="S577">
        <v>3.94</v>
      </c>
      <c r="T577">
        <v>8343</v>
      </c>
      <c r="U577">
        <v>0</v>
      </c>
      <c r="V577">
        <v>8343</v>
      </c>
    </row>
    <row r="578" spans="1:22" x14ac:dyDescent="0.3">
      <c r="A578">
        <v>148303</v>
      </c>
      <c r="B578">
        <v>454633870</v>
      </c>
      <c r="C578" t="s">
        <v>2778</v>
      </c>
      <c r="D578" s="9" t="s">
        <v>2779</v>
      </c>
      <c r="E578" t="s">
        <v>2649</v>
      </c>
      <c r="F578" t="s">
        <v>531</v>
      </c>
      <c r="G578" t="s">
        <v>110</v>
      </c>
      <c r="H578" t="s">
        <v>111</v>
      </c>
      <c r="I578" t="s">
        <v>52</v>
      </c>
      <c r="J578" t="s">
        <v>112</v>
      </c>
      <c r="K578" t="s">
        <v>29</v>
      </c>
      <c r="L578" t="s">
        <v>113</v>
      </c>
      <c r="M578" t="s">
        <v>2750</v>
      </c>
      <c r="N578" t="s">
        <v>534</v>
      </c>
      <c r="O578" t="s">
        <v>39</v>
      </c>
      <c r="P578" t="s">
        <v>2751</v>
      </c>
      <c r="Q578" t="s">
        <v>63</v>
      </c>
      <c r="R578" s="29" t="s">
        <v>135</v>
      </c>
      <c r="S578">
        <v>3.29</v>
      </c>
      <c r="T578">
        <v>7747</v>
      </c>
      <c r="U578">
        <v>0</v>
      </c>
      <c r="V578">
        <v>7747</v>
      </c>
    </row>
    <row r="579" spans="1:22" x14ac:dyDescent="0.3">
      <c r="A579">
        <v>148303</v>
      </c>
      <c r="B579">
        <v>141517331</v>
      </c>
      <c r="C579" t="s">
        <v>2780</v>
      </c>
      <c r="D579" s="9" t="s">
        <v>2781</v>
      </c>
      <c r="E579" t="s">
        <v>2649</v>
      </c>
      <c r="F579" t="s">
        <v>531</v>
      </c>
      <c r="G579" t="s">
        <v>110</v>
      </c>
      <c r="H579" t="s">
        <v>111</v>
      </c>
      <c r="I579" t="s">
        <v>52</v>
      </c>
      <c r="J579" t="s">
        <v>112</v>
      </c>
      <c r="K579" t="s">
        <v>37</v>
      </c>
      <c r="L579" t="s">
        <v>292</v>
      </c>
      <c r="M579" t="s">
        <v>2782</v>
      </c>
      <c r="N579" t="s">
        <v>534</v>
      </c>
      <c r="O579" t="s">
        <v>39</v>
      </c>
      <c r="P579" t="s">
        <v>2783</v>
      </c>
      <c r="Q579" t="s">
        <v>34</v>
      </c>
      <c r="R579" s="29" t="s">
        <v>2784</v>
      </c>
      <c r="S579">
        <v>0.11</v>
      </c>
      <c r="T579">
        <v>6888</v>
      </c>
      <c r="U579">
        <v>0</v>
      </c>
      <c r="V579">
        <v>6888</v>
      </c>
    </row>
    <row r="580" spans="1:22" x14ac:dyDescent="0.3">
      <c r="A580">
        <v>148303</v>
      </c>
      <c r="B580">
        <v>141829162</v>
      </c>
      <c r="C580" t="s">
        <v>2785</v>
      </c>
      <c r="D580" s="9" t="s">
        <v>2786</v>
      </c>
      <c r="E580" t="s">
        <v>2649</v>
      </c>
      <c r="F580" t="s">
        <v>531</v>
      </c>
      <c r="G580" t="s">
        <v>110</v>
      </c>
      <c r="H580" t="s">
        <v>111</v>
      </c>
      <c r="I580" t="s">
        <v>52</v>
      </c>
      <c r="J580" t="s">
        <v>112</v>
      </c>
      <c r="K580" t="s">
        <v>29</v>
      </c>
      <c r="L580" t="s">
        <v>113</v>
      </c>
      <c r="M580" t="s">
        <v>2787</v>
      </c>
      <c r="N580" t="s">
        <v>534</v>
      </c>
      <c r="O580" t="s">
        <v>39</v>
      </c>
      <c r="P580" t="s">
        <v>2788</v>
      </c>
      <c r="Q580" t="s">
        <v>67</v>
      </c>
      <c r="R580" s="29" t="s">
        <v>2789</v>
      </c>
      <c r="S580">
        <v>1.51</v>
      </c>
      <c r="T580">
        <v>7296</v>
      </c>
      <c r="U580">
        <v>0</v>
      </c>
      <c r="V580">
        <v>7296</v>
      </c>
    </row>
    <row r="581" spans="1:22" x14ac:dyDescent="0.3">
      <c r="A581">
        <v>148303</v>
      </c>
      <c r="B581">
        <v>455063475</v>
      </c>
      <c r="C581" t="s">
        <v>2790</v>
      </c>
      <c r="D581" s="9" t="s">
        <v>2791</v>
      </c>
      <c r="E581" t="s">
        <v>2649</v>
      </c>
      <c r="F581" t="s">
        <v>531</v>
      </c>
      <c r="G581" t="s">
        <v>110</v>
      </c>
      <c r="H581" t="s">
        <v>111</v>
      </c>
      <c r="I581" t="s">
        <v>52</v>
      </c>
      <c r="J581" t="s">
        <v>112</v>
      </c>
      <c r="K581" t="s">
        <v>29</v>
      </c>
      <c r="L581" t="s">
        <v>113</v>
      </c>
      <c r="M581" t="s">
        <v>2792</v>
      </c>
      <c r="N581" t="s">
        <v>534</v>
      </c>
      <c r="O581" t="s">
        <v>39</v>
      </c>
      <c r="P581" t="s">
        <v>2793</v>
      </c>
      <c r="Q581" t="s">
        <v>38</v>
      </c>
      <c r="R581" s="29" t="s">
        <v>2794</v>
      </c>
      <c r="S581">
        <v>2.72</v>
      </c>
      <c r="T581">
        <v>7072</v>
      </c>
      <c r="U581">
        <v>0</v>
      </c>
      <c r="V581">
        <v>7072</v>
      </c>
    </row>
    <row r="582" spans="1:22" x14ac:dyDescent="0.3">
      <c r="A582">
        <v>148303</v>
      </c>
      <c r="B582">
        <v>455052773</v>
      </c>
      <c r="C582" t="s">
        <v>2795</v>
      </c>
      <c r="D582" s="9" t="s">
        <v>2796</v>
      </c>
      <c r="E582" t="s">
        <v>2649</v>
      </c>
      <c r="F582" t="s">
        <v>531</v>
      </c>
      <c r="G582" t="s">
        <v>110</v>
      </c>
      <c r="H582" t="s">
        <v>111</v>
      </c>
      <c r="I582" t="s">
        <v>52</v>
      </c>
      <c r="J582" t="s">
        <v>112</v>
      </c>
      <c r="K582" t="s">
        <v>29</v>
      </c>
      <c r="L582" t="s">
        <v>113</v>
      </c>
      <c r="M582" t="s">
        <v>2797</v>
      </c>
      <c r="N582" t="s">
        <v>534</v>
      </c>
      <c r="O582" t="s">
        <v>39</v>
      </c>
      <c r="P582" t="s">
        <v>2798</v>
      </c>
      <c r="Q582" t="s">
        <v>69</v>
      </c>
      <c r="R582" s="29" t="s">
        <v>272</v>
      </c>
      <c r="S582">
        <v>1.1200000000000001</v>
      </c>
      <c r="T582">
        <v>8814</v>
      </c>
      <c r="U582">
        <v>0</v>
      </c>
      <c r="V582">
        <v>8814</v>
      </c>
    </row>
    <row r="583" spans="1:22" x14ac:dyDescent="0.3">
      <c r="A583">
        <v>148303</v>
      </c>
      <c r="B583">
        <v>454964668</v>
      </c>
      <c r="C583" t="s">
        <v>2799</v>
      </c>
      <c r="D583" s="9" t="s">
        <v>2800</v>
      </c>
      <c r="E583" t="s">
        <v>2649</v>
      </c>
      <c r="F583" t="s">
        <v>531</v>
      </c>
      <c r="G583" t="s">
        <v>110</v>
      </c>
      <c r="H583" t="s">
        <v>111</v>
      </c>
      <c r="I583" t="s">
        <v>52</v>
      </c>
      <c r="J583" t="s">
        <v>112</v>
      </c>
      <c r="K583" t="s">
        <v>29</v>
      </c>
      <c r="L583" t="s">
        <v>113</v>
      </c>
      <c r="M583" t="s">
        <v>2801</v>
      </c>
      <c r="N583" t="s">
        <v>534</v>
      </c>
      <c r="O583" t="s">
        <v>39</v>
      </c>
      <c r="P583" t="s">
        <v>2802</v>
      </c>
      <c r="Q583" t="s">
        <v>76</v>
      </c>
      <c r="R583" s="29" t="s">
        <v>2803</v>
      </c>
      <c r="S583">
        <v>1.5</v>
      </c>
      <c r="T583">
        <v>7698</v>
      </c>
      <c r="U583">
        <v>0</v>
      </c>
      <c r="V583">
        <v>7698</v>
      </c>
    </row>
    <row r="584" spans="1:22" x14ac:dyDescent="0.3">
      <c r="A584">
        <v>148303</v>
      </c>
      <c r="B584">
        <v>454973930</v>
      </c>
      <c r="C584" t="s">
        <v>2804</v>
      </c>
      <c r="D584" s="9" t="s">
        <v>2805</v>
      </c>
      <c r="E584" t="s">
        <v>2649</v>
      </c>
      <c r="F584" t="s">
        <v>531</v>
      </c>
      <c r="G584" t="s">
        <v>110</v>
      </c>
      <c r="H584" t="s">
        <v>111</v>
      </c>
      <c r="I584" t="s">
        <v>52</v>
      </c>
      <c r="J584" t="s">
        <v>112</v>
      </c>
      <c r="K584" t="s">
        <v>29</v>
      </c>
      <c r="L584" t="s">
        <v>113</v>
      </c>
      <c r="M584" t="s">
        <v>2806</v>
      </c>
      <c r="N584" t="s">
        <v>534</v>
      </c>
      <c r="O584" t="s">
        <v>39</v>
      </c>
      <c r="P584" t="s">
        <v>2807</v>
      </c>
      <c r="Q584" t="s">
        <v>69</v>
      </c>
      <c r="R584" s="29" t="s">
        <v>2808</v>
      </c>
      <c r="S584">
        <v>1.89</v>
      </c>
      <c r="T584">
        <v>9690</v>
      </c>
      <c r="U584">
        <v>0</v>
      </c>
      <c r="V584">
        <v>9690</v>
      </c>
    </row>
    <row r="585" spans="1:22" x14ac:dyDescent="0.3">
      <c r="A585">
        <v>148303</v>
      </c>
      <c r="B585">
        <v>454958099</v>
      </c>
      <c r="C585" t="s">
        <v>2809</v>
      </c>
      <c r="D585" s="9" t="s">
        <v>2810</v>
      </c>
      <c r="E585" t="s">
        <v>2649</v>
      </c>
      <c r="F585" t="s">
        <v>531</v>
      </c>
      <c r="G585" t="s">
        <v>110</v>
      </c>
      <c r="H585" t="s">
        <v>111</v>
      </c>
      <c r="I585" t="s">
        <v>52</v>
      </c>
      <c r="J585" t="s">
        <v>112</v>
      </c>
      <c r="K585" t="s">
        <v>29</v>
      </c>
      <c r="L585" t="s">
        <v>113</v>
      </c>
      <c r="M585" t="s">
        <v>2811</v>
      </c>
      <c r="N585" t="s">
        <v>534</v>
      </c>
      <c r="O585" t="s">
        <v>39</v>
      </c>
      <c r="P585" t="s">
        <v>2812</v>
      </c>
      <c r="Q585" t="s">
        <v>34</v>
      </c>
      <c r="R585" s="29" t="s">
        <v>2813</v>
      </c>
      <c r="S585">
        <v>2.66</v>
      </c>
      <c r="T585">
        <v>8425</v>
      </c>
      <c r="U585">
        <v>0</v>
      </c>
      <c r="V585">
        <v>8425</v>
      </c>
    </row>
    <row r="586" spans="1:22" x14ac:dyDescent="0.3">
      <c r="A586">
        <v>148303</v>
      </c>
      <c r="B586">
        <v>454960027</v>
      </c>
      <c r="C586" t="s">
        <v>2814</v>
      </c>
      <c r="D586" s="9" t="s">
        <v>2815</v>
      </c>
      <c r="E586" t="s">
        <v>2649</v>
      </c>
      <c r="F586" t="s">
        <v>531</v>
      </c>
      <c r="G586" t="s">
        <v>110</v>
      </c>
      <c r="H586" t="s">
        <v>111</v>
      </c>
      <c r="I586" t="s">
        <v>52</v>
      </c>
      <c r="J586" t="s">
        <v>112</v>
      </c>
      <c r="K586" t="s">
        <v>29</v>
      </c>
      <c r="L586" t="s">
        <v>113</v>
      </c>
      <c r="M586" t="s">
        <v>2816</v>
      </c>
      <c r="N586" t="s">
        <v>534</v>
      </c>
      <c r="O586" t="s">
        <v>39</v>
      </c>
      <c r="P586" t="s">
        <v>2817</v>
      </c>
      <c r="Q586" t="s">
        <v>165</v>
      </c>
      <c r="R586" s="29" t="s">
        <v>2818</v>
      </c>
      <c r="S586">
        <v>1.92</v>
      </c>
      <c r="T586">
        <v>7370</v>
      </c>
      <c r="U586">
        <v>0</v>
      </c>
      <c r="V586">
        <v>7370</v>
      </c>
    </row>
    <row r="587" spans="1:22" x14ac:dyDescent="0.3">
      <c r="A587">
        <v>148303</v>
      </c>
      <c r="B587">
        <v>454986655</v>
      </c>
      <c r="C587" t="s">
        <v>2819</v>
      </c>
      <c r="D587" s="9" t="s">
        <v>2820</v>
      </c>
      <c r="E587" t="s">
        <v>2649</v>
      </c>
      <c r="F587" t="s">
        <v>531</v>
      </c>
      <c r="G587" t="s">
        <v>110</v>
      </c>
      <c r="H587" t="s">
        <v>111</v>
      </c>
      <c r="I587" t="s">
        <v>52</v>
      </c>
      <c r="J587" t="s">
        <v>112</v>
      </c>
      <c r="K587" t="s">
        <v>29</v>
      </c>
      <c r="L587" t="s">
        <v>113</v>
      </c>
      <c r="M587" t="s">
        <v>2821</v>
      </c>
      <c r="N587" t="s">
        <v>534</v>
      </c>
      <c r="O587" t="s">
        <v>39</v>
      </c>
      <c r="P587" t="s">
        <v>2822</v>
      </c>
      <c r="Q587" t="s">
        <v>67</v>
      </c>
      <c r="R587" s="29" t="s">
        <v>2823</v>
      </c>
      <c r="S587">
        <v>1.1100000000000001</v>
      </c>
      <c r="T587">
        <v>6307</v>
      </c>
      <c r="U587">
        <v>0</v>
      </c>
      <c r="V587">
        <v>6307</v>
      </c>
    </row>
    <row r="588" spans="1:22" x14ac:dyDescent="0.3">
      <c r="A588">
        <v>186607</v>
      </c>
      <c r="B588">
        <v>455164795</v>
      </c>
      <c r="C588" t="s">
        <v>2824</v>
      </c>
      <c r="D588" s="9">
        <v>270656815</v>
      </c>
      <c r="E588" t="s">
        <v>2825</v>
      </c>
      <c r="F588" t="s">
        <v>531</v>
      </c>
      <c r="G588" t="s">
        <v>30</v>
      </c>
      <c r="H588" t="s">
        <v>31</v>
      </c>
      <c r="I588" t="s">
        <v>52</v>
      </c>
      <c r="J588" t="s">
        <v>32</v>
      </c>
      <c r="K588" t="s">
        <v>29</v>
      </c>
      <c r="L588" t="s">
        <v>2826</v>
      </c>
      <c r="M588" t="s">
        <v>2827</v>
      </c>
      <c r="N588" t="s">
        <v>2828</v>
      </c>
      <c r="O588" t="s">
        <v>47</v>
      </c>
      <c r="P588" t="s">
        <v>2829</v>
      </c>
      <c r="Q588" t="s">
        <v>36</v>
      </c>
      <c r="R588" s="29">
        <v>46163.867361111108</v>
      </c>
      <c r="S588">
        <v>3.78</v>
      </c>
      <c r="T588">
        <v>8250</v>
      </c>
      <c r="U588">
        <v>0</v>
      </c>
      <c r="V588">
        <v>8250</v>
      </c>
    </row>
    <row r="589" spans="1:22" x14ac:dyDescent="0.3">
      <c r="A589">
        <v>186607</v>
      </c>
      <c r="B589">
        <v>454971874</v>
      </c>
      <c r="C589" t="s">
        <v>2830</v>
      </c>
      <c r="D589" s="9">
        <v>270306756</v>
      </c>
      <c r="E589" t="s">
        <v>2825</v>
      </c>
      <c r="F589" t="s">
        <v>531</v>
      </c>
      <c r="G589" t="s">
        <v>30</v>
      </c>
      <c r="H589" t="s">
        <v>31</v>
      </c>
      <c r="I589" t="s">
        <v>52</v>
      </c>
      <c r="J589" t="s">
        <v>32</v>
      </c>
      <c r="K589" t="s">
        <v>29</v>
      </c>
      <c r="L589" t="s">
        <v>2831</v>
      </c>
      <c r="M589" t="s">
        <v>2832</v>
      </c>
      <c r="N589" t="s">
        <v>2828</v>
      </c>
      <c r="O589" t="s">
        <v>47</v>
      </c>
      <c r="P589" t="s">
        <v>2833</v>
      </c>
      <c r="Q589" t="s">
        <v>211</v>
      </c>
      <c r="R589" s="29">
        <v>46158.45</v>
      </c>
      <c r="S589">
        <v>0.5</v>
      </c>
      <c r="T589">
        <v>3193</v>
      </c>
      <c r="U589">
        <v>0</v>
      </c>
      <c r="V589">
        <v>3193</v>
      </c>
    </row>
    <row r="590" spans="1:22" x14ac:dyDescent="0.3">
      <c r="A590">
        <v>186607</v>
      </c>
      <c r="B590">
        <v>454774974</v>
      </c>
      <c r="C590" t="s">
        <v>2834</v>
      </c>
      <c r="D590" s="9">
        <v>269961377</v>
      </c>
      <c r="E590" t="s">
        <v>2825</v>
      </c>
      <c r="F590" t="s">
        <v>531</v>
      </c>
      <c r="G590" t="s">
        <v>30</v>
      </c>
      <c r="H590" t="s">
        <v>31</v>
      </c>
      <c r="I590" t="s">
        <v>52</v>
      </c>
      <c r="J590" t="s">
        <v>32</v>
      </c>
      <c r="K590" t="s">
        <v>29</v>
      </c>
      <c r="L590" t="s">
        <v>2835</v>
      </c>
      <c r="M590" t="s">
        <v>2836</v>
      </c>
      <c r="N590" t="s">
        <v>2828</v>
      </c>
      <c r="O590" t="s">
        <v>47</v>
      </c>
      <c r="P590" t="s">
        <v>2837</v>
      </c>
      <c r="Q590" t="s">
        <v>243</v>
      </c>
      <c r="R590" s="29">
        <v>46152.885416666664</v>
      </c>
      <c r="S590">
        <v>2.42</v>
      </c>
      <c r="T590">
        <v>5564</v>
      </c>
      <c r="U590">
        <v>0</v>
      </c>
      <c r="V590">
        <v>5564</v>
      </c>
    </row>
    <row r="591" spans="1:22" x14ac:dyDescent="0.3">
      <c r="A591">
        <v>186607</v>
      </c>
      <c r="B591">
        <v>455164803</v>
      </c>
      <c r="C591" t="s">
        <v>2838</v>
      </c>
      <c r="D591" s="9">
        <v>270656786</v>
      </c>
      <c r="E591" t="s">
        <v>2825</v>
      </c>
      <c r="F591" t="s">
        <v>531</v>
      </c>
      <c r="G591" t="s">
        <v>30</v>
      </c>
      <c r="H591" t="s">
        <v>31</v>
      </c>
      <c r="I591" t="s">
        <v>52</v>
      </c>
      <c r="J591" t="s">
        <v>32</v>
      </c>
      <c r="K591" t="s">
        <v>29</v>
      </c>
      <c r="L591" t="s">
        <v>2839</v>
      </c>
      <c r="M591" t="s">
        <v>2840</v>
      </c>
      <c r="N591" t="s">
        <v>2828</v>
      </c>
      <c r="O591" t="s">
        <v>47</v>
      </c>
      <c r="P591" t="s">
        <v>2841</v>
      </c>
      <c r="Q591" t="s">
        <v>69</v>
      </c>
      <c r="R591" s="29">
        <v>46163.867361111108</v>
      </c>
      <c r="S591">
        <v>1.89</v>
      </c>
      <c r="T591">
        <v>5024</v>
      </c>
      <c r="U591">
        <v>0</v>
      </c>
      <c r="V591">
        <v>5024</v>
      </c>
    </row>
    <row r="592" spans="1:22" x14ac:dyDescent="0.3">
      <c r="A592">
        <v>186607</v>
      </c>
      <c r="B592">
        <v>455164787</v>
      </c>
      <c r="C592" t="s">
        <v>2842</v>
      </c>
      <c r="D592" s="9">
        <v>270656839</v>
      </c>
      <c r="E592" t="s">
        <v>2825</v>
      </c>
      <c r="F592" t="s">
        <v>531</v>
      </c>
      <c r="G592" t="s">
        <v>30</v>
      </c>
      <c r="H592" t="s">
        <v>31</v>
      </c>
      <c r="I592" t="s">
        <v>52</v>
      </c>
      <c r="J592" t="s">
        <v>32</v>
      </c>
      <c r="K592" t="s">
        <v>29</v>
      </c>
      <c r="L592" t="s">
        <v>2843</v>
      </c>
      <c r="M592" t="s">
        <v>2844</v>
      </c>
      <c r="N592" t="s">
        <v>2828</v>
      </c>
      <c r="O592" t="s">
        <v>47</v>
      </c>
      <c r="P592" t="s">
        <v>2845</v>
      </c>
      <c r="Q592" t="s">
        <v>74</v>
      </c>
      <c r="R592" s="29">
        <v>46163.867361111108</v>
      </c>
      <c r="S592">
        <v>1.89</v>
      </c>
      <c r="T592">
        <v>3653</v>
      </c>
      <c r="U592">
        <v>0</v>
      </c>
      <c r="V592">
        <v>3653</v>
      </c>
    </row>
    <row r="593" spans="1:22" x14ac:dyDescent="0.3">
      <c r="A593">
        <v>186607</v>
      </c>
      <c r="B593">
        <v>455074507</v>
      </c>
      <c r="C593" t="s">
        <v>2846</v>
      </c>
      <c r="D593" s="9">
        <v>270561737</v>
      </c>
      <c r="E593" t="s">
        <v>2825</v>
      </c>
      <c r="F593" t="s">
        <v>531</v>
      </c>
      <c r="G593" t="s">
        <v>30</v>
      </c>
      <c r="H593" t="s">
        <v>31</v>
      </c>
      <c r="I593" t="s">
        <v>52</v>
      </c>
      <c r="J593" t="s">
        <v>32</v>
      </c>
      <c r="K593" t="s">
        <v>29</v>
      </c>
      <c r="L593" t="s">
        <v>2847</v>
      </c>
      <c r="M593" t="s">
        <v>2848</v>
      </c>
      <c r="N593" t="s">
        <v>2828</v>
      </c>
      <c r="O593" t="s">
        <v>47</v>
      </c>
      <c r="P593" t="s">
        <v>2849</v>
      </c>
      <c r="Q593" t="s">
        <v>69</v>
      </c>
      <c r="R593" s="29">
        <v>46161.84097222222</v>
      </c>
      <c r="S593">
        <v>0.5</v>
      </c>
      <c r="T593">
        <v>3935</v>
      </c>
      <c r="U593">
        <v>0</v>
      </c>
      <c r="V593">
        <v>3935</v>
      </c>
    </row>
    <row r="594" spans="1:22" x14ac:dyDescent="0.3">
      <c r="A594">
        <v>186607</v>
      </c>
      <c r="B594">
        <v>454971869</v>
      </c>
      <c r="C594" t="s">
        <v>2850</v>
      </c>
      <c r="D594" s="9">
        <v>270306745</v>
      </c>
      <c r="E594" t="s">
        <v>2825</v>
      </c>
      <c r="F594" t="s">
        <v>531</v>
      </c>
      <c r="G594" t="s">
        <v>30</v>
      </c>
      <c r="H594" t="s">
        <v>31</v>
      </c>
      <c r="I594" t="s">
        <v>52</v>
      </c>
      <c r="J594" t="s">
        <v>32</v>
      </c>
      <c r="K594" t="s">
        <v>29</v>
      </c>
      <c r="L594" t="s">
        <v>2851</v>
      </c>
      <c r="M594" t="s">
        <v>2852</v>
      </c>
      <c r="N594" t="s">
        <v>2828</v>
      </c>
      <c r="O594" t="s">
        <v>47</v>
      </c>
      <c r="P594" t="s">
        <v>2853</v>
      </c>
      <c r="Q594" t="s">
        <v>33</v>
      </c>
      <c r="R594" s="29">
        <v>46158.45</v>
      </c>
      <c r="S594">
        <v>3.78</v>
      </c>
      <c r="T594">
        <v>4305</v>
      </c>
      <c r="U594">
        <v>0</v>
      </c>
      <c r="V594">
        <v>4305</v>
      </c>
    </row>
    <row r="595" spans="1:22" x14ac:dyDescent="0.3">
      <c r="A595">
        <v>186607</v>
      </c>
      <c r="B595">
        <v>455164791</v>
      </c>
      <c r="C595" t="s">
        <v>2854</v>
      </c>
      <c r="D595" s="9">
        <v>270656821</v>
      </c>
      <c r="E595" t="s">
        <v>2825</v>
      </c>
      <c r="F595" t="s">
        <v>531</v>
      </c>
      <c r="G595" t="s">
        <v>30</v>
      </c>
      <c r="H595" t="s">
        <v>31</v>
      </c>
      <c r="I595" t="s">
        <v>52</v>
      </c>
      <c r="J595" t="s">
        <v>32</v>
      </c>
      <c r="K595" t="s">
        <v>29</v>
      </c>
      <c r="L595" t="s">
        <v>2855</v>
      </c>
      <c r="M595" t="s">
        <v>2856</v>
      </c>
      <c r="N595" t="s">
        <v>2828</v>
      </c>
      <c r="O595" t="s">
        <v>47</v>
      </c>
      <c r="P595" t="s">
        <v>2857</v>
      </c>
      <c r="Q595" t="s">
        <v>34</v>
      </c>
      <c r="R595" s="29">
        <v>46163.867361111108</v>
      </c>
      <c r="S595">
        <v>3.78</v>
      </c>
      <c r="T595">
        <v>4429</v>
      </c>
      <c r="U595">
        <v>0</v>
      </c>
      <c r="V595">
        <v>4429</v>
      </c>
    </row>
    <row r="596" spans="1:22" x14ac:dyDescent="0.3">
      <c r="A596">
        <v>186607</v>
      </c>
      <c r="B596">
        <v>455164782</v>
      </c>
      <c r="C596" t="s">
        <v>2858</v>
      </c>
      <c r="D596" s="9">
        <v>270656844</v>
      </c>
      <c r="E596" t="s">
        <v>2825</v>
      </c>
      <c r="F596" t="s">
        <v>531</v>
      </c>
      <c r="G596" t="s">
        <v>30</v>
      </c>
      <c r="H596" t="s">
        <v>31</v>
      </c>
      <c r="I596" t="s">
        <v>52</v>
      </c>
      <c r="J596" t="s">
        <v>32</v>
      </c>
      <c r="K596" t="s">
        <v>29</v>
      </c>
      <c r="L596" t="s">
        <v>2859</v>
      </c>
      <c r="M596" t="s">
        <v>2860</v>
      </c>
      <c r="N596" t="s">
        <v>2828</v>
      </c>
      <c r="O596" t="s">
        <v>47</v>
      </c>
      <c r="P596" t="s">
        <v>2861</v>
      </c>
      <c r="Q596" t="s">
        <v>160</v>
      </c>
      <c r="R596" s="29">
        <v>46163.867361111108</v>
      </c>
      <c r="S596">
        <v>0.5</v>
      </c>
      <c r="T596">
        <v>3552</v>
      </c>
      <c r="U596">
        <v>0</v>
      </c>
      <c r="V596">
        <v>3552</v>
      </c>
    </row>
    <row r="597" spans="1:22" x14ac:dyDescent="0.3">
      <c r="A597">
        <v>186607</v>
      </c>
      <c r="B597">
        <v>454964643</v>
      </c>
      <c r="C597" t="s">
        <v>2862</v>
      </c>
      <c r="D597" s="9">
        <v>270306751</v>
      </c>
      <c r="E597" t="s">
        <v>2825</v>
      </c>
      <c r="F597" t="s">
        <v>531</v>
      </c>
      <c r="G597" t="s">
        <v>30</v>
      </c>
      <c r="H597" t="s">
        <v>31</v>
      </c>
      <c r="I597" t="s">
        <v>52</v>
      </c>
      <c r="J597" t="s">
        <v>32</v>
      </c>
      <c r="K597" t="s">
        <v>29</v>
      </c>
      <c r="L597" t="s">
        <v>2863</v>
      </c>
      <c r="M597" t="s">
        <v>2864</v>
      </c>
      <c r="N597" t="s">
        <v>2828</v>
      </c>
      <c r="O597" t="s">
        <v>47</v>
      </c>
      <c r="P597" t="s">
        <v>2865</v>
      </c>
      <c r="Q597" t="s">
        <v>212</v>
      </c>
      <c r="R597" s="29">
        <v>46157.847222222219</v>
      </c>
      <c r="S597">
        <v>0.5</v>
      </c>
      <c r="T597">
        <v>4310</v>
      </c>
      <c r="U597">
        <v>0</v>
      </c>
      <c r="V597">
        <v>4310</v>
      </c>
    </row>
    <row r="598" spans="1:22" x14ac:dyDescent="0.3">
      <c r="A598">
        <v>186607</v>
      </c>
      <c r="B598">
        <v>454971871</v>
      </c>
      <c r="C598" t="s">
        <v>2866</v>
      </c>
      <c r="D598" s="9">
        <v>270306759</v>
      </c>
      <c r="E598" t="s">
        <v>2825</v>
      </c>
      <c r="F598" t="s">
        <v>531</v>
      </c>
      <c r="G598" t="s">
        <v>30</v>
      </c>
      <c r="H598" t="s">
        <v>31</v>
      </c>
      <c r="I598" t="s">
        <v>52</v>
      </c>
      <c r="J598" t="s">
        <v>32</v>
      </c>
      <c r="K598" t="s">
        <v>29</v>
      </c>
      <c r="L598" t="s">
        <v>2867</v>
      </c>
      <c r="M598" t="s">
        <v>2868</v>
      </c>
      <c r="N598" t="s">
        <v>2828</v>
      </c>
      <c r="O598" t="s">
        <v>47</v>
      </c>
      <c r="P598" t="s">
        <v>2869</v>
      </c>
      <c r="Q598" t="s">
        <v>34</v>
      </c>
      <c r="R598" s="29">
        <v>46158.45</v>
      </c>
      <c r="S598">
        <v>1.89</v>
      </c>
      <c r="T598">
        <v>3653</v>
      </c>
      <c r="U598">
        <v>0</v>
      </c>
      <c r="V598">
        <v>3653</v>
      </c>
    </row>
    <row r="599" spans="1:22" x14ac:dyDescent="0.3">
      <c r="A599">
        <v>186607</v>
      </c>
      <c r="B599">
        <v>454964646</v>
      </c>
      <c r="C599" t="s">
        <v>2870</v>
      </c>
      <c r="D599" s="9">
        <v>270306749</v>
      </c>
      <c r="E599" t="s">
        <v>2825</v>
      </c>
      <c r="F599" t="s">
        <v>531</v>
      </c>
      <c r="G599" t="s">
        <v>30</v>
      </c>
      <c r="H599" t="s">
        <v>31</v>
      </c>
      <c r="I599" t="s">
        <v>52</v>
      </c>
      <c r="J599" t="s">
        <v>32</v>
      </c>
      <c r="K599" t="s">
        <v>29</v>
      </c>
      <c r="L599" t="s">
        <v>2871</v>
      </c>
      <c r="M599" t="s">
        <v>2872</v>
      </c>
      <c r="N599" t="s">
        <v>2828</v>
      </c>
      <c r="O599" t="s">
        <v>47</v>
      </c>
      <c r="P599" t="s">
        <v>2873</v>
      </c>
      <c r="Q599" t="s">
        <v>63</v>
      </c>
      <c r="R599" s="29">
        <v>46157.847222222219</v>
      </c>
      <c r="S599">
        <v>3.78</v>
      </c>
      <c r="T599">
        <v>4182</v>
      </c>
      <c r="U599">
        <v>0</v>
      </c>
      <c r="V599">
        <v>4182</v>
      </c>
    </row>
    <row r="600" spans="1:22" x14ac:dyDescent="0.3">
      <c r="A600">
        <v>186607</v>
      </c>
      <c r="B600">
        <v>455164792</v>
      </c>
      <c r="C600" t="s">
        <v>2874</v>
      </c>
      <c r="D600" s="9">
        <v>270656807</v>
      </c>
      <c r="E600" t="s">
        <v>2825</v>
      </c>
      <c r="F600" t="s">
        <v>531</v>
      </c>
      <c r="G600" t="s">
        <v>30</v>
      </c>
      <c r="H600" t="s">
        <v>31</v>
      </c>
      <c r="I600" t="s">
        <v>52</v>
      </c>
      <c r="J600" t="s">
        <v>32</v>
      </c>
      <c r="K600" t="s">
        <v>29</v>
      </c>
      <c r="L600" t="s">
        <v>2875</v>
      </c>
      <c r="M600" t="s">
        <v>2876</v>
      </c>
      <c r="N600" t="s">
        <v>2828</v>
      </c>
      <c r="O600" t="s">
        <v>47</v>
      </c>
      <c r="P600" t="s">
        <v>2877</v>
      </c>
      <c r="Q600" t="s">
        <v>35</v>
      </c>
      <c r="R600" s="29">
        <v>46163.867361111108</v>
      </c>
      <c r="S600">
        <v>1.89</v>
      </c>
      <c r="T600">
        <v>3935</v>
      </c>
      <c r="U600">
        <v>0</v>
      </c>
      <c r="V600">
        <v>3935</v>
      </c>
    </row>
    <row r="601" spans="1:22" x14ac:dyDescent="0.3">
      <c r="A601">
        <v>186607</v>
      </c>
      <c r="B601">
        <v>455074505</v>
      </c>
      <c r="C601" t="s">
        <v>2878</v>
      </c>
      <c r="D601" s="9">
        <v>270561740</v>
      </c>
      <c r="E601" t="s">
        <v>2825</v>
      </c>
      <c r="F601" t="s">
        <v>531</v>
      </c>
      <c r="G601" t="s">
        <v>30</v>
      </c>
      <c r="H601" t="s">
        <v>31</v>
      </c>
      <c r="I601" t="s">
        <v>52</v>
      </c>
      <c r="J601" t="s">
        <v>32</v>
      </c>
      <c r="K601" t="s">
        <v>29</v>
      </c>
      <c r="L601" t="s">
        <v>2879</v>
      </c>
      <c r="M601" t="s">
        <v>2880</v>
      </c>
      <c r="N601" t="s">
        <v>2828</v>
      </c>
      <c r="O601" t="s">
        <v>47</v>
      </c>
      <c r="P601" t="s">
        <v>2881</v>
      </c>
      <c r="Q601" t="s">
        <v>69</v>
      </c>
      <c r="R601" s="29">
        <v>46161.84097222222</v>
      </c>
      <c r="S601">
        <v>0.5</v>
      </c>
      <c r="T601">
        <v>3935</v>
      </c>
      <c r="U601">
        <v>0</v>
      </c>
      <c r="V601">
        <v>3935</v>
      </c>
    </row>
    <row r="602" spans="1:22" x14ac:dyDescent="0.3">
      <c r="A602">
        <v>186607</v>
      </c>
      <c r="B602">
        <v>455164804</v>
      </c>
      <c r="C602" t="s">
        <v>2882</v>
      </c>
      <c r="D602" s="9">
        <v>270656776</v>
      </c>
      <c r="E602" t="s">
        <v>2825</v>
      </c>
      <c r="F602" t="s">
        <v>531</v>
      </c>
      <c r="G602" t="s">
        <v>30</v>
      </c>
      <c r="H602" t="s">
        <v>31</v>
      </c>
      <c r="I602" t="s">
        <v>52</v>
      </c>
      <c r="J602" t="s">
        <v>32</v>
      </c>
      <c r="K602" t="s">
        <v>29</v>
      </c>
      <c r="L602" t="s">
        <v>2883</v>
      </c>
      <c r="M602" t="s">
        <v>2884</v>
      </c>
      <c r="N602" t="s">
        <v>2828</v>
      </c>
      <c r="O602" t="s">
        <v>47</v>
      </c>
      <c r="P602" t="s">
        <v>2885</v>
      </c>
      <c r="Q602" t="s">
        <v>116</v>
      </c>
      <c r="R602" s="29">
        <v>46163.867361111108</v>
      </c>
      <c r="S602">
        <v>0.5</v>
      </c>
      <c r="T602">
        <v>3673</v>
      </c>
      <c r="U602">
        <v>0</v>
      </c>
      <c r="V602">
        <v>3673</v>
      </c>
    </row>
    <row r="603" spans="1:22" x14ac:dyDescent="0.3">
      <c r="A603">
        <v>186607</v>
      </c>
      <c r="B603">
        <v>454971870</v>
      </c>
      <c r="C603" t="s">
        <v>2886</v>
      </c>
      <c r="D603" s="9">
        <v>270306764</v>
      </c>
      <c r="E603" t="s">
        <v>2825</v>
      </c>
      <c r="F603" t="s">
        <v>531</v>
      </c>
      <c r="G603" t="s">
        <v>30</v>
      </c>
      <c r="H603" t="s">
        <v>31</v>
      </c>
      <c r="I603" t="s">
        <v>52</v>
      </c>
      <c r="J603" t="s">
        <v>32</v>
      </c>
      <c r="K603" t="s">
        <v>29</v>
      </c>
      <c r="L603" t="s">
        <v>2887</v>
      </c>
      <c r="M603" t="s">
        <v>394</v>
      </c>
      <c r="N603" t="s">
        <v>2828</v>
      </c>
      <c r="O603" t="s">
        <v>47</v>
      </c>
      <c r="P603" t="s">
        <v>395</v>
      </c>
      <c r="Q603" t="s">
        <v>41</v>
      </c>
      <c r="R603" s="29">
        <v>46158.45</v>
      </c>
      <c r="S603">
        <v>0.5</v>
      </c>
      <c r="T603">
        <v>3339</v>
      </c>
      <c r="U603">
        <v>0</v>
      </c>
      <c r="V603">
        <v>3339</v>
      </c>
    </row>
    <row r="604" spans="1:22" x14ac:dyDescent="0.3">
      <c r="A604">
        <v>186607</v>
      </c>
      <c r="B604">
        <v>455164809</v>
      </c>
      <c r="C604" t="s">
        <v>2888</v>
      </c>
      <c r="D604" s="9">
        <v>270656766</v>
      </c>
      <c r="E604" t="s">
        <v>2825</v>
      </c>
      <c r="F604" t="s">
        <v>531</v>
      </c>
      <c r="G604" t="s">
        <v>30</v>
      </c>
      <c r="H604" t="s">
        <v>31</v>
      </c>
      <c r="I604" t="s">
        <v>52</v>
      </c>
      <c r="J604" t="s">
        <v>32</v>
      </c>
      <c r="K604" t="s">
        <v>29</v>
      </c>
      <c r="L604" t="s">
        <v>2889</v>
      </c>
      <c r="M604" t="s">
        <v>364</v>
      </c>
      <c r="N604" t="s">
        <v>2828</v>
      </c>
      <c r="O604" t="s">
        <v>47</v>
      </c>
      <c r="P604" t="s">
        <v>2890</v>
      </c>
      <c r="Q604" t="s">
        <v>70</v>
      </c>
      <c r="R604" s="29">
        <v>46163.867361111108</v>
      </c>
      <c r="S604">
        <v>3.78</v>
      </c>
      <c r="T604">
        <v>4182</v>
      </c>
      <c r="U604">
        <v>0</v>
      </c>
      <c r="V604">
        <v>4182</v>
      </c>
    </row>
    <row r="605" spans="1:22" x14ac:dyDescent="0.3">
      <c r="A605">
        <v>186607</v>
      </c>
      <c r="B605">
        <v>455086965</v>
      </c>
      <c r="C605" t="s">
        <v>2891</v>
      </c>
      <c r="D605" s="9">
        <v>270561728</v>
      </c>
      <c r="E605" t="s">
        <v>2825</v>
      </c>
      <c r="F605" t="s">
        <v>531</v>
      </c>
      <c r="G605" t="s">
        <v>30</v>
      </c>
      <c r="H605" t="s">
        <v>31</v>
      </c>
      <c r="I605" t="s">
        <v>52</v>
      </c>
      <c r="J605" t="s">
        <v>32</v>
      </c>
      <c r="K605" t="s">
        <v>29</v>
      </c>
      <c r="L605" t="s">
        <v>2892</v>
      </c>
      <c r="M605" t="s">
        <v>2893</v>
      </c>
      <c r="N605" t="s">
        <v>2828</v>
      </c>
      <c r="O605" t="s">
        <v>47</v>
      </c>
      <c r="P605" t="s">
        <v>2894</v>
      </c>
      <c r="Q605" t="s">
        <v>88</v>
      </c>
      <c r="R605" s="29">
        <v>46162.44027777778</v>
      </c>
      <c r="S605">
        <v>0.5</v>
      </c>
      <c r="T605">
        <v>3552</v>
      </c>
      <c r="U605">
        <v>0</v>
      </c>
      <c r="V605">
        <v>3552</v>
      </c>
    </row>
    <row r="606" spans="1:22" x14ac:dyDescent="0.3">
      <c r="A606">
        <v>186607</v>
      </c>
      <c r="B606">
        <v>455074500</v>
      </c>
      <c r="C606" t="s">
        <v>2895</v>
      </c>
      <c r="D606" s="9">
        <v>270561778</v>
      </c>
      <c r="E606" t="s">
        <v>2825</v>
      </c>
      <c r="F606" t="s">
        <v>531</v>
      </c>
      <c r="G606" t="s">
        <v>30</v>
      </c>
      <c r="H606" t="s">
        <v>31</v>
      </c>
      <c r="I606" t="s">
        <v>52</v>
      </c>
      <c r="J606" t="s">
        <v>32</v>
      </c>
      <c r="K606" t="s">
        <v>29</v>
      </c>
      <c r="L606" t="s">
        <v>2896</v>
      </c>
      <c r="M606" t="s">
        <v>2897</v>
      </c>
      <c r="N606" t="s">
        <v>2828</v>
      </c>
      <c r="O606" t="s">
        <v>47</v>
      </c>
      <c r="P606" t="s">
        <v>2898</v>
      </c>
      <c r="Q606" t="s">
        <v>183</v>
      </c>
      <c r="R606" s="29">
        <v>46161.84097222222</v>
      </c>
      <c r="S606">
        <v>0.5</v>
      </c>
      <c r="T606">
        <v>3673</v>
      </c>
      <c r="U606">
        <v>0</v>
      </c>
      <c r="V606">
        <v>3673</v>
      </c>
    </row>
    <row r="607" spans="1:22" x14ac:dyDescent="0.3">
      <c r="A607">
        <v>186607</v>
      </c>
      <c r="B607">
        <v>455074504</v>
      </c>
      <c r="C607" t="s">
        <v>2899</v>
      </c>
      <c r="D607" s="9">
        <v>270561771</v>
      </c>
      <c r="E607" t="s">
        <v>2825</v>
      </c>
      <c r="F607" t="s">
        <v>531</v>
      </c>
      <c r="G607" t="s">
        <v>30</v>
      </c>
      <c r="H607" t="s">
        <v>31</v>
      </c>
      <c r="I607" t="s">
        <v>52</v>
      </c>
      <c r="J607" t="s">
        <v>32</v>
      </c>
      <c r="K607" t="s">
        <v>29</v>
      </c>
      <c r="L607" t="s">
        <v>2900</v>
      </c>
      <c r="M607" t="s">
        <v>2901</v>
      </c>
      <c r="N607" t="s">
        <v>2828</v>
      </c>
      <c r="O607" t="s">
        <v>47</v>
      </c>
      <c r="P607" t="s">
        <v>2902</v>
      </c>
      <c r="Q607" t="s">
        <v>42</v>
      </c>
      <c r="R607" s="29">
        <v>46161.84097222222</v>
      </c>
      <c r="S607">
        <v>0.5</v>
      </c>
      <c r="T607">
        <v>3193</v>
      </c>
      <c r="U607">
        <v>0</v>
      </c>
      <c r="V607">
        <v>3193</v>
      </c>
    </row>
    <row r="608" spans="1:22" x14ac:dyDescent="0.3">
      <c r="A608">
        <v>186607</v>
      </c>
      <c r="B608">
        <v>454997052</v>
      </c>
      <c r="C608" t="s">
        <v>2903</v>
      </c>
      <c r="D608" s="9">
        <v>270412520</v>
      </c>
      <c r="E608" t="s">
        <v>2825</v>
      </c>
      <c r="F608" t="s">
        <v>531</v>
      </c>
      <c r="G608" t="s">
        <v>30</v>
      </c>
      <c r="H608" t="s">
        <v>31</v>
      </c>
      <c r="I608" t="s">
        <v>52</v>
      </c>
      <c r="J608" t="s">
        <v>32</v>
      </c>
      <c r="K608" t="s">
        <v>29</v>
      </c>
      <c r="L608" t="s">
        <v>2904</v>
      </c>
      <c r="M608" t="s">
        <v>2905</v>
      </c>
      <c r="N608" t="s">
        <v>2828</v>
      </c>
      <c r="O608" t="s">
        <v>47</v>
      </c>
      <c r="P608" t="s">
        <v>2906</v>
      </c>
      <c r="Q608" t="s">
        <v>69</v>
      </c>
      <c r="R608" s="29">
        <v>46159.877083333333</v>
      </c>
      <c r="S608">
        <v>1.05</v>
      </c>
      <c r="T608">
        <v>5024</v>
      </c>
      <c r="U608">
        <v>0</v>
      </c>
      <c r="V608">
        <v>5024</v>
      </c>
    </row>
    <row r="609" spans="1:22" x14ac:dyDescent="0.3">
      <c r="A609">
        <v>186607</v>
      </c>
      <c r="B609">
        <v>454879889</v>
      </c>
      <c r="C609" t="s">
        <v>2907</v>
      </c>
      <c r="D609" s="9">
        <v>270412680</v>
      </c>
      <c r="E609" t="s">
        <v>2825</v>
      </c>
      <c r="F609" t="s">
        <v>531</v>
      </c>
      <c r="G609" t="s">
        <v>30</v>
      </c>
      <c r="H609" t="s">
        <v>31</v>
      </c>
      <c r="I609" t="s">
        <v>52</v>
      </c>
      <c r="J609" t="s">
        <v>32</v>
      </c>
      <c r="K609" t="s">
        <v>29</v>
      </c>
      <c r="L609" t="s">
        <v>2908</v>
      </c>
      <c r="M609" t="s">
        <v>2909</v>
      </c>
      <c r="N609" t="s">
        <v>2828</v>
      </c>
      <c r="O609" t="s">
        <v>47</v>
      </c>
      <c r="P609" t="s">
        <v>2910</v>
      </c>
      <c r="Q609" t="s">
        <v>182</v>
      </c>
      <c r="R609" s="29">
        <v>46155.478472222225</v>
      </c>
      <c r="S609">
        <v>1</v>
      </c>
      <c r="T609">
        <v>5295</v>
      </c>
      <c r="U609">
        <v>0</v>
      </c>
      <c r="V609">
        <v>5295</v>
      </c>
    </row>
    <row r="610" spans="1:22" x14ac:dyDescent="0.3">
      <c r="A610">
        <v>186607</v>
      </c>
      <c r="B610">
        <v>455037932</v>
      </c>
      <c r="C610" t="s">
        <v>2911</v>
      </c>
      <c r="D610" s="9">
        <v>270486290</v>
      </c>
      <c r="E610" t="s">
        <v>2825</v>
      </c>
      <c r="F610" t="s">
        <v>531</v>
      </c>
      <c r="G610" t="s">
        <v>30</v>
      </c>
      <c r="H610" t="s">
        <v>31</v>
      </c>
      <c r="I610" t="s">
        <v>52</v>
      </c>
      <c r="J610" t="s">
        <v>32</v>
      </c>
      <c r="K610" t="s">
        <v>29</v>
      </c>
      <c r="L610" t="s">
        <v>2912</v>
      </c>
      <c r="M610" t="s">
        <v>2913</v>
      </c>
      <c r="N610" t="s">
        <v>2828</v>
      </c>
      <c r="O610" t="s">
        <v>47</v>
      </c>
      <c r="P610" t="s">
        <v>2914</v>
      </c>
      <c r="Q610" t="s">
        <v>63</v>
      </c>
      <c r="R610" s="29">
        <v>46160.876388888886</v>
      </c>
      <c r="S610">
        <v>3.3</v>
      </c>
      <c r="T610">
        <v>4182</v>
      </c>
      <c r="U610">
        <v>0</v>
      </c>
      <c r="V610">
        <v>4182</v>
      </c>
    </row>
    <row r="611" spans="1:22" x14ac:dyDescent="0.3">
      <c r="A611">
        <v>186607</v>
      </c>
      <c r="B611">
        <v>455037946</v>
      </c>
      <c r="C611" t="s">
        <v>2915</v>
      </c>
      <c r="D611" s="9">
        <v>270486242</v>
      </c>
      <c r="E611" t="s">
        <v>2825</v>
      </c>
      <c r="F611" t="s">
        <v>531</v>
      </c>
      <c r="G611" t="s">
        <v>30</v>
      </c>
      <c r="H611" t="s">
        <v>31</v>
      </c>
      <c r="I611" t="s">
        <v>52</v>
      </c>
      <c r="J611" t="s">
        <v>32</v>
      </c>
      <c r="K611" t="s">
        <v>29</v>
      </c>
      <c r="L611" t="s">
        <v>2916</v>
      </c>
      <c r="M611" t="s">
        <v>2917</v>
      </c>
      <c r="N611" t="s">
        <v>2828</v>
      </c>
      <c r="O611" t="s">
        <v>47</v>
      </c>
      <c r="P611" t="s">
        <v>2918</v>
      </c>
      <c r="Q611" t="s">
        <v>40</v>
      </c>
      <c r="R611" s="29">
        <v>46160.876388888886</v>
      </c>
      <c r="S611">
        <v>3.3</v>
      </c>
      <c r="T611">
        <v>4935</v>
      </c>
      <c r="U611">
        <v>0</v>
      </c>
      <c r="V611">
        <v>4935</v>
      </c>
    </row>
    <row r="612" spans="1:22" x14ac:dyDescent="0.3">
      <c r="A612">
        <v>186607</v>
      </c>
      <c r="B612">
        <v>455049566</v>
      </c>
      <c r="C612" t="s">
        <v>2919</v>
      </c>
      <c r="D612" s="9">
        <v>270486207</v>
      </c>
      <c r="E612" t="s">
        <v>2825</v>
      </c>
      <c r="F612" t="s">
        <v>531</v>
      </c>
      <c r="G612" t="s">
        <v>30</v>
      </c>
      <c r="H612" t="s">
        <v>31</v>
      </c>
      <c r="I612" t="s">
        <v>52</v>
      </c>
      <c r="J612" t="s">
        <v>32</v>
      </c>
      <c r="K612" t="s">
        <v>29</v>
      </c>
      <c r="L612" t="s">
        <v>2920</v>
      </c>
      <c r="M612" t="s">
        <v>2921</v>
      </c>
      <c r="N612" t="s">
        <v>2828</v>
      </c>
      <c r="O612" t="s">
        <v>47</v>
      </c>
      <c r="P612" t="s">
        <v>2922</v>
      </c>
      <c r="Q612" t="s">
        <v>48</v>
      </c>
      <c r="R612" s="29">
        <v>46161.420138888891</v>
      </c>
      <c r="S612">
        <v>3.3</v>
      </c>
      <c r="T612">
        <v>3664</v>
      </c>
      <c r="U612">
        <v>0</v>
      </c>
      <c r="V612">
        <v>3664</v>
      </c>
    </row>
    <row r="613" spans="1:22" x14ac:dyDescent="0.3">
      <c r="A613">
        <v>186607</v>
      </c>
      <c r="B613">
        <v>455037934</v>
      </c>
      <c r="C613" t="s">
        <v>2923</v>
      </c>
      <c r="D613" s="9">
        <v>270486282</v>
      </c>
      <c r="E613" t="s">
        <v>2825</v>
      </c>
      <c r="F613" t="s">
        <v>531</v>
      </c>
      <c r="G613" t="s">
        <v>30</v>
      </c>
      <c r="H613" t="s">
        <v>31</v>
      </c>
      <c r="I613" t="s">
        <v>52</v>
      </c>
      <c r="J613" t="s">
        <v>32</v>
      </c>
      <c r="K613" t="s">
        <v>29</v>
      </c>
      <c r="L613" t="s">
        <v>2924</v>
      </c>
      <c r="M613" t="s">
        <v>2925</v>
      </c>
      <c r="N613" t="s">
        <v>2828</v>
      </c>
      <c r="O613" t="s">
        <v>47</v>
      </c>
      <c r="P613" t="s">
        <v>2926</v>
      </c>
      <c r="Q613" t="s">
        <v>74</v>
      </c>
      <c r="R613" s="29">
        <v>46160.876388888886</v>
      </c>
      <c r="S613">
        <v>1.1000000000000001</v>
      </c>
      <c r="T613">
        <v>3653</v>
      </c>
      <c r="U613">
        <v>0</v>
      </c>
      <c r="V613">
        <v>3653</v>
      </c>
    </row>
    <row r="614" spans="1:22" x14ac:dyDescent="0.3">
      <c r="A614">
        <v>186607</v>
      </c>
      <c r="B614">
        <v>455049568</v>
      </c>
      <c r="C614" t="s">
        <v>2927</v>
      </c>
      <c r="D614" s="9">
        <v>270486213</v>
      </c>
      <c r="E614" t="s">
        <v>2825</v>
      </c>
      <c r="F614" t="s">
        <v>531</v>
      </c>
      <c r="G614" t="s">
        <v>30</v>
      </c>
      <c r="H614" t="s">
        <v>31</v>
      </c>
      <c r="I614" t="s">
        <v>52</v>
      </c>
      <c r="J614" t="s">
        <v>32</v>
      </c>
      <c r="K614" t="s">
        <v>29</v>
      </c>
      <c r="L614" t="s">
        <v>2928</v>
      </c>
      <c r="M614" t="s">
        <v>2929</v>
      </c>
      <c r="N614" t="s">
        <v>2828</v>
      </c>
      <c r="O614" t="s">
        <v>47</v>
      </c>
      <c r="P614" t="s">
        <v>2930</v>
      </c>
      <c r="Q614" t="s">
        <v>48</v>
      </c>
      <c r="R614" s="29">
        <v>46161.420138888891</v>
      </c>
      <c r="S614">
        <v>0.5</v>
      </c>
      <c r="T614">
        <v>3193</v>
      </c>
      <c r="U614">
        <v>0</v>
      </c>
      <c r="V614">
        <v>3193</v>
      </c>
    </row>
    <row r="615" spans="1:22" x14ac:dyDescent="0.3">
      <c r="A615">
        <v>186607</v>
      </c>
      <c r="B615">
        <v>455049573</v>
      </c>
      <c r="C615" t="s">
        <v>2931</v>
      </c>
      <c r="D615" s="9">
        <v>270486191</v>
      </c>
      <c r="E615" t="s">
        <v>2825</v>
      </c>
      <c r="F615" t="s">
        <v>531</v>
      </c>
      <c r="G615" t="s">
        <v>30</v>
      </c>
      <c r="H615" t="s">
        <v>31</v>
      </c>
      <c r="I615" t="s">
        <v>52</v>
      </c>
      <c r="J615" t="s">
        <v>32</v>
      </c>
      <c r="K615" t="s">
        <v>29</v>
      </c>
      <c r="L615" t="s">
        <v>2932</v>
      </c>
      <c r="M615" t="s">
        <v>2933</v>
      </c>
      <c r="N615" t="s">
        <v>2828</v>
      </c>
      <c r="O615" t="s">
        <v>47</v>
      </c>
      <c r="P615" t="s">
        <v>2934</v>
      </c>
      <c r="Q615" t="s">
        <v>65</v>
      </c>
      <c r="R615" s="29">
        <v>46161.420138888891</v>
      </c>
      <c r="S615">
        <v>3.3</v>
      </c>
      <c r="T615">
        <v>4935</v>
      </c>
      <c r="U615">
        <v>0</v>
      </c>
      <c r="V615">
        <v>4935</v>
      </c>
    </row>
    <row r="616" spans="1:22" x14ac:dyDescent="0.3">
      <c r="A616">
        <v>186607</v>
      </c>
      <c r="B616">
        <v>455049567</v>
      </c>
      <c r="C616" t="s">
        <v>2935</v>
      </c>
      <c r="D616" s="9">
        <v>270486219</v>
      </c>
      <c r="E616" t="s">
        <v>2825</v>
      </c>
      <c r="F616" t="s">
        <v>531</v>
      </c>
      <c r="G616" t="s">
        <v>30</v>
      </c>
      <c r="H616" t="s">
        <v>31</v>
      </c>
      <c r="I616" t="s">
        <v>52</v>
      </c>
      <c r="J616" t="s">
        <v>32</v>
      </c>
      <c r="K616" t="s">
        <v>29</v>
      </c>
      <c r="L616" t="s">
        <v>2936</v>
      </c>
      <c r="M616" t="s">
        <v>2937</v>
      </c>
      <c r="N616" t="s">
        <v>2828</v>
      </c>
      <c r="O616" t="s">
        <v>47</v>
      </c>
      <c r="P616" t="s">
        <v>2938</v>
      </c>
      <c r="Q616" t="s">
        <v>76</v>
      </c>
      <c r="R616" s="29">
        <v>46161.420138888891</v>
      </c>
      <c r="S616">
        <v>0.5</v>
      </c>
      <c r="T616">
        <v>3552</v>
      </c>
      <c r="U616">
        <v>0</v>
      </c>
      <c r="V616">
        <v>3552</v>
      </c>
    </row>
    <row r="617" spans="1:22" x14ac:dyDescent="0.3">
      <c r="A617">
        <v>186607</v>
      </c>
      <c r="B617">
        <v>455017989</v>
      </c>
      <c r="C617" t="s">
        <v>2939</v>
      </c>
      <c r="D617" s="9">
        <v>270412481</v>
      </c>
      <c r="E617" t="s">
        <v>2825</v>
      </c>
      <c r="F617" t="s">
        <v>531</v>
      </c>
      <c r="G617" t="s">
        <v>30</v>
      </c>
      <c r="H617" t="s">
        <v>31</v>
      </c>
      <c r="I617" t="s">
        <v>52</v>
      </c>
      <c r="J617" t="s">
        <v>32</v>
      </c>
      <c r="K617" t="s">
        <v>29</v>
      </c>
      <c r="L617" t="s">
        <v>2940</v>
      </c>
      <c r="M617" t="s">
        <v>414</v>
      </c>
      <c r="N617" t="s">
        <v>2828</v>
      </c>
      <c r="O617" t="s">
        <v>47</v>
      </c>
      <c r="P617" t="s">
        <v>2941</v>
      </c>
      <c r="Q617" t="s">
        <v>80</v>
      </c>
      <c r="R617" s="29">
        <v>46160.488888888889</v>
      </c>
      <c r="S617">
        <v>2.61</v>
      </c>
      <c r="T617">
        <v>5295</v>
      </c>
      <c r="U617">
        <v>0</v>
      </c>
      <c r="V617">
        <v>5295</v>
      </c>
    </row>
    <row r="618" spans="1:22" x14ac:dyDescent="0.3">
      <c r="A618">
        <v>186607</v>
      </c>
      <c r="B618">
        <v>455054022</v>
      </c>
      <c r="C618" t="s">
        <v>2942</v>
      </c>
      <c r="D618" s="9">
        <v>270486149</v>
      </c>
      <c r="E618" t="s">
        <v>2825</v>
      </c>
      <c r="F618" t="s">
        <v>531</v>
      </c>
      <c r="G618" t="s">
        <v>30</v>
      </c>
      <c r="H618" t="s">
        <v>31</v>
      </c>
      <c r="I618" t="s">
        <v>52</v>
      </c>
      <c r="J618" t="s">
        <v>32</v>
      </c>
      <c r="K618" t="s">
        <v>29</v>
      </c>
      <c r="L618" t="s">
        <v>2943</v>
      </c>
      <c r="M618" t="s">
        <v>2944</v>
      </c>
      <c r="N618" t="s">
        <v>2828</v>
      </c>
      <c r="O618" t="s">
        <v>47</v>
      </c>
      <c r="P618" t="s">
        <v>2945</v>
      </c>
      <c r="Q618" t="s">
        <v>140</v>
      </c>
      <c r="R618" s="29">
        <v>46161.47152777778</v>
      </c>
      <c r="S618">
        <v>3.3</v>
      </c>
      <c r="T618">
        <v>3664</v>
      </c>
      <c r="U618">
        <v>0</v>
      </c>
      <c r="V618">
        <v>3664</v>
      </c>
    </row>
    <row r="619" spans="1:22" x14ac:dyDescent="0.3">
      <c r="A619">
        <v>186607</v>
      </c>
      <c r="B619">
        <v>455049562</v>
      </c>
      <c r="C619" t="s">
        <v>2946</v>
      </c>
      <c r="D619" s="9">
        <v>270486256</v>
      </c>
      <c r="E619" t="s">
        <v>2825</v>
      </c>
      <c r="F619" t="s">
        <v>531</v>
      </c>
      <c r="G619" t="s">
        <v>30</v>
      </c>
      <c r="H619" t="s">
        <v>31</v>
      </c>
      <c r="I619" t="s">
        <v>52</v>
      </c>
      <c r="J619" t="s">
        <v>32</v>
      </c>
      <c r="K619" t="s">
        <v>29</v>
      </c>
      <c r="L619" t="s">
        <v>2947</v>
      </c>
      <c r="M619" t="s">
        <v>2948</v>
      </c>
      <c r="N619" t="s">
        <v>2828</v>
      </c>
      <c r="O619" t="s">
        <v>47</v>
      </c>
      <c r="P619" t="s">
        <v>2949</v>
      </c>
      <c r="Q619" t="s">
        <v>38</v>
      </c>
      <c r="R619" s="29">
        <v>46161.420138888891</v>
      </c>
      <c r="S619">
        <v>3.3</v>
      </c>
      <c r="T619">
        <v>3664</v>
      </c>
      <c r="U619">
        <v>0</v>
      </c>
      <c r="V619">
        <v>3664</v>
      </c>
    </row>
    <row r="620" spans="1:22" x14ac:dyDescent="0.3">
      <c r="A620">
        <v>186607</v>
      </c>
      <c r="B620">
        <v>455037945</v>
      </c>
      <c r="C620" t="s">
        <v>2950</v>
      </c>
      <c r="D620" s="9">
        <v>270486265</v>
      </c>
      <c r="E620" t="s">
        <v>2825</v>
      </c>
      <c r="F620" t="s">
        <v>531</v>
      </c>
      <c r="G620" t="s">
        <v>30</v>
      </c>
      <c r="H620" t="s">
        <v>31</v>
      </c>
      <c r="I620" t="s">
        <v>52</v>
      </c>
      <c r="J620" t="s">
        <v>32</v>
      </c>
      <c r="K620" t="s">
        <v>29</v>
      </c>
      <c r="L620" t="s">
        <v>2951</v>
      </c>
      <c r="M620" t="s">
        <v>2952</v>
      </c>
      <c r="N620" t="s">
        <v>2828</v>
      </c>
      <c r="O620" t="s">
        <v>47</v>
      </c>
      <c r="P620" t="s">
        <v>2953</v>
      </c>
      <c r="Q620" t="s">
        <v>76</v>
      </c>
      <c r="R620" s="29">
        <v>46160.876388888886</v>
      </c>
      <c r="S620">
        <v>0.5</v>
      </c>
      <c r="T620">
        <v>3552</v>
      </c>
      <c r="U620">
        <v>0</v>
      </c>
      <c r="V620">
        <v>3552</v>
      </c>
    </row>
    <row r="621" spans="1:22" x14ac:dyDescent="0.3">
      <c r="A621">
        <v>186607</v>
      </c>
      <c r="B621">
        <v>454997026</v>
      </c>
      <c r="C621" t="s">
        <v>2954</v>
      </c>
      <c r="D621" s="9">
        <v>270412678</v>
      </c>
      <c r="E621" t="s">
        <v>2825</v>
      </c>
      <c r="F621" t="s">
        <v>531</v>
      </c>
      <c r="G621" t="s">
        <v>30</v>
      </c>
      <c r="H621" t="s">
        <v>31</v>
      </c>
      <c r="I621" t="s">
        <v>52</v>
      </c>
      <c r="J621" t="s">
        <v>32</v>
      </c>
      <c r="K621" t="s">
        <v>29</v>
      </c>
      <c r="L621" t="s">
        <v>2955</v>
      </c>
      <c r="M621" t="s">
        <v>2956</v>
      </c>
      <c r="N621" t="s">
        <v>2828</v>
      </c>
      <c r="O621" t="s">
        <v>47</v>
      </c>
      <c r="P621" t="s">
        <v>2957</v>
      </c>
      <c r="Q621" t="s">
        <v>44</v>
      </c>
      <c r="R621" s="29">
        <v>46159.876388888886</v>
      </c>
      <c r="S621">
        <v>1.05</v>
      </c>
      <c r="T621">
        <v>4205</v>
      </c>
      <c r="U621">
        <v>0</v>
      </c>
      <c r="V621">
        <v>4205</v>
      </c>
    </row>
    <row r="622" spans="1:22" x14ac:dyDescent="0.3">
      <c r="A622">
        <v>186607</v>
      </c>
      <c r="B622">
        <v>454383693</v>
      </c>
      <c r="C622" t="s">
        <v>2958</v>
      </c>
      <c r="D622" s="9" t="s">
        <v>2959</v>
      </c>
      <c r="E622" t="s">
        <v>2825</v>
      </c>
      <c r="F622" t="s">
        <v>531</v>
      </c>
      <c r="G622" t="s">
        <v>110</v>
      </c>
      <c r="H622" t="s">
        <v>111</v>
      </c>
      <c r="I622" t="s">
        <v>52</v>
      </c>
      <c r="J622" t="s">
        <v>112</v>
      </c>
      <c r="K622" t="s">
        <v>29</v>
      </c>
      <c r="L622" t="s">
        <v>113</v>
      </c>
      <c r="M622" t="s">
        <v>379</v>
      </c>
      <c r="N622" t="s">
        <v>2828</v>
      </c>
      <c r="O622" t="s">
        <v>47</v>
      </c>
      <c r="P622" t="s">
        <v>2960</v>
      </c>
      <c r="Q622" t="s">
        <v>236</v>
      </c>
      <c r="R622" s="29" t="s">
        <v>2961</v>
      </c>
      <c r="S622">
        <v>3.7</v>
      </c>
      <c r="T622">
        <v>13804</v>
      </c>
      <c r="U622">
        <v>0</v>
      </c>
      <c r="V622">
        <v>13804</v>
      </c>
    </row>
    <row r="623" spans="1:22" x14ac:dyDescent="0.3">
      <c r="A623">
        <v>186607</v>
      </c>
      <c r="B623">
        <v>454374228</v>
      </c>
      <c r="C623" t="s">
        <v>2962</v>
      </c>
      <c r="D623" s="9" t="s">
        <v>2963</v>
      </c>
      <c r="E623" t="s">
        <v>2825</v>
      </c>
      <c r="F623" t="s">
        <v>531</v>
      </c>
      <c r="G623" t="s">
        <v>110</v>
      </c>
      <c r="H623" t="s">
        <v>111</v>
      </c>
      <c r="I623" t="s">
        <v>52</v>
      </c>
      <c r="J623" t="s">
        <v>112</v>
      </c>
      <c r="K623" t="s">
        <v>29</v>
      </c>
      <c r="L623" t="s">
        <v>113</v>
      </c>
      <c r="M623" t="s">
        <v>2964</v>
      </c>
      <c r="N623" t="s">
        <v>2828</v>
      </c>
      <c r="O623" t="s">
        <v>47</v>
      </c>
      <c r="P623" t="s">
        <v>2965</v>
      </c>
      <c r="Q623" t="s">
        <v>64</v>
      </c>
      <c r="R623" s="29" t="s">
        <v>2966</v>
      </c>
      <c r="S623">
        <v>2.2400000000000002</v>
      </c>
      <c r="T623">
        <v>7072</v>
      </c>
      <c r="U623">
        <v>0</v>
      </c>
      <c r="V623">
        <v>7072</v>
      </c>
    </row>
    <row r="624" spans="1:22" x14ac:dyDescent="0.3">
      <c r="A624">
        <v>186607</v>
      </c>
      <c r="B624">
        <v>454374224</v>
      </c>
      <c r="C624" t="s">
        <v>2967</v>
      </c>
      <c r="D624" s="9" t="s">
        <v>2968</v>
      </c>
      <c r="E624" t="s">
        <v>2825</v>
      </c>
      <c r="F624" t="s">
        <v>531</v>
      </c>
      <c r="G624" t="s">
        <v>110</v>
      </c>
      <c r="H624" t="s">
        <v>111</v>
      </c>
      <c r="I624" t="s">
        <v>52</v>
      </c>
      <c r="J624" t="s">
        <v>112</v>
      </c>
      <c r="K624" t="s">
        <v>29</v>
      </c>
      <c r="L624" t="s">
        <v>113</v>
      </c>
      <c r="M624" t="s">
        <v>2969</v>
      </c>
      <c r="N624" t="s">
        <v>2828</v>
      </c>
      <c r="O624" t="s">
        <v>47</v>
      </c>
      <c r="P624" t="s">
        <v>2970</v>
      </c>
      <c r="Q624" t="s">
        <v>64</v>
      </c>
      <c r="R624" s="29" t="s">
        <v>2966</v>
      </c>
      <c r="S624">
        <v>2.84</v>
      </c>
      <c r="T624">
        <v>7072</v>
      </c>
      <c r="U624">
        <v>0</v>
      </c>
      <c r="V624">
        <v>7072</v>
      </c>
    </row>
    <row r="625" spans="1:22" x14ac:dyDescent="0.3">
      <c r="A625">
        <v>186607</v>
      </c>
      <c r="B625">
        <v>454374219</v>
      </c>
      <c r="C625" t="s">
        <v>2971</v>
      </c>
      <c r="D625" s="9" t="s">
        <v>2972</v>
      </c>
      <c r="E625" t="s">
        <v>2825</v>
      </c>
      <c r="F625" t="s">
        <v>531</v>
      </c>
      <c r="G625" t="s">
        <v>110</v>
      </c>
      <c r="H625" t="s">
        <v>111</v>
      </c>
      <c r="I625" t="s">
        <v>52</v>
      </c>
      <c r="J625" t="s">
        <v>112</v>
      </c>
      <c r="K625" t="s">
        <v>29</v>
      </c>
      <c r="L625" t="s">
        <v>113</v>
      </c>
      <c r="M625" t="s">
        <v>502</v>
      </c>
      <c r="N625" t="s">
        <v>2828</v>
      </c>
      <c r="O625" t="s">
        <v>47</v>
      </c>
      <c r="P625" t="s">
        <v>2973</v>
      </c>
      <c r="Q625" t="s">
        <v>138</v>
      </c>
      <c r="R625" s="29" t="s">
        <v>2966</v>
      </c>
      <c r="S625">
        <v>2.39</v>
      </c>
      <c r="T625">
        <v>7072</v>
      </c>
      <c r="U625">
        <v>0</v>
      </c>
      <c r="V625">
        <v>7072</v>
      </c>
    </row>
    <row r="626" spans="1:22" x14ac:dyDescent="0.3">
      <c r="A626">
        <v>186607</v>
      </c>
      <c r="B626">
        <v>454997042</v>
      </c>
      <c r="C626" t="s">
        <v>2974</v>
      </c>
      <c r="D626" s="9">
        <v>270412633</v>
      </c>
      <c r="E626" t="s">
        <v>2825</v>
      </c>
      <c r="F626" t="s">
        <v>531</v>
      </c>
      <c r="G626" t="s">
        <v>30</v>
      </c>
      <c r="H626" t="s">
        <v>31</v>
      </c>
      <c r="I626" t="s">
        <v>52</v>
      </c>
      <c r="J626" t="s">
        <v>32</v>
      </c>
      <c r="K626" t="s">
        <v>29</v>
      </c>
      <c r="L626" t="s">
        <v>2975</v>
      </c>
      <c r="M626" t="s">
        <v>2976</v>
      </c>
      <c r="N626" t="s">
        <v>2828</v>
      </c>
      <c r="O626" t="s">
        <v>47</v>
      </c>
      <c r="P626" t="s">
        <v>2977</v>
      </c>
      <c r="Q626" t="s">
        <v>42</v>
      </c>
      <c r="R626" s="29">
        <v>46159.877083333333</v>
      </c>
      <c r="S626">
        <v>4.18</v>
      </c>
      <c r="T626">
        <v>3664</v>
      </c>
      <c r="U626">
        <v>0</v>
      </c>
      <c r="V626">
        <v>3664</v>
      </c>
    </row>
    <row r="627" spans="1:22" x14ac:dyDescent="0.3">
      <c r="A627">
        <v>186607</v>
      </c>
      <c r="B627">
        <v>454798019</v>
      </c>
      <c r="C627" t="s">
        <v>2978</v>
      </c>
      <c r="D627" s="9">
        <v>270043023</v>
      </c>
      <c r="E627" t="s">
        <v>2825</v>
      </c>
      <c r="F627" t="s">
        <v>531</v>
      </c>
      <c r="G627" t="s">
        <v>30</v>
      </c>
      <c r="H627" t="s">
        <v>31</v>
      </c>
      <c r="I627" t="s">
        <v>52</v>
      </c>
      <c r="J627" t="s">
        <v>32</v>
      </c>
      <c r="K627" t="s">
        <v>29</v>
      </c>
      <c r="L627" t="s">
        <v>2979</v>
      </c>
      <c r="M627" t="s">
        <v>2980</v>
      </c>
      <c r="N627" t="s">
        <v>2828</v>
      </c>
      <c r="O627" t="s">
        <v>47</v>
      </c>
      <c r="P627" t="s">
        <v>2981</v>
      </c>
      <c r="Q627" t="s">
        <v>49</v>
      </c>
      <c r="R627" s="29">
        <v>46153.48541666667</v>
      </c>
      <c r="S627">
        <v>4.83</v>
      </c>
      <c r="T627">
        <v>7745</v>
      </c>
      <c r="U627">
        <v>0</v>
      </c>
      <c r="V627">
        <v>7745</v>
      </c>
    </row>
    <row r="628" spans="1:22" x14ac:dyDescent="0.3">
      <c r="A628">
        <v>186607</v>
      </c>
      <c r="B628">
        <v>454997050</v>
      </c>
      <c r="C628" t="s">
        <v>2982</v>
      </c>
      <c r="D628" s="9">
        <v>270412558</v>
      </c>
      <c r="E628" t="s">
        <v>2825</v>
      </c>
      <c r="F628" t="s">
        <v>531</v>
      </c>
      <c r="G628" t="s">
        <v>30</v>
      </c>
      <c r="H628" t="s">
        <v>31</v>
      </c>
      <c r="I628" t="s">
        <v>52</v>
      </c>
      <c r="J628" t="s">
        <v>32</v>
      </c>
      <c r="K628" t="s">
        <v>29</v>
      </c>
      <c r="L628" t="s">
        <v>2983</v>
      </c>
      <c r="M628" t="s">
        <v>2984</v>
      </c>
      <c r="N628" t="s">
        <v>2828</v>
      </c>
      <c r="O628" t="s">
        <v>47</v>
      </c>
      <c r="P628" t="s">
        <v>2985</v>
      </c>
      <c r="Q628" t="s">
        <v>76</v>
      </c>
      <c r="R628" s="29">
        <v>46159.877083333333</v>
      </c>
      <c r="S628">
        <v>0.5</v>
      </c>
      <c r="T628">
        <v>3552</v>
      </c>
      <c r="U628">
        <v>0</v>
      </c>
      <c r="V628">
        <v>3552</v>
      </c>
    </row>
    <row r="629" spans="1:22" x14ac:dyDescent="0.3">
      <c r="A629">
        <v>186607</v>
      </c>
      <c r="B629">
        <v>454997030</v>
      </c>
      <c r="C629" t="s">
        <v>2986</v>
      </c>
      <c r="D629" s="9">
        <v>270412631</v>
      </c>
      <c r="E629" t="s">
        <v>2825</v>
      </c>
      <c r="F629" t="s">
        <v>531</v>
      </c>
      <c r="G629" t="s">
        <v>30</v>
      </c>
      <c r="H629" t="s">
        <v>31</v>
      </c>
      <c r="I629" t="s">
        <v>52</v>
      </c>
      <c r="J629" t="s">
        <v>32</v>
      </c>
      <c r="K629" t="s">
        <v>29</v>
      </c>
      <c r="L629" t="s">
        <v>2987</v>
      </c>
      <c r="M629" t="s">
        <v>2988</v>
      </c>
      <c r="N629" t="s">
        <v>2828</v>
      </c>
      <c r="O629" t="s">
        <v>47</v>
      </c>
      <c r="P629" t="s">
        <v>2989</v>
      </c>
      <c r="Q629" t="s">
        <v>209</v>
      </c>
      <c r="R629" s="29">
        <v>46159.876388888886</v>
      </c>
      <c r="S629">
        <v>1</v>
      </c>
      <c r="T629">
        <v>4028</v>
      </c>
      <c r="U629">
        <v>0</v>
      </c>
      <c r="V629">
        <v>4028</v>
      </c>
    </row>
    <row r="630" spans="1:22" x14ac:dyDescent="0.3">
      <c r="A630">
        <v>186607</v>
      </c>
      <c r="B630">
        <v>454997048</v>
      </c>
      <c r="C630" t="s">
        <v>2990</v>
      </c>
      <c r="D630" s="9">
        <v>270412563</v>
      </c>
      <c r="E630" t="s">
        <v>2825</v>
      </c>
      <c r="F630" t="s">
        <v>531</v>
      </c>
      <c r="G630" t="s">
        <v>30</v>
      </c>
      <c r="H630" t="s">
        <v>31</v>
      </c>
      <c r="I630" t="s">
        <v>52</v>
      </c>
      <c r="J630" t="s">
        <v>32</v>
      </c>
      <c r="K630" t="s">
        <v>29</v>
      </c>
      <c r="L630" t="s">
        <v>2991</v>
      </c>
      <c r="M630" t="s">
        <v>261</v>
      </c>
      <c r="N630" t="s">
        <v>2828</v>
      </c>
      <c r="O630" t="s">
        <v>47</v>
      </c>
      <c r="P630" t="s">
        <v>2992</v>
      </c>
      <c r="Q630" t="s">
        <v>44</v>
      </c>
      <c r="R630" s="29">
        <v>46159.877083333333</v>
      </c>
      <c r="S630">
        <v>3.66</v>
      </c>
      <c r="T630">
        <v>5193</v>
      </c>
      <c r="U630">
        <v>0</v>
      </c>
      <c r="V630">
        <v>5193</v>
      </c>
    </row>
    <row r="631" spans="1:22" x14ac:dyDescent="0.3">
      <c r="A631">
        <v>186607</v>
      </c>
      <c r="B631">
        <v>454997056</v>
      </c>
      <c r="C631" t="s">
        <v>2993</v>
      </c>
      <c r="D631" s="9">
        <v>270412503</v>
      </c>
      <c r="E631" t="s">
        <v>2825</v>
      </c>
      <c r="F631" t="s">
        <v>531</v>
      </c>
      <c r="G631" t="s">
        <v>30</v>
      </c>
      <c r="H631" t="s">
        <v>31</v>
      </c>
      <c r="I631" t="s">
        <v>52</v>
      </c>
      <c r="J631" t="s">
        <v>32</v>
      </c>
      <c r="K631" t="s">
        <v>29</v>
      </c>
      <c r="L631" t="s">
        <v>2994</v>
      </c>
      <c r="M631" t="s">
        <v>2995</v>
      </c>
      <c r="N631" t="s">
        <v>2828</v>
      </c>
      <c r="O631" t="s">
        <v>47</v>
      </c>
      <c r="P631" t="s">
        <v>2996</v>
      </c>
      <c r="Q631" t="s">
        <v>78</v>
      </c>
      <c r="R631" s="29">
        <v>46159.877083333333</v>
      </c>
      <c r="S631">
        <v>0.5</v>
      </c>
      <c r="T631">
        <v>3193</v>
      </c>
      <c r="U631">
        <v>0</v>
      </c>
      <c r="V631">
        <v>3193</v>
      </c>
    </row>
    <row r="632" spans="1:22" x14ac:dyDescent="0.3">
      <c r="A632">
        <v>186607</v>
      </c>
      <c r="B632">
        <v>454997047</v>
      </c>
      <c r="C632" t="s">
        <v>2997</v>
      </c>
      <c r="D632" s="9">
        <v>270412569</v>
      </c>
      <c r="E632" t="s">
        <v>2825</v>
      </c>
      <c r="F632" t="s">
        <v>531</v>
      </c>
      <c r="G632" t="s">
        <v>30</v>
      </c>
      <c r="H632" t="s">
        <v>31</v>
      </c>
      <c r="I632" t="s">
        <v>52</v>
      </c>
      <c r="J632" t="s">
        <v>32</v>
      </c>
      <c r="K632" t="s">
        <v>29</v>
      </c>
      <c r="L632" t="s">
        <v>2998</v>
      </c>
      <c r="M632" t="s">
        <v>2999</v>
      </c>
      <c r="N632" t="s">
        <v>2828</v>
      </c>
      <c r="O632" t="s">
        <v>47</v>
      </c>
      <c r="P632" t="s">
        <v>3000</v>
      </c>
      <c r="Q632" t="s">
        <v>42</v>
      </c>
      <c r="R632" s="29">
        <v>46159.877083333333</v>
      </c>
      <c r="S632">
        <v>1</v>
      </c>
      <c r="T632">
        <v>3250</v>
      </c>
      <c r="U632">
        <v>0</v>
      </c>
      <c r="V632">
        <v>3250</v>
      </c>
    </row>
    <row r="633" spans="1:22" x14ac:dyDescent="0.3">
      <c r="A633">
        <v>186607</v>
      </c>
      <c r="B633">
        <v>454997060</v>
      </c>
      <c r="C633" t="s">
        <v>3001</v>
      </c>
      <c r="D633" s="9">
        <v>270412496</v>
      </c>
      <c r="E633" t="s">
        <v>2825</v>
      </c>
      <c r="F633" t="s">
        <v>531</v>
      </c>
      <c r="G633" t="s">
        <v>30</v>
      </c>
      <c r="H633" t="s">
        <v>31</v>
      </c>
      <c r="I633" t="s">
        <v>52</v>
      </c>
      <c r="J633" t="s">
        <v>32</v>
      </c>
      <c r="K633" t="s">
        <v>29</v>
      </c>
      <c r="L633" t="s">
        <v>3002</v>
      </c>
      <c r="M633" t="s">
        <v>3003</v>
      </c>
      <c r="N633" t="s">
        <v>2828</v>
      </c>
      <c r="O633" t="s">
        <v>47</v>
      </c>
      <c r="P633" t="s">
        <v>3004</v>
      </c>
      <c r="Q633" t="s">
        <v>35</v>
      </c>
      <c r="R633" s="29">
        <v>46159.877083333333</v>
      </c>
      <c r="S633">
        <v>3.14</v>
      </c>
      <c r="T633">
        <v>4687</v>
      </c>
      <c r="U633">
        <v>0</v>
      </c>
      <c r="V633">
        <v>4687</v>
      </c>
    </row>
    <row r="634" spans="1:22" x14ac:dyDescent="0.3">
      <c r="A634">
        <v>186607</v>
      </c>
      <c r="B634">
        <v>455017988</v>
      </c>
      <c r="C634" t="s">
        <v>3005</v>
      </c>
      <c r="D634" s="9">
        <v>270412467</v>
      </c>
      <c r="E634" t="s">
        <v>2825</v>
      </c>
      <c r="F634" t="s">
        <v>531</v>
      </c>
      <c r="G634" t="s">
        <v>30</v>
      </c>
      <c r="H634" t="s">
        <v>31</v>
      </c>
      <c r="I634" t="s">
        <v>52</v>
      </c>
      <c r="J634" t="s">
        <v>32</v>
      </c>
      <c r="K634" t="s">
        <v>29</v>
      </c>
      <c r="L634" t="s">
        <v>3006</v>
      </c>
      <c r="M634" t="s">
        <v>3007</v>
      </c>
      <c r="N634" t="s">
        <v>2828</v>
      </c>
      <c r="O634" t="s">
        <v>47</v>
      </c>
      <c r="P634" t="s">
        <v>3008</v>
      </c>
      <c r="Q634" t="s">
        <v>42</v>
      </c>
      <c r="R634" s="29">
        <v>46160.488888888889</v>
      </c>
      <c r="S634">
        <v>0.5</v>
      </c>
      <c r="T634">
        <v>3193</v>
      </c>
      <c r="U634">
        <v>0</v>
      </c>
      <c r="V634">
        <v>3193</v>
      </c>
    </row>
    <row r="635" spans="1:22" x14ac:dyDescent="0.3">
      <c r="A635">
        <v>186607</v>
      </c>
      <c r="B635">
        <v>454997029</v>
      </c>
      <c r="C635" t="s">
        <v>3009</v>
      </c>
      <c r="D635" s="9">
        <v>270412628</v>
      </c>
      <c r="E635" t="s">
        <v>2825</v>
      </c>
      <c r="F635" t="s">
        <v>531</v>
      </c>
      <c r="G635" t="s">
        <v>30</v>
      </c>
      <c r="H635" t="s">
        <v>31</v>
      </c>
      <c r="I635" t="s">
        <v>52</v>
      </c>
      <c r="J635" t="s">
        <v>32</v>
      </c>
      <c r="K635" t="s">
        <v>29</v>
      </c>
      <c r="L635" t="s">
        <v>3010</v>
      </c>
      <c r="M635" t="s">
        <v>3011</v>
      </c>
      <c r="N635" t="s">
        <v>2828</v>
      </c>
      <c r="O635" t="s">
        <v>47</v>
      </c>
      <c r="P635" t="s">
        <v>3012</v>
      </c>
      <c r="Q635" t="s">
        <v>67</v>
      </c>
      <c r="R635" s="29">
        <v>46159.876388888886</v>
      </c>
      <c r="S635">
        <v>1</v>
      </c>
      <c r="T635">
        <v>3250</v>
      </c>
      <c r="U635">
        <v>0</v>
      </c>
      <c r="V635">
        <v>3250</v>
      </c>
    </row>
    <row r="636" spans="1:22" x14ac:dyDescent="0.3">
      <c r="A636">
        <v>186607</v>
      </c>
      <c r="B636">
        <v>454997041</v>
      </c>
      <c r="C636" t="s">
        <v>3013</v>
      </c>
      <c r="D636" s="9">
        <v>270412622</v>
      </c>
      <c r="E636" t="s">
        <v>2825</v>
      </c>
      <c r="F636" t="s">
        <v>531</v>
      </c>
      <c r="G636" t="s">
        <v>30</v>
      </c>
      <c r="H636" t="s">
        <v>31</v>
      </c>
      <c r="I636" t="s">
        <v>52</v>
      </c>
      <c r="J636" t="s">
        <v>32</v>
      </c>
      <c r="K636" t="s">
        <v>29</v>
      </c>
      <c r="L636" t="s">
        <v>3014</v>
      </c>
      <c r="M636" t="s">
        <v>3015</v>
      </c>
      <c r="N636" t="s">
        <v>2828</v>
      </c>
      <c r="O636" t="s">
        <v>47</v>
      </c>
      <c r="P636" t="s">
        <v>3016</v>
      </c>
      <c r="Q636" t="s">
        <v>74</v>
      </c>
      <c r="R636" s="29">
        <v>46159.876388888886</v>
      </c>
      <c r="S636">
        <v>1.05</v>
      </c>
      <c r="T636">
        <v>3653</v>
      </c>
      <c r="U636">
        <v>0</v>
      </c>
      <c r="V636">
        <v>3653</v>
      </c>
    </row>
    <row r="637" spans="1:22" x14ac:dyDescent="0.3">
      <c r="A637">
        <v>186607</v>
      </c>
      <c r="B637">
        <v>454703776</v>
      </c>
      <c r="C637" t="s">
        <v>3017</v>
      </c>
      <c r="D637" s="9">
        <v>269806897</v>
      </c>
      <c r="E637" t="s">
        <v>2825</v>
      </c>
      <c r="F637" t="s">
        <v>531</v>
      </c>
      <c r="G637" t="s">
        <v>30</v>
      </c>
      <c r="H637" t="s">
        <v>31</v>
      </c>
      <c r="I637" t="s">
        <v>52</v>
      </c>
      <c r="J637" t="s">
        <v>32</v>
      </c>
      <c r="K637" t="s">
        <v>29</v>
      </c>
      <c r="L637" t="s">
        <v>3018</v>
      </c>
      <c r="M637" t="s">
        <v>3019</v>
      </c>
      <c r="N637" t="s">
        <v>2828</v>
      </c>
      <c r="O637" t="s">
        <v>47</v>
      </c>
      <c r="P637" t="s">
        <v>3020</v>
      </c>
      <c r="Q637" t="s">
        <v>49</v>
      </c>
      <c r="R637" s="29">
        <v>46149.923611111109</v>
      </c>
      <c r="S637">
        <v>3.86</v>
      </c>
      <c r="T637">
        <v>7745</v>
      </c>
      <c r="U637">
        <v>0</v>
      </c>
      <c r="V637">
        <v>7745</v>
      </c>
    </row>
    <row r="638" spans="1:22" x14ac:dyDescent="0.3">
      <c r="A638">
        <v>186607</v>
      </c>
      <c r="B638">
        <v>454997049</v>
      </c>
      <c r="C638" t="s">
        <v>3021</v>
      </c>
      <c r="D638" s="9">
        <v>270412511</v>
      </c>
      <c r="E638" t="s">
        <v>2825</v>
      </c>
      <c r="F638" t="s">
        <v>531</v>
      </c>
      <c r="G638" t="s">
        <v>30</v>
      </c>
      <c r="H638" t="s">
        <v>31</v>
      </c>
      <c r="I638" t="s">
        <v>52</v>
      </c>
      <c r="J638" t="s">
        <v>32</v>
      </c>
      <c r="K638" t="s">
        <v>29</v>
      </c>
      <c r="L638" t="s">
        <v>3022</v>
      </c>
      <c r="M638" t="s">
        <v>3023</v>
      </c>
      <c r="N638" t="s">
        <v>2828</v>
      </c>
      <c r="O638" t="s">
        <v>47</v>
      </c>
      <c r="P638" t="s">
        <v>3024</v>
      </c>
      <c r="Q638" t="s">
        <v>48</v>
      </c>
      <c r="R638" s="29">
        <v>46159.877083333333</v>
      </c>
      <c r="S638">
        <v>0.5</v>
      </c>
      <c r="T638">
        <v>3193</v>
      </c>
      <c r="U638">
        <v>0</v>
      </c>
      <c r="V638">
        <v>3193</v>
      </c>
    </row>
    <row r="639" spans="1:22" x14ac:dyDescent="0.3">
      <c r="A639">
        <v>186607</v>
      </c>
      <c r="B639">
        <v>454946593</v>
      </c>
      <c r="C639" t="s">
        <v>3025</v>
      </c>
      <c r="D639" s="9">
        <v>270252936</v>
      </c>
      <c r="E639" t="s">
        <v>2825</v>
      </c>
      <c r="F639" t="s">
        <v>531</v>
      </c>
      <c r="G639" t="s">
        <v>30</v>
      </c>
      <c r="H639" t="s">
        <v>31</v>
      </c>
      <c r="I639" t="s">
        <v>52</v>
      </c>
      <c r="J639" t="s">
        <v>32</v>
      </c>
      <c r="K639" t="s">
        <v>29</v>
      </c>
      <c r="L639" t="s">
        <v>3026</v>
      </c>
      <c r="M639" t="s">
        <v>3027</v>
      </c>
      <c r="N639" t="s">
        <v>2828</v>
      </c>
      <c r="O639" t="s">
        <v>47</v>
      </c>
      <c r="P639" t="s">
        <v>3028</v>
      </c>
      <c r="Q639" t="s">
        <v>69</v>
      </c>
      <c r="R639" s="29">
        <v>46157.43472222222</v>
      </c>
      <c r="S639">
        <v>5.76</v>
      </c>
      <c r="T639">
        <v>9387</v>
      </c>
      <c r="U639">
        <v>0</v>
      </c>
      <c r="V639">
        <v>9387</v>
      </c>
    </row>
    <row r="640" spans="1:22" x14ac:dyDescent="0.3">
      <c r="A640">
        <v>186607</v>
      </c>
      <c r="B640">
        <v>454946609</v>
      </c>
      <c r="C640" t="s">
        <v>3029</v>
      </c>
      <c r="D640" s="9">
        <v>270252839</v>
      </c>
      <c r="E640" t="s">
        <v>2825</v>
      </c>
      <c r="F640" t="s">
        <v>531</v>
      </c>
      <c r="G640" t="s">
        <v>30</v>
      </c>
      <c r="H640" t="s">
        <v>31</v>
      </c>
      <c r="I640" t="s">
        <v>52</v>
      </c>
      <c r="J640" t="s">
        <v>32</v>
      </c>
      <c r="K640" t="s">
        <v>29</v>
      </c>
      <c r="L640" t="s">
        <v>3030</v>
      </c>
      <c r="M640" t="s">
        <v>3031</v>
      </c>
      <c r="N640" t="s">
        <v>2828</v>
      </c>
      <c r="O640" t="s">
        <v>47</v>
      </c>
      <c r="P640" t="s">
        <v>3032</v>
      </c>
      <c r="Q640" t="s">
        <v>80</v>
      </c>
      <c r="R640" s="29">
        <v>46157.43472222222</v>
      </c>
      <c r="S640">
        <v>11.9</v>
      </c>
      <c r="T640">
        <v>13465</v>
      </c>
      <c r="U640">
        <v>0</v>
      </c>
      <c r="V640">
        <v>13465</v>
      </c>
    </row>
    <row r="641" spans="1:22" x14ac:dyDescent="0.3">
      <c r="A641">
        <v>186607</v>
      </c>
      <c r="B641">
        <v>454946613</v>
      </c>
      <c r="C641" t="s">
        <v>3033</v>
      </c>
      <c r="D641" s="9">
        <v>270252786</v>
      </c>
      <c r="E641" t="s">
        <v>2825</v>
      </c>
      <c r="F641" t="s">
        <v>531</v>
      </c>
      <c r="G641" t="s">
        <v>30</v>
      </c>
      <c r="H641" t="s">
        <v>31</v>
      </c>
      <c r="I641" t="s">
        <v>52</v>
      </c>
      <c r="J641" t="s">
        <v>32</v>
      </c>
      <c r="K641" t="s">
        <v>29</v>
      </c>
      <c r="L641" t="s">
        <v>3034</v>
      </c>
      <c r="M641" t="s">
        <v>3035</v>
      </c>
      <c r="N641" t="s">
        <v>2828</v>
      </c>
      <c r="O641" t="s">
        <v>47</v>
      </c>
      <c r="P641" t="s">
        <v>3036</v>
      </c>
      <c r="Q641" t="s">
        <v>160</v>
      </c>
      <c r="R641" s="29">
        <v>46157.43472222222</v>
      </c>
      <c r="S641">
        <v>4.1399999999999997</v>
      </c>
      <c r="T641">
        <v>4305</v>
      </c>
      <c r="U641">
        <v>0</v>
      </c>
      <c r="V641">
        <v>4305</v>
      </c>
    </row>
    <row r="642" spans="1:22" x14ac:dyDescent="0.3">
      <c r="A642">
        <v>186607</v>
      </c>
      <c r="B642">
        <v>454946600</v>
      </c>
      <c r="C642" t="s">
        <v>3037</v>
      </c>
      <c r="D642" s="9">
        <v>270252893</v>
      </c>
      <c r="E642" t="s">
        <v>2825</v>
      </c>
      <c r="F642" t="s">
        <v>531</v>
      </c>
      <c r="G642" t="s">
        <v>30</v>
      </c>
      <c r="H642" t="s">
        <v>31</v>
      </c>
      <c r="I642" t="s">
        <v>52</v>
      </c>
      <c r="J642" t="s">
        <v>32</v>
      </c>
      <c r="K642" t="s">
        <v>29</v>
      </c>
      <c r="L642" t="s">
        <v>3038</v>
      </c>
      <c r="M642" t="s">
        <v>3039</v>
      </c>
      <c r="N642" t="s">
        <v>2828</v>
      </c>
      <c r="O642" t="s">
        <v>47</v>
      </c>
      <c r="P642" t="s">
        <v>3040</v>
      </c>
      <c r="Q642" t="s">
        <v>44</v>
      </c>
      <c r="R642" s="29">
        <v>46157.43472222222</v>
      </c>
      <c r="S642">
        <v>2.0299999999999998</v>
      </c>
      <c r="T642">
        <v>4205</v>
      </c>
      <c r="U642">
        <v>0</v>
      </c>
      <c r="V642">
        <v>4205</v>
      </c>
    </row>
    <row r="643" spans="1:22" x14ac:dyDescent="0.3">
      <c r="A643">
        <v>186607</v>
      </c>
      <c r="B643">
        <v>454946604</v>
      </c>
      <c r="C643" t="s">
        <v>3041</v>
      </c>
      <c r="D643" s="9">
        <v>270252868</v>
      </c>
      <c r="E643" t="s">
        <v>2825</v>
      </c>
      <c r="F643" t="s">
        <v>531</v>
      </c>
      <c r="G643" t="s">
        <v>30</v>
      </c>
      <c r="H643" t="s">
        <v>31</v>
      </c>
      <c r="I643" t="s">
        <v>52</v>
      </c>
      <c r="J643" t="s">
        <v>32</v>
      </c>
      <c r="K643" t="s">
        <v>29</v>
      </c>
      <c r="L643" t="s">
        <v>3042</v>
      </c>
      <c r="M643" t="s">
        <v>3043</v>
      </c>
      <c r="N643" t="s">
        <v>2828</v>
      </c>
      <c r="O643" t="s">
        <v>47</v>
      </c>
      <c r="P643" t="s">
        <v>3044</v>
      </c>
      <c r="Q643" t="s">
        <v>70</v>
      </c>
      <c r="R643" s="29">
        <v>46157.43472222222</v>
      </c>
      <c r="S643">
        <v>6.16</v>
      </c>
      <c r="T643">
        <v>5564</v>
      </c>
      <c r="U643">
        <v>0</v>
      </c>
      <c r="V643">
        <v>5564</v>
      </c>
    </row>
    <row r="644" spans="1:22" x14ac:dyDescent="0.3">
      <c r="A644">
        <v>186607</v>
      </c>
      <c r="B644">
        <v>454946594</v>
      </c>
      <c r="C644" t="s">
        <v>3045</v>
      </c>
      <c r="D644" s="9">
        <v>270252923</v>
      </c>
      <c r="E644" t="s">
        <v>2825</v>
      </c>
      <c r="F644" t="s">
        <v>531</v>
      </c>
      <c r="G644" t="s">
        <v>30</v>
      </c>
      <c r="H644" t="s">
        <v>31</v>
      </c>
      <c r="I644" t="s">
        <v>52</v>
      </c>
      <c r="J644" t="s">
        <v>32</v>
      </c>
      <c r="K644" t="s">
        <v>29</v>
      </c>
      <c r="L644" t="s">
        <v>3046</v>
      </c>
      <c r="M644" t="s">
        <v>3047</v>
      </c>
      <c r="N644" t="s">
        <v>2828</v>
      </c>
      <c r="O644" t="s">
        <v>47</v>
      </c>
      <c r="P644" t="s">
        <v>3048</v>
      </c>
      <c r="Q644" t="s">
        <v>67</v>
      </c>
      <c r="R644" s="29">
        <v>46157.43472222222</v>
      </c>
      <c r="S644">
        <v>4.6399999999999997</v>
      </c>
      <c r="T644">
        <v>3664</v>
      </c>
      <c r="U644">
        <v>0</v>
      </c>
      <c r="V644">
        <v>3664</v>
      </c>
    </row>
    <row r="645" spans="1:22" x14ac:dyDescent="0.3">
      <c r="A645">
        <v>186607</v>
      </c>
      <c r="B645">
        <v>454946596</v>
      </c>
      <c r="C645" t="s">
        <v>3049</v>
      </c>
      <c r="D645" s="9">
        <v>270252885</v>
      </c>
      <c r="E645" t="s">
        <v>2825</v>
      </c>
      <c r="F645" t="s">
        <v>531</v>
      </c>
      <c r="G645" t="s">
        <v>30</v>
      </c>
      <c r="H645" t="s">
        <v>31</v>
      </c>
      <c r="I645" t="s">
        <v>52</v>
      </c>
      <c r="J645" t="s">
        <v>32</v>
      </c>
      <c r="K645" t="s">
        <v>29</v>
      </c>
      <c r="L645" t="s">
        <v>3050</v>
      </c>
      <c r="M645" t="s">
        <v>3051</v>
      </c>
      <c r="N645" t="s">
        <v>2828</v>
      </c>
      <c r="O645" t="s">
        <v>47</v>
      </c>
      <c r="P645" t="s">
        <v>3052</v>
      </c>
      <c r="Q645" t="s">
        <v>200</v>
      </c>
      <c r="R645" s="29">
        <v>46157.43472222222</v>
      </c>
      <c r="S645">
        <v>3.65</v>
      </c>
      <c r="T645">
        <v>4429</v>
      </c>
      <c r="U645">
        <v>0</v>
      </c>
      <c r="V645">
        <v>4429</v>
      </c>
    </row>
    <row r="646" spans="1:22" x14ac:dyDescent="0.3">
      <c r="A646">
        <v>186607</v>
      </c>
      <c r="B646">
        <v>454946598</v>
      </c>
      <c r="C646" t="s">
        <v>3053</v>
      </c>
      <c r="D646" s="9">
        <v>270252902</v>
      </c>
      <c r="E646" t="s">
        <v>2825</v>
      </c>
      <c r="F646" t="s">
        <v>531</v>
      </c>
      <c r="G646" t="s">
        <v>30</v>
      </c>
      <c r="H646" t="s">
        <v>31</v>
      </c>
      <c r="I646" t="s">
        <v>52</v>
      </c>
      <c r="J646" t="s">
        <v>32</v>
      </c>
      <c r="K646" t="s">
        <v>29</v>
      </c>
      <c r="L646" t="s">
        <v>3054</v>
      </c>
      <c r="M646" t="s">
        <v>3055</v>
      </c>
      <c r="N646" t="s">
        <v>2828</v>
      </c>
      <c r="O646" t="s">
        <v>47</v>
      </c>
      <c r="P646" t="s">
        <v>3056</v>
      </c>
      <c r="Q646" t="s">
        <v>41</v>
      </c>
      <c r="R646" s="29">
        <v>46157.43472222222</v>
      </c>
      <c r="S646">
        <v>3.63</v>
      </c>
      <c r="T646">
        <v>4182</v>
      </c>
      <c r="U646">
        <v>0</v>
      </c>
      <c r="V646">
        <v>4182</v>
      </c>
    </row>
    <row r="647" spans="1:22" x14ac:dyDescent="0.3">
      <c r="A647">
        <v>186607</v>
      </c>
      <c r="B647">
        <v>454946595</v>
      </c>
      <c r="C647" t="s">
        <v>3057</v>
      </c>
      <c r="D647" s="9">
        <v>270252927</v>
      </c>
      <c r="E647" t="s">
        <v>2825</v>
      </c>
      <c r="F647" t="s">
        <v>531</v>
      </c>
      <c r="G647" t="s">
        <v>30</v>
      </c>
      <c r="H647" t="s">
        <v>31</v>
      </c>
      <c r="I647" t="s">
        <v>52</v>
      </c>
      <c r="J647" t="s">
        <v>32</v>
      </c>
      <c r="K647" t="s">
        <v>29</v>
      </c>
      <c r="L647" t="s">
        <v>3058</v>
      </c>
      <c r="M647" t="s">
        <v>3059</v>
      </c>
      <c r="N647" t="s">
        <v>2828</v>
      </c>
      <c r="O647" t="s">
        <v>47</v>
      </c>
      <c r="P647" t="s">
        <v>3060</v>
      </c>
      <c r="Q647" t="s">
        <v>42</v>
      </c>
      <c r="R647" s="29">
        <v>46157.43472222222</v>
      </c>
      <c r="S647">
        <v>2.99</v>
      </c>
      <c r="T647">
        <v>3250</v>
      </c>
      <c r="U647">
        <v>0</v>
      </c>
      <c r="V647">
        <v>3250</v>
      </c>
    </row>
    <row r="648" spans="1:22" x14ac:dyDescent="0.3">
      <c r="A648">
        <v>186607</v>
      </c>
      <c r="B648">
        <v>454900182</v>
      </c>
      <c r="C648" t="s">
        <v>3061</v>
      </c>
      <c r="D648" s="9">
        <v>270181331</v>
      </c>
      <c r="E648" t="s">
        <v>2825</v>
      </c>
      <c r="F648" t="s">
        <v>531</v>
      </c>
      <c r="G648" t="s">
        <v>30</v>
      </c>
      <c r="H648" t="s">
        <v>31</v>
      </c>
      <c r="I648" t="s">
        <v>52</v>
      </c>
      <c r="J648" t="s">
        <v>32</v>
      </c>
      <c r="K648" t="s">
        <v>29</v>
      </c>
      <c r="L648" t="s">
        <v>3062</v>
      </c>
      <c r="M648" t="s">
        <v>3063</v>
      </c>
      <c r="N648" t="s">
        <v>2828</v>
      </c>
      <c r="O648" t="s">
        <v>47</v>
      </c>
      <c r="P648" t="s">
        <v>3064</v>
      </c>
      <c r="Q648" t="s">
        <v>69</v>
      </c>
      <c r="R648" s="29">
        <v>46155.895138888889</v>
      </c>
      <c r="S648">
        <v>2.92</v>
      </c>
      <c r="T648">
        <v>5024</v>
      </c>
      <c r="U648">
        <v>0</v>
      </c>
      <c r="V648">
        <v>5024</v>
      </c>
    </row>
    <row r="649" spans="1:22" x14ac:dyDescent="0.3">
      <c r="A649">
        <v>186607</v>
      </c>
      <c r="B649">
        <v>454946614</v>
      </c>
      <c r="C649" t="s">
        <v>3065</v>
      </c>
      <c r="D649" s="9">
        <v>270252819</v>
      </c>
      <c r="E649" t="s">
        <v>2825</v>
      </c>
      <c r="F649" t="s">
        <v>531</v>
      </c>
      <c r="G649" t="s">
        <v>30</v>
      </c>
      <c r="H649" t="s">
        <v>31</v>
      </c>
      <c r="I649" t="s">
        <v>52</v>
      </c>
      <c r="J649" t="s">
        <v>32</v>
      </c>
      <c r="K649" t="s">
        <v>29</v>
      </c>
      <c r="L649" t="s">
        <v>3066</v>
      </c>
      <c r="M649" t="s">
        <v>3067</v>
      </c>
      <c r="N649" t="s">
        <v>2828</v>
      </c>
      <c r="O649" t="s">
        <v>47</v>
      </c>
      <c r="P649" t="s">
        <v>3068</v>
      </c>
      <c r="Q649" t="s">
        <v>34</v>
      </c>
      <c r="R649" s="29">
        <v>46157.43472222222</v>
      </c>
      <c r="S649">
        <v>7.05</v>
      </c>
      <c r="T649">
        <v>5295</v>
      </c>
      <c r="U649">
        <v>0</v>
      </c>
      <c r="V649">
        <v>5295</v>
      </c>
    </row>
    <row r="650" spans="1:22" x14ac:dyDescent="0.3">
      <c r="A650">
        <v>186607</v>
      </c>
      <c r="B650">
        <v>454900180</v>
      </c>
      <c r="C650" t="s">
        <v>3069</v>
      </c>
      <c r="D650" s="9">
        <v>270181373</v>
      </c>
      <c r="E650" t="s">
        <v>2825</v>
      </c>
      <c r="F650" t="s">
        <v>531</v>
      </c>
      <c r="G650" t="s">
        <v>30</v>
      </c>
      <c r="H650" t="s">
        <v>31</v>
      </c>
      <c r="I650" t="s">
        <v>52</v>
      </c>
      <c r="J650" t="s">
        <v>32</v>
      </c>
      <c r="K650" t="s">
        <v>29</v>
      </c>
      <c r="L650" t="s">
        <v>3070</v>
      </c>
      <c r="M650" t="s">
        <v>3071</v>
      </c>
      <c r="N650" t="s">
        <v>2828</v>
      </c>
      <c r="O650" t="s">
        <v>47</v>
      </c>
      <c r="P650" t="s">
        <v>3072</v>
      </c>
      <c r="Q650" t="s">
        <v>76</v>
      </c>
      <c r="R650" s="29">
        <v>46155.895138888889</v>
      </c>
      <c r="S650">
        <v>3.46</v>
      </c>
      <c r="T650">
        <v>4429</v>
      </c>
      <c r="U650">
        <v>0</v>
      </c>
      <c r="V650">
        <v>4429</v>
      </c>
    </row>
    <row r="651" spans="1:22" x14ac:dyDescent="0.3">
      <c r="A651">
        <v>186607</v>
      </c>
      <c r="B651">
        <v>454946591</v>
      </c>
      <c r="C651" t="s">
        <v>3073</v>
      </c>
      <c r="D651" s="9">
        <v>270252964</v>
      </c>
      <c r="E651" t="s">
        <v>2825</v>
      </c>
      <c r="F651" t="s">
        <v>531</v>
      </c>
      <c r="G651" t="s">
        <v>30</v>
      </c>
      <c r="H651" t="s">
        <v>31</v>
      </c>
      <c r="I651" t="s">
        <v>52</v>
      </c>
      <c r="J651" t="s">
        <v>32</v>
      </c>
      <c r="K651" t="s">
        <v>29</v>
      </c>
      <c r="L651" t="s">
        <v>3074</v>
      </c>
      <c r="M651" t="s">
        <v>499</v>
      </c>
      <c r="N651" t="s">
        <v>2828</v>
      </c>
      <c r="O651" t="s">
        <v>47</v>
      </c>
      <c r="P651" t="s">
        <v>3075</v>
      </c>
      <c r="Q651" t="s">
        <v>140</v>
      </c>
      <c r="R651" s="29">
        <v>46157.43472222222</v>
      </c>
      <c r="S651">
        <v>2.92</v>
      </c>
      <c r="T651">
        <v>3250</v>
      </c>
      <c r="U651">
        <v>0</v>
      </c>
      <c r="V651">
        <v>3250</v>
      </c>
    </row>
    <row r="652" spans="1:22" x14ac:dyDescent="0.3">
      <c r="A652">
        <v>186607</v>
      </c>
      <c r="B652">
        <v>454946612</v>
      </c>
      <c r="C652" t="s">
        <v>3076</v>
      </c>
      <c r="D652" s="9">
        <v>270252830</v>
      </c>
      <c r="E652" t="s">
        <v>2825</v>
      </c>
      <c r="F652" t="s">
        <v>531</v>
      </c>
      <c r="G652" t="s">
        <v>30</v>
      </c>
      <c r="H652" t="s">
        <v>31</v>
      </c>
      <c r="I652" t="s">
        <v>52</v>
      </c>
      <c r="J652" t="s">
        <v>32</v>
      </c>
      <c r="K652" t="s">
        <v>29</v>
      </c>
      <c r="L652" t="s">
        <v>3077</v>
      </c>
      <c r="M652" t="s">
        <v>443</v>
      </c>
      <c r="N652" t="s">
        <v>2828</v>
      </c>
      <c r="O652" t="s">
        <v>47</v>
      </c>
      <c r="P652" t="s">
        <v>3078</v>
      </c>
      <c r="Q652" t="s">
        <v>140</v>
      </c>
      <c r="R652" s="29">
        <v>46157.43472222222</v>
      </c>
      <c r="S652">
        <v>3.67</v>
      </c>
      <c r="T652">
        <v>3664</v>
      </c>
      <c r="U652">
        <v>0</v>
      </c>
      <c r="V652">
        <v>3664</v>
      </c>
    </row>
    <row r="653" spans="1:22" x14ac:dyDescent="0.3">
      <c r="A653">
        <v>186607</v>
      </c>
      <c r="B653">
        <v>454911850</v>
      </c>
      <c r="C653" t="s">
        <v>3079</v>
      </c>
      <c r="D653" s="9">
        <v>270181327</v>
      </c>
      <c r="E653" t="s">
        <v>2825</v>
      </c>
      <c r="F653" t="s">
        <v>531</v>
      </c>
      <c r="G653" t="s">
        <v>30</v>
      </c>
      <c r="H653" t="s">
        <v>31</v>
      </c>
      <c r="I653" t="s">
        <v>52</v>
      </c>
      <c r="J653" t="s">
        <v>32</v>
      </c>
      <c r="K653" t="s">
        <v>29</v>
      </c>
      <c r="L653" t="s">
        <v>3080</v>
      </c>
      <c r="M653" t="s">
        <v>3081</v>
      </c>
      <c r="N653" t="s">
        <v>2828</v>
      </c>
      <c r="O653" t="s">
        <v>47</v>
      </c>
      <c r="P653" t="s">
        <v>3082</v>
      </c>
      <c r="Q653" t="s">
        <v>34</v>
      </c>
      <c r="R653" s="29">
        <v>46156.425000000003</v>
      </c>
      <c r="S653">
        <v>1.51</v>
      </c>
      <c r="T653">
        <v>3653</v>
      </c>
      <c r="U653">
        <v>0</v>
      </c>
      <c r="V653">
        <v>3653</v>
      </c>
    </row>
    <row r="654" spans="1:22" x14ac:dyDescent="0.3">
      <c r="A654">
        <v>186607</v>
      </c>
      <c r="B654">
        <v>454719678</v>
      </c>
      <c r="C654" t="s">
        <v>3083</v>
      </c>
      <c r="D654" s="9">
        <v>269806839</v>
      </c>
      <c r="E654" t="s">
        <v>2825</v>
      </c>
      <c r="F654" t="s">
        <v>531</v>
      </c>
      <c r="G654" t="s">
        <v>30</v>
      </c>
      <c r="H654" t="s">
        <v>31</v>
      </c>
      <c r="I654" t="s">
        <v>52</v>
      </c>
      <c r="J654" t="s">
        <v>32</v>
      </c>
      <c r="K654" t="s">
        <v>29</v>
      </c>
      <c r="L654" t="s">
        <v>3084</v>
      </c>
      <c r="M654" t="s">
        <v>3085</v>
      </c>
      <c r="N654" t="s">
        <v>2828</v>
      </c>
      <c r="O654" t="s">
        <v>47</v>
      </c>
      <c r="P654" t="s">
        <v>3086</v>
      </c>
      <c r="Q654" t="s">
        <v>116</v>
      </c>
      <c r="R654" s="29">
        <v>46150.475694444445</v>
      </c>
      <c r="S654">
        <v>0.5</v>
      </c>
      <c r="T654">
        <v>3673</v>
      </c>
      <c r="U654">
        <v>0</v>
      </c>
      <c r="V654">
        <v>3673</v>
      </c>
    </row>
    <row r="655" spans="1:22" x14ac:dyDescent="0.3">
      <c r="A655">
        <v>186607</v>
      </c>
      <c r="B655">
        <v>454703772</v>
      </c>
      <c r="C655" t="s">
        <v>3087</v>
      </c>
      <c r="D655" s="9">
        <v>269806886</v>
      </c>
      <c r="E655" t="s">
        <v>2825</v>
      </c>
      <c r="F655" t="s">
        <v>531</v>
      </c>
      <c r="G655" t="s">
        <v>30</v>
      </c>
      <c r="H655" t="s">
        <v>31</v>
      </c>
      <c r="I655" t="s">
        <v>52</v>
      </c>
      <c r="J655" t="s">
        <v>32</v>
      </c>
      <c r="K655" t="s">
        <v>29</v>
      </c>
      <c r="L655" t="s">
        <v>3088</v>
      </c>
      <c r="M655" t="s">
        <v>3089</v>
      </c>
      <c r="N655" t="s">
        <v>2828</v>
      </c>
      <c r="O655" t="s">
        <v>47</v>
      </c>
      <c r="P655" t="s">
        <v>3090</v>
      </c>
      <c r="Q655" t="s">
        <v>63</v>
      </c>
      <c r="R655" s="29">
        <v>46149.923611111109</v>
      </c>
      <c r="S655">
        <v>0.5</v>
      </c>
      <c r="T655">
        <v>3339</v>
      </c>
      <c r="U655">
        <v>0</v>
      </c>
      <c r="V655">
        <v>3339</v>
      </c>
    </row>
    <row r="656" spans="1:22" x14ac:dyDescent="0.3">
      <c r="A656">
        <v>186607</v>
      </c>
      <c r="B656">
        <v>454911853</v>
      </c>
      <c r="C656" t="s">
        <v>3091</v>
      </c>
      <c r="D656" s="9">
        <v>270181311</v>
      </c>
      <c r="E656" t="s">
        <v>2825</v>
      </c>
      <c r="F656" t="s">
        <v>531</v>
      </c>
      <c r="G656" t="s">
        <v>30</v>
      </c>
      <c r="H656" t="s">
        <v>31</v>
      </c>
      <c r="I656" t="s">
        <v>52</v>
      </c>
      <c r="J656" t="s">
        <v>32</v>
      </c>
      <c r="K656" t="s">
        <v>29</v>
      </c>
      <c r="L656" t="s">
        <v>3092</v>
      </c>
      <c r="M656" t="s">
        <v>3093</v>
      </c>
      <c r="N656" t="s">
        <v>2828</v>
      </c>
      <c r="O656" t="s">
        <v>47</v>
      </c>
      <c r="P656" t="s">
        <v>3094</v>
      </c>
      <c r="Q656" t="s">
        <v>38</v>
      </c>
      <c r="R656" s="29">
        <v>46156.425000000003</v>
      </c>
      <c r="S656">
        <v>3.26</v>
      </c>
      <c r="T656">
        <v>3664</v>
      </c>
      <c r="U656">
        <v>0</v>
      </c>
      <c r="V656">
        <v>3664</v>
      </c>
    </row>
    <row r="657" spans="1:22" x14ac:dyDescent="0.3">
      <c r="A657">
        <v>186607</v>
      </c>
      <c r="B657">
        <v>454900172</v>
      </c>
      <c r="C657" t="s">
        <v>3095</v>
      </c>
      <c r="D657" s="9">
        <v>270181368</v>
      </c>
      <c r="E657" t="s">
        <v>2825</v>
      </c>
      <c r="F657" t="s">
        <v>531</v>
      </c>
      <c r="G657" t="s">
        <v>30</v>
      </c>
      <c r="H657" t="s">
        <v>31</v>
      </c>
      <c r="I657" t="s">
        <v>52</v>
      </c>
      <c r="J657" t="s">
        <v>32</v>
      </c>
      <c r="K657" t="s">
        <v>29</v>
      </c>
      <c r="L657" t="s">
        <v>3096</v>
      </c>
      <c r="M657" t="s">
        <v>3097</v>
      </c>
      <c r="N657" t="s">
        <v>2828</v>
      </c>
      <c r="O657" t="s">
        <v>47</v>
      </c>
      <c r="P657" t="s">
        <v>3098</v>
      </c>
      <c r="Q657" t="s">
        <v>63</v>
      </c>
      <c r="R657" s="29">
        <v>46155.895138888889</v>
      </c>
      <c r="S657">
        <v>3.03</v>
      </c>
      <c r="T657">
        <v>4182</v>
      </c>
      <c r="U657">
        <v>0</v>
      </c>
      <c r="V657">
        <v>4182</v>
      </c>
    </row>
    <row r="658" spans="1:22" x14ac:dyDescent="0.3">
      <c r="A658">
        <v>186607</v>
      </c>
      <c r="B658">
        <v>454911852</v>
      </c>
      <c r="C658" t="s">
        <v>3099</v>
      </c>
      <c r="D658" s="9">
        <v>270181335</v>
      </c>
      <c r="E658" t="s">
        <v>2825</v>
      </c>
      <c r="F658" t="s">
        <v>531</v>
      </c>
      <c r="G658" t="s">
        <v>30</v>
      </c>
      <c r="H658" t="s">
        <v>31</v>
      </c>
      <c r="I658" t="s">
        <v>52</v>
      </c>
      <c r="J658" t="s">
        <v>32</v>
      </c>
      <c r="K658" t="s">
        <v>29</v>
      </c>
      <c r="L658" t="s">
        <v>3100</v>
      </c>
      <c r="M658" t="s">
        <v>3101</v>
      </c>
      <c r="N658" t="s">
        <v>2828</v>
      </c>
      <c r="O658" t="s">
        <v>47</v>
      </c>
      <c r="P658" t="s">
        <v>3102</v>
      </c>
      <c r="Q658" t="s">
        <v>33</v>
      </c>
      <c r="R658" s="29">
        <v>46156.425000000003</v>
      </c>
      <c r="S658">
        <v>3.44</v>
      </c>
      <c r="T658">
        <v>4305</v>
      </c>
      <c r="U658">
        <v>0</v>
      </c>
      <c r="V658">
        <v>4305</v>
      </c>
    </row>
    <row r="659" spans="1:22" x14ac:dyDescent="0.3">
      <c r="A659">
        <v>186607</v>
      </c>
      <c r="B659">
        <v>454900171</v>
      </c>
      <c r="C659" t="s">
        <v>3103</v>
      </c>
      <c r="D659" s="9">
        <v>270181377</v>
      </c>
      <c r="E659" t="s">
        <v>2825</v>
      </c>
      <c r="F659" t="s">
        <v>531</v>
      </c>
      <c r="G659" t="s">
        <v>30</v>
      </c>
      <c r="H659" t="s">
        <v>31</v>
      </c>
      <c r="I659" t="s">
        <v>52</v>
      </c>
      <c r="J659" t="s">
        <v>32</v>
      </c>
      <c r="K659" t="s">
        <v>29</v>
      </c>
      <c r="L659" t="s">
        <v>518</v>
      </c>
      <c r="M659" t="s">
        <v>3104</v>
      </c>
      <c r="N659" t="s">
        <v>2828</v>
      </c>
      <c r="O659" t="s">
        <v>47</v>
      </c>
      <c r="P659" t="s">
        <v>3105</v>
      </c>
      <c r="Q659" t="s">
        <v>33</v>
      </c>
      <c r="R659" s="29">
        <v>46155.895138888889</v>
      </c>
      <c r="S659">
        <v>1.82</v>
      </c>
      <c r="T659">
        <v>3631</v>
      </c>
      <c r="U659">
        <v>0</v>
      </c>
      <c r="V659">
        <v>3631</v>
      </c>
    </row>
    <row r="660" spans="1:22" x14ac:dyDescent="0.3">
      <c r="A660">
        <v>186607</v>
      </c>
      <c r="B660">
        <v>454875570</v>
      </c>
      <c r="C660" t="s">
        <v>3106</v>
      </c>
      <c r="D660" s="9">
        <v>270115970</v>
      </c>
      <c r="E660" t="s">
        <v>2825</v>
      </c>
      <c r="F660" t="s">
        <v>531</v>
      </c>
      <c r="G660" t="s">
        <v>30</v>
      </c>
      <c r="H660" t="s">
        <v>31</v>
      </c>
      <c r="I660" t="s">
        <v>52</v>
      </c>
      <c r="J660" t="s">
        <v>32</v>
      </c>
      <c r="K660" t="s">
        <v>29</v>
      </c>
      <c r="L660" t="s">
        <v>3107</v>
      </c>
      <c r="M660" t="s">
        <v>492</v>
      </c>
      <c r="N660" t="s">
        <v>2828</v>
      </c>
      <c r="O660" t="s">
        <v>47</v>
      </c>
      <c r="P660" t="s">
        <v>3108</v>
      </c>
      <c r="Q660" t="s">
        <v>162</v>
      </c>
      <c r="R660" s="29">
        <v>46155.431944444441</v>
      </c>
      <c r="S660">
        <v>2.2200000000000002</v>
      </c>
      <c r="T660">
        <v>5564</v>
      </c>
      <c r="U660">
        <v>0</v>
      </c>
      <c r="V660">
        <v>5564</v>
      </c>
    </row>
    <row r="661" spans="1:22" x14ac:dyDescent="0.3">
      <c r="A661">
        <v>186607</v>
      </c>
      <c r="B661">
        <v>454588405</v>
      </c>
      <c r="C661" t="s">
        <v>3109</v>
      </c>
      <c r="D661" s="9">
        <v>269569668</v>
      </c>
      <c r="E661" t="s">
        <v>2825</v>
      </c>
      <c r="F661" t="s">
        <v>531</v>
      </c>
      <c r="G661" t="s">
        <v>30</v>
      </c>
      <c r="H661" t="s">
        <v>31</v>
      </c>
      <c r="I661" t="s">
        <v>52</v>
      </c>
      <c r="J661" t="s">
        <v>32</v>
      </c>
      <c r="K661" t="s">
        <v>29</v>
      </c>
      <c r="L661" t="s">
        <v>3110</v>
      </c>
      <c r="M661" t="s">
        <v>3111</v>
      </c>
      <c r="N661" t="s">
        <v>2828</v>
      </c>
      <c r="O661" t="s">
        <v>47</v>
      </c>
      <c r="P661" t="s">
        <v>3112</v>
      </c>
      <c r="Q661" t="s">
        <v>184</v>
      </c>
      <c r="R661" s="29">
        <v>46147.459027777775</v>
      </c>
      <c r="S661">
        <v>3.56</v>
      </c>
      <c r="T661">
        <v>7745</v>
      </c>
      <c r="U661">
        <v>0</v>
      </c>
      <c r="V661">
        <v>7745</v>
      </c>
    </row>
    <row r="662" spans="1:22" x14ac:dyDescent="0.3">
      <c r="A662">
        <v>186607</v>
      </c>
      <c r="B662">
        <v>454863099</v>
      </c>
      <c r="C662" t="s">
        <v>3113</v>
      </c>
      <c r="D662" s="9">
        <v>270115984</v>
      </c>
      <c r="E662" t="s">
        <v>2825</v>
      </c>
      <c r="F662" t="s">
        <v>531</v>
      </c>
      <c r="G662" t="s">
        <v>30</v>
      </c>
      <c r="H662" t="s">
        <v>31</v>
      </c>
      <c r="I662" t="s">
        <v>52</v>
      </c>
      <c r="J662" t="s">
        <v>32</v>
      </c>
      <c r="K662" t="s">
        <v>29</v>
      </c>
      <c r="L662" t="s">
        <v>3114</v>
      </c>
      <c r="M662" t="s">
        <v>3115</v>
      </c>
      <c r="N662" t="s">
        <v>2828</v>
      </c>
      <c r="O662" t="s">
        <v>47</v>
      </c>
      <c r="P662" t="s">
        <v>3116</v>
      </c>
      <c r="Q662" t="s">
        <v>198</v>
      </c>
      <c r="R662" s="29">
        <v>46154.897222222222</v>
      </c>
      <c r="S662">
        <v>0.5</v>
      </c>
      <c r="T662">
        <v>3552</v>
      </c>
      <c r="U662">
        <v>0</v>
      </c>
      <c r="V662">
        <v>3552</v>
      </c>
    </row>
    <row r="663" spans="1:22" x14ac:dyDescent="0.3">
      <c r="A663">
        <v>186607</v>
      </c>
      <c r="B663">
        <v>454836114</v>
      </c>
      <c r="C663" t="s">
        <v>3117</v>
      </c>
      <c r="D663" s="9">
        <v>270042889</v>
      </c>
      <c r="E663" t="s">
        <v>2825</v>
      </c>
      <c r="F663" t="s">
        <v>531</v>
      </c>
      <c r="G663" t="s">
        <v>30</v>
      </c>
      <c r="H663" t="s">
        <v>31</v>
      </c>
      <c r="I663" t="s">
        <v>52</v>
      </c>
      <c r="J663" t="s">
        <v>32</v>
      </c>
      <c r="K663" t="s">
        <v>29</v>
      </c>
      <c r="L663" t="s">
        <v>3118</v>
      </c>
      <c r="M663" t="s">
        <v>3119</v>
      </c>
      <c r="N663" t="s">
        <v>2828</v>
      </c>
      <c r="O663" t="s">
        <v>47</v>
      </c>
      <c r="P663" t="s">
        <v>3120</v>
      </c>
      <c r="Q663" t="s">
        <v>162</v>
      </c>
      <c r="R663" s="29">
        <v>46154.419444444444</v>
      </c>
      <c r="S663">
        <v>2.04</v>
      </c>
      <c r="T663">
        <v>5564</v>
      </c>
      <c r="U663">
        <v>0</v>
      </c>
      <c r="V663">
        <v>5564</v>
      </c>
    </row>
    <row r="664" spans="1:22" x14ac:dyDescent="0.3">
      <c r="A664">
        <v>186607</v>
      </c>
      <c r="B664">
        <v>454821774</v>
      </c>
      <c r="C664" t="s">
        <v>3121</v>
      </c>
      <c r="D664" s="9">
        <v>270042990</v>
      </c>
      <c r="E664" t="s">
        <v>2825</v>
      </c>
      <c r="F664" t="s">
        <v>531</v>
      </c>
      <c r="G664" t="s">
        <v>30</v>
      </c>
      <c r="H664" t="s">
        <v>31</v>
      </c>
      <c r="I664" t="s">
        <v>52</v>
      </c>
      <c r="J664" t="s">
        <v>32</v>
      </c>
      <c r="K664" t="s">
        <v>29</v>
      </c>
      <c r="L664" t="s">
        <v>3122</v>
      </c>
      <c r="M664" t="s">
        <v>3123</v>
      </c>
      <c r="N664" t="s">
        <v>2828</v>
      </c>
      <c r="O664" t="s">
        <v>47</v>
      </c>
      <c r="P664" t="s">
        <v>3124</v>
      </c>
      <c r="Q664" t="s">
        <v>69</v>
      </c>
      <c r="R664" s="29">
        <v>46153.847222222219</v>
      </c>
      <c r="S664">
        <v>1.98</v>
      </c>
      <c r="T664">
        <v>5024</v>
      </c>
      <c r="U664">
        <v>0</v>
      </c>
      <c r="V664">
        <v>5024</v>
      </c>
    </row>
    <row r="665" spans="1:22" x14ac:dyDescent="0.3">
      <c r="A665">
        <v>186607</v>
      </c>
      <c r="B665">
        <v>454836110</v>
      </c>
      <c r="C665" t="s">
        <v>3125</v>
      </c>
      <c r="D665" s="9">
        <v>270042920</v>
      </c>
      <c r="E665" t="s">
        <v>2825</v>
      </c>
      <c r="F665" t="s">
        <v>531</v>
      </c>
      <c r="G665" t="s">
        <v>30</v>
      </c>
      <c r="H665" t="s">
        <v>31</v>
      </c>
      <c r="I665" t="s">
        <v>52</v>
      </c>
      <c r="J665" t="s">
        <v>32</v>
      </c>
      <c r="K665" t="s">
        <v>29</v>
      </c>
      <c r="L665" t="s">
        <v>3126</v>
      </c>
      <c r="M665" t="s">
        <v>3127</v>
      </c>
      <c r="N665" t="s">
        <v>2828</v>
      </c>
      <c r="O665" t="s">
        <v>47</v>
      </c>
      <c r="P665" t="s">
        <v>3128</v>
      </c>
      <c r="Q665" t="s">
        <v>61</v>
      </c>
      <c r="R665" s="29">
        <v>46154.419444444444</v>
      </c>
      <c r="S665">
        <v>3.3</v>
      </c>
      <c r="T665">
        <v>4935</v>
      </c>
      <c r="U665">
        <v>0</v>
      </c>
      <c r="V665">
        <v>4935</v>
      </c>
    </row>
    <row r="666" spans="1:22" x14ac:dyDescent="0.3">
      <c r="A666">
        <v>186607</v>
      </c>
      <c r="B666">
        <v>454798013</v>
      </c>
      <c r="C666" t="s">
        <v>3129</v>
      </c>
      <c r="D666" s="9">
        <v>270043072</v>
      </c>
      <c r="E666" t="s">
        <v>2825</v>
      </c>
      <c r="F666" t="s">
        <v>531</v>
      </c>
      <c r="G666" t="s">
        <v>30</v>
      </c>
      <c r="H666" t="s">
        <v>31</v>
      </c>
      <c r="I666" t="s">
        <v>52</v>
      </c>
      <c r="J666" t="s">
        <v>32</v>
      </c>
      <c r="K666" t="s">
        <v>29</v>
      </c>
      <c r="L666" t="s">
        <v>3130</v>
      </c>
      <c r="M666" t="s">
        <v>3131</v>
      </c>
      <c r="N666" t="s">
        <v>2828</v>
      </c>
      <c r="O666" t="s">
        <v>47</v>
      </c>
      <c r="P666" t="s">
        <v>3132</v>
      </c>
      <c r="Q666" t="s">
        <v>69</v>
      </c>
      <c r="R666" s="29">
        <v>46153.48541666667</v>
      </c>
      <c r="S666">
        <v>3.63</v>
      </c>
      <c r="T666">
        <v>7239</v>
      </c>
      <c r="U666">
        <v>0</v>
      </c>
      <c r="V666">
        <v>7239</v>
      </c>
    </row>
    <row r="667" spans="1:22" x14ac:dyDescent="0.3">
      <c r="A667">
        <v>186607</v>
      </c>
      <c r="B667">
        <v>454798012</v>
      </c>
      <c r="C667" t="s">
        <v>3133</v>
      </c>
      <c r="D667" s="9">
        <v>270043079</v>
      </c>
      <c r="E667" t="s">
        <v>2825</v>
      </c>
      <c r="F667" t="s">
        <v>531</v>
      </c>
      <c r="G667" t="s">
        <v>30</v>
      </c>
      <c r="H667" t="s">
        <v>31</v>
      </c>
      <c r="I667" t="s">
        <v>52</v>
      </c>
      <c r="J667" t="s">
        <v>32</v>
      </c>
      <c r="K667" t="s">
        <v>29</v>
      </c>
      <c r="L667" t="s">
        <v>3134</v>
      </c>
      <c r="M667" t="s">
        <v>386</v>
      </c>
      <c r="N667" t="s">
        <v>2828</v>
      </c>
      <c r="O667" t="s">
        <v>47</v>
      </c>
      <c r="P667" t="s">
        <v>3135</v>
      </c>
      <c r="Q667" t="s">
        <v>176</v>
      </c>
      <c r="R667" s="29">
        <v>46153.48541666667</v>
      </c>
      <c r="S667">
        <v>2.1</v>
      </c>
      <c r="T667">
        <v>3653</v>
      </c>
      <c r="U667">
        <v>0</v>
      </c>
      <c r="V667">
        <v>3653</v>
      </c>
    </row>
    <row r="668" spans="1:22" x14ac:dyDescent="0.3">
      <c r="A668">
        <v>186607</v>
      </c>
      <c r="B668">
        <v>454863084</v>
      </c>
      <c r="C668" t="s">
        <v>3136</v>
      </c>
      <c r="D668" s="9">
        <v>270116054</v>
      </c>
      <c r="E668" t="s">
        <v>2825</v>
      </c>
      <c r="F668" t="s">
        <v>531</v>
      </c>
      <c r="G668" t="s">
        <v>30</v>
      </c>
      <c r="H668" t="s">
        <v>31</v>
      </c>
      <c r="I668" t="s">
        <v>52</v>
      </c>
      <c r="J668" t="s">
        <v>32</v>
      </c>
      <c r="K668" t="s">
        <v>29</v>
      </c>
      <c r="L668" t="s">
        <v>3137</v>
      </c>
      <c r="M668" t="s">
        <v>3138</v>
      </c>
      <c r="N668" t="s">
        <v>2828</v>
      </c>
      <c r="O668" t="s">
        <v>47</v>
      </c>
      <c r="P668" t="s">
        <v>3139</v>
      </c>
      <c r="Q668" t="s">
        <v>160</v>
      </c>
      <c r="R668" s="29">
        <v>46154.897222222222</v>
      </c>
      <c r="S668">
        <v>0.5</v>
      </c>
      <c r="T668">
        <v>3552</v>
      </c>
      <c r="U668">
        <v>0</v>
      </c>
      <c r="V668">
        <v>3552</v>
      </c>
    </row>
    <row r="669" spans="1:22" x14ac:dyDescent="0.3">
      <c r="A669">
        <v>186607</v>
      </c>
      <c r="B669">
        <v>454863088</v>
      </c>
      <c r="C669" t="s">
        <v>3140</v>
      </c>
      <c r="D669" s="9">
        <v>270116004</v>
      </c>
      <c r="E669" t="s">
        <v>2825</v>
      </c>
      <c r="F669" t="s">
        <v>531</v>
      </c>
      <c r="G669" t="s">
        <v>30</v>
      </c>
      <c r="H669" t="s">
        <v>31</v>
      </c>
      <c r="I669" t="s">
        <v>52</v>
      </c>
      <c r="J669" t="s">
        <v>32</v>
      </c>
      <c r="K669" t="s">
        <v>29</v>
      </c>
      <c r="L669" t="s">
        <v>3141</v>
      </c>
      <c r="M669" t="s">
        <v>3142</v>
      </c>
      <c r="N669" t="s">
        <v>2828</v>
      </c>
      <c r="O669" t="s">
        <v>47</v>
      </c>
      <c r="P669" t="s">
        <v>3143</v>
      </c>
      <c r="Q669" t="s">
        <v>42</v>
      </c>
      <c r="R669" s="29">
        <v>46154.897222222222</v>
      </c>
      <c r="S669">
        <v>4.1500000000000004</v>
      </c>
      <c r="T669">
        <v>3664</v>
      </c>
      <c r="U669">
        <v>0</v>
      </c>
      <c r="V669">
        <v>3664</v>
      </c>
    </row>
    <row r="670" spans="1:22" x14ac:dyDescent="0.3">
      <c r="A670">
        <v>186607</v>
      </c>
      <c r="B670">
        <v>454863089</v>
      </c>
      <c r="C670" t="s">
        <v>3144</v>
      </c>
      <c r="D670" s="9">
        <v>270116036</v>
      </c>
      <c r="E670" t="s">
        <v>2825</v>
      </c>
      <c r="F670" t="s">
        <v>531</v>
      </c>
      <c r="G670" t="s">
        <v>30</v>
      </c>
      <c r="H670" t="s">
        <v>31</v>
      </c>
      <c r="I670" t="s">
        <v>52</v>
      </c>
      <c r="J670" t="s">
        <v>32</v>
      </c>
      <c r="K670" t="s">
        <v>29</v>
      </c>
      <c r="L670" t="s">
        <v>3145</v>
      </c>
      <c r="M670" t="s">
        <v>3146</v>
      </c>
      <c r="N670" t="s">
        <v>2828</v>
      </c>
      <c r="O670" t="s">
        <v>47</v>
      </c>
      <c r="P670" t="s">
        <v>3147</v>
      </c>
      <c r="Q670" t="s">
        <v>33</v>
      </c>
      <c r="R670" s="29">
        <v>46154.897222222222</v>
      </c>
      <c r="S670">
        <v>0.5</v>
      </c>
      <c r="T670">
        <v>3552</v>
      </c>
      <c r="U670">
        <v>0</v>
      </c>
      <c r="V670">
        <v>3552</v>
      </c>
    </row>
    <row r="671" spans="1:22" x14ac:dyDescent="0.3">
      <c r="A671">
        <v>186607</v>
      </c>
      <c r="B671">
        <v>454863098</v>
      </c>
      <c r="C671" t="s">
        <v>3148</v>
      </c>
      <c r="D671" s="9">
        <v>270115981</v>
      </c>
      <c r="E671" t="s">
        <v>2825</v>
      </c>
      <c r="F671" t="s">
        <v>531</v>
      </c>
      <c r="G671" t="s">
        <v>30</v>
      </c>
      <c r="H671" t="s">
        <v>31</v>
      </c>
      <c r="I671" t="s">
        <v>52</v>
      </c>
      <c r="J671" t="s">
        <v>32</v>
      </c>
      <c r="K671" t="s">
        <v>29</v>
      </c>
      <c r="L671" t="s">
        <v>3149</v>
      </c>
      <c r="M671" t="s">
        <v>3150</v>
      </c>
      <c r="N671" t="s">
        <v>2828</v>
      </c>
      <c r="O671" t="s">
        <v>47</v>
      </c>
      <c r="P671" t="s">
        <v>3151</v>
      </c>
      <c r="Q671" t="s">
        <v>241</v>
      </c>
      <c r="R671" s="29">
        <v>46154.897222222222</v>
      </c>
      <c r="S671">
        <v>3.63</v>
      </c>
      <c r="T671">
        <v>5757</v>
      </c>
      <c r="U671">
        <v>0</v>
      </c>
      <c r="V671">
        <v>5757</v>
      </c>
    </row>
    <row r="672" spans="1:22" x14ac:dyDescent="0.3">
      <c r="A672">
        <v>186607</v>
      </c>
      <c r="B672">
        <v>454863091</v>
      </c>
      <c r="C672" t="s">
        <v>3152</v>
      </c>
      <c r="D672" s="9">
        <v>270115990</v>
      </c>
      <c r="E672" t="s">
        <v>2825</v>
      </c>
      <c r="F672" t="s">
        <v>531</v>
      </c>
      <c r="G672" t="s">
        <v>30</v>
      </c>
      <c r="H672" t="s">
        <v>31</v>
      </c>
      <c r="I672" t="s">
        <v>52</v>
      </c>
      <c r="J672" t="s">
        <v>32</v>
      </c>
      <c r="K672" t="s">
        <v>29</v>
      </c>
      <c r="L672" t="s">
        <v>3153</v>
      </c>
      <c r="M672" t="s">
        <v>3154</v>
      </c>
      <c r="N672" t="s">
        <v>2828</v>
      </c>
      <c r="O672" t="s">
        <v>47</v>
      </c>
      <c r="P672" t="s">
        <v>3155</v>
      </c>
      <c r="Q672" t="s">
        <v>44</v>
      </c>
      <c r="R672" s="29">
        <v>46154.897222222222</v>
      </c>
      <c r="S672">
        <v>3.35</v>
      </c>
      <c r="T672">
        <v>5193</v>
      </c>
      <c r="U672">
        <v>0</v>
      </c>
      <c r="V672">
        <v>5193</v>
      </c>
    </row>
    <row r="673" spans="1:22" x14ac:dyDescent="0.3">
      <c r="A673">
        <v>186607</v>
      </c>
      <c r="B673">
        <v>454798017</v>
      </c>
      <c r="C673" t="s">
        <v>3156</v>
      </c>
      <c r="D673" s="9">
        <v>270043030</v>
      </c>
      <c r="E673" t="s">
        <v>2825</v>
      </c>
      <c r="F673" t="s">
        <v>531</v>
      </c>
      <c r="G673" t="s">
        <v>30</v>
      </c>
      <c r="H673" t="s">
        <v>31</v>
      </c>
      <c r="I673" t="s">
        <v>52</v>
      </c>
      <c r="J673" t="s">
        <v>32</v>
      </c>
      <c r="K673" t="s">
        <v>29</v>
      </c>
      <c r="L673" t="s">
        <v>3157</v>
      </c>
      <c r="M673" t="s">
        <v>3158</v>
      </c>
      <c r="N673" t="s">
        <v>2828</v>
      </c>
      <c r="O673" t="s">
        <v>47</v>
      </c>
      <c r="P673" t="s">
        <v>3159</v>
      </c>
      <c r="Q673" t="s">
        <v>69</v>
      </c>
      <c r="R673" s="29">
        <v>46153.48541666667</v>
      </c>
      <c r="S673">
        <v>3.4</v>
      </c>
      <c r="T673">
        <v>7239</v>
      </c>
      <c r="U673">
        <v>0</v>
      </c>
      <c r="V673">
        <v>7239</v>
      </c>
    </row>
    <row r="674" spans="1:22" x14ac:dyDescent="0.3">
      <c r="A674">
        <v>186607</v>
      </c>
      <c r="B674">
        <v>454736942</v>
      </c>
      <c r="C674" t="s">
        <v>3160</v>
      </c>
      <c r="D674" s="9">
        <v>269964491</v>
      </c>
      <c r="E674" t="s">
        <v>2825</v>
      </c>
      <c r="F674" t="s">
        <v>531</v>
      </c>
      <c r="G674" t="s">
        <v>30</v>
      </c>
      <c r="H674" t="s">
        <v>31</v>
      </c>
      <c r="I674" t="s">
        <v>52</v>
      </c>
      <c r="J674" t="s">
        <v>32</v>
      </c>
      <c r="K674" t="s">
        <v>29</v>
      </c>
      <c r="L674" t="s">
        <v>3161</v>
      </c>
      <c r="M674" t="s">
        <v>3162</v>
      </c>
      <c r="N674" t="s">
        <v>2828</v>
      </c>
      <c r="O674" t="s">
        <v>47</v>
      </c>
      <c r="P674" t="s">
        <v>3163</v>
      </c>
      <c r="Q674" t="s">
        <v>36</v>
      </c>
      <c r="R674" s="29">
        <v>46150.863194444442</v>
      </c>
      <c r="S674">
        <v>4.33</v>
      </c>
      <c r="T674">
        <v>8250</v>
      </c>
      <c r="U674">
        <v>0</v>
      </c>
      <c r="V674">
        <v>8250</v>
      </c>
    </row>
    <row r="675" spans="1:22" x14ac:dyDescent="0.3">
      <c r="A675">
        <v>186607</v>
      </c>
      <c r="B675">
        <v>454774949</v>
      </c>
      <c r="C675" t="s">
        <v>3164</v>
      </c>
      <c r="D675" s="9">
        <v>269961448</v>
      </c>
      <c r="E675" t="s">
        <v>2825</v>
      </c>
      <c r="F675" t="s">
        <v>531</v>
      </c>
      <c r="G675" t="s">
        <v>30</v>
      </c>
      <c r="H675" t="s">
        <v>31</v>
      </c>
      <c r="I675" t="s">
        <v>52</v>
      </c>
      <c r="J675" t="s">
        <v>32</v>
      </c>
      <c r="K675" t="s">
        <v>29</v>
      </c>
      <c r="L675" t="s">
        <v>3165</v>
      </c>
      <c r="M675" t="s">
        <v>3166</v>
      </c>
      <c r="N675" t="s">
        <v>2828</v>
      </c>
      <c r="O675" t="s">
        <v>47</v>
      </c>
      <c r="P675" t="s">
        <v>3167</v>
      </c>
      <c r="Q675" t="s">
        <v>142</v>
      </c>
      <c r="R675" s="29">
        <v>46152.885416666664</v>
      </c>
      <c r="S675">
        <v>3.15</v>
      </c>
      <c r="T675">
        <v>4305</v>
      </c>
      <c r="U675">
        <v>0</v>
      </c>
      <c r="V675">
        <v>4305</v>
      </c>
    </row>
    <row r="676" spans="1:22" x14ac:dyDescent="0.3">
      <c r="A676">
        <v>186607</v>
      </c>
      <c r="B676">
        <v>454639784</v>
      </c>
      <c r="C676" t="s">
        <v>3168</v>
      </c>
      <c r="D676" s="9">
        <v>269660113</v>
      </c>
      <c r="E676" t="s">
        <v>2825</v>
      </c>
      <c r="F676" t="s">
        <v>531</v>
      </c>
      <c r="G676" t="s">
        <v>30</v>
      </c>
      <c r="H676" t="s">
        <v>31</v>
      </c>
      <c r="I676" t="s">
        <v>52</v>
      </c>
      <c r="J676" t="s">
        <v>32</v>
      </c>
      <c r="K676" t="s">
        <v>29</v>
      </c>
      <c r="L676" t="s">
        <v>3169</v>
      </c>
      <c r="M676" t="s">
        <v>3097</v>
      </c>
      <c r="N676" t="s">
        <v>2828</v>
      </c>
      <c r="O676" t="s">
        <v>47</v>
      </c>
      <c r="P676" t="s">
        <v>3170</v>
      </c>
      <c r="Q676" t="s">
        <v>63</v>
      </c>
      <c r="R676" s="29">
        <v>46148.507638888892</v>
      </c>
      <c r="S676">
        <v>0.5</v>
      </c>
      <c r="T676">
        <v>3339</v>
      </c>
      <c r="U676">
        <v>0</v>
      </c>
      <c r="V676">
        <v>3339</v>
      </c>
    </row>
    <row r="677" spans="1:22" x14ac:dyDescent="0.3">
      <c r="A677">
        <v>186607</v>
      </c>
      <c r="B677">
        <v>454863086</v>
      </c>
      <c r="C677" t="s">
        <v>3171</v>
      </c>
      <c r="D677" s="9">
        <v>270116009</v>
      </c>
      <c r="E677" t="s">
        <v>2825</v>
      </c>
      <c r="F677" t="s">
        <v>531</v>
      </c>
      <c r="G677" t="s">
        <v>30</v>
      </c>
      <c r="H677" t="s">
        <v>31</v>
      </c>
      <c r="I677" t="s">
        <v>52</v>
      </c>
      <c r="J677" t="s">
        <v>32</v>
      </c>
      <c r="K677" t="s">
        <v>29</v>
      </c>
      <c r="L677" t="s">
        <v>3172</v>
      </c>
      <c r="M677" t="s">
        <v>3173</v>
      </c>
      <c r="N677" t="s">
        <v>2828</v>
      </c>
      <c r="O677" t="s">
        <v>47</v>
      </c>
      <c r="P677" t="s">
        <v>3174</v>
      </c>
      <c r="Q677" t="s">
        <v>41</v>
      </c>
      <c r="R677" s="29">
        <v>46154.897222222222</v>
      </c>
      <c r="S677">
        <v>0.5</v>
      </c>
      <c r="T677">
        <v>3339</v>
      </c>
      <c r="U677">
        <v>0</v>
      </c>
      <c r="V677">
        <v>3339</v>
      </c>
    </row>
    <row r="678" spans="1:22" x14ac:dyDescent="0.3">
      <c r="A678">
        <v>186607</v>
      </c>
      <c r="B678">
        <v>454774967</v>
      </c>
      <c r="C678" t="s">
        <v>3175</v>
      </c>
      <c r="D678" s="9">
        <v>269961400</v>
      </c>
      <c r="E678" t="s">
        <v>2825</v>
      </c>
      <c r="F678" t="s">
        <v>531</v>
      </c>
      <c r="G678" t="s">
        <v>30</v>
      </c>
      <c r="H678" t="s">
        <v>31</v>
      </c>
      <c r="I678" t="s">
        <v>52</v>
      </c>
      <c r="J678" t="s">
        <v>32</v>
      </c>
      <c r="K678" t="s">
        <v>29</v>
      </c>
      <c r="L678" t="s">
        <v>3176</v>
      </c>
      <c r="M678" t="s">
        <v>3177</v>
      </c>
      <c r="N678" t="s">
        <v>2828</v>
      </c>
      <c r="O678" t="s">
        <v>47</v>
      </c>
      <c r="P678" t="s">
        <v>3178</v>
      </c>
      <c r="Q678" t="s">
        <v>114</v>
      </c>
      <c r="R678" s="29">
        <v>46152.885416666664</v>
      </c>
      <c r="S678">
        <v>2.04</v>
      </c>
      <c r="T678">
        <v>4205</v>
      </c>
      <c r="U678">
        <v>0</v>
      </c>
      <c r="V678">
        <v>4205</v>
      </c>
    </row>
    <row r="679" spans="1:22" x14ac:dyDescent="0.3">
      <c r="A679">
        <v>186607</v>
      </c>
      <c r="B679">
        <v>454774948</v>
      </c>
      <c r="C679" t="s">
        <v>3179</v>
      </c>
      <c r="D679" s="9">
        <v>269961460</v>
      </c>
      <c r="E679" t="s">
        <v>2825</v>
      </c>
      <c r="F679" t="s">
        <v>531</v>
      </c>
      <c r="G679" t="s">
        <v>30</v>
      </c>
      <c r="H679" t="s">
        <v>31</v>
      </c>
      <c r="I679" t="s">
        <v>52</v>
      </c>
      <c r="J679" t="s">
        <v>32</v>
      </c>
      <c r="K679" t="s">
        <v>29</v>
      </c>
      <c r="L679" t="s">
        <v>3180</v>
      </c>
      <c r="M679" t="s">
        <v>3181</v>
      </c>
      <c r="N679" t="s">
        <v>2828</v>
      </c>
      <c r="O679" t="s">
        <v>47</v>
      </c>
      <c r="P679" t="s">
        <v>3182</v>
      </c>
      <c r="Q679" t="s">
        <v>143</v>
      </c>
      <c r="R679" s="29">
        <v>46152.885416666664</v>
      </c>
      <c r="S679">
        <v>3.08</v>
      </c>
      <c r="T679">
        <v>4687</v>
      </c>
      <c r="U679">
        <v>0</v>
      </c>
      <c r="V679">
        <v>4687</v>
      </c>
    </row>
    <row r="680" spans="1:22" x14ac:dyDescent="0.3">
      <c r="A680">
        <v>186607</v>
      </c>
      <c r="B680">
        <v>454836100</v>
      </c>
      <c r="C680" t="s">
        <v>3183</v>
      </c>
      <c r="D680" s="9">
        <v>270042941</v>
      </c>
      <c r="E680" t="s">
        <v>2825</v>
      </c>
      <c r="F680" t="s">
        <v>531</v>
      </c>
      <c r="G680" t="s">
        <v>30</v>
      </c>
      <c r="H680" t="s">
        <v>31</v>
      </c>
      <c r="I680" t="s">
        <v>52</v>
      </c>
      <c r="J680" t="s">
        <v>32</v>
      </c>
      <c r="K680" t="s">
        <v>29</v>
      </c>
      <c r="L680" t="s">
        <v>3184</v>
      </c>
      <c r="M680" t="s">
        <v>3185</v>
      </c>
      <c r="N680" t="s">
        <v>2828</v>
      </c>
      <c r="O680" t="s">
        <v>47</v>
      </c>
      <c r="P680" t="s">
        <v>3186</v>
      </c>
      <c r="Q680" t="s">
        <v>35</v>
      </c>
      <c r="R680" s="29">
        <v>46154.419444444444</v>
      </c>
      <c r="S680">
        <v>4.45</v>
      </c>
      <c r="T680">
        <v>4687</v>
      </c>
      <c r="U680">
        <v>0</v>
      </c>
      <c r="V680">
        <v>4687</v>
      </c>
    </row>
    <row r="681" spans="1:22" x14ac:dyDescent="0.3">
      <c r="A681">
        <v>186607</v>
      </c>
      <c r="B681">
        <v>454798020</v>
      </c>
      <c r="C681" t="s">
        <v>3187</v>
      </c>
      <c r="D681" s="9">
        <v>270043026</v>
      </c>
      <c r="E681" t="s">
        <v>2825</v>
      </c>
      <c r="F681" t="s">
        <v>531</v>
      </c>
      <c r="G681" t="s">
        <v>30</v>
      </c>
      <c r="H681" t="s">
        <v>31</v>
      </c>
      <c r="I681" t="s">
        <v>52</v>
      </c>
      <c r="J681" t="s">
        <v>32</v>
      </c>
      <c r="K681" t="s">
        <v>29</v>
      </c>
      <c r="L681" t="s">
        <v>3188</v>
      </c>
      <c r="M681" t="s">
        <v>3189</v>
      </c>
      <c r="N681" t="s">
        <v>2828</v>
      </c>
      <c r="O681" t="s">
        <v>47</v>
      </c>
      <c r="P681" t="s">
        <v>3190</v>
      </c>
      <c r="Q681" t="s">
        <v>168</v>
      </c>
      <c r="R681" s="29">
        <v>46153.48541666667</v>
      </c>
      <c r="S681">
        <v>4.79</v>
      </c>
      <c r="T681">
        <v>3664</v>
      </c>
      <c r="U681">
        <v>0</v>
      </c>
      <c r="V681">
        <v>3664</v>
      </c>
    </row>
    <row r="682" spans="1:22" x14ac:dyDescent="0.3">
      <c r="A682">
        <v>186607</v>
      </c>
      <c r="B682">
        <v>454840449</v>
      </c>
      <c r="C682" t="s">
        <v>3191</v>
      </c>
      <c r="D682" s="9">
        <v>270042885</v>
      </c>
      <c r="E682" t="s">
        <v>2825</v>
      </c>
      <c r="F682" t="s">
        <v>531</v>
      </c>
      <c r="G682" t="s">
        <v>30</v>
      </c>
      <c r="H682" t="s">
        <v>31</v>
      </c>
      <c r="I682" t="s">
        <v>52</v>
      </c>
      <c r="J682" t="s">
        <v>32</v>
      </c>
      <c r="K682" t="s">
        <v>29</v>
      </c>
      <c r="L682" t="s">
        <v>3192</v>
      </c>
      <c r="M682" t="s">
        <v>3193</v>
      </c>
      <c r="N682" t="s">
        <v>2828</v>
      </c>
      <c r="O682" t="s">
        <v>47</v>
      </c>
      <c r="P682" t="s">
        <v>3194</v>
      </c>
      <c r="Q682" t="s">
        <v>65</v>
      </c>
      <c r="R682" s="29">
        <v>46154.464583333334</v>
      </c>
      <c r="S682">
        <v>3.49</v>
      </c>
      <c r="T682">
        <v>4935</v>
      </c>
      <c r="U682">
        <v>0</v>
      </c>
      <c r="V682">
        <v>4935</v>
      </c>
    </row>
    <row r="683" spans="1:22" x14ac:dyDescent="0.3">
      <c r="A683">
        <v>186607</v>
      </c>
      <c r="B683">
        <v>454736944</v>
      </c>
      <c r="C683" t="s">
        <v>3195</v>
      </c>
      <c r="D683" s="9">
        <v>269964487</v>
      </c>
      <c r="E683" t="s">
        <v>2825</v>
      </c>
      <c r="F683" t="s">
        <v>531</v>
      </c>
      <c r="G683" t="s">
        <v>30</v>
      </c>
      <c r="H683" t="s">
        <v>31</v>
      </c>
      <c r="I683" t="s">
        <v>52</v>
      </c>
      <c r="J683" t="s">
        <v>32</v>
      </c>
      <c r="K683" t="s">
        <v>29</v>
      </c>
      <c r="L683" t="s">
        <v>3196</v>
      </c>
      <c r="M683" t="s">
        <v>3197</v>
      </c>
      <c r="N683" t="s">
        <v>2828</v>
      </c>
      <c r="O683" t="s">
        <v>47</v>
      </c>
      <c r="P683" t="s">
        <v>3198</v>
      </c>
      <c r="Q683" t="s">
        <v>80</v>
      </c>
      <c r="R683" s="29">
        <v>46150.863194444442</v>
      </c>
      <c r="S683">
        <v>0.5</v>
      </c>
      <c r="T683">
        <v>3935</v>
      </c>
      <c r="U683">
        <v>0</v>
      </c>
      <c r="V683">
        <v>3935</v>
      </c>
    </row>
    <row r="684" spans="1:22" x14ac:dyDescent="0.3">
      <c r="A684">
        <v>186607</v>
      </c>
      <c r="B684">
        <v>454836106</v>
      </c>
      <c r="C684" t="s">
        <v>3199</v>
      </c>
      <c r="D684" s="9">
        <v>270042958</v>
      </c>
      <c r="E684" t="s">
        <v>2825</v>
      </c>
      <c r="F684" t="s">
        <v>531</v>
      </c>
      <c r="G684" t="s">
        <v>30</v>
      </c>
      <c r="H684" t="s">
        <v>31</v>
      </c>
      <c r="I684" t="s">
        <v>52</v>
      </c>
      <c r="J684" t="s">
        <v>32</v>
      </c>
      <c r="K684" t="s">
        <v>29</v>
      </c>
      <c r="L684" t="s">
        <v>3200</v>
      </c>
      <c r="M684" t="s">
        <v>3201</v>
      </c>
      <c r="N684" t="s">
        <v>2828</v>
      </c>
      <c r="O684" t="s">
        <v>47</v>
      </c>
      <c r="P684" t="s">
        <v>3202</v>
      </c>
      <c r="Q684" t="s">
        <v>33</v>
      </c>
      <c r="R684" s="29">
        <v>46154.419444444444</v>
      </c>
      <c r="S684">
        <v>1.88</v>
      </c>
      <c r="T684">
        <v>3631</v>
      </c>
      <c r="U684">
        <v>0</v>
      </c>
      <c r="V684">
        <v>3631</v>
      </c>
    </row>
    <row r="685" spans="1:22" x14ac:dyDescent="0.3">
      <c r="A685">
        <v>186607</v>
      </c>
      <c r="B685">
        <v>454836104</v>
      </c>
      <c r="C685" t="s">
        <v>3203</v>
      </c>
      <c r="D685" s="9">
        <v>270042955</v>
      </c>
      <c r="E685" t="s">
        <v>2825</v>
      </c>
      <c r="F685" t="s">
        <v>531</v>
      </c>
      <c r="G685" t="s">
        <v>30</v>
      </c>
      <c r="H685" t="s">
        <v>31</v>
      </c>
      <c r="I685" t="s">
        <v>52</v>
      </c>
      <c r="J685" t="s">
        <v>32</v>
      </c>
      <c r="K685" t="s">
        <v>29</v>
      </c>
      <c r="L685" t="s">
        <v>257</v>
      </c>
      <c r="M685" t="s">
        <v>3204</v>
      </c>
      <c r="N685" t="s">
        <v>2828</v>
      </c>
      <c r="O685" t="s">
        <v>47</v>
      </c>
      <c r="P685" t="s">
        <v>3205</v>
      </c>
      <c r="Q685" t="s">
        <v>189</v>
      </c>
      <c r="R685" s="29">
        <v>46154.419444444444</v>
      </c>
      <c r="S685">
        <v>2.2400000000000002</v>
      </c>
      <c r="T685">
        <v>3250</v>
      </c>
      <c r="U685">
        <v>0</v>
      </c>
      <c r="V685">
        <v>3250</v>
      </c>
    </row>
    <row r="686" spans="1:22" x14ac:dyDescent="0.3">
      <c r="A686">
        <v>186607</v>
      </c>
      <c r="B686">
        <v>454798011</v>
      </c>
      <c r="C686" t="s">
        <v>3206</v>
      </c>
      <c r="D686" s="9">
        <v>270043100</v>
      </c>
      <c r="E686" t="s">
        <v>2825</v>
      </c>
      <c r="F686" t="s">
        <v>531</v>
      </c>
      <c r="G686" t="s">
        <v>30</v>
      </c>
      <c r="H686" t="s">
        <v>31</v>
      </c>
      <c r="I686" t="s">
        <v>52</v>
      </c>
      <c r="J686" t="s">
        <v>32</v>
      </c>
      <c r="K686" t="s">
        <v>29</v>
      </c>
      <c r="L686" t="s">
        <v>3207</v>
      </c>
      <c r="M686" t="s">
        <v>3208</v>
      </c>
      <c r="N686" t="s">
        <v>2828</v>
      </c>
      <c r="O686" t="s">
        <v>47</v>
      </c>
      <c r="P686" t="s">
        <v>3209</v>
      </c>
      <c r="Q686" t="s">
        <v>34</v>
      </c>
      <c r="R686" s="29">
        <v>46153.48541666667</v>
      </c>
      <c r="S686">
        <v>2.14</v>
      </c>
      <c r="T686">
        <v>3653</v>
      </c>
      <c r="U686">
        <v>0</v>
      </c>
      <c r="V686">
        <v>3653</v>
      </c>
    </row>
    <row r="687" spans="1:22" x14ac:dyDescent="0.3">
      <c r="A687">
        <v>186607</v>
      </c>
      <c r="B687">
        <v>454821763</v>
      </c>
      <c r="C687" t="s">
        <v>3210</v>
      </c>
      <c r="D687" s="9">
        <v>270043040</v>
      </c>
      <c r="E687" t="s">
        <v>2825</v>
      </c>
      <c r="F687" t="s">
        <v>531</v>
      </c>
      <c r="G687" t="s">
        <v>30</v>
      </c>
      <c r="H687" t="s">
        <v>31</v>
      </c>
      <c r="I687" t="s">
        <v>52</v>
      </c>
      <c r="J687" t="s">
        <v>32</v>
      </c>
      <c r="K687" t="s">
        <v>29</v>
      </c>
      <c r="L687" t="s">
        <v>3211</v>
      </c>
      <c r="M687" t="s">
        <v>3212</v>
      </c>
      <c r="N687" t="s">
        <v>2828</v>
      </c>
      <c r="O687" t="s">
        <v>47</v>
      </c>
      <c r="P687" t="s">
        <v>3213</v>
      </c>
      <c r="Q687" t="s">
        <v>202</v>
      </c>
      <c r="R687" s="29">
        <v>46153.847222222219</v>
      </c>
      <c r="S687">
        <v>3.76</v>
      </c>
      <c r="T687">
        <v>4935</v>
      </c>
      <c r="U687">
        <v>0</v>
      </c>
      <c r="V687">
        <v>4935</v>
      </c>
    </row>
    <row r="688" spans="1:22" x14ac:dyDescent="0.3">
      <c r="A688">
        <v>186607</v>
      </c>
      <c r="B688">
        <v>454821771</v>
      </c>
      <c r="C688" t="s">
        <v>3214</v>
      </c>
      <c r="D688" s="9">
        <v>270043016</v>
      </c>
      <c r="E688" t="s">
        <v>2825</v>
      </c>
      <c r="F688" t="s">
        <v>531</v>
      </c>
      <c r="G688" t="s">
        <v>30</v>
      </c>
      <c r="H688" t="s">
        <v>31</v>
      </c>
      <c r="I688" t="s">
        <v>52</v>
      </c>
      <c r="J688" t="s">
        <v>32</v>
      </c>
      <c r="K688" t="s">
        <v>29</v>
      </c>
      <c r="L688" t="s">
        <v>3215</v>
      </c>
      <c r="M688" t="s">
        <v>332</v>
      </c>
      <c r="N688" t="s">
        <v>2828</v>
      </c>
      <c r="O688" t="s">
        <v>47</v>
      </c>
      <c r="P688" t="s">
        <v>3216</v>
      </c>
      <c r="Q688" t="s">
        <v>62</v>
      </c>
      <c r="R688" s="29">
        <v>46153.847222222219</v>
      </c>
      <c r="S688">
        <v>3.41</v>
      </c>
      <c r="T688">
        <v>5193</v>
      </c>
      <c r="U688">
        <v>0</v>
      </c>
      <c r="V688">
        <v>5193</v>
      </c>
    </row>
    <row r="689" spans="1:22" x14ac:dyDescent="0.3">
      <c r="A689">
        <v>186607</v>
      </c>
      <c r="B689">
        <v>454736937</v>
      </c>
      <c r="C689" t="s">
        <v>3217</v>
      </c>
      <c r="D689" s="9">
        <v>269964520</v>
      </c>
      <c r="E689" t="s">
        <v>2825</v>
      </c>
      <c r="F689" t="s">
        <v>531</v>
      </c>
      <c r="G689" t="s">
        <v>30</v>
      </c>
      <c r="H689" t="s">
        <v>31</v>
      </c>
      <c r="I689" t="s">
        <v>52</v>
      </c>
      <c r="J689" t="s">
        <v>32</v>
      </c>
      <c r="K689" t="s">
        <v>29</v>
      </c>
      <c r="L689" t="s">
        <v>3218</v>
      </c>
      <c r="M689" t="s">
        <v>3219</v>
      </c>
      <c r="N689" t="s">
        <v>2828</v>
      </c>
      <c r="O689" t="s">
        <v>47</v>
      </c>
      <c r="P689" t="s">
        <v>3220</v>
      </c>
      <c r="Q689" t="s">
        <v>69</v>
      </c>
      <c r="R689" s="29">
        <v>46150.863194444442</v>
      </c>
      <c r="S689">
        <v>1.31</v>
      </c>
      <c r="T689">
        <v>5024</v>
      </c>
      <c r="U689">
        <v>0</v>
      </c>
      <c r="V689">
        <v>5024</v>
      </c>
    </row>
    <row r="690" spans="1:22" x14ac:dyDescent="0.3">
      <c r="A690">
        <v>186607</v>
      </c>
      <c r="B690">
        <v>454821767</v>
      </c>
      <c r="C690" t="s">
        <v>3221</v>
      </c>
      <c r="D690" s="9">
        <v>270043034</v>
      </c>
      <c r="E690" t="s">
        <v>2825</v>
      </c>
      <c r="F690" t="s">
        <v>531</v>
      </c>
      <c r="G690" t="s">
        <v>30</v>
      </c>
      <c r="H690" t="s">
        <v>31</v>
      </c>
      <c r="I690" t="s">
        <v>52</v>
      </c>
      <c r="J690" t="s">
        <v>32</v>
      </c>
      <c r="K690" t="s">
        <v>29</v>
      </c>
      <c r="L690" t="s">
        <v>3222</v>
      </c>
      <c r="M690" t="s">
        <v>3223</v>
      </c>
      <c r="N690" t="s">
        <v>2828</v>
      </c>
      <c r="O690" t="s">
        <v>47</v>
      </c>
      <c r="P690" t="s">
        <v>3224</v>
      </c>
      <c r="Q690" t="s">
        <v>76</v>
      </c>
      <c r="R690" s="29">
        <v>46153.847222222219</v>
      </c>
      <c r="S690">
        <v>2.59</v>
      </c>
      <c r="T690">
        <v>3653</v>
      </c>
      <c r="U690">
        <v>0</v>
      </c>
      <c r="V690">
        <v>3653</v>
      </c>
    </row>
    <row r="691" spans="1:22" x14ac:dyDescent="0.3">
      <c r="A691">
        <v>186607</v>
      </c>
      <c r="B691">
        <v>454821773</v>
      </c>
      <c r="C691" t="s">
        <v>3225</v>
      </c>
      <c r="D691" s="9">
        <v>270043002</v>
      </c>
      <c r="E691" t="s">
        <v>2825</v>
      </c>
      <c r="F691" t="s">
        <v>531</v>
      </c>
      <c r="G691" t="s">
        <v>30</v>
      </c>
      <c r="H691" t="s">
        <v>31</v>
      </c>
      <c r="I691" t="s">
        <v>52</v>
      </c>
      <c r="J691" t="s">
        <v>32</v>
      </c>
      <c r="K691" t="s">
        <v>29</v>
      </c>
      <c r="L691" t="s">
        <v>3226</v>
      </c>
      <c r="M691" t="s">
        <v>3227</v>
      </c>
      <c r="N691" t="s">
        <v>2828</v>
      </c>
      <c r="O691" t="s">
        <v>47</v>
      </c>
      <c r="P691" t="s">
        <v>3228</v>
      </c>
      <c r="Q691" t="s">
        <v>62</v>
      </c>
      <c r="R691" s="29">
        <v>46153.847222222219</v>
      </c>
      <c r="S691">
        <v>2.19</v>
      </c>
      <c r="T691">
        <v>3935</v>
      </c>
      <c r="U691">
        <v>0</v>
      </c>
      <c r="V691">
        <v>3935</v>
      </c>
    </row>
    <row r="692" spans="1:22" x14ac:dyDescent="0.3">
      <c r="A692">
        <v>186607</v>
      </c>
      <c r="B692">
        <v>454836095</v>
      </c>
      <c r="C692" t="s">
        <v>3229</v>
      </c>
      <c r="D692" s="9">
        <v>270042972</v>
      </c>
      <c r="E692" t="s">
        <v>2825</v>
      </c>
      <c r="F692" t="s">
        <v>531</v>
      </c>
      <c r="G692" t="s">
        <v>30</v>
      </c>
      <c r="H692" t="s">
        <v>31</v>
      </c>
      <c r="I692" t="s">
        <v>52</v>
      </c>
      <c r="J692" t="s">
        <v>32</v>
      </c>
      <c r="K692" t="s">
        <v>29</v>
      </c>
      <c r="L692" t="s">
        <v>3230</v>
      </c>
      <c r="M692" t="s">
        <v>3231</v>
      </c>
      <c r="N692" t="s">
        <v>2828</v>
      </c>
      <c r="O692" t="s">
        <v>47</v>
      </c>
      <c r="P692" t="s">
        <v>3232</v>
      </c>
      <c r="Q692" t="s">
        <v>41</v>
      </c>
      <c r="R692" s="29">
        <v>46154.418749999997</v>
      </c>
      <c r="S692">
        <v>2.92</v>
      </c>
      <c r="T692">
        <v>3384</v>
      </c>
      <c r="U692">
        <v>0</v>
      </c>
      <c r="V692">
        <v>3384</v>
      </c>
    </row>
    <row r="693" spans="1:22" x14ac:dyDescent="0.3">
      <c r="A693">
        <v>186607</v>
      </c>
      <c r="B693">
        <v>454774964</v>
      </c>
      <c r="C693" t="s">
        <v>3233</v>
      </c>
      <c r="D693" s="9">
        <v>269961438</v>
      </c>
      <c r="E693" t="s">
        <v>2825</v>
      </c>
      <c r="F693" t="s">
        <v>531</v>
      </c>
      <c r="G693" t="s">
        <v>30</v>
      </c>
      <c r="H693" t="s">
        <v>31</v>
      </c>
      <c r="I693" t="s">
        <v>52</v>
      </c>
      <c r="J693" t="s">
        <v>32</v>
      </c>
      <c r="K693" t="s">
        <v>29</v>
      </c>
      <c r="L693" t="s">
        <v>3234</v>
      </c>
      <c r="M693" t="s">
        <v>3235</v>
      </c>
      <c r="N693" t="s">
        <v>2828</v>
      </c>
      <c r="O693" t="s">
        <v>47</v>
      </c>
      <c r="P693" t="s">
        <v>3236</v>
      </c>
      <c r="Q693" t="s">
        <v>114</v>
      </c>
      <c r="R693" s="29">
        <v>46152.885416666664</v>
      </c>
      <c r="S693">
        <v>4.43</v>
      </c>
      <c r="T693">
        <v>5193</v>
      </c>
      <c r="U693">
        <v>0</v>
      </c>
      <c r="V693">
        <v>5193</v>
      </c>
    </row>
    <row r="694" spans="1:22" x14ac:dyDescent="0.3">
      <c r="A694">
        <v>186607</v>
      </c>
      <c r="B694">
        <v>454774945</v>
      </c>
      <c r="C694" t="s">
        <v>3237</v>
      </c>
      <c r="D694" s="9">
        <v>269961482</v>
      </c>
      <c r="E694" t="s">
        <v>2825</v>
      </c>
      <c r="F694" t="s">
        <v>531</v>
      </c>
      <c r="G694" t="s">
        <v>30</v>
      </c>
      <c r="H694" t="s">
        <v>31</v>
      </c>
      <c r="I694" t="s">
        <v>52</v>
      </c>
      <c r="J694" t="s">
        <v>32</v>
      </c>
      <c r="K694" t="s">
        <v>29</v>
      </c>
      <c r="L694" t="s">
        <v>3238</v>
      </c>
      <c r="M694" t="s">
        <v>3239</v>
      </c>
      <c r="N694" t="s">
        <v>2828</v>
      </c>
      <c r="O694" t="s">
        <v>47</v>
      </c>
      <c r="P694" t="s">
        <v>3240</v>
      </c>
      <c r="Q694" t="s">
        <v>142</v>
      </c>
      <c r="R694" s="29">
        <v>46152.885416666664</v>
      </c>
      <c r="S694">
        <v>0.5</v>
      </c>
      <c r="T694">
        <v>3552</v>
      </c>
      <c r="U694">
        <v>0</v>
      </c>
      <c r="V694">
        <v>3552</v>
      </c>
    </row>
    <row r="695" spans="1:22" x14ac:dyDescent="0.3">
      <c r="A695">
        <v>186607</v>
      </c>
      <c r="B695">
        <v>454836111</v>
      </c>
      <c r="C695" t="s">
        <v>3241</v>
      </c>
      <c r="D695" s="9">
        <v>270042929</v>
      </c>
      <c r="E695" t="s">
        <v>2825</v>
      </c>
      <c r="F695" t="s">
        <v>531</v>
      </c>
      <c r="G695" t="s">
        <v>30</v>
      </c>
      <c r="H695" t="s">
        <v>31</v>
      </c>
      <c r="I695" t="s">
        <v>52</v>
      </c>
      <c r="J695" t="s">
        <v>32</v>
      </c>
      <c r="K695" t="s">
        <v>29</v>
      </c>
      <c r="L695" t="s">
        <v>3242</v>
      </c>
      <c r="M695" t="s">
        <v>3243</v>
      </c>
      <c r="N695" t="s">
        <v>2828</v>
      </c>
      <c r="O695" t="s">
        <v>47</v>
      </c>
      <c r="P695" t="s">
        <v>2894</v>
      </c>
      <c r="Q695" t="s">
        <v>88</v>
      </c>
      <c r="R695" s="29">
        <v>46154.419444444444</v>
      </c>
      <c r="S695">
        <v>3.25</v>
      </c>
      <c r="T695">
        <v>4305</v>
      </c>
      <c r="U695">
        <v>0</v>
      </c>
      <c r="V695">
        <v>4305</v>
      </c>
    </row>
    <row r="696" spans="1:22" x14ac:dyDescent="0.3">
      <c r="A696">
        <v>186607</v>
      </c>
      <c r="B696">
        <v>454821776</v>
      </c>
      <c r="C696" t="s">
        <v>3244</v>
      </c>
      <c r="D696" s="9">
        <v>270042980</v>
      </c>
      <c r="E696" t="s">
        <v>2825</v>
      </c>
      <c r="F696" t="s">
        <v>531</v>
      </c>
      <c r="G696" t="s">
        <v>30</v>
      </c>
      <c r="H696" t="s">
        <v>31</v>
      </c>
      <c r="I696" t="s">
        <v>52</v>
      </c>
      <c r="J696" t="s">
        <v>32</v>
      </c>
      <c r="K696" t="s">
        <v>29</v>
      </c>
      <c r="L696" t="s">
        <v>347</v>
      </c>
      <c r="M696" t="s">
        <v>3245</v>
      </c>
      <c r="N696" t="s">
        <v>2828</v>
      </c>
      <c r="O696" t="s">
        <v>47</v>
      </c>
      <c r="P696" t="s">
        <v>3246</v>
      </c>
      <c r="Q696" t="s">
        <v>38</v>
      </c>
      <c r="R696" s="29">
        <v>46153.847222222219</v>
      </c>
      <c r="S696">
        <v>1.8</v>
      </c>
      <c r="T696">
        <v>3250</v>
      </c>
      <c r="U696">
        <v>0</v>
      </c>
      <c r="V696">
        <v>3250</v>
      </c>
    </row>
    <row r="697" spans="1:22" x14ac:dyDescent="0.3">
      <c r="A697">
        <v>186607</v>
      </c>
      <c r="B697">
        <v>454774970</v>
      </c>
      <c r="C697" t="s">
        <v>3247</v>
      </c>
      <c r="D697" s="9">
        <v>269961388</v>
      </c>
      <c r="E697" t="s">
        <v>2825</v>
      </c>
      <c r="F697" t="s">
        <v>531</v>
      </c>
      <c r="G697" t="s">
        <v>30</v>
      </c>
      <c r="H697" t="s">
        <v>31</v>
      </c>
      <c r="I697" t="s">
        <v>52</v>
      </c>
      <c r="J697" t="s">
        <v>32</v>
      </c>
      <c r="K697" t="s">
        <v>29</v>
      </c>
      <c r="L697" t="s">
        <v>3248</v>
      </c>
      <c r="M697" t="s">
        <v>3249</v>
      </c>
      <c r="N697" t="s">
        <v>2828</v>
      </c>
      <c r="O697" t="s">
        <v>47</v>
      </c>
      <c r="P697" t="s">
        <v>3250</v>
      </c>
      <c r="Q697" t="s">
        <v>69</v>
      </c>
      <c r="R697" s="29">
        <v>46152.885416666664</v>
      </c>
      <c r="S697">
        <v>5.61</v>
      </c>
      <c r="T697">
        <v>9387</v>
      </c>
      <c r="U697">
        <v>0</v>
      </c>
      <c r="V697">
        <v>9387</v>
      </c>
    </row>
    <row r="698" spans="1:22" x14ac:dyDescent="0.3">
      <c r="A698">
        <v>186607</v>
      </c>
      <c r="B698">
        <v>454466722</v>
      </c>
      <c r="C698" t="s">
        <v>3251</v>
      </c>
      <c r="D698" s="9">
        <v>269479302</v>
      </c>
      <c r="E698" t="s">
        <v>2825</v>
      </c>
      <c r="F698" t="s">
        <v>531</v>
      </c>
      <c r="G698" t="s">
        <v>30</v>
      </c>
      <c r="H698" t="s">
        <v>31</v>
      </c>
      <c r="I698" t="s">
        <v>52</v>
      </c>
      <c r="J698" t="s">
        <v>32</v>
      </c>
      <c r="K698" t="s">
        <v>29</v>
      </c>
      <c r="L698" t="s">
        <v>3252</v>
      </c>
      <c r="M698" t="s">
        <v>3253</v>
      </c>
      <c r="N698" t="s">
        <v>2828</v>
      </c>
      <c r="O698" t="s">
        <v>47</v>
      </c>
      <c r="P698" t="s">
        <v>3254</v>
      </c>
      <c r="Q698" t="s">
        <v>49</v>
      </c>
      <c r="R698" s="29">
        <v>46143.914583333331</v>
      </c>
      <c r="S698">
        <v>0.5</v>
      </c>
      <c r="T698">
        <v>5193</v>
      </c>
      <c r="U698">
        <v>0</v>
      </c>
      <c r="V698">
        <v>5193</v>
      </c>
    </row>
    <row r="699" spans="1:22" x14ac:dyDescent="0.3">
      <c r="A699">
        <v>186607</v>
      </c>
      <c r="B699">
        <v>454774944</v>
      </c>
      <c r="C699" t="s">
        <v>3255</v>
      </c>
      <c r="D699" s="9">
        <v>269961466</v>
      </c>
      <c r="E699" t="s">
        <v>2825</v>
      </c>
      <c r="F699" t="s">
        <v>531</v>
      </c>
      <c r="G699" t="s">
        <v>30</v>
      </c>
      <c r="H699" t="s">
        <v>31</v>
      </c>
      <c r="I699" t="s">
        <v>52</v>
      </c>
      <c r="J699" t="s">
        <v>32</v>
      </c>
      <c r="K699" t="s">
        <v>29</v>
      </c>
      <c r="L699" t="s">
        <v>3256</v>
      </c>
      <c r="M699" t="s">
        <v>3257</v>
      </c>
      <c r="N699" t="s">
        <v>2828</v>
      </c>
      <c r="O699" t="s">
        <v>47</v>
      </c>
      <c r="P699" t="s">
        <v>3258</v>
      </c>
      <c r="Q699" t="s">
        <v>65</v>
      </c>
      <c r="R699" s="29">
        <v>46152.885416666664</v>
      </c>
      <c r="S699">
        <v>2.11</v>
      </c>
      <c r="T699">
        <v>3935</v>
      </c>
      <c r="U699">
        <v>0</v>
      </c>
      <c r="V699">
        <v>3935</v>
      </c>
    </row>
    <row r="700" spans="1:22" x14ac:dyDescent="0.3">
      <c r="A700">
        <v>186607</v>
      </c>
      <c r="B700">
        <v>454746414</v>
      </c>
      <c r="C700" t="s">
        <v>3259</v>
      </c>
      <c r="D700" s="9">
        <v>269961541</v>
      </c>
      <c r="E700" t="s">
        <v>2825</v>
      </c>
      <c r="F700" t="s">
        <v>531</v>
      </c>
      <c r="G700" t="s">
        <v>30</v>
      </c>
      <c r="H700" t="s">
        <v>31</v>
      </c>
      <c r="I700" t="s">
        <v>52</v>
      </c>
      <c r="J700" t="s">
        <v>32</v>
      </c>
      <c r="K700" t="s">
        <v>29</v>
      </c>
      <c r="L700" t="s">
        <v>3260</v>
      </c>
      <c r="M700" t="s">
        <v>3261</v>
      </c>
      <c r="N700" t="s">
        <v>2828</v>
      </c>
      <c r="O700" t="s">
        <v>47</v>
      </c>
      <c r="P700" t="s">
        <v>3262</v>
      </c>
      <c r="Q700" t="s">
        <v>74</v>
      </c>
      <c r="R700" s="29">
        <v>46151.466666666667</v>
      </c>
      <c r="S700">
        <v>7.85</v>
      </c>
      <c r="T700">
        <v>5295</v>
      </c>
      <c r="U700">
        <v>0</v>
      </c>
      <c r="V700">
        <v>5295</v>
      </c>
    </row>
    <row r="701" spans="1:22" x14ac:dyDescent="0.3">
      <c r="A701">
        <v>186607</v>
      </c>
      <c r="B701">
        <v>454774963</v>
      </c>
      <c r="C701" t="s">
        <v>3263</v>
      </c>
      <c r="D701" s="9">
        <v>269961433</v>
      </c>
      <c r="E701" t="s">
        <v>2825</v>
      </c>
      <c r="F701" t="s">
        <v>531</v>
      </c>
      <c r="G701" t="s">
        <v>30</v>
      </c>
      <c r="H701" t="s">
        <v>31</v>
      </c>
      <c r="I701" t="s">
        <v>52</v>
      </c>
      <c r="J701" t="s">
        <v>32</v>
      </c>
      <c r="K701" t="s">
        <v>102</v>
      </c>
      <c r="L701" t="s">
        <v>103</v>
      </c>
      <c r="M701" t="s">
        <v>3264</v>
      </c>
      <c r="N701" t="s">
        <v>2828</v>
      </c>
      <c r="O701" t="s">
        <v>47</v>
      </c>
      <c r="P701" t="s">
        <v>3265</v>
      </c>
      <c r="Q701" t="s">
        <v>79</v>
      </c>
      <c r="R701" s="29">
        <v>46152.885416666664</v>
      </c>
      <c r="S701">
        <v>2.27</v>
      </c>
      <c r="T701">
        <v>3631</v>
      </c>
      <c r="U701">
        <v>0</v>
      </c>
      <c r="V701">
        <v>3631</v>
      </c>
    </row>
    <row r="702" spans="1:22" x14ac:dyDescent="0.3">
      <c r="A702">
        <v>186607</v>
      </c>
      <c r="B702">
        <v>454746410</v>
      </c>
      <c r="C702" t="s">
        <v>3266</v>
      </c>
      <c r="D702" s="9">
        <v>269964481</v>
      </c>
      <c r="E702" t="s">
        <v>2825</v>
      </c>
      <c r="F702" t="s">
        <v>531</v>
      </c>
      <c r="G702" t="s">
        <v>30</v>
      </c>
      <c r="H702" t="s">
        <v>31</v>
      </c>
      <c r="I702" t="s">
        <v>52</v>
      </c>
      <c r="J702" t="s">
        <v>32</v>
      </c>
      <c r="K702" t="s">
        <v>29</v>
      </c>
      <c r="L702" t="s">
        <v>3267</v>
      </c>
      <c r="M702" t="s">
        <v>3268</v>
      </c>
      <c r="N702" t="s">
        <v>2828</v>
      </c>
      <c r="O702" t="s">
        <v>47</v>
      </c>
      <c r="P702" t="s">
        <v>3269</v>
      </c>
      <c r="Q702" t="s">
        <v>65</v>
      </c>
      <c r="R702" s="29">
        <v>46151.466666666667</v>
      </c>
      <c r="S702">
        <v>0.5</v>
      </c>
      <c r="T702">
        <v>3552</v>
      </c>
      <c r="U702">
        <v>0</v>
      </c>
      <c r="V702">
        <v>3552</v>
      </c>
    </row>
    <row r="703" spans="1:22" x14ac:dyDescent="0.3">
      <c r="A703">
        <v>186607</v>
      </c>
      <c r="B703">
        <v>454746416</v>
      </c>
      <c r="C703" t="s">
        <v>3270</v>
      </c>
      <c r="D703" s="9">
        <v>269961510</v>
      </c>
      <c r="E703" t="s">
        <v>2825</v>
      </c>
      <c r="F703" t="s">
        <v>531</v>
      </c>
      <c r="G703" t="s">
        <v>30</v>
      </c>
      <c r="H703" t="s">
        <v>31</v>
      </c>
      <c r="I703" t="s">
        <v>52</v>
      </c>
      <c r="J703" t="s">
        <v>32</v>
      </c>
      <c r="K703" t="s">
        <v>29</v>
      </c>
      <c r="L703" t="s">
        <v>3271</v>
      </c>
      <c r="M703" t="s">
        <v>3272</v>
      </c>
      <c r="N703" t="s">
        <v>2828</v>
      </c>
      <c r="O703" t="s">
        <v>47</v>
      </c>
      <c r="P703" t="s">
        <v>3273</v>
      </c>
      <c r="Q703" t="s">
        <v>35</v>
      </c>
      <c r="R703" s="29">
        <v>46151.466666666667</v>
      </c>
      <c r="S703">
        <v>4.54</v>
      </c>
      <c r="T703">
        <v>4687</v>
      </c>
      <c r="U703">
        <v>0</v>
      </c>
      <c r="V703">
        <v>4687</v>
      </c>
    </row>
    <row r="704" spans="1:22" x14ac:dyDescent="0.3">
      <c r="A704">
        <v>186607</v>
      </c>
      <c r="B704">
        <v>454774938</v>
      </c>
      <c r="C704" t="s">
        <v>3274</v>
      </c>
      <c r="D704" s="9">
        <v>269961506</v>
      </c>
      <c r="E704" t="s">
        <v>2825</v>
      </c>
      <c r="F704" t="s">
        <v>531</v>
      </c>
      <c r="G704" t="s">
        <v>30</v>
      </c>
      <c r="H704" t="s">
        <v>31</v>
      </c>
      <c r="I704" t="s">
        <v>52</v>
      </c>
      <c r="J704" t="s">
        <v>32</v>
      </c>
      <c r="K704" t="s">
        <v>29</v>
      </c>
      <c r="L704" t="s">
        <v>3275</v>
      </c>
      <c r="M704" t="s">
        <v>389</v>
      </c>
      <c r="N704" t="s">
        <v>2828</v>
      </c>
      <c r="O704" t="s">
        <v>47</v>
      </c>
      <c r="P704" t="s">
        <v>3276</v>
      </c>
      <c r="Q704" t="s">
        <v>63</v>
      </c>
      <c r="R704" s="29">
        <v>46152.885416666664</v>
      </c>
      <c r="S704">
        <v>0.5</v>
      </c>
      <c r="T704">
        <v>3339</v>
      </c>
      <c r="U704">
        <v>0</v>
      </c>
      <c r="V704">
        <v>3339</v>
      </c>
    </row>
    <row r="705" spans="1:22" x14ac:dyDescent="0.3">
      <c r="A705">
        <v>186607</v>
      </c>
      <c r="B705">
        <v>454774969</v>
      </c>
      <c r="C705" t="s">
        <v>3277</v>
      </c>
      <c r="D705" s="9">
        <v>269961386</v>
      </c>
      <c r="E705" t="s">
        <v>2825</v>
      </c>
      <c r="F705" t="s">
        <v>531</v>
      </c>
      <c r="G705" t="s">
        <v>30</v>
      </c>
      <c r="H705" t="s">
        <v>31</v>
      </c>
      <c r="I705" t="s">
        <v>52</v>
      </c>
      <c r="J705" t="s">
        <v>32</v>
      </c>
      <c r="K705" t="s">
        <v>29</v>
      </c>
      <c r="L705" t="s">
        <v>3278</v>
      </c>
      <c r="M705" t="s">
        <v>3279</v>
      </c>
      <c r="N705" t="s">
        <v>2828</v>
      </c>
      <c r="O705" t="s">
        <v>47</v>
      </c>
      <c r="P705" t="s">
        <v>3280</v>
      </c>
      <c r="Q705" t="s">
        <v>35</v>
      </c>
      <c r="R705" s="29">
        <v>46152.885416666664</v>
      </c>
      <c r="S705">
        <v>3.6</v>
      </c>
      <c r="T705">
        <v>4687</v>
      </c>
      <c r="U705">
        <v>0</v>
      </c>
      <c r="V705">
        <v>4687</v>
      </c>
    </row>
    <row r="706" spans="1:22" x14ac:dyDescent="0.3">
      <c r="A706">
        <v>186607</v>
      </c>
      <c r="B706">
        <v>454746412</v>
      </c>
      <c r="C706" t="s">
        <v>3281</v>
      </c>
      <c r="D706" s="9">
        <v>269961524</v>
      </c>
      <c r="E706" t="s">
        <v>2825</v>
      </c>
      <c r="F706" t="s">
        <v>531</v>
      </c>
      <c r="G706" t="s">
        <v>30</v>
      </c>
      <c r="H706" t="s">
        <v>31</v>
      </c>
      <c r="I706" t="s">
        <v>52</v>
      </c>
      <c r="J706" t="s">
        <v>32</v>
      </c>
      <c r="K706" t="s">
        <v>29</v>
      </c>
      <c r="L706" t="s">
        <v>3282</v>
      </c>
      <c r="M706" t="s">
        <v>469</v>
      </c>
      <c r="N706" t="s">
        <v>2828</v>
      </c>
      <c r="O706" t="s">
        <v>47</v>
      </c>
      <c r="P706" t="s">
        <v>3283</v>
      </c>
      <c r="Q706" t="s">
        <v>62</v>
      </c>
      <c r="R706" s="29">
        <v>46151.466666666667</v>
      </c>
      <c r="S706">
        <v>5.31</v>
      </c>
      <c r="T706">
        <v>6655</v>
      </c>
      <c r="U706">
        <v>0</v>
      </c>
      <c r="V706">
        <v>6655</v>
      </c>
    </row>
    <row r="707" spans="1:22" x14ac:dyDescent="0.3">
      <c r="A707">
        <v>186607</v>
      </c>
      <c r="B707">
        <v>454774940</v>
      </c>
      <c r="C707" t="s">
        <v>3284</v>
      </c>
      <c r="D707" s="9">
        <v>269961501</v>
      </c>
      <c r="E707" t="s">
        <v>2825</v>
      </c>
      <c r="F707" t="s">
        <v>531</v>
      </c>
      <c r="G707" t="s">
        <v>30</v>
      </c>
      <c r="H707" t="s">
        <v>31</v>
      </c>
      <c r="I707" t="s">
        <v>52</v>
      </c>
      <c r="J707" t="s">
        <v>32</v>
      </c>
      <c r="K707" t="s">
        <v>29</v>
      </c>
      <c r="L707" t="s">
        <v>3285</v>
      </c>
      <c r="M707" t="s">
        <v>3286</v>
      </c>
      <c r="N707" t="s">
        <v>2828</v>
      </c>
      <c r="O707" t="s">
        <v>47</v>
      </c>
      <c r="P707" t="s">
        <v>3287</v>
      </c>
      <c r="Q707" t="s">
        <v>74</v>
      </c>
      <c r="R707" s="29">
        <v>46152.885416666664</v>
      </c>
      <c r="S707">
        <v>1.25</v>
      </c>
      <c r="T707">
        <v>3653</v>
      </c>
      <c r="U707">
        <v>0</v>
      </c>
      <c r="V707">
        <v>3653</v>
      </c>
    </row>
    <row r="708" spans="1:22" x14ac:dyDescent="0.3">
      <c r="A708">
        <v>186607</v>
      </c>
      <c r="B708">
        <v>454774972</v>
      </c>
      <c r="C708" t="s">
        <v>3288</v>
      </c>
      <c r="D708" s="9">
        <v>269961363</v>
      </c>
      <c r="E708" t="s">
        <v>2825</v>
      </c>
      <c r="F708" t="s">
        <v>531</v>
      </c>
      <c r="G708" t="s">
        <v>30</v>
      </c>
      <c r="H708" t="s">
        <v>31</v>
      </c>
      <c r="I708" t="s">
        <v>52</v>
      </c>
      <c r="J708" t="s">
        <v>32</v>
      </c>
      <c r="K708" t="s">
        <v>29</v>
      </c>
      <c r="L708" t="s">
        <v>3289</v>
      </c>
      <c r="M708" t="s">
        <v>3290</v>
      </c>
      <c r="N708" t="s">
        <v>2828</v>
      </c>
      <c r="O708" t="s">
        <v>47</v>
      </c>
      <c r="P708" t="s">
        <v>3291</v>
      </c>
      <c r="Q708" t="s">
        <v>74</v>
      </c>
      <c r="R708" s="29">
        <v>46152.885416666664</v>
      </c>
      <c r="S708">
        <v>6.25</v>
      </c>
      <c r="T708">
        <v>5295</v>
      </c>
      <c r="U708">
        <v>0</v>
      </c>
      <c r="V708">
        <v>5295</v>
      </c>
    </row>
    <row r="709" spans="1:22" x14ac:dyDescent="0.3">
      <c r="A709">
        <v>186607</v>
      </c>
      <c r="B709">
        <v>454703768</v>
      </c>
      <c r="C709" t="s">
        <v>3292</v>
      </c>
      <c r="D709" s="9">
        <v>269806915</v>
      </c>
      <c r="E709" t="s">
        <v>2825</v>
      </c>
      <c r="F709" t="s">
        <v>531</v>
      </c>
      <c r="G709" t="s">
        <v>30</v>
      </c>
      <c r="H709" t="s">
        <v>31</v>
      </c>
      <c r="I709" t="s">
        <v>52</v>
      </c>
      <c r="J709" t="s">
        <v>32</v>
      </c>
      <c r="K709" t="s">
        <v>29</v>
      </c>
      <c r="L709" t="s">
        <v>3293</v>
      </c>
      <c r="M709" t="s">
        <v>3294</v>
      </c>
      <c r="N709" t="s">
        <v>2828</v>
      </c>
      <c r="O709" t="s">
        <v>47</v>
      </c>
      <c r="P709" t="s">
        <v>3295</v>
      </c>
      <c r="Q709" t="s">
        <v>162</v>
      </c>
      <c r="R709" s="29">
        <v>46149.923611111109</v>
      </c>
      <c r="S709">
        <v>2.0699999999999998</v>
      </c>
      <c r="T709">
        <v>5564</v>
      </c>
      <c r="U709">
        <v>0</v>
      </c>
      <c r="V709">
        <v>5564</v>
      </c>
    </row>
    <row r="710" spans="1:22" x14ac:dyDescent="0.3">
      <c r="A710">
        <v>186607</v>
      </c>
      <c r="B710">
        <v>454719668</v>
      </c>
      <c r="C710" t="s">
        <v>3296</v>
      </c>
      <c r="D710" s="9">
        <v>269806873</v>
      </c>
      <c r="E710" t="s">
        <v>2825</v>
      </c>
      <c r="F710" t="s">
        <v>531</v>
      </c>
      <c r="G710" t="s">
        <v>30</v>
      </c>
      <c r="H710" t="s">
        <v>31</v>
      </c>
      <c r="I710" t="s">
        <v>52</v>
      </c>
      <c r="J710" t="s">
        <v>32</v>
      </c>
      <c r="K710" t="s">
        <v>29</v>
      </c>
      <c r="L710" t="s">
        <v>3297</v>
      </c>
      <c r="M710" t="s">
        <v>3298</v>
      </c>
      <c r="N710" t="s">
        <v>2828</v>
      </c>
      <c r="O710" t="s">
        <v>47</v>
      </c>
      <c r="P710" t="s">
        <v>3299</v>
      </c>
      <c r="Q710" t="s">
        <v>69</v>
      </c>
      <c r="R710" s="29">
        <v>46150.475694444445</v>
      </c>
      <c r="S710">
        <v>3.4</v>
      </c>
      <c r="T710">
        <v>7239</v>
      </c>
      <c r="U710">
        <v>0</v>
      </c>
      <c r="V710">
        <v>7239</v>
      </c>
    </row>
    <row r="711" spans="1:22" x14ac:dyDescent="0.3">
      <c r="A711">
        <v>186607</v>
      </c>
      <c r="B711">
        <v>454678618</v>
      </c>
      <c r="C711" t="s">
        <v>3300</v>
      </c>
      <c r="D711" s="9">
        <v>269806962</v>
      </c>
      <c r="E711" t="s">
        <v>2825</v>
      </c>
      <c r="F711" t="s">
        <v>531</v>
      </c>
      <c r="G711" t="s">
        <v>30</v>
      </c>
      <c r="H711" t="s">
        <v>31</v>
      </c>
      <c r="I711" t="s">
        <v>52</v>
      </c>
      <c r="J711" t="s">
        <v>32</v>
      </c>
      <c r="K711" t="s">
        <v>29</v>
      </c>
      <c r="L711" t="s">
        <v>3301</v>
      </c>
      <c r="M711" t="s">
        <v>3302</v>
      </c>
      <c r="N711" t="s">
        <v>2828</v>
      </c>
      <c r="O711" t="s">
        <v>47</v>
      </c>
      <c r="P711" t="s">
        <v>3303</v>
      </c>
      <c r="Q711" t="s">
        <v>69</v>
      </c>
      <c r="R711" s="29">
        <v>46149.47152777778</v>
      </c>
      <c r="S711">
        <v>2.06</v>
      </c>
      <c r="T711">
        <v>5024</v>
      </c>
      <c r="U711">
        <v>0</v>
      </c>
      <c r="V711">
        <v>5024</v>
      </c>
    </row>
    <row r="712" spans="1:22" x14ac:dyDescent="0.3">
      <c r="A712">
        <v>186607</v>
      </c>
      <c r="B712">
        <v>454719671</v>
      </c>
      <c r="C712" t="s">
        <v>3304</v>
      </c>
      <c r="D712" s="9">
        <v>269806846</v>
      </c>
      <c r="E712" t="s">
        <v>2825</v>
      </c>
      <c r="F712" t="s">
        <v>531</v>
      </c>
      <c r="G712" t="s">
        <v>30</v>
      </c>
      <c r="H712" t="s">
        <v>31</v>
      </c>
      <c r="I712" t="s">
        <v>52</v>
      </c>
      <c r="J712" t="s">
        <v>32</v>
      </c>
      <c r="K712" t="s">
        <v>29</v>
      </c>
      <c r="L712" t="s">
        <v>3305</v>
      </c>
      <c r="M712" t="s">
        <v>3306</v>
      </c>
      <c r="N712" t="s">
        <v>2828</v>
      </c>
      <c r="O712" t="s">
        <v>47</v>
      </c>
      <c r="P712" t="s">
        <v>3307</v>
      </c>
      <c r="Q712" t="s">
        <v>35</v>
      </c>
      <c r="R712" s="29">
        <v>46150.475694444445</v>
      </c>
      <c r="S712">
        <v>3.7</v>
      </c>
      <c r="T712">
        <v>4687</v>
      </c>
      <c r="U712">
        <v>0</v>
      </c>
      <c r="V712">
        <v>4687</v>
      </c>
    </row>
    <row r="713" spans="1:22" x14ac:dyDescent="0.3">
      <c r="A713">
        <v>186607</v>
      </c>
      <c r="B713">
        <v>454661763</v>
      </c>
      <c r="C713" t="s">
        <v>3308</v>
      </c>
      <c r="D713" s="9">
        <v>269728288</v>
      </c>
      <c r="E713" t="s">
        <v>2825</v>
      </c>
      <c r="F713" t="s">
        <v>531</v>
      </c>
      <c r="G713" t="s">
        <v>30</v>
      </c>
      <c r="H713" t="s">
        <v>31</v>
      </c>
      <c r="I713" t="s">
        <v>52</v>
      </c>
      <c r="J713" t="s">
        <v>32</v>
      </c>
      <c r="K713" t="s">
        <v>29</v>
      </c>
      <c r="L713" t="s">
        <v>3309</v>
      </c>
      <c r="M713" t="s">
        <v>3310</v>
      </c>
      <c r="N713" t="s">
        <v>2828</v>
      </c>
      <c r="O713" t="s">
        <v>47</v>
      </c>
      <c r="P713" t="s">
        <v>3311</v>
      </c>
      <c r="Q713" t="s">
        <v>147</v>
      </c>
      <c r="R713" s="29">
        <v>46148.882638888892</v>
      </c>
      <c r="S713">
        <v>2.08</v>
      </c>
      <c r="T713">
        <v>4205</v>
      </c>
      <c r="U713">
        <v>0</v>
      </c>
      <c r="V713">
        <v>4205</v>
      </c>
    </row>
    <row r="714" spans="1:22" x14ac:dyDescent="0.3">
      <c r="A714">
        <v>186607</v>
      </c>
      <c r="B714">
        <v>454678633</v>
      </c>
      <c r="C714" t="s">
        <v>3312</v>
      </c>
      <c r="D714" s="9">
        <v>269806922</v>
      </c>
      <c r="E714" t="s">
        <v>2825</v>
      </c>
      <c r="F714" t="s">
        <v>531</v>
      </c>
      <c r="G714" t="s">
        <v>30</v>
      </c>
      <c r="H714" t="s">
        <v>31</v>
      </c>
      <c r="I714" t="s">
        <v>52</v>
      </c>
      <c r="J714" t="s">
        <v>32</v>
      </c>
      <c r="K714" t="s">
        <v>29</v>
      </c>
      <c r="L714" t="s">
        <v>3313</v>
      </c>
      <c r="M714" t="s">
        <v>3314</v>
      </c>
      <c r="N714" t="s">
        <v>2828</v>
      </c>
      <c r="O714" t="s">
        <v>47</v>
      </c>
      <c r="P714" t="s">
        <v>3315</v>
      </c>
      <c r="Q714" t="s">
        <v>76</v>
      </c>
      <c r="R714" s="29">
        <v>46149.47152777778</v>
      </c>
      <c r="S714">
        <v>2.02</v>
      </c>
      <c r="T714">
        <v>3653</v>
      </c>
      <c r="U714">
        <v>0</v>
      </c>
      <c r="V714">
        <v>3653</v>
      </c>
    </row>
    <row r="715" spans="1:22" x14ac:dyDescent="0.3">
      <c r="A715">
        <v>186607</v>
      </c>
      <c r="B715">
        <v>454661773</v>
      </c>
      <c r="C715" t="s">
        <v>3316</v>
      </c>
      <c r="D715" s="9">
        <v>269728283</v>
      </c>
      <c r="E715" t="s">
        <v>2825</v>
      </c>
      <c r="F715" t="s">
        <v>531</v>
      </c>
      <c r="G715" t="s">
        <v>30</v>
      </c>
      <c r="H715" t="s">
        <v>31</v>
      </c>
      <c r="I715" t="s">
        <v>52</v>
      </c>
      <c r="J715" t="s">
        <v>32</v>
      </c>
      <c r="K715" t="s">
        <v>29</v>
      </c>
      <c r="L715" t="s">
        <v>3317</v>
      </c>
      <c r="M715" t="s">
        <v>3318</v>
      </c>
      <c r="N715" t="s">
        <v>2828</v>
      </c>
      <c r="O715" t="s">
        <v>47</v>
      </c>
      <c r="P715" t="s">
        <v>3319</v>
      </c>
      <c r="Q715" t="s">
        <v>69</v>
      </c>
      <c r="R715" s="29">
        <v>46148.883333333331</v>
      </c>
      <c r="S715">
        <v>3.03</v>
      </c>
      <c r="T715">
        <v>7239</v>
      </c>
      <c r="U715">
        <v>0</v>
      </c>
      <c r="V715">
        <v>7239</v>
      </c>
    </row>
    <row r="716" spans="1:22" x14ac:dyDescent="0.3">
      <c r="A716">
        <v>186607</v>
      </c>
      <c r="B716">
        <v>454678630</v>
      </c>
      <c r="C716" t="s">
        <v>3320</v>
      </c>
      <c r="D716" s="9">
        <v>269806931</v>
      </c>
      <c r="E716" t="s">
        <v>2825</v>
      </c>
      <c r="F716" t="s">
        <v>531</v>
      </c>
      <c r="G716" t="s">
        <v>30</v>
      </c>
      <c r="H716" t="s">
        <v>31</v>
      </c>
      <c r="I716" t="s">
        <v>52</v>
      </c>
      <c r="J716" t="s">
        <v>32</v>
      </c>
      <c r="K716" t="s">
        <v>102</v>
      </c>
      <c r="L716" t="s">
        <v>103</v>
      </c>
      <c r="M716" t="s">
        <v>3321</v>
      </c>
      <c r="N716" t="s">
        <v>2828</v>
      </c>
      <c r="O716" t="s">
        <v>47</v>
      </c>
      <c r="P716" t="s">
        <v>3322</v>
      </c>
      <c r="Q716" t="s">
        <v>159</v>
      </c>
      <c r="R716" s="29">
        <v>46149.47152777778</v>
      </c>
      <c r="S716">
        <v>2.23</v>
      </c>
      <c r="T716">
        <v>3653</v>
      </c>
      <c r="U716">
        <v>0</v>
      </c>
      <c r="V716">
        <v>3653</v>
      </c>
    </row>
    <row r="717" spans="1:22" x14ac:dyDescent="0.3">
      <c r="A717">
        <v>186607</v>
      </c>
      <c r="B717">
        <v>454639792</v>
      </c>
      <c r="C717" t="s">
        <v>3323</v>
      </c>
      <c r="D717" s="9">
        <v>269660097</v>
      </c>
      <c r="E717" t="s">
        <v>2825</v>
      </c>
      <c r="F717" t="s">
        <v>531</v>
      </c>
      <c r="G717" t="s">
        <v>30</v>
      </c>
      <c r="H717" t="s">
        <v>31</v>
      </c>
      <c r="I717" t="s">
        <v>52</v>
      </c>
      <c r="J717" t="s">
        <v>32</v>
      </c>
      <c r="K717" t="s">
        <v>29</v>
      </c>
      <c r="L717" t="s">
        <v>3324</v>
      </c>
      <c r="M717" t="s">
        <v>3325</v>
      </c>
      <c r="N717" t="s">
        <v>2828</v>
      </c>
      <c r="O717" t="s">
        <v>47</v>
      </c>
      <c r="P717" t="s">
        <v>3326</v>
      </c>
      <c r="Q717" t="s">
        <v>235</v>
      </c>
      <c r="R717" s="29">
        <v>46148.507638888892</v>
      </c>
      <c r="S717">
        <v>0.5</v>
      </c>
      <c r="T717">
        <v>3552</v>
      </c>
      <c r="U717">
        <v>0</v>
      </c>
      <c r="V717">
        <v>3552</v>
      </c>
    </row>
    <row r="718" spans="1:22" x14ac:dyDescent="0.3">
      <c r="A718">
        <v>186607</v>
      </c>
      <c r="B718">
        <v>454661758</v>
      </c>
      <c r="C718" t="s">
        <v>3327</v>
      </c>
      <c r="D718" s="9">
        <v>269728316</v>
      </c>
      <c r="E718" t="s">
        <v>2825</v>
      </c>
      <c r="F718" t="s">
        <v>531</v>
      </c>
      <c r="G718" t="s">
        <v>30</v>
      </c>
      <c r="H718" t="s">
        <v>31</v>
      </c>
      <c r="I718" t="s">
        <v>52</v>
      </c>
      <c r="J718" t="s">
        <v>32</v>
      </c>
      <c r="K718" t="s">
        <v>29</v>
      </c>
      <c r="L718" t="s">
        <v>3328</v>
      </c>
      <c r="M718" t="s">
        <v>3329</v>
      </c>
      <c r="N718" t="s">
        <v>2828</v>
      </c>
      <c r="O718" t="s">
        <v>47</v>
      </c>
      <c r="P718" t="s">
        <v>3330</v>
      </c>
      <c r="Q718" t="s">
        <v>40</v>
      </c>
      <c r="R718" s="29">
        <v>46148.882638888892</v>
      </c>
      <c r="S718">
        <v>2.0699999999999998</v>
      </c>
      <c r="T718">
        <v>3935</v>
      </c>
      <c r="U718">
        <v>0</v>
      </c>
      <c r="V718">
        <v>3935</v>
      </c>
    </row>
    <row r="719" spans="1:22" x14ac:dyDescent="0.3">
      <c r="A719">
        <v>186607</v>
      </c>
      <c r="B719">
        <v>454511023</v>
      </c>
      <c r="C719" t="s">
        <v>3331</v>
      </c>
      <c r="D719" s="9">
        <v>269478802</v>
      </c>
      <c r="E719" t="s">
        <v>2825</v>
      </c>
      <c r="F719" t="s">
        <v>531</v>
      </c>
      <c r="G719" t="s">
        <v>30</v>
      </c>
      <c r="H719" t="s">
        <v>31</v>
      </c>
      <c r="I719" t="s">
        <v>52</v>
      </c>
      <c r="J719" t="s">
        <v>32</v>
      </c>
      <c r="K719" t="s">
        <v>29</v>
      </c>
      <c r="L719" t="s">
        <v>3332</v>
      </c>
      <c r="M719" t="s">
        <v>3333</v>
      </c>
      <c r="N719" t="s">
        <v>2828</v>
      </c>
      <c r="O719" t="s">
        <v>47</v>
      </c>
      <c r="P719" t="s">
        <v>3334</v>
      </c>
      <c r="Q719" t="s">
        <v>36</v>
      </c>
      <c r="R719" s="29">
        <v>46145.865972222222</v>
      </c>
      <c r="S719">
        <v>6.84</v>
      </c>
      <c r="T719">
        <v>10476</v>
      </c>
      <c r="U719">
        <v>0</v>
      </c>
      <c r="V719">
        <v>10476</v>
      </c>
    </row>
    <row r="720" spans="1:22" x14ac:dyDescent="0.3">
      <c r="A720">
        <v>186607</v>
      </c>
      <c r="B720">
        <v>454661768</v>
      </c>
      <c r="C720" t="s">
        <v>3335</v>
      </c>
      <c r="D720" s="9">
        <v>269728293</v>
      </c>
      <c r="E720" t="s">
        <v>2825</v>
      </c>
      <c r="F720" t="s">
        <v>531</v>
      </c>
      <c r="G720" t="s">
        <v>30</v>
      </c>
      <c r="H720" t="s">
        <v>31</v>
      </c>
      <c r="I720" t="s">
        <v>52</v>
      </c>
      <c r="J720" t="s">
        <v>32</v>
      </c>
      <c r="K720" t="s">
        <v>29</v>
      </c>
      <c r="L720" t="s">
        <v>3336</v>
      </c>
      <c r="M720" t="s">
        <v>3337</v>
      </c>
      <c r="N720" t="s">
        <v>2828</v>
      </c>
      <c r="O720" t="s">
        <v>47</v>
      </c>
      <c r="P720" t="s">
        <v>3338</v>
      </c>
      <c r="Q720" t="s">
        <v>44</v>
      </c>
      <c r="R720" s="29">
        <v>46148.882638888892</v>
      </c>
      <c r="S720">
        <v>3.35</v>
      </c>
      <c r="T720">
        <v>5193</v>
      </c>
      <c r="U720">
        <v>0</v>
      </c>
      <c r="V720">
        <v>5193</v>
      </c>
    </row>
    <row r="721" spans="1:22" x14ac:dyDescent="0.3">
      <c r="A721">
        <v>186607</v>
      </c>
      <c r="B721">
        <v>454661759</v>
      </c>
      <c r="C721" t="s">
        <v>3339</v>
      </c>
      <c r="D721" s="9">
        <v>269728318</v>
      </c>
      <c r="E721" t="s">
        <v>2825</v>
      </c>
      <c r="F721" t="s">
        <v>531</v>
      </c>
      <c r="G721" t="s">
        <v>30</v>
      </c>
      <c r="H721" t="s">
        <v>31</v>
      </c>
      <c r="I721" t="s">
        <v>52</v>
      </c>
      <c r="J721" t="s">
        <v>32</v>
      </c>
      <c r="K721" t="s">
        <v>29</v>
      </c>
      <c r="L721" t="s">
        <v>257</v>
      </c>
      <c r="M721" t="s">
        <v>3340</v>
      </c>
      <c r="N721" t="s">
        <v>2828</v>
      </c>
      <c r="O721" t="s">
        <v>47</v>
      </c>
      <c r="P721" t="s">
        <v>3341</v>
      </c>
      <c r="Q721" t="s">
        <v>189</v>
      </c>
      <c r="R721" s="29">
        <v>46148.882638888892</v>
      </c>
      <c r="S721">
        <v>5.6</v>
      </c>
      <c r="T721">
        <v>5024</v>
      </c>
      <c r="U721">
        <v>0</v>
      </c>
      <c r="V721">
        <v>5024</v>
      </c>
    </row>
    <row r="722" spans="1:22" x14ac:dyDescent="0.3">
      <c r="A722">
        <v>186607</v>
      </c>
      <c r="B722">
        <v>454615362</v>
      </c>
      <c r="C722" t="s">
        <v>3342</v>
      </c>
      <c r="D722" s="9">
        <v>269660213</v>
      </c>
      <c r="E722" t="s">
        <v>2825</v>
      </c>
      <c r="F722" t="s">
        <v>531</v>
      </c>
      <c r="G722" t="s">
        <v>30</v>
      </c>
      <c r="H722" t="s">
        <v>31</v>
      </c>
      <c r="I722" t="s">
        <v>52</v>
      </c>
      <c r="J722" t="s">
        <v>32</v>
      </c>
      <c r="K722" t="s">
        <v>29</v>
      </c>
      <c r="L722" t="s">
        <v>3343</v>
      </c>
      <c r="M722" t="s">
        <v>3344</v>
      </c>
      <c r="N722" t="s">
        <v>2828</v>
      </c>
      <c r="O722" t="s">
        <v>47</v>
      </c>
      <c r="P722" t="s">
        <v>3345</v>
      </c>
      <c r="Q722" t="s">
        <v>69</v>
      </c>
      <c r="R722" s="29">
        <v>46147.832638888889</v>
      </c>
      <c r="S722">
        <v>0.5</v>
      </c>
      <c r="T722">
        <v>3935</v>
      </c>
      <c r="U722">
        <v>0</v>
      </c>
      <c r="V722">
        <v>3935</v>
      </c>
    </row>
    <row r="723" spans="1:22" x14ac:dyDescent="0.3">
      <c r="A723">
        <v>186607</v>
      </c>
      <c r="B723">
        <v>454661795</v>
      </c>
      <c r="C723" t="s">
        <v>3346</v>
      </c>
      <c r="D723" s="9">
        <v>269728211</v>
      </c>
      <c r="E723" t="s">
        <v>2825</v>
      </c>
      <c r="F723" t="s">
        <v>531</v>
      </c>
      <c r="G723" t="s">
        <v>30</v>
      </c>
      <c r="H723" t="s">
        <v>31</v>
      </c>
      <c r="I723" t="s">
        <v>52</v>
      </c>
      <c r="J723" t="s">
        <v>32</v>
      </c>
      <c r="K723" t="s">
        <v>29</v>
      </c>
      <c r="L723" t="s">
        <v>3347</v>
      </c>
      <c r="M723" t="s">
        <v>404</v>
      </c>
      <c r="N723" t="s">
        <v>2828</v>
      </c>
      <c r="O723" t="s">
        <v>47</v>
      </c>
      <c r="P723" t="s">
        <v>3348</v>
      </c>
      <c r="Q723" t="s">
        <v>33</v>
      </c>
      <c r="R723" s="29">
        <v>46148.883333333331</v>
      </c>
      <c r="S723">
        <v>1.99</v>
      </c>
      <c r="T723">
        <v>3631</v>
      </c>
      <c r="U723">
        <v>0</v>
      </c>
      <c r="V723">
        <v>3631</v>
      </c>
    </row>
    <row r="724" spans="1:22" x14ac:dyDescent="0.3">
      <c r="A724">
        <v>186607</v>
      </c>
      <c r="B724">
        <v>454615350</v>
      </c>
      <c r="C724" t="s">
        <v>3349</v>
      </c>
      <c r="D724" s="9">
        <v>269660237</v>
      </c>
      <c r="E724" t="s">
        <v>2825</v>
      </c>
      <c r="F724" t="s">
        <v>531</v>
      </c>
      <c r="G724" t="s">
        <v>30</v>
      </c>
      <c r="H724" t="s">
        <v>31</v>
      </c>
      <c r="I724" t="s">
        <v>52</v>
      </c>
      <c r="J724" t="s">
        <v>32</v>
      </c>
      <c r="K724" t="s">
        <v>29</v>
      </c>
      <c r="L724" t="s">
        <v>3350</v>
      </c>
      <c r="M724" t="s">
        <v>3351</v>
      </c>
      <c r="N724" t="s">
        <v>2828</v>
      </c>
      <c r="O724" t="s">
        <v>47</v>
      </c>
      <c r="P724" t="s">
        <v>3352</v>
      </c>
      <c r="Q724" t="s">
        <v>162</v>
      </c>
      <c r="R724" s="29">
        <v>46147.832638888889</v>
      </c>
      <c r="S724">
        <v>0.5</v>
      </c>
      <c r="T724">
        <v>3935</v>
      </c>
      <c r="U724">
        <v>0</v>
      </c>
      <c r="V724">
        <v>3935</v>
      </c>
    </row>
    <row r="725" spans="1:22" x14ac:dyDescent="0.3">
      <c r="A725">
        <v>186607</v>
      </c>
      <c r="B725">
        <v>454661781</v>
      </c>
      <c r="C725" t="s">
        <v>3353</v>
      </c>
      <c r="D725" s="9">
        <v>269728249</v>
      </c>
      <c r="E725" t="s">
        <v>2825</v>
      </c>
      <c r="F725" t="s">
        <v>531</v>
      </c>
      <c r="G725" t="s">
        <v>30</v>
      </c>
      <c r="H725" t="s">
        <v>31</v>
      </c>
      <c r="I725" t="s">
        <v>52</v>
      </c>
      <c r="J725" t="s">
        <v>32</v>
      </c>
      <c r="K725" t="s">
        <v>29</v>
      </c>
      <c r="L725" t="s">
        <v>3354</v>
      </c>
      <c r="M725" t="s">
        <v>3355</v>
      </c>
      <c r="N725" t="s">
        <v>2828</v>
      </c>
      <c r="O725" t="s">
        <v>47</v>
      </c>
      <c r="P725" t="s">
        <v>3356</v>
      </c>
      <c r="Q725" t="s">
        <v>76</v>
      </c>
      <c r="R725" s="29">
        <v>46148.883333333331</v>
      </c>
      <c r="S725">
        <v>5.63</v>
      </c>
      <c r="T725">
        <v>5564</v>
      </c>
      <c r="U725">
        <v>0</v>
      </c>
      <c r="V725">
        <v>5564</v>
      </c>
    </row>
    <row r="726" spans="1:22" x14ac:dyDescent="0.3">
      <c r="A726">
        <v>186607</v>
      </c>
      <c r="B726">
        <v>454466658</v>
      </c>
      <c r="C726" t="s">
        <v>3357</v>
      </c>
      <c r="D726" s="9">
        <v>269479621</v>
      </c>
      <c r="E726" t="s">
        <v>2825</v>
      </c>
      <c r="F726" t="s">
        <v>531</v>
      </c>
      <c r="G726" t="s">
        <v>30</v>
      </c>
      <c r="H726" t="s">
        <v>31</v>
      </c>
      <c r="I726" t="s">
        <v>52</v>
      </c>
      <c r="J726" t="s">
        <v>32</v>
      </c>
      <c r="K726" t="s">
        <v>29</v>
      </c>
      <c r="L726" t="s">
        <v>3358</v>
      </c>
      <c r="M726" t="s">
        <v>3359</v>
      </c>
      <c r="N726" t="s">
        <v>2828</v>
      </c>
      <c r="O726" t="s">
        <v>47</v>
      </c>
      <c r="P726" t="s">
        <v>3360</v>
      </c>
      <c r="Q726" t="s">
        <v>36</v>
      </c>
      <c r="R726" s="29">
        <v>46143.914583333331</v>
      </c>
      <c r="S726">
        <v>1.88</v>
      </c>
      <c r="T726">
        <v>5564</v>
      </c>
      <c r="U726">
        <v>0</v>
      </c>
      <c r="V726">
        <v>5564</v>
      </c>
    </row>
    <row r="727" spans="1:22" x14ac:dyDescent="0.3">
      <c r="A727">
        <v>186607</v>
      </c>
      <c r="B727">
        <v>454661784</v>
      </c>
      <c r="C727" t="s">
        <v>3361</v>
      </c>
      <c r="D727" s="9">
        <v>269728257</v>
      </c>
      <c r="E727" t="s">
        <v>2825</v>
      </c>
      <c r="F727" t="s">
        <v>531</v>
      </c>
      <c r="G727" t="s">
        <v>30</v>
      </c>
      <c r="H727" t="s">
        <v>31</v>
      </c>
      <c r="I727" t="s">
        <v>52</v>
      </c>
      <c r="J727" t="s">
        <v>32</v>
      </c>
      <c r="K727" t="s">
        <v>29</v>
      </c>
      <c r="L727" t="s">
        <v>3362</v>
      </c>
      <c r="M727" t="s">
        <v>3363</v>
      </c>
      <c r="N727" t="s">
        <v>2828</v>
      </c>
      <c r="O727" t="s">
        <v>47</v>
      </c>
      <c r="P727" t="s">
        <v>3364</v>
      </c>
      <c r="Q727" t="s">
        <v>41</v>
      </c>
      <c r="R727" s="29">
        <v>46148.883333333331</v>
      </c>
      <c r="S727">
        <v>2.39</v>
      </c>
      <c r="T727">
        <v>3384</v>
      </c>
      <c r="U727">
        <v>0</v>
      </c>
      <c r="V727">
        <v>3384</v>
      </c>
    </row>
    <row r="728" spans="1:22" x14ac:dyDescent="0.3">
      <c r="A728">
        <v>186607</v>
      </c>
      <c r="B728">
        <v>454661776</v>
      </c>
      <c r="C728" t="s">
        <v>3365</v>
      </c>
      <c r="D728" s="9">
        <v>269728278</v>
      </c>
      <c r="E728" t="s">
        <v>2825</v>
      </c>
      <c r="F728" t="s">
        <v>531</v>
      </c>
      <c r="G728" t="s">
        <v>30</v>
      </c>
      <c r="H728" t="s">
        <v>31</v>
      </c>
      <c r="I728" t="s">
        <v>52</v>
      </c>
      <c r="J728" t="s">
        <v>32</v>
      </c>
      <c r="K728" t="s">
        <v>29</v>
      </c>
      <c r="L728" t="s">
        <v>3366</v>
      </c>
      <c r="M728" t="s">
        <v>3367</v>
      </c>
      <c r="N728" t="s">
        <v>2828</v>
      </c>
      <c r="O728" t="s">
        <v>47</v>
      </c>
      <c r="P728" t="s">
        <v>3368</v>
      </c>
      <c r="Q728" t="s">
        <v>38</v>
      </c>
      <c r="R728" s="29">
        <v>46148.883333333331</v>
      </c>
      <c r="S728">
        <v>1.63</v>
      </c>
      <c r="T728">
        <v>3250</v>
      </c>
      <c r="U728">
        <v>0</v>
      </c>
      <c r="V728">
        <v>3250</v>
      </c>
    </row>
    <row r="729" spans="1:22" x14ac:dyDescent="0.3">
      <c r="A729">
        <v>186607</v>
      </c>
      <c r="B729">
        <v>454661796</v>
      </c>
      <c r="C729" t="s">
        <v>3369</v>
      </c>
      <c r="D729" s="9">
        <v>269728228</v>
      </c>
      <c r="E729" t="s">
        <v>2825</v>
      </c>
      <c r="F729" t="s">
        <v>531</v>
      </c>
      <c r="G729" t="s">
        <v>30</v>
      </c>
      <c r="H729" t="s">
        <v>31</v>
      </c>
      <c r="I729" t="s">
        <v>52</v>
      </c>
      <c r="J729" t="s">
        <v>32</v>
      </c>
      <c r="K729" t="s">
        <v>29</v>
      </c>
      <c r="L729" t="s">
        <v>3370</v>
      </c>
      <c r="M729" t="s">
        <v>286</v>
      </c>
      <c r="N729" t="s">
        <v>2828</v>
      </c>
      <c r="O729" t="s">
        <v>47</v>
      </c>
      <c r="P729" t="s">
        <v>3371</v>
      </c>
      <c r="Q729" t="s">
        <v>74</v>
      </c>
      <c r="R729" s="29">
        <v>46148.883333333331</v>
      </c>
      <c r="S729">
        <v>2.17</v>
      </c>
      <c r="T729">
        <v>3653</v>
      </c>
      <c r="U729">
        <v>0</v>
      </c>
      <c r="V729">
        <v>3653</v>
      </c>
    </row>
    <row r="730" spans="1:22" x14ac:dyDescent="0.3">
      <c r="A730">
        <v>186607</v>
      </c>
      <c r="B730">
        <v>454661798</v>
      </c>
      <c r="C730" t="s">
        <v>3372</v>
      </c>
      <c r="D730" s="9">
        <v>269728224</v>
      </c>
      <c r="E730" t="s">
        <v>2825</v>
      </c>
      <c r="F730" t="s">
        <v>531</v>
      </c>
      <c r="G730" t="s">
        <v>30</v>
      </c>
      <c r="H730" t="s">
        <v>31</v>
      </c>
      <c r="I730" t="s">
        <v>52</v>
      </c>
      <c r="J730" t="s">
        <v>32</v>
      </c>
      <c r="K730" t="s">
        <v>29</v>
      </c>
      <c r="L730" t="s">
        <v>3373</v>
      </c>
      <c r="M730" t="s">
        <v>3374</v>
      </c>
      <c r="N730" t="s">
        <v>2828</v>
      </c>
      <c r="O730" t="s">
        <v>47</v>
      </c>
      <c r="P730" t="s">
        <v>3375</v>
      </c>
      <c r="Q730" t="s">
        <v>67</v>
      </c>
      <c r="R730" s="29">
        <v>46148.883333333331</v>
      </c>
      <c r="S730">
        <v>9.3800000000000008</v>
      </c>
      <c r="T730">
        <v>6183</v>
      </c>
      <c r="U730">
        <v>0</v>
      </c>
      <c r="V730">
        <v>6183</v>
      </c>
    </row>
    <row r="731" spans="1:22" x14ac:dyDescent="0.3">
      <c r="A731">
        <v>186607</v>
      </c>
      <c r="B731">
        <v>454661755</v>
      </c>
      <c r="C731" t="s">
        <v>3376</v>
      </c>
      <c r="D731" s="9">
        <v>269728324</v>
      </c>
      <c r="E731" t="s">
        <v>2825</v>
      </c>
      <c r="F731" t="s">
        <v>531</v>
      </c>
      <c r="G731" t="s">
        <v>30</v>
      </c>
      <c r="H731" t="s">
        <v>31</v>
      </c>
      <c r="I731" t="s">
        <v>52</v>
      </c>
      <c r="J731" t="s">
        <v>32</v>
      </c>
      <c r="K731" t="s">
        <v>29</v>
      </c>
      <c r="L731" t="s">
        <v>3377</v>
      </c>
      <c r="M731" t="s">
        <v>3378</v>
      </c>
      <c r="N731" t="s">
        <v>2828</v>
      </c>
      <c r="O731" t="s">
        <v>47</v>
      </c>
      <c r="P731" t="s">
        <v>3379</v>
      </c>
      <c r="Q731" t="s">
        <v>74</v>
      </c>
      <c r="R731" s="29">
        <v>46148.882638888892</v>
      </c>
      <c r="S731">
        <v>2.5099999999999998</v>
      </c>
      <c r="T731">
        <v>3653</v>
      </c>
      <c r="U731">
        <v>0</v>
      </c>
      <c r="V731">
        <v>3653</v>
      </c>
    </row>
    <row r="732" spans="1:22" x14ac:dyDescent="0.3">
      <c r="A732">
        <v>186607</v>
      </c>
      <c r="B732">
        <v>454466669</v>
      </c>
      <c r="C732" t="s">
        <v>3380</v>
      </c>
      <c r="D732" s="9">
        <v>269479548</v>
      </c>
      <c r="E732" t="s">
        <v>2825</v>
      </c>
      <c r="F732" t="s">
        <v>531</v>
      </c>
      <c r="G732" t="s">
        <v>30</v>
      </c>
      <c r="H732" t="s">
        <v>31</v>
      </c>
      <c r="I732" t="s">
        <v>52</v>
      </c>
      <c r="J732" t="s">
        <v>32</v>
      </c>
      <c r="K732" t="s">
        <v>29</v>
      </c>
      <c r="L732" t="s">
        <v>3381</v>
      </c>
      <c r="M732" t="s">
        <v>3382</v>
      </c>
      <c r="N732" t="s">
        <v>2828</v>
      </c>
      <c r="O732" t="s">
        <v>47</v>
      </c>
      <c r="P732" t="s">
        <v>3383</v>
      </c>
      <c r="Q732" t="s">
        <v>88</v>
      </c>
      <c r="R732" s="29">
        <v>46143.914583333331</v>
      </c>
      <c r="S732">
        <v>2.17</v>
      </c>
      <c r="T732">
        <v>3631</v>
      </c>
      <c r="U732">
        <v>0</v>
      </c>
      <c r="V732">
        <v>3631</v>
      </c>
    </row>
    <row r="733" spans="1:22" x14ac:dyDescent="0.3">
      <c r="A733">
        <v>186607</v>
      </c>
      <c r="B733">
        <v>454588402</v>
      </c>
      <c r="C733" t="s">
        <v>3384</v>
      </c>
      <c r="D733" s="9">
        <v>269569711</v>
      </c>
      <c r="E733" t="s">
        <v>2825</v>
      </c>
      <c r="F733" t="s">
        <v>531</v>
      </c>
      <c r="G733" t="s">
        <v>30</v>
      </c>
      <c r="H733" t="s">
        <v>31</v>
      </c>
      <c r="I733" t="s">
        <v>52</v>
      </c>
      <c r="J733" t="s">
        <v>32</v>
      </c>
      <c r="K733" t="s">
        <v>29</v>
      </c>
      <c r="L733" t="s">
        <v>3385</v>
      </c>
      <c r="M733" t="s">
        <v>3386</v>
      </c>
      <c r="N733" t="s">
        <v>2828</v>
      </c>
      <c r="O733" t="s">
        <v>47</v>
      </c>
      <c r="P733" t="s">
        <v>3387</v>
      </c>
      <c r="Q733" t="s">
        <v>70</v>
      </c>
      <c r="R733" s="29">
        <v>46147.459027777775</v>
      </c>
      <c r="S733">
        <v>1.77</v>
      </c>
      <c r="T733">
        <v>3631</v>
      </c>
      <c r="U733">
        <v>0</v>
      </c>
      <c r="V733">
        <v>3631</v>
      </c>
    </row>
    <row r="734" spans="1:22" x14ac:dyDescent="0.3">
      <c r="A734">
        <v>186607</v>
      </c>
      <c r="B734">
        <v>454510985</v>
      </c>
      <c r="C734" t="s">
        <v>3388</v>
      </c>
      <c r="D734" s="9">
        <v>269479069</v>
      </c>
      <c r="E734" t="s">
        <v>2825</v>
      </c>
      <c r="F734" t="s">
        <v>531</v>
      </c>
      <c r="G734" t="s">
        <v>30</v>
      </c>
      <c r="H734" t="s">
        <v>31</v>
      </c>
      <c r="I734" t="s">
        <v>52</v>
      </c>
      <c r="J734" t="s">
        <v>32</v>
      </c>
      <c r="K734" t="s">
        <v>29</v>
      </c>
      <c r="L734" t="s">
        <v>3389</v>
      </c>
      <c r="M734" t="s">
        <v>3390</v>
      </c>
      <c r="N734" t="s">
        <v>2828</v>
      </c>
      <c r="O734" t="s">
        <v>47</v>
      </c>
      <c r="P734" t="s">
        <v>3391</v>
      </c>
      <c r="Q734" t="s">
        <v>70</v>
      </c>
      <c r="R734" s="29">
        <v>46145.865277777775</v>
      </c>
      <c r="S734">
        <v>6.35</v>
      </c>
      <c r="T734">
        <v>5564</v>
      </c>
      <c r="U734">
        <v>0</v>
      </c>
      <c r="V734">
        <v>5564</v>
      </c>
    </row>
    <row r="735" spans="1:22" x14ac:dyDescent="0.3">
      <c r="A735">
        <v>186607</v>
      </c>
      <c r="B735">
        <v>454615371</v>
      </c>
      <c r="C735" t="s">
        <v>3392</v>
      </c>
      <c r="D735" s="9">
        <v>269660151</v>
      </c>
      <c r="E735" t="s">
        <v>2825</v>
      </c>
      <c r="F735" t="s">
        <v>531</v>
      </c>
      <c r="G735" t="s">
        <v>30</v>
      </c>
      <c r="H735" t="s">
        <v>31</v>
      </c>
      <c r="I735" t="s">
        <v>52</v>
      </c>
      <c r="J735" t="s">
        <v>32</v>
      </c>
      <c r="K735" t="s">
        <v>29</v>
      </c>
      <c r="L735" t="s">
        <v>459</v>
      </c>
      <c r="M735" t="s">
        <v>3393</v>
      </c>
      <c r="N735" t="s">
        <v>2828</v>
      </c>
      <c r="O735" t="s">
        <v>47</v>
      </c>
      <c r="P735" t="s">
        <v>3394</v>
      </c>
      <c r="Q735" t="s">
        <v>70</v>
      </c>
      <c r="R735" s="29">
        <v>46147.832638888889</v>
      </c>
      <c r="S735">
        <v>4.2699999999999996</v>
      </c>
      <c r="T735">
        <v>4182</v>
      </c>
      <c r="U735">
        <v>0</v>
      </c>
      <c r="V735">
        <v>4182</v>
      </c>
    </row>
    <row r="736" spans="1:22" x14ac:dyDescent="0.3">
      <c r="A736">
        <v>186607</v>
      </c>
      <c r="B736">
        <v>454615347</v>
      </c>
      <c r="C736" t="s">
        <v>3395</v>
      </c>
      <c r="D736" s="9">
        <v>269660217</v>
      </c>
      <c r="E736" t="s">
        <v>2825</v>
      </c>
      <c r="F736" t="s">
        <v>531</v>
      </c>
      <c r="G736" t="s">
        <v>30</v>
      </c>
      <c r="H736" t="s">
        <v>31</v>
      </c>
      <c r="I736" t="s">
        <v>52</v>
      </c>
      <c r="J736" t="s">
        <v>32</v>
      </c>
      <c r="K736" t="s">
        <v>29</v>
      </c>
      <c r="L736" t="s">
        <v>3396</v>
      </c>
      <c r="M736" t="s">
        <v>3397</v>
      </c>
      <c r="N736" t="s">
        <v>2828</v>
      </c>
      <c r="O736" t="s">
        <v>47</v>
      </c>
      <c r="P736" t="s">
        <v>3398</v>
      </c>
      <c r="Q736" t="s">
        <v>140</v>
      </c>
      <c r="R736" s="29">
        <v>46147.832638888889</v>
      </c>
      <c r="S736">
        <v>1</v>
      </c>
      <c r="T736">
        <v>3250</v>
      </c>
      <c r="U736">
        <v>0</v>
      </c>
      <c r="V736">
        <v>3250</v>
      </c>
    </row>
    <row r="737" spans="1:22" x14ac:dyDescent="0.3">
      <c r="A737">
        <v>186607</v>
      </c>
      <c r="B737">
        <v>454511013</v>
      </c>
      <c r="C737" t="s">
        <v>3399</v>
      </c>
      <c r="D737" s="9">
        <v>269478894</v>
      </c>
      <c r="E737" t="s">
        <v>2825</v>
      </c>
      <c r="F737" t="s">
        <v>531</v>
      </c>
      <c r="G737" t="s">
        <v>30</v>
      </c>
      <c r="H737" t="s">
        <v>31</v>
      </c>
      <c r="I737" t="s">
        <v>52</v>
      </c>
      <c r="J737" t="s">
        <v>32</v>
      </c>
      <c r="K737" t="s">
        <v>29</v>
      </c>
      <c r="L737" t="s">
        <v>3400</v>
      </c>
      <c r="M737" t="s">
        <v>3401</v>
      </c>
      <c r="N737" t="s">
        <v>2828</v>
      </c>
      <c r="O737" t="s">
        <v>47</v>
      </c>
      <c r="P737" t="s">
        <v>3402</v>
      </c>
      <c r="Q737" t="s">
        <v>162</v>
      </c>
      <c r="R737" s="29">
        <v>46145.865972222222</v>
      </c>
      <c r="S737">
        <v>4.07</v>
      </c>
      <c r="T737">
        <v>7745</v>
      </c>
      <c r="U737">
        <v>0</v>
      </c>
      <c r="V737">
        <v>7745</v>
      </c>
    </row>
    <row r="738" spans="1:22" x14ac:dyDescent="0.3">
      <c r="A738">
        <v>186607</v>
      </c>
      <c r="B738">
        <v>454540375</v>
      </c>
      <c r="C738" t="s">
        <v>3403</v>
      </c>
      <c r="D738" s="9">
        <v>269478657</v>
      </c>
      <c r="E738" t="s">
        <v>2825</v>
      </c>
      <c r="F738" t="s">
        <v>531</v>
      </c>
      <c r="G738" t="s">
        <v>30</v>
      </c>
      <c r="H738" t="s">
        <v>31</v>
      </c>
      <c r="I738" t="s">
        <v>52</v>
      </c>
      <c r="J738" t="s">
        <v>32</v>
      </c>
      <c r="K738" t="s">
        <v>29</v>
      </c>
      <c r="L738" t="s">
        <v>3404</v>
      </c>
      <c r="M738" t="s">
        <v>3405</v>
      </c>
      <c r="N738" t="s">
        <v>2828</v>
      </c>
      <c r="O738" t="s">
        <v>47</v>
      </c>
      <c r="P738" t="s">
        <v>3406</v>
      </c>
      <c r="Q738" t="s">
        <v>33</v>
      </c>
      <c r="R738" s="29">
        <v>46146.487500000003</v>
      </c>
      <c r="S738">
        <v>3.73</v>
      </c>
      <c r="T738">
        <v>4305</v>
      </c>
      <c r="U738">
        <v>0</v>
      </c>
      <c r="V738">
        <v>4305</v>
      </c>
    </row>
    <row r="739" spans="1:22" x14ac:dyDescent="0.3">
      <c r="A739">
        <v>186607</v>
      </c>
      <c r="B739">
        <v>454588403</v>
      </c>
      <c r="C739" t="s">
        <v>3407</v>
      </c>
      <c r="D739" s="9">
        <v>269569695</v>
      </c>
      <c r="E739" t="s">
        <v>2825</v>
      </c>
      <c r="F739" t="s">
        <v>531</v>
      </c>
      <c r="G739" t="s">
        <v>30</v>
      </c>
      <c r="H739" t="s">
        <v>31</v>
      </c>
      <c r="I739" t="s">
        <v>52</v>
      </c>
      <c r="J739" t="s">
        <v>32</v>
      </c>
      <c r="K739" t="s">
        <v>29</v>
      </c>
      <c r="L739" t="s">
        <v>429</v>
      </c>
      <c r="M739" t="s">
        <v>3408</v>
      </c>
      <c r="N739" t="s">
        <v>2828</v>
      </c>
      <c r="O739" t="s">
        <v>47</v>
      </c>
      <c r="P739" t="s">
        <v>3409</v>
      </c>
      <c r="Q739" t="s">
        <v>69</v>
      </c>
      <c r="R739" s="29">
        <v>46147.459027777775</v>
      </c>
      <c r="S739">
        <v>7.92</v>
      </c>
      <c r="T739">
        <v>9387</v>
      </c>
      <c r="U739">
        <v>0</v>
      </c>
      <c r="V739">
        <v>9387</v>
      </c>
    </row>
    <row r="740" spans="1:22" x14ac:dyDescent="0.3">
      <c r="A740">
        <v>186607</v>
      </c>
      <c r="B740">
        <v>454615370</v>
      </c>
      <c r="C740" t="s">
        <v>3410</v>
      </c>
      <c r="D740" s="9">
        <v>269660178</v>
      </c>
      <c r="E740" t="s">
        <v>2825</v>
      </c>
      <c r="F740" t="s">
        <v>531</v>
      </c>
      <c r="G740" t="s">
        <v>30</v>
      </c>
      <c r="H740" t="s">
        <v>31</v>
      </c>
      <c r="I740" t="s">
        <v>52</v>
      </c>
      <c r="J740" t="s">
        <v>32</v>
      </c>
      <c r="K740" t="s">
        <v>29</v>
      </c>
      <c r="L740" t="s">
        <v>3411</v>
      </c>
      <c r="M740" t="s">
        <v>3412</v>
      </c>
      <c r="N740" t="s">
        <v>2828</v>
      </c>
      <c r="O740" t="s">
        <v>47</v>
      </c>
      <c r="P740" t="s">
        <v>3413</v>
      </c>
      <c r="Q740" t="s">
        <v>40</v>
      </c>
      <c r="R740" s="29">
        <v>46147.832638888889</v>
      </c>
      <c r="S740">
        <v>4.58</v>
      </c>
      <c r="T740">
        <v>4935</v>
      </c>
      <c r="U740">
        <v>0</v>
      </c>
      <c r="V740">
        <v>4935</v>
      </c>
    </row>
    <row r="741" spans="1:22" x14ac:dyDescent="0.3">
      <c r="A741">
        <v>186607</v>
      </c>
      <c r="B741">
        <v>454568395</v>
      </c>
      <c r="C741" t="s">
        <v>3414</v>
      </c>
      <c r="D741" s="9">
        <v>269569804</v>
      </c>
      <c r="E741" t="s">
        <v>2825</v>
      </c>
      <c r="F741" t="s">
        <v>531</v>
      </c>
      <c r="G741" t="s">
        <v>30</v>
      </c>
      <c r="H741" t="s">
        <v>31</v>
      </c>
      <c r="I741" t="s">
        <v>52</v>
      </c>
      <c r="J741" t="s">
        <v>32</v>
      </c>
      <c r="K741" t="s">
        <v>29</v>
      </c>
      <c r="L741" t="s">
        <v>3415</v>
      </c>
      <c r="M741" t="s">
        <v>3416</v>
      </c>
      <c r="N741" t="s">
        <v>2828</v>
      </c>
      <c r="O741" t="s">
        <v>47</v>
      </c>
      <c r="P741" t="s">
        <v>3417</v>
      </c>
      <c r="Q741" t="s">
        <v>80</v>
      </c>
      <c r="R741" s="29">
        <v>46146.861805555556</v>
      </c>
      <c r="S741">
        <v>2.14</v>
      </c>
      <c r="T741">
        <v>5295</v>
      </c>
      <c r="U741">
        <v>0</v>
      </c>
      <c r="V741">
        <v>5295</v>
      </c>
    </row>
    <row r="742" spans="1:22" x14ac:dyDescent="0.3">
      <c r="A742">
        <v>186607</v>
      </c>
      <c r="B742">
        <v>454639795</v>
      </c>
      <c r="C742" t="s">
        <v>3418</v>
      </c>
      <c r="D742" s="9">
        <v>269660089</v>
      </c>
      <c r="E742" t="s">
        <v>2825</v>
      </c>
      <c r="F742" t="s">
        <v>531</v>
      </c>
      <c r="G742" t="s">
        <v>30</v>
      </c>
      <c r="H742" t="s">
        <v>31</v>
      </c>
      <c r="I742" t="s">
        <v>52</v>
      </c>
      <c r="J742" t="s">
        <v>32</v>
      </c>
      <c r="K742" t="s">
        <v>29</v>
      </c>
      <c r="L742" t="s">
        <v>3419</v>
      </c>
      <c r="M742" t="s">
        <v>3420</v>
      </c>
      <c r="N742" t="s">
        <v>2828</v>
      </c>
      <c r="O742" t="s">
        <v>47</v>
      </c>
      <c r="P742" t="s">
        <v>3421</v>
      </c>
      <c r="Q742" t="s">
        <v>44</v>
      </c>
      <c r="R742" s="29">
        <v>46148.507638888892</v>
      </c>
      <c r="S742">
        <v>4.93</v>
      </c>
      <c r="T742">
        <v>5193</v>
      </c>
      <c r="U742">
        <v>0</v>
      </c>
      <c r="V742">
        <v>5193</v>
      </c>
    </row>
    <row r="743" spans="1:22" x14ac:dyDescent="0.3">
      <c r="A743">
        <v>186607</v>
      </c>
      <c r="B743">
        <v>454510993</v>
      </c>
      <c r="C743" t="s">
        <v>3422</v>
      </c>
      <c r="D743" s="9">
        <v>269479015</v>
      </c>
      <c r="E743" t="s">
        <v>2825</v>
      </c>
      <c r="F743" t="s">
        <v>531</v>
      </c>
      <c r="G743" t="s">
        <v>30</v>
      </c>
      <c r="H743" t="s">
        <v>31</v>
      </c>
      <c r="I743" t="s">
        <v>52</v>
      </c>
      <c r="J743" t="s">
        <v>32</v>
      </c>
      <c r="K743" t="s">
        <v>29</v>
      </c>
      <c r="L743" t="s">
        <v>3423</v>
      </c>
      <c r="M743" t="s">
        <v>3424</v>
      </c>
      <c r="N743" t="s">
        <v>2828</v>
      </c>
      <c r="O743" t="s">
        <v>47</v>
      </c>
      <c r="P743" t="s">
        <v>3425</v>
      </c>
      <c r="Q743" t="s">
        <v>200</v>
      </c>
      <c r="R743" s="29">
        <v>46145.865277777775</v>
      </c>
      <c r="S743">
        <v>1.58</v>
      </c>
      <c r="T743">
        <v>3653</v>
      </c>
      <c r="U743">
        <v>0</v>
      </c>
      <c r="V743">
        <v>3653</v>
      </c>
    </row>
    <row r="744" spans="1:22" x14ac:dyDescent="0.3">
      <c r="A744">
        <v>186607</v>
      </c>
      <c r="B744">
        <v>454510986</v>
      </c>
      <c r="C744" t="s">
        <v>3426</v>
      </c>
      <c r="D744" s="9">
        <v>269479092</v>
      </c>
      <c r="E744" t="s">
        <v>2825</v>
      </c>
      <c r="F744" t="s">
        <v>531</v>
      </c>
      <c r="G744" t="s">
        <v>30</v>
      </c>
      <c r="H744" t="s">
        <v>31</v>
      </c>
      <c r="I744" t="s">
        <v>52</v>
      </c>
      <c r="J744" t="s">
        <v>32</v>
      </c>
      <c r="K744" t="s">
        <v>29</v>
      </c>
      <c r="L744" t="s">
        <v>3427</v>
      </c>
      <c r="M744" t="s">
        <v>2999</v>
      </c>
      <c r="N744" t="s">
        <v>2828</v>
      </c>
      <c r="O744" t="s">
        <v>47</v>
      </c>
      <c r="P744" t="s">
        <v>3428</v>
      </c>
      <c r="Q744" t="s">
        <v>42</v>
      </c>
      <c r="R744" s="29">
        <v>46145.865277777775</v>
      </c>
      <c r="S744">
        <v>0.5</v>
      </c>
      <c r="T744">
        <v>3193</v>
      </c>
      <c r="U744">
        <v>0</v>
      </c>
      <c r="V744">
        <v>3193</v>
      </c>
    </row>
    <row r="745" spans="1:22" x14ac:dyDescent="0.3">
      <c r="A745">
        <v>186607</v>
      </c>
      <c r="B745">
        <v>454639777</v>
      </c>
      <c r="C745" t="s">
        <v>3429</v>
      </c>
      <c r="D745" s="9">
        <v>269660143</v>
      </c>
      <c r="E745" t="s">
        <v>2825</v>
      </c>
      <c r="F745" t="s">
        <v>531</v>
      </c>
      <c r="G745" t="s">
        <v>30</v>
      </c>
      <c r="H745" t="s">
        <v>31</v>
      </c>
      <c r="I745" t="s">
        <v>52</v>
      </c>
      <c r="J745" t="s">
        <v>32</v>
      </c>
      <c r="K745" t="s">
        <v>29</v>
      </c>
      <c r="L745" t="s">
        <v>3430</v>
      </c>
      <c r="M745" t="s">
        <v>3431</v>
      </c>
      <c r="N745" t="s">
        <v>2828</v>
      </c>
      <c r="O745" t="s">
        <v>47</v>
      </c>
      <c r="P745" t="s">
        <v>3432</v>
      </c>
      <c r="Q745" t="s">
        <v>40</v>
      </c>
      <c r="R745" s="29">
        <v>46148.507638888892</v>
      </c>
      <c r="S745">
        <v>1</v>
      </c>
      <c r="T745">
        <v>3935</v>
      </c>
      <c r="U745">
        <v>0</v>
      </c>
      <c r="V745">
        <v>3935</v>
      </c>
    </row>
    <row r="746" spans="1:22" x14ac:dyDescent="0.3">
      <c r="A746">
        <v>186607</v>
      </c>
      <c r="B746">
        <v>454568390</v>
      </c>
      <c r="C746" t="s">
        <v>3433</v>
      </c>
      <c r="D746" s="9">
        <v>269569840</v>
      </c>
      <c r="E746" t="s">
        <v>2825</v>
      </c>
      <c r="F746" t="s">
        <v>531</v>
      </c>
      <c r="G746" t="s">
        <v>30</v>
      </c>
      <c r="H746" t="s">
        <v>31</v>
      </c>
      <c r="I746" t="s">
        <v>52</v>
      </c>
      <c r="J746" t="s">
        <v>32</v>
      </c>
      <c r="K746" t="s">
        <v>29</v>
      </c>
      <c r="L746" t="s">
        <v>3434</v>
      </c>
      <c r="M746" t="s">
        <v>3435</v>
      </c>
      <c r="N746" t="s">
        <v>2828</v>
      </c>
      <c r="O746" t="s">
        <v>47</v>
      </c>
      <c r="P746" t="s">
        <v>3436</v>
      </c>
      <c r="Q746" t="s">
        <v>70</v>
      </c>
      <c r="R746" s="29">
        <v>46146.861805555556</v>
      </c>
      <c r="S746">
        <v>0.5</v>
      </c>
      <c r="T746">
        <v>3552</v>
      </c>
      <c r="U746">
        <v>0</v>
      </c>
      <c r="V746">
        <v>3552</v>
      </c>
    </row>
    <row r="747" spans="1:22" x14ac:dyDescent="0.3">
      <c r="A747">
        <v>186607</v>
      </c>
      <c r="B747">
        <v>454540336</v>
      </c>
      <c r="C747" t="s">
        <v>3437</v>
      </c>
      <c r="D747" s="9">
        <v>269478763</v>
      </c>
      <c r="E747" t="s">
        <v>2825</v>
      </c>
      <c r="F747" t="s">
        <v>531</v>
      </c>
      <c r="G747" t="s">
        <v>30</v>
      </c>
      <c r="H747" t="s">
        <v>31</v>
      </c>
      <c r="I747" t="s">
        <v>52</v>
      </c>
      <c r="J747" t="s">
        <v>32</v>
      </c>
      <c r="K747" t="s">
        <v>29</v>
      </c>
      <c r="L747" t="s">
        <v>3438</v>
      </c>
      <c r="M747" t="s">
        <v>3439</v>
      </c>
      <c r="N747" t="s">
        <v>2828</v>
      </c>
      <c r="O747" t="s">
        <v>47</v>
      </c>
      <c r="P747" t="s">
        <v>3440</v>
      </c>
      <c r="Q747" t="s">
        <v>69</v>
      </c>
      <c r="R747" s="29">
        <v>46146.487500000003</v>
      </c>
      <c r="S747">
        <v>1.84</v>
      </c>
      <c r="T747">
        <v>5024</v>
      </c>
      <c r="U747">
        <v>0</v>
      </c>
      <c r="V747">
        <v>5024</v>
      </c>
    </row>
    <row r="748" spans="1:22" x14ac:dyDescent="0.3">
      <c r="A748">
        <v>186607</v>
      </c>
      <c r="B748">
        <v>454615364</v>
      </c>
      <c r="C748" t="s">
        <v>3441</v>
      </c>
      <c r="D748" s="9">
        <v>269660196</v>
      </c>
      <c r="E748" t="s">
        <v>2825</v>
      </c>
      <c r="F748" t="s">
        <v>531</v>
      </c>
      <c r="G748" t="s">
        <v>30</v>
      </c>
      <c r="H748" t="s">
        <v>31</v>
      </c>
      <c r="I748" t="s">
        <v>52</v>
      </c>
      <c r="J748" t="s">
        <v>32</v>
      </c>
      <c r="K748" t="s">
        <v>29</v>
      </c>
      <c r="L748" t="s">
        <v>3442</v>
      </c>
      <c r="M748" t="s">
        <v>3443</v>
      </c>
      <c r="N748" t="s">
        <v>2828</v>
      </c>
      <c r="O748" t="s">
        <v>47</v>
      </c>
      <c r="P748" t="s">
        <v>3444</v>
      </c>
      <c r="Q748" t="s">
        <v>62</v>
      </c>
      <c r="R748" s="29">
        <v>46147.832638888889</v>
      </c>
      <c r="S748">
        <v>0.5</v>
      </c>
      <c r="T748">
        <v>3552</v>
      </c>
      <c r="U748">
        <v>0</v>
      </c>
      <c r="V748">
        <v>3552</v>
      </c>
    </row>
    <row r="749" spans="1:22" x14ac:dyDescent="0.3">
      <c r="A749">
        <v>186607</v>
      </c>
      <c r="B749">
        <v>454540357</v>
      </c>
      <c r="C749" t="s">
        <v>3445</v>
      </c>
      <c r="D749" s="9">
        <v>269478680</v>
      </c>
      <c r="E749" t="s">
        <v>2825</v>
      </c>
      <c r="F749" t="s">
        <v>531</v>
      </c>
      <c r="G749" t="s">
        <v>30</v>
      </c>
      <c r="H749" t="s">
        <v>31</v>
      </c>
      <c r="I749" t="s">
        <v>52</v>
      </c>
      <c r="J749" t="s">
        <v>32</v>
      </c>
      <c r="K749" t="s">
        <v>29</v>
      </c>
      <c r="L749" t="s">
        <v>3446</v>
      </c>
      <c r="M749" t="s">
        <v>3447</v>
      </c>
      <c r="N749" t="s">
        <v>2828</v>
      </c>
      <c r="O749" t="s">
        <v>47</v>
      </c>
      <c r="P749" t="s">
        <v>3448</v>
      </c>
      <c r="Q749" t="s">
        <v>226</v>
      </c>
      <c r="R749" s="29">
        <v>46146.487500000003</v>
      </c>
      <c r="S749">
        <v>2.14</v>
      </c>
      <c r="T749">
        <v>3935</v>
      </c>
      <c r="U749">
        <v>0</v>
      </c>
      <c r="V749">
        <v>3935</v>
      </c>
    </row>
    <row r="750" spans="1:22" x14ac:dyDescent="0.3">
      <c r="A750">
        <v>186607</v>
      </c>
      <c r="B750">
        <v>454639800</v>
      </c>
      <c r="C750" t="s">
        <v>3449</v>
      </c>
      <c r="D750" s="9">
        <v>269660063</v>
      </c>
      <c r="E750" t="s">
        <v>2825</v>
      </c>
      <c r="F750" t="s">
        <v>531</v>
      </c>
      <c r="G750" t="s">
        <v>30</v>
      </c>
      <c r="H750" t="s">
        <v>31</v>
      </c>
      <c r="I750" t="s">
        <v>52</v>
      </c>
      <c r="J750" t="s">
        <v>32</v>
      </c>
      <c r="K750" t="s">
        <v>29</v>
      </c>
      <c r="L750" t="s">
        <v>3450</v>
      </c>
      <c r="M750" t="s">
        <v>3451</v>
      </c>
      <c r="N750" t="s">
        <v>2828</v>
      </c>
      <c r="O750" t="s">
        <v>47</v>
      </c>
      <c r="P750" t="s">
        <v>3452</v>
      </c>
      <c r="Q750" t="s">
        <v>48</v>
      </c>
      <c r="R750" s="29">
        <v>46148.507638888892</v>
      </c>
      <c r="S750">
        <v>0.5</v>
      </c>
      <c r="T750">
        <v>3193</v>
      </c>
      <c r="U750">
        <v>0</v>
      </c>
      <c r="V750">
        <v>3193</v>
      </c>
    </row>
    <row r="751" spans="1:22" x14ac:dyDescent="0.3">
      <c r="A751">
        <v>186607</v>
      </c>
      <c r="B751">
        <v>454639778</v>
      </c>
      <c r="C751" t="s">
        <v>3453</v>
      </c>
      <c r="D751" s="9">
        <v>269660134</v>
      </c>
      <c r="E751" t="s">
        <v>2825</v>
      </c>
      <c r="F751" t="s">
        <v>531</v>
      </c>
      <c r="G751" t="s">
        <v>30</v>
      </c>
      <c r="H751" t="s">
        <v>31</v>
      </c>
      <c r="I751" t="s">
        <v>52</v>
      </c>
      <c r="J751" t="s">
        <v>32</v>
      </c>
      <c r="K751" t="s">
        <v>29</v>
      </c>
      <c r="L751" t="s">
        <v>3454</v>
      </c>
      <c r="M751" t="s">
        <v>3455</v>
      </c>
      <c r="N751" t="s">
        <v>2828</v>
      </c>
      <c r="O751" t="s">
        <v>47</v>
      </c>
      <c r="P751" t="s">
        <v>3456</v>
      </c>
      <c r="Q751" t="s">
        <v>140</v>
      </c>
      <c r="R751" s="29">
        <v>46148.507638888892</v>
      </c>
      <c r="S751">
        <v>1.75</v>
      </c>
      <c r="T751">
        <v>3250</v>
      </c>
      <c r="U751">
        <v>0</v>
      </c>
      <c r="V751">
        <v>3250</v>
      </c>
    </row>
    <row r="752" spans="1:22" x14ac:dyDescent="0.3">
      <c r="A752">
        <v>186607</v>
      </c>
      <c r="B752">
        <v>454510977</v>
      </c>
      <c r="C752" t="s">
        <v>3457</v>
      </c>
      <c r="D752" s="9">
        <v>269479169</v>
      </c>
      <c r="E752" t="s">
        <v>2825</v>
      </c>
      <c r="F752" t="s">
        <v>531</v>
      </c>
      <c r="G752" t="s">
        <v>30</v>
      </c>
      <c r="H752" t="s">
        <v>31</v>
      </c>
      <c r="I752" t="s">
        <v>52</v>
      </c>
      <c r="J752" t="s">
        <v>32</v>
      </c>
      <c r="K752" t="s">
        <v>29</v>
      </c>
      <c r="L752" t="s">
        <v>3458</v>
      </c>
      <c r="M752" t="s">
        <v>3459</v>
      </c>
      <c r="N752" t="s">
        <v>2828</v>
      </c>
      <c r="O752" t="s">
        <v>47</v>
      </c>
      <c r="P752" t="s">
        <v>3460</v>
      </c>
      <c r="Q752" t="s">
        <v>33</v>
      </c>
      <c r="R752" s="29">
        <v>46145.865277777775</v>
      </c>
      <c r="S752">
        <v>2.86</v>
      </c>
      <c r="T752">
        <v>3631</v>
      </c>
      <c r="U752">
        <v>0</v>
      </c>
      <c r="V752">
        <v>3631</v>
      </c>
    </row>
    <row r="753" spans="1:22" x14ac:dyDescent="0.3">
      <c r="A753">
        <v>186607</v>
      </c>
      <c r="B753">
        <v>454615373</v>
      </c>
      <c r="C753" t="s">
        <v>3461</v>
      </c>
      <c r="D753" s="9">
        <v>269660148</v>
      </c>
      <c r="E753" t="s">
        <v>2825</v>
      </c>
      <c r="F753" t="s">
        <v>531</v>
      </c>
      <c r="G753" t="s">
        <v>30</v>
      </c>
      <c r="H753" t="s">
        <v>31</v>
      </c>
      <c r="I753" t="s">
        <v>52</v>
      </c>
      <c r="J753" t="s">
        <v>32</v>
      </c>
      <c r="K753" t="s">
        <v>29</v>
      </c>
      <c r="L753" t="s">
        <v>3462</v>
      </c>
      <c r="M753" t="s">
        <v>516</v>
      </c>
      <c r="N753" t="s">
        <v>2828</v>
      </c>
      <c r="O753" t="s">
        <v>47</v>
      </c>
      <c r="P753" t="s">
        <v>3463</v>
      </c>
      <c r="Q753" t="s">
        <v>140</v>
      </c>
      <c r="R753" s="29">
        <v>46147.832638888889</v>
      </c>
      <c r="S753">
        <v>0.5</v>
      </c>
      <c r="T753">
        <v>3193</v>
      </c>
      <c r="U753">
        <v>0</v>
      </c>
      <c r="V753">
        <v>3193</v>
      </c>
    </row>
    <row r="754" spans="1:22" x14ac:dyDescent="0.3">
      <c r="A754">
        <v>186607</v>
      </c>
      <c r="B754">
        <v>454258230</v>
      </c>
      <c r="C754" t="s">
        <v>3464</v>
      </c>
      <c r="D754" s="9">
        <v>269056634</v>
      </c>
      <c r="E754" t="s">
        <v>2825</v>
      </c>
      <c r="F754" t="s">
        <v>531</v>
      </c>
      <c r="G754" t="s">
        <v>30</v>
      </c>
      <c r="H754" t="s">
        <v>31</v>
      </c>
      <c r="I754" t="s">
        <v>52</v>
      </c>
      <c r="J754" t="s">
        <v>32</v>
      </c>
      <c r="K754" t="s">
        <v>29</v>
      </c>
      <c r="L754" t="s">
        <v>3465</v>
      </c>
      <c r="M754" t="s">
        <v>431</v>
      </c>
      <c r="N754" t="s">
        <v>2828</v>
      </c>
      <c r="O754" t="s">
        <v>47</v>
      </c>
      <c r="P754" t="s">
        <v>3466</v>
      </c>
      <c r="Q754" t="s">
        <v>243</v>
      </c>
      <c r="R754" s="29">
        <v>46137.433333333334</v>
      </c>
      <c r="S754">
        <v>0.5</v>
      </c>
      <c r="T754">
        <v>5193</v>
      </c>
      <c r="U754">
        <v>0</v>
      </c>
      <c r="V754">
        <v>5193</v>
      </c>
    </row>
    <row r="755" spans="1:22" x14ac:dyDescent="0.3">
      <c r="A755">
        <v>186607</v>
      </c>
      <c r="B755">
        <v>454639765</v>
      </c>
      <c r="C755" t="s">
        <v>3467</v>
      </c>
      <c r="D755" s="9">
        <v>269660130</v>
      </c>
      <c r="E755" t="s">
        <v>2825</v>
      </c>
      <c r="F755" t="s">
        <v>531</v>
      </c>
      <c r="G755" t="s">
        <v>30</v>
      </c>
      <c r="H755" t="s">
        <v>31</v>
      </c>
      <c r="I755" t="s">
        <v>52</v>
      </c>
      <c r="J755" t="s">
        <v>32</v>
      </c>
      <c r="K755" t="s">
        <v>29</v>
      </c>
      <c r="L755" t="s">
        <v>3468</v>
      </c>
      <c r="M755" t="s">
        <v>3469</v>
      </c>
      <c r="N755" t="s">
        <v>2828</v>
      </c>
      <c r="O755" t="s">
        <v>47</v>
      </c>
      <c r="P755" t="s">
        <v>3470</v>
      </c>
      <c r="Q755" t="s">
        <v>161</v>
      </c>
      <c r="R755" s="29">
        <v>46148.507638888892</v>
      </c>
      <c r="S755">
        <v>0.5</v>
      </c>
      <c r="T755">
        <v>3552</v>
      </c>
      <c r="U755">
        <v>0</v>
      </c>
      <c r="V755">
        <v>3552</v>
      </c>
    </row>
    <row r="756" spans="1:22" x14ac:dyDescent="0.3">
      <c r="A756">
        <v>186607</v>
      </c>
      <c r="B756">
        <v>454474733</v>
      </c>
      <c r="C756" t="s">
        <v>3471</v>
      </c>
      <c r="D756" s="9">
        <v>269479198</v>
      </c>
      <c r="E756" t="s">
        <v>2825</v>
      </c>
      <c r="F756" t="s">
        <v>531</v>
      </c>
      <c r="G756" t="s">
        <v>30</v>
      </c>
      <c r="H756" t="s">
        <v>31</v>
      </c>
      <c r="I756" t="s">
        <v>52</v>
      </c>
      <c r="J756" t="s">
        <v>32</v>
      </c>
      <c r="K756" t="s">
        <v>29</v>
      </c>
      <c r="L756" t="s">
        <v>3472</v>
      </c>
      <c r="M756" t="s">
        <v>368</v>
      </c>
      <c r="N756" t="s">
        <v>2828</v>
      </c>
      <c r="O756" t="s">
        <v>47</v>
      </c>
      <c r="P756" t="s">
        <v>3473</v>
      </c>
      <c r="Q756" t="s">
        <v>69</v>
      </c>
      <c r="R756" s="29">
        <v>46144.425694444442</v>
      </c>
      <c r="S756">
        <v>2.78</v>
      </c>
      <c r="T756">
        <v>5024</v>
      </c>
      <c r="U756">
        <v>0</v>
      </c>
      <c r="V756">
        <v>5024</v>
      </c>
    </row>
    <row r="757" spans="1:22" x14ac:dyDescent="0.3">
      <c r="A757">
        <v>186607</v>
      </c>
      <c r="B757">
        <v>454540341</v>
      </c>
      <c r="C757" t="s">
        <v>3474</v>
      </c>
      <c r="D757" s="9">
        <v>269478717</v>
      </c>
      <c r="E757" t="s">
        <v>2825</v>
      </c>
      <c r="F757" t="s">
        <v>531</v>
      </c>
      <c r="G757" t="s">
        <v>30</v>
      </c>
      <c r="H757" t="s">
        <v>31</v>
      </c>
      <c r="I757" t="s">
        <v>52</v>
      </c>
      <c r="J757" t="s">
        <v>32</v>
      </c>
      <c r="K757" t="s">
        <v>29</v>
      </c>
      <c r="L757" t="s">
        <v>3475</v>
      </c>
      <c r="M757" t="s">
        <v>3476</v>
      </c>
      <c r="N757" t="s">
        <v>2828</v>
      </c>
      <c r="O757" t="s">
        <v>47</v>
      </c>
      <c r="P757" t="s">
        <v>3477</v>
      </c>
      <c r="Q757" t="s">
        <v>69</v>
      </c>
      <c r="R757" s="29">
        <v>46146.487500000003</v>
      </c>
      <c r="S757">
        <v>2.08</v>
      </c>
      <c r="T757">
        <v>5024</v>
      </c>
      <c r="U757">
        <v>0</v>
      </c>
      <c r="V757">
        <v>5024</v>
      </c>
    </row>
    <row r="758" spans="1:22" x14ac:dyDescent="0.3">
      <c r="A758">
        <v>186607</v>
      </c>
      <c r="B758">
        <v>454639810</v>
      </c>
      <c r="C758" t="s">
        <v>3478</v>
      </c>
      <c r="D758" s="9">
        <v>269660051</v>
      </c>
      <c r="E758" t="s">
        <v>2825</v>
      </c>
      <c r="F758" t="s">
        <v>531</v>
      </c>
      <c r="G758" t="s">
        <v>30</v>
      </c>
      <c r="H758" t="s">
        <v>31</v>
      </c>
      <c r="I758" t="s">
        <v>52</v>
      </c>
      <c r="J758" t="s">
        <v>32</v>
      </c>
      <c r="K758" t="s">
        <v>29</v>
      </c>
      <c r="L758" t="s">
        <v>3479</v>
      </c>
      <c r="M758" t="s">
        <v>3480</v>
      </c>
      <c r="N758" t="s">
        <v>2828</v>
      </c>
      <c r="O758" t="s">
        <v>47</v>
      </c>
      <c r="P758" t="s">
        <v>3481</v>
      </c>
      <c r="Q758" t="s">
        <v>33</v>
      </c>
      <c r="R758" s="29">
        <v>46148.507638888892</v>
      </c>
      <c r="S758">
        <v>1</v>
      </c>
      <c r="T758">
        <v>3631</v>
      </c>
      <c r="U758">
        <v>0</v>
      </c>
      <c r="V758">
        <v>3631</v>
      </c>
    </row>
    <row r="759" spans="1:22" x14ac:dyDescent="0.3">
      <c r="A759">
        <v>186607</v>
      </c>
      <c r="B759">
        <v>454466674</v>
      </c>
      <c r="C759" t="s">
        <v>3482</v>
      </c>
      <c r="D759" s="9">
        <v>269479522</v>
      </c>
      <c r="E759" t="s">
        <v>2825</v>
      </c>
      <c r="F759" t="s">
        <v>531</v>
      </c>
      <c r="G759" t="s">
        <v>30</v>
      </c>
      <c r="H759" t="s">
        <v>31</v>
      </c>
      <c r="I759" t="s">
        <v>52</v>
      </c>
      <c r="J759" t="s">
        <v>32</v>
      </c>
      <c r="K759" t="s">
        <v>29</v>
      </c>
      <c r="L759" t="s">
        <v>3483</v>
      </c>
      <c r="M759" t="s">
        <v>247</v>
      </c>
      <c r="N759" t="s">
        <v>2828</v>
      </c>
      <c r="O759" t="s">
        <v>47</v>
      </c>
      <c r="P759" t="s">
        <v>3484</v>
      </c>
      <c r="Q759" t="s">
        <v>69</v>
      </c>
      <c r="R759" s="29">
        <v>46143.914583333331</v>
      </c>
      <c r="S759">
        <v>3.6</v>
      </c>
      <c r="T759">
        <v>7239</v>
      </c>
      <c r="U759">
        <v>0</v>
      </c>
      <c r="V759">
        <v>7239</v>
      </c>
    </row>
    <row r="760" spans="1:22" x14ac:dyDescent="0.3">
      <c r="A760">
        <v>186607</v>
      </c>
      <c r="B760">
        <v>454511022</v>
      </c>
      <c r="C760" t="s">
        <v>3485</v>
      </c>
      <c r="D760" s="9">
        <v>269478788</v>
      </c>
      <c r="E760" t="s">
        <v>2825</v>
      </c>
      <c r="F760" t="s">
        <v>531</v>
      </c>
      <c r="G760" t="s">
        <v>30</v>
      </c>
      <c r="H760" t="s">
        <v>31</v>
      </c>
      <c r="I760" t="s">
        <v>52</v>
      </c>
      <c r="J760" t="s">
        <v>32</v>
      </c>
      <c r="K760" t="s">
        <v>29</v>
      </c>
      <c r="L760" t="s">
        <v>3486</v>
      </c>
      <c r="M760" t="s">
        <v>3487</v>
      </c>
      <c r="N760" t="s">
        <v>2828</v>
      </c>
      <c r="O760" t="s">
        <v>47</v>
      </c>
      <c r="P760" t="s">
        <v>3488</v>
      </c>
      <c r="Q760" t="s">
        <v>80</v>
      </c>
      <c r="R760" s="29">
        <v>46145.865972222222</v>
      </c>
      <c r="S760">
        <v>7.8</v>
      </c>
      <c r="T760">
        <v>10206</v>
      </c>
      <c r="U760">
        <v>0</v>
      </c>
      <c r="V760">
        <v>10206</v>
      </c>
    </row>
    <row r="761" spans="1:22" x14ac:dyDescent="0.3">
      <c r="A761">
        <v>186607</v>
      </c>
      <c r="B761">
        <v>454466724</v>
      </c>
      <c r="C761" t="s">
        <v>3489</v>
      </c>
      <c r="D761" s="9">
        <v>269479268</v>
      </c>
      <c r="E761" t="s">
        <v>2825</v>
      </c>
      <c r="F761" t="s">
        <v>531</v>
      </c>
      <c r="G761" t="s">
        <v>30</v>
      </c>
      <c r="H761" t="s">
        <v>31</v>
      </c>
      <c r="I761" t="s">
        <v>52</v>
      </c>
      <c r="J761" t="s">
        <v>32</v>
      </c>
      <c r="K761" t="s">
        <v>29</v>
      </c>
      <c r="L761" t="s">
        <v>3490</v>
      </c>
      <c r="M761" t="s">
        <v>3491</v>
      </c>
      <c r="N761" t="s">
        <v>2828</v>
      </c>
      <c r="O761" t="s">
        <v>47</v>
      </c>
      <c r="P761" t="s">
        <v>3492</v>
      </c>
      <c r="Q761" t="s">
        <v>35</v>
      </c>
      <c r="R761" s="29">
        <v>46143.914583333331</v>
      </c>
      <c r="S761">
        <v>2.4500000000000002</v>
      </c>
      <c r="T761">
        <v>3935</v>
      </c>
      <c r="U761">
        <v>0</v>
      </c>
      <c r="V761">
        <v>3935</v>
      </c>
    </row>
    <row r="762" spans="1:22" x14ac:dyDescent="0.3">
      <c r="A762">
        <v>186607</v>
      </c>
      <c r="B762">
        <v>454568371</v>
      </c>
      <c r="C762" t="s">
        <v>3493</v>
      </c>
      <c r="D762" s="9">
        <v>269569884</v>
      </c>
      <c r="E762" t="s">
        <v>2825</v>
      </c>
      <c r="F762" t="s">
        <v>531</v>
      </c>
      <c r="G762" t="s">
        <v>30</v>
      </c>
      <c r="H762" t="s">
        <v>31</v>
      </c>
      <c r="I762" t="s">
        <v>52</v>
      </c>
      <c r="J762" t="s">
        <v>32</v>
      </c>
      <c r="K762" t="s">
        <v>29</v>
      </c>
      <c r="L762" t="s">
        <v>3494</v>
      </c>
      <c r="M762" t="s">
        <v>3495</v>
      </c>
      <c r="N762" t="s">
        <v>2828</v>
      </c>
      <c r="O762" t="s">
        <v>47</v>
      </c>
      <c r="P762" t="s">
        <v>3496</v>
      </c>
      <c r="Q762" t="s">
        <v>69</v>
      </c>
      <c r="R762" s="29">
        <v>46146.861111111109</v>
      </c>
      <c r="S762">
        <v>3.77</v>
      </c>
      <c r="T762">
        <v>7239</v>
      </c>
      <c r="U762">
        <v>0</v>
      </c>
      <c r="V762">
        <v>7239</v>
      </c>
    </row>
    <row r="763" spans="1:22" x14ac:dyDescent="0.3">
      <c r="A763">
        <v>186607</v>
      </c>
      <c r="B763">
        <v>454219781</v>
      </c>
      <c r="C763" t="s">
        <v>3497</v>
      </c>
      <c r="D763" s="9">
        <v>268913512</v>
      </c>
      <c r="E763" t="s">
        <v>2825</v>
      </c>
      <c r="F763" t="s">
        <v>531</v>
      </c>
      <c r="G763" t="s">
        <v>30</v>
      </c>
      <c r="H763" t="s">
        <v>31</v>
      </c>
      <c r="I763" t="s">
        <v>52</v>
      </c>
      <c r="J763" t="s">
        <v>32</v>
      </c>
      <c r="K763" t="s">
        <v>29</v>
      </c>
      <c r="L763" t="s">
        <v>3498</v>
      </c>
      <c r="M763" t="s">
        <v>3499</v>
      </c>
      <c r="N763" t="s">
        <v>2828</v>
      </c>
      <c r="O763" t="s">
        <v>47</v>
      </c>
      <c r="P763" t="s">
        <v>3500</v>
      </c>
      <c r="Q763" t="s">
        <v>243</v>
      </c>
      <c r="R763" s="29">
        <v>46135.875694444447</v>
      </c>
      <c r="S763">
        <v>2.93</v>
      </c>
      <c r="T763">
        <v>5564</v>
      </c>
      <c r="U763">
        <v>0</v>
      </c>
      <c r="V763">
        <v>5564</v>
      </c>
    </row>
    <row r="764" spans="1:22" x14ac:dyDescent="0.3">
      <c r="A764">
        <v>186607</v>
      </c>
      <c r="B764">
        <v>454568412</v>
      </c>
      <c r="C764" t="s">
        <v>3501</v>
      </c>
      <c r="D764" s="9">
        <v>269569769</v>
      </c>
      <c r="E764" t="s">
        <v>2825</v>
      </c>
      <c r="F764" t="s">
        <v>531</v>
      </c>
      <c r="G764" t="s">
        <v>30</v>
      </c>
      <c r="H764" t="s">
        <v>31</v>
      </c>
      <c r="I764" t="s">
        <v>52</v>
      </c>
      <c r="J764" t="s">
        <v>32</v>
      </c>
      <c r="K764" t="s">
        <v>29</v>
      </c>
      <c r="L764" t="s">
        <v>3502</v>
      </c>
      <c r="M764" t="s">
        <v>3503</v>
      </c>
      <c r="N764" t="s">
        <v>2828</v>
      </c>
      <c r="O764" t="s">
        <v>47</v>
      </c>
      <c r="P764" t="s">
        <v>3504</v>
      </c>
      <c r="Q764" t="s">
        <v>44</v>
      </c>
      <c r="R764" s="29">
        <v>46146.861805555556</v>
      </c>
      <c r="S764">
        <v>21.5</v>
      </c>
      <c r="T764">
        <v>19277</v>
      </c>
      <c r="U764">
        <v>0</v>
      </c>
      <c r="V764">
        <v>19277</v>
      </c>
    </row>
    <row r="765" spans="1:22" x14ac:dyDescent="0.3">
      <c r="A765">
        <v>186607</v>
      </c>
      <c r="B765">
        <v>454568372</v>
      </c>
      <c r="C765" t="s">
        <v>3505</v>
      </c>
      <c r="D765" s="9">
        <v>269569904</v>
      </c>
      <c r="E765" t="s">
        <v>2825</v>
      </c>
      <c r="F765" t="s">
        <v>531</v>
      </c>
      <c r="G765" t="s">
        <v>30</v>
      </c>
      <c r="H765" t="s">
        <v>31</v>
      </c>
      <c r="I765" t="s">
        <v>52</v>
      </c>
      <c r="J765" t="s">
        <v>32</v>
      </c>
      <c r="K765" t="s">
        <v>29</v>
      </c>
      <c r="L765" t="s">
        <v>3506</v>
      </c>
      <c r="M765" t="s">
        <v>303</v>
      </c>
      <c r="N765" t="s">
        <v>2828</v>
      </c>
      <c r="O765" t="s">
        <v>47</v>
      </c>
      <c r="P765" t="s">
        <v>3507</v>
      </c>
      <c r="Q765" t="s">
        <v>161</v>
      </c>
      <c r="R765" s="29">
        <v>46146.861111111109</v>
      </c>
      <c r="S765">
        <v>3.19</v>
      </c>
      <c r="T765">
        <v>4687</v>
      </c>
      <c r="U765">
        <v>0</v>
      </c>
      <c r="V765">
        <v>4687</v>
      </c>
    </row>
    <row r="766" spans="1:22" x14ac:dyDescent="0.3">
      <c r="A766">
        <v>186607</v>
      </c>
      <c r="B766">
        <v>454511002</v>
      </c>
      <c r="C766" t="s">
        <v>3508</v>
      </c>
      <c r="D766" s="9">
        <v>269478917</v>
      </c>
      <c r="E766" t="s">
        <v>2825</v>
      </c>
      <c r="F766" t="s">
        <v>531</v>
      </c>
      <c r="G766" t="s">
        <v>30</v>
      </c>
      <c r="H766" t="s">
        <v>31</v>
      </c>
      <c r="I766" t="s">
        <v>52</v>
      </c>
      <c r="J766" t="s">
        <v>32</v>
      </c>
      <c r="K766" t="s">
        <v>29</v>
      </c>
      <c r="L766" t="s">
        <v>3509</v>
      </c>
      <c r="M766" t="s">
        <v>293</v>
      </c>
      <c r="N766" t="s">
        <v>2828</v>
      </c>
      <c r="O766" t="s">
        <v>47</v>
      </c>
      <c r="P766" t="s">
        <v>3510</v>
      </c>
      <c r="Q766" t="s">
        <v>40</v>
      </c>
      <c r="R766" s="29">
        <v>46145.865972222222</v>
      </c>
      <c r="S766">
        <v>3.5</v>
      </c>
      <c r="T766">
        <v>4935</v>
      </c>
      <c r="U766">
        <v>0</v>
      </c>
      <c r="V766">
        <v>4935</v>
      </c>
    </row>
    <row r="767" spans="1:22" x14ac:dyDescent="0.3">
      <c r="A767">
        <v>186607</v>
      </c>
      <c r="B767">
        <v>454510990</v>
      </c>
      <c r="C767" t="s">
        <v>3511</v>
      </c>
      <c r="D767" s="9">
        <v>269479078</v>
      </c>
      <c r="E767" t="s">
        <v>2825</v>
      </c>
      <c r="F767" t="s">
        <v>531</v>
      </c>
      <c r="G767" t="s">
        <v>30</v>
      </c>
      <c r="H767" t="s">
        <v>31</v>
      </c>
      <c r="I767" t="s">
        <v>52</v>
      </c>
      <c r="J767" t="s">
        <v>32</v>
      </c>
      <c r="K767" t="s">
        <v>29</v>
      </c>
      <c r="L767" t="s">
        <v>3512</v>
      </c>
      <c r="M767" t="s">
        <v>3513</v>
      </c>
      <c r="N767" t="s">
        <v>2828</v>
      </c>
      <c r="O767" t="s">
        <v>47</v>
      </c>
      <c r="P767" t="s">
        <v>3514</v>
      </c>
      <c r="Q767" t="s">
        <v>33</v>
      </c>
      <c r="R767" s="29">
        <v>46145.865277777775</v>
      </c>
      <c r="S767">
        <v>1.84</v>
      </c>
      <c r="T767">
        <v>3631</v>
      </c>
      <c r="U767">
        <v>0</v>
      </c>
      <c r="V767">
        <v>3631</v>
      </c>
    </row>
    <row r="768" spans="1:22" x14ac:dyDescent="0.3">
      <c r="A768">
        <v>186607</v>
      </c>
      <c r="B768">
        <v>454568396</v>
      </c>
      <c r="C768" t="s">
        <v>3515</v>
      </c>
      <c r="D768" s="9">
        <v>269569823</v>
      </c>
      <c r="E768" t="s">
        <v>2825</v>
      </c>
      <c r="F768" t="s">
        <v>531</v>
      </c>
      <c r="G768" t="s">
        <v>30</v>
      </c>
      <c r="H768" t="s">
        <v>31</v>
      </c>
      <c r="I768" t="s">
        <v>52</v>
      </c>
      <c r="J768" t="s">
        <v>32</v>
      </c>
      <c r="K768" t="s">
        <v>29</v>
      </c>
      <c r="L768" t="s">
        <v>3516</v>
      </c>
      <c r="M768" t="s">
        <v>3517</v>
      </c>
      <c r="N768" t="s">
        <v>2828</v>
      </c>
      <c r="O768" t="s">
        <v>47</v>
      </c>
      <c r="P768" t="s">
        <v>3518</v>
      </c>
      <c r="Q768" t="s">
        <v>42</v>
      </c>
      <c r="R768" s="29">
        <v>46146.861805555556</v>
      </c>
      <c r="S768">
        <v>3.6</v>
      </c>
      <c r="T768">
        <v>3664</v>
      </c>
      <c r="U768">
        <v>0</v>
      </c>
      <c r="V768">
        <v>3664</v>
      </c>
    </row>
    <row r="769" spans="1:22" x14ac:dyDescent="0.3">
      <c r="A769">
        <v>186607</v>
      </c>
      <c r="B769">
        <v>454466662</v>
      </c>
      <c r="C769" t="s">
        <v>3519</v>
      </c>
      <c r="D769" s="9">
        <v>269479616</v>
      </c>
      <c r="E769" t="s">
        <v>2825</v>
      </c>
      <c r="F769" t="s">
        <v>531</v>
      </c>
      <c r="G769" t="s">
        <v>30</v>
      </c>
      <c r="H769" t="s">
        <v>31</v>
      </c>
      <c r="I769" t="s">
        <v>52</v>
      </c>
      <c r="J769" t="s">
        <v>32</v>
      </c>
      <c r="K769" t="s">
        <v>29</v>
      </c>
      <c r="L769" t="s">
        <v>3520</v>
      </c>
      <c r="M769" t="s">
        <v>3521</v>
      </c>
      <c r="N769" t="s">
        <v>2828</v>
      </c>
      <c r="O769" t="s">
        <v>47</v>
      </c>
      <c r="P769" t="s">
        <v>3522</v>
      </c>
      <c r="Q769" t="s">
        <v>42</v>
      </c>
      <c r="R769" s="29">
        <v>46143.914583333331</v>
      </c>
      <c r="S769">
        <v>2.3199999999999998</v>
      </c>
      <c r="T769">
        <v>3250</v>
      </c>
      <c r="U769">
        <v>0</v>
      </c>
      <c r="V769">
        <v>3250</v>
      </c>
    </row>
    <row r="770" spans="1:22" x14ac:dyDescent="0.3">
      <c r="A770">
        <v>186607</v>
      </c>
      <c r="B770">
        <v>454588377</v>
      </c>
      <c r="C770" t="s">
        <v>3523</v>
      </c>
      <c r="D770" s="9">
        <v>269569754</v>
      </c>
      <c r="E770" t="s">
        <v>2825</v>
      </c>
      <c r="F770" t="s">
        <v>531</v>
      </c>
      <c r="G770" t="s">
        <v>30</v>
      </c>
      <c r="H770" t="s">
        <v>31</v>
      </c>
      <c r="I770" t="s">
        <v>52</v>
      </c>
      <c r="J770" t="s">
        <v>32</v>
      </c>
      <c r="K770" t="s">
        <v>29</v>
      </c>
      <c r="L770" t="s">
        <v>3524</v>
      </c>
      <c r="M770" t="s">
        <v>3525</v>
      </c>
      <c r="N770" t="s">
        <v>2828</v>
      </c>
      <c r="O770" t="s">
        <v>47</v>
      </c>
      <c r="P770" t="s">
        <v>3526</v>
      </c>
      <c r="Q770" t="s">
        <v>38</v>
      </c>
      <c r="R770" s="29">
        <v>46147.459027777775</v>
      </c>
      <c r="S770">
        <v>0.5</v>
      </c>
      <c r="T770">
        <v>3193</v>
      </c>
      <c r="U770">
        <v>0</v>
      </c>
      <c r="V770">
        <v>3193</v>
      </c>
    </row>
    <row r="771" spans="1:22" x14ac:dyDescent="0.3">
      <c r="A771">
        <v>186607</v>
      </c>
      <c r="B771">
        <v>454568411</v>
      </c>
      <c r="C771" t="s">
        <v>3527</v>
      </c>
      <c r="D771" s="9">
        <v>269569776</v>
      </c>
      <c r="E771" t="s">
        <v>2825</v>
      </c>
      <c r="F771" t="s">
        <v>531</v>
      </c>
      <c r="G771" t="s">
        <v>30</v>
      </c>
      <c r="H771" t="s">
        <v>31</v>
      </c>
      <c r="I771" t="s">
        <v>52</v>
      </c>
      <c r="J771" t="s">
        <v>32</v>
      </c>
      <c r="K771" t="s">
        <v>29</v>
      </c>
      <c r="L771" t="s">
        <v>3528</v>
      </c>
      <c r="M771" t="s">
        <v>3529</v>
      </c>
      <c r="N771" t="s">
        <v>2828</v>
      </c>
      <c r="O771" t="s">
        <v>47</v>
      </c>
      <c r="P771" t="s">
        <v>3530</v>
      </c>
      <c r="Q771" t="s">
        <v>40</v>
      </c>
      <c r="R771" s="29">
        <v>46146.861805555556</v>
      </c>
      <c r="S771">
        <v>2.08</v>
      </c>
      <c r="T771">
        <v>3935</v>
      </c>
      <c r="U771">
        <v>0</v>
      </c>
      <c r="V771">
        <v>3935</v>
      </c>
    </row>
    <row r="772" spans="1:22" x14ac:dyDescent="0.3">
      <c r="A772">
        <v>186607</v>
      </c>
      <c r="B772">
        <v>454540340</v>
      </c>
      <c r="C772" t="s">
        <v>3531</v>
      </c>
      <c r="D772" s="9">
        <v>269478739</v>
      </c>
      <c r="E772" t="s">
        <v>2825</v>
      </c>
      <c r="F772" t="s">
        <v>531</v>
      </c>
      <c r="G772" t="s">
        <v>30</v>
      </c>
      <c r="H772" t="s">
        <v>31</v>
      </c>
      <c r="I772" t="s">
        <v>52</v>
      </c>
      <c r="J772" t="s">
        <v>32</v>
      </c>
      <c r="K772" t="s">
        <v>29</v>
      </c>
      <c r="L772" t="s">
        <v>3532</v>
      </c>
      <c r="M772" t="s">
        <v>3533</v>
      </c>
      <c r="N772" t="s">
        <v>2828</v>
      </c>
      <c r="O772" t="s">
        <v>47</v>
      </c>
      <c r="P772" t="s">
        <v>3534</v>
      </c>
      <c r="Q772" t="s">
        <v>74</v>
      </c>
      <c r="R772" s="29">
        <v>46146.487500000003</v>
      </c>
      <c r="S772">
        <v>6.22</v>
      </c>
      <c r="T772">
        <v>5295</v>
      </c>
      <c r="U772">
        <v>0</v>
      </c>
      <c r="V772">
        <v>5295</v>
      </c>
    </row>
    <row r="773" spans="1:22" x14ac:dyDescent="0.3">
      <c r="A773">
        <v>186607</v>
      </c>
      <c r="B773">
        <v>454466702</v>
      </c>
      <c r="C773" t="s">
        <v>3535</v>
      </c>
      <c r="D773" s="9">
        <v>269479391</v>
      </c>
      <c r="E773" t="s">
        <v>2825</v>
      </c>
      <c r="F773" t="s">
        <v>531</v>
      </c>
      <c r="G773" t="s">
        <v>30</v>
      </c>
      <c r="H773" t="s">
        <v>31</v>
      </c>
      <c r="I773" t="s">
        <v>52</v>
      </c>
      <c r="J773" t="s">
        <v>32</v>
      </c>
      <c r="K773" t="s">
        <v>29</v>
      </c>
      <c r="L773" t="s">
        <v>3536</v>
      </c>
      <c r="M773" t="s">
        <v>3537</v>
      </c>
      <c r="N773" t="s">
        <v>2828</v>
      </c>
      <c r="O773" t="s">
        <v>47</v>
      </c>
      <c r="P773" t="s">
        <v>3538</v>
      </c>
      <c r="Q773" t="s">
        <v>88</v>
      </c>
      <c r="R773" s="29">
        <v>46143.914583333331</v>
      </c>
      <c r="S773">
        <v>3.61</v>
      </c>
      <c r="T773">
        <v>4305</v>
      </c>
      <c r="U773">
        <v>0</v>
      </c>
      <c r="V773">
        <v>4305</v>
      </c>
    </row>
    <row r="774" spans="1:22" x14ac:dyDescent="0.3">
      <c r="A774">
        <v>186607</v>
      </c>
      <c r="B774">
        <v>454466685</v>
      </c>
      <c r="C774" t="s">
        <v>3539</v>
      </c>
      <c r="D774" s="9">
        <v>269479472</v>
      </c>
      <c r="E774" t="s">
        <v>2825</v>
      </c>
      <c r="F774" t="s">
        <v>531</v>
      </c>
      <c r="G774" t="s">
        <v>30</v>
      </c>
      <c r="H774" t="s">
        <v>31</v>
      </c>
      <c r="I774" t="s">
        <v>52</v>
      </c>
      <c r="J774" t="s">
        <v>32</v>
      </c>
      <c r="K774" t="s">
        <v>29</v>
      </c>
      <c r="L774" t="s">
        <v>3540</v>
      </c>
      <c r="M774" t="s">
        <v>268</v>
      </c>
      <c r="N774" t="s">
        <v>2828</v>
      </c>
      <c r="O774" t="s">
        <v>47</v>
      </c>
      <c r="P774" t="s">
        <v>3541</v>
      </c>
      <c r="Q774" t="s">
        <v>189</v>
      </c>
      <c r="R774" s="29">
        <v>46143.914583333331</v>
      </c>
      <c r="S774">
        <v>3.29</v>
      </c>
      <c r="T774">
        <v>3664</v>
      </c>
      <c r="U774">
        <v>0</v>
      </c>
      <c r="V774">
        <v>3664</v>
      </c>
    </row>
    <row r="775" spans="1:22" x14ac:dyDescent="0.3">
      <c r="A775">
        <v>186607</v>
      </c>
      <c r="B775">
        <v>454540331</v>
      </c>
      <c r="C775" t="s">
        <v>3542</v>
      </c>
      <c r="D775" s="9">
        <v>269478793</v>
      </c>
      <c r="E775" t="s">
        <v>2825</v>
      </c>
      <c r="F775" t="s">
        <v>531</v>
      </c>
      <c r="G775" t="s">
        <v>30</v>
      </c>
      <c r="H775" t="s">
        <v>31</v>
      </c>
      <c r="I775" t="s">
        <v>52</v>
      </c>
      <c r="J775" t="s">
        <v>32</v>
      </c>
      <c r="K775" t="s">
        <v>29</v>
      </c>
      <c r="L775" t="s">
        <v>3543</v>
      </c>
      <c r="M775" t="s">
        <v>3544</v>
      </c>
      <c r="N775" t="s">
        <v>2828</v>
      </c>
      <c r="O775" t="s">
        <v>47</v>
      </c>
      <c r="P775" t="s">
        <v>3545</v>
      </c>
      <c r="Q775" t="s">
        <v>43</v>
      </c>
      <c r="R775" s="29">
        <v>46146.487500000003</v>
      </c>
      <c r="S775">
        <v>2.0699999999999998</v>
      </c>
      <c r="T775">
        <v>4205</v>
      </c>
      <c r="U775">
        <v>0</v>
      </c>
      <c r="V775">
        <v>4205</v>
      </c>
    </row>
    <row r="776" spans="1:22" x14ac:dyDescent="0.3">
      <c r="A776">
        <v>186607</v>
      </c>
      <c r="B776">
        <v>454426592</v>
      </c>
      <c r="C776" t="s">
        <v>3546</v>
      </c>
      <c r="D776" s="9">
        <v>269327575</v>
      </c>
      <c r="E776" t="s">
        <v>2825</v>
      </c>
      <c r="F776" t="s">
        <v>531</v>
      </c>
      <c r="G776" t="s">
        <v>30</v>
      </c>
      <c r="H776" t="s">
        <v>31</v>
      </c>
      <c r="I776" t="s">
        <v>52</v>
      </c>
      <c r="J776" t="s">
        <v>32</v>
      </c>
      <c r="K776" t="s">
        <v>29</v>
      </c>
      <c r="L776" t="s">
        <v>3547</v>
      </c>
      <c r="M776" t="s">
        <v>3548</v>
      </c>
      <c r="N776" t="s">
        <v>2828</v>
      </c>
      <c r="O776" t="s">
        <v>47</v>
      </c>
      <c r="P776" t="s">
        <v>3549</v>
      </c>
      <c r="Q776" t="s">
        <v>80</v>
      </c>
      <c r="R776" s="29">
        <v>46142.482638888891</v>
      </c>
      <c r="S776">
        <v>3.54</v>
      </c>
      <c r="T776">
        <v>7487</v>
      </c>
      <c r="U776">
        <v>0</v>
      </c>
      <c r="V776">
        <v>7487</v>
      </c>
    </row>
    <row r="777" spans="1:22" x14ac:dyDescent="0.3">
      <c r="A777">
        <v>186607</v>
      </c>
      <c r="B777">
        <v>454568400</v>
      </c>
      <c r="C777" t="s">
        <v>3550</v>
      </c>
      <c r="D777" s="9">
        <v>269569788</v>
      </c>
      <c r="E777" t="s">
        <v>2825</v>
      </c>
      <c r="F777" t="s">
        <v>531</v>
      </c>
      <c r="G777" t="s">
        <v>30</v>
      </c>
      <c r="H777" t="s">
        <v>31</v>
      </c>
      <c r="I777" t="s">
        <v>52</v>
      </c>
      <c r="J777" t="s">
        <v>32</v>
      </c>
      <c r="K777" t="s">
        <v>29</v>
      </c>
      <c r="L777" t="s">
        <v>3551</v>
      </c>
      <c r="M777" t="s">
        <v>3552</v>
      </c>
      <c r="N777" t="s">
        <v>2828</v>
      </c>
      <c r="O777" t="s">
        <v>47</v>
      </c>
      <c r="P777" t="s">
        <v>3553</v>
      </c>
      <c r="Q777" t="s">
        <v>74</v>
      </c>
      <c r="R777" s="29">
        <v>46146.861805555556</v>
      </c>
      <c r="S777">
        <v>3.42</v>
      </c>
      <c r="T777">
        <v>4429</v>
      </c>
      <c r="U777">
        <v>0</v>
      </c>
      <c r="V777">
        <v>4429</v>
      </c>
    </row>
    <row r="778" spans="1:22" x14ac:dyDescent="0.3">
      <c r="A778">
        <v>186607</v>
      </c>
      <c r="B778">
        <v>454510980</v>
      </c>
      <c r="C778" t="s">
        <v>3554</v>
      </c>
      <c r="D778" s="9">
        <v>269479128</v>
      </c>
      <c r="E778" t="s">
        <v>2825</v>
      </c>
      <c r="F778" t="s">
        <v>531</v>
      </c>
      <c r="G778" t="s">
        <v>30</v>
      </c>
      <c r="H778" t="s">
        <v>31</v>
      </c>
      <c r="I778" t="s">
        <v>52</v>
      </c>
      <c r="J778" t="s">
        <v>32</v>
      </c>
      <c r="K778" t="s">
        <v>29</v>
      </c>
      <c r="L778" t="s">
        <v>3555</v>
      </c>
      <c r="M778" t="s">
        <v>3556</v>
      </c>
      <c r="N778" t="s">
        <v>2828</v>
      </c>
      <c r="O778" t="s">
        <v>47</v>
      </c>
      <c r="P778" t="s">
        <v>3557</v>
      </c>
      <c r="Q778" t="s">
        <v>140</v>
      </c>
      <c r="R778" s="29">
        <v>46145.865277777775</v>
      </c>
      <c r="S778">
        <v>2.85</v>
      </c>
      <c r="T778">
        <v>3250</v>
      </c>
      <c r="U778">
        <v>0</v>
      </c>
      <c r="V778">
        <v>3250</v>
      </c>
    </row>
    <row r="779" spans="1:22" x14ac:dyDescent="0.3">
      <c r="A779">
        <v>186607</v>
      </c>
      <c r="B779">
        <v>454510998</v>
      </c>
      <c r="C779" t="s">
        <v>3558</v>
      </c>
      <c r="D779" s="9">
        <v>269478968</v>
      </c>
      <c r="E779" t="s">
        <v>2825</v>
      </c>
      <c r="F779" t="s">
        <v>531</v>
      </c>
      <c r="G779" t="s">
        <v>30</v>
      </c>
      <c r="H779" t="s">
        <v>31</v>
      </c>
      <c r="I779" t="s">
        <v>52</v>
      </c>
      <c r="J779" t="s">
        <v>32</v>
      </c>
      <c r="K779" t="s">
        <v>29</v>
      </c>
      <c r="L779" t="s">
        <v>3559</v>
      </c>
      <c r="M779" t="s">
        <v>3560</v>
      </c>
      <c r="N779" t="s">
        <v>2828</v>
      </c>
      <c r="O779" t="s">
        <v>47</v>
      </c>
      <c r="P779" t="s">
        <v>3561</v>
      </c>
      <c r="Q779" t="s">
        <v>34</v>
      </c>
      <c r="R779" s="29">
        <v>46145.865277777775</v>
      </c>
      <c r="S779">
        <v>4.2300000000000004</v>
      </c>
      <c r="T779">
        <v>4429</v>
      </c>
      <c r="U779">
        <v>0</v>
      </c>
      <c r="V779">
        <v>4429</v>
      </c>
    </row>
    <row r="780" spans="1:22" x14ac:dyDescent="0.3">
      <c r="A780">
        <v>186607</v>
      </c>
      <c r="B780">
        <v>454466677</v>
      </c>
      <c r="C780" t="s">
        <v>3562</v>
      </c>
      <c r="D780" s="9">
        <v>269479497</v>
      </c>
      <c r="E780" t="s">
        <v>2825</v>
      </c>
      <c r="F780" t="s">
        <v>531</v>
      </c>
      <c r="G780" t="s">
        <v>30</v>
      </c>
      <c r="H780" t="s">
        <v>31</v>
      </c>
      <c r="I780" t="s">
        <v>52</v>
      </c>
      <c r="J780" t="s">
        <v>32</v>
      </c>
      <c r="K780" t="s">
        <v>29</v>
      </c>
      <c r="L780" t="s">
        <v>3563</v>
      </c>
      <c r="M780" t="s">
        <v>3564</v>
      </c>
      <c r="N780" t="s">
        <v>2828</v>
      </c>
      <c r="O780" t="s">
        <v>47</v>
      </c>
      <c r="P780" t="s">
        <v>3565</v>
      </c>
      <c r="Q780" t="s">
        <v>198</v>
      </c>
      <c r="R780" s="29">
        <v>46143.914583333331</v>
      </c>
      <c r="S780">
        <v>3.86</v>
      </c>
      <c r="T780">
        <v>5193</v>
      </c>
      <c r="U780">
        <v>0</v>
      </c>
      <c r="V780">
        <v>5193</v>
      </c>
    </row>
    <row r="781" spans="1:22" x14ac:dyDescent="0.3">
      <c r="A781">
        <v>186607</v>
      </c>
      <c r="B781">
        <v>454420512</v>
      </c>
      <c r="C781" t="s">
        <v>3566</v>
      </c>
      <c r="D781" s="9">
        <v>269327592</v>
      </c>
      <c r="E781" t="s">
        <v>2825</v>
      </c>
      <c r="F781" t="s">
        <v>531</v>
      </c>
      <c r="G781" t="s">
        <v>30</v>
      </c>
      <c r="H781" t="s">
        <v>31</v>
      </c>
      <c r="I781" t="s">
        <v>52</v>
      </c>
      <c r="J781" t="s">
        <v>32</v>
      </c>
      <c r="K781" t="s">
        <v>29</v>
      </c>
      <c r="L781" t="s">
        <v>3567</v>
      </c>
      <c r="M781" t="s">
        <v>3568</v>
      </c>
      <c r="N781" t="s">
        <v>2828</v>
      </c>
      <c r="O781" t="s">
        <v>47</v>
      </c>
      <c r="P781" t="s">
        <v>3569</v>
      </c>
      <c r="Q781" t="s">
        <v>72</v>
      </c>
      <c r="R781" s="29">
        <v>46142.412499999999</v>
      </c>
      <c r="S781">
        <v>2.2599999999999998</v>
      </c>
      <c r="T781">
        <v>3935</v>
      </c>
      <c r="U781">
        <v>0</v>
      </c>
      <c r="V781">
        <v>3935</v>
      </c>
    </row>
    <row r="782" spans="1:22" x14ac:dyDescent="0.3">
      <c r="A782">
        <v>186607</v>
      </c>
      <c r="B782">
        <v>454568373</v>
      </c>
      <c r="C782" t="s">
        <v>3570</v>
      </c>
      <c r="D782" s="9">
        <v>269569908</v>
      </c>
      <c r="E782" t="s">
        <v>2825</v>
      </c>
      <c r="F782" t="s">
        <v>531</v>
      </c>
      <c r="G782" t="s">
        <v>30</v>
      </c>
      <c r="H782" t="s">
        <v>31</v>
      </c>
      <c r="I782" t="s">
        <v>52</v>
      </c>
      <c r="J782" t="s">
        <v>32</v>
      </c>
      <c r="K782" t="s">
        <v>29</v>
      </c>
      <c r="L782" t="s">
        <v>3571</v>
      </c>
      <c r="M782" t="s">
        <v>3572</v>
      </c>
      <c r="N782" t="s">
        <v>2828</v>
      </c>
      <c r="O782" t="s">
        <v>47</v>
      </c>
      <c r="P782" t="s">
        <v>3573</v>
      </c>
      <c r="Q782" t="s">
        <v>140</v>
      </c>
      <c r="R782" s="29">
        <v>46146.861111111109</v>
      </c>
      <c r="S782">
        <v>5.57</v>
      </c>
      <c r="T782">
        <v>5024</v>
      </c>
      <c r="U782">
        <v>0</v>
      </c>
      <c r="V782">
        <v>5024</v>
      </c>
    </row>
    <row r="783" spans="1:22" x14ac:dyDescent="0.3">
      <c r="A783">
        <v>186607</v>
      </c>
      <c r="B783">
        <v>454474731</v>
      </c>
      <c r="C783" t="s">
        <v>3574</v>
      </c>
      <c r="D783" s="9">
        <v>269479220</v>
      </c>
      <c r="E783" t="s">
        <v>2825</v>
      </c>
      <c r="F783" t="s">
        <v>531</v>
      </c>
      <c r="G783" t="s">
        <v>30</v>
      </c>
      <c r="H783" t="s">
        <v>31</v>
      </c>
      <c r="I783" t="s">
        <v>52</v>
      </c>
      <c r="J783" t="s">
        <v>32</v>
      </c>
      <c r="K783" t="s">
        <v>29</v>
      </c>
      <c r="L783" t="s">
        <v>3575</v>
      </c>
      <c r="M783" t="s">
        <v>3576</v>
      </c>
      <c r="N783" t="s">
        <v>2828</v>
      </c>
      <c r="O783" t="s">
        <v>47</v>
      </c>
      <c r="P783" t="s">
        <v>3577</v>
      </c>
      <c r="Q783" t="s">
        <v>65</v>
      </c>
      <c r="R783" s="29">
        <v>46144.425694444442</v>
      </c>
      <c r="S783">
        <v>3.44</v>
      </c>
      <c r="T783">
        <v>4935</v>
      </c>
      <c r="U783">
        <v>0</v>
      </c>
      <c r="V783">
        <v>4935</v>
      </c>
    </row>
    <row r="784" spans="1:22" x14ac:dyDescent="0.3">
      <c r="A784">
        <v>186607</v>
      </c>
      <c r="B784">
        <v>454510992</v>
      </c>
      <c r="C784" t="s">
        <v>3578</v>
      </c>
      <c r="D784" s="9">
        <v>269479043</v>
      </c>
      <c r="E784" t="s">
        <v>2825</v>
      </c>
      <c r="F784" t="s">
        <v>531</v>
      </c>
      <c r="G784" t="s">
        <v>30</v>
      </c>
      <c r="H784" t="s">
        <v>31</v>
      </c>
      <c r="I784" t="s">
        <v>52</v>
      </c>
      <c r="J784" t="s">
        <v>32</v>
      </c>
      <c r="K784" t="s">
        <v>29</v>
      </c>
      <c r="L784" t="s">
        <v>3579</v>
      </c>
      <c r="M784" t="s">
        <v>3580</v>
      </c>
      <c r="N784" t="s">
        <v>2828</v>
      </c>
      <c r="O784" t="s">
        <v>47</v>
      </c>
      <c r="P784" t="s">
        <v>3581</v>
      </c>
      <c r="Q784" t="s">
        <v>161</v>
      </c>
      <c r="R784" s="29">
        <v>46145.865277777775</v>
      </c>
      <c r="S784">
        <v>2.12</v>
      </c>
      <c r="T784">
        <v>3935</v>
      </c>
      <c r="U784">
        <v>0</v>
      </c>
      <c r="V784">
        <v>3935</v>
      </c>
    </row>
    <row r="785" spans="1:22" x14ac:dyDescent="0.3">
      <c r="A785">
        <v>186607</v>
      </c>
      <c r="B785">
        <v>454466706</v>
      </c>
      <c r="C785" t="s">
        <v>3582</v>
      </c>
      <c r="D785" s="9">
        <v>269479384</v>
      </c>
      <c r="E785" t="s">
        <v>2825</v>
      </c>
      <c r="F785" t="s">
        <v>531</v>
      </c>
      <c r="G785" t="s">
        <v>30</v>
      </c>
      <c r="H785" t="s">
        <v>31</v>
      </c>
      <c r="I785" t="s">
        <v>52</v>
      </c>
      <c r="J785" t="s">
        <v>32</v>
      </c>
      <c r="K785" t="s">
        <v>29</v>
      </c>
      <c r="L785" t="s">
        <v>3583</v>
      </c>
      <c r="M785" t="s">
        <v>3584</v>
      </c>
      <c r="N785" t="s">
        <v>2828</v>
      </c>
      <c r="O785" t="s">
        <v>47</v>
      </c>
      <c r="P785" t="s">
        <v>3585</v>
      </c>
      <c r="Q785" t="s">
        <v>78</v>
      </c>
      <c r="R785" s="29">
        <v>46143.914583333331</v>
      </c>
      <c r="S785">
        <v>3.96</v>
      </c>
      <c r="T785">
        <v>3664</v>
      </c>
      <c r="U785">
        <v>0</v>
      </c>
      <c r="V785">
        <v>3664</v>
      </c>
    </row>
    <row r="786" spans="1:22" x14ac:dyDescent="0.3">
      <c r="A786">
        <v>186607</v>
      </c>
      <c r="B786">
        <v>454466717</v>
      </c>
      <c r="C786" t="s">
        <v>3586</v>
      </c>
      <c r="D786" s="9">
        <v>269479319</v>
      </c>
      <c r="E786" t="s">
        <v>2825</v>
      </c>
      <c r="F786" t="s">
        <v>531</v>
      </c>
      <c r="G786" t="s">
        <v>30</v>
      </c>
      <c r="H786" t="s">
        <v>31</v>
      </c>
      <c r="I786" t="s">
        <v>52</v>
      </c>
      <c r="J786" t="s">
        <v>32</v>
      </c>
      <c r="K786" t="s">
        <v>29</v>
      </c>
      <c r="L786" t="s">
        <v>3587</v>
      </c>
      <c r="M786" t="s">
        <v>3588</v>
      </c>
      <c r="N786" t="s">
        <v>2828</v>
      </c>
      <c r="O786" t="s">
        <v>47</v>
      </c>
      <c r="P786" t="s">
        <v>3589</v>
      </c>
      <c r="Q786" t="s">
        <v>79</v>
      </c>
      <c r="R786" s="29">
        <v>46143.914583333331</v>
      </c>
      <c r="S786">
        <v>3.67</v>
      </c>
      <c r="T786">
        <v>4305</v>
      </c>
      <c r="U786">
        <v>0</v>
      </c>
      <c r="V786">
        <v>4305</v>
      </c>
    </row>
    <row r="787" spans="1:22" x14ac:dyDescent="0.3">
      <c r="A787">
        <v>186607</v>
      </c>
      <c r="B787">
        <v>454588400</v>
      </c>
      <c r="C787" t="s">
        <v>3590</v>
      </c>
      <c r="D787" s="9">
        <v>269569725</v>
      </c>
      <c r="E787" t="s">
        <v>2825</v>
      </c>
      <c r="F787" t="s">
        <v>531</v>
      </c>
      <c r="G787" t="s">
        <v>30</v>
      </c>
      <c r="H787" t="s">
        <v>31</v>
      </c>
      <c r="I787" t="s">
        <v>52</v>
      </c>
      <c r="J787" t="s">
        <v>32</v>
      </c>
      <c r="K787" t="s">
        <v>29</v>
      </c>
      <c r="L787" t="s">
        <v>3591</v>
      </c>
      <c r="M787" t="s">
        <v>3592</v>
      </c>
      <c r="N787" t="s">
        <v>2828</v>
      </c>
      <c r="O787" t="s">
        <v>47</v>
      </c>
      <c r="P787" t="s">
        <v>3593</v>
      </c>
      <c r="Q787" t="s">
        <v>40</v>
      </c>
      <c r="R787" s="29">
        <v>46147.459027777775</v>
      </c>
      <c r="S787">
        <v>2.71</v>
      </c>
      <c r="T787">
        <v>3935</v>
      </c>
      <c r="U787">
        <v>0</v>
      </c>
      <c r="V787">
        <v>3935</v>
      </c>
    </row>
    <row r="788" spans="1:22" x14ac:dyDescent="0.3">
      <c r="A788">
        <v>186607</v>
      </c>
      <c r="B788">
        <v>454588379</v>
      </c>
      <c r="C788" t="s">
        <v>3594</v>
      </c>
      <c r="D788" s="9">
        <v>269569730</v>
      </c>
      <c r="E788" t="s">
        <v>2825</v>
      </c>
      <c r="F788" t="s">
        <v>531</v>
      </c>
      <c r="G788" t="s">
        <v>30</v>
      </c>
      <c r="H788" t="s">
        <v>31</v>
      </c>
      <c r="I788" t="s">
        <v>52</v>
      </c>
      <c r="J788" t="s">
        <v>32</v>
      </c>
      <c r="K788" t="s">
        <v>29</v>
      </c>
      <c r="L788" t="s">
        <v>3595</v>
      </c>
      <c r="M788" t="s">
        <v>3596</v>
      </c>
      <c r="N788" t="s">
        <v>2828</v>
      </c>
      <c r="O788" t="s">
        <v>47</v>
      </c>
      <c r="P788" t="s">
        <v>3597</v>
      </c>
      <c r="Q788" t="s">
        <v>73</v>
      </c>
      <c r="R788" s="29">
        <v>46147.459027777775</v>
      </c>
      <c r="S788">
        <v>2.15</v>
      </c>
      <c r="T788">
        <v>3250</v>
      </c>
      <c r="U788">
        <v>0</v>
      </c>
      <c r="V788">
        <v>3250</v>
      </c>
    </row>
    <row r="789" spans="1:22" x14ac:dyDescent="0.3">
      <c r="A789">
        <v>186607</v>
      </c>
      <c r="B789">
        <v>454588424</v>
      </c>
      <c r="C789" t="s">
        <v>3598</v>
      </c>
      <c r="D789" s="9">
        <v>269569642</v>
      </c>
      <c r="E789" t="s">
        <v>2825</v>
      </c>
      <c r="F789" t="s">
        <v>531</v>
      </c>
      <c r="G789" t="s">
        <v>30</v>
      </c>
      <c r="H789" t="s">
        <v>31</v>
      </c>
      <c r="I789" t="s">
        <v>52</v>
      </c>
      <c r="J789" t="s">
        <v>32</v>
      </c>
      <c r="K789" t="s">
        <v>29</v>
      </c>
      <c r="L789" t="s">
        <v>3599</v>
      </c>
      <c r="M789" t="s">
        <v>3600</v>
      </c>
      <c r="N789" t="s">
        <v>2828</v>
      </c>
      <c r="O789" t="s">
        <v>47</v>
      </c>
      <c r="P789" t="s">
        <v>3601</v>
      </c>
      <c r="Q789" t="s">
        <v>71</v>
      </c>
      <c r="R789" s="29">
        <v>46147.459722222222</v>
      </c>
      <c r="S789">
        <v>3.6</v>
      </c>
      <c r="T789">
        <v>4305</v>
      </c>
      <c r="U789">
        <v>0</v>
      </c>
      <c r="V789">
        <v>4305</v>
      </c>
    </row>
    <row r="790" spans="1:22" x14ac:dyDescent="0.3">
      <c r="A790">
        <v>186607</v>
      </c>
      <c r="B790">
        <v>454568375</v>
      </c>
      <c r="C790" t="s">
        <v>3602</v>
      </c>
      <c r="D790" s="9">
        <v>269569892</v>
      </c>
      <c r="E790" t="s">
        <v>2825</v>
      </c>
      <c r="F790" t="s">
        <v>531</v>
      </c>
      <c r="G790" t="s">
        <v>30</v>
      </c>
      <c r="H790" t="s">
        <v>31</v>
      </c>
      <c r="I790" t="s">
        <v>52</v>
      </c>
      <c r="J790" t="s">
        <v>32</v>
      </c>
      <c r="K790" t="s">
        <v>29</v>
      </c>
      <c r="L790" t="s">
        <v>3603</v>
      </c>
      <c r="M790" t="s">
        <v>3604</v>
      </c>
      <c r="N790" t="s">
        <v>2828</v>
      </c>
      <c r="O790" t="s">
        <v>47</v>
      </c>
      <c r="P790" t="s">
        <v>3605</v>
      </c>
      <c r="Q790" t="s">
        <v>63</v>
      </c>
      <c r="R790" s="29">
        <v>46146.861805555556</v>
      </c>
      <c r="S790">
        <v>3.68</v>
      </c>
      <c r="T790">
        <v>4182</v>
      </c>
      <c r="U790">
        <v>0</v>
      </c>
      <c r="V790">
        <v>4182</v>
      </c>
    </row>
    <row r="791" spans="1:22" x14ac:dyDescent="0.3">
      <c r="A791">
        <v>186607</v>
      </c>
      <c r="B791">
        <v>454510996</v>
      </c>
      <c r="C791" t="s">
        <v>3606</v>
      </c>
      <c r="D791" s="9">
        <v>269478987</v>
      </c>
      <c r="E791" t="s">
        <v>2825</v>
      </c>
      <c r="F791" t="s">
        <v>531</v>
      </c>
      <c r="G791" t="s">
        <v>30</v>
      </c>
      <c r="H791" t="s">
        <v>31</v>
      </c>
      <c r="I791" t="s">
        <v>52</v>
      </c>
      <c r="J791" t="s">
        <v>32</v>
      </c>
      <c r="K791" t="s">
        <v>29</v>
      </c>
      <c r="L791" t="s">
        <v>3607</v>
      </c>
      <c r="M791" t="s">
        <v>3608</v>
      </c>
      <c r="N791" t="s">
        <v>2828</v>
      </c>
      <c r="O791" t="s">
        <v>47</v>
      </c>
      <c r="P791" t="s">
        <v>3609</v>
      </c>
      <c r="Q791" t="s">
        <v>74</v>
      </c>
      <c r="R791" s="29">
        <v>46145.865277777775</v>
      </c>
      <c r="S791">
        <v>4.3099999999999996</v>
      </c>
      <c r="T791">
        <v>4429</v>
      </c>
      <c r="U791">
        <v>0</v>
      </c>
      <c r="V791">
        <v>4429</v>
      </c>
    </row>
    <row r="792" spans="1:22" x14ac:dyDescent="0.3">
      <c r="A792">
        <v>186607</v>
      </c>
      <c r="B792">
        <v>454588416</v>
      </c>
      <c r="C792" t="s">
        <v>3610</v>
      </c>
      <c r="D792" s="9">
        <v>269569657</v>
      </c>
      <c r="E792" t="s">
        <v>2825</v>
      </c>
      <c r="F792" t="s">
        <v>531</v>
      </c>
      <c r="G792" t="s">
        <v>30</v>
      </c>
      <c r="H792" t="s">
        <v>31</v>
      </c>
      <c r="I792" t="s">
        <v>52</v>
      </c>
      <c r="J792" t="s">
        <v>32</v>
      </c>
      <c r="K792" t="s">
        <v>29</v>
      </c>
      <c r="L792" t="s">
        <v>3611</v>
      </c>
      <c r="M792" t="s">
        <v>386</v>
      </c>
      <c r="N792" t="s">
        <v>2828</v>
      </c>
      <c r="O792" t="s">
        <v>47</v>
      </c>
      <c r="P792" t="s">
        <v>3612</v>
      </c>
      <c r="Q792" t="s">
        <v>44</v>
      </c>
      <c r="R792" s="29">
        <v>46147.459027777775</v>
      </c>
      <c r="S792">
        <v>3.11</v>
      </c>
      <c r="T792">
        <v>5193</v>
      </c>
      <c r="U792">
        <v>0</v>
      </c>
      <c r="V792">
        <v>5193</v>
      </c>
    </row>
    <row r="793" spans="1:22" x14ac:dyDescent="0.3">
      <c r="A793">
        <v>186607</v>
      </c>
      <c r="B793">
        <v>454511016</v>
      </c>
      <c r="C793" t="s">
        <v>3613</v>
      </c>
      <c r="D793" s="9">
        <v>269478848</v>
      </c>
      <c r="E793" t="s">
        <v>2825</v>
      </c>
      <c r="F793" t="s">
        <v>531</v>
      </c>
      <c r="G793" t="s">
        <v>30</v>
      </c>
      <c r="H793" t="s">
        <v>31</v>
      </c>
      <c r="I793" t="s">
        <v>52</v>
      </c>
      <c r="J793" t="s">
        <v>32</v>
      </c>
      <c r="K793" t="s">
        <v>29</v>
      </c>
      <c r="L793" t="s">
        <v>3614</v>
      </c>
      <c r="M793" t="s">
        <v>3615</v>
      </c>
      <c r="N793" t="s">
        <v>2828</v>
      </c>
      <c r="O793" t="s">
        <v>47</v>
      </c>
      <c r="P793" t="s">
        <v>3616</v>
      </c>
      <c r="Q793" t="s">
        <v>116</v>
      </c>
      <c r="R793" s="29">
        <v>46145.865972222222</v>
      </c>
      <c r="S793">
        <v>3.24</v>
      </c>
      <c r="T793">
        <v>4214</v>
      </c>
      <c r="U793">
        <v>0</v>
      </c>
      <c r="V793">
        <v>4214</v>
      </c>
    </row>
    <row r="794" spans="1:22" x14ac:dyDescent="0.3">
      <c r="A794">
        <v>186607</v>
      </c>
      <c r="B794">
        <v>454466673</v>
      </c>
      <c r="C794" t="s">
        <v>3617</v>
      </c>
      <c r="D794" s="9">
        <v>269479539</v>
      </c>
      <c r="E794" t="s">
        <v>2825</v>
      </c>
      <c r="F794" t="s">
        <v>531</v>
      </c>
      <c r="G794" t="s">
        <v>30</v>
      </c>
      <c r="H794" t="s">
        <v>31</v>
      </c>
      <c r="I794" t="s">
        <v>52</v>
      </c>
      <c r="J794" t="s">
        <v>32</v>
      </c>
      <c r="K794" t="s">
        <v>29</v>
      </c>
      <c r="L794" t="s">
        <v>3618</v>
      </c>
      <c r="M794" t="s">
        <v>3619</v>
      </c>
      <c r="N794" t="s">
        <v>2828</v>
      </c>
      <c r="O794" t="s">
        <v>47</v>
      </c>
      <c r="P794" t="s">
        <v>3620</v>
      </c>
      <c r="Q794" t="s">
        <v>38</v>
      </c>
      <c r="R794" s="29">
        <v>46143.914583333331</v>
      </c>
      <c r="S794">
        <v>1.77</v>
      </c>
      <c r="T794">
        <v>3250</v>
      </c>
      <c r="U794">
        <v>0</v>
      </c>
      <c r="V794">
        <v>3250</v>
      </c>
    </row>
    <row r="795" spans="1:22" x14ac:dyDescent="0.3">
      <c r="A795">
        <v>186607</v>
      </c>
      <c r="B795">
        <v>454510975</v>
      </c>
      <c r="C795" t="s">
        <v>3621</v>
      </c>
      <c r="D795" s="9">
        <v>269479189</v>
      </c>
      <c r="E795" t="s">
        <v>2825</v>
      </c>
      <c r="F795" t="s">
        <v>531</v>
      </c>
      <c r="G795" t="s">
        <v>30</v>
      </c>
      <c r="H795" t="s">
        <v>31</v>
      </c>
      <c r="I795" t="s">
        <v>52</v>
      </c>
      <c r="J795" t="s">
        <v>32</v>
      </c>
      <c r="K795" t="s">
        <v>29</v>
      </c>
      <c r="L795" t="s">
        <v>3622</v>
      </c>
      <c r="M795" t="s">
        <v>460</v>
      </c>
      <c r="N795" t="s">
        <v>2828</v>
      </c>
      <c r="O795" t="s">
        <v>47</v>
      </c>
      <c r="P795" t="s">
        <v>3623</v>
      </c>
      <c r="Q795" t="s">
        <v>65</v>
      </c>
      <c r="R795" s="29">
        <v>46145.865277777775</v>
      </c>
      <c r="S795">
        <v>4.72</v>
      </c>
      <c r="T795">
        <v>4935</v>
      </c>
      <c r="U795">
        <v>0</v>
      </c>
      <c r="V795">
        <v>4935</v>
      </c>
    </row>
    <row r="796" spans="1:22" x14ac:dyDescent="0.3">
      <c r="A796">
        <v>186607</v>
      </c>
      <c r="B796">
        <v>454588399</v>
      </c>
      <c r="C796" t="s">
        <v>3624</v>
      </c>
      <c r="D796" s="9">
        <v>269569722</v>
      </c>
      <c r="E796" t="s">
        <v>2825</v>
      </c>
      <c r="F796" t="s">
        <v>531</v>
      </c>
      <c r="G796" t="s">
        <v>30</v>
      </c>
      <c r="H796" t="s">
        <v>31</v>
      </c>
      <c r="I796" t="s">
        <v>52</v>
      </c>
      <c r="J796" t="s">
        <v>32</v>
      </c>
      <c r="K796" t="s">
        <v>29</v>
      </c>
      <c r="L796" t="s">
        <v>3625</v>
      </c>
      <c r="M796" t="s">
        <v>3626</v>
      </c>
      <c r="N796" t="s">
        <v>2828</v>
      </c>
      <c r="O796" t="s">
        <v>47</v>
      </c>
      <c r="P796" t="s">
        <v>3627</v>
      </c>
      <c r="Q796" t="s">
        <v>88</v>
      </c>
      <c r="R796" s="29">
        <v>46147.459027777775</v>
      </c>
      <c r="S796">
        <v>6.44</v>
      </c>
      <c r="T796">
        <v>5564</v>
      </c>
      <c r="U796">
        <v>0</v>
      </c>
      <c r="V796">
        <v>5564</v>
      </c>
    </row>
    <row r="797" spans="1:22" x14ac:dyDescent="0.3">
      <c r="A797">
        <v>186607</v>
      </c>
      <c r="B797">
        <v>454466698</v>
      </c>
      <c r="C797" t="s">
        <v>3628</v>
      </c>
      <c r="D797" s="9">
        <v>269479411</v>
      </c>
      <c r="E797" t="s">
        <v>2825</v>
      </c>
      <c r="F797" t="s">
        <v>531</v>
      </c>
      <c r="G797" t="s">
        <v>30</v>
      </c>
      <c r="H797" t="s">
        <v>31</v>
      </c>
      <c r="I797" t="s">
        <v>52</v>
      </c>
      <c r="J797" t="s">
        <v>32</v>
      </c>
      <c r="K797" t="s">
        <v>29</v>
      </c>
      <c r="L797" t="s">
        <v>3629</v>
      </c>
      <c r="M797" t="s">
        <v>3630</v>
      </c>
      <c r="N797" t="s">
        <v>2828</v>
      </c>
      <c r="O797" t="s">
        <v>47</v>
      </c>
      <c r="P797" t="s">
        <v>3631</v>
      </c>
      <c r="Q797" t="s">
        <v>209</v>
      </c>
      <c r="R797" s="29">
        <v>46143.914583333331</v>
      </c>
      <c r="S797">
        <v>3.52</v>
      </c>
      <c r="T797">
        <v>4545</v>
      </c>
      <c r="U797">
        <v>0</v>
      </c>
      <c r="V797">
        <v>4545</v>
      </c>
    </row>
    <row r="798" spans="1:22" x14ac:dyDescent="0.3">
      <c r="A798">
        <v>186607</v>
      </c>
      <c r="B798">
        <v>454466708</v>
      </c>
      <c r="C798" t="s">
        <v>3632</v>
      </c>
      <c r="D798" s="9">
        <v>269479340</v>
      </c>
      <c r="E798" t="s">
        <v>2825</v>
      </c>
      <c r="F798" t="s">
        <v>531</v>
      </c>
      <c r="G798" t="s">
        <v>30</v>
      </c>
      <c r="H798" t="s">
        <v>31</v>
      </c>
      <c r="I798" t="s">
        <v>52</v>
      </c>
      <c r="J798" t="s">
        <v>32</v>
      </c>
      <c r="K798" t="s">
        <v>29</v>
      </c>
      <c r="L798" t="s">
        <v>3633</v>
      </c>
      <c r="M798" t="s">
        <v>3634</v>
      </c>
      <c r="N798" t="s">
        <v>2828</v>
      </c>
      <c r="O798" t="s">
        <v>47</v>
      </c>
      <c r="P798" t="s">
        <v>3635</v>
      </c>
      <c r="Q798" t="s">
        <v>88</v>
      </c>
      <c r="R798" s="29">
        <v>46143.914583333331</v>
      </c>
      <c r="S798">
        <v>3.85</v>
      </c>
      <c r="T798">
        <v>4305</v>
      </c>
      <c r="U798">
        <v>0</v>
      </c>
      <c r="V798">
        <v>4305</v>
      </c>
    </row>
    <row r="799" spans="1:22" x14ac:dyDescent="0.3">
      <c r="A799">
        <v>186607</v>
      </c>
      <c r="B799">
        <v>454466676</v>
      </c>
      <c r="C799" t="s">
        <v>3636</v>
      </c>
      <c r="D799" s="9">
        <v>269479491</v>
      </c>
      <c r="E799" t="s">
        <v>2825</v>
      </c>
      <c r="F799" t="s">
        <v>531</v>
      </c>
      <c r="G799" t="s">
        <v>30</v>
      </c>
      <c r="H799" t="s">
        <v>31</v>
      </c>
      <c r="I799" t="s">
        <v>52</v>
      </c>
      <c r="J799" t="s">
        <v>32</v>
      </c>
      <c r="K799" t="s">
        <v>29</v>
      </c>
      <c r="L799" t="s">
        <v>3637</v>
      </c>
      <c r="M799" t="s">
        <v>3638</v>
      </c>
      <c r="N799" t="s">
        <v>2828</v>
      </c>
      <c r="O799" t="s">
        <v>47</v>
      </c>
      <c r="P799" t="s">
        <v>3639</v>
      </c>
      <c r="Q799" t="s">
        <v>38</v>
      </c>
      <c r="R799" s="29">
        <v>46143.914583333331</v>
      </c>
      <c r="S799">
        <v>3.69</v>
      </c>
      <c r="T799">
        <v>3664</v>
      </c>
      <c r="U799">
        <v>0</v>
      </c>
      <c r="V799">
        <v>3664</v>
      </c>
    </row>
    <row r="800" spans="1:22" x14ac:dyDescent="0.3">
      <c r="A800">
        <v>186607</v>
      </c>
      <c r="B800">
        <v>454511003</v>
      </c>
      <c r="C800" t="s">
        <v>3640</v>
      </c>
      <c r="D800" s="9">
        <v>269478908</v>
      </c>
      <c r="E800" t="s">
        <v>2825</v>
      </c>
      <c r="F800" t="s">
        <v>531</v>
      </c>
      <c r="G800" t="s">
        <v>30</v>
      </c>
      <c r="H800" t="s">
        <v>31</v>
      </c>
      <c r="I800" t="s">
        <v>52</v>
      </c>
      <c r="J800" t="s">
        <v>32</v>
      </c>
      <c r="K800" t="s">
        <v>29</v>
      </c>
      <c r="L800" t="s">
        <v>3641</v>
      </c>
      <c r="M800" t="s">
        <v>3642</v>
      </c>
      <c r="N800" t="s">
        <v>2828</v>
      </c>
      <c r="O800" t="s">
        <v>47</v>
      </c>
      <c r="P800" t="s">
        <v>3643</v>
      </c>
      <c r="Q800" t="s">
        <v>97</v>
      </c>
      <c r="R800" s="29">
        <v>46145.865972222222</v>
      </c>
      <c r="S800">
        <v>3.05</v>
      </c>
      <c r="T800">
        <v>4182</v>
      </c>
      <c r="U800">
        <v>0</v>
      </c>
      <c r="V800">
        <v>4182</v>
      </c>
    </row>
    <row r="801" spans="1:22" x14ac:dyDescent="0.3">
      <c r="A801">
        <v>186607</v>
      </c>
      <c r="B801">
        <v>454540360</v>
      </c>
      <c r="C801" t="s">
        <v>3644</v>
      </c>
      <c r="D801" s="9">
        <v>269478676</v>
      </c>
      <c r="E801" t="s">
        <v>2825</v>
      </c>
      <c r="F801" t="s">
        <v>531</v>
      </c>
      <c r="G801" t="s">
        <v>30</v>
      </c>
      <c r="H801" t="s">
        <v>31</v>
      </c>
      <c r="I801" t="s">
        <v>52</v>
      </c>
      <c r="J801" t="s">
        <v>32</v>
      </c>
      <c r="K801" t="s">
        <v>29</v>
      </c>
      <c r="L801" t="s">
        <v>3645</v>
      </c>
      <c r="M801" t="s">
        <v>453</v>
      </c>
      <c r="N801" t="s">
        <v>2828</v>
      </c>
      <c r="O801" t="s">
        <v>47</v>
      </c>
      <c r="P801" t="s">
        <v>3646</v>
      </c>
      <c r="Q801" t="s">
        <v>210</v>
      </c>
      <c r="R801" s="29">
        <v>46146.487500000003</v>
      </c>
      <c r="S801">
        <v>3.24</v>
      </c>
      <c r="T801">
        <v>3664</v>
      </c>
      <c r="U801">
        <v>0</v>
      </c>
      <c r="V801">
        <v>3664</v>
      </c>
    </row>
    <row r="802" spans="1:22" x14ac:dyDescent="0.3">
      <c r="A802">
        <v>186607</v>
      </c>
      <c r="B802">
        <v>454568385</v>
      </c>
      <c r="C802" t="s">
        <v>3647</v>
      </c>
      <c r="D802" s="9">
        <v>269569864</v>
      </c>
      <c r="E802" t="s">
        <v>2825</v>
      </c>
      <c r="F802" t="s">
        <v>531</v>
      </c>
      <c r="G802" t="s">
        <v>30</v>
      </c>
      <c r="H802" t="s">
        <v>31</v>
      </c>
      <c r="I802" t="s">
        <v>52</v>
      </c>
      <c r="J802" t="s">
        <v>32</v>
      </c>
      <c r="K802" t="s">
        <v>29</v>
      </c>
      <c r="L802" t="s">
        <v>3648</v>
      </c>
      <c r="M802" t="s">
        <v>3649</v>
      </c>
      <c r="N802" t="s">
        <v>2828</v>
      </c>
      <c r="O802" t="s">
        <v>47</v>
      </c>
      <c r="P802" t="s">
        <v>3650</v>
      </c>
      <c r="Q802" t="s">
        <v>42</v>
      </c>
      <c r="R802" s="29">
        <v>46146.861805555556</v>
      </c>
      <c r="S802">
        <v>1.96</v>
      </c>
      <c r="T802">
        <v>3250</v>
      </c>
      <c r="U802">
        <v>0</v>
      </c>
      <c r="V802">
        <v>3250</v>
      </c>
    </row>
    <row r="803" spans="1:22" x14ac:dyDescent="0.3">
      <c r="A803">
        <v>186607</v>
      </c>
      <c r="B803">
        <v>454466697</v>
      </c>
      <c r="C803" t="s">
        <v>3651</v>
      </c>
      <c r="D803" s="9">
        <v>269479431</v>
      </c>
      <c r="E803" t="s">
        <v>2825</v>
      </c>
      <c r="F803" t="s">
        <v>531</v>
      </c>
      <c r="G803" t="s">
        <v>30</v>
      </c>
      <c r="H803" t="s">
        <v>31</v>
      </c>
      <c r="I803" t="s">
        <v>52</v>
      </c>
      <c r="J803" t="s">
        <v>32</v>
      </c>
      <c r="K803" t="s">
        <v>29</v>
      </c>
      <c r="L803" t="s">
        <v>3652</v>
      </c>
      <c r="M803" t="s">
        <v>3653</v>
      </c>
      <c r="N803" t="s">
        <v>2828</v>
      </c>
      <c r="O803" t="s">
        <v>47</v>
      </c>
      <c r="P803" t="s">
        <v>3654</v>
      </c>
      <c r="Q803" t="s">
        <v>38</v>
      </c>
      <c r="R803" s="29">
        <v>46143.914583333331</v>
      </c>
      <c r="S803">
        <v>3.56</v>
      </c>
      <c r="T803">
        <v>3664</v>
      </c>
      <c r="U803">
        <v>0</v>
      </c>
      <c r="V803">
        <v>3664</v>
      </c>
    </row>
    <row r="804" spans="1:22" x14ac:dyDescent="0.3">
      <c r="A804">
        <v>186607</v>
      </c>
      <c r="B804">
        <v>454510999</v>
      </c>
      <c r="C804" t="s">
        <v>3655</v>
      </c>
      <c r="D804" s="9">
        <v>269478935</v>
      </c>
      <c r="E804" t="s">
        <v>2825</v>
      </c>
      <c r="F804" t="s">
        <v>531</v>
      </c>
      <c r="G804" t="s">
        <v>30</v>
      </c>
      <c r="H804" t="s">
        <v>31</v>
      </c>
      <c r="I804" t="s">
        <v>52</v>
      </c>
      <c r="J804" t="s">
        <v>32</v>
      </c>
      <c r="K804" t="s">
        <v>29</v>
      </c>
      <c r="L804" t="s">
        <v>3656</v>
      </c>
      <c r="M804" t="s">
        <v>3657</v>
      </c>
      <c r="N804" t="s">
        <v>2828</v>
      </c>
      <c r="O804" t="s">
        <v>47</v>
      </c>
      <c r="P804" t="s">
        <v>3658</v>
      </c>
      <c r="Q804" t="s">
        <v>44</v>
      </c>
      <c r="R804" s="29">
        <v>46145.865972222222</v>
      </c>
      <c r="S804">
        <v>2.23</v>
      </c>
      <c r="T804">
        <v>4205</v>
      </c>
      <c r="U804">
        <v>0</v>
      </c>
      <c r="V804">
        <v>4205</v>
      </c>
    </row>
    <row r="805" spans="1:22" x14ac:dyDescent="0.3">
      <c r="A805">
        <v>186607</v>
      </c>
      <c r="B805">
        <v>454568398</v>
      </c>
      <c r="C805" t="s">
        <v>3659</v>
      </c>
      <c r="D805" s="9">
        <v>269569814</v>
      </c>
      <c r="E805" t="s">
        <v>2825</v>
      </c>
      <c r="F805" t="s">
        <v>531</v>
      </c>
      <c r="G805" t="s">
        <v>30</v>
      </c>
      <c r="H805" t="s">
        <v>31</v>
      </c>
      <c r="I805" t="s">
        <v>52</v>
      </c>
      <c r="J805" t="s">
        <v>32</v>
      </c>
      <c r="K805" t="s">
        <v>29</v>
      </c>
      <c r="L805" t="s">
        <v>3660</v>
      </c>
      <c r="M805" t="s">
        <v>3661</v>
      </c>
      <c r="N805" t="s">
        <v>2828</v>
      </c>
      <c r="O805" t="s">
        <v>47</v>
      </c>
      <c r="P805" t="s">
        <v>3662</v>
      </c>
      <c r="Q805" t="s">
        <v>44</v>
      </c>
      <c r="R805" s="29">
        <v>46146.861805555556</v>
      </c>
      <c r="S805">
        <v>3.48</v>
      </c>
      <c r="T805">
        <v>5193</v>
      </c>
      <c r="U805">
        <v>0</v>
      </c>
      <c r="V805">
        <v>5193</v>
      </c>
    </row>
    <row r="806" spans="1:22" x14ac:dyDescent="0.3">
      <c r="A806">
        <v>186607</v>
      </c>
      <c r="B806">
        <v>454466667</v>
      </c>
      <c r="C806" t="s">
        <v>3663</v>
      </c>
      <c r="D806" s="9">
        <v>269479574</v>
      </c>
      <c r="E806" t="s">
        <v>2825</v>
      </c>
      <c r="F806" t="s">
        <v>531</v>
      </c>
      <c r="G806" t="s">
        <v>30</v>
      </c>
      <c r="H806" t="s">
        <v>31</v>
      </c>
      <c r="I806" t="s">
        <v>52</v>
      </c>
      <c r="J806" t="s">
        <v>32</v>
      </c>
      <c r="K806" t="s">
        <v>29</v>
      </c>
      <c r="L806" t="s">
        <v>3664</v>
      </c>
      <c r="M806" t="s">
        <v>3665</v>
      </c>
      <c r="N806" t="s">
        <v>2828</v>
      </c>
      <c r="O806" t="s">
        <v>47</v>
      </c>
      <c r="P806" t="s">
        <v>3666</v>
      </c>
      <c r="Q806" t="s">
        <v>38</v>
      </c>
      <c r="R806" s="29">
        <v>46143.914583333331</v>
      </c>
      <c r="S806">
        <v>5.21</v>
      </c>
      <c r="T806">
        <v>5024</v>
      </c>
      <c r="U806">
        <v>0</v>
      </c>
      <c r="V806">
        <v>5024</v>
      </c>
    </row>
    <row r="807" spans="1:22" x14ac:dyDescent="0.3">
      <c r="A807">
        <v>186607</v>
      </c>
      <c r="B807">
        <v>454588378</v>
      </c>
      <c r="C807" t="s">
        <v>3667</v>
      </c>
      <c r="D807" s="9">
        <v>269569763</v>
      </c>
      <c r="E807" t="s">
        <v>2825</v>
      </c>
      <c r="F807" t="s">
        <v>531</v>
      </c>
      <c r="G807" t="s">
        <v>30</v>
      </c>
      <c r="H807" t="s">
        <v>31</v>
      </c>
      <c r="I807" t="s">
        <v>52</v>
      </c>
      <c r="J807" t="s">
        <v>32</v>
      </c>
      <c r="K807" t="s">
        <v>29</v>
      </c>
      <c r="L807" t="s">
        <v>3668</v>
      </c>
      <c r="M807" t="s">
        <v>3669</v>
      </c>
      <c r="N807" t="s">
        <v>2828</v>
      </c>
      <c r="O807" t="s">
        <v>47</v>
      </c>
      <c r="P807" t="s">
        <v>3670</v>
      </c>
      <c r="Q807" t="s">
        <v>96</v>
      </c>
      <c r="R807" s="29">
        <v>46147.459027777775</v>
      </c>
      <c r="S807">
        <v>0.5</v>
      </c>
      <c r="T807">
        <v>3193</v>
      </c>
      <c r="U807">
        <v>0</v>
      </c>
      <c r="V807">
        <v>3193</v>
      </c>
    </row>
    <row r="808" spans="1:22" x14ac:dyDescent="0.3">
      <c r="A808">
        <v>186607</v>
      </c>
      <c r="B808">
        <v>454511017</v>
      </c>
      <c r="C808" t="s">
        <v>3671</v>
      </c>
      <c r="D808" s="9">
        <v>269478854</v>
      </c>
      <c r="E808" t="s">
        <v>2825</v>
      </c>
      <c r="F808" t="s">
        <v>531</v>
      </c>
      <c r="G808" t="s">
        <v>30</v>
      </c>
      <c r="H808" t="s">
        <v>31</v>
      </c>
      <c r="I808" t="s">
        <v>52</v>
      </c>
      <c r="J808" t="s">
        <v>32</v>
      </c>
      <c r="K808" t="s">
        <v>29</v>
      </c>
      <c r="L808" t="s">
        <v>3672</v>
      </c>
      <c r="M808" t="s">
        <v>3673</v>
      </c>
      <c r="N808" t="s">
        <v>2828</v>
      </c>
      <c r="O808" t="s">
        <v>47</v>
      </c>
      <c r="P808" t="s">
        <v>3674</v>
      </c>
      <c r="Q808" t="s">
        <v>38</v>
      </c>
      <c r="R808" s="29">
        <v>46145.865972222222</v>
      </c>
      <c r="S808">
        <v>4.87</v>
      </c>
      <c r="T808">
        <v>3664</v>
      </c>
      <c r="U808">
        <v>0</v>
      </c>
      <c r="V808">
        <v>3664</v>
      </c>
    </row>
    <row r="809" spans="1:22" x14ac:dyDescent="0.3">
      <c r="A809">
        <v>186607</v>
      </c>
      <c r="B809">
        <v>454474725</v>
      </c>
      <c r="C809" t="s">
        <v>3675</v>
      </c>
      <c r="D809" s="9">
        <v>269479241</v>
      </c>
      <c r="E809" t="s">
        <v>2825</v>
      </c>
      <c r="F809" t="s">
        <v>531</v>
      </c>
      <c r="G809" t="s">
        <v>30</v>
      </c>
      <c r="H809" t="s">
        <v>31</v>
      </c>
      <c r="I809" t="s">
        <v>52</v>
      </c>
      <c r="J809" t="s">
        <v>32</v>
      </c>
      <c r="K809" t="s">
        <v>29</v>
      </c>
      <c r="L809" t="s">
        <v>3676</v>
      </c>
      <c r="M809" t="s">
        <v>3677</v>
      </c>
      <c r="N809" t="s">
        <v>2828</v>
      </c>
      <c r="O809" t="s">
        <v>47</v>
      </c>
      <c r="P809" t="s">
        <v>3678</v>
      </c>
      <c r="Q809" t="s">
        <v>78</v>
      </c>
      <c r="R809" s="29">
        <v>46144.425694444442</v>
      </c>
      <c r="S809">
        <v>2.66</v>
      </c>
      <c r="T809">
        <v>3250</v>
      </c>
      <c r="U809">
        <v>0</v>
      </c>
      <c r="V809">
        <v>3250</v>
      </c>
    </row>
    <row r="810" spans="1:22" x14ac:dyDescent="0.3">
      <c r="A810">
        <v>186607</v>
      </c>
      <c r="B810">
        <v>454466666</v>
      </c>
      <c r="C810" t="s">
        <v>3679</v>
      </c>
      <c r="D810" s="9">
        <v>269479610</v>
      </c>
      <c r="E810" t="s">
        <v>2825</v>
      </c>
      <c r="F810" t="s">
        <v>531</v>
      </c>
      <c r="G810" t="s">
        <v>30</v>
      </c>
      <c r="H810" t="s">
        <v>31</v>
      </c>
      <c r="I810" t="s">
        <v>52</v>
      </c>
      <c r="J810" t="s">
        <v>32</v>
      </c>
      <c r="K810" t="s">
        <v>29</v>
      </c>
      <c r="L810" t="s">
        <v>3680</v>
      </c>
      <c r="M810" t="s">
        <v>3681</v>
      </c>
      <c r="N810" t="s">
        <v>2828</v>
      </c>
      <c r="O810" t="s">
        <v>47</v>
      </c>
      <c r="P810" t="s">
        <v>3682</v>
      </c>
      <c r="Q810" t="s">
        <v>170</v>
      </c>
      <c r="R810" s="29">
        <v>46143.914583333331</v>
      </c>
      <c r="S810">
        <v>3.03</v>
      </c>
      <c r="T810">
        <v>3664</v>
      </c>
      <c r="U810">
        <v>0</v>
      </c>
      <c r="V810">
        <v>3664</v>
      </c>
    </row>
    <row r="811" spans="1:22" x14ac:dyDescent="0.3">
      <c r="A811">
        <v>186607</v>
      </c>
      <c r="B811">
        <v>454426604</v>
      </c>
      <c r="C811" t="s">
        <v>3683</v>
      </c>
      <c r="D811" s="9">
        <v>269327563</v>
      </c>
      <c r="E811" t="s">
        <v>2825</v>
      </c>
      <c r="F811" t="s">
        <v>531</v>
      </c>
      <c r="G811" t="s">
        <v>30</v>
      </c>
      <c r="H811" t="s">
        <v>31</v>
      </c>
      <c r="I811" t="s">
        <v>52</v>
      </c>
      <c r="J811" t="s">
        <v>32</v>
      </c>
      <c r="K811" t="s">
        <v>29</v>
      </c>
      <c r="L811" t="s">
        <v>255</v>
      </c>
      <c r="M811" t="s">
        <v>3684</v>
      </c>
      <c r="N811" t="s">
        <v>2828</v>
      </c>
      <c r="O811" t="s">
        <v>47</v>
      </c>
      <c r="P811" t="s">
        <v>3685</v>
      </c>
      <c r="Q811" t="s">
        <v>34</v>
      </c>
      <c r="R811" s="29">
        <v>46142.482638888891</v>
      </c>
      <c r="S811">
        <v>2.16</v>
      </c>
      <c r="T811">
        <v>3653</v>
      </c>
      <c r="U811">
        <v>0</v>
      </c>
      <c r="V811">
        <v>3653</v>
      </c>
    </row>
    <row r="812" spans="1:22" x14ac:dyDescent="0.3">
      <c r="A812">
        <v>186607</v>
      </c>
      <c r="B812">
        <v>454426602</v>
      </c>
      <c r="C812" t="s">
        <v>3686</v>
      </c>
      <c r="D812" s="9">
        <v>269327531</v>
      </c>
      <c r="E812" t="s">
        <v>2825</v>
      </c>
      <c r="F812" t="s">
        <v>531</v>
      </c>
      <c r="G812" t="s">
        <v>30</v>
      </c>
      <c r="H812" t="s">
        <v>31</v>
      </c>
      <c r="I812" t="s">
        <v>52</v>
      </c>
      <c r="J812" t="s">
        <v>32</v>
      </c>
      <c r="K812" t="s">
        <v>29</v>
      </c>
      <c r="L812" t="s">
        <v>3687</v>
      </c>
      <c r="M812" t="s">
        <v>3688</v>
      </c>
      <c r="N812" t="s">
        <v>2828</v>
      </c>
      <c r="O812" t="s">
        <v>47</v>
      </c>
      <c r="P812" t="s">
        <v>3689</v>
      </c>
      <c r="Q812" t="s">
        <v>65</v>
      </c>
      <c r="R812" s="29">
        <v>46142.482638888891</v>
      </c>
      <c r="S812">
        <v>4.0199999999999996</v>
      </c>
      <c r="T812">
        <v>4935</v>
      </c>
      <c r="U812">
        <v>0</v>
      </c>
      <c r="V812">
        <v>4935</v>
      </c>
    </row>
    <row r="813" spans="1:22" x14ac:dyDescent="0.3">
      <c r="A813">
        <v>186607</v>
      </c>
      <c r="B813">
        <v>454420514</v>
      </c>
      <c r="C813" t="s">
        <v>3690</v>
      </c>
      <c r="D813" s="9">
        <v>269327577</v>
      </c>
      <c r="E813" t="s">
        <v>2825</v>
      </c>
      <c r="F813" t="s">
        <v>531</v>
      </c>
      <c r="G813" t="s">
        <v>30</v>
      </c>
      <c r="H813" t="s">
        <v>31</v>
      </c>
      <c r="I813" t="s">
        <v>52</v>
      </c>
      <c r="J813" t="s">
        <v>32</v>
      </c>
      <c r="K813" t="s">
        <v>29</v>
      </c>
      <c r="L813" t="s">
        <v>3691</v>
      </c>
      <c r="M813" t="s">
        <v>3692</v>
      </c>
      <c r="N813" t="s">
        <v>2828</v>
      </c>
      <c r="O813" t="s">
        <v>47</v>
      </c>
      <c r="P813" t="s">
        <v>3693</v>
      </c>
      <c r="Q813" t="s">
        <v>164</v>
      </c>
      <c r="R813" s="29">
        <v>46142.412499999999</v>
      </c>
      <c r="S813">
        <v>6.3</v>
      </c>
      <c r="T813">
        <v>5024</v>
      </c>
      <c r="U813">
        <v>0</v>
      </c>
      <c r="V813">
        <v>5024</v>
      </c>
    </row>
    <row r="814" spans="1:22" x14ac:dyDescent="0.3">
      <c r="A814">
        <v>186607</v>
      </c>
      <c r="B814">
        <v>454289861</v>
      </c>
      <c r="C814" t="s">
        <v>3694</v>
      </c>
      <c r="D814" s="9">
        <v>269056449</v>
      </c>
      <c r="E814" t="s">
        <v>2825</v>
      </c>
      <c r="F814" t="s">
        <v>531</v>
      </c>
      <c r="G814" t="s">
        <v>30</v>
      </c>
      <c r="H814" t="s">
        <v>31</v>
      </c>
      <c r="I814" t="s">
        <v>52</v>
      </c>
      <c r="J814" t="s">
        <v>32</v>
      </c>
      <c r="K814" t="s">
        <v>29</v>
      </c>
      <c r="L814" t="s">
        <v>3695</v>
      </c>
      <c r="M814" t="s">
        <v>3696</v>
      </c>
      <c r="N814" t="s">
        <v>2828</v>
      </c>
      <c r="O814" t="s">
        <v>47</v>
      </c>
      <c r="P814" t="s">
        <v>3697</v>
      </c>
      <c r="Q814" t="s">
        <v>49</v>
      </c>
      <c r="R814" s="29">
        <v>46138.921527777777</v>
      </c>
      <c r="S814">
        <v>1</v>
      </c>
      <c r="T814">
        <v>5564</v>
      </c>
      <c r="U814">
        <v>0</v>
      </c>
      <c r="V814">
        <v>5564</v>
      </c>
    </row>
    <row r="815" spans="1:22" x14ac:dyDescent="0.3">
      <c r="A815">
        <v>186607</v>
      </c>
      <c r="B815">
        <v>454409053</v>
      </c>
      <c r="C815" t="s">
        <v>3698</v>
      </c>
      <c r="D815" s="9">
        <v>269251260</v>
      </c>
      <c r="E815" t="s">
        <v>2825</v>
      </c>
      <c r="F815" t="s">
        <v>531</v>
      </c>
      <c r="G815" t="s">
        <v>30</v>
      </c>
      <c r="H815" t="s">
        <v>31</v>
      </c>
      <c r="I815" t="s">
        <v>52</v>
      </c>
      <c r="J815" t="s">
        <v>32</v>
      </c>
      <c r="K815" t="s">
        <v>29</v>
      </c>
      <c r="L815" t="s">
        <v>3699</v>
      </c>
      <c r="M815" t="s">
        <v>3700</v>
      </c>
      <c r="N815" t="s">
        <v>2828</v>
      </c>
      <c r="O815" t="s">
        <v>47</v>
      </c>
      <c r="P815" t="s">
        <v>3701</v>
      </c>
      <c r="Q815" t="s">
        <v>189</v>
      </c>
      <c r="R815" s="29">
        <v>46141.836111111108</v>
      </c>
      <c r="S815">
        <v>2.2599999999999998</v>
      </c>
      <c r="T815">
        <v>3250</v>
      </c>
      <c r="U815">
        <v>0</v>
      </c>
      <c r="V815">
        <v>3250</v>
      </c>
    </row>
    <row r="816" spans="1:22" x14ac:dyDescent="0.3">
      <c r="A816">
        <v>186607</v>
      </c>
      <c r="B816">
        <v>454426596</v>
      </c>
      <c r="C816" t="s">
        <v>3702</v>
      </c>
      <c r="D816" s="9">
        <v>269327572</v>
      </c>
      <c r="E816" t="s">
        <v>2825</v>
      </c>
      <c r="F816" t="s">
        <v>531</v>
      </c>
      <c r="G816" t="s">
        <v>30</v>
      </c>
      <c r="H816" t="s">
        <v>31</v>
      </c>
      <c r="I816" t="s">
        <v>52</v>
      </c>
      <c r="J816" t="s">
        <v>32</v>
      </c>
      <c r="K816" t="s">
        <v>29</v>
      </c>
      <c r="L816" t="s">
        <v>3703</v>
      </c>
      <c r="M816" t="s">
        <v>3704</v>
      </c>
      <c r="N816" t="s">
        <v>2828</v>
      </c>
      <c r="O816" t="s">
        <v>47</v>
      </c>
      <c r="P816" t="s">
        <v>3705</v>
      </c>
      <c r="Q816" t="s">
        <v>40</v>
      </c>
      <c r="R816" s="29">
        <v>46142.482638888891</v>
      </c>
      <c r="S816">
        <v>6.84</v>
      </c>
      <c r="T816">
        <v>6114</v>
      </c>
      <c r="U816">
        <v>0</v>
      </c>
      <c r="V816">
        <v>6114</v>
      </c>
    </row>
    <row r="817" spans="1:22" x14ac:dyDescent="0.3">
      <c r="A817">
        <v>186607</v>
      </c>
      <c r="B817">
        <v>454420501</v>
      </c>
      <c r="C817" t="s">
        <v>3706</v>
      </c>
      <c r="D817" s="9">
        <v>269327583</v>
      </c>
      <c r="E817" t="s">
        <v>2825</v>
      </c>
      <c r="F817" t="s">
        <v>531</v>
      </c>
      <c r="G817" t="s">
        <v>30</v>
      </c>
      <c r="H817" t="s">
        <v>31</v>
      </c>
      <c r="I817" t="s">
        <v>52</v>
      </c>
      <c r="J817" t="s">
        <v>32</v>
      </c>
      <c r="K817" t="s">
        <v>29</v>
      </c>
      <c r="L817" t="s">
        <v>3707</v>
      </c>
      <c r="M817" t="s">
        <v>3708</v>
      </c>
      <c r="N817" t="s">
        <v>2828</v>
      </c>
      <c r="O817" t="s">
        <v>47</v>
      </c>
      <c r="P817" t="s">
        <v>3709</v>
      </c>
      <c r="Q817" t="s">
        <v>42</v>
      </c>
      <c r="R817" s="29">
        <v>46142.412499999999</v>
      </c>
      <c r="S817">
        <v>6.09</v>
      </c>
      <c r="T817">
        <v>5024</v>
      </c>
      <c r="U817">
        <v>0</v>
      </c>
      <c r="V817">
        <v>5024</v>
      </c>
    </row>
    <row r="818" spans="1:22" x14ac:dyDescent="0.3">
      <c r="A818">
        <v>186607</v>
      </c>
      <c r="B818">
        <v>454289852</v>
      </c>
      <c r="C818" t="s">
        <v>3710</v>
      </c>
      <c r="D818" s="9">
        <v>269056512</v>
      </c>
      <c r="E818" t="s">
        <v>2825</v>
      </c>
      <c r="F818" t="s">
        <v>531</v>
      </c>
      <c r="G818" t="s">
        <v>30</v>
      </c>
      <c r="H818" t="s">
        <v>31</v>
      </c>
      <c r="I818" t="s">
        <v>52</v>
      </c>
      <c r="J818" t="s">
        <v>32</v>
      </c>
      <c r="K818" t="s">
        <v>29</v>
      </c>
      <c r="L818" t="s">
        <v>3711</v>
      </c>
      <c r="M818" t="s">
        <v>3712</v>
      </c>
      <c r="N818" t="s">
        <v>2828</v>
      </c>
      <c r="O818" t="s">
        <v>47</v>
      </c>
      <c r="P818" t="s">
        <v>3713</v>
      </c>
      <c r="Q818" t="s">
        <v>184</v>
      </c>
      <c r="R818" s="29">
        <v>46138.921527777777</v>
      </c>
      <c r="S818">
        <v>0.5</v>
      </c>
      <c r="T818">
        <v>5193</v>
      </c>
      <c r="U818">
        <v>0</v>
      </c>
      <c r="V818">
        <v>5193</v>
      </c>
    </row>
    <row r="819" spans="1:22" x14ac:dyDescent="0.3">
      <c r="A819">
        <v>186607</v>
      </c>
      <c r="B819">
        <v>454251459</v>
      </c>
      <c r="C819" t="s">
        <v>3714</v>
      </c>
      <c r="D819" s="9">
        <v>269056623</v>
      </c>
      <c r="E819" t="s">
        <v>2825</v>
      </c>
      <c r="F819" t="s">
        <v>531</v>
      </c>
      <c r="G819" t="s">
        <v>30</v>
      </c>
      <c r="H819" t="s">
        <v>31</v>
      </c>
      <c r="I819" t="s">
        <v>52</v>
      </c>
      <c r="J819" t="s">
        <v>32</v>
      </c>
      <c r="K819" t="s">
        <v>29</v>
      </c>
      <c r="L819" t="s">
        <v>3715</v>
      </c>
      <c r="M819" t="s">
        <v>435</v>
      </c>
      <c r="N819" t="s">
        <v>2828</v>
      </c>
      <c r="O819" t="s">
        <v>47</v>
      </c>
      <c r="P819" t="s">
        <v>3716</v>
      </c>
      <c r="Q819" t="s">
        <v>49</v>
      </c>
      <c r="R819" s="29">
        <v>46136.868055555555</v>
      </c>
      <c r="S819">
        <v>1</v>
      </c>
      <c r="T819">
        <v>5564</v>
      </c>
      <c r="U819">
        <v>0</v>
      </c>
      <c r="V819">
        <v>5564</v>
      </c>
    </row>
    <row r="820" spans="1:22" x14ac:dyDescent="0.3">
      <c r="A820">
        <v>186607</v>
      </c>
      <c r="B820">
        <v>454409057</v>
      </c>
      <c r="C820" t="s">
        <v>3717</v>
      </c>
      <c r="D820" s="9">
        <v>269251257</v>
      </c>
      <c r="E820" t="s">
        <v>2825</v>
      </c>
      <c r="F820" t="s">
        <v>531</v>
      </c>
      <c r="G820" t="s">
        <v>30</v>
      </c>
      <c r="H820" t="s">
        <v>31</v>
      </c>
      <c r="I820" t="s">
        <v>52</v>
      </c>
      <c r="J820" t="s">
        <v>32</v>
      </c>
      <c r="K820" t="s">
        <v>29</v>
      </c>
      <c r="L820" t="s">
        <v>3718</v>
      </c>
      <c r="M820" t="s">
        <v>3719</v>
      </c>
      <c r="N820" t="s">
        <v>2828</v>
      </c>
      <c r="O820" t="s">
        <v>47</v>
      </c>
      <c r="P820" t="s">
        <v>3720</v>
      </c>
      <c r="Q820" t="s">
        <v>80</v>
      </c>
      <c r="R820" s="29">
        <v>46141.836111111108</v>
      </c>
      <c r="S820">
        <v>1</v>
      </c>
      <c r="T820">
        <v>5295</v>
      </c>
      <c r="U820">
        <v>0</v>
      </c>
      <c r="V820">
        <v>5295</v>
      </c>
    </row>
    <row r="821" spans="1:22" x14ac:dyDescent="0.3">
      <c r="A821">
        <v>186607</v>
      </c>
      <c r="B821">
        <v>454383686</v>
      </c>
      <c r="C821" t="s">
        <v>3721</v>
      </c>
      <c r="D821" s="9">
        <v>269207396</v>
      </c>
      <c r="E821" t="s">
        <v>2825</v>
      </c>
      <c r="F821" t="s">
        <v>531</v>
      </c>
      <c r="G821" t="s">
        <v>30</v>
      </c>
      <c r="H821" t="s">
        <v>31</v>
      </c>
      <c r="I821" t="s">
        <v>52</v>
      </c>
      <c r="J821" t="s">
        <v>32</v>
      </c>
      <c r="K821" t="s">
        <v>29</v>
      </c>
      <c r="L821" t="s">
        <v>3722</v>
      </c>
      <c r="M821" t="s">
        <v>3723</v>
      </c>
      <c r="N821" t="s">
        <v>2828</v>
      </c>
      <c r="O821" t="s">
        <v>47</v>
      </c>
      <c r="P821" t="s">
        <v>3724</v>
      </c>
      <c r="Q821" t="s">
        <v>61</v>
      </c>
      <c r="R821" s="29">
        <v>46141.40347222222</v>
      </c>
      <c r="S821">
        <v>2.1800000000000002</v>
      </c>
      <c r="T821">
        <v>3935</v>
      </c>
      <c r="U821">
        <v>0</v>
      </c>
      <c r="V821">
        <v>3935</v>
      </c>
    </row>
    <row r="822" spans="1:22" x14ac:dyDescent="0.3">
      <c r="A822">
        <v>186607</v>
      </c>
      <c r="B822">
        <v>454409045</v>
      </c>
      <c r="C822" t="s">
        <v>3725</v>
      </c>
      <c r="D822" s="9">
        <v>269251262</v>
      </c>
      <c r="E822" t="s">
        <v>2825</v>
      </c>
      <c r="F822" t="s">
        <v>531</v>
      </c>
      <c r="G822" t="s">
        <v>30</v>
      </c>
      <c r="H822" t="s">
        <v>31</v>
      </c>
      <c r="I822" t="s">
        <v>52</v>
      </c>
      <c r="J822" t="s">
        <v>32</v>
      </c>
      <c r="K822" t="s">
        <v>29</v>
      </c>
      <c r="L822" t="s">
        <v>3726</v>
      </c>
      <c r="M822" t="s">
        <v>3727</v>
      </c>
      <c r="N822" t="s">
        <v>2828</v>
      </c>
      <c r="O822" t="s">
        <v>47</v>
      </c>
      <c r="P822" t="s">
        <v>3728</v>
      </c>
      <c r="Q822" t="s">
        <v>48</v>
      </c>
      <c r="R822" s="29">
        <v>46141.836111111108</v>
      </c>
      <c r="S822">
        <v>3.65</v>
      </c>
      <c r="T822">
        <v>3664</v>
      </c>
      <c r="U822">
        <v>0</v>
      </c>
      <c r="V822">
        <v>3664</v>
      </c>
    </row>
    <row r="823" spans="1:22" x14ac:dyDescent="0.3">
      <c r="A823">
        <v>186607</v>
      </c>
      <c r="B823">
        <v>454409052</v>
      </c>
      <c r="C823" t="s">
        <v>3729</v>
      </c>
      <c r="D823" s="9">
        <v>269251259</v>
      </c>
      <c r="E823" t="s">
        <v>2825</v>
      </c>
      <c r="F823" t="s">
        <v>531</v>
      </c>
      <c r="G823" t="s">
        <v>30</v>
      </c>
      <c r="H823" t="s">
        <v>31</v>
      </c>
      <c r="I823" t="s">
        <v>52</v>
      </c>
      <c r="J823" t="s">
        <v>32</v>
      </c>
      <c r="K823" t="s">
        <v>29</v>
      </c>
      <c r="L823" t="s">
        <v>3730</v>
      </c>
      <c r="M823" t="s">
        <v>3731</v>
      </c>
      <c r="N823" t="s">
        <v>2828</v>
      </c>
      <c r="O823" t="s">
        <v>47</v>
      </c>
      <c r="P823" t="s">
        <v>3732</v>
      </c>
      <c r="Q823" t="s">
        <v>43</v>
      </c>
      <c r="R823" s="29">
        <v>46141.836111111108</v>
      </c>
      <c r="S823">
        <v>3.26</v>
      </c>
      <c r="T823">
        <v>5193</v>
      </c>
      <c r="U823">
        <v>0</v>
      </c>
      <c r="V823">
        <v>5193</v>
      </c>
    </row>
    <row r="824" spans="1:22" x14ac:dyDescent="0.3">
      <c r="A824">
        <v>186607</v>
      </c>
      <c r="B824">
        <v>454410648</v>
      </c>
      <c r="C824" t="s">
        <v>3733</v>
      </c>
      <c r="D824" s="9">
        <v>269251252</v>
      </c>
      <c r="E824" t="s">
        <v>2825</v>
      </c>
      <c r="F824" t="s">
        <v>531</v>
      </c>
      <c r="G824" t="s">
        <v>30</v>
      </c>
      <c r="H824" t="s">
        <v>31</v>
      </c>
      <c r="I824" t="s">
        <v>52</v>
      </c>
      <c r="J824" t="s">
        <v>32</v>
      </c>
      <c r="K824" t="s">
        <v>29</v>
      </c>
      <c r="L824" t="s">
        <v>3734</v>
      </c>
      <c r="M824" t="s">
        <v>3735</v>
      </c>
      <c r="N824" t="s">
        <v>2828</v>
      </c>
      <c r="O824" t="s">
        <v>47</v>
      </c>
      <c r="P824" t="s">
        <v>3736</v>
      </c>
      <c r="Q824" t="s">
        <v>65</v>
      </c>
      <c r="R824" s="29">
        <v>46141.906944444447</v>
      </c>
      <c r="S824">
        <v>4.58</v>
      </c>
      <c r="T824">
        <v>4935</v>
      </c>
      <c r="U824">
        <v>0</v>
      </c>
      <c r="V824">
        <v>4935</v>
      </c>
    </row>
    <row r="825" spans="1:22" x14ac:dyDescent="0.3">
      <c r="A825">
        <v>186607</v>
      </c>
      <c r="B825">
        <v>454409061</v>
      </c>
      <c r="C825" t="s">
        <v>3737</v>
      </c>
      <c r="D825" s="9">
        <v>269251253</v>
      </c>
      <c r="E825" t="s">
        <v>2825</v>
      </c>
      <c r="F825" t="s">
        <v>531</v>
      </c>
      <c r="G825" t="s">
        <v>30</v>
      </c>
      <c r="H825" t="s">
        <v>31</v>
      </c>
      <c r="I825" t="s">
        <v>52</v>
      </c>
      <c r="J825" t="s">
        <v>32</v>
      </c>
      <c r="K825" t="s">
        <v>29</v>
      </c>
      <c r="L825" t="s">
        <v>909</v>
      </c>
      <c r="M825" t="s">
        <v>3738</v>
      </c>
      <c r="N825" t="s">
        <v>2828</v>
      </c>
      <c r="O825" t="s">
        <v>47</v>
      </c>
      <c r="P825" t="s">
        <v>3739</v>
      </c>
      <c r="Q825" t="s">
        <v>42</v>
      </c>
      <c r="R825" s="29">
        <v>46141.836111111108</v>
      </c>
      <c r="S825">
        <v>3.2</v>
      </c>
      <c r="T825">
        <v>3664</v>
      </c>
      <c r="U825">
        <v>0</v>
      </c>
      <c r="V825">
        <v>3664</v>
      </c>
    </row>
    <row r="826" spans="1:22" x14ac:dyDescent="0.3">
      <c r="A826">
        <v>186607</v>
      </c>
      <c r="B826">
        <v>454409058</v>
      </c>
      <c r="C826" t="s">
        <v>3740</v>
      </c>
      <c r="D826" s="9">
        <v>269251234</v>
      </c>
      <c r="E826" t="s">
        <v>2825</v>
      </c>
      <c r="F826" t="s">
        <v>531</v>
      </c>
      <c r="G826" t="s">
        <v>30</v>
      </c>
      <c r="H826" t="s">
        <v>31</v>
      </c>
      <c r="I826" t="s">
        <v>52</v>
      </c>
      <c r="J826" t="s">
        <v>32</v>
      </c>
      <c r="K826" t="s">
        <v>29</v>
      </c>
      <c r="L826" t="s">
        <v>3741</v>
      </c>
      <c r="M826" t="s">
        <v>318</v>
      </c>
      <c r="N826" t="s">
        <v>2828</v>
      </c>
      <c r="O826" t="s">
        <v>47</v>
      </c>
      <c r="P826" t="s">
        <v>3742</v>
      </c>
      <c r="Q826" t="s">
        <v>42</v>
      </c>
      <c r="R826" s="29">
        <v>46141.836111111108</v>
      </c>
      <c r="S826">
        <v>2.98</v>
      </c>
      <c r="T826">
        <v>3250</v>
      </c>
      <c r="U826">
        <v>0</v>
      </c>
      <c r="V826">
        <v>3250</v>
      </c>
    </row>
    <row r="827" spans="1:22" x14ac:dyDescent="0.3">
      <c r="A827">
        <v>186607</v>
      </c>
      <c r="B827">
        <v>454383683</v>
      </c>
      <c r="C827" t="s">
        <v>3743</v>
      </c>
      <c r="D827" s="9">
        <v>269207405</v>
      </c>
      <c r="E827" t="s">
        <v>2825</v>
      </c>
      <c r="F827" t="s">
        <v>531</v>
      </c>
      <c r="G827" t="s">
        <v>30</v>
      </c>
      <c r="H827" t="s">
        <v>31</v>
      </c>
      <c r="I827" t="s">
        <v>52</v>
      </c>
      <c r="J827" t="s">
        <v>32</v>
      </c>
      <c r="K827" t="s">
        <v>102</v>
      </c>
      <c r="L827" t="s">
        <v>103</v>
      </c>
      <c r="M827" t="s">
        <v>3744</v>
      </c>
      <c r="N827" t="s">
        <v>2828</v>
      </c>
      <c r="O827" t="s">
        <v>47</v>
      </c>
      <c r="P827" t="s">
        <v>3745</v>
      </c>
      <c r="Q827" t="s">
        <v>239</v>
      </c>
      <c r="R827" s="29">
        <v>46141.40347222222</v>
      </c>
      <c r="S827">
        <v>0.5</v>
      </c>
      <c r="T827">
        <v>4263</v>
      </c>
      <c r="U827">
        <v>0</v>
      </c>
      <c r="V827">
        <v>4263</v>
      </c>
    </row>
    <row r="828" spans="1:22" x14ac:dyDescent="0.3">
      <c r="A828">
        <v>186607</v>
      </c>
      <c r="B828">
        <v>454409055</v>
      </c>
      <c r="C828" t="s">
        <v>3746</v>
      </c>
      <c r="D828" s="9">
        <v>269251255</v>
      </c>
      <c r="E828" t="s">
        <v>2825</v>
      </c>
      <c r="F828" t="s">
        <v>531</v>
      </c>
      <c r="G828" t="s">
        <v>30</v>
      </c>
      <c r="H828" t="s">
        <v>31</v>
      </c>
      <c r="I828" t="s">
        <v>52</v>
      </c>
      <c r="J828" t="s">
        <v>32</v>
      </c>
      <c r="K828" t="s">
        <v>29</v>
      </c>
      <c r="L828" t="s">
        <v>3747</v>
      </c>
      <c r="M828" t="s">
        <v>3748</v>
      </c>
      <c r="N828" t="s">
        <v>2828</v>
      </c>
      <c r="O828" t="s">
        <v>47</v>
      </c>
      <c r="P828" t="s">
        <v>3749</v>
      </c>
      <c r="Q828" t="s">
        <v>79</v>
      </c>
      <c r="R828" s="29">
        <v>46141.836111111108</v>
      </c>
      <c r="S828">
        <v>1.99</v>
      </c>
      <c r="T828">
        <v>3631</v>
      </c>
      <c r="U828">
        <v>0</v>
      </c>
      <c r="V828">
        <v>3631</v>
      </c>
    </row>
    <row r="829" spans="1:22" x14ac:dyDescent="0.3">
      <c r="A829">
        <v>186607</v>
      </c>
      <c r="B829">
        <v>454349716</v>
      </c>
      <c r="C829" t="s">
        <v>3750</v>
      </c>
      <c r="D829" s="9">
        <v>269134649</v>
      </c>
      <c r="E829" t="s">
        <v>2825</v>
      </c>
      <c r="F829" t="s">
        <v>531</v>
      </c>
      <c r="G829" t="s">
        <v>30</v>
      </c>
      <c r="H829" t="s">
        <v>31</v>
      </c>
      <c r="I829" t="s">
        <v>52</v>
      </c>
      <c r="J829" t="s">
        <v>32</v>
      </c>
      <c r="K829" t="s">
        <v>29</v>
      </c>
      <c r="L829" t="s">
        <v>3751</v>
      </c>
      <c r="M829" t="s">
        <v>3752</v>
      </c>
      <c r="N829" t="s">
        <v>2828</v>
      </c>
      <c r="O829" t="s">
        <v>47</v>
      </c>
      <c r="P829" t="s">
        <v>3753</v>
      </c>
      <c r="Q829" t="s">
        <v>162</v>
      </c>
      <c r="R829" s="29">
        <v>46140.443749999999</v>
      </c>
      <c r="S829">
        <v>0.5</v>
      </c>
      <c r="T829">
        <v>3935</v>
      </c>
      <c r="U829">
        <v>0</v>
      </c>
      <c r="V829">
        <v>3935</v>
      </c>
    </row>
    <row r="830" spans="1:22" x14ac:dyDescent="0.3">
      <c r="A830">
        <v>186607</v>
      </c>
      <c r="B830">
        <v>454390501</v>
      </c>
      <c r="C830" t="s">
        <v>3754</v>
      </c>
      <c r="D830" s="9">
        <v>269207384</v>
      </c>
      <c r="E830" t="s">
        <v>2825</v>
      </c>
      <c r="F830" t="s">
        <v>531</v>
      </c>
      <c r="G830" t="s">
        <v>30</v>
      </c>
      <c r="H830" t="s">
        <v>31</v>
      </c>
      <c r="I830" t="s">
        <v>52</v>
      </c>
      <c r="J830" t="s">
        <v>32</v>
      </c>
      <c r="K830" t="s">
        <v>29</v>
      </c>
      <c r="L830" t="s">
        <v>3755</v>
      </c>
      <c r="M830" t="s">
        <v>3756</v>
      </c>
      <c r="N830" t="s">
        <v>2828</v>
      </c>
      <c r="O830" t="s">
        <v>47</v>
      </c>
      <c r="P830" t="s">
        <v>3757</v>
      </c>
      <c r="Q830" t="s">
        <v>40</v>
      </c>
      <c r="R830" s="29">
        <v>46141.482638888891</v>
      </c>
      <c r="S830">
        <v>1.64</v>
      </c>
      <c r="T830">
        <v>3935</v>
      </c>
      <c r="U830">
        <v>0</v>
      </c>
      <c r="V830">
        <v>3935</v>
      </c>
    </row>
    <row r="831" spans="1:22" x14ac:dyDescent="0.3">
      <c r="A831">
        <v>186607</v>
      </c>
      <c r="B831">
        <v>454383690</v>
      </c>
      <c r="C831" t="s">
        <v>3758</v>
      </c>
      <c r="D831" s="9">
        <v>269207389</v>
      </c>
      <c r="E831" t="s">
        <v>2825</v>
      </c>
      <c r="F831" t="s">
        <v>531</v>
      </c>
      <c r="G831" t="s">
        <v>30</v>
      </c>
      <c r="H831" t="s">
        <v>31</v>
      </c>
      <c r="I831" t="s">
        <v>52</v>
      </c>
      <c r="J831" t="s">
        <v>32</v>
      </c>
      <c r="K831" t="s">
        <v>29</v>
      </c>
      <c r="L831" t="s">
        <v>3759</v>
      </c>
      <c r="M831" t="s">
        <v>3760</v>
      </c>
      <c r="N831" t="s">
        <v>2828</v>
      </c>
      <c r="O831" t="s">
        <v>47</v>
      </c>
      <c r="P831" t="s">
        <v>3761</v>
      </c>
      <c r="Q831" t="s">
        <v>168</v>
      </c>
      <c r="R831" s="29">
        <v>46141.40347222222</v>
      </c>
      <c r="S831">
        <v>0.5</v>
      </c>
      <c r="T831">
        <v>3193</v>
      </c>
      <c r="U831">
        <v>0</v>
      </c>
      <c r="V831">
        <v>3193</v>
      </c>
    </row>
    <row r="832" spans="1:22" x14ac:dyDescent="0.3">
      <c r="A832">
        <v>186607</v>
      </c>
      <c r="B832">
        <v>454374221</v>
      </c>
      <c r="C832" t="s">
        <v>3762</v>
      </c>
      <c r="D832" s="9">
        <v>269207450</v>
      </c>
      <c r="E832" t="s">
        <v>2825</v>
      </c>
      <c r="F832" t="s">
        <v>531</v>
      </c>
      <c r="G832" t="s">
        <v>30</v>
      </c>
      <c r="H832" t="s">
        <v>31</v>
      </c>
      <c r="I832" t="s">
        <v>52</v>
      </c>
      <c r="J832" t="s">
        <v>32</v>
      </c>
      <c r="K832" t="s">
        <v>29</v>
      </c>
      <c r="L832" t="s">
        <v>3763</v>
      </c>
      <c r="M832" t="s">
        <v>3764</v>
      </c>
      <c r="N832" t="s">
        <v>2828</v>
      </c>
      <c r="O832" t="s">
        <v>47</v>
      </c>
      <c r="P832" t="s">
        <v>3765</v>
      </c>
      <c r="Q832" t="s">
        <v>44</v>
      </c>
      <c r="R832" s="29">
        <v>46140.862500000003</v>
      </c>
      <c r="S832">
        <v>4.91</v>
      </c>
      <c r="T832">
        <v>5193</v>
      </c>
      <c r="U832">
        <v>0</v>
      </c>
      <c r="V832">
        <v>5193</v>
      </c>
    </row>
    <row r="833" spans="1:22" x14ac:dyDescent="0.3">
      <c r="A833">
        <v>186607</v>
      </c>
      <c r="B833">
        <v>454374222</v>
      </c>
      <c r="C833" t="s">
        <v>3766</v>
      </c>
      <c r="D833" s="9">
        <v>269207444</v>
      </c>
      <c r="E833" t="s">
        <v>2825</v>
      </c>
      <c r="F833" t="s">
        <v>531</v>
      </c>
      <c r="G833" t="s">
        <v>30</v>
      </c>
      <c r="H833" t="s">
        <v>31</v>
      </c>
      <c r="I833" t="s">
        <v>52</v>
      </c>
      <c r="J833" t="s">
        <v>32</v>
      </c>
      <c r="K833" t="s">
        <v>29</v>
      </c>
      <c r="L833" t="s">
        <v>3767</v>
      </c>
      <c r="M833" t="s">
        <v>3768</v>
      </c>
      <c r="N833" t="s">
        <v>2828</v>
      </c>
      <c r="O833" t="s">
        <v>47</v>
      </c>
      <c r="P833" t="s">
        <v>3769</v>
      </c>
      <c r="Q833" t="s">
        <v>62</v>
      </c>
      <c r="R833" s="29">
        <v>46140.862500000003</v>
      </c>
      <c r="S833">
        <v>2.0299999999999998</v>
      </c>
      <c r="T833">
        <v>3935</v>
      </c>
      <c r="U833">
        <v>0</v>
      </c>
      <c r="V833">
        <v>3935</v>
      </c>
    </row>
    <row r="834" spans="1:22" x14ac:dyDescent="0.3">
      <c r="A834">
        <v>186607</v>
      </c>
      <c r="B834">
        <v>454374225</v>
      </c>
      <c r="C834" t="s">
        <v>3770</v>
      </c>
      <c r="D834" s="9">
        <v>269207436</v>
      </c>
      <c r="E834" t="s">
        <v>2825</v>
      </c>
      <c r="F834" t="s">
        <v>531</v>
      </c>
      <c r="G834" t="s">
        <v>30</v>
      </c>
      <c r="H834" t="s">
        <v>31</v>
      </c>
      <c r="I834" t="s">
        <v>52</v>
      </c>
      <c r="J834" t="s">
        <v>32</v>
      </c>
      <c r="K834" t="s">
        <v>29</v>
      </c>
      <c r="L834" t="s">
        <v>3771</v>
      </c>
      <c r="M834" t="s">
        <v>3772</v>
      </c>
      <c r="N834" t="s">
        <v>2828</v>
      </c>
      <c r="O834" t="s">
        <v>47</v>
      </c>
      <c r="P834" t="s">
        <v>3773</v>
      </c>
      <c r="Q834" t="s">
        <v>38</v>
      </c>
      <c r="R834" s="29">
        <v>46140.862500000003</v>
      </c>
      <c r="S834">
        <v>0.5</v>
      </c>
      <c r="T834">
        <v>3193</v>
      </c>
      <c r="U834">
        <v>0</v>
      </c>
      <c r="V834">
        <v>3193</v>
      </c>
    </row>
    <row r="835" spans="1:22" x14ac:dyDescent="0.3">
      <c r="A835">
        <v>186607</v>
      </c>
      <c r="B835">
        <v>454289839</v>
      </c>
      <c r="C835" t="s">
        <v>3774</v>
      </c>
      <c r="D835" s="9">
        <v>269056561</v>
      </c>
      <c r="E835" t="s">
        <v>2825</v>
      </c>
      <c r="F835" t="s">
        <v>531</v>
      </c>
      <c r="G835" t="s">
        <v>30</v>
      </c>
      <c r="H835" t="s">
        <v>31</v>
      </c>
      <c r="I835" t="s">
        <v>52</v>
      </c>
      <c r="J835" t="s">
        <v>32</v>
      </c>
      <c r="K835" t="s">
        <v>29</v>
      </c>
      <c r="L835" t="s">
        <v>3775</v>
      </c>
      <c r="M835" t="s">
        <v>3776</v>
      </c>
      <c r="N835" t="s">
        <v>2828</v>
      </c>
      <c r="O835" t="s">
        <v>47</v>
      </c>
      <c r="P835" t="s">
        <v>3777</v>
      </c>
      <c r="Q835" t="s">
        <v>162</v>
      </c>
      <c r="R835" s="29">
        <v>46138.92083333333</v>
      </c>
      <c r="S835">
        <v>0.5</v>
      </c>
      <c r="T835">
        <v>3935</v>
      </c>
      <c r="U835">
        <v>0</v>
      </c>
      <c r="V835">
        <v>3935</v>
      </c>
    </row>
    <row r="836" spans="1:22" x14ac:dyDescent="0.3">
      <c r="A836">
        <v>186607</v>
      </c>
      <c r="B836">
        <v>454337022</v>
      </c>
      <c r="C836" t="s">
        <v>3778</v>
      </c>
      <c r="D836" s="9">
        <v>269134669</v>
      </c>
      <c r="E836" t="s">
        <v>2825</v>
      </c>
      <c r="F836" t="s">
        <v>531</v>
      </c>
      <c r="G836" t="s">
        <v>30</v>
      </c>
      <c r="H836" t="s">
        <v>31</v>
      </c>
      <c r="I836" t="s">
        <v>52</v>
      </c>
      <c r="J836" t="s">
        <v>32</v>
      </c>
      <c r="K836" t="s">
        <v>29</v>
      </c>
      <c r="L836" t="s">
        <v>3779</v>
      </c>
      <c r="M836" t="s">
        <v>253</v>
      </c>
      <c r="N836" t="s">
        <v>2828</v>
      </c>
      <c r="O836" t="s">
        <v>47</v>
      </c>
      <c r="P836" t="s">
        <v>3780</v>
      </c>
      <c r="Q836" t="s">
        <v>62</v>
      </c>
      <c r="R836" s="29">
        <v>46139.938888888886</v>
      </c>
      <c r="S836">
        <v>0.5</v>
      </c>
      <c r="T836">
        <v>3552</v>
      </c>
      <c r="U836">
        <v>0</v>
      </c>
      <c r="V836">
        <v>3552</v>
      </c>
    </row>
    <row r="837" spans="1:22" x14ac:dyDescent="0.3">
      <c r="A837">
        <v>186607</v>
      </c>
      <c r="B837">
        <v>454289871</v>
      </c>
      <c r="C837" t="s">
        <v>3781</v>
      </c>
      <c r="D837" s="9">
        <v>269056444</v>
      </c>
      <c r="E837" t="s">
        <v>2825</v>
      </c>
      <c r="F837" t="s">
        <v>531</v>
      </c>
      <c r="G837" t="s">
        <v>30</v>
      </c>
      <c r="H837" t="s">
        <v>31</v>
      </c>
      <c r="I837" t="s">
        <v>52</v>
      </c>
      <c r="J837" t="s">
        <v>32</v>
      </c>
      <c r="K837" t="s">
        <v>29</v>
      </c>
      <c r="L837" t="s">
        <v>3782</v>
      </c>
      <c r="M837" t="s">
        <v>3783</v>
      </c>
      <c r="N837" t="s">
        <v>2828</v>
      </c>
      <c r="O837" t="s">
        <v>47</v>
      </c>
      <c r="P837" t="s">
        <v>3784</v>
      </c>
      <c r="Q837" t="s">
        <v>176</v>
      </c>
      <c r="R837" s="29">
        <v>46138.921527777777</v>
      </c>
      <c r="S837">
        <v>1</v>
      </c>
      <c r="T837">
        <v>3653</v>
      </c>
      <c r="U837">
        <v>0</v>
      </c>
      <c r="V837">
        <v>3653</v>
      </c>
    </row>
    <row r="838" spans="1:22" x14ac:dyDescent="0.3">
      <c r="A838">
        <v>186607</v>
      </c>
      <c r="B838">
        <v>454289829</v>
      </c>
      <c r="C838" t="s">
        <v>3785</v>
      </c>
      <c r="D838" s="9">
        <v>269056612</v>
      </c>
      <c r="E838" t="s">
        <v>2825</v>
      </c>
      <c r="F838" t="s">
        <v>531</v>
      </c>
      <c r="G838" t="s">
        <v>30</v>
      </c>
      <c r="H838" t="s">
        <v>31</v>
      </c>
      <c r="I838" t="s">
        <v>52</v>
      </c>
      <c r="J838" t="s">
        <v>32</v>
      </c>
      <c r="K838" t="s">
        <v>29</v>
      </c>
      <c r="L838" t="s">
        <v>3786</v>
      </c>
      <c r="M838" t="s">
        <v>3787</v>
      </c>
      <c r="N838" t="s">
        <v>2828</v>
      </c>
      <c r="O838" t="s">
        <v>47</v>
      </c>
      <c r="P838" t="s">
        <v>3788</v>
      </c>
      <c r="Q838" t="s">
        <v>79</v>
      </c>
      <c r="R838" s="29">
        <v>46138.92083333333</v>
      </c>
      <c r="S838">
        <v>0.5</v>
      </c>
      <c r="T838">
        <v>3552</v>
      </c>
      <c r="U838">
        <v>0</v>
      </c>
      <c r="V838">
        <v>3552</v>
      </c>
    </row>
    <row r="839" spans="1:22" x14ac:dyDescent="0.3">
      <c r="A839">
        <v>186607</v>
      </c>
      <c r="B839">
        <v>454350454</v>
      </c>
      <c r="C839" t="s">
        <v>3789</v>
      </c>
      <c r="D839" s="9">
        <v>269134626</v>
      </c>
      <c r="E839" t="s">
        <v>2825</v>
      </c>
      <c r="F839" t="s">
        <v>531</v>
      </c>
      <c r="G839" t="s">
        <v>30</v>
      </c>
      <c r="H839" t="s">
        <v>31</v>
      </c>
      <c r="I839" t="s">
        <v>52</v>
      </c>
      <c r="J839" t="s">
        <v>32</v>
      </c>
      <c r="K839" t="s">
        <v>29</v>
      </c>
      <c r="L839" t="s">
        <v>3790</v>
      </c>
      <c r="M839" t="s">
        <v>3791</v>
      </c>
      <c r="N839" t="s">
        <v>2828</v>
      </c>
      <c r="O839" t="s">
        <v>47</v>
      </c>
      <c r="P839" t="s">
        <v>3792</v>
      </c>
      <c r="Q839" t="s">
        <v>165</v>
      </c>
      <c r="R839" s="29">
        <v>46140.450694444444</v>
      </c>
      <c r="S839">
        <v>1</v>
      </c>
      <c r="T839">
        <v>3250</v>
      </c>
      <c r="U839">
        <v>0</v>
      </c>
      <c r="V839">
        <v>3250</v>
      </c>
    </row>
    <row r="840" spans="1:22" x14ac:dyDescent="0.3">
      <c r="A840">
        <v>186607</v>
      </c>
      <c r="B840">
        <v>454251458</v>
      </c>
      <c r="C840" t="s">
        <v>3793</v>
      </c>
      <c r="D840" s="9">
        <v>269134730</v>
      </c>
      <c r="E840" t="s">
        <v>2825</v>
      </c>
      <c r="F840" t="s">
        <v>531</v>
      </c>
      <c r="G840" t="s">
        <v>30</v>
      </c>
      <c r="H840" t="s">
        <v>31</v>
      </c>
      <c r="I840" t="s">
        <v>52</v>
      </c>
      <c r="J840" t="s">
        <v>32</v>
      </c>
      <c r="K840" t="s">
        <v>29</v>
      </c>
      <c r="L840" t="s">
        <v>3794</v>
      </c>
      <c r="M840" t="s">
        <v>3795</v>
      </c>
      <c r="N840" t="s">
        <v>2828</v>
      </c>
      <c r="O840" t="s">
        <v>47</v>
      </c>
      <c r="P840" t="s">
        <v>3796</v>
      </c>
      <c r="Q840" t="s">
        <v>34</v>
      </c>
      <c r="R840" s="29">
        <v>46136.868055555555</v>
      </c>
      <c r="S840">
        <v>0.5</v>
      </c>
      <c r="T840">
        <v>3339</v>
      </c>
      <c r="U840">
        <v>0</v>
      </c>
      <c r="V840">
        <v>3339</v>
      </c>
    </row>
    <row r="841" spans="1:22" x14ac:dyDescent="0.3">
      <c r="A841">
        <v>186607</v>
      </c>
      <c r="B841">
        <v>454259908</v>
      </c>
      <c r="C841" t="s">
        <v>3797</v>
      </c>
      <c r="D841" s="9">
        <v>269056609</v>
      </c>
      <c r="E841" t="s">
        <v>2825</v>
      </c>
      <c r="F841" t="s">
        <v>531</v>
      </c>
      <c r="G841" t="s">
        <v>30</v>
      </c>
      <c r="H841" t="s">
        <v>31</v>
      </c>
      <c r="I841" t="s">
        <v>52</v>
      </c>
      <c r="J841" t="s">
        <v>32</v>
      </c>
      <c r="K841" t="s">
        <v>29</v>
      </c>
      <c r="L841" t="s">
        <v>3798</v>
      </c>
      <c r="M841" t="s">
        <v>3799</v>
      </c>
      <c r="N841" t="s">
        <v>2828</v>
      </c>
      <c r="O841" t="s">
        <v>47</v>
      </c>
      <c r="P841" t="s">
        <v>3800</v>
      </c>
      <c r="Q841" t="s">
        <v>48</v>
      </c>
      <c r="R841" s="29">
        <v>46137.480555555558</v>
      </c>
      <c r="S841">
        <v>1</v>
      </c>
      <c r="T841">
        <v>3250</v>
      </c>
      <c r="U841">
        <v>0</v>
      </c>
      <c r="V841">
        <v>3250</v>
      </c>
    </row>
    <row r="842" spans="1:22" x14ac:dyDescent="0.3">
      <c r="A842">
        <v>186607</v>
      </c>
      <c r="B842">
        <v>454251452</v>
      </c>
      <c r="C842" t="s">
        <v>3801</v>
      </c>
      <c r="D842" s="9">
        <v>269056689</v>
      </c>
      <c r="E842" t="s">
        <v>2825</v>
      </c>
      <c r="F842" t="s">
        <v>531</v>
      </c>
      <c r="G842" t="s">
        <v>30</v>
      </c>
      <c r="H842" t="s">
        <v>31</v>
      </c>
      <c r="I842" t="s">
        <v>52</v>
      </c>
      <c r="J842" t="s">
        <v>32</v>
      </c>
      <c r="K842" t="s">
        <v>29</v>
      </c>
      <c r="L842" t="s">
        <v>3802</v>
      </c>
      <c r="M842" t="s">
        <v>3803</v>
      </c>
      <c r="N842" t="s">
        <v>2828</v>
      </c>
      <c r="O842" t="s">
        <v>47</v>
      </c>
      <c r="P842" t="s">
        <v>3804</v>
      </c>
      <c r="Q842" t="s">
        <v>69</v>
      </c>
      <c r="R842" s="29">
        <v>46136.868055555555</v>
      </c>
      <c r="S842">
        <v>1.5</v>
      </c>
      <c r="T842">
        <v>5024</v>
      </c>
      <c r="U842">
        <v>0</v>
      </c>
      <c r="V842">
        <v>5024</v>
      </c>
    </row>
    <row r="843" spans="1:22" x14ac:dyDescent="0.3">
      <c r="A843">
        <v>186607</v>
      </c>
      <c r="B843">
        <v>454337030</v>
      </c>
      <c r="C843" t="s">
        <v>3805</v>
      </c>
      <c r="D843" s="9">
        <v>269134690</v>
      </c>
      <c r="E843" t="s">
        <v>2825</v>
      </c>
      <c r="F843" t="s">
        <v>531</v>
      </c>
      <c r="G843" t="s">
        <v>30</v>
      </c>
      <c r="H843" t="s">
        <v>31</v>
      </c>
      <c r="I843" t="s">
        <v>52</v>
      </c>
      <c r="J843" t="s">
        <v>32</v>
      </c>
      <c r="K843" t="s">
        <v>29</v>
      </c>
      <c r="L843" t="s">
        <v>3806</v>
      </c>
      <c r="M843" t="s">
        <v>3807</v>
      </c>
      <c r="N843" t="s">
        <v>2828</v>
      </c>
      <c r="O843" t="s">
        <v>47</v>
      </c>
      <c r="P843" t="s">
        <v>3808</v>
      </c>
      <c r="Q843" t="s">
        <v>38</v>
      </c>
      <c r="R843" s="29">
        <v>46139.938888888886</v>
      </c>
      <c r="S843">
        <v>0.5</v>
      </c>
      <c r="T843">
        <v>3193</v>
      </c>
      <c r="U843">
        <v>0</v>
      </c>
      <c r="V843">
        <v>3193</v>
      </c>
    </row>
    <row r="844" spans="1:22" x14ac:dyDescent="0.3">
      <c r="A844">
        <v>186607</v>
      </c>
      <c r="B844">
        <v>454337038</v>
      </c>
      <c r="C844" t="s">
        <v>3809</v>
      </c>
      <c r="D844" s="9">
        <v>269134663</v>
      </c>
      <c r="E844" t="s">
        <v>2825</v>
      </c>
      <c r="F844" t="s">
        <v>531</v>
      </c>
      <c r="G844" t="s">
        <v>30</v>
      </c>
      <c r="H844" t="s">
        <v>31</v>
      </c>
      <c r="I844" t="s">
        <v>52</v>
      </c>
      <c r="J844" t="s">
        <v>32</v>
      </c>
      <c r="K844" t="s">
        <v>29</v>
      </c>
      <c r="L844" t="s">
        <v>3810</v>
      </c>
      <c r="M844" t="s">
        <v>3811</v>
      </c>
      <c r="N844" t="s">
        <v>2828</v>
      </c>
      <c r="O844" t="s">
        <v>47</v>
      </c>
      <c r="P844" t="s">
        <v>3812</v>
      </c>
      <c r="Q844" t="s">
        <v>212</v>
      </c>
      <c r="R844" s="29">
        <v>46139.938888888886</v>
      </c>
      <c r="S844">
        <v>1</v>
      </c>
      <c r="T844">
        <v>4386</v>
      </c>
      <c r="U844">
        <v>0</v>
      </c>
      <c r="V844">
        <v>4386</v>
      </c>
    </row>
    <row r="845" spans="1:22" x14ac:dyDescent="0.3">
      <c r="A845">
        <v>186607</v>
      </c>
      <c r="B845">
        <v>454337020</v>
      </c>
      <c r="C845" t="s">
        <v>3813</v>
      </c>
      <c r="D845" s="9">
        <v>269134722</v>
      </c>
      <c r="E845" t="s">
        <v>2825</v>
      </c>
      <c r="F845" t="s">
        <v>531</v>
      </c>
      <c r="G845" t="s">
        <v>30</v>
      </c>
      <c r="H845" t="s">
        <v>31</v>
      </c>
      <c r="I845" t="s">
        <v>52</v>
      </c>
      <c r="J845" t="s">
        <v>32</v>
      </c>
      <c r="K845" t="s">
        <v>29</v>
      </c>
      <c r="L845" t="s">
        <v>3814</v>
      </c>
      <c r="M845" t="s">
        <v>3815</v>
      </c>
      <c r="N845" t="s">
        <v>2828</v>
      </c>
      <c r="O845" t="s">
        <v>47</v>
      </c>
      <c r="P845" t="s">
        <v>3816</v>
      </c>
      <c r="Q845" t="s">
        <v>34</v>
      </c>
      <c r="R845" s="29">
        <v>46139.938888888886</v>
      </c>
      <c r="S845">
        <v>0.5</v>
      </c>
      <c r="T845">
        <v>3339</v>
      </c>
      <c r="U845">
        <v>0</v>
      </c>
      <c r="V845">
        <v>3339</v>
      </c>
    </row>
    <row r="846" spans="1:22" x14ac:dyDescent="0.3">
      <c r="A846">
        <v>186607</v>
      </c>
      <c r="B846">
        <v>454350335</v>
      </c>
      <c r="C846" t="s">
        <v>3817</v>
      </c>
      <c r="D846" s="9">
        <v>269134652</v>
      </c>
      <c r="E846" t="s">
        <v>2825</v>
      </c>
      <c r="F846" t="s">
        <v>531</v>
      </c>
      <c r="G846" t="s">
        <v>30</v>
      </c>
      <c r="H846" t="s">
        <v>31</v>
      </c>
      <c r="I846" t="s">
        <v>52</v>
      </c>
      <c r="J846" t="s">
        <v>32</v>
      </c>
      <c r="K846" t="s">
        <v>29</v>
      </c>
      <c r="L846" t="s">
        <v>3818</v>
      </c>
      <c r="M846" t="s">
        <v>300</v>
      </c>
      <c r="N846" t="s">
        <v>2828</v>
      </c>
      <c r="O846" t="s">
        <v>47</v>
      </c>
      <c r="P846" t="s">
        <v>3819</v>
      </c>
      <c r="Q846" t="s">
        <v>38</v>
      </c>
      <c r="R846" s="29">
        <v>46140.448611111111</v>
      </c>
      <c r="S846">
        <v>0.5</v>
      </c>
      <c r="T846">
        <v>3193</v>
      </c>
      <c r="U846">
        <v>0</v>
      </c>
      <c r="V846">
        <v>3193</v>
      </c>
    </row>
    <row r="847" spans="1:22" x14ac:dyDescent="0.3">
      <c r="A847">
        <v>186607</v>
      </c>
      <c r="B847">
        <v>454289845</v>
      </c>
      <c r="C847" t="s">
        <v>3820</v>
      </c>
      <c r="D847" s="9">
        <v>269056522</v>
      </c>
      <c r="E847" t="s">
        <v>2825</v>
      </c>
      <c r="F847" t="s">
        <v>531</v>
      </c>
      <c r="G847" t="s">
        <v>30</v>
      </c>
      <c r="H847" t="s">
        <v>31</v>
      </c>
      <c r="I847" t="s">
        <v>52</v>
      </c>
      <c r="J847" t="s">
        <v>32</v>
      </c>
      <c r="K847" t="s">
        <v>29</v>
      </c>
      <c r="L847" t="s">
        <v>3821</v>
      </c>
      <c r="M847" t="s">
        <v>3822</v>
      </c>
      <c r="N847" t="s">
        <v>2828</v>
      </c>
      <c r="O847" t="s">
        <v>47</v>
      </c>
      <c r="P847" t="s">
        <v>3823</v>
      </c>
      <c r="Q847" t="s">
        <v>69</v>
      </c>
      <c r="R847" s="29">
        <v>46138.92083333333</v>
      </c>
      <c r="S847">
        <v>1</v>
      </c>
      <c r="T847">
        <v>5024</v>
      </c>
      <c r="U847">
        <v>0</v>
      </c>
      <c r="V847">
        <v>5024</v>
      </c>
    </row>
    <row r="848" spans="1:22" x14ac:dyDescent="0.3">
      <c r="A848">
        <v>186607</v>
      </c>
      <c r="B848">
        <v>454289840</v>
      </c>
      <c r="C848" t="s">
        <v>3824</v>
      </c>
      <c r="D848" s="9">
        <v>269056554</v>
      </c>
      <c r="E848" t="s">
        <v>2825</v>
      </c>
      <c r="F848" t="s">
        <v>531</v>
      </c>
      <c r="G848" t="s">
        <v>30</v>
      </c>
      <c r="H848" t="s">
        <v>31</v>
      </c>
      <c r="I848" t="s">
        <v>52</v>
      </c>
      <c r="J848" t="s">
        <v>32</v>
      </c>
      <c r="K848" t="s">
        <v>29</v>
      </c>
      <c r="L848" t="s">
        <v>3825</v>
      </c>
      <c r="M848" t="s">
        <v>3826</v>
      </c>
      <c r="N848" t="s">
        <v>2828</v>
      </c>
      <c r="O848" t="s">
        <v>47</v>
      </c>
      <c r="P848" t="s">
        <v>3827</v>
      </c>
      <c r="Q848" t="s">
        <v>69</v>
      </c>
      <c r="R848" s="29">
        <v>46138.92083333333</v>
      </c>
      <c r="S848">
        <v>1</v>
      </c>
      <c r="T848">
        <v>5024</v>
      </c>
      <c r="U848">
        <v>0</v>
      </c>
      <c r="V848">
        <v>5024</v>
      </c>
    </row>
    <row r="849" spans="1:22" x14ac:dyDescent="0.3">
      <c r="A849">
        <v>186607</v>
      </c>
      <c r="B849">
        <v>454310078</v>
      </c>
      <c r="C849" t="s">
        <v>3828</v>
      </c>
      <c r="D849" s="9">
        <v>269056362</v>
      </c>
      <c r="E849" t="s">
        <v>2825</v>
      </c>
      <c r="F849" t="s">
        <v>531</v>
      </c>
      <c r="G849" t="s">
        <v>30</v>
      </c>
      <c r="H849" t="s">
        <v>31</v>
      </c>
      <c r="I849" t="s">
        <v>52</v>
      </c>
      <c r="J849" t="s">
        <v>32</v>
      </c>
      <c r="K849" t="s">
        <v>29</v>
      </c>
      <c r="L849" t="s">
        <v>3829</v>
      </c>
      <c r="M849" t="s">
        <v>3830</v>
      </c>
      <c r="N849" t="s">
        <v>2828</v>
      </c>
      <c r="O849" t="s">
        <v>47</v>
      </c>
      <c r="P849" t="s">
        <v>3831</v>
      </c>
      <c r="Q849" t="s">
        <v>186</v>
      </c>
      <c r="R849" s="29">
        <v>46139.480555555558</v>
      </c>
      <c r="S849">
        <v>1</v>
      </c>
      <c r="T849">
        <v>3631</v>
      </c>
      <c r="U849">
        <v>0</v>
      </c>
      <c r="V849">
        <v>3631</v>
      </c>
    </row>
    <row r="850" spans="1:22" x14ac:dyDescent="0.3">
      <c r="A850">
        <v>186607</v>
      </c>
      <c r="B850">
        <v>454289837</v>
      </c>
      <c r="C850" t="s">
        <v>3832</v>
      </c>
      <c r="D850" s="9">
        <v>269056568</v>
      </c>
      <c r="E850" t="s">
        <v>2825</v>
      </c>
      <c r="F850" t="s">
        <v>531</v>
      </c>
      <c r="G850" t="s">
        <v>30</v>
      </c>
      <c r="H850" t="s">
        <v>31</v>
      </c>
      <c r="I850" t="s">
        <v>52</v>
      </c>
      <c r="J850" t="s">
        <v>32</v>
      </c>
      <c r="K850" t="s">
        <v>29</v>
      </c>
      <c r="L850" t="s">
        <v>3833</v>
      </c>
      <c r="M850" t="s">
        <v>3834</v>
      </c>
      <c r="N850" t="s">
        <v>2828</v>
      </c>
      <c r="O850" t="s">
        <v>47</v>
      </c>
      <c r="P850" t="s">
        <v>3835</v>
      </c>
      <c r="Q850" t="s">
        <v>38</v>
      </c>
      <c r="R850" s="29">
        <v>46138.92083333333</v>
      </c>
      <c r="S850">
        <v>1.5</v>
      </c>
      <c r="T850">
        <v>3250</v>
      </c>
      <c r="U850">
        <v>0</v>
      </c>
      <c r="V850">
        <v>3250</v>
      </c>
    </row>
    <row r="851" spans="1:22" x14ac:dyDescent="0.3">
      <c r="A851">
        <v>186607</v>
      </c>
      <c r="B851">
        <v>454289834</v>
      </c>
      <c r="C851" t="s">
        <v>3836</v>
      </c>
      <c r="D851" s="9">
        <v>269056583</v>
      </c>
      <c r="E851" t="s">
        <v>2825</v>
      </c>
      <c r="F851" t="s">
        <v>531</v>
      </c>
      <c r="G851" t="s">
        <v>30</v>
      </c>
      <c r="H851" t="s">
        <v>31</v>
      </c>
      <c r="I851" t="s">
        <v>52</v>
      </c>
      <c r="J851" t="s">
        <v>32</v>
      </c>
      <c r="K851" t="s">
        <v>29</v>
      </c>
      <c r="L851" t="s">
        <v>3837</v>
      </c>
      <c r="M851" t="s">
        <v>3838</v>
      </c>
      <c r="N851" t="s">
        <v>2828</v>
      </c>
      <c r="O851" t="s">
        <v>47</v>
      </c>
      <c r="P851" t="s">
        <v>3839</v>
      </c>
      <c r="Q851" t="s">
        <v>48</v>
      </c>
      <c r="R851" s="29">
        <v>46138.92083333333</v>
      </c>
      <c r="S851">
        <v>1</v>
      </c>
      <c r="T851">
        <v>3250</v>
      </c>
      <c r="U851">
        <v>0</v>
      </c>
      <c r="V851">
        <v>3250</v>
      </c>
    </row>
    <row r="852" spans="1:22" x14ac:dyDescent="0.3">
      <c r="A852">
        <v>186607</v>
      </c>
      <c r="B852">
        <v>454289858</v>
      </c>
      <c r="C852" t="s">
        <v>3840</v>
      </c>
      <c r="D852" s="9">
        <v>269056484</v>
      </c>
      <c r="E852" t="s">
        <v>2825</v>
      </c>
      <c r="F852" t="s">
        <v>531</v>
      </c>
      <c r="G852" t="s">
        <v>30</v>
      </c>
      <c r="H852" t="s">
        <v>31</v>
      </c>
      <c r="I852" t="s">
        <v>52</v>
      </c>
      <c r="J852" t="s">
        <v>32</v>
      </c>
      <c r="K852" t="s">
        <v>29</v>
      </c>
      <c r="L852" t="s">
        <v>3841</v>
      </c>
      <c r="M852" t="s">
        <v>3842</v>
      </c>
      <c r="N852" t="s">
        <v>2828</v>
      </c>
      <c r="O852" t="s">
        <v>47</v>
      </c>
      <c r="P852" t="s">
        <v>3843</v>
      </c>
      <c r="Q852" t="s">
        <v>33</v>
      </c>
      <c r="R852" s="29">
        <v>46138.921527777777</v>
      </c>
      <c r="S852">
        <v>0.5</v>
      </c>
      <c r="T852">
        <v>3552</v>
      </c>
      <c r="U852">
        <v>0</v>
      </c>
      <c r="V852">
        <v>3552</v>
      </c>
    </row>
    <row r="853" spans="1:22" x14ac:dyDescent="0.3">
      <c r="A853">
        <v>186607</v>
      </c>
      <c r="B853">
        <v>454289878</v>
      </c>
      <c r="C853" t="s">
        <v>3844</v>
      </c>
      <c r="D853" s="9">
        <v>269056411</v>
      </c>
      <c r="E853" t="s">
        <v>2825</v>
      </c>
      <c r="F853" t="s">
        <v>531</v>
      </c>
      <c r="G853" t="s">
        <v>30</v>
      </c>
      <c r="H853" t="s">
        <v>31</v>
      </c>
      <c r="I853" t="s">
        <v>52</v>
      </c>
      <c r="J853" t="s">
        <v>32</v>
      </c>
      <c r="K853" t="s">
        <v>29</v>
      </c>
      <c r="L853" t="s">
        <v>3845</v>
      </c>
      <c r="M853" t="s">
        <v>3846</v>
      </c>
      <c r="N853" t="s">
        <v>2828</v>
      </c>
      <c r="O853" t="s">
        <v>47</v>
      </c>
      <c r="P853" t="s">
        <v>3847</v>
      </c>
      <c r="Q853" t="s">
        <v>71</v>
      </c>
      <c r="R853" s="29">
        <v>46138.921527777777</v>
      </c>
      <c r="S853">
        <v>1</v>
      </c>
      <c r="T853">
        <v>3631</v>
      </c>
      <c r="U853">
        <v>0</v>
      </c>
      <c r="V853">
        <v>3631</v>
      </c>
    </row>
    <row r="854" spans="1:22" x14ac:dyDescent="0.3">
      <c r="A854">
        <v>186607</v>
      </c>
      <c r="B854">
        <v>454219773</v>
      </c>
      <c r="C854" t="s">
        <v>3848</v>
      </c>
      <c r="D854" s="9">
        <v>268913530</v>
      </c>
      <c r="E854" t="s">
        <v>2825</v>
      </c>
      <c r="F854" t="s">
        <v>531</v>
      </c>
      <c r="G854" t="s">
        <v>30</v>
      </c>
      <c r="H854" t="s">
        <v>31</v>
      </c>
      <c r="I854" t="s">
        <v>52</v>
      </c>
      <c r="J854" t="s">
        <v>32</v>
      </c>
      <c r="K854" t="s">
        <v>29</v>
      </c>
      <c r="L854" t="s">
        <v>3849</v>
      </c>
      <c r="M854" t="s">
        <v>3850</v>
      </c>
      <c r="N854" t="s">
        <v>2828</v>
      </c>
      <c r="O854" t="s">
        <v>47</v>
      </c>
      <c r="P854" t="s">
        <v>3851</v>
      </c>
      <c r="Q854" t="s">
        <v>44</v>
      </c>
      <c r="R854" s="29">
        <v>46135.875694444447</v>
      </c>
      <c r="S854">
        <v>0.5</v>
      </c>
      <c r="T854">
        <v>3552</v>
      </c>
      <c r="U854">
        <v>0</v>
      </c>
      <c r="V854">
        <v>3552</v>
      </c>
    </row>
    <row r="855" spans="1:22" x14ac:dyDescent="0.3">
      <c r="A855">
        <v>186607</v>
      </c>
      <c r="B855">
        <v>454304064</v>
      </c>
      <c r="C855" t="s">
        <v>3852</v>
      </c>
      <c r="D855" s="9">
        <v>269056401</v>
      </c>
      <c r="E855" t="s">
        <v>2825</v>
      </c>
      <c r="F855" t="s">
        <v>531</v>
      </c>
      <c r="G855" t="s">
        <v>30</v>
      </c>
      <c r="H855" t="s">
        <v>31</v>
      </c>
      <c r="I855" t="s">
        <v>52</v>
      </c>
      <c r="J855" t="s">
        <v>32</v>
      </c>
      <c r="K855" t="s">
        <v>29</v>
      </c>
      <c r="L855" t="s">
        <v>3853</v>
      </c>
      <c r="M855" t="s">
        <v>471</v>
      </c>
      <c r="N855" t="s">
        <v>2828</v>
      </c>
      <c r="O855" t="s">
        <v>47</v>
      </c>
      <c r="P855" t="s">
        <v>3854</v>
      </c>
      <c r="Q855" t="s">
        <v>74</v>
      </c>
      <c r="R855" s="29">
        <v>46139.420138888891</v>
      </c>
      <c r="S855">
        <v>0.5</v>
      </c>
      <c r="T855">
        <v>3339</v>
      </c>
      <c r="U855">
        <v>0</v>
      </c>
      <c r="V855">
        <v>3339</v>
      </c>
    </row>
    <row r="856" spans="1:22" x14ac:dyDescent="0.3">
      <c r="A856">
        <v>186607</v>
      </c>
      <c r="B856">
        <v>454289846</v>
      </c>
      <c r="C856" t="s">
        <v>3855</v>
      </c>
      <c r="D856" s="9">
        <v>269056525</v>
      </c>
      <c r="E856" t="s">
        <v>2825</v>
      </c>
      <c r="F856" t="s">
        <v>531</v>
      </c>
      <c r="G856" t="s">
        <v>30</v>
      </c>
      <c r="H856" t="s">
        <v>31</v>
      </c>
      <c r="I856" t="s">
        <v>52</v>
      </c>
      <c r="J856" t="s">
        <v>32</v>
      </c>
      <c r="K856" t="s">
        <v>29</v>
      </c>
      <c r="L856" t="s">
        <v>3856</v>
      </c>
      <c r="M856" t="s">
        <v>3857</v>
      </c>
      <c r="N856" t="s">
        <v>2828</v>
      </c>
      <c r="O856" t="s">
        <v>47</v>
      </c>
      <c r="P856" t="s">
        <v>3858</v>
      </c>
      <c r="Q856" t="s">
        <v>70</v>
      </c>
      <c r="R856" s="29">
        <v>46138.92083333333</v>
      </c>
      <c r="S856">
        <v>0.5</v>
      </c>
      <c r="T856">
        <v>3552</v>
      </c>
      <c r="U856">
        <v>0</v>
      </c>
      <c r="V856">
        <v>3552</v>
      </c>
    </row>
    <row r="857" spans="1:22" x14ac:dyDescent="0.3">
      <c r="A857">
        <v>186607</v>
      </c>
      <c r="B857">
        <v>454289835</v>
      </c>
      <c r="C857" t="s">
        <v>3859</v>
      </c>
      <c r="D857" s="9">
        <v>269056577</v>
      </c>
      <c r="E857" t="s">
        <v>2825</v>
      </c>
      <c r="F857" t="s">
        <v>531</v>
      </c>
      <c r="G857" t="s">
        <v>30</v>
      </c>
      <c r="H857" t="s">
        <v>31</v>
      </c>
      <c r="I857" t="s">
        <v>52</v>
      </c>
      <c r="J857" t="s">
        <v>32</v>
      </c>
      <c r="K857" t="s">
        <v>29</v>
      </c>
      <c r="L857" t="s">
        <v>3860</v>
      </c>
      <c r="M857" t="s">
        <v>3861</v>
      </c>
      <c r="N857" t="s">
        <v>2828</v>
      </c>
      <c r="O857" t="s">
        <v>47</v>
      </c>
      <c r="P857" t="s">
        <v>3862</v>
      </c>
      <c r="Q857" t="s">
        <v>148</v>
      </c>
      <c r="R857" s="29">
        <v>46138.92083333333</v>
      </c>
      <c r="S857">
        <v>0.5</v>
      </c>
      <c r="T857">
        <v>3552</v>
      </c>
      <c r="U857">
        <v>0</v>
      </c>
      <c r="V857">
        <v>3552</v>
      </c>
    </row>
    <row r="858" spans="1:22" x14ac:dyDescent="0.3">
      <c r="A858">
        <v>186607</v>
      </c>
      <c r="B858">
        <v>141735553</v>
      </c>
      <c r="C858" t="s">
        <v>3863</v>
      </c>
      <c r="D858" s="9">
        <v>268701927</v>
      </c>
      <c r="E858" t="s">
        <v>2825</v>
      </c>
      <c r="F858" t="s">
        <v>531</v>
      </c>
      <c r="G858" t="s">
        <v>30</v>
      </c>
      <c r="H858" t="s">
        <v>31</v>
      </c>
      <c r="I858" t="s">
        <v>52</v>
      </c>
      <c r="J858" t="s">
        <v>32</v>
      </c>
      <c r="K858" t="s">
        <v>29</v>
      </c>
      <c r="L858" t="s">
        <v>3864</v>
      </c>
      <c r="M858" t="s">
        <v>3865</v>
      </c>
      <c r="N858" t="s">
        <v>2828</v>
      </c>
      <c r="O858" t="s">
        <v>47</v>
      </c>
      <c r="P858" t="s">
        <v>3866</v>
      </c>
      <c r="Q858" t="s">
        <v>201</v>
      </c>
      <c r="R858" s="29">
        <v>46132.902777777781</v>
      </c>
      <c r="S858">
        <v>0.5</v>
      </c>
      <c r="T858">
        <v>3935</v>
      </c>
      <c r="U858">
        <v>0</v>
      </c>
      <c r="V858">
        <v>3935</v>
      </c>
    </row>
    <row r="859" spans="1:22" x14ac:dyDescent="0.3">
      <c r="A859">
        <v>186607</v>
      </c>
      <c r="B859">
        <v>454289860</v>
      </c>
      <c r="C859" t="s">
        <v>3867</v>
      </c>
      <c r="D859" s="9">
        <v>269056463</v>
      </c>
      <c r="E859" t="s">
        <v>2825</v>
      </c>
      <c r="F859" t="s">
        <v>531</v>
      </c>
      <c r="G859" t="s">
        <v>30</v>
      </c>
      <c r="H859" t="s">
        <v>31</v>
      </c>
      <c r="I859" t="s">
        <v>52</v>
      </c>
      <c r="J859" t="s">
        <v>32</v>
      </c>
      <c r="K859" t="s">
        <v>29</v>
      </c>
      <c r="L859" t="s">
        <v>3868</v>
      </c>
      <c r="M859" t="s">
        <v>3869</v>
      </c>
      <c r="N859" t="s">
        <v>2828</v>
      </c>
      <c r="O859" t="s">
        <v>47</v>
      </c>
      <c r="P859" t="s">
        <v>3870</v>
      </c>
      <c r="Q859" t="s">
        <v>70</v>
      </c>
      <c r="R859" s="29">
        <v>46138.921527777777</v>
      </c>
      <c r="S859">
        <v>1</v>
      </c>
      <c r="T859">
        <v>3631</v>
      </c>
      <c r="U859">
        <v>0</v>
      </c>
      <c r="V859">
        <v>3631</v>
      </c>
    </row>
    <row r="860" spans="1:22" x14ac:dyDescent="0.3">
      <c r="A860">
        <v>186607</v>
      </c>
      <c r="B860">
        <v>454304066</v>
      </c>
      <c r="C860" t="s">
        <v>3871</v>
      </c>
      <c r="D860" s="9">
        <v>269056374</v>
      </c>
      <c r="E860" t="s">
        <v>2825</v>
      </c>
      <c r="F860" t="s">
        <v>531</v>
      </c>
      <c r="G860" t="s">
        <v>30</v>
      </c>
      <c r="H860" t="s">
        <v>31</v>
      </c>
      <c r="I860" t="s">
        <v>52</v>
      </c>
      <c r="J860" t="s">
        <v>32</v>
      </c>
      <c r="K860" t="s">
        <v>29</v>
      </c>
      <c r="L860" t="s">
        <v>3872</v>
      </c>
      <c r="M860" t="s">
        <v>3873</v>
      </c>
      <c r="N860" t="s">
        <v>2828</v>
      </c>
      <c r="O860" t="s">
        <v>47</v>
      </c>
      <c r="P860" t="s">
        <v>3874</v>
      </c>
      <c r="Q860" t="s">
        <v>33</v>
      </c>
      <c r="R860" s="29">
        <v>46139.420138888891</v>
      </c>
      <c r="S860">
        <v>0.5</v>
      </c>
      <c r="T860">
        <v>3552</v>
      </c>
      <c r="U860">
        <v>0</v>
      </c>
      <c r="V860">
        <v>3552</v>
      </c>
    </row>
    <row r="861" spans="1:22" x14ac:dyDescent="0.3">
      <c r="A861">
        <v>186607</v>
      </c>
      <c r="B861">
        <v>454251457</v>
      </c>
      <c r="C861" t="s">
        <v>3875</v>
      </c>
      <c r="D861" s="9">
        <v>269056675</v>
      </c>
      <c r="E861" t="s">
        <v>2825</v>
      </c>
      <c r="F861" t="s">
        <v>531</v>
      </c>
      <c r="G861" t="s">
        <v>30</v>
      </c>
      <c r="H861" t="s">
        <v>31</v>
      </c>
      <c r="I861" t="s">
        <v>52</v>
      </c>
      <c r="J861" t="s">
        <v>32</v>
      </c>
      <c r="K861" t="s">
        <v>29</v>
      </c>
      <c r="L861" t="s">
        <v>3876</v>
      </c>
      <c r="M861" t="s">
        <v>3877</v>
      </c>
      <c r="N861" t="s">
        <v>2828</v>
      </c>
      <c r="O861" t="s">
        <v>47</v>
      </c>
      <c r="P861" t="s">
        <v>3878</v>
      </c>
      <c r="Q861" t="s">
        <v>63</v>
      </c>
      <c r="R861" s="29">
        <v>46136.868055555555</v>
      </c>
      <c r="S861">
        <v>0.5</v>
      </c>
      <c r="T861">
        <v>3339</v>
      </c>
      <c r="U861">
        <v>0</v>
      </c>
      <c r="V861">
        <v>3339</v>
      </c>
    </row>
    <row r="862" spans="1:22" x14ac:dyDescent="0.3">
      <c r="A862">
        <v>186607</v>
      </c>
      <c r="B862">
        <v>454289832</v>
      </c>
      <c r="C862" t="s">
        <v>3879</v>
      </c>
      <c r="D862" s="9">
        <v>269056592</v>
      </c>
      <c r="E862" t="s">
        <v>2825</v>
      </c>
      <c r="F862" t="s">
        <v>531</v>
      </c>
      <c r="G862" t="s">
        <v>30</v>
      </c>
      <c r="H862" t="s">
        <v>31</v>
      </c>
      <c r="I862" t="s">
        <v>52</v>
      </c>
      <c r="J862" t="s">
        <v>32</v>
      </c>
      <c r="K862" t="s">
        <v>29</v>
      </c>
      <c r="L862" t="s">
        <v>3880</v>
      </c>
      <c r="M862" t="s">
        <v>3881</v>
      </c>
      <c r="N862" t="s">
        <v>2828</v>
      </c>
      <c r="O862" t="s">
        <v>47</v>
      </c>
      <c r="P862" t="s">
        <v>3882</v>
      </c>
      <c r="Q862" t="s">
        <v>70</v>
      </c>
      <c r="R862" s="29">
        <v>46138.92083333333</v>
      </c>
      <c r="S862">
        <v>0.5</v>
      </c>
      <c r="T862">
        <v>3552</v>
      </c>
      <c r="U862">
        <v>0</v>
      </c>
      <c r="V862">
        <v>3552</v>
      </c>
    </row>
    <row r="863" spans="1:22" x14ac:dyDescent="0.3">
      <c r="A863">
        <v>186607</v>
      </c>
      <c r="B863">
        <v>454289876</v>
      </c>
      <c r="C863" t="s">
        <v>3883</v>
      </c>
      <c r="D863" s="9">
        <v>269056389</v>
      </c>
      <c r="E863" t="s">
        <v>2825</v>
      </c>
      <c r="F863" t="s">
        <v>531</v>
      </c>
      <c r="G863" t="s">
        <v>30</v>
      </c>
      <c r="H863" t="s">
        <v>31</v>
      </c>
      <c r="I863" t="s">
        <v>52</v>
      </c>
      <c r="J863" t="s">
        <v>32</v>
      </c>
      <c r="K863" t="s">
        <v>29</v>
      </c>
      <c r="L863" t="s">
        <v>3884</v>
      </c>
      <c r="M863" t="s">
        <v>3885</v>
      </c>
      <c r="N863" t="s">
        <v>2828</v>
      </c>
      <c r="O863" t="s">
        <v>47</v>
      </c>
      <c r="P863" t="s">
        <v>3886</v>
      </c>
      <c r="Q863" t="s">
        <v>226</v>
      </c>
      <c r="R863" s="29">
        <v>46138.921527777777</v>
      </c>
      <c r="S863">
        <v>0.5</v>
      </c>
      <c r="T863">
        <v>3552</v>
      </c>
      <c r="U863">
        <v>0</v>
      </c>
      <c r="V863">
        <v>3552</v>
      </c>
    </row>
    <row r="864" spans="1:22" x14ac:dyDescent="0.3">
      <c r="A864">
        <v>186607</v>
      </c>
      <c r="B864">
        <v>454289874</v>
      </c>
      <c r="C864" t="s">
        <v>3887</v>
      </c>
      <c r="D864" s="9">
        <v>269056453</v>
      </c>
      <c r="E864" t="s">
        <v>2825</v>
      </c>
      <c r="F864" t="s">
        <v>531</v>
      </c>
      <c r="G864" t="s">
        <v>30</v>
      </c>
      <c r="H864" t="s">
        <v>31</v>
      </c>
      <c r="I864" t="s">
        <v>52</v>
      </c>
      <c r="J864" t="s">
        <v>32</v>
      </c>
      <c r="K864" t="s">
        <v>29</v>
      </c>
      <c r="L864" t="s">
        <v>3888</v>
      </c>
      <c r="M864" t="s">
        <v>3889</v>
      </c>
      <c r="N864" t="s">
        <v>2828</v>
      </c>
      <c r="O864" t="s">
        <v>47</v>
      </c>
      <c r="P864" t="s">
        <v>3890</v>
      </c>
      <c r="Q864" t="s">
        <v>63</v>
      </c>
      <c r="R864" s="29">
        <v>46138.921527777777</v>
      </c>
      <c r="S864">
        <v>0.5</v>
      </c>
      <c r="T864">
        <v>3339</v>
      </c>
      <c r="U864">
        <v>0</v>
      </c>
      <c r="V864">
        <v>3339</v>
      </c>
    </row>
    <row r="865" spans="1:22" x14ac:dyDescent="0.3">
      <c r="A865">
        <v>186607</v>
      </c>
      <c r="B865">
        <v>454289877</v>
      </c>
      <c r="C865" t="s">
        <v>3891</v>
      </c>
      <c r="D865" s="9">
        <v>269056419</v>
      </c>
      <c r="E865" t="s">
        <v>2825</v>
      </c>
      <c r="F865" t="s">
        <v>531</v>
      </c>
      <c r="G865" t="s">
        <v>30</v>
      </c>
      <c r="H865" t="s">
        <v>31</v>
      </c>
      <c r="I865" t="s">
        <v>52</v>
      </c>
      <c r="J865" t="s">
        <v>32</v>
      </c>
      <c r="K865" t="s">
        <v>29</v>
      </c>
      <c r="L865" t="s">
        <v>3892</v>
      </c>
      <c r="M865" t="s">
        <v>3893</v>
      </c>
      <c r="N865" t="s">
        <v>2828</v>
      </c>
      <c r="O865" t="s">
        <v>47</v>
      </c>
      <c r="P865" t="s">
        <v>3894</v>
      </c>
      <c r="Q865" t="s">
        <v>78</v>
      </c>
      <c r="R865" s="29">
        <v>46138.921527777777</v>
      </c>
      <c r="S865">
        <v>0.5</v>
      </c>
      <c r="T865">
        <v>3193</v>
      </c>
      <c r="U865">
        <v>0</v>
      </c>
      <c r="V865">
        <v>3193</v>
      </c>
    </row>
    <row r="866" spans="1:22" x14ac:dyDescent="0.3">
      <c r="A866">
        <v>186607</v>
      </c>
      <c r="B866">
        <v>454251453</v>
      </c>
      <c r="C866" t="s">
        <v>3895</v>
      </c>
      <c r="D866" s="9">
        <v>269056681</v>
      </c>
      <c r="E866" t="s">
        <v>2825</v>
      </c>
      <c r="F866" t="s">
        <v>531</v>
      </c>
      <c r="G866" t="s">
        <v>30</v>
      </c>
      <c r="H866" t="s">
        <v>31</v>
      </c>
      <c r="I866" t="s">
        <v>52</v>
      </c>
      <c r="J866" t="s">
        <v>32</v>
      </c>
      <c r="K866" t="s">
        <v>29</v>
      </c>
      <c r="L866" t="s">
        <v>3896</v>
      </c>
      <c r="M866" t="s">
        <v>3897</v>
      </c>
      <c r="N866" t="s">
        <v>2828</v>
      </c>
      <c r="O866" t="s">
        <v>47</v>
      </c>
      <c r="P866" t="s">
        <v>3898</v>
      </c>
      <c r="Q866" t="s">
        <v>67</v>
      </c>
      <c r="R866" s="29">
        <v>46136.868055555555</v>
      </c>
      <c r="S866">
        <v>0.5</v>
      </c>
      <c r="T866">
        <v>3193</v>
      </c>
      <c r="U866">
        <v>0</v>
      </c>
      <c r="V866">
        <v>3193</v>
      </c>
    </row>
    <row r="867" spans="1:22" x14ac:dyDescent="0.3">
      <c r="A867">
        <v>186607</v>
      </c>
      <c r="B867">
        <v>141564809</v>
      </c>
      <c r="C867" t="s">
        <v>3899</v>
      </c>
      <c r="D867" s="9">
        <v>268326723</v>
      </c>
      <c r="E867" t="s">
        <v>2825</v>
      </c>
      <c r="F867" t="s">
        <v>531</v>
      </c>
      <c r="G867" t="s">
        <v>30</v>
      </c>
      <c r="H867" t="s">
        <v>31</v>
      </c>
      <c r="I867" t="s">
        <v>52</v>
      </c>
      <c r="J867" t="s">
        <v>32</v>
      </c>
      <c r="K867" t="s">
        <v>29</v>
      </c>
      <c r="L867" t="s">
        <v>3900</v>
      </c>
      <c r="M867" t="s">
        <v>3901</v>
      </c>
      <c r="N867" t="s">
        <v>2828</v>
      </c>
      <c r="O867" t="s">
        <v>47</v>
      </c>
      <c r="P867" t="s">
        <v>3902</v>
      </c>
      <c r="Q867" t="s">
        <v>49</v>
      </c>
      <c r="R867" s="29">
        <v>46126.977083333331</v>
      </c>
      <c r="S867">
        <v>0.5</v>
      </c>
      <c r="T867">
        <v>5193</v>
      </c>
      <c r="U867">
        <v>0</v>
      </c>
      <c r="V867">
        <v>5193</v>
      </c>
    </row>
    <row r="868" spans="1:22" x14ac:dyDescent="0.3">
      <c r="A868">
        <v>186607</v>
      </c>
      <c r="B868">
        <v>454234463</v>
      </c>
      <c r="C868" t="s">
        <v>3903</v>
      </c>
      <c r="D868" s="9">
        <v>268913451</v>
      </c>
      <c r="E868" t="s">
        <v>2825</v>
      </c>
      <c r="F868" t="s">
        <v>531</v>
      </c>
      <c r="G868" t="s">
        <v>30</v>
      </c>
      <c r="H868" t="s">
        <v>31</v>
      </c>
      <c r="I868" t="s">
        <v>52</v>
      </c>
      <c r="J868" t="s">
        <v>32</v>
      </c>
      <c r="K868" t="s">
        <v>29</v>
      </c>
      <c r="L868" t="s">
        <v>3904</v>
      </c>
      <c r="M868" t="s">
        <v>504</v>
      </c>
      <c r="N868" t="s">
        <v>2828</v>
      </c>
      <c r="O868" t="s">
        <v>47</v>
      </c>
      <c r="P868" t="s">
        <v>3905</v>
      </c>
      <c r="Q868" t="s">
        <v>36</v>
      </c>
      <c r="R868" s="29">
        <v>46136.477083333331</v>
      </c>
      <c r="S868">
        <v>0.5</v>
      </c>
      <c r="T868">
        <v>3935</v>
      </c>
      <c r="U868">
        <v>0</v>
      </c>
      <c r="V868">
        <v>3935</v>
      </c>
    </row>
    <row r="869" spans="1:22" x14ac:dyDescent="0.3">
      <c r="A869">
        <v>186607</v>
      </c>
      <c r="B869">
        <v>454219771</v>
      </c>
      <c r="C869" t="s">
        <v>3906</v>
      </c>
      <c r="D869" s="9">
        <v>268913519</v>
      </c>
      <c r="E869" t="s">
        <v>2825</v>
      </c>
      <c r="F869" t="s">
        <v>531</v>
      </c>
      <c r="G869" t="s">
        <v>30</v>
      </c>
      <c r="H869" t="s">
        <v>31</v>
      </c>
      <c r="I869" t="s">
        <v>52</v>
      </c>
      <c r="J869" t="s">
        <v>32</v>
      </c>
      <c r="K869" t="s">
        <v>29</v>
      </c>
      <c r="L869" t="s">
        <v>3907</v>
      </c>
      <c r="M869" t="s">
        <v>3908</v>
      </c>
      <c r="N869" t="s">
        <v>2828</v>
      </c>
      <c r="O869" t="s">
        <v>47</v>
      </c>
      <c r="P869" t="s">
        <v>3909</v>
      </c>
      <c r="Q869" t="s">
        <v>162</v>
      </c>
      <c r="R869" s="29">
        <v>46135.875694444447</v>
      </c>
      <c r="S869">
        <v>3.59</v>
      </c>
      <c r="T869">
        <v>7745</v>
      </c>
      <c r="U869">
        <v>0</v>
      </c>
      <c r="V869">
        <v>7745</v>
      </c>
    </row>
    <row r="870" spans="1:22" x14ac:dyDescent="0.3">
      <c r="A870">
        <v>186607</v>
      </c>
      <c r="B870">
        <v>141786492</v>
      </c>
      <c r="C870" t="s">
        <v>3910</v>
      </c>
      <c r="D870" s="9">
        <v>268779881</v>
      </c>
      <c r="E870" t="s">
        <v>2825</v>
      </c>
      <c r="F870" t="s">
        <v>531</v>
      </c>
      <c r="G870" t="s">
        <v>30</v>
      </c>
      <c r="H870" t="s">
        <v>31</v>
      </c>
      <c r="I870" t="s">
        <v>52</v>
      </c>
      <c r="J870" t="s">
        <v>32</v>
      </c>
      <c r="K870" t="s">
        <v>29</v>
      </c>
      <c r="L870" t="s">
        <v>3911</v>
      </c>
      <c r="M870" t="s">
        <v>3912</v>
      </c>
      <c r="N870" t="s">
        <v>2828</v>
      </c>
      <c r="O870" t="s">
        <v>47</v>
      </c>
      <c r="P870" t="s">
        <v>3913</v>
      </c>
      <c r="Q870" t="s">
        <v>143</v>
      </c>
      <c r="R870" s="29">
        <v>46134.448611111111</v>
      </c>
      <c r="S870">
        <v>5.59</v>
      </c>
      <c r="T870">
        <v>6114</v>
      </c>
      <c r="U870">
        <v>0</v>
      </c>
      <c r="V870">
        <v>6114</v>
      </c>
    </row>
    <row r="871" spans="1:22" x14ac:dyDescent="0.3">
      <c r="A871">
        <v>186607</v>
      </c>
      <c r="B871">
        <v>141773803</v>
      </c>
      <c r="C871" t="s">
        <v>3914</v>
      </c>
      <c r="D871" s="9">
        <v>48073563</v>
      </c>
      <c r="E871" t="s">
        <v>2825</v>
      </c>
      <c r="F871" t="s">
        <v>531</v>
      </c>
      <c r="G871" t="s">
        <v>30</v>
      </c>
      <c r="H871" t="s">
        <v>31</v>
      </c>
      <c r="I871" t="s">
        <v>52</v>
      </c>
      <c r="J871" t="s">
        <v>32</v>
      </c>
      <c r="K871" t="s">
        <v>29</v>
      </c>
      <c r="L871" t="s">
        <v>3915</v>
      </c>
      <c r="M871" t="s">
        <v>3916</v>
      </c>
      <c r="N871" t="s">
        <v>2828</v>
      </c>
      <c r="O871" t="s">
        <v>47</v>
      </c>
      <c r="P871" t="s">
        <v>3917</v>
      </c>
      <c r="Q871" t="s">
        <v>86</v>
      </c>
      <c r="R871" s="29">
        <v>46133.913888888892</v>
      </c>
      <c r="S871">
        <v>0.5</v>
      </c>
      <c r="T871">
        <v>3552</v>
      </c>
      <c r="U871">
        <v>0</v>
      </c>
      <c r="V871">
        <v>3552</v>
      </c>
    </row>
    <row r="872" spans="1:22" x14ac:dyDescent="0.3">
      <c r="A872">
        <v>186607</v>
      </c>
      <c r="B872">
        <v>454219777</v>
      </c>
      <c r="C872" t="s">
        <v>3918</v>
      </c>
      <c r="D872" s="9">
        <v>269593720</v>
      </c>
      <c r="E872" t="s">
        <v>2825</v>
      </c>
      <c r="F872" t="s">
        <v>531</v>
      </c>
      <c r="G872" t="s">
        <v>30</v>
      </c>
      <c r="H872" t="s">
        <v>31</v>
      </c>
      <c r="I872" t="s">
        <v>52</v>
      </c>
      <c r="J872" t="s">
        <v>32</v>
      </c>
      <c r="K872" t="s">
        <v>29</v>
      </c>
      <c r="L872" t="s">
        <v>3919</v>
      </c>
      <c r="M872" t="s">
        <v>3920</v>
      </c>
      <c r="N872" t="s">
        <v>2828</v>
      </c>
      <c r="O872" t="s">
        <v>47</v>
      </c>
      <c r="P872" t="s">
        <v>3921</v>
      </c>
      <c r="Q872" t="s">
        <v>212</v>
      </c>
      <c r="R872" s="29">
        <v>46135.875694444447</v>
      </c>
      <c r="S872">
        <v>2.35</v>
      </c>
      <c r="T872">
        <v>5553</v>
      </c>
      <c r="U872">
        <v>0</v>
      </c>
      <c r="V872">
        <v>5553</v>
      </c>
    </row>
    <row r="873" spans="1:22" x14ac:dyDescent="0.3">
      <c r="A873">
        <v>186607</v>
      </c>
      <c r="B873">
        <v>455275202</v>
      </c>
      <c r="C873" t="s">
        <v>3922</v>
      </c>
      <c r="D873" s="9" t="s">
        <v>3923</v>
      </c>
      <c r="E873" t="s">
        <v>2825</v>
      </c>
      <c r="F873" t="s">
        <v>531</v>
      </c>
      <c r="G873" t="s">
        <v>104</v>
      </c>
      <c r="H873" t="s">
        <v>105</v>
      </c>
      <c r="I873" t="s">
        <v>52</v>
      </c>
      <c r="J873" t="s">
        <v>106</v>
      </c>
      <c r="K873" t="s">
        <v>29</v>
      </c>
      <c r="L873" t="s">
        <v>3924</v>
      </c>
      <c r="M873" t="s">
        <v>3925</v>
      </c>
      <c r="N873" t="s">
        <v>2828</v>
      </c>
      <c r="O873" t="s">
        <v>47</v>
      </c>
      <c r="P873" t="s">
        <v>3926</v>
      </c>
      <c r="Q873" t="s">
        <v>85</v>
      </c>
      <c r="R873" s="29" t="s">
        <v>3927</v>
      </c>
      <c r="S873">
        <v>1.49</v>
      </c>
      <c r="T873">
        <v>6488</v>
      </c>
      <c r="U873">
        <v>249.9</v>
      </c>
      <c r="V873">
        <v>6737.9</v>
      </c>
    </row>
    <row r="874" spans="1:22" x14ac:dyDescent="0.3">
      <c r="A874">
        <v>186607</v>
      </c>
      <c r="B874">
        <v>454914793</v>
      </c>
      <c r="C874" t="s">
        <v>3928</v>
      </c>
      <c r="D874" s="9" t="s">
        <v>3929</v>
      </c>
      <c r="E874" t="s">
        <v>2825</v>
      </c>
      <c r="F874" t="s">
        <v>531</v>
      </c>
      <c r="G874" t="s">
        <v>110</v>
      </c>
      <c r="H874" t="s">
        <v>111</v>
      </c>
      <c r="I874" t="s">
        <v>52</v>
      </c>
      <c r="J874" t="s">
        <v>112</v>
      </c>
      <c r="K874" t="s">
        <v>29</v>
      </c>
      <c r="L874" t="s">
        <v>113</v>
      </c>
      <c r="M874" t="s">
        <v>3930</v>
      </c>
      <c r="N874" t="s">
        <v>2828</v>
      </c>
      <c r="O874" t="s">
        <v>47</v>
      </c>
      <c r="P874" t="s">
        <v>3931</v>
      </c>
      <c r="Q874" t="s">
        <v>178</v>
      </c>
      <c r="R874" s="29" t="s">
        <v>131</v>
      </c>
      <c r="S874">
        <v>3.95</v>
      </c>
      <c r="T874">
        <v>4718</v>
      </c>
      <c r="U874">
        <v>0</v>
      </c>
      <c r="V874">
        <v>4718</v>
      </c>
    </row>
    <row r="875" spans="1:22" x14ac:dyDescent="0.3">
      <c r="A875">
        <v>186607</v>
      </c>
      <c r="B875">
        <v>455229293</v>
      </c>
      <c r="C875" t="s">
        <v>3932</v>
      </c>
      <c r="D875" s="9" t="s">
        <v>3933</v>
      </c>
      <c r="E875" t="s">
        <v>2825</v>
      </c>
      <c r="F875" t="s">
        <v>531</v>
      </c>
      <c r="G875" t="s">
        <v>104</v>
      </c>
      <c r="H875" t="s">
        <v>105</v>
      </c>
      <c r="I875" t="s">
        <v>52</v>
      </c>
      <c r="J875" t="s">
        <v>106</v>
      </c>
      <c r="K875" t="s">
        <v>29</v>
      </c>
      <c r="L875" t="s">
        <v>3934</v>
      </c>
      <c r="M875" t="s">
        <v>3935</v>
      </c>
      <c r="N875" t="s">
        <v>2828</v>
      </c>
      <c r="O875" t="s">
        <v>47</v>
      </c>
      <c r="P875" t="s">
        <v>3936</v>
      </c>
      <c r="Q875" t="s">
        <v>68</v>
      </c>
      <c r="R875" s="29" t="s">
        <v>3937</v>
      </c>
      <c r="S875">
        <v>0.82</v>
      </c>
      <c r="T875">
        <v>3963</v>
      </c>
      <c r="U875">
        <v>124.95</v>
      </c>
      <c r="V875">
        <v>4087.95</v>
      </c>
    </row>
    <row r="876" spans="1:22" x14ac:dyDescent="0.3">
      <c r="A876">
        <v>186607</v>
      </c>
      <c r="B876">
        <v>454900176</v>
      </c>
      <c r="C876" t="s">
        <v>3938</v>
      </c>
      <c r="D876" s="9" t="s">
        <v>3939</v>
      </c>
      <c r="E876" t="s">
        <v>2825</v>
      </c>
      <c r="F876" t="s">
        <v>531</v>
      </c>
      <c r="G876" t="s">
        <v>110</v>
      </c>
      <c r="H876" t="s">
        <v>111</v>
      </c>
      <c r="I876" t="s">
        <v>52</v>
      </c>
      <c r="J876" t="s">
        <v>112</v>
      </c>
      <c r="K876" t="s">
        <v>29</v>
      </c>
      <c r="L876" t="s">
        <v>113</v>
      </c>
      <c r="M876" t="s">
        <v>3940</v>
      </c>
      <c r="N876" t="s">
        <v>2828</v>
      </c>
      <c r="O876" t="s">
        <v>47</v>
      </c>
      <c r="P876" t="s">
        <v>3941</v>
      </c>
      <c r="Q876" t="s">
        <v>141</v>
      </c>
      <c r="R876" s="29" t="s">
        <v>299</v>
      </c>
      <c r="S876">
        <v>5.07</v>
      </c>
      <c r="T876">
        <v>7747</v>
      </c>
      <c r="U876">
        <v>0</v>
      </c>
      <c r="V876">
        <v>7747</v>
      </c>
    </row>
    <row r="877" spans="1:22" x14ac:dyDescent="0.3">
      <c r="A877">
        <v>186607</v>
      </c>
      <c r="B877">
        <v>455229304</v>
      </c>
      <c r="C877" t="s">
        <v>3942</v>
      </c>
      <c r="D877" s="9" t="s">
        <v>3943</v>
      </c>
      <c r="E877" t="s">
        <v>2825</v>
      </c>
      <c r="F877" t="s">
        <v>531</v>
      </c>
      <c r="G877" t="s">
        <v>104</v>
      </c>
      <c r="H877" t="s">
        <v>105</v>
      </c>
      <c r="I877" t="s">
        <v>52</v>
      </c>
      <c r="J877" t="s">
        <v>106</v>
      </c>
      <c r="K877" t="s">
        <v>29</v>
      </c>
      <c r="L877" t="s">
        <v>3944</v>
      </c>
      <c r="M877" t="s">
        <v>3945</v>
      </c>
      <c r="N877" t="s">
        <v>2828</v>
      </c>
      <c r="O877" t="s">
        <v>47</v>
      </c>
      <c r="P877" t="s">
        <v>3946</v>
      </c>
      <c r="Q877" t="s">
        <v>85</v>
      </c>
      <c r="R877" s="29" t="s">
        <v>3937</v>
      </c>
      <c r="S877">
        <v>0.79</v>
      </c>
      <c r="T877">
        <v>5641</v>
      </c>
      <c r="U877">
        <v>124.95</v>
      </c>
      <c r="V877">
        <v>5765.95</v>
      </c>
    </row>
    <row r="878" spans="1:22" x14ac:dyDescent="0.3">
      <c r="A878">
        <v>186607</v>
      </c>
      <c r="B878">
        <v>455196934</v>
      </c>
      <c r="C878" t="s">
        <v>3947</v>
      </c>
      <c r="D878" s="9" t="s">
        <v>3948</v>
      </c>
      <c r="E878" t="s">
        <v>2825</v>
      </c>
      <c r="F878" t="s">
        <v>531</v>
      </c>
      <c r="G878" t="s">
        <v>104</v>
      </c>
      <c r="H878" t="s">
        <v>105</v>
      </c>
      <c r="I878" t="s">
        <v>52</v>
      </c>
      <c r="J878" t="s">
        <v>106</v>
      </c>
      <c r="K878" t="s">
        <v>29</v>
      </c>
      <c r="L878" t="s">
        <v>3949</v>
      </c>
      <c r="M878" t="s">
        <v>3950</v>
      </c>
      <c r="N878" t="s">
        <v>2828</v>
      </c>
      <c r="O878" t="s">
        <v>47</v>
      </c>
      <c r="P878" t="s">
        <v>328</v>
      </c>
      <c r="Q878" t="s">
        <v>91</v>
      </c>
      <c r="R878" s="29" t="s">
        <v>521</v>
      </c>
      <c r="S878">
        <v>0.81</v>
      </c>
      <c r="T878">
        <v>6997</v>
      </c>
      <c r="U878">
        <v>124.95</v>
      </c>
      <c r="V878">
        <v>7121.95</v>
      </c>
    </row>
    <row r="879" spans="1:22" x14ac:dyDescent="0.3">
      <c r="A879">
        <v>186607</v>
      </c>
      <c r="B879">
        <v>454964649</v>
      </c>
      <c r="C879" t="s">
        <v>3951</v>
      </c>
      <c r="D879" s="9" t="s">
        <v>3952</v>
      </c>
      <c r="E879" t="s">
        <v>2825</v>
      </c>
      <c r="F879" t="s">
        <v>531</v>
      </c>
      <c r="G879" t="s">
        <v>104</v>
      </c>
      <c r="H879" t="s">
        <v>105</v>
      </c>
      <c r="I879" t="s">
        <v>52</v>
      </c>
      <c r="J879" t="s">
        <v>106</v>
      </c>
      <c r="K879" t="s">
        <v>29</v>
      </c>
      <c r="L879" t="s">
        <v>3953</v>
      </c>
      <c r="M879" t="s">
        <v>3954</v>
      </c>
      <c r="N879" t="s">
        <v>2828</v>
      </c>
      <c r="O879" t="s">
        <v>47</v>
      </c>
      <c r="P879" t="s">
        <v>3955</v>
      </c>
      <c r="Q879" t="s">
        <v>232</v>
      </c>
      <c r="R879" s="29" t="s">
        <v>3956</v>
      </c>
      <c r="S879">
        <v>0.5</v>
      </c>
      <c r="T879">
        <v>6739</v>
      </c>
      <c r="U879">
        <v>124.95</v>
      </c>
      <c r="V879">
        <v>6863.95</v>
      </c>
    </row>
    <row r="880" spans="1:22" x14ac:dyDescent="0.3">
      <c r="A880">
        <v>186607</v>
      </c>
      <c r="B880">
        <v>455181785</v>
      </c>
      <c r="C880" t="s">
        <v>3957</v>
      </c>
      <c r="D880" s="9" t="s">
        <v>3958</v>
      </c>
      <c r="E880" t="s">
        <v>2825</v>
      </c>
      <c r="F880" t="s">
        <v>531</v>
      </c>
      <c r="G880" t="s">
        <v>104</v>
      </c>
      <c r="H880" t="s">
        <v>105</v>
      </c>
      <c r="I880" t="s">
        <v>52</v>
      </c>
      <c r="J880" t="s">
        <v>106</v>
      </c>
      <c r="K880" t="s">
        <v>29</v>
      </c>
      <c r="L880" t="s">
        <v>3959</v>
      </c>
      <c r="M880" t="s">
        <v>3960</v>
      </c>
      <c r="N880" t="s">
        <v>2828</v>
      </c>
      <c r="O880" t="s">
        <v>47</v>
      </c>
      <c r="P880" t="s">
        <v>3961</v>
      </c>
      <c r="Q880" t="s">
        <v>166</v>
      </c>
      <c r="R880" s="29" t="s">
        <v>426</v>
      </c>
      <c r="S880">
        <v>0.73</v>
      </c>
      <c r="T880">
        <v>6455</v>
      </c>
      <c r="U880">
        <v>124.95</v>
      </c>
      <c r="V880">
        <v>6579.95</v>
      </c>
    </row>
    <row r="881" spans="1:22" x14ac:dyDescent="0.3">
      <c r="A881">
        <v>186607</v>
      </c>
      <c r="B881">
        <v>455164807</v>
      </c>
      <c r="C881" t="s">
        <v>3962</v>
      </c>
      <c r="D881" s="9" t="s">
        <v>3963</v>
      </c>
      <c r="E881" t="s">
        <v>2825</v>
      </c>
      <c r="F881" t="s">
        <v>531</v>
      </c>
      <c r="G881" t="s">
        <v>104</v>
      </c>
      <c r="H881" t="s">
        <v>105</v>
      </c>
      <c r="I881" t="s">
        <v>52</v>
      </c>
      <c r="J881" t="s">
        <v>106</v>
      </c>
      <c r="K881" t="s">
        <v>29</v>
      </c>
      <c r="L881" t="s">
        <v>3964</v>
      </c>
      <c r="M881" t="s">
        <v>3965</v>
      </c>
      <c r="N881" t="s">
        <v>2828</v>
      </c>
      <c r="O881" t="s">
        <v>47</v>
      </c>
      <c r="P881" t="s">
        <v>3966</v>
      </c>
      <c r="Q881" t="s">
        <v>85</v>
      </c>
      <c r="R881" s="29" t="s">
        <v>340</v>
      </c>
      <c r="S881">
        <v>1.53</v>
      </c>
      <c r="T881">
        <v>6488</v>
      </c>
      <c r="U881">
        <v>249.9</v>
      </c>
      <c r="V881">
        <v>6737.9</v>
      </c>
    </row>
    <row r="882" spans="1:22" x14ac:dyDescent="0.3">
      <c r="A882">
        <v>186607</v>
      </c>
      <c r="B882">
        <v>455037940</v>
      </c>
      <c r="C882" t="s">
        <v>3967</v>
      </c>
      <c r="D882" s="9" t="s">
        <v>3968</v>
      </c>
      <c r="E882" t="s">
        <v>2825</v>
      </c>
      <c r="F882" t="s">
        <v>531</v>
      </c>
      <c r="G882" t="s">
        <v>104</v>
      </c>
      <c r="H882" t="s">
        <v>105</v>
      </c>
      <c r="I882" t="s">
        <v>52</v>
      </c>
      <c r="J882" t="s">
        <v>106</v>
      </c>
      <c r="K882" t="s">
        <v>29</v>
      </c>
      <c r="L882" t="s">
        <v>3969</v>
      </c>
      <c r="M882" t="s">
        <v>100</v>
      </c>
      <c r="N882" t="s">
        <v>2828</v>
      </c>
      <c r="O882" t="s">
        <v>47</v>
      </c>
      <c r="P882" t="s">
        <v>3970</v>
      </c>
      <c r="Q882" t="s">
        <v>68</v>
      </c>
      <c r="R882" s="29" t="s">
        <v>128</v>
      </c>
      <c r="S882">
        <v>1.34</v>
      </c>
      <c r="T882">
        <v>4191</v>
      </c>
      <c r="U882">
        <v>124.95</v>
      </c>
      <c r="V882">
        <v>4315.95</v>
      </c>
    </row>
    <row r="883" spans="1:22" x14ac:dyDescent="0.3">
      <c r="A883">
        <v>186607</v>
      </c>
      <c r="B883">
        <v>455037947</v>
      </c>
      <c r="C883" t="s">
        <v>3971</v>
      </c>
      <c r="D883" s="9" t="s">
        <v>3972</v>
      </c>
      <c r="E883" t="s">
        <v>2825</v>
      </c>
      <c r="F883" t="s">
        <v>531</v>
      </c>
      <c r="G883" t="s">
        <v>104</v>
      </c>
      <c r="H883" t="s">
        <v>105</v>
      </c>
      <c r="I883" t="s">
        <v>52</v>
      </c>
      <c r="J883" t="s">
        <v>106</v>
      </c>
      <c r="K883" t="s">
        <v>29</v>
      </c>
      <c r="L883" t="s">
        <v>3973</v>
      </c>
      <c r="M883" t="s">
        <v>3974</v>
      </c>
      <c r="N883" t="s">
        <v>2828</v>
      </c>
      <c r="O883" t="s">
        <v>47</v>
      </c>
      <c r="P883" t="s">
        <v>3975</v>
      </c>
      <c r="Q883" t="s">
        <v>185</v>
      </c>
      <c r="R883" s="29" t="s">
        <v>128</v>
      </c>
      <c r="S883">
        <v>1.43</v>
      </c>
      <c r="T883">
        <v>7222</v>
      </c>
      <c r="U883">
        <v>249.9</v>
      </c>
      <c r="V883">
        <v>7471.9</v>
      </c>
    </row>
    <row r="884" spans="1:22" x14ac:dyDescent="0.3">
      <c r="A884">
        <v>186607</v>
      </c>
      <c r="B884">
        <v>455037943</v>
      </c>
      <c r="C884" t="s">
        <v>3976</v>
      </c>
      <c r="D884" s="9" t="s">
        <v>3977</v>
      </c>
      <c r="E884" t="s">
        <v>2825</v>
      </c>
      <c r="F884" t="s">
        <v>531</v>
      </c>
      <c r="G884" t="s">
        <v>104</v>
      </c>
      <c r="H884" t="s">
        <v>105</v>
      </c>
      <c r="I884" t="s">
        <v>52</v>
      </c>
      <c r="J884" t="s">
        <v>106</v>
      </c>
      <c r="K884" t="s">
        <v>29</v>
      </c>
      <c r="L884" t="s">
        <v>3978</v>
      </c>
      <c r="M884" t="s">
        <v>3979</v>
      </c>
      <c r="N884" t="s">
        <v>2828</v>
      </c>
      <c r="O884" t="s">
        <v>47</v>
      </c>
      <c r="P884" t="s">
        <v>3980</v>
      </c>
      <c r="Q884" t="s">
        <v>91</v>
      </c>
      <c r="R884" s="29" t="s">
        <v>128</v>
      </c>
      <c r="S884">
        <v>2.2400000000000002</v>
      </c>
      <c r="T884">
        <v>9149</v>
      </c>
      <c r="U884">
        <v>374.85</v>
      </c>
      <c r="V884">
        <v>9523.85</v>
      </c>
    </row>
    <row r="885" spans="1:22" x14ac:dyDescent="0.3">
      <c r="A885">
        <v>186607</v>
      </c>
      <c r="B885">
        <v>454971875</v>
      </c>
      <c r="C885" t="s">
        <v>3981</v>
      </c>
      <c r="D885" s="9" t="s">
        <v>3982</v>
      </c>
      <c r="E885" t="s">
        <v>2825</v>
      </c>
      <c r="F885" t="s">
        <v>531</v>
      </c>
      <c r="G885" t="s">
        <v>104</v>
      </c>
      <c r="H885" t="s">
        <v>105</v>
      </c>
      <c r="I885" t="s">
        <v>52</v>
      </c>
      <c r="J885" t="s">
        <v>106</v>
      </c>
      <c r="K885" t="s">
        <v>29</v>
      </c>
      <c r="L885" t="s">
        <v>392</v>
      </c>
      <c r="M885" t="s">
        <v>3983</v>
      </c>
      <c r="N885" t="s">
        <v>2828</v>
      </c>
      <c r="O885" t="s">
        <v>47</v>
      </c>
      <c r="P885" t="s">
        <v>3984</v>
      </c>
      <c r="Q885" t="s">
        <v>89</v>
      </c>
      <c r="R885" s="29" t="s">
        <v>372</v>
      </c>
      <c r="S885">
        <v>0.79</v>
      </c>
      <c r="T885">
        <v>4755</v>
      </c>
      <c r="U885">
        <v>124.95</v>
      </c>
      <c r="V885">
        <v>4879.95</v>
      </c>
    </row>
    <row r="886" spans="1:22" x14ac:dyDescent="0.3">
      <c r="A886">
        <v>186607</v>
      </c>
      <c r="B886">
        <v>454997044</v>
      </c>
      <c r="C886" t="s">
        <v>3985</v>
      </c>
      <c r="D886" s="9" t="s">
        <v>3986</v>
      </c>
      <c r="E886" t="s">
        <v>2825</v>
      </c>
      <c r="F886" t="s">
        <v>531</v>
      </c>
      <c r="G886" t="s">
        <v>104</v>
      </c>
      <c r="H886" t="s">
        <v>105</v>
      </c>
      <c r="I886" t="s">
        <v>52</v>
      </c>
      <c r="J886" t="s">
        <v>106</v>
      </c>
      <c r="K886" t="s">
        <v>29</v>
      </c>
      <c r="L886" t="s">
        <v>3987</v>
      </c>
      <c r="M886" t="s">
        <v>3988</v>
      </c>
      <c r="N886" t="s">
        <v>2828</v>
      </c>
      <c r="O886" t="s">
        <v>47</v>
      </c>
      <c r="P886" t="s">
        <v>3989</v>
      </c>
      <c r="Q886" t="s">
        <v>89</v>
      </c>
      <c r="R886" s="29" t="s">
        <v>3990</v>
      </c>
      <c r="S886">
        <v>0.82</v>
      </c>
      <c r="T886">
        <v>4755</v>
      </c>
      <c r="U886">
        <v>124.95</v>
      </c>
      <c r="V886">
        <v>4879.95</v>
      </c>
    </row>
    <row r="887" spans="1:22" x14ac:dyDescent="0.3">
      <c r="A887">
        <v>186607</v>
      </c>
      <c r="B887">
        <v>454997028</v>
      </c>
      <c r="C887" t="s">
        <v>3991</v>
      </c>
      <c r="D887" s="9" t="s">
        <v>3992</v>
      </c>
      <c r="E887" t="s">
        <v>2825</v>
      </c>
      <c r="F887" t="s">
        <v>531</v>
      </c>
      <c r="G887" t="s">
        <v>104</v>
      </c>
      <c r="H887" t="s">
        <v>105</v>
      </c>
      <c r="I887" t="s">
        <v>52</v>
      </c>
      <c r="J887" t="s">
        <v>106</v>
      </c>
      <c r="K887" t="s">
        <v>29</v>
      </c>
      <c r="L887" t="s">
        <v>3993</v>
      </c>
      <c r="M887" t="s">
        <v>3994</v>
      </c>
      <c r="N887" t="s">
        <v>2828</v>
      </c>
      <c r="O887" t="s">
        <v>47</v>
      </c>
      <c r="P887" t="s">
        <v>3995</v>
      </c>
      <c r="Q887" t="s">
        <v>83</v>
      </c>
      <c r="R887" s="29" t="s">
        <v>273</v>
      </c>
      <c r="S887">
        <v>1.46</v>
      </c>
      <c r="T887">
        <v>6488</v>
      </c>
      <c r="U887">
        <v>249.9</v>
      </c>
      <c r="V887">
        <v>6737.9</v>
      </c>
    </row>
    <row r="888" spans="1:22" x14ac:dyDescent="0.3">
      <c r="A888">
        <v>186607</v>
      </c>
      <c r="B888">
        <v>454946618</v>
      </c>
      <c r="C888" t="s">
        <v>3996</v>
      </c>
      <c r="D888" s="9" t="s">
        <v>3997</v>
      </c>
      <c r="E888" t="s">
        <v>2825</v>
      </c>
      <c r="F888" t="s">
        <v>531</v>
      </c>
      <c r="G888" t="s">
        <v>104</v>
      </c>
      <c r="H888" t="s">
        <v>105</v>
      </c>
      <c r="I888" t="s">
        <v>52</v>
      </c>
      <c r="J888" t="s">
        <v>106</v>
      </c>
      <c r="K888" t="s">
        <v>29</v>
      </c>
      <c r="L888" t="s">
        <v>3998</v>
      </c>
      <c r="M888" t="s">
        <v>3999</v>
      </c>
      <c r="N888" t="s">
        <v>2828</v>
      </c>
      <c r="O888" t="s">
        <v>47</v>
      </c>
      <c r="P888" t="s">
        <v>4000</v>
      </c>
      <c r="Q888" t="s">
        <v>158</v>
      </c>
      <c r="R888" s="29" t="s">
        <v>355</v>
      </c>
      <c r="S888">
        <v>1.39</v>
      </c>
      <c r="T888">
        <v>9149</v>
      </c>
      <c r="U888">
        <v>249.9</v>
      </c>
      <c r="V888">
        <v>9398.9</v>
      </c>
    </row>
    <row r="889" spans="1:22" x14ac:dyDescent="0.3">
      <c r="A889">
        <v>186607</v>
      </c>
      <c r="B889">
        <v>454911851</v>
      </c>
      <c r="C889" t="s">
        <v>4001</v>
      </c>
      <c r="D889" s="9" t="s">
        <v>4002</v>
      </c>
      <c r="E889" t="s">
        <v>2825</v>
      </c>
      <c r="F889" t="s">
        <v>531</v>
      </c>
      <c r="G889" t="s">
        <v>104</v>
      </c>
      <c r="H889" t="s">
        <v>105</v>
      </c>
      <c r="I889" t="s">
        <v>52</v>
      </c>
      <c r="J889" t="s">
        <v>106</v>
      </c>
      <c r="K889" t="s">
        <v>29</v>
      </c>
      <c r="L889" t="s">
        <v>4003</v>
      </c>
      <c r="M889" t="s">
        <v>4004</v>
      </c>
      <c r="N889" t="s">
        <v>2828</v>
      </c>
      <c r="O889" t="s">
        <v>47</v>
      </c>
      <c r="P889" t="s">
        <v>4005</v>
      </c>
      <c r="Q889" t="s">
        <v>252</v>
      </c>
      <c r="R889" s="29" t="s">
        <v>407</v>
      </c>
      <c r="S889">
        <v>0.77</v>
      </c>
      <c r="T889">
        <v>6997</v>
      </c>
      <c r="U889">
        <v>124.95</v>
      </c>
      <c r="V889">
        <v>7121.95</v>
      </c>
    </row>
    <row r="890" spans="1:22" x14ac:dyDescent="0.3">
      <c r="A890">
        <v>186607</v>
      </c>
      <c r="B890">
        <v>454774946</v>
      </c>
      <c r="C890" t="s">
        <v>4006</v>
      </c>
      <c r="D890" s="9" t="s">
        <v>4007</v>
      </c>
      <c r="E890" t="s">
        <v>2825</v>
      </c>
      <c r="F890" t="s">
        <v>531</v>
      </c>
      <c r="G890" t="s">
        <v>104</v>
      </c>
      <c r="H890" t="s">
        <v>105</v>
      </c>
      <c r="I890" t="s">
        <v>52</v>
      </c>
      <c r="J890" t="s">
        <v>106</v>
      </c>
      <c r="K890" t="s">
        <v>29</v>
      </c>
      <c r="L890" t="s">
        <v>4008</v>
      </c>
      <c r="M890" t="s">
        <v>4009</v>
      </c>
      <c r="N890" t="s">
        <v>2828</v>
      </c>
      <c r="O890" t="s">
        <v>47</v>
      </c>
      <c r="P890" t="s">
        <v>4010</v>
      </c>
      <c r="Q890" t="s">
        <v>83</v>
      </c>
      <c r="R890" s="29" t="s">
        <v>4011</v>
      </c>
      <c r="S890">
        <v>0.82</v>
      </c>
      <c r="T890">
        <v>5641</v>
      </c>
      <c r="U890">
        <v>124.95</v>
      </c>
      <c r="V890">
        <v>5765.95</v>
      </c>
    </row>
    <row r="891" spans="1:22" x14ac:dyDescent="0.3">
      <c r="A891">
        <v>186607</v>
      </c>
      <c r="B891">
        <v>454639757</v>
      </c>
      <c r="C891" t="s">
        <v>4012</v>
      </c>
      <c r="D891" s="9" t="s">
        <v>4013</v>
      </c>
      <c r="E891" t="s">
        <v>2825</v>
      </c>
      <c r="F891" t="s">
        <v>531</v>
      </c>
      <c r="G891" t="s">
        <v>104</v>
      </c>
      <c r="H891" t="s">
        <v>105</v>
      </c>
      <c r="I891" t="s">
        <v>52</v>
      </c>
      <c r="J891" t="s">
        <v>106</v>
      </c>
      <c r="K891" t="s">
        <v>29</v>
      </c>
      <c r="L891" t="s">
        <v>4014</v>
      </c>
      <c r="M891" t="s">
        <v>4015</v>
      </c>
      <c r="N891" t="s">
        <v>2828</v>
      </c>
      <c r="O891" t="s">
        <v>47</v>
      </c>
      <c r="P891" t="s">
        <v>4016</v>
      </c>
      <c r="Q891" t="s">
        <v>68</v>
      </c>
      <c r="R891" s="29" t="s">
        <v>264</v>
      </c>
      <c r="S891">
        <v>0.76</v>
      </c>
      <c r="T891">
        <v>3963</v>
      </c>
      <c r="U891">
        <v>124.95</v>
      </c>
      <c r="V891">
        <v>4087.95</v>
      </c>
    </row>
    <row r="892" spans="1:22" x14ac:dyDescent="0.3">
      <c r="A892">
        <v>186607</v>
      </c>
      <c r="B892">
        <v>454639782</v>
      </c>
      <c r="C892" t="s">
        <v>4017</v>
      </c>
      <c r="D892" s="9" t="s">
        <v>4018</v>
      </c>
      <c r="E892" t="s">
        <v>2825</v>
      </c>
      <c r="F892" t="s">
        <v>531</v>
      </c>
      <c r="G892" t="s">
        <v>104</v>
      </c>
      <c r="H892" t="s">
        <v>105</v>
      </c>
      <c r="I892" t="s">
        <v>52</v>
      </c>
      <c r="J892" t="s">
        <v>106</v>
      </c>
      <c r="K892" t="s">
        <v>29</v>
      </c>
      <c r="L892" t="s">
        <v>4019</v>
      </c>
      <c r="M892" t="s">
        <v>4020</v>
      </c>
      <c r="N892" t="s">
        <v>2828</v>
      </c>
      <c r="O892" t="s">
        <v>47</v>
      </c>
      <c r="P892" t="s">
        <v>4021</v>
      </c>
      <c r="Q892" t="s">
        <v>222</v>
      </c>
      <c r="R892" s="29" t="s">
        <v>264</v>
      </c>
      <c r="S892">
        <v>0.81</v>
      </c>
      <c r="T892">
        <v>6246</v>
      </c>
      <c r="U892">
        <v>124.95</v>
      </c>
      <c r="V892">
        <v>6370.95</v>
      </c>
    </row>
    <row r="893" spans="1:22" x14ac:dyDescent="0.3">
      <c r="A893">
        <v>186607</v>
      </c>
      <c r="B893">
        <v>454615365</v>
      </c>
      <c r="C893" t="s">
        <v>4022</v>
      </c>
      <c r="D893" s="9" t="s">
        <v>4023</v>
      </c>
      <c r="E893" t="s">
        <v>2825</v>
      </c>
      <c r="F893" t="s">
        <v>531</v>
      </c>
      <c r="G893" t="s">
        <v>104</v>
      </c>
      <c r="H893" t="s">
        <v>105</v>
      </c>
      <c r="I893" t="s">
        <v>52</v>
      </c>
      <c r="J893" t="s">
        <v>106</v>
      </c>
      <c r="K893" t="s">
        <v>29</v>
      </c>
      <c r="L893" t="s">
        <v>4024</v>
      </c>
      <c r="M893" t="s">
        <v>4025</v>
      </c>
      <c r="N893" t="s">
        <v>2828</v>
      </c>
      <c r="O893" t="s">
        <v>47</v>
      </c>
      <c r="P893" t="s">
        <v>4026</v>
      </c>
      <c r="Q893" t="s">
        <v>85</v>
      </c>
      <c r="R893" s="29" t="s">
        <v>522</v>
      </c>
      <c r="S893">
        <v>0.76</v>
      </c>
      <c r="T893">
        <v>5641</v>
      </c>
      <c r="U893">
        <v>124.95</v>
      </c>
      <c r="V893">
        <v>5765.95</v>
      </c>
    </row>
    <row r="894" spans="1:22" x14ac:dyDescent="0.3">
      <c r="A894">
        <v>186607</v>
      </c>
      <c r="B894">
        <v>454466718</v>
      </c>
      <c r="C894" t="s">
        <v>4027</v>
      </c>
      <c r="D894" s="9" t="s">
        <v>4028</v>
      </c>
      <c r="E894" t="s">
        <v>2825</v>
      </c>
      <c r="F894" t="s">
        <v>531</v>
      </c>
      <c r="G894" t="s">
        <v>104</v>
      </c>
      <c r="H894" t="s">
        <v>105</v>
      </c>
      <c r="I894" t="s">
        <v>52</v>
      </c>
      <c r="J894" t="s">
        <v>106</v>
      </c>
      <c r="K894" t="s">
        <v>29</v>
      </c>
      <c r="L894" t="s">
        <v>4029</v>
      </c>
      <c r="M894" t="s">
        <v>4030</v>
      </c>
      <c r="N894" t="s">
        <v>2828</v>
      </c>
      <c r="O894" t="s">
        <v>47</v>
      </c>
      <c r="P894" t="s">
        <v>4031</v>
      </c>
      <c r="Q894" t="s">
        <v>101</v>
      </c>
      <c r="R894" s="29" t="s">
        <v>346</v>
      </c>
      <c r="S894">
        <v>0.8</v>
      </c>
      <c r="T894">
        <v>7085</v>
      </c>
      <c r="U894">
        <v>124.95</v>
      </c>
      <c r="V894">
        <v>7209.95</v>
      </c>
    </row>
    <row r="895" spans="1:22" x14ac:dyDescent="0.3">
      <c r="A895">
        <v>186607</v>
      </c>
      <c r="B895">
        <v>454588423</v>
      </c>
      <c r="C895" t="s">
        <v>4032</v>
      </c>
      <c r="D895" s="9" t="s">
        <v>4033</v>
      </c>
      <c r="E895" t="s">
        <v>2825</v>
      </c>
      <c r="F895" t="s">
        <v>531</v>
      </c>
      <c r="G895" t="s">
        <v>104</v>
      </c>
      <c r="H895" t="s">
        <v>105</v>
      </c>
      <c r="I895" t="s">
        <v>52</v>
      </c>
      <c r="J895" t="s">
        <v>106</v>
      </c>
      <c r="K895" t="s">
        <v>29</v>
      </c>
      <c r="L895" t="s">
        <v>4034</v>
      </c>
      <c r="M895" t="s">
        <v>4035</v>
      </c>
      <c r="N895" t="s">
        <v>2828</v>
      </c>
      <c r="O895" t="s">
        <v>47</v>
      </c>
      <c r="P895" t="s">
        <v>4036</v>
      </c>
      <c r="Q895" t="s">
        <v>85</v>
      </c>
      <c r="R895" s="29" t="s">
        <v>136</v>
      </c>
      <c r="S895">
        <v>0.78</v>
      </c>
      <c r="T895">
        <v>5641</v>
      </c>
      <c r="U895">
        <v>124.95</v>
      </c>
      <c r="V895">
        <v>5765.95</v>
      </c>
    </row>
    <row r="896" spans="1:22" x14ac:dyDescent="0.3">
      <c r="A896">
        <v>186607</v>
      </c>
      <c r="B896">
        <v>454540343</v>
      </c>
      <c r="C896" t="s">
        <v>4037</v>
      </c>
      <c r="D896" s="9" t="s">
        <v>4038</v>
      </c>
      <c r="E896" t="s">
        <v>2825</v>
      </c>
      <c r="F896" t="s">
        <v>531</v>
      </c>
      <c r="G896" t="s">
        <v>104</v>
      </c>
      <c r="H896" t="s">
        <v>105</v>
      </c>
      <c r="I896" t="s">
        <v>52</v>
      </c>
      <c r="J896" t="s">
        <v>106</v>
      </c>
      <c r="K896" t="s">
        <v>29</v>
      </c>
      <c r="L896" t="s">
        <v>4039</v>
      </c>
      <c r="M896" t="s">
        <v>4040</v>
      </c>
      <c r="N896" t="s">
        <v>2828</v>
      </c>
      <c r="O896" t="s">
        <v>47</v>
      </c>
      <c r="P896" t="s">
        <v>4041</v>
      </c>
      <c r="Q896" t="s">
        <v>94</v>
      </c>
      <c r="R896" s="29" t="s">
        <v>343</v>
      </c>
      <c r="S896">
        <v>1.49</v>
      </c>
      <c r="T896">
        <v>7784</v>
      </c>
      <c r="U896">
        <v>249.9</v>
      </c>
      <c r="V896">
        <v>8033.9</v>
      </c>
    </row>
    <row r="897" spans="1:22" x14ac:dyDescent="0.3">
      <c r="A897">
        <v>186607</v>
      </c>
      <c r="B897">
        <v>454289854</v>
      </c>
      <c r="C897" t="s">
        <v>4042</v>
      </c>
      <c r="D897" s="9" t="s">
        <v>4043</v>
      </c>
      <c r="E897" t="s">
        <v>2825</v>
      </c>
      <c r="F897" t="s">
        <v>531</v>
      </c>
      <c r="G897" t="s">
        <v>110</v>
      </c>
      <c r="H897" t="s">
        <v>111</v>
      </c>
      <c r="I897" t="s">
        <v>52</v>
      </c>
      <c r="J897" t="s">
        <v>112</v>
      </c>
      <c r="K897" t="s">
        <v>29</v>
      </c>
      <c r="L897" t="s">
        <v>113</v>
      </c>
      <c r="M897" t="s">
        <v>4044</v>
      </c>
      <c r="N897" t="s">
        <v>2828</v>
      </c>
      <c r="O897" t="s">
        <v>47</v>
      </c>
      <c r="P897" t="s">
        <v>4045</v>
      </c>
      <c r="Q897" t="s">
        <v>295</v>
      </c>
      <c r="R897" s="29" t="s">
        <v>481</v>
      </c>
      <c r="S897">
        <v>8.2100000000000009</v>
      </c>
      <c r="T897">
        <v>24424</v>
      </c>
      <c r="U897">
        <v>0</v>
      </c>
      <c r="V897">
        <v>24424</v>
      </c>
    </row>
    <row r="898" spans="1:22" x14ac:dyDescent="0.3">
      <c r="A898">
        <v>186607</v>
      </c>
      <c r="B898">
        <v>454409046</v>
      </c>
      <c r="C898" t="s">
        <v>4046</v>
      </c>
      <c r="D898" s="9" t="s">
        <v>4047</v>
      </c>
      <c r="E898" t="s">
        <v>2825</v>
      </c>
      <c r="F898" t="s">
        <v>531</v>
      </c>
      <c r="G898" t="s">
        <v>110</v>
      </c>
      <c r="H898" t="s">
        <v>111</v>
      </c>
      <c r="I898" t="s">
        <v>52</v>
      </c>
      <c r="J898" t="s">
        <v>112</v>
      </c>
      <c r="K898" t="s">
        <v>29</v>
      </c>
      <c r="L898" t="s">
        <v>113</v>
      </c>
      <c r="M898" t="s">
        <v>4048</v>
      </c>
      <c r="N898" t="s">
        <v>2828</v>
      </c>
      <c r="O898" t="s">
        <v>47</v>
      </c>
      <c r="P898" t="s">
        <v>4049</v>
      </c>
      <c r="Q898" t="s">
        <v>216</v>
      </c>
      <c r="R898" s="29" t="s">
        <v>137</v>
      </c>
      <c r="S898">
        <v>2.67</v>
      </c>
      <c r="T898">
        <v>7296</v>
      </c>
      <c r="U898">
        <v>0</v>
      </c>
      <c r="V898">
        <v>7296</v>
      </c>
    </row>
    <row r="899" spans="1:22" x14ac:dyDescent="0.3">
      <c r="A899">
        <v>186607</v>
      </c>
      <c r="B899">
        <v>454251463</v>
      </c>
      <c r="C899" t="s">
        <v>4050</v>
      </c>
      <c r="D899" s="9" t="s">
        <v>4051</v>
      </c>
      <c r="E899" t="s">
        <v>2825</v>
      </c>
      <c r="F899" t="s">
        <v>531</v>
      </c>
      <c r="G899" t="s">
        <v>110</v>
      </c>
      <c r="H899" t="s">
        <v>111</v>
      </c>
      <c r="I899" t="s">
        <v>52</v>
      </c>
      <c r="J899" t="s">
        <v>112</v>
      </c>
      <c r="K899" t="s">
        <v>29</v>
      </c>
      <c r="L899" t="s">
        <v>113</v>
      </c>
      <c r="M899" t="s">
        <v>4052</v>
      </c>
      <c r="N899" t="s">
        <v>2828</v>
      </c>
      <c r="O899" t="s">
        <v>47</v>
      </c>
      <c r="P899" t="s">
        <v>4053</v>
      </c>
      <c r="Q899" t="s">
        <v>181</v>
      </c>
      <c r="R899" s="29" t="s">
        <v>4054</v>
      </c>
      <c r="S899">
        <v>1.08</v>
      </c>
      <c r="T899">
        <v>6370</v>
      </c>
      <c r="U899">
        <v>0</v>
      </c>
      <c r="V899">
        <v>6370</v>
      </c>
    </row>
    <row r="900" spans="1:22" x14ac:dyDescent="0.3">
      <c r="A900">
        <v>186607</v>
      </c>
      <c r="B900">
        <v>454289859</v>
      </c>
      <c r="C900" t="s">
        <v>4055</v>
      </c>
      <c r="D900" s="9" t="s">
        <v>4056</v>
      </c>
      <c r="E900" t="s">
        <v>2825</v>
      </c>
      <c r="F900" t="s">
        <v>531</v>
      </c>
      <c r="G900" t="s">
        <v>110</v>
      </c>
      <c r="H900" t="s">
        <v>111</v>
      </c>
      <c r="I900" t="s">
        <v>52</v>
      </c>
      <c r="J900" t="s">
        <v>112</v>
      </c>
      <c r="K900" t="s">
        <v>29</v>
      </c>
      <c r="L900" t="s">
        <v>113</v>
      </c>
      <c r="M900" t="s">
        <v>4057</v>
      </c>
      <c r="N900" t="s">
        <v>2828</v>
      </c>
      <c r="O900" t="s">
        <v>47</v>
      </c>
      <c r="P900" t="s">
        <v>4058</v>
      </c>
      <c r="Q900" t="s">
        <v>237</v>
      </c>
      <c r="R900" s="29" t="s">
        <v>481</v>
      </c>
      <c r="S900">
        <v>1.05</v>
      </c>
      <c r="T900">
        <v>4072</v>
      </c>
      <c r="U900">
        <v>0</v>
      </c>
      <c r="V900">
        <v>4072</v>
      </c>
    </row>
    <row r="901" spans="1:22" x14ac:dyDescent="0.3">
      <c r="A901">
        <v>186607</v>
      </c>
      <c r="B901">
        <v>454678625</v>
      </c>
      <c r="C901" t="s">
        <v>4059</v>
      </c>
      <c r="D901" s="9" t="s">
        <v>4060</v>
      </c>
      <c r="E901" t="s">
        <v>2825</v>
      </c>
      <c r="F901" t="s">
        <v>531</v>
      </c>
      <c r="G901" t="s">
        <v>110</v>
      </c>
      <c r="H901" t="s">
        <v>111</v>
      </c>
      <c r="I901" t="s">
        <v>52</v>
      </c>
      <c r="J901" t="s">
        <v>112</v>
      </c>
      <c r="K901" t="s">
        <v>29</v>
      </c>
      <c r="L901" t="s">
        <v>113</v>
      </c>
      <c r="M901" t="s">
        <v>130</v>
      </c>
      <c r="N901" t="s">
        <v>2828</v>
      </c>
      <c r="O901" t="s">
        <v>47</v>
      </c>
      <c r="P901" t="s">
        <v>4061</v>
      </c>
      <c r="Q901" t="s">
        <v>75</v>
      </c>
      <c r="R901" s="29" t="s">
        <v>301</v>
      </c>
      <c r="S901">
        <v>4.07</v>
      </c>
      <c r="T901">
        <v>4718</v>
      </c>
      <c r="U901">
        <v>0</v>
      </c>
      <c r="V901">
        <v>4718</v>
      </c>
    </row>
    <row r="902" spans="1:22" x14ac:dyDescent="0.3">
      <c r="A902">
        <v>186607</v>
      </c>
      <c r="B902">
        <v>454798018</v>
      </c>
      <c r="C902" t="s">
        <v>4062</v>
      </c>
      <c r="D902" s="9" t="s">
        <v>4063</v>
      </c>
      <c r="E902" t="s">
        <v>2825</v>
      </c>
      <c r="F902" t="s">
        <v>531</v>
      </c>
      <c r="G902" t="s">
        <v>110</v>
      </c>
      <c r="H902" t="s">
        <v>111</v>
      </c>
      <c r="I902" t="s">
        <v>52</v>
      </c>
      <c r="J902" t="s">
        <v>112</v>
      </c>
      <c r="K902" t="s">
        <v>29</v>
      </c>
      <c r="L902" t="s">
        <v>113</v>
      </c>
      <c r="M902" t="s">
        <v>4064</v>
      </c>
      <c r="N902" t="s">
        <v>2828</v>
      </c>
      <c r="O902" t="s">
        <v>47</v>
      </c>
      <c r="P902" t="s">
        <v>4065</v>
      </c>
      <c r="Q902" t="s">
        <v>155</v>
      </c>
      <c r="R902" s="29" t="s">
        <v>345</v>
      </c>
      <c r="S902">
        <v>3.9</v>
      </c>
      <c r="T902">
        <v>4718</v>
      </c>
      <c r="U902">
        <v>0</v>
      </c>
      <c r="V902">
        <v>4718</v>
      </c>
    </row>
    <row r="903" spans="1:22" x14ac:dyDescent="0.3">
      <c r="A903">
        <v>186607</v>
      </c>
      <c r="B903">
        <v>454678617</v>
      </c>
      <c r="C903" t="s">
        <v>4066</v>
      </c>
      <c r="D903" s="9" t="s">
        <v>4067</v>
      </c>
      <c r="E903" t="s">
        <v>2825</v>
      </c>
      <c r="F903" t="s">
        <v>531</v>
      </c>
      <c r="G903" t="s">
        <v>110</v>
      </c>
      <c r="H903" t="s">
        <v>111</v>
      </c>
      <c r="I903" t="s">
        <v>52</v>
      </c>
      <c r="J903" t="s">
        <v>112</v>
      </c>
      <c r="K903" t="s">
        <v>29</v>
      </c>
      <c r="L903" t="s">
        <v>113</v>
      </c>
      <c r="M903" t="s">
        <v>4068</v>
      </c>
      <c r="N903" t="s">
        <v>2828</v>
      </c>
      <c r="O903" t="s">
        <v>47</v>
      </c>
      <c r="P903" t="s">
        <v>4069</v>
      </c>
      <c r="Q903" t="s">
        <v>75</v>
      </c>
      <c r="R903" s="29" t="s">
        <v>301</v>
      </c>
      <c r="S903">
        <v>2.92</v>
      </c>
      <c r="T903">
        <v>4335</v>
      </c>
      <c r="U903">
        <v>0</v>
      </c>
      <c r="V903">
        <v>4335</v>
      </c>
    </row>
    <row r="904" spans="1:22" x14ac:dyDescent="0.3">
      <c r="A904">
        <v>186607</v>
      </c>
      <c r="B904">
        <v>454474728</v>
      </c>
      <c r="C904" t="s">
        <v>4070</v>
      </c>
      <c r="D904" s="9" t="s">
        <v>4071</v>
      </c>
      <c r="E904" t="s">
        <v>2825</v>
      </c>
      <c r="F904" t="s">
        <v>531</v>
      </c>
      <c r="G904" t="s">
        <v>110</v>
      </c>
      <c r="H904" t="s">
        <v>111</v>
      </c>
      <c r="I904" t="s">
        <v>52</v>
      </c>
      <c r="J904" t="s">
        <v>112</v>
      </c>
      <c r="K904" t="s">
        <v>29</v>
      </c>
      <c r="L904" t="s">
        <v>113</v>
      </c>
      <c r="M904" t="s">
        <v>4072</v>
      </c>
      <c r="N904" t="s">
        <v>2828</v>
      </c>
      <c r="O904" t="s">
        <v>47</v>
      </c>
      <c r="P904" t="s">
        <v>4073</v>
      </c>
      <c r="Q904" t="s">
        <v>174</v>
      </c>
      <c r="R904" s="29" t="s">
        <v>4074</v>
      </c>
      <c r="S904">
        <v>3.71</v>
      </c>
      <c r="T904">
        <v>7747</v>
      </c>
      <c r="U904">
        <v>0</v>
      </c>
      <c r="V904">
        <v>7747</v>
      </c>
    </row>
    <row r="905" spans="1:22" x14ac:dyDescent="0.3">
      <c r="A905">
        <v>186607</v>
      </c>
      <c r="B905">
        <v>454420515</v>
      </c>
      <c r="C905" t="s">
        <v>4075</v>
      </c>
      <c r="D905" s="9" t="s">
        <v>4076</v>
      </c>
      <c r="E905" t="s">
        <v>2825</v>
      </c>
      <c r="F905" t="s">
        <v>531</v>
      </c>
      <c r="G905" t="s">
        <v>110</v>
      </c>
      <c r="H905" t="s">
        <v>111</v>
      </c>
      <c r="I905" t="s">
        <v>52</v>
      </c>
      <c r="J905" t="s">
        <v>112</v>
      </c>
      <c r="K905" t="s">
        <v>29</v>
      </c>
      <c r="L905" t="s">
        <v>113</v>
      </c>
      <c r="M905" t="s">
        <v>4077</v>
      </c>
      <c r="N905" t="s">
        <v>2828</v>
      </c>
      <c r="O905" t="s">
        <v>47</v>
      </c>
      <c r="P905" t="s">
        <v>4078</v>
      </c>
      <c r="Q905" t="s">
        <v>92</v>
      </c>
      <c r="R905" s="29" t="s">
        <v>4079</v>
      </c>
      <c r="S905">
        <v>5.66</v>
      </c>
      <c r="T905">
        <v>7589</v>
      </c>
      <c r="U905">
        <v>0</v>
      </c>
      <c r="V905">
        <v>7589</v>
      </c>
    </row>
    <row r="906" spans="1:22" x14ac:dyDescent="0.3">
      <c r="A906">
        <v>186607</v>
      </c>
      <c r="B906">
        <v>454510982</v>
      </c>
      <c r="C906" t="s">
        <v>4080</v>
      </c>
      <c r="D906" s="9" t="s">
        <v>4081</v>
      </c>
      <c r="E906" t="s">
        <v>2825</v>
      </c>
      <c r="F906" t="s">
        <v>531</v>
      </c>
      <c r="G906" t="s">
        <v>110</v>
      </c>
      <c r="H906" t="s">
        <v>111</v>
      </c>
      <c r="I906" t="s">
        <v>52</v>
      </c>
      <c r="J906" t="s">
        <v>112</v>
      </c>
      <c r="K906" t="s">
        <v>29</v>
      </c>
      <c r="L906" t="s">
        <v>113</v>
      </c>
      <c r="M906" t="s">
        <v>4082</v>
      </c>
      <c r="N906" t="s">
        <v>2828</v>
      </c>
      <c r="O906" t="s">
        <v>47</v>
      </c>
      <c r="P906" t="s">
        <v>4083</v>
      </c>
      <c r="Q906" t="s">
        <v>155</v>
      </c>
      <c r="R906" s="29" t="s">
        <v>4084</v>
      </c>
      <c r="S906">
        <v>2.88</v>
      </c>
      <c r="T906">
        <v>4335</v>
      </c>
      <c r="U906">
        <v>0</v>
      </c>
      <c r="V906">
        <v>4335</v>
      </c>
    </row>
    <row r="907" spans="1:22" x14ac:dyDescent="0.3">
      <c r="A907">
        <v>186607</v>
      </c>
      <c r="B907">
        <v>454511019</v>
      </c>
      <c r="C907" t="s">
        <v>4085</v>
      </c>
      <c r="D907" s="9" t="s">
        <v>4086</v>
      </c>
      <c r="E907" t="s">
        <v>2825</v>
      </c>
      <c r="F907" t="s">
        <v>531</v>
      </c>
      <c r="G907" t="s">
        <v>110</v>
      </c>
      <c r="H907" t="s">
        <v>111</v>
      </c>
      <c r="I907" t="s">
        <v>52</v>
      </c>
      <c r="J907" t="s">
        <v>112</v>
      </c>
      <c r="K907" t="s">
        <v>29</v>
      </c>
      <c r="L907" t="s">
        <v>113</v>
      </c>
      <c r="M907" t="s">
        <v>4087</v>
      </c>
      <c r="N907" t="s">
        <v>2828</v>
      </c>
      <c r="O907" t="s">
        <v>47</v>
      </c>
      <c r="P907" t="s">
        <v>4088</v>
      </c>
      <c r="Q907" t="s">
        <v>224</v>
      </c>
      <c r="R907" s="29" t="s">
        <v>4089</v>
      </c>
      <c r="S907">
        <v>4.17</v>
      </c>
      <c r="T907">
        <v>7747</v>
      </c>
      <c r="U907">
        <v>0</v>
      </c>
      <c r="V907">
        <v>7747</v>
      </c>
    </row>
    <row r="908" spans="1:22" x14ac:dyDescent="0.3">
      <c r="A908">
        <v>186607</v>
      </c>
      <c r="B908">
        <v>454510978</v>
      </c>
      <c r="C908" t="s">
        <v>4090</v>
      </c>
      <c r="D908" s="9" t="s">
        <v>4091</v>
      </c>
      <c r="E908" t="s">
        <v>2825</v>
      </c>
      <c r="F908" t="s">
        <v>531</v>
      </c>
      <c r="G908" t="s">
        <v>110</v>
      </c>
      <c r="H908" t="s">
        <v>111</v>
      </c>
      <c r="I908" t="s">
        <v>52</v>
      </c>
      <c r="J908" t="s">
        <v>112</v>
      </c>
      <c r="K908" t="s">
        <v>29</v>
      </c>
      <c r="L908" t="s">
        <v>113</v>
      </c>
      <c r="M908" t="s">
        <v>4092</v>
      </c>
      <c r="N908" t="s">
        <v>2828</v>
      </c>
      <c r="O908" t="s">
        <v>47</v>
      </c>
      <c r="P908" t="s">
        <v>4093</v>
      </c>
      <c r="Q908" t="s">
        <v>141</v>
      </c>
      <c r="R908" s="29" t="s">
        <v>4084</v>
      </c>
      <c r="S908">
        <v>4.83</v>
      </c>
      <c r="T908">
        <v>7747</v>
      </c>
      <c r="U908">
        <v>0</v>
      </c>
      <c r="V908">
        <v>7747</v>
      </c>
    </row>
    <row r="909" spans="1:22" x14ac:dyDescent="0.3">
      <c r="A909">
        <v>186607</v>
      </c>
      <c r="B909">
        <v>454466682</v>
      </c>
      <c r="C909" t="s">
        <v>4094</v>
      </c>
      <c r="D909" s="9" t="s">
        <v>4095</v>
      </c>
      <c r="E909" t="s">
        <v>2825</v>
      </c>
      <c r="F909" t="s">
        <v>531</v>
      </c>
      <c r="G909" t="s">
        <v>110</v>
      </c>
      <c r="H909" t="s">
        <v>111</v>
      </c>
      <c r="I909" t="s">
        <v>52</v>
      </c>
      <c r="J909" t="s">
        <v>112</v>
      </c>
      <c r="K909" t="s">
        <v>29</v>
      </c>
      <c r="L909" t="s">
        <v>113</v>
      </c>
      <c r="M909" t="s">
        <v>405</v>
      </c>
      <c r="N909" t="s">
        <v>2828</v>
      </c>
      <c r="O909" t="s">
        <v>47</v>
      </c>
      <c r="P909" t="s">
        <v>4096</v>
      </c>
      <c r="Q909" t="s">
        <v>191</v>
      </c>
      <c r="R909" s="29" t="s">
        <v>346</v>
      </c>
      <c r="S909">
        <v>5.63</v>
      </c>
      <c r="T909">
        <v>7747</v>
      </c>
      <c r="U909">
        <v>0</v>
      </c>
      <c r="V909">
        <v>7747</v>
      </c>
    </row>
    <row r="910" spans="1:22" x14ac:dyDescent="0.3">
      <c r="A910">
        <v>186607</v>
      </c>
      <c r="B910">
        <v>454466711</v>
      </c>
      <c r="C910" t="s">
        <v>4097</v>
      </c>
      <c r="D910" s="9" t="s">
        <v>4098</v>
      </c>
      <c r="E910" t="s">
        <v>2825</v>
      </c>
      <c r="F910" t="s">
        <v>531</v>
      </c>
      <c r="G910" t="s">
        <v>110</v>
      </c>
      <c r="H910" t="s">
        <v>111</v>
      </c>
      <c r="I910" t="s">
        <v>52</v>
      </c>
      <c r="J910" t="s">
        <v>112</v>
      </c>
      <c r="K910" t="s">
        <v>29</v>
      </c>
      <c r="L910" t="s">
        <v>113</v>
      </c>
      <c r="M910" t="s">
        <v>4099</v>
      </c>
      <c r="N910" t="s">
        <v>2828</v>
      </c>
      <c r="O910" t="s">
        <v>47</v>
      </c>
      <c r="P910" t="s">
        <v>4100</v>
      </c>
      <c r="Q910" t="s">
        <v>178</v>
      </c>
      <c r="R910" s="29" t="s">
        <v>346</v>
      </c>
      <c r="S910">
        <v>3.96</v>
      </c>
      <c r="T910">
        <v>4718</v>
      </c>
      <c r="U910">
        <v>0</v>
      </c>
      <c r="V910">
        <v>4718</v>
      </c>
    </row>
    <row r="911" spans="1:22" x14ac:dyDescent="0.3">
      <c r="A911">
        <v>186607</v>
      </c>
      <c r="B911">
        <v>454466668</v>
      </c>
      <c r="C911" t="s">
        <v>4101</v>
      </c>
      <c r="D911" s="9" t="s">
        <v>4102</v>
      </c>
      <c r="E911" t="s">
        <v>2825</v>
      </c>
      <c r="F911" t="s">
        <v>531</v>
      </c>
      <c r="G911" t="s">
        <v>110</v>
      </c>
      <c r="H911" t="s">
        <v>111</v>
      </c>
      <c r="I911" t="s">
        <v>52</v>
      </c>
      <c r="J911" t="s">
        <v>112</v>
      </c>
      <c r="K911" t="s">
        <v>29</v>
      </c>
      <c r="L911" t="s">
        <v>113</v>
      </c>
      <c r="M911" t="s">
        <v>4103</v>
      </c>
      <c r="N911" t="s">
        <v>2828</v>
      </c>
      <c r="O911" t="s">
        <v>47</v>
      </c>
      <c r="P911" t="s">
        <v>4104</v>
      </c>
      <c r="Q911" t="s">
        <v>46</v>
      </c>
      <c r="R911" s="29" t="s">
        <v>346</v>
      </c>
      <c r="S911">
        <v>3.3</v>
      </c>
      <c r="T911">
        <v>4718</v>
      </c>
      <c r="U911">
        <v>0</v>
      </c>
      <c r="V911">
        <v>4718</v>
      </c>
    </row>
    <row r="912" spans="1:22" x14ac:dyDescent="0.3">
      <c r="A912">
        <v>186607</v>
      </c>
      <c r="B912">
        <v>454540354</v>
      </c>
      <c r="C912" t="s">
        <v>4105</v>
      </c>
      <c r="D912" s="9" t="s">
        <v>4106</v>
      </c>
      <c r="E912" t="s">
        <v>2825</v>
      </c>
      <c r="F912" t="s">
        <v>531</v>
      </c>
      <c r="G912" t="s">
        <v>110</v>
      </c>
      <c r="H912" t="s">
        <v>111</v>
      </c>
      <c r="I912" t="s">
        <v>52</v>
      </c>
      <c r="J912" t="s">
        <v>112</v>
      </c>
      <c r="K912" t="s">
        <v>29</v>
      </c>
      <c r="L912" t="s">
        <v>113</v>
      </c>
      <c r="M912" t="s">
        <v>310</v>
      </c>
      <c r="N912" t="s">
        <v>2828</v>
      </c>
      <c r="O912" t="s">
        <v>47</v>
      </c>
      <c r="P912" t="s">
        <v>4107</v>
      </c>
      <c r="Q912" t="s">
        <v>64</v>
      </c>
      <c r="R912" s="29" t="s">
        <v>343</v>
      </c>
      <c r="S912">
        <v>4.2300000000000004</v>
      </c>
      <c r="T912">
        <v>7414</v>
      </c>
      <c r="U912">
        <v>0</v>
      </c>
      <c r="V912">
        <v>7414</v>
      </c>
    </row>
    <row r="913" spans="1:22" x14ac:dyDescent="0.3">
      <c r="A913">
        <v>186607</v>
      </c>
      <c r="B913">
        <v>454510994</v>
      </c>
      <c r="C913" t="s">
        <v>4108</v>
      </c>
      <c r="D913" s="9" t="s">
        <v>4109</v>
      </c>
      <c r="E913" t="s">
        <v>2825</v>
      </c>
      <c r="F913" t="s">
        <v>531</v>
      </c>
      <c r="G913" t="s">
        <v>110</v>
      </c>
      <c r="H913" t="s">
        <v>111</v>
      </c>
      <c r="I913" t="s">
        <v>52</v>
      </c>
      <c r="J913" t="s">
        <v>112</v>
      </c>
      <c r="K913" t="s">
        <v>29</v>
      </c>
      <c r="L913" t="s">
        <v>113</v>
      </c>
      <c r="M913" t="s">
        <v>4110</v>
      </c>
      <c r="N913" t="s">
        <v>2828</v>
      </c>
      <c r="O913" t="s">
        <v>47</v>
      </c>
      <c r="P913" t="s">
        <v>4111</v>
      </c>
      <c r="Q913" t="s">
        <v>66</v>
      </c>
      <c r="R913" s="29" t="s">
        <v>4084</v>
      </c>
      <c r="S913">
        <v>4.3</v>
      </c>
      <c r="T913">
        <v>7747</v>
      </c>
      <c r="U913">
        <v>0</v>
      </c>
      <c r="V913">
        <v>7747</v>
      </c>
    </row>
    <row r="914" spans="1:22" x14ac:dyDescent="0.3">
      <c r="A914">
        <v>186607</v>
      </c>
      <c r="B914">
        <v>454466726</v>
      </c>
      <c r="C914" t="s">
        <v>4112</v>
      </c>
      <c r="D914" s="9" t="s">
        <v>4113</v>
      </c>
      <c r="E914" t="s">
        <v>2825</v>
      </c>
      <c r="F914" t="s">
        <v>531</v>
      </c>
      <c r="G914" t="s">
        <v>110</v>
      </c>
      <c r="H914" t="s">
        <v>111</v>
      </c>
      <c r="I914" t="s">
        <v>52</v>
      </c>
      <c r="J914" t="s">
        <v>112</v>
      </c>
      <c r="K914" t="s">
        <v>29</v>
      </c>
      <c r="L914" t="s">
        <v>113</v>
      </c>
      <c r="M914" t="s">
        <v>4114</v>
      </c>
      <c r="N914" t="s">
        <v>2828</v>
      </c>
      <c r="O914" t="s">
        <v>47</v>
      </c>
      <c r="P914" t="s">
        <v>4115</v>
      </c>
      <c r="Q914" t="s">
        <v>225</v>
      </c>
      <c r="R914" s="29" t="s">
        <v>346</v>
      </c>
      <c r="S914">
        <v>3.9</v>
      </c>
      <c r="T914">
        <v>4718</v>
      </c>
      <c r="U914">
        <v>0</v>
      </c>
      <c r="V914">
        <v>4718</v>
      </c>
    </row>
    <row r="915" spans="1:22" x14ac:dyDescent="0.3">
      <c r="A915">
        <v>186607</v>
      </c>
      <c r="B915">
        <v>454466657</v>
      </c>
      <c r="C915" t="s">
        <v>4116</v>
      </c>
      <c r="D915" s="9" t="s">
        <v>4117</v>
      </c>
      <c r="E915" t="s">
        <v>2825</v>
      </c>
      <c r="F915" t="s">
        <v>531</v>
      </c>
      <c r="G915" t="s">
        <v>110</v>
      </c>
      <c r="H915" t="s">
        <v>111</v>
      </c>
      <c r="I915" t="s">
        <v>52</v>
      </c>
      <c r="J915" t="s">
        <v>112</v>
      </c>
      <c r="K915" t="s">
        <v>29</v>
      </c>
      <c r="L915" t="s">
        <v>113</v>
      </c>
      <c r="M915" t="s">
        <v>275</v>
      </c>
      <c r="N915" t="s">
        <v>2828</v>
      </c>
      <c r="O915" t="s">
        <v>47</v>
      </c>
      <c r="P915" t="s">
        <v>4118</v>
      </c>
      <c r="Q915" t="s">
        <v>155</v>
      </c>
      <c r="R915" s="29" t="s">
        <v>346</v>
      </c>
      <c r="S915">
        <v>2.76</v>
      </c>
      <c r="T915">
        <v>4335</v>
      </c>
      <c r="U915">
        <v>0</v>
      </c>
      <c r="V915">
        <v>4335</v>
      </c>
    </row>
    <row r="916" spans="1:22" x14ac:dyDescent="0.3">
      <c r="A916">
        <v>186607</v>
      </c>
      <c r="B916">
        <v>454836091</v>
      </c>
      <c r="C916" t="s">
        <v>4119</v>
      </c>
      <c r="D916" s="9" t="s">
        <v>4120</v>
      </c>
      <c r="E916" t="s">
        <v>2825</v>
      </c>
      <c r="F916" t="s">
        <v>531</v>
      </c>
      <c r="G916" t="s">
        <v>110</v>
      </c>
      <c r="H916" t="s">
        <v>111</v>
      </c>
      <c r="I916" t="s">
        <v>52</v>
      </c>
      <c r="J916" t="s">
        <v>112</v>
      </c>
      <c r="K916" t="s">
        <v>29</v>
      </c>
      <c r="L916" t="s">
        <v>113</v>
      </c>
      <c r="M916" t="s">
        <v>117</v>
      </c>
      <c r="N916" t="s">
        <v>2828</v>
      </c>
      <c r="O916" t="s">
        <v>47</v>
      </c>
      <c r="P916" t="s">
        <v>4121</v>
      </c>
      <c r="Q916" t="s">
        <v>75</v>
      </c>
      <c r="R916" s="29" t="s">
        <v>440</v>
      </c>
      <c r="S916">
        <v>2.4900000000000002</v>
      </c>
      <c r="T916">
        <v>4335</v>
      </c>
      <c r="U916">
        <v>0</v>
      </c>
      <c r="V916">
        <v>4335</v>
      </c>
    </row>
    <row r="917" spans="1:22" x14ac:dyDescent="0.3">
      <c r="A917">
        <v>186607</v>
      </c>
      <c r="B917">
        <v>454661785</v>
      </c>
      <c r="C917" t="s">
        <v>4122</v>
      </c>
      <c r="D917" s="9" t="s">
        <v>4123</v>
      </c>
      <c r="E917" t="s">
        <v>2825</v>
      </c>
      <c r="F917" t="s">
        <v>531</v>
      </c>
      <c r="G917" t="s">
        <v>110</v>
      </c>
      <c r="H917" t="s">
        <v>111</v>
      </c>
      <c r="I917" t="s">
        <v>52</v>
      </c>
      <c r="J917" t="s">
        <v>112</v>
      </c>
      <c r="K917" t="s">
        <v>29</v>
      </c>
      <c r="L917" t="s">
        <v>113</v>
      </c>
      <c r="M917" t="s">
        <v>4124</v>
      </c>
      <c r="N917" t="s">
        <v>2828</v>
      </c>
      <c r="O917" t="s">
        <v>47</v>
      </c>
      <c r="P917" t="s">
        <v>4125</v>
      </c>
      <c r="Q917" t="s">
        <v>192</v>
      </c>
      <c r="R917" s="29" t="s">
        <v>287</v>
      </c>
      <c r="S917">
        <v>7.83</v>
      </c>
      <c r="T917">
        <v>9287</v>
      </c>
      <c r="U917">
        <v>0</v>
      </c>
      <c r="V917">
        <v>9287</v>
      </c>
    </row>
    <row r="918" spans="1:22" x14ac:dyDescent="0.3">
      <c r="A918">
        <v>186607</v>
      </c>
      <c r="B918">
        <v>454588410</v>
      </c>
      <c r="C918" t="s">
        <v>4126</v>
      </c>
      <c r="D918" s="9" t="s">
        <v>4127</v>
      </c>
      <c r="E918" t="s">
        <v>2825</v>
      </c>
      <c r="F918" t="s">
        <v>531</v>
      </c>
      <c r="G918" t="s">
        <v>110</v>
      </c>
      <c r="H918" t="s">
        <v>111</v>
      </c>
      <c r="I918" t="s">
        <v>52</v>
      </c>
      <c r="J918" t="s">
        <v>112</v>
      </c>
      <c r="K918" t="s">
        <v>29</v>
      </c>
      <c r="L918" t="s">
        <v>113</v>
      </c>
      <c r="M918" t="s">
        <v>4128</v>
      </c>
      <c r="N918" t="s">
        <v>2828</v>
      </c>
      <c r="O918" t="s">
        <v>47</v>
      </c>
      <c r="P918" t="s">
        <v>4129</v>
      </c>
      <c r="Q918" t="s">
        <v>46</v>
      </c>
      <c r="R918" s="29" t="s">
        <v>289</v>
      </c>
      <c r="S918">
        <v>4.91</v>
      </c>
      <c r="T918">
        <v>4718</v>
      </c>
      <c r="U918">
        <v>0</v>
      </c>
      <c r="V918">
        <v>4718</v>
      </c>
    </row>
    <row r="919" spans="1:22" x14ac:dyDescent="0.3">
      <c r="A919">
        <v>186607</v>
      </c>
      <c r="B919">
        <v>454568405</v>
      </c>
      <c r="C919" t="s">
        <v>4130</v>
      </c>
      <c r="D919" s="9" t="s">
        <v>4131</v>
      </c>
      <c r="E919" t="s">
        <v>2825</v>
      </c>
      <c r="F919" t="s">
        <v>531</v>
      </c>
      <c r="G919" t="s">
        <v>110</v>
      </c>
      <c r="H919" t="s">
        <v>111</v>
      </c>
      <c r="I919" t="s">
        <v>52</v>
      </c>
      <c r="J919" t="s">
        <v>112</v>
      </c>
      <c r="K919" t="s">
        <v>29</v>
      </c>
      <c r="L919" t="s">
        <v>113</v>
      </c>
      <c r="M919" t="s">
        <v>4132</v>
      </c>
      <c r="N919" t="s">
        <v>2828</v>
      </c>
      <c r="O919" t="s">
        <v>47</v>
      </c>
      <c r="P919" t="s">
        <v>4133</v>
      </c>
      <c r="Q919" t="s">
        <v>267</v>
      </c>
      <c r="R919" s="29" t="s">
        <v>445</v>
      </c>
      <c r="S919">
        <v>5.0199999999999996</v>
      </c>
      <c r="T919">
        <v>7747</v>
      </c>
      <c r="U919">
        <v>0</v>
      </c>
      <c r="V919">
        <v>7747</v>
      </c>
    </row>
    <row r="920" spans="1:22" x14ac:dyDescent="0.3">
      <c r="A920">
        <v>186607</v>
      </c>
      <c r="B920">
        <v>454661778</v>
      </c>
      <c r="C920" t="s">
        <v>4134</v>
      </c>
      <c r="D920" s="9" t="s">
        <v>4135</v>
      </c>
      <c r="E920" t="s">
        <v>2825</v>
      </c>
      <c r="F920" t="s">
        <v>531</v>
      </c>
      <c r="G920" t="s">
        <v>110</v>
      </c>
      <c r="H920" t="s">
        <v>111</v>
      </c>
      <c r="I920" t="s">
        <v>52</v>
      </c>
      <c r="J920" t="s">
        <v>112</v>
      </c>
      <c r="K920" t="s">
        <v>29</v>
      </c>
      <c r="L920" t="s">
        <v>113</v>
      </c>
      <c r="M920" t="s">
        <v>4136</v>
      </c>
      <c r="N920" t="s">
        <v>2828</v>
      </c>
      <c r="O920" t="s">
        <v>47</v>
      </c>
      <c r="P920" t="s">
        <v>4137</v>
      </c>
      <c r="Q920" t="s">
        <v>155</v>
      </c>
      <c r="R920" s="29" t="s">
        <v>287</v>
      </c>
      <c r="S920">
        <v>3.28</v>
      </c>
      <c r="T920">
        <v>4718</v>
      </c>
      <c r="U920">
        <v>0</v>
      </c>
      <c r="V920">
        <v>4718</v>
      </c>
    </row>
    <row r="921" spans="1:22" x14ac:dyDescent="0.3">
      <c r="A921">
        <v>186607</v>
      </c>
      <c r="B921">
        <v>454639788</v>
      </c>
      <c r="C921" t="s">
        <v>4138</v>
      </c>
      <c r="D921" s="9" t="s">
        <v>4139</v>
      </c>
      <c r="E921" t="s">
        <v>2825</v>
      </c>
      <c r="F921" t="s">
        <v>531</v>
      </c>
      <c r="G921" t="s">
        <v>110</v>
      </c>
      <c r="H921" t="s">
        <v>111</v>
      </c>
      <c r="I921" t="s">
        <v>52</v>
      </c>
      <c r="J921" t="s">
        <v>112</v>
      </c>
      <c r="K921" t="s">
        <v>29</v>
      </c>
      <c r="L921" t="s">
        <v>113</v>
      </c>
      <c r="M921" t="s">
        <v>4140</v>
      </c>
      <c r="N921" t="s">
        <v>2828</v>
      </c>
      <c r="O921" t="s">
        <v>47</v>
      </c>
      <c r="P921" t="s">
        <v>4141</v>
      </c>
      <c r="Q921" t="s">
        <v>75</v>
      </c>
      <c r="R921" s="29" t="s">
        <v>264</v>
      </c>
      <c r="S921">
        <v>2.81</v>
      </c>
      <c r="T921">
        <v>4335</v>
      </c>
      <c r="U921">
        <v>0</v>
      </c>
      <c r="V921">
        <v>4335</v>
      </c>
    </row>
    <row r="922" spans="1:22" x14ac:dyDescent="0.3">
      <c r="A922">
        <v>186607</v>
      </c>
      <c r="B922">
        <v>454615344</v>
      </c>
      <c r="C922" t="s">
        <v>4142</v>
      </c>
      <c r="D922" s="9" t="s">
        <v>4143</v>
      </c>
      <c r="E922" t="s">
        <v>2825</v>
      </c>
      <c r="F922" t="s">
        <v>531</v>
      </c>
      <c r="G922" t="s">
        <v>110</v>
      </c>
      <c r="H922" t="s">
        <v>111</v>
      </c>
      <c r="I922" t="s">
        <v>52</v>
      </c>
      <c r="J922" t="s">
        <v>112</v>
      </c>
      <c r="K922" t="s">
        <v>29</v>
      </c>
      <c r="L922" t="s">
        <v>113</v>
      </c>
      <c r="M922" t="s">
        <v>4144</v>
      </c>
      <c r="N922" t="s">
        <v>2828</v>
      </c>
      <c r="O922" t="s">
        <v>47</v>
      </c>
      <c r="P922" t="s">
        <v>4145</v>
      </c>
      <c r="Q922" t="s">
        <v>46</v>
      </c>
      <c r="R922" s="29" t="s">
        <v>522</v>
      </c>
      <c r="S922">
        <v>2.1</v>
      </c>
      <c r="T922">
        <v>4335</v>
      </c>
      <c r="U922">
        <v>0</v>
      </c>
      <c r="V922">
        <v>4335</v>
      </c>
    </row>
    <row r="923" spans="1:22" x14ac:dyDescent="0.3">
      <c r="A923">
        <v>186607</v>
      </c>
      <c r="B923">
        <v>454568369</v>
      </c>
      <c r="C923" t="s">
        <v>4146</v>
      </c>
      <c r="D923" s="9" t="s">
        <v>4147</v>
      </c>
      <c r="E923" t="s">
        <v>2825</v>
      </c>
      <c r="F923" t="s">
        <v>531</v>
      </c>
      <c r="G923" t="s">
        <v>110</v>
      </c>
      <c r="H923" t="s">
        <v>111</v>
      </c>
      <c r="I923" t="s">
        <v>52</v>
      </c>
      <c r="J923" t="s">
        <v>112</v>
      </c>
      <c r="K923" t="s">
        <v>29</v>
      </c>
      <c r="L923" t="s">
        <v>113</v>
      </c>
      <c r="M923" t="s">
        <v>4148</v>
      </c>
      <c r="N923" t="s">
        <v>2828</v>
      </c>
      <c r="O923" t="s">
        <v>47</v>
      </c>
      <c r="P923" t="s">
        <v>4149</v>
      </c>
      <c r="Q923" t="s">
        <v>82</v>
      </c>
      <c r="R923" s="29" t="s">
        <v>410</v>
      </c>
      <c r="S923">
        <v>5.48</v>
      </c>
      <c r="T923">
        <v>4718</v>
      </c>
      <c r="U923">
        <v>0</v>
      </c>
      <c r="V923">
        <v>4718</v>
      </c>
    </row>
    <row r="924" spans="1:22" x14ac:dyDescent="0.3">
      <c r="A924">
        <v>186607</v>
      </c>
      <c r="B924">
        <v>454568410</v>
      </c>
      <c r="C924" t="s">
        <v>4150</v>
      </c>
      <c r="D924" s="9" t="s">
        <v>4151</v>
      </c>
      <c r="E924" t="s">
        <v>2825</v>
      </c>
      <c r="F924" t="s">
        <v>531</v>
      </c>
      <c r="G924" t="s">
        <v>110</v>
      </c>
      <c r="H924" t="s">
        <v>111</v>
      </c>
      <c r="I924" t="s">
        <v>52</v>
      </c>
      <c r="J924" t="s">
        <v>112</v>
      </c>
      <c r="K924" t="s">
        <v>29</v>
      </c>
      <c r="L924" t="s">
        <v>113</v>
      </c>
      <c r="M924" t="s">
        <v>4152</v>
      </c>
      <c r="N924" t="s">
        <v>2828</v>
      </c>
      <c r="O924" t="s">
        <v>47</v>
      </c>
      <c r="P924" t="s">
        <v>4153</v>
      </c>
      <c r="Q924" t="s">
        <v>75</v>
      </c>
      <c r="R924" s="29" t="s">
        <v>445</v>
      </c>
      <c r="S924">
        <v>4.67</v>
      </c>
      <c r="T924">
        <v>4718</v>
      </c>
      <c r="U924">
        <v>0</v>
      </c>
      <c r="V924">
        <v>4718</v>
      </c>
    </row>
    <row r="925" spans="1:22" x14ac:dyDescent="0.3">
      <c r="A925">
        <v>186607</v>
      </c>
      <c r="B925">
        <v>454661792</v>
      </c>
      <c r="C925" t="s">
        <v>4154</v>
      </c>
      <c r="D925" s="9" t="s">
        <v>4155</v>
      </c>
      <c r="E925" t="s">
        <v>2825</v>
      </c>
      <c r="F925" t="s">
        <v>531</v>
      </c>
      <c r="G925" t="s">
        <v>110</v>
      </c>
      <c r="H925" t="s">
        <v>111</v>
      </c>
      <c r="I925" t="s">
        <v>52</v>
      </c>
      <c r="J925" t="s">
        <v>112</v>
      </c>
      <c r="K925" t="s">
        <v>29</v>
      </c>
      <c r="L925" t="s">
        <v>113</v>
      </c>
      <c r="M925" t="s">
        <v>4156</v>
      </c>
      <c r="N925" t="s">
        <v>2828</v>
      </c>
      <c r="O925" t="s">
        <v>47</v>
      </c>
      <c r="P925" t="s">
        <v>4157</v>
      </c>
      <c r="Q925" t="s">
        <v>285</v>
      </c>
      <c r="R925" s="29" t="s">
        <v>287</v>
      </c>
      <c r="S925">
        <v>5</v>
      </c>
      <c r="T925">
        <v>13165</v>
      </c>
      <c r="U925">
        <v>0</v>
      </c>
      <c r="V925">
        <v>13165</v>
      </c>
    </row>
    <row r="926" spans="1:22" x14ac:dyDescent="0.3">
      <c r="A926">
        <v>186607</v>
      </c>
      <c r="B926">
        <v>454639769</v>
      </c>
      <c r="C926" t="s">
        <v>4158</v>
      </c>
      <c r="D926" s="9" t="s">
        <v>4159</v>
      </c>
      <c r="E926" t="s">
        <v>2825</v>
      </c>
      <c r="F926" t="s">
        <v>531</v>
      </c>
      <c r="G926" t="s">
        <v>110</v>
      </c>
      <c r="H926" t="s">
        <v>111</v>
      </c>
      <c r="I926" t="s">
        <v>52</v>
      </c>
      <c r="J926" t="s">
        <v>112</v>
      </c>
      <c r="K926" t="s">
        <v>29</v>
      </c>
      <c r="L926" t="s">
        <v>113</v>
      </c>
      <c r="M926" t="s">
        <v>4160</v>
      </c>
      <c r="N926" t="s">
        <v>2828</v>
      </c>
      <c r="O926" t="s">
        <v>47</v>
      </c>
      <c r="P926" t="s">
        <v>4161</v>
      </c>
      <c r="Q926" t="s">
        <v>75</v>
      </c>
      <c r="R926" s="29" t="s">
        <v>264</v>
      </c>
      <c r="S926">
        <v>2.12</v>
      </c>
      <c r="T926">
        <v>4335</v>
      </c>
      <c r="U926">
        <v>0</v>
      </c>
      <c r="V926">
        <v>4335</v>
      </c>
    </row>
    <row r="927" spans="1:22" x14ac:dyDescent="0.3">
      <c r="A927">
        <v>186607</v>
      </c>
      <c r="B927">
        <v>141821007</v>
      </c>
      <c r="C927" t="s">
        <v>4162</v>
      </c>
      <c r="D927" s="9" t="s">
        <v>4163</v>
      </c>
      <c r="E927" t="s">
        <v>2825</v>
      </c>
      <c r="F927" t="s">
        <v>531</v>
      </c>
      <c r="G927" t="s">
        <v>110</v>
      </c>
      <c r="H927" t="s">
        <v>111</v>
      </c>
      <c r="I927" t="s">
        <v>52</v>
      </c>
      <c r="J927" t="s">
        <v>112</v>
      </c>
      <c r="K927" t="s">
        <v>29</v>
      </c>
      <c r="L927" t="s">
        <v>113</v>
      </c>
      <c r="M927" t="s">
        <v>4164</v>
      </c>
      <c r="N927" t="s">
        <v>2828</v>
      </c>
      <c r="O927" t="s">
        <v>47</v>
      </c>
      <c r="P927" t="s">
        <v>4165</v>
      </c>
      <c r="Q927" t="s">
        <v>295</v>
      </c>
      <c r="R927" s="29" t="s">
        <v>467</v>
      </c>
      <c r="S927">
        <v>3.86</v>
      </c>
      <c r="T927">
        <v>19636</v>
      </c>
      <c r="U927">
        <v>0</v>
      </c>
      <c r="V927">
        <v>19636</v>
      </c>
    </row>
    <row r="928" spans="1:22" x14ac:dyDescent="0.3">
      <c r="A928">
        <v>186607</v>
      </c>
      <c r="B928">
        <v>454230781</v>
      </c>
      <c r="C928" t="s">
        <v>4166</v>
      </c>
      <c r="D928" s="9" t="s">
        <v>4167</v>
      </c>
      <c r="E928" t="s">
        <v>2825</v>
      </c>
      <c r="F928" t="s">
        <v>531</v>
      </c>
      <c r="G928" t="s">
        <v>110</v>
      </c>
      <c r="H928" t="s">
        <v>111</v>
      </c>
      <c r="I928" t="s">
        <v>52</v>
      </c>
      <c r="J928" t="s">
        <v>112</v>
      </c>
      <c r="K928" t="s">
        <v>29</v>
      </c>
      <c r="L928" t="s">
        <v>113</v>
      </c>
      <c r="M928" t="s">
        <v>4103</v>
      </c>
      <c r="N928" t="s">
        <v>2828</v>
      </c>
      <c r="O928" t="s">
        <v>47</v>
      </c>
      <c r="P928" t="s">
        <v>4104</v>
      </c>
      <c r="Q928" t="s">
        <v>46</v>
      </c>
      <c r="R928" s="29" t="s">
        <v>4168</v>
      </c>
      <c r="S928">
        <v>2.66</v>
      </c>
      <c r="T928">
        <v>4335</v>
      </c>
      <c r="U928">
        <v>0</v>
      </c>
      <c r="V928">
        <v>4335</v>
      </c>
    </row>
    <row r="929" spans="1:22" x14ac:dyDescent="0.3">
      <c r="A929">
        <v>186607</v>
      </c>
      <c r="B929">
        <v>454230790</v>
      </c>
      <c r="C929" t="s">
        <v>4169</v>
      </c>
      <c r="D929" s="9" t="s">
        <v>4170</v>
      </c>
      <c r="E929" t="s">
        <v>2825</v>
      </c>
      <c r="F929" t="s">
        <v>531</v>
      </c>
      <c r="G929" t="s">
        <v>110</v>
      </c>
      <c r="H929" t="s">
        <v>111</v>
      </c>
      <c r="I929" t="s">
        <v>52</v>
      </c>
      <c r="J929" t="s">
        <v>112</v>
      </c>
      <c r="K929" t="s">
        <v>29</v>
      </c>
      <c r="L929" t="s">
        <v>113</v>
      </c>
      <c r="M929" t="s">
        <v>4171</v>
      </c>
      <c r="N929" t="s">
        <v>2828</v>
      </c>
      <c r="O929" t="s">
        <v>47</v>
      </c>
      <c r="P929" t="s">
        <v>4172</v>
      </c>
      <c r="Q929" t="s">
        <v>64</v>
      </c>
      <c r="R929" s="29" t="s">
        <v>4168</v>
      </c>
      <c r="S929">
        <v>4.34</v>
      </c>
      <c r="T929">
        <v>7414</v>
      </c>
      <c r="U929">
        <v>0</v>
      </c>
      <c r="V929">
        <v>7414</v>
      </c>
    </row>
    <row r="930" spans="1:22" x14ac:dyDescent="0.3">
      <c r="A930">
        <v>186607</v>
      </c>
      <c r="B930">
        <v>455164796</v>
      </c>
      <c r="C930" t="s">
        <v>4173</v>
      </c>
      <c r="D930" s="9" t="s">
        <v>4174</v>
      </c>
      <c r="E930" t="s">
        <v>2825</v>
      </c>
      <c r="F930" t="s">
        <v>531</v>
      </c>
      <c r="G930" t="s">
        <v>110</v>
      </c>
      <c r="H930" t="s">
        <v>111</v>
      </c>
      <c r="I930" t="s">
        <v>52</v>
      </c>
      <c r="J930" t="s">
        <v>112</v>
      </c>
      <c r="K930" t="s">
        <v>29</v>
      </c>
      <c r="L930" t="s">
        <v>113</v>
      </c>
      <c r="M930" t="s">
        <v>4175</v>
      </c>
      <c r="N930" t="s">
        <v>2828</v>
      </c>
      <c r="O930" t="s">
        <v>47</v>
      </c>
      <c r="P930" t="s">
        <v>4176</v>
      </c>
      <c r="Q930" t="s">
        <v>151</v>
      </c>
      <c r="R930" s="29" t="s">
        <v>340</v>
      </c>
      <c r="S930">
        <v>10.93</v>
      </c>
      <c r="T930">
        <v>10217</v>
      </c>
      <c r="U930">
        <v>0</v>
      </c>
      <c r="V930">
        <v>10217</v>
      </c>
    </row>
    <row r="931" spans="1:22" x14ac:dyDescent="0.3">
      <c r="A931">
        <v>186607</v>
      </c>
      <c r="B931">
        <v>455181793</v>
      </c>
      <c r="C931" t="s">
        <v>4177</v>
      </c>
      <c r="D931" s="9" t="s">
        <v>4178</v>
      </c>
      <c r="E931" t="s">
        <v>2825</v>
      </c>
      <c r="F931" t="s">
        <v>531</v>
      </c>
      <c r="G931" t="s">
        <v>110</v>
      </c>
      <c r="H931" t="s">
        <v>111</v>
      </c>
      <c r="I931" t="s">
        <v>52</v>
      </c>
      <c r="J931" t="s">
        <v>112</v>
      </c>
      <c r="K931" t="s">
        <v>29</v>
      </c>
      <c r="L931" t="s">
        <v>113</v>
      </c>
      <c r="M931" t="s">
        <v>4179</v>
      </c>
      <c r="N931" t="s">
        <v>2828</v>
      </c>
      <c r="O931" t="s">
        <v>47</v>
      </c>
      <c r="P931" t="s">
        <v>4180</v>
      </c>
      <c r="Q931" t="s">
        <v>75</v>
      </c>
      <c r="R931" s="29" t="s">
        <v>426</v>
      </c>
      <c r="S931">
        <v>4.13</v>
      </c>
      <c r="T931">
        <v>4718</v>
      </c>
      <c r="U931">
        <v>0</v>
      </c>
      <c r="V931">
        <v>4718</v>
      </c>
    </row>
    <row r="932" spans="1:22" x14ac:dyDescent="0.3">
      <c r="A932">
        <v>186607</v>
      </c>
      <c r="B932">
        <v>455181792</v>
      </c>
      <c r="C932" t="s">
        <v>4181</v>
      </c>
      <c r="D932" s="9" t="s">
        <v>4182</v>
      </c>
      <c r="E932" t="s">
        <v>2825</v>
      </c>
      <c r="F932" t="s">
        <v>531</v>
      </c>
      <c r="G932" t="s">
        <v>110</v>
      </c>
      <c r="H932" t="s">
        <v>111</v>
      </c>
      <c r="I932" t="s">
        <v>52</v>
      </c>
      <c r="J932" t="s">
        <v>112</v>
      </c>
      <c r="K932" t="s">
        <v>29</v>
      </c>
      <c r="L932" t="s">
        <v>113</v>
      </c>
      <c r="M932" t="s">
        <v>4183</v>
      </c>
      <c r="N932" t="s">
        <v>2828</v>
      </c>
      <c r="O932" t="s">
        <v>47</v>
      </c>
      <c r="P932" t="s">
        <v>4184</v>
      </c>
      <c r="Q932" t="s">
        <v>75</v>
      </c>
      <c r="R932" s="29" t="s">
        <v>426</v>
      </c>
      <c r="S932">
        <v>2.69</v>
      </c>
      <c r="T932">
        <v>4335</v>
      </c>
      <c r="U932">
        <v>0</v>
      </c>
      <c r="V932">
        <v>4335</v>
      </c>
    </row>
    <row r="933" spans="1:22" x14ac:dyDescent="0.3">
      <c r="A933">
        <v>186607</v>
      </c>
      <c r="B933">
        <v>455074509</v>
      </c>
      <c r="C933" t="s">
        <v>4185</v>
      </c>
      <c r="D933" s="9" t="s">
        <v>4186</v>
      </c>
      <c r="E933" t="s">
        <v>2825</v>
      </c>
      <c r="F933" t="s">
        <v>531</v>
      </c>
      <c r="G933" t="s">
        <v>110</v>
      </c>
      <c r="H933" t="s">
        <v>111</v>
      </c>
      <c r="I933" t="s">
        <v>52</v>
      </c>
      <c r="J933" t="s">
        <v>112</v>
      </c>
      <c r="K933" t="s">
        <v>29</v>
      </c>
      <c r="L933" t="s">
        <v>113</v>
      </c>
      <c r="M933" t="s">
        <v>4187</v>
      </c>
      <c r="N933" t="s">
        <v>2828</v>
      </c>
      <c r="O933" t="s">
        <v>47</v>
      </c>
      <c r="P933" t="s">
        <v>4188</v>
      </c>
      <c r="Q933" t="s">
        <v>46</v>
      </c>
      <c r="R933" s="29" t="s">
        <v>482</v>
      </c>
      <c r="S933">
        <v>11.33</v>
      </c>
      <c r="T933">
        <v>5943</v>
      </c>
      <c r="U933">
        <v>0</v>
      </c>
      <c r="V933">
        <v>5943</v>
      </c>
    </row>
    <row r="934" spans="1:22" x14ac:dyDescent="0.3">
      <c r="A934">
        <v>186607</v>
      </c>
      <c r="B934">
        <v>455037939</v>
      </c>
      <c r="C934" t="s">
        <v>4189</v>
      </c>
      <c r="D934" s="9" t="s">
        <v>4190</v>
      </c>
      <c r="E934" t="s">
        <v>2825</v>
      </c>
      <c r="F934" t="s">
        <v>531</v>
      </c>
      <c r="G934" t="s">
        <v>110</v>
      </c>
      <c r="H934" t="s">
        <v>111</v>
      </c>
      <c r="I934" t="s">
        <v>52</v>
      </c>
      <c r="J934" t="s">
        <v>112</v>
      </c>
      <c r="K934" t="s">
        <v>29</v>
      </c>
      <c r="L934" t="s">
        <v>113</v>
      </c>
      <c r="M934" t="s">
        <v>3940</v>
      </c>
      <c r="N934" t="s">
        <v>2828</v>
      </c>
      <c r="O934" t="s">
        <v>47</v>
      </c>
      <c r="P934" t="s">
        <v>3941</v>
      </c>
      <c r="Q934" t="s">
        <v>141</v>
      </c>
      <c r="R934" s="29" t="s">
        <v>128</v>
      </c>
      <c r="S934">
        <v>2.6</v>
      </c>
      <c r="T934">
        <v>7619</v>
      </c>
      <c r="U934">
        <v>0</v>
      </c>
      <c r="V934">
        <v>7619</v>
      </c>
    </row>
    <row r="935" spans="1:22" x14ac:dyDescent="0.3">
      <c r="A935">
        <v>186607</v>
      </c>
      <c r="B935">
        <v>454997045</v>
      </c>
      <c r="C935" t="s">
        <v>4191</v>
      </c>
      <c r="D935" s="9" t="s">
        <v>4192</v>
      </c>
      <c r="E935" t="s">
        <v>2825</v>
      </c>
      <c r="F935" t="s">
        <v>531</v>
      </c>
      <c r="G935" t="s">
        <v>110</v>
      </c>
      <c r="H935" t="s">
        <v>111</v>
      </c>
      <c r="I935" t="s">
        <v>52</v>
      </c>
      <c r="J935" t="s">
        <v>112</v>
      </c>
      <c r="K935" t="s">
        <v>29</v>
      </c>
      <c r="L935" t="s">
        <v>113</v>
      </c>
      <c r="M935" t="s">
        <v>4193</v>
      </c>
      <c r="N935" t="s">
        <v>2828</v>
      </c>
      <c r="O935" t="s">
        <v>47</v>
      </c>
      <c r="P935" t="s">
        <v>4194</v>
      </c>
      <c r="Q935" t="s">
        <v>82</v>
      </c>
      <c r="R935" s="29" t="s">
        <v>3990</v>
      </c>
      <c r="S935">
        <v>2.0099999999999998</v>
      </c>
      <c r="T935">
        <v>4335</v>
      </c>
      <c r="U935">
        <v>0</v>
      </c>
      <c r="V935">
        <v>4335</v>
      </c>
    </row>
    <row r="936" spans="1:22" x14ac:dyDescent="0.3">
      <c r="A936">
        <v>186607</v>
      </c>
      <c r="B936">
        <v>455018002</v>
      </c>
      <c r="C936" t="s">
        <v>4195</v>
      </c>
      <c r="D936" s="9" t="s">
        <v>4196</v>
      </c>
      <c r="E936" t="s">
        <v>2825</v>
      </c>
      <c r="F936" t="s">
        <v>531</v>
      </c>
      <c r="G936" t="s">
        <v>110</v>
      </c>
      <c r="H936" t="s">
        <v>111</v>
      </c>
      <c r="I936" t="s">
        <v>52</v>
      </c>
      <c r="J936" t="s">
        <v>112</v>
      </c>
      <c r="K936" t="s">
        <v>29</v>
      </c>
      <c r="L936" t="s">
        <v>113</v>
      </c>
      <c r="M936" t="s">
        <v>4197</v>
      </c>
      <c r="N936" t="s">
        <v>2828</v>
      </c>
      <c r="O936" t="s">
        <v>47</v>
      </c>
      <c r="P936" t="s">
        <v>4198</v>
      </c>
      <c r="Q936" t="s">
        <v>238</v>
      </c>
      <c r="R936" s="29" t="s">
        <v>359</v>
      </c>
      <c r="S936">
        <v>5.1100000000000003</v>
      </c>
      <c r="T936">
        <v>11618</v>
      </c>
      <c r="U936">
        <v>0</v>
      </c>
      <c r="V936">
        <v>11618</v>
      </c>
    </row>
    <row r="937" spans="1:22" x14ac:dyDescent="0.3">
      <c r="A937">
        <v>186607</v>
      </c>
      <c r="B937">
        <v>454971873</v>
      </c>
      <c r="C937" t="s">
        <v>4199</v>
      </c>
      <c r="D937" s="9" t="s">
        <v>4200</v>
      </c>
      <c r="E937" t="s">
        <v>2825</v>
      </c>
      <c r="F937" t="s">
        <v>531</v>
      </c>
      <c r="G937" t="s">
        <v>110</v>
      </c>
      <c r="H937" t="s">
        <v>111</v>
      </c>
      <c r="I937" t="s">
        <v>52</v>
      </c>
      <c r="J937" t="s">
        <v>112</v>
      </c>
      <c r="K937" t="s">
        <v>29</v>
      </c>
      <c r="L937" t="s">
        <v>113</v>
      </c>
      <c r="M937" t="s">
        <v>468</v>
      </c>
      <c r="N937" t="s">
        <v>2828</v>
      </c>
      <c r="O937" t="s">
        <v>47</v>
      </c>
      <c r="P937" t="s">
        <v>4201</v>
      </c>
      <c r="Q937" t="s">
        <v>237</v>
      </c>
      <c r="R937" s="29" t="s">
        <v>372</v>
      </c>
      <c r="S937">
        <v>11.04</v>
      </c>
      <c r="T937">
        <v>5943</v>
      </c>
      <c r="U937">
        <v>0</v>
      </c>
      <c r="V937">
        <v>5943</v>
      </c>
    </row>
    <row r="938" spans="1:22" x14ac:dyDescent="0.3">
      <c r="A938">
        <v>186607</v>
      </c>
      <c r="B938">
        <v>454946599</v>
      </c>
      <c r="C938" t="s">
        <v>4202</v>
      </c>
      <c r="D938" s="9" t="s">
        <v>4203</v>
      </c>
      <c r="E938" t="s">
        <v>2825</v>
      </c>
      <c r="F938" t="s">
        <v>531</v>
      </c>
      <c r="G938" t="s">
        <v>110</v>
      </c>
      <c r="H938" t="s">
        <v>111</v>
      </c>
      <c r="I938" t="s">
        <v>52</v>
      </c>
      <c r="J938" t="s">
        <v>112</v>
      </c>
      <c r="K938" t="s">
        <v>29</v>
      </c>
      <c r="L938" t="s">
        <v>113</v>
      </c>
      <c r="M938" t="s">
        <v>4204</v>
      </c>
      <c r="N938" t="s">
        <v>2828</v>
      </c>
      <c r="O938" t="s">
        <v>47</v>
      </c>
      <c r="P938" t="s">
        <v>4205</v>
      </c>
      <c r="Q938" t="s">
        <v>144</v>
      </c>
      <c r="R938" s="29" t="s">
        <v>355</v>
      </c>
      <c r="S938">
        <v>4.87</v>
      </c>
      <c r="T938">
        <v>7513</v>
      </c>
      <c r="U938">
        <v>0</v>
      </c>
      <c r="V938">
        <v>7513</v>
      </c>
    </row>
    <row r="939" spans="1:22" x14ac:dyDescent="0.3">
      <c r="A939">
        <v>198256</v>
      </c>
      <c r="B939">
        <v>455024614</v>
      </c>
      <c r="C939" t="s">
        <v>4206</v>
      </c>
      <c r="D939" s="9">
        <v>270418206</v>
      </c>
      <c r="E939" t="s">
        <v>4207</v>
      </c>
      <c r="F939" t="s">
        <v>531</v>
      </c>
      <c r="G939" t="s">
        <v>30</v>
      </c>
      <c r="H939" t="s">
        <v>31</v>
      </c>
      <c r="I939" t="s">
        <v>52</v>
      </c>
      <c r="J939" t="s">
        <v>32</v>
      </c>
      <c r="K939" t="s">
        <v>29</v>
      </c>
      <c r="L939" t="s">
        <v>4208</v>
      </c>
      <c r="M939" t="s">
        <v>4209</v>
      </c>
      <c r="N939" t="s">
        <v>534</v>
      </c>
      <c r="O939" t="s">
        <v>39</v>
      </c>
      <c r="P939" t="s">
        <v>4210</v>
      </c>
      <c r="Q939" t="s">
        <v>206</v>
      </c>
      <c r="R939" s="29">
        <v>46160.561111111114</v>
      </c>
      <c r="S939">
        <v>1</v>
      </c>
      <c r="T939">
        <v>4721</v>
      </c>
      <c r="U939">
        <v>0</v>
      </c>
      <c r="V939">
        <v>4721</v>
      </c>
    </row>
    <row r="940" spans="1:22" x14ac:dyDescent="0.3">
      <c r="A940">
        <v>198256</v>
      </c>
      <c r="B940">
        <v>455061569</v>
      </c>
      <c r="C940" t="s">
        <v>4211</v>
      </c>
      <c r="D940" s="9">
        <v>270500769</v>
      </c>
      <c r="E940" t="s">
        <v>4207</v>
      </c>
      <c r="F940" t="s">
        <v>531</v>
      </c>
      <c r="G940" t="s">
        <v>30</v>
      </c>
      <c r="H940" t="s">
        <v>31</v>
      </c>
      <c r="I940" t="s">
        <v>52</v>
      </c>
      <c r="J940" t="s">
        <v>32</v>
      </c>
      <c r="K940" t="s">
        <v>29</v>
      </c>
      <c r="L940" t="s">
        <v>4212</v>
      </c>
      <c r="M940" t="s">
        <v>4213</v>
      </c>
      <c r="N940" t="s">
        <v>534</v>
      </c>
      <c r="O940" t="s">
        <v>39</v>
      </c>
      <c r="P940" t="s">
        <v>4214</v>
      </c>
      <c r="Q940" t="s">
        <v>34</v>
      </c>
      <c r="R940" s="29">
        <v>46161.571527777778</v>
      </c>
      <c r="S940">
        <v>0.42</v>
      </c>
      <c r="T940">
        <v>3339</v>
      </c>
      <c r="U940">
        <v>0</v>
      </c>
      <c r="V940">
        <v>3339</v>
      </c>
    </row>
    <row r="941" spans="1:22" x14ac:dyDescent="0.3">
      <c r="A941">
        <v>198256</v>
      </c>
      <c r="B941">
        <v>454965943</v>
      </c>
      <c r="C941" t="s">
        <v>4215</v>
      </c>
      <c r="D941" s="9">
        <v>270434042</v>
      </c>
      <c r="E941" t="s">
        <v>4207</v>
      </c>
      <c r="F941" t="s">
        <v>531</v>
      </c>
      <c r="G941" t="s">
        <v>30</v>
      </c>
      <c r="H941" t="s">
        <v>31</v>
      </c>
      <c r="I941" t="s">
        <v>52</v>
      </c>
      <c r="J941" t="s">
        <v>32</v>
      </c>
      <c r="K941" t="s">
        <v>29</v>
      </c>
      <c r="L941" t="s">
        <v>4216</v>
      </c>
      <c r="M941" t="s">
        <v>4217</v>
      </c>
      <c r="N941" t="s">
        <v>534</v>
      </c>
      <c r="O941" t="s">
        <v>39</v>
      </c>
      <c r="P941" t="s">
        <v>4218</v>
      </c>
      <c r="Q941" t="s">
        <v>192</v>
      </c>
      <c r="R941" s="29">
        <v>46157.913194444445</v>
      </c>
      <c r="S941">
        <v>0.4</v>
      </c>
      <c r="T941">
        <v>6385</v>
      </c>
      <c r="U941">
        <v>0</v>
      </c>
      <c r="V941">
        <v>6385</v>
      </c>
    </row>
    <row r="942" spans="1:22" x14ac:dyDescent="0.3">
      <c r="A942">
        <v>198256</v>
      </c>
      <c r="B942">
        <v>455088913</v>
      </c>
      <c r="C942" t="s">
        <v>4219</v>
      </c>
      <c r="D942" s="9">
        <v>270557582</v>
      </c>
      <c r="E942" t="s">
        <v>4207</v>
      </c>
      <c r="F942" t="s">
        <v>531</v>
      </c>
      <c r="G942" t="s">
        <v>30</v>
      </c>
      <c r="H942" t="s">
        <v>31</v>
      </c>
      <c r="I942" t="s">
        <v>52</v>
      </c>
      <c r="J942" t="s">
        <v>32</v>
      </c>
      <c r="K942" t="s">
        <v>29</v>
      </c>
      <c r="L942" t="s">
        <v>4220</v>
      </c>
      <c r="M942" t="s">
        <v>331</v>
      </c>
      <c r="N942" t="s">
        <v>534</v>
      </c>
      <c r="O942" t="s">
        <v>39</v>
      </c>
      <c r="P942" t="s">
        <v>4221</v>
      </c>
      <c r="Q942" t="s">
        <v>42</v>
      </c>
      <c r="R942" s="29">
        <v>46162.469444444447</v>
      </c>
      <c r="S942">
        <v>0.41</v>
      </c>
      <c r="T942">
        <v>3193</v>
      </c>
      <c r="U942">
        <v>0</v>
      </c>
      <c r="V942">
        <v>3193</v>
      </c>
    </row>
    <row r="943" spans="1:22" x14ac:dyDescent="0.3">
      <c r="A943">
        <v>198256</v>
      </c>
      <c r="B943">
        <v>455024591</v>
      </c>
      <c r="C943" t="s">
        <v>4222</v>
      </c>
      <c r="D943" s="9">
        <v>270418175</v>
      </c>
      <c r="E943" t="s">
        <v>4207</v>
      </c>
      <c r="F943" t="s">
        <v>531</v>
      </c>
      <c r="G943" t="s">
        <v>30</v>
      </c>
      <c r="H943" t="s">
        <v>31</v>
      </c>
      <c r="I943" t="s">
        <v>52</v>
      </c>
      <c r="J943" t="s">
        <v>32</v>
      </c>
      <c r="K943" t="s">
        <v>29</v>
      </c>
      <c r="L943" t="s">
        <v>4223</v>
      </c>
      <c r="M943" t="s">
        <v>387</v>
      </c>
      <c r="N943" t="s">
        <v>534</v>
      </c>
      <c r="O943" t="s">
        <v>39</v>
      </c>
      <c r="P943" t="s">
        <v>4224</v>
      </c>
      <c r="Q943" t="s">
        <v>69</v>
      </c>
      <c r="R943" s="29">
        <v>46160.561111111114</v>
      </c>
      <c r="S943">
        <v>1</v>
      </c>
      <c r="T943">
        <v>5024</v>
      </c>
      <c r="U943">
        <v>0</v>
      </c>
      <c r="V943">
        <v>5024</v>
      </c>
    </row>
    <row r="944" spans="1:22" x14ac:dyDescent="0.3">
      <c r="A944">
        <v>198256</v>
      </c>
      <c r="B944">
        <v>454948541</v>
      </c>
      <c r="C944" t="s">
        <v>4225</v>
      </c>
      <c r="D944" s="9">
        <v>270245605</v>
      </c>
      <c r="E944" t="s">
        <v>4207</v>
      </c>
      <c r="F944" t="s">
        <v>531</v>
      </c>
      <c r="G944" t="s">
        <v>30</v>
      </c>
      <c r="H944" t="s">
        <v>31</v>
      </c>
      <c r="I944" t="s">
        <v>52</v>
      </c>
      <c r="J944" t="s">
        <v>32</v>
      </c>
      <c r="K944" t="s">
        <v>29</v>
      </c>
      <c r="L944" t="s">
        <v>4226</v>
      </c>
      <c r="M944" t="s">
        <v>416</v>
      </c>
      <c r="N944" t="s">
        <v>534</v>
      </c>
      <c r="O944" t="s">
        <v>39</v>
      </c>
      <c r="P944" t="s">
        <v>4227</v>
      </c>
      <c r="Q944" t="s">
        <v>200</v>
      </c>
      <c r="R944" s="29">
        <v>46157.463888888888</v>
      </c>
      <c r="S944">
        <v>1</v>
      </c>
      <c r="T944">
        <v>3653</v>
      </c>
      <c r="U944">
        <v>0</v>
      </c>
      <c r="V944">
        <v>3653</v>
      </c>
    </row>
    <row r="945" spans="1:22" x14ac:dyDescent="0.3">
      <c r="A945">
        <v>198256</v>
      </c>
      <c r="B945">
        <v>454965954</v>
      </c>
      <c r="C945" t="s">
        <v>4228</v>
      </c>
      <c r="D945" s="9">
        <v>270291752</v>
      </c>
      <c r="E945" t="s">
        <v>4207</v>
      </c>
      <c r="F945" t="s">
        <v>531</v>
      </c>
      <c r="G945" t="s">
        <v>30</v>
      </c>
      <c r="H945" t="s">
        <v>31</v>
      </c>
      <c r="I945" t="s">
        <v>52</v>
      </c>
      <c r="J945" t="s">
        <v>32</v>
      </c>
      <c r="K945" t="s">
        <v>29</v>
      </c>
      <c r="L945" t="s">
        <v>4229</v>
      </c>
      <c r="M945" t="s">
        <v>4230</v>
      </c>
      <c r="N945" t="s">
        <v>534</v>
      </c>
      <c r="O945" t="s">
        <v>39</v>
      </c>
      <c r="P945" t="s">
        <v>4231</v>
      </c>
      <c r="Q945" t="s">
        <v>80</v>
      </c>
      <c r="R945" s="29">
        <v>46157.913194444445</v>
      </c>
      <c r="S945">
        <v>1</v>
      </c>
      <c r="T945">
        <v>5295</v>
      </c>
      <c r="U945">
        <v>0</v>
      </c>
      <c r="V945">
        <v>5295</v>
      </c>
    </row>
    <row r="946" spans="1:22" x14ac:dyDescent="0.3">
      <c r="A946">
        <v>198256</v>
      </c>
      <c r="B946">
        <v>454965976</v>
      </c>
      <c r="C946" t="s">
        <v>4232</v>
      </c>
      <c r="D946" s="9">
        <v>270291772</v>
      </c>
      <c r="E946" t="s">
        <v>4207</v>
      </c>
      <c r="F946" t="s">
        <v>531</v>
      </c>
      <c r="G946" t="s">
        <v>30</v>
      </c>
      <c r="H946" t="s">
        <v>31</v>
      </c>
      <c r="I946" t="s">
        <v>52</v>
      </c>
      <c r="J946" t="s">
        <v>32</v>
      </c>
      <c r="K946" t="s">
        <v>29</v>
      </c>
      <c r="L946" t="s">
        <v>4233</v>
      </c>
      <c r="M946" t="s">
        <v>4234</v>
      </c>
      <c r="N946" t="s">
        <v>534</v>
      </c>
      <c r="O946" t="s">
        <v>39</v>
      </c>
      <c r="P946" t="s">
        <v>4235</v>
      </c>
      <c r="Q946" t="s">
        <v>161</v>
      </c>
      <c r="R946" s="29">
        <v>46157.913194444445</v>
      </c>
      <c r="S946">
        <v>1</v>
      </c>
      <c r="T946">
        <v>3935</v>
      </c>
      <c r="U946">
        <v>0</v>
      </c>
      <c r="V946">
        <v>3935</v>
      </c>
    </row>
    <row r="947" spans="1:22" x14ac:dyDescent="0.3">
      <c r="A947">
        <v>198256</v>
      </c>
      <c r="B947">
        <v>454948530</v>
      </c>
      <c r="C947" t="s">
        <v>4236</v>
      </c>
      <c r="D947" s="9">
        <v>270245599</v>
      </c>
      <c r="E947" t="s">
        <v>4207</v>
      </c>
      <c r="F947" t="s">
        <v>531</v>
      </c>
      <c r="G947" t="s">
        <v>30</v>
      </c>
      <c r="H947" t="s">
        <v>31</v>
      </c>
      <c r="I947" t="s">
        <v>52</v>
      </c>
      <c r="J947" t="s">
        <v>32</v>
      </c>
      <c r="K947" t="s">
        <v>29</v>
      </c>
      <c r="L947" t="s">
        <v>4237</v>
      </c>
      <c r="M947" t="s">
        <v>4238</v>
      </c>
      <c r="N947" t="s">
        <v>534</v>
      </c>
      <c r="O947" t="s">
        <v>39</v>
      </c>
      <c r="P947" t="s">
        <v>4239</v>
      </c>
      <c r="Q947" t="s">
        <v>69</v>
      </c>
      <c r="R947" s="29">
        <v>46157.463194444441</v>
      </c>
      <c r="S947">
        <v>1</v>
      </c>
      <c r="T947">
        <v>5024</v>
      </c>
      <c r="U947">
        <v>0</v>
      </c>
      <c r="V947">
        <v>5024</v>
      </c>
    </row>
    <row r="948" spans="1:22" x14ac:dyDescent="0.3">
      <c r="A948">
        <v>198256</v>
      </c>
      <c r="B948">
        <v>454965969</v>
      </c>
      <c r="C948" t="s">
        <v>4240</v>
      </c>
      <c r="D948" s="9">
        <v>270291757</v>
      </c>
      <c r="E948" t="s">
        <v>4207</v>
      </c>
      <c r="F948" t="s">
        <v>531</v>
      </c>
      <c r="G948" t="s">
        <v>30</v>
      </c>
      <c r="H948" t="s">
        <v>31</v>
      </c>
      <c r="I948" t="s">
        <v>52</v>
      </c>
      <c r="J948" t="s">
        <v>32</v>
      </c>
      <c r="K948" t="s">
        <v>29</v>
      </c>
      <c r="L948" t="s">
        <v>4241</v>
      </c>
      <c r="M948" t="s">
        <v>4242</v>
      </c>
      <c r="N948" t="s">
        <v>534</v>
      </c>
      <c r="O948" t="s">
        <v>39</v>
      </c>
      <c r="P948" t="s">
        <v>4243</v>
      </c>
      <c r="Q948" t="s">
        <v>43</v>
      </c>
      <c r="R948" s="29">
        <v>46157.913194444445</v>
      </c>
      <c r="S948">
        <v>1</v>
      </c>
      <c r="T948">
        <v>4205</v>
      </c>
      <c r="U948">
        <v>0</v>
      </c>
      <c r="V948">
        <v>4205</v>
      </c>
    </row>
    <row r="949" spans="1:22" x14ac:dyDescent="0.3">
      <c r="A949">
        <v>198256</v>
      </c>
      <c r="B949">
        <v>454965977</v>
      </c>
      <c r="C949" t="s">
        <v>4244</v>
      </c>
      <c r="D949" s="9">
        <v>270291760</v>
      </c>
      <c r="E949" t="s">
        <v>4207</v>
      </c>
      <c r="F949" t="s">
        <v>531</v>
      </c>
      <c r="G949" t="s">
        <v>30</v>
      </c>
      <c r="H949" t="s">
        <v>31</v>
      </c>
      <c r="I949" t="s">
        <v>52</v>
      </c>
      <c r="J949" t="s">
        <v>32</v>
      </c>
      <c r="K949" t="s">
        <v>29</v>
      </c>
      <c r="L949" t="s">
        <v>4245</v>
      </c>
      <c r="M949" t="s">
        <v>4246</v>
      </c>
      <c r="N949" t="s">
        <v>534</v>
      </c>
      <c r="O949" t="s">
        <v>39</v>
      </c>
      <c r="P949" t="s">
        <v>4247</v>
      </c>
      <c r="Q949" t="s">
        <v>44</v>
      </c>
      <c r="R949" s="29">
        <v>46157.913194444445</v>
      </c>
      <c r="S949">
        <v>1</v>
      </c>
      <c r="T949">
        <v>4205</v>
      </c>
      <c r="U949">
        <v>0</v>
      </c>
      <c r="V949">
        <v>4205</v>
      </c>
    </row>
    <row r="950" spans="1:22" x14ac:dyDescent="0.3">
      <c r="A950">
        <v>198256</v>
      </c>
      <c r="B950">
        <v>454948755</v>
      </c>
      <c r="C950" t="s">
        <v>4248</v>
      </c>
      <c r="D950" s="9">
        <v>270246037</v>
      </c>
      <c r="E950" t="s">
        <v>4207</v>
      </c>
      <c r="F950" t="s">
        <v>531</v>
      </c>
      <c r="G950" t="s">
        <v>30</v>
      </c>
      <c r="H950" t="s">
        <v>31</v>
      </c>
      <c r="I950" t="s">
        <v>52</v>
      </c>
      <c r="J950" t="s">
        <v>32</v>
      </c>
      <c r="K950" t="s">
        <v>29</v>
      </c>
      <c r="L950" t="s">
        <v>4249</v>
      </c>
      <c r="M950" t="s">
        <v>4250</v>
      </c>
      <c r="N950" t="s">
        <v>534</v>
      </c>
      <c r="O950" t="s">
        <v>39</v>
      </c>
      <c r="P950" t="s">
        <v>4251</v>
      </c>
      <c r="Q950" t="s">
        <v>36</v>
      </c>
      <c r="R950" s="29">
        <v>46157.46597222222</v>
      </c>
      <c r="S950">
        <v>1</v>
      </c>
      <c r="T950">
        <v>5564</v>
      </c>
      <c r="U950">
        <v>0</v>
      </c>
      <c r="V950">
        <v>5564</v>
      </c>
    </row>
    <row r="951" spans="1:22" x14ac:dyDescent="0.3">
      <c r="A951">
        <v>198256</v>
      </c>
      <c r="B951">
        <v>454965982</v>
      </c>
      <c r="C951" t="s">
        <v>4252</v>
      </c>
      <c r="D951" s="9">
        <v>270291762</v>
      </c>
      <c r="E951" t="s">
        <v>4207</v>
      </c>
      <c r="F951" t="s">
        <v>531</v>
      </c>
      <c r="G951" t="s">
        <v>30</v>
      </c>
      <c r="H951" t="s">
        <v>31</v>
      </c>
      <c r="I951" t="s">
        <v>52</v>
      </c>
      <c r="J951" t="s">
        <v>32</v>
      </c>
      <c r="K951" t="s">
        <v>29</v>
      </c>
      <c r="L951" t="s">
        <v>4253</v>
      </c>
      <c r="M951" t="s">
        <v>4254</v>
      </c>
      <c r="N951" t="s">
        <v>534</v>
      </c>
      <c r="O951" t="s">
        <v>39</v>
      </c>
      <c r="P951" t="s">
        <v>4255</v>
      </c>
      <c r="Q951" t="s">
        <v>69</v>
      </c>
      <c r="R951" s="29">
        <v>46157.913194444445</v>
      </c>
      <c r="S951">
        <v>1</v>
      </c>
      <c r="T951">
        <v>5024</v>
      </c>
      <c r="U951">
        <v>0</v>
      </c>
      <c r="V951">
        <v>5024</v>
      </c>
    </row>
    <row r="952" spans="1:22" x14ac:dyDescent="0.3">
      <c r="A952">
        <v>198256</v>
      </c>
      <c r="B952">
        <v>454965984</v>
      </c>
      <c r="C952" t="s">
        <v>4256</v>
      </c>
      <c r="D952" s="9">
        <v>270291776</v>
      </c>
      <c r="E952" t="s">
        <v>4207</v>
      </c>
      <c r="F952" t="s">
        <v>531</v>
      </c>
      <c r="G952" t="s">
        <v>30</v>
      </c>
      <c r="H952" t="s">
        <v>31</v>
      </c>
      <c r="I952" t="s">
        <v>52</v>
      </c>
      <c r="J952" t="s">
        <v>32</v>
      </c>
      <c r="K952" t="s">
        <v>29</v>
      </c>
      <c r="L952" t="s">
        <v>4257</v>
      </c>
      <c r="M952" t="s">
        <v>4258</v>
      </c>
      <c r="N952" t="s">
        <v>534</v>
      </c>
      <c r="O952" t="s">
        <v>39</v>
      </c>
      <c r="P952" t="s">
        <v>4259</v>
      </c>
      <c r="Q952" t="s">
        <v>80</v>
      </c>
      <c r="R952" s="29">
        <v>46157.913194444445</v>
      </c>
      <c r="S952">
        <v>1</v>
      </c>
      <c r="T952">
        <v>5295</v>
      </c>
      <c r="U952">
        <v>0</v>
      </c>
      <c r="V952">
        <v>5295</v>
      </c>
    </row>
    <row r="953" spans="1:22" x14ac:dyDescent="0.3">
      <c r="A953">
        <v>198256</v>
      </c>
      <c r="B953">
        <v>454948732</v>
      </c>
      <c r="C953" t="s">
        <v>4260</v>
      </c>
      <c r="D953" s="9">
        <v>270245989</v>
      </c>
      <c r="E953" t="s">
        <v>4207</v>
      </c>
      <c r="F953" t="s">
        <v>531</v>
      </c>
      <c r="G953" t="s">
        <v>30</v>
      </c>
      <c r="H953" t="s">
        <v>31</v>
      </c>
      <c r="I953" t="s">
        <v>52</v>
      </c>
      <c r="J953" t="s">
        <v>32</v>
      </c>
      <c r="K953" t="s">
        <v>29</v>
      </c>
      <c r="L953" t="s">
        <v>4261</v>
      </c>
      <c r="M953" t="s">
        <v>4262</v>
      </c>
      <c r="N953" t="s">
        <v>534</v>
      </c>
      <c r="O953" t="s">
        <v>39</v>
      </c>
      <c r="P953" t="s">
        <v>4263</v>
      </c>
      <c r="Q953" t="s">
        <v>219</v>
      </c>
      <c r="R953" s="29">
        <v>46157.46597222222</v>
      </c>
      <c r="S953">
        <v>1</v>
      </c>
      <c r="T953">
        <v>5024</v>
      </c>
      <c r="U953">
        <v>0</v>
      </c>
      <c r="V953">
        <v>5024</v>
      </c>
    </row>
    <row r="954" spans="1:22" x14ac:dyDescent="0.3">
      <c r="A954">
        <v>198256</v>
      </c>
      <c r="B954">
        <v>454948757</v>
      </c>
      <c r="C954" t="s">
        <v>4264</v>
      </c>
      <c r="D954" s="9">
        <v>270246028</v>
      </c>
      <c r="E954" t="s">
        <v>4207</v>
      </c>
      <c r="F954" t="s">
        <v>531</v>
      </c>
      <c r="G954" t="s">
        <v>30</v>
      </c>
      <c r="H954" t="s">
        <v>31</v>
      </c>
      <c r="I954" t="s">
        <v>52</v>
      </c>
      <c r="J954" t="s">
        <v>32</v>
      </c>
      <c r="K954" t="s">
        <v>29</v>
      </c>
      <c r="L954" t="s">
        <v>4265</v>
      </c>
      <c r="M954" t="s">
        <v>498</v>
      </c>
      <c r="N954" t="s">
        <v>534</v>
      </c>
      <c r="O954" t="s">
        <v>39</v>
      </c>
      <c r="P954" t="s">
        <v>4266</v>
      </c>
      <c r="Q954" t="s">
        <v>69</v>
      </c>
      <c r="R954" s="29">
        <v>46157.46597222222</v>
      </c>
      <c r="S954">
        <v>1</v>
      </c>
      <c r="T954">
        <v>5024</v>
      </c>
      <c r="U954">
        <v>0</v>
      </c>
      <c r="V954">
        <v>5024</v>
      </c>
    </row>
    <row r="955" spans="1:22" x14ac:dyDescent="0.3">
      <c r="A955">
        <v>198256</v>
      </c>
      <c r="B955">
        <v>454948747</v>
      </c>
      <c r="C955" t="s">
        <v>4267</v>
      </c>
      <c r="D955" s="9">
        <v>270246011</v>
      </c>
      <c r="E955" t="s">
        <v>4207</v>
      </c>
      <c r="F955" t="s">
        <v>531</v>
      </c>
      <c r="G955" t="s">
        <v>30</v>
      </c>
      <c r="H955" t="s">
        <v>31</v>
      </c>
      <c r="I955" t="s">
        <v>52</v>
      </c>
      <c r="J955" t="s">
        <v>32</v>
      </c>
      <c r="K955" t="s">
        <v>29</v>
      </c>
      <c r="L955" t="s">
        <v>4268</v>
      </c>
      <c r="M955" t="s">
        <v>4269</v>
      </c>
      <c r="N955" t="s">
        <v>534</v>
      </c>
      <c r="O955" t="s">
        <v>39</v>
      </c>
      <c r="P955" t="s">
        <v>4270</v>
      </c>
      <c r="Q955" t="s">
        <v>69</v>
      </c>
      <c r="R955" s="29">
        <v>46157.46597222222</v>
      </c>
      <c r="S955">
        <v>1</v>
      </c>
      <c r="T955">
        <v>5024</v>
      </c>
      <c r="U955">
        <v>0</v>
      </c>
      <c r="V955">
        <v>5024</v>
      </c>
    </row>
    <row r="956" spans="1:22" x14ac:dyDescent="0.3">
      <c r="A956">
        <v>198256</v>
      </c>
      <c r="B956">
        <v>454965953</v>
      </c>
      <c r="C956" t="s">
        <v>4271</v>
      </c>
      <c r="D956" s="9">
        <v>270291746</v>
      </c>
      <c r="E956" t="s">
        <v>4207</v>
      </c>
      <c r="F956" t="s">
        <v>531</v>
      </c>
      <c r="G956" t="s">
        <v>30</v>
      </c>
      <c r="H956" t="s">
        <v>31</v>
      </c>
      <c r="I956" t="s">
        <v>52</v>
      </c>
      <c r="J956" t="s">
        <v>32</v>
      </c>
      <c r="K956" t="s">
        <v>29</v>
      </c>
      <c r="L956" t="s">
        <v>4272</v>
      </c>
      <c r="M956" t="s">
        <v>4273</v>
      </c>
      <c r="N956" t="s">
        <v>534</v>
      </c>
      <c r="O956" t="s">
        <v>39</v>
      </c>
      <c r="P956" t="s">
        <v>4274</v>
      </c>
      <c r="Q956" t="s">
        <v>69</v>
      </c>
      <c r="R956" s="29">
        <v>46157.913194444445</v>
      </c>
      <c r="S956">
        <v>1</v>
      </c>
      <c r="T956">
        <v>5024</v>
      </c>
      <c r="U956">
        <v>0</v>
      </c>
      <c r="V956">
        <v>5024</v>
      </c>
    </row>
    <row r="957" spans="1:22" x14ac:dyDescent="0.3">
      <c r="A957">
        <v>198256</v>
      </c>
      <c r="B957">
        <v>454965963</v>
      </c>
      <c r="C957" t="s">
        <v>4275</v>
      </c>
      <c r="D957" s="9">
        <v>270291748</v>
      </c>
      <c r="E957" t="s">
        <v>4207</v>
      </c>
      <c r="F957" t="s">
        <v>531</v>
      </c>
      <c r="G957" t="s">
        <v>30</v>
      </c>
      <c r="H957" t="s">
        <v>31</v>
      </c>
      <c r="I957" t="s">
        <v>52</v>
      </c>
      <c r="J957" t="s">
        <v>32</v>
      </c>
      <c r="K957" t="s">
        <v>29</v>
      </c>
      <c r="L957" t="s">
        <v>4276</v>
      </c>
      <c r="M957" t="s">
        <v>4277</v>
      </c>
      <c r="N957" t="s">
        <v>534</v>
      </c>
      <c r="O957" t="s">
        <v>39</v>
      </c>
      <c r="P957" t="s">
        <v>4278</v>
      </c>
      <c r="Q957" t="s">
        <v>69</v>
      </c>
      <c r="R957" s="29">
        <v>46157.913194444445</v>
      </c>
      <c r="S957">
        <v>1</v>
      </c>
      <c r="T957">
        <v>5024</v>
      </c>
      <c r="U957">
        <v>0</v>
      </c>
      <c r="V957">
        <v>5024</v>
      </c>
    </row>
    <row r="958" spans="1:22" x14ac:dyDescent="0.3">
      <c r="A958">
        <v>198256</v>
      </c>
      <c r="B958">
        <v>455024596</v>
      </c>
      <c r="C958" t="s">
        <v>4279</v>
      </c>
      <c r="D958" s="9">
        <v>270418180</v>
      </c>
      <c r="E958" t="s">
        <v>4207</v>
      </c>
      <c r="F958" t="s">
        <v>531</v>
      </c>
      <c r="G958" t="s">
        <v>30</v>
      </c>
      <c r="H958" t="s">
        <v>31</v>
      </c>
      <c r="I958" t="s">
        <v>52</v>
      </c>
      <c r="J958" t="s">
        <v>32</v>
      </c>
      <c r="K958" t="s">
        <v>29</v>
      </c>
      <c r="L958" t="s">
        <v>4280</v>
      </c>
      <c r="M958" t="s">
        <v>4281</v>
      </c>
      <c r="N958" t="s">
        <v>534</v>
      </c>
      <c r="O958" t="s">
        <v>39</v>
      </c>
      <c r="P958" t="s">
        <v>4282</v>
      </c>
      <c r="Q958" t="s">
        <v>69</v>
      </c>
      <c r="R958" s="29">
        <v>46160.561111111114</v>
      </c>
      <c r="S958">
        <v>1</v>
      </c>
      <c r="T958">
        <v>5024</v>
      </c>
      <c r="U958">
        <v>0</v>
      </c>
      <c r="V958">
        <v>5024</v>
      </c>
    </row>
    <row r="959" spans="1:22" x14ac:dyDescent="0.3">
      <c r="A959">
        <v>198256</v>
      </c>
      <c r="B959">
        <v>454965939</v>
      </c>
      <c r="C959" t="s">
        <v>4283</v>
      </c>
      <c r="D959" s="9">
        <v>270291740</v>
      </c>
      <c r="E959" t="s">
        <v>4207</v>
      </c>
      <c r="F959" t="s">
        <v>531</v>
      </c>
      <c r="G959" t="s">
        <v>30</v>
      </c>
      <c r="H959" t="s">
        <v>31</v>
      </c>
      <c r="I959" t="s">
        <v>52</v>
      </c>
      <c r="J959" t="s">
        <v>32</v>
      </c>
      <c r="K959" t="s">
        <v>29</v>
      </c>
      <c r="L959" t="s">
        <v>4284</v>
      </c>
      <c r="M959" t="s">
        <v>4285</v>
      </c>
      <c r="N959" t="s">
        <v>534</v>
      </c>
      <c r="O959" t="s">
        <v>39</v>
      </c>
      <c r="P959" t="s">
        <v>4286</v>
      </c>
      <c r="Q959" t="s">
        <v>69</v>
      </c>
      <c r="R959" s="29">
        <v>46157.913194444445</v>
      </c>
      <c r="S959">
        <v>1</v>
      </c>
      <c r="T959">
        <v>5024</v>
      </c>
      <c r="U959">
        <v>0</v>
      </c>
      <c r="V959">
        <v>5024</v>
      </c>
    </row>
    <row r="960" spans="1:22" x14ac:dyDescent="0.3">
      <c r="A960">
        <v>198256</v>
      </c>
      <c r="B960">
        <v>454948697</v>
      </c>
      <c r="C960" t="s">
        <v>4287</v>
      </c>
      <c r="D960" s="9">
        <v>270245974</v>
      </c>
      <c r="E960" t="s">
        <v>4207</v>
      </c>
      <c r="F960" t="s">
        <v>531</v>
      </c>
      <c r="G960" t="s">
        <v>30</v>
      </c>
      <c r="H960" t="s">
        <v>31</v>
      </c>
      <c r="I960" t="s">
        <v>52</v>
      </c>
      <c r="J960" t="s">
        <v>32</v>
      </c>
      <c r="K960" t="s">
        <v>29</v>
      </c>
      <c r="L960" t="s">
        <v>4288</v>
      </c>
      <c r="M960" t="s">
        <v>4289</v>
      </c>
      <c r="N960" t="s">
        <v>534</v>
      </c>
      <c r="O960" t="s">
        <v>39</v>
      </c>
      <c r="P960" t="s">
        <v>4290</v>
      </c>
      <c r="Q960" t="s">
        <v>74</v>
      </c>
      <c r="R960" s="29">
        <v>46157.46597222222</v>
      </c>
      <c r="S960">
        <v>1</v>
      </c>
      <c r="T960">
        <v>3653</v>
      </c>
      <c r="U960">
        <v>0</v>
      </c>
      <c r="V960">
        <v>3653</v>
      </c>
    </row>
    <row r="961" spans="1:22" x14ac:dyDescent="0.3">
      <c r="A961">
        <v>198256</v>
      </c>
      <c r="B961">
        <v>454965960</v>
      </c>
      <c r="C961" t="s">
        <v>4291</v>
      </c>
      <c r="D961" s="9">
        <v>270291747</v>
      </c>
      <c r="E961" t="s">
        <v>4207</v>
      </c>
      <c r="F961" t="s">
        <v>531</v>
      </c>
      <c r="G961" t="s">
        <v>30</v>
      </c>
      <c r="H961" t="s">
        <v>31</v>
      </c>
      <c r="I961" t="s">
        <v>52</v>
      </c>
      <c r="J961" t="s">
        <v>32</v>
      </c>
      <c r="K961" t="s">
        <v>29</v>
      </c>
      <c r="L961" t="s">
        <v>4292</v>
      </c>
      <c r="M961" t="s">
        <v>4293</v>
      </c>
      <c r="N961" t="s">
        <v>534</v>
      </c>
      <c r="O961" t="s">
        <v>39</v>
      </c>
      <c r="P961" t="s">
        <v>4294</v>
      </c>
      <c r="Q961" t="s">
        <v>40</v>
      </c>
      <c r="R961" s="29">
        <v>46157.913194444445</v>
      </c>
      <c r="S961">
        <v>1</v>
      </c>
      <c r="T961">
        <v>3935</v>
      </c>
      <c r="U961">
        <v>0</v>
      </c>
      <c r="V961">
        <v>3935</v>
      </c>
    </row>
    <row r="962" spans="1:22" x14ac:dyDescent="0.3">
      <c r="A962">
        <v>198256</v>
      </c>
      <c r="B962">
        <v>454948529</v>
      </c>
      <c r="C962" t="s">
        <v>4295</v>
      </c>
      <c r="D962" s="9">
        <v>270245620</v>
      </c>
      <c r="E962" t="s">
        <v>4207</v>
      </c>
      <c r="F962" t="s">
        <v>531</v>
      </c>
      <c r="G962" t="s">
        <v>30</v>
      </c>
      <c r="H962" t="s">
        <v>31</v>
      </c>
      <c r="I962" t="s">
        <v>52</v>
      </c>
      <c r="J962" t="s">
        <v>32</v>
      </c>
      <c r="K962" t="s">
        <v>29</v>
      </c>
      <c r="L962" t="s">
        <v>4296</v>
      </c>
      <c r="M962" t="s">
        <v>4297</v>
      </c>
      <c r="N962" t="s">
        <v>534</v>
      </c>
      <c r="O962" t="s">
        <v>39</v>
      </c>
      <c r="P962" t="s">
        <v>4298</v>
      </c>
      <c r="Q962" t="s">
        <v>40</v>
      </c>
      <c r="R962" s="29">
        <v>46157.463194444441</v>
      </c>
      <c r="S962">
        <v>1</v>
      </c>
      <c r="T962">
        <v>3935</v>
      </c>
      <c r="U962">
        <v>0</v>
      </c>
      <c r="V962">
        <v>3935</v>
      </c>
    </row>
    <row r="963" spans="1:22" x14ac:dyDescent="0.3">
      <c r="A963">
        <v>198256</v>
      </c>
      <c r="B963">
        <v>454948547</v>
      </c>
      <c r="C963" t="s">
        <v>4299</v>
      </c>
      <c r="D963" s="9">
        <v>270245606</v>
      </c>
      <c r="E963" t="s">
        <v>4207</v>
      </c>
      <c r="F963" t="s">
        <v>531</v>
      </c>
      <c r="G963" t="s">
        <v>30</v>
      </c>
      <c r="H963" t="s">
        <v>31</v>
      </c>
      <c r="I963" t="s">
        <v>52</v>
      </c>
      <c r="J963" t="s">
        <v>32</v>
      </c>
      <c r="K963" t="s">
        <v>29</v>
      </c>
      <c r="L963" t="s">
        <v>4300</v>
      </c>
      <c r="M963" t="s">
        <v>4301</v>
      </c>
      <c r="N963" t="s">
        <v>534</v>
      </c>
      <c r="O963" t="s">
        <v>39</v>
      </c>
      <c r="P963" t="s">
        <v>4302</v>
      </c>
      <c r="Q963" t="s">
        <v>34</v>
      </c>
      <c r="R963" s="29">
        <v>46157.463888888888</v>
      </c>
      <c r="S963">
        <v>1</v>
      </c>
      <c r="T963">
        <v>3653</v>
      </c>
      <c r="U963">
        <v>0</v>
      </c>
      <c r="V963">
        <v>3653</v>
      </c>
    </row>
    <row r="964" spans="1:22" x14ac:dyDescent="0.3">
      <c r="A964">
        <v>198256</v>
      </c>
      <c r="B964">
        <v>454948705</v>
      </c>
      <c r="C964" t="s">
        <v>4303</v>
      </c>
      <c r="D964" s="9">
        <v>270245977</v>
      </c>
      <c r="E964" t="s">
        <v>4207</v>
      </c>
      <c r="F964" t="s">
        <v>531</v>
      </c>
      <c r="G964" t="s">
        <v>30</v>
      </c>
      <c r="H964" t="s">
        <v>31</v>
      </c>
      <c r="I964" t="s">
        <v>52</v>
      </c>
      <c r="J964" t="s">
        <v>32</v>
      </c>
      <c r="K964" t="s">
        <v>29</v>
      </c>
      <c r="L964" t="s">
        <v>4304</v>
      </c>
      <c r="M964" t="s">
        <v>4305</v>
      </c>
      <c r="N964" t="s">
        <v>534</v>
      </c>
      <c r="O964" t="s">
        <v>39</v>
      </c>
      <c r="P964" t="s">
        <v>4306</v>
      </c>
      <c r="Q964" t="s">
        <v>44</v>
      </c>
      <c r="R964" s="29">
        <v>46157.46597222222</v>
      </c>
      <c r="S964">
        <v>1</v>
      </c>
      <c r="T964">
        <v>4205</v>
      </c>
      <c r="U964">
        <v>0</v>
      </c>
      <c r="V964">
        <v>4205</v>
      </c>
    </row>
    <row r="965" spans="1:22" x14ac:dyDescent="0.3">
      <c r="A965">
        <v>198256</v>
      </c>
      <c r="B965">
        <v>454948685</v>
      </c>
      <c r="C965" t="s">
        <v>4307</v>
      </c>
      <c r="D965" s="9">
        <v>270245944</v>
      </c>
      <c r="E965" t="s">
        <v>4207</v>
      </c>
      <c r="F965" t="s">
        <v>531</v>
      </c>
      <c r="G965" t="s">
        <v>30</v>
      </c>
      <c r="H965" t="s">
        <v>31</v>
      </c>
      <c r="I965" t="s">
        <v>52</v>
      </c>
      <c r="J965" t="s">
        <v>32</v>
      </c>
      <c r="K965" t="s">
        <v>29</v>
      </c>
      <c r="L965" t="s">
        <v>4308</v>
      </c>
      <c r="M965" t="s">
        <v>4309</v>
      </c>
      <c r="N965" t="s">
        <v>534</v>
      </c>
      <c r="O965" t="s">
        <v>39</v>
      </c>
      <c r="P965" t="s">
        <v>4310</v>
      </c>
      <c r="Q965" t="s">
        <v>73</v>
      </c>
      <c r="R965" s="29">
        <v>46157.46597222222</v>
      </c>
      <c r="S965">
        <v>1</v>
      </c>
      <c r="T965">
        <v>3250</v>
      </c>
      <c r="U965">
        <v>0</v>
      </c>
      <c r="V965">
        <v>3250</v>
      </c>
    </row>
    <row r="966" spans="1:22" x14ac:dyDescent="0.3">
      <c r="A966">
        <v>198256</v>
      </c>
      <c r="B966">
        <v>454965948</v>
      </c>
      <c r="C966" t="s">
        <v>4311</v>
      </c>
      <c r="D966" s="9">
        <v>270291744</v>
      </c>
      <c r="E966" t="s">
        <v>4207</v>
      </c>
      <c r="F966" t="s">
        <v>531</v>
      </c>
      <c r="G966" t="s">
        <v>30</v>
      </c>
      <c r="H966" t="s">
        <v>31</v>
      </c>
      <c r="I966" t="s">
        <v>52</v>
      </c>
      <c r="J966" t="s">
        <v>32</v>
      </c>
      <c r="K966" t="s">
        <v>29</v>
      </c>
      <c r="L966" t="s">
        <v>4312</v>
      </c>
      <c r="M966" t="s">
        <v>4313</v>
      </c>
      <c r="N966" t="s">
        <v>534</v>
      </c>
      <c r="O966" t="s">
        <v>39</v>
      </c>
      <c r="P966" t="s">
        <v>4314</v>
      </c>
      <c r="Q966" t="s">
        <v>42</v>
      </c>
      <c r="R966" s="29">
        <v>46157.913194444445</v>
      </c>
      <c r="S966">
        <v>1</v>
      </c>
      <c r="T966">
        <v>3250</v>
      </c>
      <c r="U966">
        <v>0</v>
      </c>
      <c r="V966">
        <v>3250</v>
      </c>
    </row>
    <row r="967" spans="1:22" x14ac:dyDescent="0.3">
      <c r="A967">
        <v>198256</v>
      </c>
      <c r="B967">
        <v>454965922</v>
      </c>
      <c r="C967" t="s">
        <v>4315</v>
      </c>
      <c r="D967" s="9">
        <v>270291737</v>
      </c>
      <c r="E967" t="s">
        <v>4207</v>
      </c>
      <c r="F967" t="s">
        <v>531</v>
      </c>
      <c r="G967" t="s">
        <v>30</v>
      </c>
      <c r="H967" t="s">
        <v>31</v>
      </c>
      <c r="I967" t="s">
        <v>52</v>
      </c>
      <c r="J967" t="s">
        <v>32</v>
      </c>
      <c r="K967" t="s">
        <v>29</v>
      </c>
      <c r="L967" t="s">
        <v>4316</v>
      </c>
      <c r="M967" t="s">
        <v>515</v>
      </c>
      <c r="N967" t="s">
        <v>534</v>
      </c>
      <c r="O967" t="s">
        <v>39</v>
      </c>
      <c r="P967" t="s">
        <v>4317</v>
      </c>
      <c r="Q967" t="s">
        <v>34</v>
      </c>
      <c r="R967" s="29">
        <v>46157.913194444445</v>
      </c>
      <c r="S967">
        <v>1</v>
      </c>
      <c r="T967">
        <v>3653</v>
      </c>
      <c r="U967">
        <v>0</v>
      </c>
      <c r="V967">
        <v>3653</v>
      </c>
    </row>
    <row r="968" spans="1:22" x14ac:dyDescent="0.3">
      <c r="A968">
        <v>198256</v>
      </c>
      <c r="B968">
        <v>455024601</v>
      </c>
      <c r="C968" t="s">
        <v>4318</v>
      </c>
      <c r="D968" s="9">
        <v>270418195</v>
      </c>
      <c r="E968" t="s">
        <v>4207</v>
      </c>
      <c r="F968" t="s">
        <v>531</v>
      </c>
      <c r="G968" t="s">
        <v>30</v>
      </c>
      <c r="H968" t="s">
        <v>31</v>
      </c>
      <c r="I968" t="s">
        <v>52</v>
      </c>
      <c r="J968" t="s">
        <v>32</v>
      </c>
      <c r="K968" t="s">
        <v>29</v>
      </c>
      <c r="L968" t="s">
        <v>4319</v>
      </c>
      <c r="M968" t="s">
        <v>4320</v>
      </c>
      <c r="N968" t="s">
        <v>534</v>
      </c>
      <c r="O968" t="s">
        <v>39</v>
      </c>
      <c r="P968" t="s">
        <v>4321</v>
      </c>
      <c r="Q968" t="s">
        <v>153</v>
      </c>
      <c r="R968" s="29">
        <v>46160.561111111114</v>
      </c>
      <c r="S968">
        <v>1</v>
      </c>
      <c r="T968">
        <v>3250</v>
      </c>
      <c r="U968">
        <v>0</v>
      </c>
      <c r="V968">
        <v>3250</v>
      </c>
    </row>
    <row r="969" spans="1:22" x14ac:dyDescent="0.3">
      <c r="A969">
        <v>198256</v>
      </c>
      <c r="B969">
        <v>455024613</v>
      </c>
      <c r="C969" t="s">
        <v>4322</v>
      </c>
      <c r="D969" s="9">
        <v>270418204</v>
      </c>
      <c r="E969" t="s">
        <v>4207</v>
      </c>
      <c r="F969" t="s">
        <v>531</v>
      </c>
      <c r="G969" t="s">
        <v>30</v>
      </c>
      <c r="H969" t="s">
        <v>31</v>
      </c>
      <c r="I969" t="s">
        <v>52</v>
      </c>
      <c r="J969" t="s">
        <v>32</v>
      </c>
      <c r="K969" t="s">
        <v>29</v>
      </c>
      <c r="L969" t="s">
        <v>4323</v>
      </c>
      <c r="M969" t="s">
        <v>4324</v>
      </c>
      <c r="N969" t="s">
        <v>534</v>
      </c>
      <c r="O969" t="s">
        <v>39</v>
      </c>
      <c r="P969" t="s">
        <v>4325</v>
      </c>
      <c r="Q969" t="s">
        <v>63</v>
      </c>
      <c r="R969" s="29">
        <v>46160.561111111114</v>
      </c>
      <c r="S969">
        <v>1</v>
      </c>
      <c r="T969">
        <v>3384</v>
      </c>
      <c r="U969">
        <v>0</v>
      </c>
      <c r="V969">
        <v>3384</v>
      </c>
    </row>
    <row r="970" spans="1:22" x14ac:dyDescent="0.3">
      <c r="A970">
        <v>198256</v>
      </c>
      <c r="B970">
        <v>455024606</v>
      </c>
      <c r="C970" t="s">
        <v>4326</v>
      </c>
      <c r="D970" s="9">
        <v>270418171</v>
      </c>
      <c r="E970" t="s">
        <v>4207</v>
      </c>
      <c r="F970" t="s">
        <v>531</v>
      </c>
      <c r="G970" t="s">
        <v>30</v>
      </c>
      <c r="H970" t="s">
        <v>31</v>
      </c>
      <c r="I970" t="s">
        <v>52</v>
      </c>
      <c r="J970" t="s">
        <v>32</v>
      </c>
      <c r="K970" t="s">
        <v>29</v>
      </c>
      <c r="L970" t="s">
        <v>4327</v>
      </c>
      <c r="M970" t="s">
        <v>4328</v>
      </c>
      <c r="N970" t="s">
        <v>534</v>
      </c>
      <c r="O970" t="s">
        <v>39</v>
      </c>
      <c r="P970" t="s">
        <v>4329</v>
      </c>
      <c r="Q970" t="s">
        <v>88</v>
      </c>
      <c r="R970" s="29">
        <v>46160.561111111114</v>
      </c>
      <c r="S970">
        <v>1</v>
      </c>
      <c r="T970">
        <v>3631</v>
      </c>
      <c r="U970">
        <v>0</v>
      </c>
      <c r="V970">
        <v>3631</v>
      </c>
    </row>
    <row r="971" spans="1:22" x14ac:dyDescent="0.3">
      <c r="A971">
        <v>198256</v>
      </c>
      <c r="B971">
        <v>454965970</v>
      </c>
      <c r="C971" t="s">
        <v>4330</v>
      </c>
      <c r="D971" s="9">
        <v>270291758</v>
      </c>
      <c r="E971" t="s">
        <v>4207</v>
      </c>
      <c r="F971" t="s">
        <v>531</v>
      </c>
      <c r="G971" t="s">
        <v>30</v>
      </c>
      <c r="H971" t="s">
        <v>31</v>
      </c>
      <c r="I971" t="s">
        <v>52</v>
      </c>
      <c r="J971" t="s">
        <v>32</v>
      </c>
      <c r="K971" t="s">
        <v>29</v>
      </c>
      <c r="L971" t="s">
        <v>4331</v>
      </c>
      <c r="M971" t="s">
        <v>4332</v>
      </c>
      <c r="N971" t="s">
        <v>534</v>
      </c>
      <c r="O971" t="s">
        <v>39</v>
      </c>
      <c r="P971" t="s">
        <v>4333</v>
      </c>
      <c r="Q971" t="s">
        <v>71</v>
      </c>
      <c r="R971" s="29">
        <v>46157.913194444445</v>
      </c>
      <c r="S971">
        <v>1</v>
      </c>
      <c r="T971">
        <v>3631</v>
      </c>
      <c r="U971">
        <v>0</v>
      </c>
      <c r="V971">
        <v>3631</v>
      </c>
    </row>
    <row r="972" spans="1:22" x14ac:dyDescent="0.3">
      <c r="A972">
        <v>198256</v>
      </c>
      <c r="B972">
        <v>454965931</v>
      </c>
      <c r="C972" t="s">
        <v>4334</v>
      </c>
      <c r="D972" s="9">
        <v>270291739</v>
      </c>
      <c r="E972" t="s">
        <v>4207</v>
      </c>
      <c r="F972" t="s">
        <v>531</v>
      </c>
      <c r="G972" t="s">
        <v>30</v>
      </c>
      <c r="H972" t="s">
        <v>31</v>
      </c>
      <c r="I972" t="s">
        <v>52</v>
      </c>
      <c r="J972" t="s">
        <v>32</v>
      </c>
      <c r="K972" t="s">
        <v>29</v>
      </c>
      <c r="L972" t="s">
        <v>4335</v>
      </c>
      <c r="M972" t="s">
        <v>4336</v>
      </c>
      <c r="N972" t="s">
        <v>534</v>
      </c>
      <c r="O972" t="s">
        <v>39</v>
      </c>
      <c r="P972" t="s">
        <v>4337</v>
      </c>
      <c r="Q972" t="s">
        <v>76</v>
      </c>
      <c r="R972" s="29">
        <v>46157.913194444445</v>
      </c>
      <c r="S972">
        <v>1</v>
      </c>
      <c r="T972">
        <v>3653</v>
      </c>
      <c r="U972">
        <v>0</v>
      </c>
      <c r="V972">
        <v>3653</v>
      </c>
    </row>
    <row r="973" spans="1:22" x14ac:dyDescent="0.3">
      <c r="A973">
        <v>198256</v>
      </c>
      <c r="B973">
        <v>454965945</v>
      </c>
      <c r="C973" t="s">
        <v>4338</v>
      </c>
      <c r="D973" s="9">
        <v>270291730</v>
      </c>
      <c r="E973" t="s">
        <v>4207</v>
      </c>
      <c r="F973" t="s">
        <v>531</v>
      </c>
      <c r="G973" t="s">
        <v>30</v>
      </c>
      <c r="H973" t="s">
        <v>31</v>
      </c>
      <c r="I973" t="s">
        <v>52</v>
      </c>
      <c r="J973" t="s">
        <v>32</v>
      </c>
      <c r="K973" t="s">
        <v>29</v>
      </c>
      <c r="L973" t="s">
        <v>4339</v>
      </c>
      <c r="M973" t="s">
        <v>4340</v>
      </c>
      <c r="N973" t="s">
        <v>534</v>
      </c>
      <c r="O973" t="s">
        <v>39</v>
      </c>
      <c r="P973" t="s">
        <v>4341</v>
      </c>
      <c r="Q973" t="s">
        <v>42</v>
      </c>
      <c r="R973" s="29">
        <v>46157.913194444445</v>
      </c>
      <c r="S973">
        <v>1</v>
      </c>
      <c r="T973">
        <v>3250</v>
      </c>
      <c r="U973">
        <v>0</v>
      </c>
      <c r="V973">
        <v>3250</v>
      </c>
    </row>
    <row r="974" spans="1:22" x14ac:dyDescent="0.3">
      <c r="A974">
        <v>198256</v>
      </c>
      <c r="B974">
        <v>454965944</v>
      </c>
      <c r="C974" t="s">
        <v>4342</v>
      </c>
      <c r="D974" s="9">
        <v>270291729</v>
      </c>
      <c r="E974" t="s">
        <v>4207</v>
      </c>
      <c r="F974" t="s">
        <v>531</v>
      </c>
      <c r="G974" t="s">
        <v>30</v>
      </c>
      <c r="H974" t="s">
        <v>31</v>
      </c>
      <c r="I974" t="s">
        <v>52</v>
      </c>
      <c r="J974" t="s">
        <v>32</v>
      </c>
      <c r="K974" t="s">
        <v>29</v>
      </c>
      <c r="L974" t="s">
        <v>4343</v>
      </c>
      <c r="M974" t="s">
        <v>4344</v>
      </c>
      <c r="N974" t="s">
        <v>534</v>
      </c>
      <c r="O974" t="s">
        <v>39</v>
      </c>
      <c r="P974" t="s">
        <v>4345</v>
      </c>
      <c r="Q974" t="s">
        <v>34</v>
      </c>
      <c r="R974" s="29">
        <v>46157.913194444445</v>
      </c>
      <c r="S974">
        <v>1</v>
      </c>
      <c r="T974">
        <v>3653</v>
      </c>
      <c r="U974">
        <v>0</v>
      </c>
      <c r="V974">
        <v>3653</v>
      </c>
    </row>
    <row r="975" spans="1:22" x14ac:dyDescent="0.3">
      <c r="A975">
        <v>198256</v>
      </c>
      <c r="B975">
        <v>455024617</v>
      </c>
      <c r="C975" t="s">
        <v>4346</v>
      </c>
      <c r="D975" s="9">
        <v>270418208</v>
      </c>
      <c r="E975" t="s">
        <v>4207</v>
      </c>
      <c r="F975" t="s">
        <v>531</v>
      </c>
      <c r="G975" t="s">
        <v>30</v>
      </c>
      <c r="H975" t="s">
        <v>31</v>
      </c>
      <c r="I975" t="s">
        <v>52</v>
      </c>
      <c r="J975" t="s">
        <v>32</v>
      </c>
      <c r="K975" t="s">
        <v>29</v>
      </c>
      <c r="L975" t="s">
        <v>4347</v>
      </c>
      <c r="M975" t="s">
        <v>4348</v>
      </c>
      <c r="N975" t="s">
        <v>534</v>
      </c>
      <c r="O975" t="s">
        <v>39</v>
      </c>
      <c r="P975" t="s">
        <v>4349</v>
      </c>
      <c r="Q975" t="s">
        <v>160</v>
      </c>
      <c r="R975" s="29">
        <v>46160.561805555553</v>
      </c>
      <c r="S975">
        <v>1</v>
      </c>
      <c r="T975">
        <v>3631</v>
      </c>
      <c r="U975">
        <v>0</v>
      </c>
      <c r="V975">
        <v>3631</v>
      </c>
    </row>
    <row r="976" spans="1:22" x14ac:dyDescent="0.3">
      <c r="A976">
        <v>198256</v>
      </c>
      <c r="B976">
        <v>454965978</v>
      </c>
      <c r="C976" t="s">
        <v>4350</v>
      </c>
      <c r="D976" s="9">
        <v>270291773</v>
      </c>
      <c r="E976" t="s">
        <v>4207</v>
      </c>
      <c r="F976" t="s">
        <v>531</v>
      </c>
      <c r="G976" t="s">
        <v>30</v>
      </c>
      <c r="H976" t="s">
        <v>31</v>
      </c>
      <c r="I976" t="s">
        <v>52</v>
      </c>
      <c r="J976" t="s">
        <v>32</v>
      </c>
      <c r="K976" t="s">
        <v>29</v>
      </c>
      <c r="L976" t="s">
        <v>4351</v>
      </c>
      <c r="M976" t="s">
        <v>4352</v>
      </c>
      <c r="N976" t="s">
        <v>534</v>
      </c>
      <c r="O976" t="s">
        <v>39</v>
      </c>
      <c r="P976" t="s">
        <v>4353</v>
      </c>
      <c r="Q976" t="s">
        <v>40</v>
      </c>
      <c r="R976" s="29">
        <v>46157.913194444445</v>
      </c>
      <c r="S976">
        <v>1</v>
      </c>
      <c r="T976">
        <v>3935</v>
      </c>
      <c r="U976">
        <v>0</v>
      </c>
      <c r="V976">
        <v>3935</v>
      </c>
    </row>
    <row r="977" spans="1:22" x14ac:dyDescent="0.3">
      <c r="A977">
        <v>198256</v>
      </c>
      <c r="B977">
        <v>454965971</v>
      </c>
      <c r="C977" t="s">
        <v>4354</v>
      </c>
      <c r="D977" s="9">
        <v>270291759</v>
      </c>
      <c r="E977" t="s">
        <v>4207</v>
      </c>
      <c r="F977" t="s">
        <v>531</v>
      </c>
      <c r="G977" t="s">
        <v>30</v>
      </c>
      <c r="H977" t="s">
        <v>31</v>
      </c>
      <c r="I977" t="s">
        <v>52</v>
      </c>
      <c r="J977" t="s">
        <v>32</v>
      </c>
      <c r="K977" t="s">
        <v>29</v>
      </c>
      <c r="L977" t="s">
        <v>4355</v>
      </c>
      <c r="M977" t="s">
        <v>360</v>
      </c>
      <c r="N977" t="s">
        <v>534</v>
      </c>
      <c r="O977" t="s">
        <v>39</v>
      </c>
      <c r="P977" t="s">
        <v>4356</v>
      </c>
      <c r="Q977" t="s">
        <v>200</v>
      </c>
      <c r="R977" s="29">
        <v>46157.913194444445</v>
      </c>
      <c r="S977">
        <v>1</v>
      </c>
      <c r="T977">
        <v>3653</v>
      </c>
      <c r="U977">
        <v>0</v>
      </c>
      <c r="V977">
        <v>3653</v>
      </c>
    </row>
    <row r="978" spans="1:22" x14ac:dyDescent="0.3">
      <c r="A978">
        <v>198256</v>
      </c>
      <c r="B978">
        <v>454965933</v>
      </c>
      <c r="C978" t="s">
        <v>4357</v>
      </c>
      <c r="D978" s="9">
        <v>270291724</v>
      </c>
      <c r="E978" t="s">
        <v>4207</v>
      </c>
      <c r="F978" t="s">
        <v>531</v>
      </c>
      <c r="G978" t="s">
        <v>30</v>
      </c>
      <c r="H978" t="s">
        <v>31</v>
      </c>
      <c r="I978" t="s">
        <v>52</v>
      </c>
      <c r="J978" t="s">
        <v>32</v>
      </c>
      <c r="K978" t="s">
        <v>29</v>
      </c>
      <c r="L978" t="s">
        <v>4358</v>
      </c>
      <c r="M978" t="s">
        <v>4359</v>
      </c>
      <c r="N978" t="s">
        <v>534</v>
      </c>
      <c r="O978" t="s">
        <v>39</v>
      </c>
      <c r="P978" t="s">
        <v>4360</v>
      </c>
      <c r="Q978" t="s">
        <v>42</v>
      </c>
      <c r="R978" s="29">
        <v>46157.913194444445</v>
      </c>
      <c r="S978">
        <v>1</v>
      </c>
      <c r="T978">
        <v>3250</v>
      </c>
      <c r="U978">
        <v>0</v>
      </c>
      <c r="V978">
        <v>3250</v>
      </c>
    </row>
    <row r="979" spans="1:22" x14ac:dyDescent="0.3">
      <c r="A979">
        <v>198256</v>
      </c>
      <c r="B979">
        <v>455024592</v>
      </c>
      <c r="C979" t="s">
        <v>4361</v>
      </c>
      <c r="D979" s="9">
        <v>270418177</v>
      </c>
      <c r="E979" t="s">
        <v>4207</v>
      </c>
      <c r="F979" t="s">
        <v>531</v>
      </c>
      <c r="G979" t="s">
        <v>30</v>
      </c>
      <c r="H979" t="s">
        <v>31</v>
      </c>
      <c r="I979" t="s">
        <v>52</v>
      </c>
      <c r="J979" t="s">
        <v>32</v>
      </c>
      <c r="K979" t="s">
        <v>29</v>
      </c>
      <c r="L979" t="s">
        <v>297</v>
      </c>
      <c r="M979" t="s">
        <v>4362</v>
      </c>
      <c r="N979" t="s">
        <v>534</v>
      </c>
      <c r="O979" t="s">
        <v>39</v>
      </c>
      <c r="P979" t="s">
        <v>4363</v>
      </c>
      <c r="Q979" t="s">
        <v>200</v>
      </c>
      <c r="R979" s="29">
        <v>46160.561111111114</v>
      </c>
      <c r="S979">
        <v>1</v>
      </c>
      <c r="T979">
        <v>3653</v>
      </c>
      <c r="U979">
        <v>0</v>
      </c>
      <c r="V979">
        <v>3653</v>
      </c>
    </row>
    <row r="980" spans="1:22" x14ac:dyDescent="0.3">
      <c r="A980">
        <v>198256</v>
      </c>
      <c r="B980">
        <v>454948548</v>
      </c>
      <c r="C980" t="s">
        <v>4364</v>
      </c>
      <c r="D980" s="9">
        <v>270245629</v>
      </c>
      <c r="E980" t="s">
        <v>4207</v>
      </c>
      <c r="F980" t="s">
        <v>531</v>
      </c>
      <c r="G980" t="s">
        <v>30</v>
      </c>
      <c r="H980" t="s">
        <v>31</v>
      </c>
      <c r="I980" t="s">
        <v>52</v>
      </c>
      <c r="J980" t="s">
        <v>32</v>
      </c>
      <c r="K980" t="s">
        <v>29</v>
      </c>
      <c r="L980" t="s">
        <v>4365</v>
      </c>
      <c r="M980" t="s">
        <v>4366</v>
      </c>
      <c r="N980" t="s">
        <v>534</v>
      </c>
      <c r="O980" t="s">
        <v>39</v>
      </c>
      <c r="P980" t="s">
        <v>4367</v>
      </c>
      <c r="Q980" t="s">
        <v>63</v>
      </c>
      <c r="R980" s="29">
        <v>46157.463888888888</v>
      </c>
      <c r="S980">
        <v>1</v>
      </c>
      <c r="T980">
        <v>3384</v>
      </c>
      <c r="U980">
        <v>0</v>
      </c>
      <c r="V980">
        <v>3384</v>
      </c>
    </row>
    <row r="981" spans="1:22" x14ac:dyDescent="0.3">
      <c r="A981">
        <v>198256</v>
      </c>
      <c r="B981">
        <v>454948728</v>
      </c>
      <c r="C981" t="s">
        <v>4368</v>
      </c>
      <c r="D981" s="9">
        <v>270245969</v>
      </c>
      <c r="E981" t="s">
        <v>4207</v>
      </c>
      <c r="F981" t="s">
        <v>531</v>
      </c>
      <c r="G981" t="s">
        <v>30</v>
      </c>
      <c r="H981" t="s">
        <v>31</v>
      </c>
      <c r="I981" t="s">
        <v>52</v>
      </c>
      <c r="J981" t="s">
        <v>32</v>
      </c>
      <c r="K981" t="s">
        <v>102</v>
      </c>
      <c r="L981" t="s">
        <v>103</v>
      </c>
      <c r="M981" t="s">
        <v>4369</v>
      </c>
      <c r="N981" t="s">
        <v>534</v>
      </c>
      <c r="O981" t="s">
        <v>39</v>
      </c>
      <c r="P981" t="s">
        <v>4370</v>
      </c>
      <c r="Q981" t="s">
        <v>160</v>
      </c>
      <c r="R981" s="29">
        <v>46157.46597222222</v>
      </c>
      <c r="S981">
        <v>1</v>
      </c>
      <c r="T981">
        <v>3631</v>
      </c>
      <c r="U981">
        <v>0</v>
      </c>
      <c r="V981">
        <v>3631</v>
      </c>
    </row>
    <row r="982" spans="1:22" x14ac:dyDescent="0.3">
      <c r="A982">
        <v>198256</v>
      </c>
      <c r="B982">
        <v>454948759</v>
      </c>
      <c r="C982" t="s">
        <v>4371</v>
      </c>
      <c r="D982" s="9">
        <v>270246039</v>
      </c>
      <c r="E982" t="s">
        <v>4207</v>
      </c>
      <c r="F982" t="s">
        <v>531</v>
      </c>
      <c r="G982" t="s">
        <v>30</v>
      </c>
      <c r="H982" t="s">
        <v>31</v>
      </c>
      <c r="I982" t="s">
        <v>52</v>
      </c>
      <c r="J982" t="s">
        <v>32</v>
      </c>
      <c r="K982" t="s">
        <v>29</v>
      </c>
      <c r="L982" t="s">
        <v>4372</v>
      </c>
      <c r="M982" t="s">
        <v>4373</v>
      </c>
      <c r="N982" t="s">
        <v>534</v>
      </c>
      <c r="O982" t="s">
        <v>39</v>
      </c>
      <c r="P982" t="s">
        <v>4374</v>
      </c>
      <c r="Q982" t="s">
        <v>34</v>
      </c>
      <c r="R982" s="29">
        <v>46157.46597222222</v>
      </c>
      <c r="S982">
        <v>1</v>
      </c>
      <c r="T982">
        <v>3653</v>
      </c>
      <c r="U982">
        <v>0</v>
      </c>
      <c r="V982">
        <v>3653</v>
      </c>
    </row>
    <row r="983" spans="1:22" x14ac:dyDescent="0.3">
      <c r="A983">
        <v>198256</v>
      </c>
      <c r="B983">
        <v>455024609</v>
      </c>
      <c r="C983" t="s">
        <v>4375</v>
      </c>
      <c r="D983" s="9">
        <v>270418201</v>
      </c>
      <c r="E983" t="s">
        <v>4207</v>
      </c>
      <c r="F983" t="s">
        <v>531</v>
      </c>
      <c r="G983" t="s">
        <v>30</v>
      </c>
      <c r="H983" t="s">
        <v>31</v>
      </c>
      <c r="I983" t="s">
        <v>52</v>
      </c>
      <c r="J983" t="s">
        <v>32</v>
      </c>
      <c r="K983" t="s">
        <v>29</v>
      </c>
      <c r="L983" t="s">
        <v>4376</v>
      </c>
      <c r="M983" t="s">
        <v>4377</v>
      </c>
      <c r="N983" t="s">
        <v>534</v>
      </c>
      <c r="O983" t="s">
        <v>39</v>
      </c>
      <c r="P983" t="s">
        <v>4378</v>
      </c>
      <c r="Q983" t="s">
        <v>67</v>
      </c>
      <c r="R983" s="29">
        <v>46160.561111111114</v>
      </c>
      <c r="S983">
        <v>1</v>
      </c>
      <c r="T983">
        <v>3250</v>
      </c>
      <c r="U983">
        <v>0</v>
      </c>
      <c r="V983">
        <v>3250</v>
      </c>
    </row>
    <row r="984" spans="1:22" x14ac:dyDescent="0.3">
      <c r="A984">
        <v>198256</v>
      </c>
      <c r="B984">
        <v>454948741</v>
      </c>
      <c r="C984" t="s">
        <v>4379</v>
      </c>
      <c r="D984" s="9">
        <v>270246018</v>
      </c>
      <c r="E984" t="s">
        <v>4207</v>
      </c>
      <c r="F984" t="s">
        <v>531</v>
      </c>
      <c r="G984" t="s">
        <v>30</v>
      </c>
      <c r="H984" t="s">
        <v>31</v>
      </c>
      <c r="I984" t="s">
        <v>52</v>
      </c>
      <c r="J984" t="s">
        <v>32</v>
      </c>
      <c r="K984" t="s">
        <v>29</v>
      </c>
      <c r="L984" t="s">
        <v>4380</v>
      </c>
      <c r="M984" t="s">
        <v>4381</v>
      </c>
      <c r="N984" t="s">
        <v>534</v>
      </c>
      <c r="O984" t="s">
        <v>39</v>
      </c>
      <c r="P984" t="s">
        <v>4382</v>
      </c>
      <c r="Q984" t="s">
        <v>34</v>
      </c>
      <c r="R984" s="29">
        <v>46157.46597222222</v>
      </c>
      <c r="S984">
        <v>1</v>
      </c>
      <c r="T984">
        <v>3653</v>
      </c>
      <c r="U984">
        <v>0</v>
      </c>
      <c r="V984">
        <v>3653</v>
      </c>
    </row>
    <row r="985" spans="1:22" x14ac:dyDescent="0.3">
      <c r="A985">
        <v>198256</v>
      </c>
      <c r="B985">
        <v>454965920</v>
      </c>
      <c r="C985" t="s">
        <v>4383</v>
      </c>
      <c r="D985" s="9">
        <v>270291735</v>
      </c>
      <c r="E985" t="s">
        <v>4207</v>
      </c>
      <c r="F985" t="s">
        <v>531</v>
      </c>
      <c r="G985" t="s">
        <v>30</v>
      </c>
      <c r="H985" t="s">
        <v>31</v>
      </c>
      <c r="I985" t="s">
        <v>52</v>
      </c>
      <c r="J985" t="s">
        <v>32</v>
      </c>
      <c r="K985" t="s">
        <v>29</v>
      </c>
      <c r="L985" t="s">
        <v>4384</v>
      </c>
      <c r="M985" t="s">
        <v>486</v>
      </c>
      <c r="N985" t="s">
        <v>534</v>
      </c>
      <c r="O985" t="s">
        <v>39</v>
      </c>
      <c r="P985" t="s">
        <v>4385</v>
      </c>
      <c r="Q985" t="s">
        <v>74</v>
      </c>
      <c r="R985" s="29">
        <v>46157.913194444445</v>
      </c>
      <c r="S985">
        <v>1</v>
      </c>
      <c r="T985">
        <v>3653</v>
      </c>
      <c r="U985">
        <v>0</v>
      </c>
      <c r="V985">
        <v>3653</v>
      </c>
    </row>
    <row r="986" spans="1:22" x14ac:dyDescent="0.3">
      <c r="A986">
        <v>198256</v>
      </c>
      <c r="B986">
        <v>454948682</v>
      </c>
      <c r="C986" t="s">
        <v>4386</v>
      </c>
      <c r="D986" s="9">
        <v>270245941</v>
      </c>
      <c r="E986" t="s">
        <v>4207</v>
      </c>
      <c r="F986" t="s">
        <v>531</v>
      </c>
      <c r="G986" t="s">
        <v>30</v>
      </c>
      <c r="H986" t="s">
        <v>31</v>
      </c>
      <c r="I986" t="s">
        <v>52</v>
      </c>
      <c r="J986" t="s">
        <v>32</v>
      </c>
      <c r="K986" t="s">
        <v>29</v>
      </c>
      <c r="L986" t="s">
        <v>4387</v>
      </c>
      <c r="M986" t="s">
        <v>4388</v>
      </c>
      <c r="N986" t="s">
        <v>534</v>
      </c>
      <c r="O986" t="s">
        <v>39</v>
      </c>
      <c r="P986" t="s">
        <v>4389</v>
      </c>
      <c r="Q986" t="s">
        <v>96</v>
      </c>
      <c r="R986" s="29">
        <v>46157.465277777781</v>
      </c>
      <c r="S986">
        <v>1</v>
      </c>
      <c r="T986">
        <v>3250</v>
      </c>
      <c r="U986">
        <v>0</v>
      </c>
      <c r="V986">
        <v>3250</v>
      </c>
    </row>
    <row r="987" spans="1:22" x14ac:dyDescent="0.3">
      <c r="A987">
        <v>198256</v>
      </c>
      <c r="B987">
        <v>454965983</v>
      </c>
      <c r="C987" t="s">
        <v>4390</v>
      </c>
      <c r="D987" s="9">
        <v>270291763</v>
      </c>
      <c r="E987" t="s">
        <v>4207</v>
      </c>
      <c r="F987" t="s">
        <v>531</v>
      </c>
      <c r="G987" t="s">
        <v>30</v>
      </c>
      <c r="H987" t="s">
        <v>31</v>
      </c>
      <c r="I987" t="s">
        <v>52</v>
      </c>
      <c r="J987" t="s">
        <v>32</v>
      </c>
      <c r="K987" t="s">
        <v>29</v>
      </c>
      <c r="L987" t="s">
        <v>4391</v>
      </c>
      <c r="M987" t="s">
        <v>121</v>
      </c>
      <c r="N987" t="s">
        <v>534</v>
      </c>
      <c r="O987" t="s">
        <v>39</v>
      </c>
      <c r="P987" t="s">
        <v>4392</v>
      </c>
      <c r="Q987" t="s">
        <v>140</v>
      </c>
      <c r="R987" s="29">
        <v>46157.913194444445</v>
      </c>
      <c r="S987">
        <v>1</v>
      </c>
      <c r="T987">
        <v>3250</v>
      </c>
      <c r="U987">
        <v>0</v>
      </c>
      <c r="V987">
        <v>3250</v>
      </c>
    </row>
    <row r="988" spans="1:22" x14ac:dyDescent="0.3">
      <c r="A988">
        <v>198256</v>
      </c>
      <c r="B988">
        <v>454948691</v>
      </c>
      <c r="C988" t="s">
        <v>4393</v>
      </c>
      <c r="D988" s="9">
        <v>270245950</v>
      </c>
      <c r="E988" t="s">
        <v>4207</v>
      </c>
      <c r="F988" t="s">
        <v>531</v>
      </c>
      <c r="G988" t="s">
        <v>30</v>
      </c>
      <c r="H988" t="s">
        <v>31</v>
      </c>
      <c r="I988" t="s">
        <v>52</v>
      </c>
      <c r="J988" t="s">
        <v>32</v>
      </c>
      <c r="K988" t="s">
        <v>29</v>
      </c>
      <c r="L988" t="s">
        <v>4394</v>
      </c>
      <c r="M988" t="s">
        <v>4395</v>
      </c>
      <c r="N988" t="s">
        <v>534</v>
      </c>
      <c r="O988" t="s">
        <v>39</v>
      </c>
      <c r="P988" t="s">
        <v>4396</v>
      </c>
      <c r="Q988" t="s">
        <v>62</v>
      </c>
      <c r="R988" s="29">
        <v>46157.46597222222</v>
      </c>
      <c r="S988">
        <v>1</v>
      </c>
      <c r="T988">
        <v>3935</v>
      </c>
      <c r="U988">
        <v>0</v>
      </c>
      <c r="V988">
        <v>3935</v>
      </c>
    </row>
    <row r="989" spans="1:22" x14ac:dyDescent="0.3">
      <c r="A989">
        <v>198256</v>
      </c>
      <c r="B989">
        <v>454948687</v>
      </c>
      <c r="C989" t="s">
        <v>4397</v>
      </c>
      <c r="D989" s="9">
        <v>270245946</v>
      </c>
      <c r="E989" t="s">
        <v>4207</v>
      </c>
      <c r="F989" t="s">
        <v>531</v>
      </c>
      <c r="G989" t="s">
        <v>30</v>
      </c>
      <c r="H989" t="s">
        <v>31</v>
      </c>
      <c r="I989" t="s">
        <v>52</v>
      </c>
      <c r="J989" t="s">
        <v>32</v>
      </c>
      <c r="K989" t="s">
        <v>29</v>
      </c>
      <c r="L989" t="s">
        <v>4398</v>
      </c>
      <c r="M989" t="s">
        <v>4399</v>
      </c>
      <c r="N989" t="s">
        <v>534</v>
      </c>
      <c r="O989" t="s">
        <v>39</v>
      </c>
      <c r="P989" t="s">
        <v>4400</v>
      </c>
      <c r="Q989" t="s">
        <v>63</v>
      </c>
      <c r="R989" s="29">
        <v>46157.46597222222</v>
      </c>
      <c r="S989">
        <v>1</v>
      </c>
      <c r="T989">
        <v>3384</v>
      </c>
      <c r="U989">
        <v>0</v>
      </c>
      <c r="V989">
        <v>3384</v>
      </c>
    </row>
    <row r="990" spans="1:22" x14ac:dyDescent="0.3">
      <c r="A990">
        <v>198256</v>
      </c>
      <c r="B990">
        <v>454948724</v>
      </c>
      <c r="C990" t="s">
        <v>4401</v>
      </c>
      <c r="D990" s="9">
        <v>270245968</v>
      </c>
      <c r="E990" t="s">
        <v>4207</v>
      </c>
      <c r="F990" t="s">
        <v>531</v>
      </c>
      <c r="G990" t="s">
        <v>30</v>
      </c>
      <c r="H990" t="s">
        <v>31</v>
      </c>
      <c r="I990" t="s">
        <v>52</v>
      </c>
      <c r="J990" t="s">
        <v>32</v>
      </c>
      <c r="K990" t="s">
        <v>29</v>
      </c>
      <c r="L990" t="s">
        <v>4402</v>
      </c>
      <c r="M990" t="s">
        <v>4403</v>
      </c>
      <c r="N990" t="s">
        <v>534</v>
      </c>
      <c r="O990" t="s">
        <v>39</v>
      </c>
      <c r="P990" t="s">
        <v>4404</v>
      </c>
      <c r="Q990" t="s">
        <v>78</v>
      </c>
      <c r="R990" s="29">
        <v>46157.46597222222</v>
      </c>
      <c r="S990">
        <v>1</v>
      </c>
      <c r="T990">
        <v>3250</v>
      </c>
      <c r="U990">
        <v>0</v>
      </c>
      <c r="V990">
        <v>3250</v>
      </c>
    </row>
    <row r="991" spans="1:22" x14ac:dyDescent="0.3">
      <c r="A991">
        <v>198256</v>
      </c>
      <c r="B991">
        <v>454948743</v>
      </c>
      <c r="C991" t="s">
        <v>4405</v>
      </c>
      <c r="D991" s="9">
        <v>270246004</v>
      </c>
      <c r="E991" t="s">
        <v>4207</v>
      </c>
      <c r="F991" t="s">
        <v>531</v>
      </c>
      <c r="G991" t="s">
        <v>30</v>
      </c>
      <c r="H991" t="s">
        <v>31</v>
      </c>
      <c r="I991" t="s">
        <v>52</v>
      </c>
      <c r="J991" t="s">
        <v>32</v>
      </c>
      <c r="K991" t="s">
        <v>29</v>
      </c>
      <c r="L991" t="s">
        <v>4406</v>
      </c>
      <c r="M991" t="s">
        <v>4407</v>
      </c>
      <c r="N991" t="s">
        <v>534</v>
      </c>
      <c r="O991" t="s">
        <v>39</v>
      </c>
      <c r="P991" t="s">
        <v>4408</v>
      </c>
      <c r="Q991" t="s">
        <v>78</v>
      </c>
      <c r="R991" s="29">
        <v>46157.46597222222</v>
      </c>
      <c r="S991">
        <v>1</v>
      </c>
      <c r="T991">
        <v>3250</v>
      </c>
      <c r="U991">
        <v>0</v>
      </c>
      <c r="V991">
        <v>3250</v>
      </c>
    </row>
    <row r="992" spans="1:22" x14ac:dyDescent="0.3">
      <c r="A992">
        <v>198256</v>
      </c>
      <c r="B992">
        <v>455024589</v>
      </c>
      <c r="C992" t="s">
        <v>4409</v>
      </c>
      <c r="D992" s="9">
        <v>270418174</v>
      </c>
      <c r="E992" t="s">
        <v>4207</v>
      </c>
      <c r="F992" t="s">
        <v>531</v>
      </c>
      <c r="G992" t="s">
        <v>30</v>
      </c>
      <c r="H992" t="s">
        <v>31</v>
      </c>
      <c r="I992" t="s">
        <v>52</v>
      </c>
      <c r="J992" t="s">
        <v>32</v>
      </c>
      <c r="K992" t="s">
        <v>102</v>
      </c>
      <c r="L992" t="s">
        <v>103</v>
      </c>
      <c r="M992" t="s">
        <v>119</v>
      </c>
      <c r="N992" t="s">
        <v>534</v>
      </c>
      <c r="O992" t="s">
        <v>39</v>
      </c>
      <c r="P992" t="s">
        <v>4410</v>
      </c>
      <c r="Q992" t="s">
        <v>38</v>
      </c>
      <c r="R992" s="29">
        <v>46160.561111111114</v>
      </c>
      <c r="S992">
        <v>1</v>
      </c>
      <c r="T992">
        <v>3250</v>
      </c>
      <c r="U992">
        <v>0</v>
      </c>
      <c r="V992">
        <v>3250</v>
      </c>
    </row>
    <row r="993" spans="1:22" x14ac:dyDescent="0.3">
      <c r="A993">
        <v>198256</v>
      </c>
      <c r="B993">
        <v>454965935</v>
      </c>
      <c r="C993" t="s">
        <v>4411</v>
      </c>
      <c r="D993" s="9">
        <v>270291725</v>
      </c>
      <c r="E993" t="s">
        <v>4207</v>
      </c>
      <c r="F993" t="s">
        <v>531</v>
      </c>
      <c r="G993" t="s">
        <v>30</v>
      </c>
      <c r="H993" t="s">
        <v>31</v>
      </c>
      <c r="I993" t="s">
        <v>52</v>
      </c>
      <c r="J993" t="s">
        <v>32</v>
      </c>
      <c r="K993" t="s">
        <v>29</v>
      </c>
      <c r="L993" t="s">
        <v>4412</v>
      </c>
      <c r="M993" t="s">
        <v>4413</v>
      </c>
      <c r="N993" t="s">
        <v>534</v>
      </c>
      <c r="O993" t="s">
        <v>39</v>
      </c>
      <c r="P993" t="s">
        <v>4414</v>
      </c>
      <c r="Q993" t="s">
        <v>63</v>
      </c>
      <c r="R993" s="29">
        <v>46157.913194444445</v>
      </c>
      <c r="S993">
        <v>1</v>
      </c>
      <c r="T993">
        <v>3384</v>
      </c>
      <c r="U993">
        <v>0</v>
      </c>
      <c r="V993">
        <v>3384</v>
      </c>
    </row>
    <row r="994" spans="1:22" x14ac:dyDescent="0.3">
      <c r="A994">
        <v>198256</v>
      </c>
      <c r="B994">
        <v>455024598</v>
      </c>
      <c r="C994" t="s">
        <v>4415</v>
      </c>
      <c r="D994" s="9">
        <v>270418193</v>
      </c>
      <c r="E994" t="s">
        <v>4207</v>
      </c>
      <c r="F994" t="s">
        <v>531</v>
      </c>
      <c r="G994" t="s">
        <v>30</v>
      </c>
      <c r="H994" t="s">
        <v>31</v>
      </c>
      <c r="I994" t="s">
        <v>52</v>
      </c>
      <c r="J994" t="s">
        <v>32</v>
      </c>
      <c r="K994" t="s">
        <v>29</v>
      </c>
      <c r="L994" t="s">
        <v>4416</v>
      </c>
      <c r="M994" t="s">
        <v>4417</v>
      </c>
      <c r="N994" t="s">
        <v>534</v>
      </c>
      <c r="O994" t="s">
        <v>39</v>
      </c>
      <c r="P994" t="s">
        <v>4418</v>
      </c>
      <c r="Q994" t="s">
        <v>38</v>
      </c>
      <c r="R994" s="29">
        <v>46160.561111111114</v>
      </c>
      <c r="S994">
        <v>1</v>
      </c>
      <c r="T994">
        <v>3250</v>
      </c>
      <c r="U994">
        <v>0</v>
      </c>
      <c r="V994">
        <v>3250</v>
      </c>
    </row>
    <row r="995" spans="1:22" x14ac:dyDescent="0.3">
      <c r="A995">
        <v>198256</v>
      </c>
      <c r="B995">
        <v>454965929</v>
      </c>
      <c r="C995" t="s">
        <v>4419</v>
      </c>
      <c r="D995" s="9">
        <v>270291738</v>
      </c>
      <c r="E995" t="s">
        <v>4207</v>
      </c>
      <c r="F995" t="s">
        <v>531</v>
      </c>
      <c r="G995" t="s">
        <v>30</v>
      </c>
      <c r="H995" t="s">
        <v>31</v>
      </c>
      <c r="I995" t="s">
        <v>52</v>
      </c>
      <c r="J995" t="s">
        <v>32</v>
      </c>
      <c r="K995" t="s">
        <v>29</v>
      </c>
      <c r="L995" t="s">
        <v>4420</v>
      </c>
      <c r="M995" t="s">
        <v>325</v>
      </c>
      <c r="N995" t="s">
        <v>534</v>
      </c>
      <c r="O995" t="s">
        <v>39</v>
      </c>
      <c r="P995" t="s">
        <v>4421</v>
      </c>
      <c r="Q995" t="s">
        <v>63</v>
      </c>
      <c r="R995" s="29">
        <v>46157.913194444445</v>
      </c>
      <c r="S995">
        <v>1</v>
      </c>
      <c r="T995">
        <v>3384</v>
      </c>
      <c r="U995">
        <v>0</v>
      </c>
      <c r="V995">
        <v>3384</v>
      </c>
    </row>
    <row r="996" spans="1:22" x14ac:dyDescent="0.3">
      <c r="A996">
        <v>198256</v>
      </c>
      <c r="B996">
        <v>454948531</v>
      </c>
      <c r="C996" t="s">
        <v>4422</v>
      </c>
      <c r="D996" s="9">
        <v>270245600</v>
      </c>
      <c r="E996" t="s">
        <v>4207</v>
      </c>
      <c r="F996" t="s">
        <v>531</v>
      </c>
      <c r="G996" t="s">
        <v>30</v>
      </c>
      <c r="H996" t="s">
        <v>31</v>
      </c>
      <c r="I996" t="s">
        <v>52</v>
      </c>
      <c r="J996" t="s">
        <v>32</v>
      </c>
      <c r="K996" t="s">
        <v>29</v>
      </c>
      <c r="L996" t="s">
        <v>4423</v>
      </c>
      <c r="M996" t="s">
        <v>446</v>
      </c>
      <c r="N996" t="s">
        <v>534</v>
      </c>
      <c r="O996" t="s">
        <v>39</v>
      </c>
      <c r="P996" t="s">
        <v>4424</v>
      </c>
      <c r="Q996" t="s">
        <v>34</v>
      </c>
      <c r="R996" s="29">
        <v>46157.463194444441</v>
      </c>
      <c r="S996">
        <v>1</v>
      </c>
      <c r="T996">
        <v>3653</v>
      </c>
      <c r="U996">
        <v>0</v>
      </c>
      <c r="V996">
        <v>3653</v>
      </c>
    </row>
    <row r="997" spans="1:22" x14ac:dyDescent="0.3">
      <c r="A997">
        <v>198256</v>
      </c>
      <c r="B997">
        <v>454965966</v>
      </c>
      <c r="C997" t="s">
        <v>4425</v>
      </c>
      <c r="D997" s="9">
        <v>270291755</v>
      </c>
      <c r="E997" t="s">
        <v>4207</v>
      </c>
      <c r="F997" t="s">
        <v>531</v>
      </c>
      <c r="G997" t="s">
        <v>30</v>
      </c>
      <c r="H997" t="s">
        <v>31</v>
      </c>
      <c r="I997" t="s">
        <v>52</v>
      </c>
      <c r="J997" t="s">
        <v>32</v>
      </c>
      <c r="K997" t="s">
        <v>29</v>
      </c>
      <c r="L997" t="s">
        <v>4426</v>
      </c>
      <c r="M997" t="s">
        <v>493</v>
      </c>
      <c r="N997" t="s">
        <v>534</v>
      </c>
      <c r="O997" t="s">
        <v>39</v>
      </c>
      <c r="P997" t="s">
        <v>4427</v>
      </c>
      <c r="Q997" t="s">
        <v>34</v>
      </c>
      <c r="R997" s="29">
        <v>46157.913194444445</v>
      </c>
      <c r="S997">
        <v>1</v>
      </c>
      <c r="T997">
        <v>3653</v>
      </c>
      <c r="U997">
        <v>0</v>
      </c>
      <c r="V997">
        <v>3653</v>
      </c>
    </row>
    <row r="998" spans="1:22" x14ac:dyDescent="0.3">
      <c r="A998">
        <v>198256</v>
      </c>
      <c r="B998">
        <v>454965964</v>
      </c>
      <c r="C998" t="s">
        <v>4428</v>
      </c>
      <c r="D998" s="9">
        <v>270291754</v>
      </c>
      <c r="E998" t="s">
        <v>4207</v>
      </c>
      <c r="F998" t="s">
        <v>531</v>
      </c>
      <c r="G998" t="s">
        <v>30</v>
      </c>
      <c r="H998" t="s">
        <v>31</v>
      </c>
      <c r="I998" t="s">
        <v>52</v>
      </c>
      <c r="J998" t="s">
        <v>32</v>
      </c>
      <c r="K998" t="s">
        <v>29</v>
      </c>
      <c r="L998" t="s">
        <v>4429</v>
      </c>
      <c r="M998" t="s">
        <v>448</v>
      </c>
      <c r="N998" t="s">
        <v>534</v>
      </c>
      <c r="O998" t="s">
        <v>39</v>
      </c>
      <c r="P998" t="s">
        <v>4430</v>
      </c>
      <c r="Q998" t="s">
        <v>78</v>
      </c>
      <c r="R998" s="29">
        <v>46157.913194444445</v>
      </c>
      <c r="S998">
        <v>1</v>
      </c>
      <c r="T998">
        <v>3250</v>
      </c>
      <c r="U998">
        <v>0</v>
      </c>
      <c r="V998">
        <v>3250</v>
      </c>
    </row>
    <row r="999" spans="1:22" x14ac:dyDescent="0.3">
      <c r="A999">
        <v>198256</v>
      </c>
      <c r="B999">
        <v>454948740</v>
      </c>
      <c r="C999" t="s">
        <v>4431</v>
      </c>
      <c r="D999" s="9">
        <v>270246017</v>
      </c>
      <c r="E999" t="s">
        <v>4207</v>
      </c>
      <c r="F999" t="s">
        <v>531</v>
      </c>
      <c r="G999" t="s">
        <v>30</v>
      </c>
      <c r="H999" t="s">
        <v>31</v>
      </c>
      <c r="I999" t="s">
        <v>52</v>
      </c>
      <c r="J999" t="s">
        <v>32</v>
      </c>
      <c r="K999" t="s">
        <v>29</v>
      </c>
      <c r="L999" t="s">
        <v>4432</v>
      </c>
      <c r="M999" t="s">
        <v>4433</v>
      </c>
      <c r="N999" t="s">
        <v>534</v>
      </c>
      <c r="O999" t="s">
        <v>39</v>
      </c>
      <c r="P999" t="s">
        <v>4434</v>
      </c>
      <c r="Q999" t="s">
        <v>48</v>
      </c>
      <c r="R999" s="29">
        <v>46157.46597222222</v>
      </c>
      <c r="S999">
        <v>1</v>
      </c>
      <c r="T999">
        <v>3250</v>
      </c>
      <c r="U999">
        <v>0</v>
      </c>
      <c r="V999">
        <v>3250</v>
      </c>
    </row>
    <row r="1000" spans="1:22" x14ac:dyDescent="0.3">
      <c r="A1000">
        <v>198256</v>
      </c>
      <c r="B1000">
        <v>454965975</v>
      </c>
      <c r="C1000" t="s">
        <v>4435</v>
      </c>
      <c r="D1000" s="9">
        <v>270291751</v>
      </c>
      <c r="E1000" t="s">
        <v>4207</v>
      </c>
      <c r="F1000" t="s">
        <v>531</v>
      </c>
      <c r="G1000" t="s">
        <v>30</v>
      </c>
      <c r="H1000" t="s">
        <v>31</v>
      </c>
      <c r="I1000" t="s">
        <v>52</v>
      </c>
      <c r="J1000" t="s">
        <v>32</v>
      </c>
      <c r="K1000" t="s">
        <v>29</v>
      </c>
      <c r="L1000" t="s">
        <v>4436</v>
      </c>
      <c r="M1000" t="s">
        <v>4437</v>
      </c>
      <c r="N1000" t="s">
        <v>534</v>
      </c>
      <c r="O1000" t="s">
        <v>39</v>
      </c>
      <c r="P1000" t="s">
        <v>4438</v>
      </c>
      <c r="Q1000" t="s">
        <v>95</v>
      </c>
      <c r="R1000" s="29">
        <v>46157.913194444445</v>
      </c>
      <c r="S1000">
        <v>1</v>
      </c>
      <c r="T1000">
        <v>3250</v>
      </c>
      <c r="U1000">
        <v>0</v>
      </c>
      <c r="V1000">
        <v>3250</v>
      </c>
    </row>
    <row r="1001" spans="1:22" x14ac:dyDescent="0.3">
      <c r="A1001">
        <v>198256</v>
      </c>
      <c r="B1001">
        <v>454746633</v>
      </c>
      <c r="C1001" t="s">
        <v>4439</v>
      </c>
      <c r="D1001" s="9">
        <v>269865632</v>
      </c>
      <c r="E1001" t="s">
        <v>4207</v>
      </c>
      <c r="F1001" t="s">
        <v>531</v>
      </c>
      <c r="G1001" t="s">
        <v>30</v>
      </c>
      <c r="H1001" t="s">
        <v>31</v>
      </c>
      <c r="I1001" t="s">
        <v>52</v>
      </c>
      <c r="J1001" t="s">
        <v>32</v>
      </c>
      <c r="K1001" t="s">
        <v>29</v>
      </c>
      <c r="L1001" t="s">
        <v>4440</v>
      </c>
      <c r="M1001" t="s">
        <v>4441</v>
      </c>
      <c r="N1001" t="s">
        <v>534</v>
      </c>
      <c r="O1001" t="s">
        <v>39</v>
      </c>
      <c r="P1001" t="s">
        <v>4442</v>
      </c>
      <c r="Q1001" t="s">
        <v>219</v>
      </c>
      <c r="R1001" s="29">
        <v>46151.472916666666</v>
      </c>
      <c r="S1001">
        <v>1</v>
      </c>
      <c r="T1001">
        <v>5024</v>
      </c>
      <c r="U1001">
        <v>0</v>
      </c>
      <c r="V1001">
        <v>5024</v>
      </c>
    </row>
    <row r="1002" spans="1:22" x14ac:dyDescent="0.3">
      <c r="A1002">
        <v>198256</v>
      </c>
      <c r="B1002">
        <v>454540901</v>
      </c>
      <c r="C1002" t="s">
        <v>4443</v>
      </c>
      <c r="D1002" s="9">
        <v>269476535</v>
      </c>
      <c r="E1002" t="s">
        <v>4207</v>
      </c>
      <c r="F1002" t="s">
        <v>531</v>
      </c>
      <c r="G1002" t="s">
        <v>30</v>
      </c>
      <c r="H1002" t="s">
        <v>31</v>
      </c>
      <c r="I1002" t="s">
        <v>52</v>
      </c>
      <c r="J1002" t="s">
        <v>32</v>
      </c>
      <c r="K1002" t="s">
        <v>29</v>
      </c>
      <c r="L1002" t="s">
        <v>4444</v>
      </c>
      <c r="M1002" t="s">
        <v>4445</v>
      </c>
      <c r="N1002" t="s">
        <v>534</v>
      </c>
      <c r="O1002" t="s">
        <v>39</v>
      </c>
      <c r="P1002" t="s">
        <v>4446</v>
      </c>
      <c r="Q1002" t="s">
        <v>49</v>
      </c>
      <c r="R1002" s="29">
        <v>46146.490972222222</v>
      </c>
      <c r="S1002">
        <v>1</v>
      </c>
      <c r="T1002">
        <v>5564</v>
      </c>
      <c r="U1002">
        <v>0</v>
      </c>
      <c r="V1002">
        <v>5564</v>
      </c>
    </row>
    <row r="1003" spans="1:22" x14ac:dyDescent="0.3">
      <c r="A1003">
        <v>198256</v>
      </c>
      <c r="B1003">
        <v>454665963</v>
      </c>
      <c r="C1003" t="s">
        <v>4447</v>
      </c>
      <c r="D1003" s="9">
        <v>269707581</v>
      </c>
      <c r="E1003" t="s">
        <v>4207</v>
      </c>
      <c r="F1003" t="s">
        <v>531</v>
      </c>
      <c r="G1003" t="s">
        <v>30</v>
      </c>
      <c r="H1003" t="s">
        <v>31</v>
      </c>
      <c r="I1003" t="s">
        <v>52</v>
      </c>
      <c r="J1003" t="s">
        <v>32</v>
      </c>
      <c r="K1003" t="s">
        <v>29</v>
      </c>
      <c r="L1003" t="s">
        <v>4448</v>
      </c>
      <c r="M1003" t="s">
        <v>4449</v>
      </c>
      <c r="N1003" t="s">
        <v>534</v>
      </c>
      <c r="O1003" t="s">
        <v>39</v>
      </c>
      <c r="P1003" t="s">
        <v>4450</v>
      </c>
      <c r="Q1003" t="s">
        <v>49</v>
      </c>
      <c r="R1003" s="29">
        <v>46149.02847222222</v>
      </c>
      <c r="S1003">
        <v>1</v>
      </c>
      <c r="T1003">
        <v>5564</v>
      </c>
      <c r="U1003">
        <v>0</v>
      </c>
      <c r="V1003">
        <v>5564</v>
      </c>
    </row>
    <row r="1004" spans="1:22" x14ac:dyDescent="0.3">
      <c r="A1004">
        <v>198256</v>
      </c>
      <c r="B1004">
        <v>454594964</v>
      </c>
      <c r="C1004" t="s">
        <v>4451</v>
      </c>
      <c r="D1004" s="9">
        <v>269580549</v>
      </c>
      <c r="E1004" t="s">
        <v>4207</v>
      </c>
      <c r="F1004" t="s">
        <v>531</v>
      </c>
      <c r="G1004" t="s">
        <v>30</v>
      </c>
      <c r="H1004" t="s">
        <v>31</v>
      </c>
      <c r="I1004" t="s">
        <v>52</v>
      </c>
      <c r="J1004" t="s">
        <v>32</v>
      </c>
      <c r="K1004" t="s">
        <v>29</v>
      </c>
      <c r="L1004" t="s">
        <v>4452</v>
      </c>
      <c r="M1004" t="s">
        <v>4453</v>
      </c>
      <c r="N1004" t="s">
        <v>534</v>
      </c>
      <c r="O1004" t="s">
        <v>39</v>
      </c>
      <c r="P1004" t="s">
        <v>4454</v>
      </c>
      <c r="Q1004" t="s">
        <v>49</v>
      </c>
      <c r="R1004" s="29">
        <v>46147.525000000001</v>
      </c>
      <c r="S1004">
        <v>1</v>
      </c>
      <c r="T1004">
        <v>5564</v>
      </c>
      <c r="U1004">
        <v>0</v>
      </c>
      <c r="V1004">
        <v>5564</v>
      </c>
    </row>
    <row r="1005" spans="1:22" x14ac:dyDescent="0.3">
      <c r="A1005">
        <v>198256</v>
      </c>
      <c r="B1005">
        <v>454541264</v>
      </c>
      <c r="C1005" t="s">
        <v>4455</v>
      </c>
      <c r="D1005" s="9">
        <v>269477034</v>
      </c>
      <c r="E1005" t="s">
        <v>4207</v>
      </c>
      <c r="F1005" t="s">
        <v>531</v>
      </c>
      <c r="G1005" t="s">
        <v>30</v>
      </c>
      <c r="H1005" t="s">
        <v>31</v>
      </c>
      <c r="I1005" t="s">
        <v>52</v>
      </c>
      <c r="J1005" t="s">
        <v>32</v>
      </c>
      <c r="K1005" t="s">
        <v>29</v>
      </c>
      <c r="L1005" t="s">
        <v>4456</v>
      </c>
      <c r="M1005" t="s">
        <v>4457</v>
      </c>
      <c r="N1005" t="s">
        <v>534</v>
      </c>
      <c r="O1005" t="s">
        <v>39</v>
      </c>
      <c r="P1005" t="s">
        <v>4458</v>
      </c>
      <c r="Q1005" t="s">
        <v>49</v>
      </c>
      <c r="R1005" s="29">
        <v>46146.493055555555</v>
      </c>
      <c r="S1005">
        <v>1</v>
      </c>
      <c r="T1005">
        <v>5564</v>
      </c>
      <c r="U1005">
        <v>0</v>
      </c>
      <c r="V1005">
        <v>5564</v>
      </c>
    </row>
    <row r="1006" spans="1:22" x14ac:dyDescent="0.3">
      <c r="A1006">
        <v>198256</v>
      </c>
      <c r="B1006">
        <v>454595000</v>
      </c>
      <c r="C1006" t="s">
        <v>4459</v>
      </c>
      <c r="D1006" s="9">
        <v>269580603</v>
      </c>
      <c r="E1006" t="s">
        <v>4207</v>
      </c>
      <c r="F1006" t="s">
        <v>531</v>
      </c>
      <c r="G1006" t="s">
        <v>30</v>
      </c>
      <c r="H1006" t="s">
        <v>31</v>
      </c>
      <c r="I1006" t="s">
        <v>52</v>
      </c>
      <c r="J1006" t="s">
        <v>32</v>
      </c>
      <c r="K1006" t="s">
        <v>29</v>
      </c>
      <c r="L1006" t="s">
        <v>4460</v>
      </c>
      <c r="M1006" t="s">
        <v>4461</v>
      </c>
      <c r="N1006" t="s">
        <v>534</v>
      </c>
      <c r="O1006" t="s">
        <v>39</v>
      </c>
      <c r="P1006" t="s">
        <v>4462</v>
      </c>
      <c r="Q1006" t="s">
        <v>49</v>
      </c>
      <c r="R1006" s="29">
        <v>46147.525000000001</v>
      </c>
      <c r="S1006">
        <v>1</v>
      </c>
      <c r="T1006">
        <v>5564</v>
      </c>
      <c r="U1006">
        <v>0</v>
      </c>
      <c r="V1006">
        <v>5564</v>
      </c>
    </row>
    <row r="1007" spans="1:22" x14ac:dyDescent="0.3">
      <c r="A1007">
        <v>198256</v>
      </c>
      <c r="B1007">
        <v>454746675</v>
      </c>
      <c r="C1007" t="s">
        <v>4463</v>
      </c>
      <c r="D1007" s="9">
        <v>269865629</v>
      </c>
      <c r="E1007" t="s">
        <v>4207</v>
      </c>
      <c r="F1007" t="s">
        <v>531</v>
      </c>
      <c r="G1007" t="s">
        <v>30</v>
      </c>
      <c r="H1007" t="s">
        <v>31</v>
      </c>
      <c r="I1007" t="s">
        <v>52</v>
      </c>
      <c r="J1007" t="s">
        <v>32</v>
      </c>
      <c r="K1007" t="s">
        <v>29</v>
      </c>
      <c r="L1007" t="s">
        <v>4464</v>
      </c>
      <c r="M1007" t="s">
        <v>4465</v>
      </c>
      <c r="N1007" t="s">
        <v>534</v>
      </c>
      <c r="O1007" t="s">
        <v>39</v>
      </c>
      <c r="P1007" t="s">
        <v>4466</v>
      </c>
      <c r="Q1007" t="s">
        <v>41</v>
      </c>
      <c r="R1007" s="29">
        <v>46151.472916666666</v>
      </c>
      <c r="S1007">
        <v>1</v>
      </c>
      <c r="T1007">
        <v>3384</v>
      </c>
      <c r="U1007">
        <v>0</v>
      </c>
      <c r="V1007">
        <v>3384</v>
      </c>
    </row>
    <row r="1008" spans="1:22" x14ac:dyDescent="0.3">
      <c r="A1008">
        <v>198256</v>
      </c>
      <c r="B1008">
        <v>454747035</v>
      </c>
      <c r="C1008" t="s">
        <v>4467</v>
      </c>
      <c r="D1008" s="9">
        <v>269866512</v>
      </c>
      <c r="E1008" t="s">
        <v>4207</v>
      </c>
      <c r="F1008" t="s">
        <v>531</v>
      </c>
      <c r="G1008" t="s">
        <v>30</v>
      </c>
      <c r="H1008" t="s">
        <v>31</v>
      </c>
      <c r="I1008" t="s">
        <v>52</v>
      </c>
      <c r="J1008" t="s">
        <v>32</v>
      </c>
      <c r="K1008" t="s">
        <v>29</v>
      </c>
      <c r="L1008" t="s">
        <v>4468</v>
      </c>
      <c r="M1008" t="s">
        <v>4469</v>
      </c>
      <c r="N1008" t="s">
        <v>534</v>
      </c>
      <c r="O1008" t="s">
        <v>39</v>
      </c>
      <c r="P1008" t="s">
        <v>4470</v>
      </c>
      <c r="Q1008" t="s">
        <v>80</v>
      </c>
      <c r="R1008" s="29">
        <v>46151.481249999997</v>
      </c>
      <c r="S1008">
        <v>1</v>
      </c>
      <c r="T1008">
        <v>5295</v>
      </c>
      <c r="U1008">
        <v>0</v>
      </c>
      <c r="V1008">
        <v>5295</v>
      </c>
    </row>
    <row r="1009" spans="1:22" x14ac:dyDescent="0.3">
      <c r="A1009">
        <v>198256</v>
      </c>
      <c r="B1009">
        <v>454747034</v>
      </c>
      <c r="C1009" t="s">
        <v>4471</v>
      </c>
      <c r="D1009" s="9">
        <v>269866499</v>
      </c>
      <c r="E1009" t="s">
        <v>4207</v>
      </c>
      <c r="F1009" t="s">
        <v>531</v>
      </c>
      <c r="G1009" t="s">
        <v>30</v>
      </c>
      <c r="H1009" t="s">
        <v>31</v>
      </c>
      <c r="I1009" t="s">
        <v>52</v>
      </c>
      <c r="J1009" t="s">
        <v>32</v>
      </c>
      <c r="K1009" t="s">
        <v>29</v>
      </c>
      <c r="L1009" t="s">
        <v>4472</v>
      </c>
      <c r="M1009" t="s">
        <v>316</v>
      </c>
      <c r="N1009" t="s">
        <v>534</v>
      </c>
      <c r="O1009" t="s">
        <v>39</v>
      </c>
      <c r="P1009" t="s">
        <v>317</v>
      </c>
      <c r="Q1009" t="s">
        <v>69</v>
      </c>
      <c r="R1009" s="29">
        <v>46151.481249999997</v>
      </c>
      <c r="S1009">
        <v>1</v>
      </c>
      <c r="T1009">
        <v>5024</v>
      </c>
      <c r="U1009">
        <v>0</v>
      </c>
      <c r="V1009">
        <v>5024</v>
      </c>
    </row>
    <row r="1010" spans="1:22" x14ac:dyDescent="0.3">
      <c r="A1010">
        <v>198256</v>
      </c>
      <c r="B1010">
        <v>454746635</v>
      </c>
      <c r="C1010" t="s">
        <v>4473</v>
      </c>
      <c r="D1010" s="9">
        <v>269865634</v>
      </c>
      <c r="E1010" t="s">
        <v>4207</v>
      </c>
      <c r="F1010" t="s">
        <v>531</v>
      </c>
      <c r="G1010" t="s">
        <v>30</v>
      </c>
      <c r="H1010" t="s">
        <v>31</v>
      </c>
      <c r="I1010" t="s">
        <v>52</v>
      </c>
      <c r="J1010" t="s">
        <v>32</v>
      </c>
      <c r="K1010" t="s">
        <v>29</v>
      </c>
      <c r="L1010" t="s">
        <v>4474</v>
      </c>
      <c r="M1010" t="s">
        <v>4475</v>
      </c>
      <c r="N1010" t="s">
        <v>534</v>
      </c>
      <c r="O1010" t="s">
        <v>39</v>
      </c>
      <c r="P1010" t="s">
        <v>4476</v>
      </c>
      <c r="Q1010" t="s">
        <v>69</v>
      </c>
      <c r="R1010" s="29">
        <v>46151.472916666666</v>
      </c>
      <c r="S1010">
        <v>1</v>
      </c>
      <c r="T1010">
        <v>5024</v>
      </c>
      <c r="U1010">
        <v>0</v>
      </c>
      <c r="V1010">
        <v>5024</v>
      </c>
    </row>
    <row r="1011" spans="1:22" x14ac:dyDescent="0.3">
      <c r="A1011">
        <v>198256</v>
      </c>
      <c r="B1011">
        <v>454746634</v>
      </c>
      <c r="C1011" t="s">
        <v>4477</v>
      </c>
      <c r="D1011" s="9">
        <v>269865613</v>
      </c>
      <c r="E1011" t="s">
        <v>4207</v>
      </c>
      <c r="F1011" t="s">
        <v>531</v>
      </c>
      <c r="G1011" t="s">
        <v>30</v>
      </c>
      <c r="H1011" t="s">
        <v>31</v>
      </c>
      <c r="I1011" t="s">
        <v>52</v>
      </c>
      <c r="J1011" t="s">
        <v>32</v>
      </c>
      <c r="K1011" t="s">
        <v>29</v>
      </c>
      <c r="L1011" t="s">
        <v>4478</v>
      </c>
      <c r="M1011" t="s">
        <v>4479</v>
      </c>
      <c r="N1011" t="s">
        <v>534</v>
      </c>
      <c r="O1011" t="s">
        <v>39</v>
      </c>
      <c r="P1011" t="s">
        <v>4480</v>
      </c>
      <c r="Q1011" t="s">
        <v>69</v>
      </c>
      <c r="R1011" s="29">
        <v>46151.472916666666</v>
      </c>
      <c r="S1011">
        <v>1</v>
      </c>
      <c r="T1011">
        <v>5024</v>
      </c>
      <c r="U1011">
        <v>0</v>
      </c>
      <c r="V1011">
        <v>5024</v>
      </c>
    </row>
    <row r="1012" spans="1:22" x14ac:dyDescent="0.3">
      <c r="A1012">
        <v>198256</v>
      </c>
      <c r="B1012">
        <v>454746993</v>
      </c>
      <c r="C1012" t="s">
        <v>4481</v>
      </c>
      <c r="D1012" s="9">
        <v>269866474</v>
      </c>
      <c r="E1012" t="s">
        <v>4207</v>
      </c>
      <c r="F1012" t="s">
        <v>531</v>
      </c>
      <c r="G1012" t="s">
        <v>30</v>
      </c>
      <c r="H1012" t="s">
        <v>31</v>
      </c>
      <c r="I1012" t="s">
        <v>52</v>
      </c>
      <c r="J1012" t="s">
        <v>32</v>
      </c>
      <c r="K1012" t="s">
        <v>29</v>
      </c>
      <c r="L1012" t="s">
        <v>4482</v>
      </c>
      <c r="M1012" t="s">
        <v>4483</v>
      </c>
      <c r="N1012" t="s">
        <v>534</v>
      </c>
      <c r="O1012" t="s">
        <v>39</v>
      </c>
      <c r="P1012" t="s">
        <v>4484</v>
      </c>
      <c r="Q1012" t="s">
        <v>36</v>
      </c>
      <c r="R1012" s="29">
        <v>46151.481249999997</v>
      </c>
      <c r="S1012">
        <v>1</v>
      </c>
      <c r="T1012">
        <v>5564</v>
      </c>
      <c r="U1012">
        <v>0</v>
      </c>
      <c r="V1012">
        <v>5564</v>
      </c>
    </row>
    <row r="1013" spans="1:22" x14ac:dyDescent="0.3">
      <c r="A1013">
        <v>198256</v>
      </c>
      <c r="B1013">
        <v>454746631</v>
      </c>
      <c r="C1013" t="s">
        <v>4485</v>
      </c>
      <c r="D1013" s="9">
        <v>269865606</v>
      </c>
      <c r="E1013" t="s">
        <v>4207</v>
      </c>
      <c r="F1013" t="s">
        <v>531</v>
      </c>
      <c r="G1013" t="s">
        <v>30</v>
      </c>
      <c r="H1013" t="s">
        <v>31</v>
      </c>
      <c r="I1013" t="s">
        <v>52</v>
      </c>
      <c r="J1013" t="s">
        <v>32</v>
      </c>
      <c r="K1013" t="s">
        <v>29</v>
      </c>
      <c r="L1013" t="s">
        <v>4486</v>
      </c>
      <c r="M1013" t="s">
        <v>4487</v>
      </c>
      <c r="N1013" t="s">
        <v>534</v>
      </c>
      <c r="O1013" t="s">
        <v>39</v>
      </c>
      <c r="P1013" t="s">
        <v>4488</v>
      </c>
      <c r="Q1013" t="s">
        <v>114</v>
      </c>
      <c r="R1013" s="29">
        <v>46151.472916666666</v>
      </c>
      <c r="S1013">
        <v>1</v>
      </c>
      <c r="T1013">
        <v>4205</v>
      </c>
      <c r="U1013">
        <v>0</v>
      </c>
      <c r="V1013">
        <v>4205</v>
      </c>
    </row>
    <row r="1014" spans="1:22" x14ac:dyDescent="0.3">
      <c r="A1014">
        <v>198256</v>
      </c>
      <c r="B1014">
        <v>454747011</v>
      </c>
      <c r="C1014" t="s">
        <v>4489</v>
      </c>
      <c r="D1014" s="9">
        <v>269875986</v>
      </c>
      <c r="E1014" t="s">
        <v>4207</v>
      </c>
      <c r="F1014" t="s">
        <v>531</v>
      </c>
      <c r="G1014" t="s">
        <v>30</v>
      </c>
      <c r="H1014" t="s">
        <v>31</v>
      </c>
      <c r="I1014" t="s">
        <v>52</v>
      </c>
      <c r="J1014" t="s">
        <v>32</v>
      </c>
      <c r="K1014" t="s">
        <v>37</v>
      </c>
      <c r="L1014" t="s">
        <v>4490</v>
      </c>
      <c r="M1014" t="s">
        <v>4491</v>
      </c>
      <c r="N1014" t="s">
        <v>534</v>
      </c>
      <c r="O1014" t="s">
        <v>39</v>
      </c>
      <c r="P1014" t="s">
        <v>4492</v>
      </c>
      <c r="Q1014" t="s">
        <v>71</v>
      </c>
      <c r="R1014" s="29">
        <v>46151.481249999997</v>
      </c>
      <c r="S1014">
        <v>1</v>
      </c>
      <c r="T1014">
        <v>3631</v>
      </c>
      <c r="U1014">
        <v>0</v>
      </c>
      <c r="V1014">
        <v>3631</v>
      </c>
    </row>
    <row r="1015" spans="1:22" x14ac:dyDescent="0.3">
      <c r="A1015">
        <v>198256</v>
      </c>
      <c r="B1015">
        <v>454747352</v>
      </c>
      <c r="C1015" t="s">
        <v>4493</v>
      </c>
      <c r="D1015" s="9">
        <v>269867427</v>
      </c>
      <c r="E1015" t="s">
        <v>4207</v>
      </c>
      <c r="F1015" t="s">
        <v>531</v>
      </c>
      <c r="G1015" t="s">
        <v>30</v>
      </c>
      <c r="H1015" t="s">
        <v>31</v>
      </c>
      <c r="I1015" t="s">
        <v>52</v>
      </c>
      <c r="J1015" t="s">
        <v>32</v>
      </c>
      <c r="K1015" t="s">
        <v>29</v>
      </c>
      <c r="L1015" t="s">
        <v>4494</v>
      </c>
      <c r="M1015" t="s">
        <v>4495</v>
      </c>
      <c r="N1015" t="s">
        <v>534</v>
      </c>
      <c r="O1015" t="s">
        <v>39</v>
      </c>
      <c r="P1015" t="s">
        <v>4496</v>
      </c>
      <c r="Q1015" t="s">
        <v>80</v>
      </c>
      <c r="R1015" s="29">
        <v>46151.486805555556</v>
      </c>
      <c r="S1015">
        <v>1</v>
      </c>
      <c r="T1015">
        <v>5295</v>
      </c>
      <c r="U1015">
        <v>0</v>
      </c>
      <c r="V1015">
        <v>5295</v>
      </c>
    </row>
    <row r="1016" spans="1:22" x14ac:dyDescent="0.3">
      <c r="A1016">
        <v>198256</v>
      </c>
      <c r="B1016">
        <v>454747182</v>
      </c>
      <c r="C1016" t="s">
        <v>4497</v>
      </c>
      <c r="D1016" s="9">
        <v>269866804</v>
      </c>
      <c r="E1016" t="s">
        <v>4207</v>
      </c>
      <c r="F1016" t="s">
        <v>531</v>
      </c>
      <c r="G1016" t="s">
        <v>30</v>
      </c>
      <c r="H1016" t="s">
        <v>31</v>
      </c>
      <c r="I1016" t="s">
        <v>52</v>
      </c>
      <c r="J1016" t="s">
        <v>32</v>
      </c>
      <c r="K1016" t="s">
        <v>29</v>
      </c>
      <c r="L1016" t="s">
        <v>4498</v>
      </c>
      <c r="M1016" t="s">
        <v>4499</v>
      </c>
      <c r="N1016" t="s">
        <v>534</v>
      </c>
      <c r="O1016" t="s">
        <v>39</v>
      </c>
      <c r="P1016" t="s">
        <v>4500</v>
      </c>
      <c r="Q1016" t="s">
        <v>164</v>
      </c>
      <c r="R1016" s="29">
        <v>46151.484027777777</v>
      </c>
      <c r="S1016">
        <v>1</v>
      </c>
      <c r="T1016">
        <v>3250</v>
      </c>
      <c r="U1016">
        <v>0</v>
      </c>
      <c r="V1016">
        <v>3250</v>
      </c>
    </row>
    <row r="1017" spans="1:22" x14ac:dyDescent="0.3">
      <c r="A1017">
        <v>198256</v>
      </c>
      <c r="B1017">
        <v>454747354</v>
      </c>
      <c r="C1017" t="s">
        <v>4501</v>
      </c>
      <c r="D1017" s="9">
        <v>269867436</v>
      </c>
      <c r="E1017" t="s">
        <v>4207</v>
      </c>
      <c r="F1017" t="s">
        <v>531</v>
      </c>
      <c r="G1017" t="s">
        <v>30</v>
      </c>
      <c r="H1017" t="s">
        <v>31</v>
      </c>
      <c r="I1017" t="s">
        <v>52</v>
      </c>
      <c r="J1017" t="s">
        <v>32</v>
      </c>
      <c r="K1017" t="s">
        <v>29</v>
      </c>
      <c r="L1017" t="s">
        <v>4502</v>
      </c>
      <c r="M1017" t="s">
        <v>4503</v>
      </c>
      <c r="N1017" t="s">
        <v>534</v>
      </c>
      <c r="O1017" t="s">
        <v>39</v>
      </c>
      <c r="P1017" t="s">
        <v>4504</v>
      </c>
      <c r="Q1017" t="s">
        <v>139</v>
      </c>
      <c r="R1017" s="29">
        <v>46151.486805555556</v>
      </c>
      <c r="S1017">
        <v>1</v>
      </c>
      <c r="T1017">
        <v>3631</v>
      </c>
      <c r="U1017">
        <v>0</v>
      </c>
      <c r="V1017">
        <v>3631</v>
      </c>
    </row>
    <row r="1018" spans="1:22" x14ac:dyDescent="0.3">
      <c r="A1018">
        <v>198256</v>
      </c>
      <c r="B1018">
        <v>454747012</v>
      </c>
      <c r="C1018" t="s">
        <v>4505</v>
      </c>
      <c r="D1018" s="9">
        <v>269866464</v>
      </c>
      <c r="E1018" t="s">
        <v>4207</v>
      </c>
      <c r="F1018" t="s">
        <v>531</v>
      </c>
      <c r="G1018" t="s">
        <v>30</v>
      </c>
      <c r="H1018" t="s">
        <v>31</v>
      </c>
      <c r="I1018" t="s">
        <v>52</v>
      </c>
      <c r="J1018" t="s">
        <v>32</v>
      </c>
      <c r="K1018" t="s">
        <v>29</v>
      </c>
      <c r="L1018" t="s">
        <v>4506</v>
      </c>
      <c r="M1018" t="s">
        <v>4507</v>
      </c>
      <c r="N1018" t="s">
        <v>534</v>
      </c>
      <c r="O1018" t="s">
        <v>39</v>
      </c>
      <c r="P1018" t="s">
        <v>4508</v>
      </c>
      <c r="Q1018" t="s">
        <v>80</v>
      </c>
      <c r="R1018" s="29">
        <v>46151.481249999997</v>
      </c>
      <c r="S1018">
        <v>1</v>
      </c>
      <c r="T1018">
        <v>5295</v>
      </c>
      <c r="U1018">
        <v>0</v>
      </c>
      <c r="V1018">
        <v>5295</v>
      </c>
    </row>
    <row r="1019" spans="1:22" x14ac:dyDescent="0.3">
      <c r="A1019">
        <v>198256</v>
      </c>
      <c r="B1019">
        <v>454746677</v>
      </c>
      <c r="C1019" t="s">
        <v>4509</v>
      </c>
      <c r="D1019" s="9">
        <v>269865664</v>
      </c>
      <c r="E1019" t="s">
        <v>4207</v>
      </c>
      <c r="F1019" t="s">
        <v>531</v>
      </c>
      <c r="G1019" t="s">
        <v>30</v>
      </c>
      <c r="H1019" t="s">
        <v>31</v>
      </c>
      <c r="I1019" t="s">
        <v>52</v>
      </c>
      <c r="J1019" t="s">
        <v>32</v>
      </c>
      <c r="K1019" t="s">
        <v>29</v>
      </c>
      <c r="L1019" t="s">
        <v>4510</v>
      </c>
      <c r="M1019" t="s">
        <v>4511</v>
      </c>
      <c r="N1019" t="s">
        <v>534</v>
      </c>
      <c r="O1019" t="s">
        <v>39</v>
      </c>
      <c r="P1019" t="s">
        <v>4512</v>
      </c>
      <c r="Q1019" t="s">
        <v>80</v>
      </c>
      <c r="R1019" s="29">
        <v>46151.472916666666</v>
      </c>
      <c r="S1019">
        <v>1</v>
      </c>
      <c r="T1019">
        <v>5295</v>
      </c>
      <c r="U1019">
        <v>0</v>
      </c>
      <c r="V1019">
        <v>5295</v>
      </c>
    </row>
    <row r="1020" spans="1:22" x14ac:dyDescent="0.3">
      <c r="A1020">
        <v>198256</v>
      </c>
      <c r="B1020">
        <v>454746648</v>
      </c>
      <c r="C1020" t="s">
        <v>4513</v>
      </c>
      <c r="D1020" s="9">
        <v>269865649</v>
      </c>
      <c r="E1020" t="s">
        <v>4207</v>
      </c>
      <c r="F1020" t="s">
        <v>531</v>
      </c>
      <c r="G1020" t="s">
        <v>30</v>
      </c>
      <c r="H1020" t="s">
        <v>31</v>
      </c>
      <c r="I1020" t="s">
        <v>52</v>
      </c>
      <c r="J1020" t="s">
        <v>32</v>
      </c>
      <c r="K1020" t="s">
        <v>29</v>
      </c>
      <c r="L1020" t="s">
        <v>510</v>
      </c>
      <c r="M1020" t="s">
        <v>373</v>
      </c>
      <c r="N1020" t="s">
        <v>534</v>
      </c>
      <c r="O1020" t="s">
        <v>39</v>
      </c>
      <c r="P1020" t="s">
        <v>4514</v>
      </c>
      <c r="Q1020" t="s">
        <v>69</v>
      </c>
      <c r="R1020" s="29">
        <v>46151.472916666666</v>
      </c>
      <c r="S1020">
        <v>1</v>
      </c>
      <c r="T1020">
        <v>5024</v>
      </c>
      <c r="U1020">
        <v>0</v>
      </c>
      <c r="V1020">
        <v>5024</v>
      </c>
    </row>
    <row r="1021" spans="1:22" x14ac:dyDescent="0.3">
      <c r="A1021">
        <v>198256</v>
      </c>
      <c r="B1021">
        <v>454746657</v>
      </c>
      <c r="C1021" t="s">
        <v>4515</v>
      </c>
      <c r="D1021" s="9">
        <v>269865624</v>
      </c>
      <c r="E1021" t="s">
        <v>4207</v>
      </c>
      <c r="F1021" t="s">
        <v>531</v>
      </c>
      <c r="G1021" t="s">
        <v>30</v>
      </c>
      <c r="H1021" t="s">
        <v>31</v>
      </c>
      <c r="I1021" t="s">
        <v>52</v>
      </c>
      <c r="J1021" t="s">
        <v>32</v>
      </c>
      <c r="K1021" t="s">
        <v>29</v>
      </c>
      <c r="L1021" t="s">
        <v>4516</v>
      </c>
      <c r="M1021" t="s">
        <v>4517</v>
      </c>
      <c r="N1021" t="s">
        <v>534</v>
      </c>
      <c r="O1021" t="s">
        <v>39</v>
      </c>
      <c r="P1021" t="s">
        <v>4518</v>
      </c>
      <c r="Q1021" t="s">
        <v>43</v>
      </c>
      <c r="R1021" s="29">
        <v>46151.472916666666</v>
      </c>
      <c r="S1021">
        <v>1</v>
      </c>
      <c r="T1021">
        <v>4205</v>
      </c>
      <c r="U1021">
        <v>0</v>
      </c>
      <c r="V1021">
        <v>4205</v>
      </c>
    </row>
    <row r="1022" spans="1:22" x14ac:dyDescent="0.3">
      <c r="A1022">
        <v>198256</v>
      </c>
      <c r="B1022">
        <v>454746669</v>
      </c>
      <c r="C1022" t="s">
        <v>4519</v>
      </c>
      <c r="D1022" s="9">
        <v>269865661</v>
      </c>
      <c r="E1022" t="s">
        <v>4207</v>
      </c>
      <c r="F1022" t="s">
        <v>531</v>
      </c>
      <c r="G1022" t="s">
        <v>30</v>
      </c>
      <c r="H1022" t="s">
        <v>31</v>
      </c>
      <c r="I1022" t="s">
        <v>52</v>
      </c>
      <c r="J1022" t="s">
        <v>32</v>
      </c>
      <c r="K1022" t="s">
        <v>29</v>
      </c>
      <c r="L1022" t="s">
        <v>4520</v>
      </c>
      <c r="M1022" t="s">
        <v>4521</v>
      </c>
      <c r="N1022" t="s">
        <v>534</v>
      </c>
      <c r="O1022" t="s">
        <v>39</v>
      </c>
      <c r="P1022" t="s">
        <v>4522</v>
      </c>
      <c r="Q1022" t="s">
        <v>35</v>
      </c>
      <c r="R1022" s="29">
        <v>46151.472916666666</v>
      </c>
      <c r="S1022">
        <v>1</v>
      </c>
      <c r="T1022">
        <v>3935</v>
      </c>
      <c r="U1022">
        <v>0</v>
      </c>
      <c r="V1022">
        <v>3935</v>
      </c>
    </row>
    <row r="1023" spans="1:22" x14ac:dyDescent="0.3">
      <c r="A1023">
        <v>198256</v>
      </c>
      <c r="B1023">
        <v>454746644</v>
      </c>
      <c r="C1023" t="s">
        <v>4523</v>
      </c>
      <c r="D1023" s="9">
        <v>269865645</v>
      </c>
      <c r="E1023" t="s">
        <v>4207</v>
      </c>
      <c r="F1023" t="s">
        <v>531</v>
      </c>
      <c r="G1023" t="s">
        <v>30</v>
      </c>
      <c r="H1023" t="s">
        <v>31</v>
      </c>
      <c r="I1023" t="s">
        <v>52</v>
      </c>
      <c r="J1023" t="s">
        <v>32</v>
      </c>
      <c r="K1023" t="s">
        <v>102</v>
      </c>
      <c r="L1023" t="s">
        <v>103</v>
      </c>
      <c r="M1023" t="s">
        <v>4524</v>
      </c>
      <c r="N1023" t="s">
        <v>534</v>
      </c>
      <c r="O1023" t="s">
        <v>39</v>
      </c>
      <c r="P1023" t="s">
        <v>4525</v>
      </c>
      <c r="Q1023" t="s">
        <v>34</v>
      </c>
      <c r="R1023" s="29">
        <v>46151.472916666666</v>
      </c>
      <c r="S1023">
        <v>1</v>
      </c>
      <c r="T1023">
        <v>3653</v>
      </c>
      <c r="U1023">
        <v>0</v>
      </c>
      <c r="V1023">
        <v>3653</v>
      </c>
    </row>
    <row r="1024" spans="1:22" x14ac:dyDescent="0.3">
      <c r="A1024">
        <v>198256</v>
      </c>
      <c r="B1024">
        <v>454746660</v>
      </c>
      <c r="C1024" t="s">
        <v>4526</v>
      </c>
      <c r="D1024" s="9">
        <v>269865653</v>
      </c>
      <c r="E1024" t="s">
        <v>4207</v>
      </c>
      <c r="F1024" t="s">
        <v>531</v>
      </c>
      <c r="G1024" t="s">
        <v>30</v>
      </c>
      <c r="H1024" t="s">
        <v>31</v>
      </c>
      <c r="I1024" t="s">
        <v>52</v>
      </c>
      <c r="J1024" t="s">
        <v>32</v>
      </c>
      <c r="K1024" t="s">
        <v>29</v>
      </c>
      <c r="L1024" t="s">
        <v>4527</v>
      </c>
      <c r="M1024" t="s">
        <v>488</v>
      </c>
      <c r="N1024" t="s">
        <v>534</v>
      </c>
      <c r="O1024" t="s">
        <v>39</v>
      </c>
      <c r="P1024" t="s">
        <v>4528</v>
      </c>
      <c r="Q1024" t="s">
        <v>62</v>
      </c>
      <c r="R1024" s="29">
        <v>46151.472916666666</v>
      </c>
      <c r="S1024">
        <v>1</v>
      </c>
      <c r="T1024">
        <v>3935</v>
      </c>
      <c r="U1024">
        <v>0</v>
      </c>
      <c r="V1024">
        <v>3935</v>
      </c>
    </row>
    <row r="1025" spans="1:22" x14ac:dyDescent="0.3">
      <c r="A1025">
        <v>198256</v>
      </c>
      <c r="B1025">
        <v>454746989</v>
      </c>
      <c r="C1025" t="s">
        <v>4529</v>
      </c>
      <c r="D1025" s="9">
        <v>269866472</v>
      </c>
      <c r="E1025" t="s">
        <v>4207</v>
      </c>
      <c r="F1025" t="s">
        <v>531</v>
      </c>
      <c r="G1025" t="s">
        <v>30</v>
      </c>
      <c r="H1025" t="s">
        <v>31</v>
      </c>
      <c r="I1025" t="s">
        <v>52</v>
      </c>
      <c r="J1025" t="s">
        <v>32</v>
      </c>
      <c r="K1025" t="s">
        <v>29</v>
      </c>
      <c r="L1025" t="s">
        <v>4530</v>
      </c>
      <c r="M1025" t="s">
        <v>4531</v>
      </c>
      <c r="N1025" t="s">
        <v>534</v>
      </c>
      <c r="O1025" t="s">
        <v>39</v>
      </c>
      <c r="P1025" t="s">
        <v>4532</v>
      </c>
      <c r="Q1025" t="s">
        <v>34</v>
      </c>
      <c r="R1025" s="29">
        <v>46151.481249999997</v>
      </c>
      <c r="S1025">
        <v>1</v>
      </c>
      <c r="T1025">
        <v>3653</v>
      </c>
      <c r="U1025">
        <v>0</v>
      </c>
      <c r="V1025">
        <v>3653</v>
      </c>
    </row>
    <row r="1026" spans="1:22" x14ac:dyDescent="0.3">
      <c r="A1026">
        <v>198256</v>
      </c>
      <c r="B1026">
        <v>454746999</v>
      </c>
      <c r="C1026" t="s">
        <v>4533</v>
      </c>
      <c r="D1026" s="9">
        <v>269866457</v>
      </c>
      <c r="E1026" t="s">
        <v>4207</v>
      </c>
      <c r="F1026" t="s">
        <v>531</v>
      </c>
      <c r="G1026" t="s">
        <v>30</v>
      </c>
      <c r="H1026" t="s">
        <v>31</v>
      </c>
      <c r="I1026" t="s">
        <v>52</v>
      </c>
      <c r="J1026" t="s">
        <v>32</v>
      </c>
      <c r="K1026" t="s">
        <v>29</v>
      </c>
      <c r="L1026" t="s">
        <v>4534</v>
      </c>
      <c r="M1026" t="s">
        <v>4535</v>
      </c>
      <c r="N1026" t="s">
        <v>534</v>
      </c>
      <c r="O1026" t="s">
        <v>39</v>
      </c>
      <c r="P1026" t="s">
        <v>4536</v>
      </c>
      <c r="Q1026" t="s">
        <v>38</v>
      </c>
      <c r="R1026" s="29">
        <v>46151.481249999997</v>
      </c>
      <c r="S1026">
        <v>1</v>
      </c>
      <c r="T1026">
        <v>3250</v>
      </c>
      <c r="U1026">
        <v>0</v>
      </c>
      <c r="V1026">
        <v>3250</v>
      </c>
    </row>
    <row r="1027" spans="1:22" x14ac:dyDescent="0.3">
      <c r="A1027">
        <v>198256</v>
      </c>
      <c r="B1027">
        <v>454747016</v>
      </c>
      <c r="C1027" t="s">
        <v>4537</v>
      </c>
      <c r="D1027" s="9">
        <v>269876001</v>
      </c>
      <c r="E1027" t="s">
        <v>4207</v>
      </c>
      <c r="F1027" t="s">
        <v>531</v>
      </c>
      <c r="G1027" t="s">
        <v>30</v>
      </c>
      <c r="H1027" t="s">
        <v>31</v>
      </c>
      <c r="I1027" t="s">
        <v>52</v>
      </c>
      <c r="J1027" t="s">
        <v>32</v>
      </c>
      <c r="K1027" t="s">
        <v>29</v>
      </c>
      <c r="L1027" t="s">
        <v>4538</v>
      </c>
      <c r="M1027" t="s">
        <v>4539</v>
      </c>
      <c r="N1027" t="s">
        <v>534</v>
      </c>
      <c r="O1027" t="s">
        <v>39</v>
      </c>
      <c r="P1027" t="s">
        <v>4540</v>
      </c>
      <c r="Q1027" t="s">
        <v>40</v>
      </c>
      <c r="R1027" s="29">
        <v>46151.481249999997</v>
      </c>
      <c r="S1027">
        <v>1</v>
      </c>
      <c r="T1027">
        <v>3935</v>
      </c>
      <c r="U1027">
        <v>0</v>
      </c>
      <c r="V1027">
        <v>3935</v>
      </c>
    </row>
    <row r="1028" spans="1:22" x14ac:dyDescent="0.3">
      <c r="A1028">
        <v>198256</v>
      </c>
      <c r="B1028">
        <v>454747191</v>
      </c>
      <c r="C1028" t="s">
        <v>4541</v>
      </c>
      <c r="D1028" s="9">
        <v>269866816</v>
      </c>
      <c r="E1028" t="s">
        <v>4207</v>
      </c>
      <c r="F1028" t="s">
        <v>531</v>
      </c>
      <c r="G1028" t="s">
        <v>30</v>
      </c>
      <c r="H1028" t="s">
        <v>31</v>
      </c>
      <c r="I1028" t="s">
        <v>52</v>
      </c>
      <c r="J1028" t="s">
        <v>32</v>
      </c>
      <c r="K1028" t="s">
        <v>29</v>
      </c>
      <c r="L1028" t="s">
        <v>4542</v>
      </c>
      <c r="M1028" t="s">
        <v>4543</v>
      </c>
      <c r="N1028" t="s">
        <v>534</v>
      </c>
      <c r="O1028" t="s">
        <v>39</v>
      </c>
      <c r="P1028" t="s">
        <v>4544</v>
      </c>
      <c r="Q1028" t="s">
        <v>38</v>
      </c>
      <c r="R1028" s="29">
        <v>46151.484027777777</v>
      </c>
      <c r="S1028">
        <v>1</v>
      </c>
      <c r="T1028">
        <v>3250</v>
      </c>
      <c r="U1028">
        <v>0</v>
      </c>
      <c r="V1028">
        <v>3250</v>
      </c>
    </row>
    <row r="1029" spans="1:22" x14ac:dyDescent="0.3">
      <c r="A1029">
        <v>198256</v>
      </c>
      <c r="B1029">
        <v>454746990</v>
      </c>
      <c r="C1029" t="s">
        <v>4545</v>
      </c>
      <c r="D1029" s="9">
        <v>269866452</v>
      </c>
      <c r="E1029" t="s">
        <v>4207</v>
      </c>
      <c r="F1029" t="s">
        <v>531</v>
      </c>
      <c r="G1029" t="s">
        <v>30</v>
      </c>
      <c r="H1029" t="s">
        <v>31</v>
      </c>
      <c r="I1029" t="s">
        <v>52</v>
      </c>
      <c r="J1029" t="s">
        <v>32</v>
      </c>
      <c r="K1029" t="s">
        <v>29</v>
      </c>
      <c r="L1029" t="s">
        <v>4546</v>
      </c>
      <c r="M1029" t="s">
        <v>4547</v>
      </c>
      <c r="N1029" t="s">
        <v>534</v>
      </c>
      <c r="O1029" t="s">
        <v>39</v>
      </c>
      <c r="P1029" t="s">
        <v>4548</v>
      </c>
      <c r="Q1029" t="s">
        <v>38</v>
      </c>
      <c r="R1029" s="29">
        <v>46151.481249999997</v>
      </c>
      <c r="S1029">
        <v>1</v>
      </c>
      <c r="T1029">
        <v>3250</v>
      </c>
      <c r="U1029">
        <v>0</v>
      </c>
      <c r="V1029">
        <v>3250</v>
      </c>
    </row>
    <row r="1030" spans="1:22" x14ac:dyDescent="0.3">
      <c r="A1030">
        <v>198256</v>
      </c>
      <c r="B1030">
        <v>454746658</v>
      </c>
      <c r="C1030" t="s">
        <v>4549</v>
      </c>
      <c r="D1030" s="9">
        <v>269865651</v>
      </c>
      <c r="E1030" t="s">
        <v>4207</v>
      </c>
      <c r="F1030" t="s">
        <v>531</v>
      </c>
      <c r="G1030" t="s">
        <v>30</v>
      </c>
      <c r="H1030" t="s">
        <v>31</v>
      </c>
      <c r="I1030" t="s">
        <v>52</v>
      </c>
      <c r="J1030" t="s">
        <v>32</v>
      </c>
      <c r="K1030" t="s">
        <v>29</v>
      </c>
      <c r="L1030" t="s">
        <v>4550</v>
      </c>
      <c r="M1030" t="s">
        <v>4551</v>
      </c>
      <c r="N1030" t="s">
        <v>534</v>
      </c>
      <c r="O1030" t="s">
        <v>39</v>
      </c>
      <c r="P1030" t="s">
        <v>4552</v>
      </c>
      <c r="Q1030" t="s">
        <v>149</v>
      </c>
      <c r="R1030" s="29">
        <v>46151.472916666666</v>
      </c>
      <c r="S1030">
        <v>1</v>
      </c>
      <c r="T1030">
        <v>3250</v>
      </c>
      <c r="U1030">
        <v>0</v>
      </c>
      <c r="V1030">
        <v>3250</v>
      </c>
    </row>
    <row r="1031" spans="1:22" x14ac:dyDescent="0.3">
      <c r="A1031">
        <v>198256</v>
      </c>
      <c r="B1031">
        <v>454747171</v>
      </c>
      <c r="C1031" t="s">
        <v>4553</v>
      </c>
      <c r="D1031" s="9">
        <v>269866793</v>
      </c>
      <c r="E1031" t="s">
        <v>4207</v>
      </c>
      <c r="F1031" t="s">
        <v>531</v>
      </c>
      <c r="G1031" t="s">
        <v>30</v>
      </c>
      <c r="H1031" t="s">
        <v>31</v>
      </c>
      <c r="I1031" t="s">
        <v>52</v>
      </c>
      <c r="J1031" t="s">
        <v>32</v>
      </c>
      <c r="K1031" t="s">
        <v>29</v>
      </c>
      <c r="L1031" t="s">
        <v>4554</v>
      </c>
      <c r="M1031" t="s">
        <v>4555</v>
      </c>
      <c r="N1031" t="s">
        <v>534</v>
      </c>
      <c r="O1031" t="s">
        <v>39</v>
      </c>
      <c r="P1031" t="s">
        <v>4556</v>
      </c>
      <c r="Q1031" t="s">
        <v>40</v>
      </c>
      <c r="R1031" s="29">
        <v>46151.48333333333</v>
      </c>
      <c r="S1031">
        <v>1</v>
      </c>
      <c r="T1031">
        <v>3935</v>
      </c>
      <c r="U1031">
        <v>0</v>
      </c>
      <c r="V1031">
        <v>3935</v>
      </c>
    </row>
    <row r="1032" spans="1:22" x14ac:dyDescent="0.3">
      <c r="A1032">
        <v>198256</v>
      </c>
      <c r="B1032">
        <v>454747164</v>
      </c>
      <c r="C1032" t="s">
        <v>4557</v>
      </c>
      <c r="D1032" s="9">
        <v>269866784</v>
      </c>
      <c r="E1032" t="s">
        <v>4207</v>
      </c>
      <c r="F1032" t="s">
        <v>531</v>
      </c>
      <c r="G1032" t="s">
        <v>30</v>
      </c>
      <c r="H1032" t="s">
        <v>31</v>
      </c>
      <c r="I1032" t="s">
        <v>52</v>
      </c>
      <c r="J1032" t="s">
        <v>32</v>
      </c>
      <c r="K1032" t="s">
        <v>29</v>
      </c>
      <c r="L1032" t="s">
        <v>4558</v>
      </c>
      <c r="M1032" t="s">
        <v>4559</v>
      </c>
      <c r="N1032" t="s">
        <v>534</v>
      </c>
      <c r="O1032" t="s">
        <v>39</v>
      </c>
      <c r="P1032" t="s">
        <v>4560</v>
      </c>
      <c r="Q1032" t="s">
        <v>62</v>
      </c>
      <c r="R1032" s="29">
        <v>46151.48333333333</v>
      </c>
      <c r="S1032">
        <v>1</v>
      </c>
      <c r="T1032">
        <v>3935</v>
      </c>
      <c r="U1032">
        <v>0</v>
      </c>
      <c r="V1032">
        <v>3935</v>
      </c>
    </row>
    <row r="1033" spans="1:22" x14ac:dyDescent="0.3">
      <c r="A1033">
        <v>198256</v>
      </c>
      <c r="B1033">
        <v>454746996</v>
      </c>
      <c r="C1033" t="s">
        <v>4561</v>
      </c>
      <c r="D1033" s="9">
        <v>269866456</v>
      </c>
      <c r="E1033" t="s">
        <v>4207</v>
      </c>
      <c r="F1033" t="s">
        <v>531</v>
      </c>
      <c r="G1033" t="s">
        <v>30</v>
      </c>
      <c r="H1033" t="s">
        <v>31</v>
      </c>
      <c r="I1033" t="s">
        <v>52</v>
      </c>
      <c r="J1033" t="s">
        <v>32</v>
      </c>
      <c r="K1033" t="s">
        <v>29</v>
      </c>
      <c r="L1033" t="s">
        <v>4562</v>
      </c>
      <c r="M1033" t="s">
        <v>4563</v>
      </c>
      <c r="N1033" t="s">
        <v>534</v>
      </c>
      <c r="O1033" t="s">
        <v>39</v>
      </c>
      <c r="P1033" t="s">
        <v>4564</v>
      </c>
      <c r="Q1033" t="s">
        <v>180</v>
      </c>
      <c r="R1033" s="29">
        <v>46151.481249999997</v>
      </c>
      <c r="S1033">
        <v>1</v>
      </c>
      <c r="T1033">
        <v>3250</v>
      </c>
      <c r="U1033">
        <v>0</v>
      </c>
      <c r="V1033">
        <v>3250</v>
      </c>
    </row>
    <row r="1034" spans="1:22" x14ac:dyDescent="0.3">
      <c r="A1034">
        <v>198256</v>
      </c>
      <c r="B1034">
        <v>454746681</v>
      </c>
      <c r="C1034" t="s">
        <v>4565</v>
      </c>
      <c r="D1034" s="9">
        <v>269865672</v>
      </c>
      <c r="E1034" t="s">
        <v>4207</v>
      </c>
      <c r="F1034" t="s">
        <v>531</v>
      </c>
      <c r="G1034" t="s">
        <v>30</v>
      </c>
      <c r="H1034" t="s">
        <v>31</v>
      </c>
      <c r="I1034" t="s">
        <v>52</v>
      </c>
      <c r="J1034" t="s">
        <v>32</v>
      </c>
      <c r="K1034" t="s">
        <v>29</v>
      </c>
      <c r="L1034" t="s">
        <v>4566</v>
      </c>
      <c r="M1034" t="s">
        <v>4567</v>
      </c>
      <c r="N1034" t="s">
        <v>534</v>
      </c>
      <c r="O1034" t="s">
        <v>39</v>
      </c>
      <c r="P1034" t="s">
        <v>4568</v>
      </c>
      <c r="Q1034" t="s">
        <v>74</v>
      </c>
      <c r="R1034" s="29">
        <v>46151.472916666666</v>
      </c>
      <c r="S1034">
        <v>1</v>
      </c>
      <c r="T1034">
        <v>3653</v>
      </c>
      <c r="U1034">
        <v>0</v>
      </c>
      <c r="V1034">
        <v>3653</v>
      </c>
    </row>
    <row r="1035" spans="1:22" x14ac:dyDescent="0.3">
      <c r="A1035">
        <v>198256</v>
      </c>
      <c r="B1035">
        <v>454746639</v>
      </c>
      <c r="C1035" t="s">
        <v>4569</v>
      </c>
      <c r="D1035" s="9">
        <v>269865642</v>
      </c>
      <c r="E1035" t="s">
        <v>4207</v>
      </c>
      <c r="F1035" t="s">
        <v>531</v>
      </c>
      <c r="G1035" t="s">
        <v>30</v>
      </c>
      <c r="H1035" t="s">
        <v>31</v>
      </c>
      <c r="I1035" t="s">
        <v>52</v>
      </c>
      <c r="J1035" t="s">
        <v>32</v>
      </c>
      <c r="K1035" t="s">
        <v>29</v>
      </c>
      <c r="L1035" t="s">
        <v>4570</v>
      </c>
      <c r="M1035" t="s">
        <v>4571</v>
      </c>
      <c r="N1035" t="s">
        <v>534</v>
      </c>
      <c r="O1035" t="s">
        <v>39</v>
      </c>
      <c r="P1035" t="s">
        <v>4572</v>
      </c>
      <c r="Q1035" t="s">
        <v>161</v>
      </c>
      <c r="R1035" s="29">
        <v>46151.472916666666</v>
      </c>
      <c r="S1035">
        <v>1</v>
      </c>
      <c r="T1035">
        <v>3935</v>
      </c>
      <c r="U1035">
        <v>0</v>
      </c>
      <c r="V1035">
        <v>3935</v>
      </c>
    </row>
    <row r="1036" spans="1:22" x14ac:dyDescent="0.3">
      <c r="A1036">
        <v>198256</v>
      </c>
      <c r="B1036">
        <v>454746641</v>
      </c>
      <c r="C1036" t="s">
        <v>4573</v>
      </c>
      <c r="D1036" s="9">
        <v>269865643</v>
      </c>
      <c r="E1036" t="s">
        <v>4207</v>
      </c>
      <c r="F1036" t="s">
        <v>531</v>
      </c>
      <c r="G1036" t="s">
        <v>30</v>
      </c>
      <c r="H1036" t="s">
        <v>31</v>
      </c>
      <c r="I1036" t="s">
        <v>52</v>
      </c>
      <c r="J1036" t="s">
        <v>32</v>
      </c>
      <c r="K1036" t="s">
        <v>29</v>
      </c>
      <c r="L1036" t="s">
        <v>1850</v>
      </c>
      <c r="M1036" t="s">
        <v>4574</v>
      </c>
      <c r="N1036" t="s">
        <v>534</v>
      </c>
      <c r="O1036" t="s">
        <v>39</v>
      </c>
      <c r="P1036" t="s">
        <v>4575</v>
      </c>
      <c r="Q1036" t="s">
        <v>38</v>
      </c>
      <c r="R1036" s="29">
        <v>46151.472916666666</v>
      </c>
      <c r="S1036">
        <v>1</v>
      </c>
      <c r="T1036">
        <v>3250</v>
      </c>
      <c r="U1036">
        <v>0</v>
      </c>
      <c r="V1036">
        <v>3250</v>
      </c>
    </row>
    <row r="1037" spans="1:22" x14ac:dyDescent="0.3">
      <c r="A1037">
        <v>198256</v>
      </c>
      <c r="B1037">
        <v>454747043</v>
      </c>
      <c r="C1037" t="s">
        <v>4576</v>
      </c>
      <c r="D1037" s="9">
        <v>269866515</v>
      </c>
      <c r="E1037" t="s">
        <v>4207</v>
      </c>
      <c r="F1037" t="s">
        <v>531</v>
      </c>
      <c r="G1037" t="s">
        <v>30</v>
      </c>
      <c r="H1037" t="s">
        <v>31</v>
      </c>
      <c r="I1037" t="s">
        <v>52</v>
      </c>
      <c r="J1037" t="s">
        <v>32</v>
      </c>
      <c r="K1037" t="s">
        <v>29</v>
      </c>
      <c r="L1037" t="s">
        <v>315</v>
      </c>
      <c r="M1037" t="s">
        <v>4577</v>
      </c>
      <c r="N1037" t="s">
        <v>534</v>
      </c>
      <c r="O1037" t="s">
        <v>39</v>
      </c>
      <c r="P1037" t="s">
        <v>4578</v>
      </c>
      <c r="Q1037" t="s">
        <v>42</v>
      </c>
      <c r="R1037" s="29">
        <v>46151.481249999997</v>
      </c>
      <c r="S1037">
        <v>1</v>
      </c>
      <c r="T1037">
        <v>3250</v>
      </c>
      <c r="U1037">
        <v>0</v>
      </c>
      <c r="V1037">
        <v>3250</v>
      </c>
    </row>
    <row r="1038" spans="1:22" x14ac:dyDescent="0.3">
      <c r="A1038">
        <v>198256</v>
      </c>
      <c r="B1038">
        <v>454747361</v>
      </c>
      <c r="C1038" t="s">
        <v>4579</v>
      </c>
      <c r="D1038" s="9">
        <v>269867443</v>
      </c>
      <c r="E1038" t="s">
        <v>4207</v>
      </c>
      <c r="F1038" t="s">
        <v>531</v>
      </c>
      <c r="G1038" t="s">
        <v>30</v>
      </c>
      <c r="H1038" t="s">
        <v>31</v>
      </c>
      <c r="I1038" t="s">
        <v>52</v>
      </c>
      <c r="J1038" t="s">
        <v>32</v>
      </c>
      <c r="K1038" t="s">
        <v>29</v>
      </c>
      <c r="L1038" t="s">
        <v>4580</v>
      </c>
      <c r="M1038" t="s">
        <v>4581</v>
      </c>
      <c r="N1038" t="s">
        <v>534</v>
      </c>
      <c r="O1038" t="s">
        <v>39</v>
      </c>
      <c r="P1038" t="s">
        <v>4582</v>
      </c>
      <c r="Q1038" t="s">
        <v>140</v>
      </c>
      <c r="R1038" s="29">
        <v>46151.486805555556</v>
      </c>
      <c r="S1038">
        <v>1</v>
      </c>
      <c r="T1038">
        <v>3250</v>
      </c>
      <c r="U1038">
        <v>0</v>
      </c>
      <c r="V1038">
        <v>3250</v>
      </c>
    </row>
    <row r="1039" spans="1:22" x14ac:dyDescent="0.3">
      <c r="A1039">
        <v>198256</v>
      </c>
      <c r="B1039">
        <v>454746645</v>
      </c>
      <c r="C1039" t="s">
        <v>4583</v>
      </c>
      <c r="D1039" s="9">
        <v>269865647</v>
      </c>
      <c r="E1039" t="s">
        <v>4207</v>
      </c>
      <c r="F1039" t="s">
        <v>531</v>
      </c>
      <c r="G1039" t="s">
        <v>30</v>
      </c>
      <c r="H1039" t="s">
        <v>31</v>
      </c>
      <c r="I1039" t="s">
        <v>52</v>
      </c>
      <c r="J1039" t="s">
        <v>32</v>
      </c>
      <c r="K1039" t="s">
        <v>29</v>
      </c>
      <c r="L1039" t="s">
        <v>4584</v>
      </c>
      <c r="M1039" t="s">
        <v>478</v>
      </c>
      <c r="N1039" t="s">
        <v>534</v>
      </c>
      <c r="O1039" t="s">
        <v>39</v>
      </c>
      <c r="P1039" t="s">
        <v>4585</v>
      </c>
      <c r="Q1039" t="s">
        <v>74</v>
      </c>
      <c r="R1039" s="29">
        <v>46151.472916666666</v>
      </c>
      <c r="S1039">
        <v>1</v>
      </c>
      <c r="T1039">
        <v>3653</v>
      </c>
      <c r="U1039">
        <v>0</v>
      </c>
      <c r="V1039">
        <v>3653</v>
      </c>
    </row>
    <row r="1040" spans="1:22" x14ac:dyDescent="0.3">
      <c r="A1040">
        <v>198256</v>
      </c>
      <c r="B1040">
        <v>454746987</v>
      </c>
      <c r="C1040" t="s">
        <v>4586</v>
      </c>
      <c r="D1040" s="9">
        <v>269866430</v>
      </c>
      <c r="E1040" t="s">
        <v>4207</v>
      </c>
      <c r="F1040" t="s">
        <v>531</v>
      </c>
      <c r="G1040" t="s">
        <v>30</v>
      </c>
      <c r="H1040" t="s">
        <v>31</v>
      </c>
      <c r="I1040" t="s">
        <v>52</v>
      </c>
      <c r="J1040" t="s">
        <v>32</v>
      </c>
      <c r="K1040" t="s">
        <v>29</v>
      </c>
      <c r="L1040" t="s">
        <v>4587</v>
      </c>
      <c r="M1040" t="s">
        <v>122</v>
      </c>
      <c r="N1040" t="s">
        <v>534</v>
      </c>
      <c r="O1040" t="s">
        <v>39</v>
      </c>
      <c r="P1040" t="s">
        <v>4588</v>
      </c>
      <c r="Q1040" t="s">
        <v>210</v>
      </c>
      <c r="R1040" s="29">
        <v>46151.481249999997</v>
      </c>
      <c r="S1040">
        <v>1</v>
      </c>
      <c r="T1040">
        <v>3250</v>
      </c>
      <c r="U1040">
        <v>0</v>
      </c>
      <c r="V1040">
        <v>3250</v>
      </c>
    </row>
    <row r="1041" spans="1:22" x14ac:dyDescent="0.3">
      <c r="A1041">
        <v>198256</v>
      </c>
      <c r="B1041">
        <v>454747001</v>
      </c>
      <c r="C1041" t="s">
        <v>4589</v>
      </c>
      <c r="D1041" s="9">
        <v>269866475</v>
      </c>
      <c r="E1041" t="s">
        <v>4207</v>
      </c>
      <c r="F1041" t="s">
        <v>531</v>
      </c>
      <c r="G1041" t="s">
        <v>30</v>
      </c>
      <c r="H1041" t="s">
        <v>31</v>
      </c>
      <c r="I1041" t="s">
        <v>52</v>
      </c>
      <c r="J1041" t="s">
        <v>32</v>
      </c>
      <c r="K1041" t="s">
        <v>29</v>
      </c>
      <c r="L1041" t="s">
        <v>4590</v>
      </c>
      <c r="M1041" t="s">
        <v>500</v>
      </c>
      <c r="N1041" t="s">
        <v>534</v>
      </c>
      <c r="O1041" t="s">
        <v>39</v>
      </c>
      <c r="P1041" t="s">
        <v>4591</v>
      </c>
      <c r="Q1041" t="s">
        <v>210</v>
      </c>
      <c r="R1041" s="29">
        <v>46151.481249999997</v>
      </c>
      <c r="S1041">
        <v>1</v>
      </c>
      <c r="T1041">
        <v>3250</v>
      </c>
      <c r="U1041">
        <v>0</v>
      </c>
      <c r="V1041">
        <v>3250</v>
      </c>
    </row>
    <row r="1042" spans="1:22" x14ac:dyDescent="0.3">
      <c r="A1042">
        <v>198256</v>
      </c>
      <c r="B1042">
        <v>454747189</v>
      </c>
      <c r="C1042" t="s">
        <v>4592</v>
      </c>
      <c r="D1042" s="9">
        <v>269866808</v>
      </c>
      <c r="E1042" t="s">
        <v>4207</v>
      </c>
      <c r="F1042" t="s">
        <v>531</v>
      </c>
      <c r="G1042" t="s">
        <v>30</v>
      </c>
      <c r="H1042" t="s">
        <v>31</v>
      </c>
      <c r="I1042" t="s">
        <v>52</v>
      </c>
      <c r="J1042" t="s">
        <v>32</v>
      </c>
      <c r="K1042" t="s">
        <v>29</v>
      </c>
      <c r="L1042" t="s">
        <v>4593</v>
      </c>
      <c r="M1042" t="s">
        <v>4594</v>
      </c>
      <c r="N1042" t="s">
        <v>534</v>
      </c>
      <c r="O1042" t="s">
        <v>39</v>
      </c>
      <c r="P1042" t="s">
        <v>4595</v>
      </c>
      <c r="Q1042" t="s">
        <v>48</v>
      </c>
      <c r="R1042" s="29">
        <v>46151.484027777777</v>
      </c>
      <c r="S1042">
        <v>1</v>
      </c>
      <c r="T1042">
        <v>3250</v>
      </c>
      <c r="U1042">
        <v>0</v>
      </c>
      <c r="V1042">
        <v>3250</v>
      </c>
    </row>
    <row r="1043" spans="1:22" x14ac:dyDescent="0.3">
      <c r="A1043">
        <v>198256</v>
      </c>
      <c r="B1043">
        <v>454747351</v>
      </c>
      <c r="C1043" t="s">
        <v>4596</v>
      </c>
      <c r="D1043" s="9">
        <v>269867434</v>
      </c>
      <c r="E1043" t="s">
        <v>4207</v>
      </c>
      <c r="F1043" t="s">
        <v>531</v>
      </c>
      <c r="G1043" t="s">
        <v>30</v>
      </c>
      <c r="H1043" t="s">
        <v>31</v>
      </c>
      <c r="I1043" t="s">
        <v>52</v>
      </c>
      <c r="J1043" t="s">
        <v>32</v>
      </c>
      <c r="K1043" t="s">
        <v>29</v>
      </c>
      <c r="L1043" t="s">
        <v>4597</v>
      </c>
      <c r="M1043" t="s">
        <v>312</v>
      </c>
      <c r="N1043" t="s">
        <v>534</v>
      </c>
      <c r="O1043" t="s">
        <v>39</v>
      </c>
      <c r="P1043" t="s">
        <v>4598</v>
      </c>
      <c r="Q1043" t="s">
        <v>34</v>
      </c>
      <c r="R1043" s="29">
        <v>46151.486805555556</v>
      </c>
      <c r="S1043">
        <v>1</v>
      </c>
      <c r="T1043">
        <v>3653</v>
      </c>
      <c r="U1043">
        <v>0</v>
      </c>
      <c r="V1043">
        <v>3653</v>
      </c>
    </row>
    <row r="1044" spans="1:22" x14ac:dyDescent="0.3">
      <c r="A1044">
        <v>198256</v>
      </c>
      <c r="B1044">
        <v>454747339</v>
      </c>
      <c r="C1044" t="s">
        <v>4599</v>
      </c>
      <c r="D1044" s="9">
        <v>269867403</v>
      </c>
      <c r="E1044" t="s">
        <v>4207</v>
      </c>
      <c r="F1044" t="s">
        <v>531</v>
      </c>
      <c r="G1044" t="s">
        <v>30</v>
      </c>
      <c r="H1044" t="s">
        <v>31</v>
      </c>
      <c r="I1044" t="s">
        <v>52</v>
      </c>
      <c r="J1044" t="s">
        <v>32</v>
      </c>
      <c r="K1044" t="s">
        <v>29</v>
      </c>
      <c r="L1044" t="s">
        <v>4600</v>
      </c>
      <c r="M1044" t="s">
        <v>4601</v>
      </c>
      <c r="N1044" t="s">
        <v>534</v>
      </c>
      <c r="O1044" t="s">
        <v>39</v>
      </c>
      <c r="P1044" t="s">
        <v>4602</v>
      </c>
      <c r="Q1044" t="s">
        <v>48</v>
      </c>
      <c r="R1044" s="29">
        <v>46151.486805555556</v>
      </c>
      <c r="S1044">
        <v>1</v>
      </c>
      <c r="T1044">
        <v>3250</v>
      </c>
      <c r="U1044">
        <v>0</v>
      </c>
      <c r="V1044">
        <v>3250</v>
      </c>
    </row>
    <row r="1045" spans="1:22" x14ac:dyDescent="0.3">
      <c r="A1045">
        <v>198256</v>
      </c>
      <c r="B1045">
        <v>454747023</v>
      </c>
      <c r="C1045" t="s">
        <v>4603</v>
      </c>
      <c r="D1045" s="9">
        <v>269866471</v>
      </c>
      <c r="E1045" t="s">
        <v>4207</v>
      </c>
      <c r="F1045" t="s">
        <v>531</v>
      </c>
      <c r="G1045" t="s">
        <v>30</v>
      </c>
      <c r="H1045" t="s">
        <v>31</v>
      </c>
      <c r="I1045" t="s">
        <v>52</v>
      </c>
      <c r="J1045" t="s">
        <v>32</v>
      </c>
      <c r="K1045" t="s">
        <v>29</v>
      </c>
      <c r="L1045" t="s">
        <v>4604</v>
      </c>
      <c r="M1045" t="s">
        <v>123</v>
      </c>
      <c r="N1045" t="s">
        <v>534</v>
      </c>
      <c r="O1045" t="s">
        <v>39</v>
      </c>
      <c r="P1045" t="s">
        <v>4605</v>
      </c>
      <c r="Q1045" t="s">
        <v>71</v>
      </c>
      <c r="R1045" s="29">
        <v>46151.481249999997</v>
      </c>
      <c r="S1045">
        <v>1</v>
      </c>
      <c r="T1045">
        <v>3631</v>
      </c>
      <c r="U1045">
        <v>0</v>
      </c>
      <c r="V1045">
        <v>3631</v>
      </c>
    </row>
    <row r="1046" spans="1:22" x14ac:dyDescent="0.3">
      <c r="A1046">
        <v>198256</v>
      </c>
      <c r="B1046">
        <v>454746985</v>
      </c>
      <c r="C1046" t="s">
        <v>4606</v>
      </c>
      <c r="D1046" s="9">
        <v>269866428</v>
      </c>
      <c r="E1046" t="s">
        <v>4207</v>
      </c>
      <c r="F1046" t="s">
        <v>531</v>
      </c>
      <c r="G1046" t="s">
        <v>30</v>
      </c>
      <c r="H1046" t="s">
        <v>31</v>
      </c>
      <c r="I1046" t="s">
        <v>52</v>
      </c>
      <c r="J1046" t="s">
        <v>32</v>
      </c>
      <c r="K1046" t="s">
        <v>29</v>
      </c>
      <c r="L1046" t="s">
        <v>4607</v>
      </c>
      <c r="M1046" t="s">
        <v>4608</v>
      </c>
      <c r="N1046" t="s">
        <v>534</v>
      </c>
      <c r="O1046" t="s">
        <v>39</v>
      </c>
      <c r="P1046" t="s">
        <v>4609</v>
      </c>
      <c r="Q1046" t="s">
        <v>38</v>
      </c>
      <c r="R1046" s="29">
        <v>46151.481249999997</v>
      </c>
      <c r="S1046">
        <v>1</v>
      </c>
      <c r="T1046">
        <v>3250</v>
      </c>
      <c r="U1046">
        <v>0</v>
      </c>
      <c r="V1046">
        <v>3250</v>
      </c>
    </row>
    <row r="1047" spans="1:22" x14ac:dyDescent="0.3">
      <c r="A1047">
        <v>198256</v>
      </c>
      <c r="B1047">
        <v>454747356</v>
      </c>
      <c r="C1047" t="s">
        <v>4610</v>
      </c>
      <c r="D1047" s="9">
        <v>269867429</v>
      </c>
      <c r="E1047" t="s">
        <v>4207</v>
      </c>
      <c r="F1047" t="s">
        <v>531</v>
      </c>
      <c r="G1047" t="s">
        <v>30</v>
      </c>
      <c r="H1047" t="s">
        <v>31</v>
      </c>
      <c r="I1047" t="s">
        <v>52</v>
      </c>
      <c r="J1047" t="s">
        <v>32</v>
      </c>
      <c r="K1047" t="s">
        <v>29</v>
      </c>
      <c r="L1047" t="s">
        <v>4611</v>
      </c>
      <c r="M1047" t="s">
        <v>4612</v>
      </c>
      <c r="N1047" t="s">
        <v>534</v>
      </c>
      <c r="O1047" t="s">
        <v>39</v>
      </c>
      <c r="P1047" t="s">
        <v>4613</v>
      </c>
      <c r="Q1047" t="s">
        <v>140</v>
      </c>
      <c r="R1047" s="29">
        <v>46151.486805555556</v>
      </c>
      <c r="S1047">
        <v>1</v>
      </c>
      <c r="T1047">
        <v>3250</v>
      </c>
      <c r="U1047">
        <v>0</v>
      </c>
      <c r="V1047">
        <v>3250</v>
      </c>
    </row>
    <row r="1048" spans="1:22" x14ac:dyDescent="0.3">
      <c r="A1048">
        <v>198256</v>
      </c>
      <c r="B1048">
        <v>454747031</v>
      </c>
      <c r="C1048" t="s">
        <v>4614</v>
      </c>
      <c r="D1048" s="9">
        <v>269866497</v>
      </c>
      <c r="E1048" t="s">
        <v>4207</v>
      </c>
      <c r="F1048" t="s">
        <v>531</v>
      </c>
      <c r="G1048" t="s">
        <v>30</v>
      </c>
      <c r="H1048" t="s">
        <v>31</v>
      </c>
      <c r="I1048" t="s">
        <v>52</v>
      </c>
      <c r="J1048" t="s">
        <v>32</v>
      </c>
      <c r="K1048" t="s">
        <v>29</v>
      </c>
      <c r="L1048" t="s">
        <v>4615</v>
      </c>
      <c r="M1048" t="s">
        <v>4616</v>
      </c>
      <c r="N1048" t="s">
        <v>534</v>
      </c>
      <c r="O1048" t="s">
        <v>39</v>
      </c>
      <c r="P1048" t="s">
        <v>4617</v>
      </c>
      <c r="Q1048" t="s">
        <v>38</v>
      </c>
      <c r="R1048" s="29">
        <v>46151.481249999997</v>
      </c>
      <c r="S1048">
        <v>1</v>
      </c>
      <c r="T1048">
        <v>3250</v>
      </c>
      <c r="U1048">
        <v>0</v>
      </c>
      <c r="V1048">
        <v>3250</v>
      </c>
    </row>
    <row r="1049" spans="1:22" x14ac:dyDescent="0.3">
      <c r="A1049">
        <v>198256</v>
      </c>
      <c r="B1049">
        <v>454746674</v>
      </c>
      <c r="C1049" t="s">
        <v>4618</v>
      </c>
      <c r="D1049" s="9">
        <v>269865662</v>
      </c>
      <c r="E1049" t="s">
        <v>4207</v>
      </c>
      <c r="F1049" t="s">
        <v>531</v>
      </c>
      <c r="G1049" t="s">
        <v>30</v>
      </c>
      <c r="H1049" t="s">
        <v>31</v>
      </c>
      <c r="I1049" t="s">
        <v>52</v>
      </c>
      <c r="J1049" t="s">
        <v>32</v>
      </c>
      <c r="K1049" t="s">
        <v>29</v>
      </c>
      <c r="L1049" t="s">
        <v>4619</v>
      </c>
      <c r="M1049" t="s">
        <v>4620</v>
      </c>
      <c r="N1049" t="s">
        <v>534</v>
      </c>
      <c r="O1049" t="s">
        <v>39</v>
      </c>
      <c r="P1049" t="s">
        <v>4621</v>
      </c>
      <c r="Q1049" t="s">
        <v>34</v>
      </c>
      <c r="R1049" s="29">
        <v>46151.472916666666</v>
      </c>
      <c r="S1049">
        <v>1</v>
      </c>
      <c r="T1049">
        <v>3653</v>
      </c>
      <c r="U1049">
        <v>0</v>
      </c>
      <c r="V1049">
        <v>3653</v>
      </c>
    </row>
    <row r="1050" spans="1:22" x14ac:dyDescent="0.3">
      <c r="A1050">
        <v>198256</v>
      </c>
      <c r="B1050">
        <v>454747025</v>
      </c>
      <c r="C1050" t="s">
        <v>4622</v>
      </c>
      <c r="D1050" s="9">
        <v>269866493</v>
      </c>
      <c r="E1050" t="s">
        <v>4207</v>
      </c>
      <c r="F1050" t="s">
        <v>531</v>
      </c>
      <c r="G1050" t="s">
        <v>30</v>
      </c>
      <c r="H1050" t="s">
        <v>31</v>
      </c>
      <c r="I1050" t="s">
        <v>52</v>
      </c>
      <c r="J1050" t="s">
        <v>32</v>
      </c>
      <c r="K1050" t="s">
        <v>29</v>
      </c>
      <c r="L1050" t="s">
        <v>4623</v>
      </c>
      <c r="M1050" t="s">
        <v>4624</v>
      </c>
      <c r="N1050" t="s">
        <v>534</v>
      </c>
      <c r="O1050" t="s">
        <v>39</v>
      </c>
      <c r="P1050" t="s">
        <v>4625</v>
      </c>
      <c r="Q1050" t="s">
        <v>34</v>
      </c>
      <c r="R1050" s="29">
        <v>46151.481249999997</v>
      </c>
      <c r="S1050">
        <v>1</v>
      </c>
      <c r="T1050">
        <v>3653</v>
      </c>
      <c r="U1050">
        <v>0</v>
      </c>
      <c r="V1050">
        <v>3653</v>
      </c>
    </row>
    <row r="1051" spans="1:22" x14ac:dyDescent="0.3">
      <c r="A1051">
        <v>198256</v>
      </c>
      <c r="B1051">
        <v>454746670</v>
      </c>
      <c r="C1051" t="s">
        <v>4626</v>
      </c>
      <c r="D1051" s="9">
        <v>269865628</v>
      </c>
      <c r="E1051" t="s">
        <v>4207</v>
      </c>
      <c r="F1051" t="s">
        <v>531</v>
      </c>
      <c r="G1051" t="s">
        <v>30</v>
      </c>
      <c r="H1051" t="s">
        <v>31</v>
      </c>
      <c r="I1051" t="s">
        <v>52</v>
      </c>
      <c r="J1051" t="s">
        <v>32</v>
      </c>
      <c r="K1051" t="s">
        <v>29</v>
      </c>
      <c r="L1051" t="s">
        <v>4627</v>
      </c>
      <c r="M1051" t="s">
        <v>108</v>
      </c>
      <c r="N1051" t="s">
        <v>534</v>
      </c>
      <c r="O1051" t="s">
        <v>39</v>
      </c>
      <c r="P1051" t="s">
        <v>4628</v>
      </c>
      <c r="Q1051" t="s">
        <v>78</v>
      </c>
      <c r="R1051" s="29">
        <v>46151.472916666666</v>
      </c>
      <c r="S1051">
        <v>1</v>
      </c>
      <c r="T1051">
        <v>3250</v>
      </c>
      <c r="U1051">
        <v>0</v>
      </c>
      <c r="V1051">
        <v>3250</v>
      </c>
    </row>
    <row r="1052" spans="1:22" x14ac:dyDescent="0.3">
      <c r="A1052">
        <v>198256</v>
      </c>
      <c r="B1052">
        <v>454746668</v>
      </c>
      <c r="C1052" t="s">
        <v>4629</v>
      </c>
      <c r="D1052" s="9">
        <v>269865660</v>
      </c>
      <c r="E1052" t="s">
        <v>4207</v>
      </c>
      <c r="F1052" t="s">
        <v>531</v>
      </c>
      <c r="G1052" t="s">
        <v>30</v>
      </c>
      <c r="H1052" t="s">
        <v>31</v>
      </c>
      <c r="I1052" t="s">
        <v>52</v>
      </c>
      <c r="J1052" t="s">
        <v>32</v>
      </c>
      <c r="K1052" t="s">
        <v>29</v>
      </c>
      <c r="L1052" t="s">
        <v>4630</v>
      </c>
      <c r="M1052" t="s">
        <v>4631</v>
      </c>
      <c r="N1052" t="s">
        <v>534</v>
      </c>
      <c r="O1052" t="s">
        <v>39</v>
      </c>
      <c r="P1052" t="s">
        <v>4632</v>
      </c>
      <c r="Q1052" t="s">
        <v>48</v>
      </c>
      <c r="R1052" s="29">
        <v>46151.472916666666</v>
      </c>
      <c r="S1052">
        <v>1</v>
      </c>
      <c r="T1052">
        <v>3250</v>
      </c>
      <c r="U1052">
        <v>0</v>
      </c>
      <c r="V1052">
        <v>3250</v>
      </c>
    </row>
    <row r="1053" spans="1:22" x14ac:dyDescent="0.3">
      <c r="A1053">
        <v>198256</v>
      </c>
      <c r="B1053">
        <v>454746647</v>
      </c>
      <c r="C1053" t="s">
        <v>4633</v>
      </c>
      <c r="D1053" s="9">
        <v>269865648</v>
      </c>
      <c r="E1053" t="s">
        <v>4207</v>
      </c>
      <c r="F1053" t="s">
        <v>531</v>
      </c>
      <c r="G1053" t="s">
        <v>30</v>
      </c>
      <c r="H1053" t="s">
        <v>31</v>
      </c>
      <c r="I1053" t="s">
        <v>52</v>
      </c>
      <c r="J1053" t="s">
        <v>32</v>
      </c>
      <c r="K1053" t="s">
        <v>29</v>
      </c>
      <c r="L1053" t="s">
        <v>4634</v>
      </c>
      <c r="M1053" t="s">
        <v>4635</v>
      </c>
      <c r="N1053" t="s">
        <v>534</v>
      </c>
      <c r="O1053" t="s">
        <v>39</v>
      </c>
      <c r="P1053" t="s">
        <v>4636</v>
      </c>
      <c r="Q1053" t="s">
        <v>38</v>
      </c>
      <c r="R1053" s="29">
        <v>46151.472916666666</v>
      </c>
      <c r="S1053">
        <v>1</v>
      </c>
      <c r="T1053">
        <v>3250</v>
      </c>
      <c r="U1053">
        <v>0</v>
      </c>
      <c r="V1053">
        <v>3250</v>
      </c>
    </row>
    <row r="1054" spans="1:22" x14ac:dyDescent="0.3">
      <c r="A1054">
        <v>198256</v>
      </c>
      <c r="B1054">
        <v>454747000</v>
      </c>
      <c r="C1054" t="s">
        <v>4637</v>
      </c>
      <c r="D1054" s="9">
        <v>269866458</v>
      </c>
      <c r="E1054" t="s">
        <v>4207</v>
      </c>
      <c r="F1054" t="s">
        <v>531</v>
      </c>
      <c r="G1054" t="s">
        <v>30</v>
      </c>
      <c r="H1054" t="s">
        <v>31</v>
      </c>
      <c r="I1054" t="s">
        <v>52</v>
      </c>
      <c r="J1054" t="s">
        <v>32</v>
      </c>
      <c r="K1054" t="s">
        <v>102</v>
      </c>
      <c r="L1054" t="s">
        <v>103</v>
      </c>
      <c r="M1054" t="s">
        <v>4638</v>
      </c>
      <c r="N1054" t="s">
        <v>534</v>
      </c>
      <c r="O1054" t="s">
        <v>39</v>
      </c>
      <c r="P1054" t="s">
        <v>4639</v>
      </c>
      <c r="Q1054" t="s">
        <v>180</v>
      </c>
      <c r="R1054" s="29">
        <v>46151.481249999997</v>
      </c>
      <c r="S1054">
        <v>1</v>
      </c>
      <c r="T1054">
        <v>3250</v>
      </c>
      <c r="U1054">
        <v>0</v>
      </c>
      <c r="V1054">
        <v>3250</v>
      </c>
    </row>
    <row r="1055" spans="1:22" x14ac:dyDescent="0.3">
      <c r="A1055">
        <v>198256</v>
      </c>
      <c r="B1055">
        <v>454746667</v>
      </c>
      <c r="C1055" t="s">
        <v>4640</v>
      </c>
      <c r="D1055" s="9">
        <v>269865659</v>
      </c>
      <c r="E1055" t="s">
        <v>4207</v>
      </c>
      <c r="F1055" t="s">
        <v>531</v>
      </c>
      <c r="G1055" t="s">
        <v>30</v>
      </c>
      <c r="H1055" t="s">
        <v>31</v>
      </c>
      <c r="I1055" t="s">
        <v>52</v>
      </c>
      <c r="J1055" t="s">
        <v>32</v>
      </c>
      <c r="K1055" t="s">
        <v>29</v>
      </c>
      <c r="L1055" t="s">
        <v>4641</v>
      </c>
      <c r="M1055" t="s">
        <v>4642</v>
      </c>
      <c r="N1055" t="s">
        <v>534</v>
      </c>
      <c r="O1055" t="s">
        <v>39</v>
      </c>
      <c r="P1055" t="s">
        <v>4643</v>
      </c>
      <c r="Q1055" t="s">
        <v>48</v>
      </c>
      <c r="R1055" s="29">
        <v>46151.472916666666</v>
      </c>
      <c r="S1055">
        <v>1</v>
      </c>
      <c r="T1055">
        <v>3250</v>
      </c>
      <c r="U1055">
        <v>0</v>
      </c>
      <c r="V1055">
        <v>3250</v>
      </c>
    </row>
    <row r="1056" spans="1:22" x14ac:dyDescent="0.3">
      <c r="A1056">
        <v>198256</v>
      </c>
      <c r="B1056">
        <v>454540517</v>
      </c>
      <c r="C1056" t="s">
        <v>4644</v>
      </c>
      <c r="D1056" s="9">
        <v>269475996</v>
      </c>
      <c r="E1056" t="s">
        <v>4207</v>
      </c>
      <c r="F1056" t="s">
        <v>531</v>
      </c>
      <c r="G1056" t="s">
        <v>30</v>
      </c>
      <c r="H1056" t="s">
        <v>31</v>
      </c>
      <c r="I1056" t="s">
        <v>52</v>
      </c>
      <c r="J1056" t="s">
        <v>32</v>
      </c>
      <c r="K1056" t="s">
        <v>29</v>
      </c>
      <c r="L1056" t="s">
        <v>4645</v>
      </c>
      <c r="M1056" t="s">
        <v>4646</v>
      </c>
      <c r="N1056" t="s">
        <v>534</v>
      </c>
      <c r="O1056" t="s">
        <v>39</v>
      </c>
      <c r="P1056" t="s">
        <v>4647</v>
      </c>
      <c r="Q1056" t="s">
        <v>219</v>
      </c>
      <c r="R1056" s="29">
        <v>46146.488888888889</v>
      </c>
      <c r="S1056">
        <v>0.44</v>
      </c>
      <c r="T1056">
        <v>3935</v>
      </c>
      <c r="U1056">
        <v>0</v>
      </c>
      <c r="V1056">
        <v>3935</v>
      </c>
    </row>
    <row r="1057" spans="1:22" x14ac:dyDescent="0.3">
      <c r="A1057">
        <v>198256</v>
      </c>
      <c r="B1057">
        <v>454665965</v>
      </c>
      <c r="C1057" t="s">
        <v>4648</v>
      </c>
      <c r="D1057" s="9">
        <v>269707539</v>
      </c>
      <c r="E1057" t="s">
        <v>4207</v>
      </c>
      <c r="F1057" t="s">
        <v>531</v>
      </c>
      <c r="G1057" t="s">
        <v>30</v>
      </c>
      <c r="H1057" t="s">
        <v>31</v>
      </c>
      <c r="I1057" t="s">
        <v>52</v>
      </c>
      <c r="J1057" t="s">
        <v>32</v>
      </c>
      <c r="K1057" t="s">
        <v>29</v>
      </c>
      <c r="L1057" t="s">
        <v>4649</v>
      </c>
      <c r="M1057" t="s">
        <v>4650</v>
      </c>
      <c r="N1057" t="s">
        <v>534</v>
      </c>
      <c r="O1057" t="s">
        <v>39</v>
      </c>
      <c r="P1057" t="s">
        <v>4651</v>
      </c>
      <c r="Q1057" t="s">
        <v>40</v>
      </c>
      <c r="R1057" s="29">
        <v>46149.02847222222</v>
      </c>
      <c r="S1057">
        <v>1</v>
      </c>
      <c r="T1057">
        <v>3935</v>
      </c>
      <c r="U1057">
        <v>0</v>
      </c>
      <c r="V1057">
        <v>3935</v>
      </c>
    </row>
    <row r="1058" spans="1:22" x14ac:dyDescent="0.3">
      <c r="A1058">
        <v>198256</v>
      </c>
      <c r="B1058">
        <v>454540695</v>
      </c>
      <c r="C1058" t="s">
        <v>4652</v>
      </c>
      <c r="D1058" s="9">
        <v>269476174</v>
      </c>
      <c r="E1058" t="s">
        <v>4207</v>
      </c>
      <c r="F1058" t="s">
        <v>531</v>
      </c>
      <c r="G1058" t="s">
        <v>30</v>
      </c>
      <c r="H1058" t="s">
        <v>31</v>
      </c>
      <c r="I1058" t="s">
        <v>52</v>
      </c>
      <c r="J1058" t="s">
        <v>32</v>
      </c>
      <c r="K1058" t="s">
        <v>29</v>
      </c>
      <c r="L1058" t="s">
        <v>4653</v>
      </c>
      <c r="M1058" t="s">
        <v>4654</v>
      </c>
      <c r="N1058" t="s">
        <v>534</v>
      </c>
      <c r="O1058" t="s">
        <v>39</v>
      </c>
      <c r="P1058" t="s">
        <v>4655</v>
      </c>
      <c r="Q1058" t="s">
        <v>40</v>
      </c>
      <c r="R1058" s="29">
        <v>46146.489583333336</v>
      </c>
      <c r="S1058">
        <v>1</v>
      </c>
      <c r="T1058">
        <v>3935</v>
      </c>
      <c r="U1058">
        <v>0</v>
      </c>
      <c r="V1058">
        <v>3935</v>
      </c>
    </row>
    <row r="1059" spans="1:22" x14ac:dyDescent="0.3">
      <c r="A1059">
        <v>198256</v>
      </c>
      <c r="B1059">
        <v>454540681</v>
      </c>
      <c r="C1059" t="s">
        <v>4656</v>
      </c>
      <c r="D1059" s="9">
        <v>269476162</v>
      </c>
      <c r="E1059" t="s">
        <v>4207</v>
      </c>
      <c r="F1059" t="s">
        <v>531</v>
      </c>
      <c r="G1059" t="s">
        <v>30</v>
      </c>
      <c r="H1059" t="s">
        <v>31</v>
      </c>
      <c r="I1059" t="s">
        <v>52</v>
      </c>
      <c r="J1059" t="s">
        <v>32</v>
      </c>
      <c r="K1059" t="s">
        <v>29</v>
      </c>
      <c r="L1059" t="s">
        <v>4657</v>
      </c>
      <c r="M1059" t="s">
        <v>4658</v>
      </c>
      <c r="N1059" t="s">
        <v>534</v>
      </c>
      <c r="O1059" t="s">
        <v>39</v>
      </c>
      <c r="P1059" t="s">
        <v>4659</v>
      </c>
      <c r="Q1059" t="s">
        <v>194</v>
      </c>
      <c r="R1059" s="29">
        <v>46146.489583333336</v>
      </c>
      <c r="S1059">
        <v>0.41</v>
      </c>
      <c r="T1059">
        <v>3552</v>
      </c>
      <c r="U1059">
        <v>0</v>
      </c>
      <c r="V1059">
        <v>3552</v>
      </c>
    </row>
    <row r="1060" spans="1:22" x14ac:dyDescent="0.3">
      <c r="A1060">
        <v>198256</v>
      </c>
      <c r="B1060">
        <v>454665970</v>
      </c>
      <c r="C1060" t="s">
        <v>4660</v>
      </c>
      <c r="D1060" s="9">
        <v>269707585</v>
      </c>
      <c r="E1060" t="s">
        <v>4207</v>
      </c>
      <c r="F1060" t="s">
        <v>531</v>
      </c>
      <c r="G1060" t="s">
        <v>30</v>
      </c>
      <c r="H1060" t="s">
        <v>31</v>
      </c>
      <c r="I1060" t="s">
        <v>52</v>
      </c>
      <c r="J1060" t="s">
        <v>32</v>
      </c>
      <c r="K1060" t="s">
        <v>29</v>
      </c>
      <c r="L1060" t="s">
        <v>4661</v>
      </c>
      <c r="M1060" t="s">
        <v>4662</v>
      </c>
      <c r="N1060" t="s">
        <v>534</v>
      </c>
      <c r="O1060" t="s">
        <v>39</v>
      </c>
      <c r="P1060" t="s">
        <v>4663</v>
      </c>
      <c r="Q1060" t="s">
        <v>80</v>
      </c>
      <c r="R1060" s="29">
        <v>46149.02847222222</v>
      </c>
      <c r="S1060">
        <v>1</v>
      </c>
      <c r="T1060">
        <v>5295</v>
      </c>
      <c r="U1060">
        <v>0</v>
      </c>
      <c r="V1060">
        <v>5295</v>
      </c>
    </row>
    <row r="1061" spans="1:22" x14ac:dyDescent="0.3">
      <c r="A1061">
        <v>198256</v>
      </c>
      <c r="B1061">
        <v>454665969</v>
      </c>
      <c r="C1061" t="s">
        <v>4664</v>
      </c>
      <c r="D1061" s="9">
        <v>269707584</v>
      </c>
      <c r="E1061" t="s">
        <v>4207</v>
      </c>
      <c r="F1061" t="s">
        <v>531</v>
      </c>
      <c r="G1061" t="s">
        <v>30</v>
      </c>
      <c r="H1061" t="s">
        <v>31</v>
      </c>
      <c r="I1061" t="s">
        <v>52</v>
      </c>
      <c r="J1061" t="s">
        <v>32</v>
      </c>
      <c r="K1061" t="s">
        <v>29</v>
      </c>
      <c r="L1061" t="s">
        <v>4665</v>
      </c>
      <c r="M1061" t="s">
        <v>4666</v>
      </c>
      <c r="N1061" t="s">
        <v>534</v>
      </c>
      <c r="O1061" t="s">
        <v>39</v>
      </c>
      <c r="P1061" t="s">
        <v>4667</v>
      </c>
      <c r="Q1061" t="s">
        <v>180</v>
      </c>
      <c r="R1061" s="29">
        <v>46149.02847222222</v>
      </c>
      <c r="S1061">
        <v>1</v>
      </c>
      <c r="T1061">
        <v>3250</v>
      </c>
      <c r="U1061">
        <v>0</v>
      </c>
      <c r="V1061">
        <v>3250</v>
      </c>
    </row>
    <row r="1062" spans="1:22" x14ac:dyDescent="0.3">
      <c r="A1062">
        <v>198256</v>
      </c>
      <c r="B1062">
        <v>454594821</v>
      </c>
      <c r="C1062" t="s">
        <v>4668</v>
      </c>
      <c r="D1062" s="9">
        <v>269580346</v>
      </c>
      <c r="E1062" t="s">
        <v>4207</v>
      </c>
      <c r="F1062" t="s">
        <v>531</v>
      </c>
      <c r="G1062" t="s">
        <v>30</v>
      </c>
      <c r="H1062" t="s">
        <v>31</v>
      </c>
      <c r="I1062" t="s">
        <v>52</v>
      </c>
      <c r="J1062" t="s">
        <v>32</v>
      </c>
      <c r="K1062" t="s">
        <v>29</v>
      </c>
      <c r="L1062" t="s">
        <v>4669</v>
      </c>
      <c r="M1062" t="s">
        <v>4670</v>
      </c>
      <c r="N1062" t="s">
        <v>534</v>
      </c>
      <c r="O1062" t="s">
        <v>39</v>
      </c>
      <c r="P1062" t="s">
        <v>4671</v>
      </c>
      <c r="Q1062" t="s">
        <v>182</v>
      </c>
      <c r="R1062" s="29">
        <v>46147.524305555555</v>
      </c>
      <c r="S1062">
        <v>0.43</v>
      </c>
      <c r="T1062">
        <v>3935</v>
      </c>
      <c r="U1062">
        <v>0</v>
      </c>
      <c r="V1062">
        <v>3935</v>
      </c>
    </row>
    <row r="1063" spans="1:22" x14ac:dyDescent="0.3">
      <c r="A1063">
        <v>198256</v>
      </c>
      <c r="B1063">
        <v>454665964</v>
      </c>
      <c r="C1063" t="s">
        <v>4672</v>
      </c>
      <c r="D1063" s="9">
        <v>269707582</v>
      </c>
      <c r="E1063" t="s">
        <v>4207</v>
      </c>
      <c r="F1063" t="s">
        <v>531</v>
      </c>
      <c r="G1063" t="s">
        <v>30</v>
      </c>
      <c r="H1063" t="s">
        <v>31</v>
      </c>
      <c r="I1063" t="s">
        <v>52</v>
      </c>
      <c r="J1063" t="s">
        <v>32</v>
      </c>
      <c r="K1063" t="s">
        <v>29</v>
      </c>
      <c r="L1063" t="s">
        <v>4673</v>
      </c>
      <c r="M1063" t="s">
        <v>4674</v>
      </c>
      <c r="N1063" t="s">
        <v>534</v>
      </c>
      <c r="O1063" t="s">
        <v>39</v>
      </c>
      <c r="P1063" t="s">
        <v>4675</v>
      </c>
      <c r="Q1063" t="s">
        <v>180</v>
      </c>
      <c r="R1063" s="29">
        <v>46149.02847222222</v>
      </c>
      <c r="S1063">
        <v>1</v>
      </c>
      <c r="T1063">
        <v>3250</v>
      </c>
      <c r="U1063">
        <v>0</v>
      </c>
      <c r="V1063">
        <v>3250</v>
      </c>
    </row>
    <row r="1064" spans="1:22" x14ac:dyDescent="0.3">
      <c r="A1064">
        <v>198256</v>
      </c>
      <c r="B1064">
        <v>454542073</v>
      </c>
      <c r="C1064" t="s">
        <v>4676</v>
      </c>
      <c r="D1064" s="9">
        <v>269478431</v>
      </c>
      <c r="E1064" t="s">
        <v>4207</v>
      </c>
      <c r="F1064" t="s">
        <v>531</v>
      </c>
      <c r="G1064" t="s">
        <v>30</v>
      </c>
      <c r="H1064" t="s">
        <v>31</v>
      </c>
      <c r="I1064" t="s">
        <v>52</v>
      </c>
      <c r="J1064" t="s">
        <v>32</v>
      </c>
      <c r="K1064" t="s">
        <v>29</v>
      </c>
      <c r="L1064" t="s">
        <v>4677</v>
      </c>
      <c r="M1064" t="s">
        <v>4678</v>
      </c>
      <c r="N1064" t="s">
        <v>534</v>
      </c>
      <c r="O1064" t="s">
        <v>39</v>
      </c>
      <c r="P1064" t="s">
        <v>4679</v>
      </c>
      <c r="Q1064" t="s">
        <v>162</v>
      </c>
      <c r="R1064" s="29">
        <v>46146.498611111114</v>
      </c>
      <c r="S1064">
        <v>0.78</v>
      </c>
      <c r="T1064">
        <v>5564</v>
      </c>
      <c r="U1064">
        <v>0</v>
      </c>
      <c r="V1064">
        <v>5564</v>
      </c>
    </row>
    <row r="1065" spans="1:22" x14ac:dyDescent="0.3">
      <c r="A1065">
        <v>198256</v>
      </c>
      <c r="B1065">
        <v>454540911</v>
      </c>
      <c r="C1065" t="s">
        <v>4680</v>
      </c>
      <c r="D1065" s="9">
        <v>269476540</v>
      </c>
      <c r="E1065" t="s">
        <v>4207</v>
      </c>
      <c r="F1065" t="s">
        <v>531</v>
      </c>
      <c r="G1065" t="s">
        <v>30</v>
      </c>
      <c r="H1065" t="s">
        <v>31</v>
      </c>
      <c r="I1065" t="s">
        <v>52</v>
      </c>
      <c r="J1065" t="s">
        <v>32</v>
      </c>
      <c r="K1065" t="s">
        <v>29</v>
      </c>
      <c r="L1065" t="s">
        <v>4681</v>
      </c>
      <c r="M1065" t="s">
        <v>4682</v>
      </c>
      <c r="N1065" t="s">
        <v>534</v>
      </c>
      <c r="O1065" t="s">
        <v>39</v>
      </c>
      <c r="P1065" t="s">
        <v>4683</v>
      </c>
      <c r="Q1065" t="s">
        <v>36</v>
      </c>
      <c r="R1065" s="29">
        <v>46146.490972222222</v>
      </c>
      <c r="S1065">
        <v>1</v>
      </c>
      <c r="T1065">
        <v>5564</v>
      </c>
      <c r="U1065">
        <v>0</v>
      </c>
      <c r="V1065">
        <v>5564</v>
      </c>
    </row>
    <row r="1066" spans="1:22" x14ac:dyDescent="0.3">
      <c r="A1066">
        <v>198256</v>
      </c>
      <c r="B1066">
        <v>454594929</v>
      </c>
      <c r="C1066" t="s">
        <v>4684</v>
      </c>
      <c r="D1066" s="9">
        <v>269580540</v>
      </c>
      <c r="E1066" t="s">
        <v>4207</v>
      </c>
      <c r="F1066" t="s">
        <v>531</v>
      </c>
      <c r="G1066" t="s">
        <v>30</v>
      </c>
      <c r="H1066" t="s">
        <v>31</v>
      </c>
      <c r="I1066" t="s">
        <v>52</v>
      </c>
      <c r="J1066" t="s">
        <v>32</v>
      </c>
      <c r="K1066" t="s">
        <v>29</v>
      </c>
      <c r="L1066" t="s">
        <v>4685</v>
      </c>
      <c r="M1066" t="s">
        <v>4686</v>
      </c>
      <c r="N1066" t="s">
        <v>534</v>
      </c>
      <c r="O1066" t="s">
        <v>39</v>
      </c>
      <c r="P1066" t="s">
        <v>4687</v>
      </c>
      <c r="Q1066" t="s">
        <v>162</v>
      </c>
      <c r="R1066" s="29">
        <v>46147.525000000001</v>
      </c>
      <c r="S1066">
        <v>1</v>
      </c>
      <c r="T1066">
        <v>5564</v>
      </c>
      <c r="U1066">
        <v>0</v>
      </c>
      <c r="V1066">
        <v>5564</v>
      </c>
    </row>
    <row r="1067" spans="1:22" x14ac:dyDescent="0.3">
      <c r="A1067">
        <v>198256</v>
      </c>
      <c r="B1067">
        <v>454540711</v>
      </c>
      <c r="C1067" t="s">
        <v>4688</v>
      </c>
      <c r="D1067" s="9">
        <v>269476206</v>
      </c>
      <c r="E1067" t="s">
        <v>4207</v>
      </c>
      <c r="F1067" t="s">
        <v>531</v>
      </c>
      <c r="G1067" t="s">
        <v>30</v>
      </c>
      <c r="H1067" t="s">
        <v>31</v>
      </c>
      <c r="I1067" t="s">
        <v>52</v>
      </c>
      <c r="J1067" t="s">
        <v>32</v>
      </c>
      <c r="K1067" t="s">
        <v>29</v>
      </c>
      <c r="L1067" t="s">
        <v>4689</v>
      </c>
      <c r="M1067" t="s">
        <v>434</v>
      </c>
      <c r="N1067" t="s">
        <v>534</v>
      </c>
      <c r="O1067" t="s">
        <v>39</v>
      </c>
      <c r="P1067" t="s">
        <v>4690</v>
      </c>
      <c r="Q1067" t="s">
        <v>36</v>
      </c>
      <c r="R1067" s="29">
        <v>46146.489583333336</v>
      </c>
      <c r="S1067">
        <v>1</v>
      </c>
      <c r="T1067">
        <v>5564</v>
      </c>
      <c r="U1067">
        <v>0</v>
      </c>
      <c r="V1067">
        <v>5564</v>
      </c>
    </row>
    <row r="1068" spans="1:22" x14ac:dyDescent="0.3">
      <c r="A1068">
        <v>198256</v>
      </c>
      <c r="B1068">
        <v>454541532</v>
      </c>
      <c r="C1068" t="s">
        <v>4691</v>
      </c>
      <c r="D1068" s="9">
        <v>269477468</v>
      </c>
      <c r="E1068" t="s">
        <v>4207</v>
      </c>
      <c r="F1068" t="s">
        <v>531</v>
      </c>
      <c r="G1068" t="s">
        <v>30</v>
      </c>
      <c r="H1068" t="s">
        <v>31</v>
      </c>
      <c r="I1068" t="s">
        <v>52</v>
      </c>
      <c r="J1068" t="s">
        <v>32</v>
      </c>
      <c r="K1068" t="s">
        <v>29</v>
      </c>
      <c r="L1068" t="s">
        <v>4692</v>
      </c>
      <c r="M1068" t="s">
        <v>4693</v>
      </c>
      <c r="N1068" t="s">
        <v>534</v>
      </c>
      <c r="O1068" t="s">
        <v>39</v>
      </c>
      <c r="P1068" t="s">
        <v>4694</v>
      </c>
      <c r="Q1068" t="s">
        <v>72</v>
      </c>
      <c r="R1068" s="29">
        <v>46146.494444444441</v>
      </c>
      <c r="S1068">
        <v>1</v>
      </c>
      <c r="T1068">
        <v>3935</v>
      </c>
      <c r="U1068">
        <v>0</v>
      </c>
      <c r="V1068">
        <v>3935</v>
      </c>
    </row>
    <row r="1069" spans="1:22" x14ac:dyDescent="0.3">
      <c r="A1069">
        <v>198256</v>
      </c>
      <c r="B1069">
        <v>454541227</v>
      </c>
      <c r="C1069" t="s">
        <v>4695</v>
      </c>
      <c r="D1069" s="9">
        <v>269476977</v>
      </c>
      <c r="E1069" t="s">
        <v>4207</v>
      </c>
      <c r="F1069" t="s">
        <v>531</v>
      </c>
      <c r="G1069" t="s">
        <v>30</v>
      </c>
      <c r="H1069" t="s">
        <v>31</v>
      </c>
      <c r="I1069" t="s">
        <v>52</v>
      </c>
      <c r="J1069" t="s">
        <v>32</v>
      </c>
      <c r="K1069" t="s">
        <v>29</v>
      </c>
      <c r="L1069" t="s">
        <v>4696</v>
      </c>
      <c r="M1069" t="s">
        <v>4697</v>
      </c>
      <c r="N1069" t="s">
        <v>534</v>
      </c>
      <c r="O1069" t="s">
        <v>39</v>
      </c>
      <c r="P1069" t="s">
        <v>4698</v>
      </c>
      <c r="Q1069" t="s">
        <v>69</v>
      </c>
      <c r="R1069" s="29">
        <v>46146.492361111108</v>
      </c>
      <c r="S1069">
        <v>1</v>
      </c>
      <c r="T1069">
        <v>5024</v>
      </c>
      <c r="U1069">
        <v>0</v>
      </c>
      <c r="V1069">
        <v>5024</v>
      </c>
    </row>
    <row r="1070" spans="1:22" x14ac:dyDescent="0.3">
      <c r="A1070">
        <v>198256</v>
      </c>
      <c r="B1070">
        <v>454540642</v>
      </c>
      <c r="C1070" t="s">
        <v>4699</v>
      </c>
      <c r="D1070" s="9">
        <v>269476118</v>
      </c>
      <c r="E1070" t="s">
        <v>4207</v>
      </c>
      <c r="F1070" t="s">
        <v>531</v>
      </c>
      <c r="G1070" t="s">
        <v>30</v>
      </c>
      <c r="H1070" t="s">
        <v>31</v>
      </c>
      <c r="I1070" t="s">
        <v>52</v>
      </c>
      <c r="J1070" t="s">
        <v>32</v>
      </c>
      <c r="K1070" t="s">
        <v>29</v>
      </c>
      <c r="L1070" t="s">
        <v>4700</v>
      </c>
      <c r="M1070" t="s">
        <v>4701</v>
      </c>
      <c r="N1070" t="s">
        <v>534</v>
      </c>
      <c r="O1070" t="s">
        <v>39</v>
      </c>
      <c r="P1070" t="s">
        <v>4702</v>
      </c>
      <c r="Q1070" t="s">
        <v>35</v>
      </c>
      <c r="R1070" s="29">
        <v>46146.488888888889</v>
      </c>
      <c r="S1070">
        <v>0.39</v>
      </c>
      <c r="T1070">
        <v>3552</v>
      </c>
      <c r="U1070">
        <v>0</v>
      </c>
      <c r="V1070">
        <v>3552</v>
      </c>
    </row>
    <row r="1071" spans="1:22" x14ac:dyDescent="0.3">
      <c r="A1071">
        <v>198256</v>
      </c>
      <c r="B1071">
        <v>454542074</v>
      </c>
      <c r="C1071" t="s">
        <v>4703</v>
      </c>
      <c r="D1071" s="9">
        <v>269478432</v>
      </c>
      <c r="E1071" t="s">
        <v>4207</v>
      </c>
      <c r="F1071" t="s">
        <v>531</v>
      </c>
      <c r="G1071" t="s">
        <v>30</v>
      </c>
      <c r="H1071" t="s">
        <v>31</v>
      </c>
      <c r="I1071" t="s">
        <v>52</v>
      </c>
      <c r="J1071" t="s">
        <v>32</v>
      </c>
      <c r="K1071" t="s">
        <v>29</v>
      </c>
      <c r="L1071" t="s">
        <v>4704</v>
      </c>
      <c r="M1071" t="s">
        <v>4705</v>
      </c>
      <c r="N1071" t="s">
        <v>534</v>
      </c>
      <c r="O1071" t="s">
        <v>39</v>
      </c>
      <c r="P1071" t="s">
        <v>4706</v>
      </c>
      <c r="Q1071" t="s">
        <v>198</v>
      </c>
      <c r="R1071" s="29">
        <v>46146.498611111114</v>
      </c>
      <c r="S1071">
        <v>0.39</v>
      </c>
      <c r="T1071">
        <v>3552</v>
      </c>
      <c r="U1071">
        <v>0</v>
      </c>
      <c r="V1071">
        <v>3552</v>
      </c>
    </row>
    <row r="1072" spans="1:22" x14ac:dyDescent="0.3">
      <c r="A1072">
        <v>198256</v>
      </c>
      <c r="B1072">
        <v>454595002</v>
      </c>
      <c r="C1072" t="s">
        <v>4707</v>
      </c>
      <c r="D1072" s="9">
        <v>269580605</v>
      </c>
      <c r="E1072" t="s">
        <v>4207</v>
      </c>
      <c r="F1072" t="s">
        <v>531</v>
      </c>
      <c r="G1072" t="s">
        <v>30</v>
      </c>
      <c r="H1072" t="s">
        <v>31</v>
      </c>
      <c r="I1072" t="s">
        <v>52</v>
      </c>
      <c r="J1072" t="s">
        <v>32</v>
      </c>
      <c r="K1072" t="s">
        <v>29</v>
      </c>
      <c r="L1072" t="s">
        <v>4708</v>
      </c>
      <c r="M1072" t="s">
        <v>4709</v>
      </c>
      <c r="N1072" t="s">
        <v>534</v>
      </c>
      <c r="O1072" t="s">
        <v>39</v>
      </c>
      <c r="P1072" t="s">
        <v>4710</v>
      </c>
      <c r="Q1072" t="s">
        <v>42</v>
      </c>
      <c r="R1072" s="29">
        <v>46147.525000000001</v>
      </c>
      <c r="S1072">
        <v>1</v>
      </c>
      <c r="T1072">
        <v>3250</v>
      </c>
      <c r="U1072">
        <v>0</v>
      </c>
      <c r="V1072">
        <v>3250</v>
      </c>
    </row>
    <row r="1073" spans="1:22" x14ac:dyDescent="0.3">
      <c r="A1073">
        <v>198256</v>
      </c>
      <c r="B1073">
        <v>454594994</v>
      </c>
      <c r="C1073" t="s">
        <v>4711</v>
      </c>
      <c r="D1073" s="9">
        <v>269580598</v>
      </c>
      <c r="E1073" t="s">
        <v>4207</v>
      </c>
      <c r="F1073" t="s">
        <v>531</v>
      </c>
      <c r="G1073" t="s">
        <v>30</v>
      </c>
      <c r="H1073" t="s">
        <v>31</v>
      </c>
      <c r="I1073" t="s">
        <v>52</v>
      </c>
      <c r="J1073" t="s">
        <v>32</v>
      </c>
      <c r="K1073" t="s">
        <v>29</v>
      </c>
      <c r="L1073" t="s">
        <v>4712</v>
      </c>
      <c r="M1073" t="s">
        <v>4713</v>
      </c>
      <c r="N1073" t="s">
        <v>534</v>
      </c>
      <c r="O1073" t="s">
        <v>39</v>
      </c>
      <c r="P1073" t="s">
        <v>4714</v>
      </c>
      <c r="Q1073" t="s">
        <v>69</v>
      </c>
      <c r="R1073" s="29">
        <v>46147.525000000001</v>
      </c>
      <c r="S1073">
        <v>0.41</v>
      </c>
      <c r="T1073">
        <v>3935</v>
      </c>
      <c r="U1073">
        <v>0</v>
      </c>
      <c r="V1073">
        <v>3935</v>
      </c>
    </row>
    <row r="1074" spans="1:22" x14ac:dyDescent="0.3">
      <c r="A1074">
        <v>198256</v>
      </c>
      <c r="B1074">
        <v>454541620</v>
      </c>
      <c r="C1074" t="s">
        <v>4715</v>
      </c>
      <c r="D1074" s="9">
        <v>269477543</v>
      </c>
      <c r="E1074" t="s">
        <v>4207</v>
      </c>
      <c r="F1074" t="s">
        <v>531</v>
      </c>
      <c r="G1074" t="s">
        <v>30</v>
      </c>
      <c r="H1074" t="s">
        <v>31</v>
      </c>
      <c r="I1074" t="s">
        <v>52</v>
      </c>
      <c r="J1074" t="s">
        <v>32</v>
      </c>
      <c r="K1074" t="s">
        <v>29</v>
      </c>
      <c r="L1074" t="s">
        <v>4716</v>
      </c>
      <c r="M1074" t="s">
        <v>4717</v>
      </c>
      <c r="N1074" t="s">
        <v>534</v>
      </c>
      <c r="O1074" t="s">
        <v>39</v>
      </c>
      <c r="P1074" t="s">
        <v>442</v>
      </c>
      <c r="Q1074" t="s">
        <v>69</v>
      </c>
      <c r="R1074" s="29">
        <v>46146.494444444441</v>
      </c>
      <c r="S1074">
        <v>1</v>
      </c>
      <c r="T1074">
        <v>5024</v>
      </c>
      <c r="U1074">
        <v>0</v>
      </c>
      <c r="V1074">
        <v>5024</v>
      </c>
    </row>
    <row r="1075" spans="1:22" x14ac:dyDescent="0.3">
      <c r="A1075">
        <v>198256</v>
      </c>
      <c r="B1075">
        <v>454541286</v>
      </c>
      <c r="C1075" t="s">
        <v>4718</v>
      </c>
      <c r="D1075" s="9">
        <v>269477058</v>
      </c>
      <c r="E1075" t="s">
        <v>4207</v>
      </c>
      <c r="F1075" t="s">
        <v>531</v>
      </c>
      <c r="G1075" t="s">
        <v>30</v>
      </c>
      <c r="H1075" t="s">
        <v>31</v>
      </c>
      <c r="I1075" t="s">
        <v>52</v>
      </c>
      <c r="J1075" t="s">
        <v>32</v>
      </c>
      <c r="K1075" t="s">
        <v>29</v>
      </c>
      <c r="L1075" t="s">
        <v>4719</v>
      </c>
      <c r="M1075" t="s">
        <v>4720</v>
      </c>
      <c r="N1075" t="s">
        <v>534</v>
      </c>
      <c r="O1075" t="s">
        <v>39</v>
      </c>
      <c r="P1075" t="s">
        <v>4721</v>
      </c>
      <c r="Q1075" t="s">
        <v>69</v>
      </c>
      <c r="R1075" s="29">
        <v>46146.493055555555</v>
      </c>
      <c r="S1075">
        <v>1</v>
      </c>
      <c r="T1075">
        <v>5024</v>
      </c>
      <c r="U1075">
        <v>0</v>
      </c>
      <c r="V1075">
        <v>5024</v>
      </c>
    </row>
    <row r="1076" spans="1:22" x14ac:dyDescent="0.3">
      <c r="A1076">
        <v>198256</v>
      </c>
      <c r="B1076">
        <v>454540546</v>
      </c>
      <c r="C1076" t="s">
        <v>4722</v>
      </c>
      <c r="D1076" s="9">
        <v>269476022</v>
      </c>
      <c r="E1076" t="s">
        <v>4207</v>
      </c>
      <c r="F1076" t="s">
        <v>531</v>
      </c>
      <c r="G1076" t="s">
        <v>30</v>
      </c>
      <c r="H1076" t="s">
        <v>31</v>
      </c>
      <c r="I1076" t="s">
        <v>52</v>
      </c>
      <c r="J1076" t="s">
        <v>32</v>
      </c>
      <c r="K1076" t="s">
        <v>29</v>
      </c>
      <c r="L1076" t="s">
        <v>4723</v>
      </c>
      <c r="M1076" t="s">
        <v>4724</v>
      </c>
      <c r="N1076" t="s">
        <v>534</v>
      </c>
      <c r="O1076" t="s">
        <v>39</v>
      </c>
      <c r="P1076" t="s">
        <v>4725</v>
      </c>
      <c r="Q1076" t="s">
        <v>154</v>
      </c>
      <c r="R1076" s="29">
        <v>46146.488888888889</v>
      </c>
      <c r="S1076">
        <v>1</v>
      </c>
      <c r="T1076">
        <v>3935</v>
      </c>
      <c r="U1076">
        <v>0</v>
      </c>
      <c r="V1076">
        <v>3935</v>
      </c>
    </row>
    <row r="1077" spans="1:22" x14ac:dyDescent="0.3">
      <c r="A1077">
        <v>198256</v>
      </c>
      <c r="B1077">
        <v>454594819</v>
      </c>
      <c r="C1077" t="s">
        <v>4726</v>
      </c>
      <c r="D1077" s="9">
        <v>269580347</v>
      </c>
      <c r="E1077" t="s">
        <v>4207</v>
      </c>
      <c r="F1077" t="s">
        <v>531</v>
      </c>
      <c r="G1077" t="s">
        <v>30</v>
      </c>
      <c r="H1077" t="s">
        <v>31</v>
      </c>
      <c r="I1077" t="s">
        <v>52</v>
      </c>
      <c r="J1077" t="s">
        <v>32</v>
      </c>
      <c r="K1077" t="s">
        <v>29</v>
      </c>
      <c r="L1077" t="s">
        <v>1511</v>
      </c>
      <c r="M1077" t="s">
        <v>1512</v>
      </c>
      <c r="N1077" t="s">
        <v>534</v>
      </c>
      <c r="O1077" t="s">
        <v>39</v>
      </c>
      <c r="P1077" t="s">
        <v>4727</v>
      </c>
      <c r="Q1077" t="s">
        <v>209</v>
      </c>
      <c r="R1077" s="29">
        <v>46147.524305555555</v>
      </c>
      <c r="S1077">
        <v>0.48</v>
      </c>
      <c r="T1077">
        <v>3958</v>
      </c>
      <c r="U1077">
        <v>0</v>
      </c>
      <c r="V1077">
        <v>3958</v>
      </c>
    </row>
    <row r="1078" spans="1:22" x14ac:dyDescent="0.3">
      <c r="A1078">
        <v>198256</v>
      </c>
      <c r="B1078">
        <v>454594961</v>
      </c>
      <c r="C1078" t="s">
        <v>4728</v>
      </c>
      <c r="D1078" s="9">
        <v>269580548</v>
      </c>
      <c r="E1078" t="s">
        <v>4207</v>
      </c>
      <c r="F1078" t="s">
        <v>531</v>
      </c>
      <c r="G1078" t="s">
        <v>30</v>
      </c>
      <c r="H1078" t="s">
        <v>31</v>
      </c>
      <c r="I1078" t="s">
        <v>52</v>
      </c>
      <c r="J1078" t="s">
        <v>32</v>
      </c>
      <c r="K1078" t="s">
        <v>29</v>
      </c>
      <c r="L1078" t="s">
        <v>4729</v>
      </c>
      <c r="M1078" t="s">
        <v>4730</v>
      </c>
      <c r="N1078" t="s">
        <v>534</v>
      </c>
      <c r="O1078" t="s">
        <v>39</v>
      </c>
      <c r="P1078" t="s">
        <v>4731</v>
      </c>
      <c r="Q1078" t="s">
        <v>34</v>
      </c>
      <c r="R1078" s="29">
        <v>46147.525000000001</v>
      </c>
      <c r="S1078">
        <v>0.5</v>
      </c>
      <c r="T1078">
        <v>3339</v>
      </c>
      <c r="U1078">
        <v>0</v>
      </c>
      <c r="V1078">
        <v>3339</v>
      </c>
    </row>
    <row r="1079" spans="1:22" x14ac:dyDescent="0.3">
      <c r="A1079">
        <v>198256</v>
      </c>
      <c r="B1079">
        <v>454541540</v>
      </c>
      <c r="C1079" t="s">
        <v>4732</v>
      </c>
      <c r="D1079" s="9">
        <v>269477482</v>
      </c>
      <c r="E1079" t="s">
        <v>4207</v>
      </c>
      <c r="F1079" t="s">
        <v>531</v>
      </c>
      <c r="G1079" t="s">
        <v>30</v>
      </c>
      <c r="H1079" t="s">
        <v>31</v>
      </c>
      <c r="I1079" t="s">
        <v>52</v>
      </c>
      <c r="J1079" t="s">
        <v>32</v>
      </c>
      <c r="K1079" t="s">
        <v>29</v>
      </c>
      <c r="L1079" t="s">
        <v>4733</v>
      </c>
      <c r="M1079" t="s">
        <v>4734</v>
      </c>
      <c r="N1079" t="s">
        <v>534</v>
      </c>
      <c r="O1079" t="s">
        <v>39</v>
      </c>
      <c r="P1079" t="s">
        <v>4735</v>
      </c>
      <c r="Q1079" t="s">
        <v>69</v>
      </c>
      <c r="R1079" s="29">
        <v>46146.494444444441</v>
      </c>
      <c r="S1079">
        <v>1</v>
      </c>
      <c r="T1079">
        <v>5024</v>
      </c>
      <c r="U1079">
        <v>0</v>
      </c>
      <c r="V1079">
        <v>5024</v>
      </c>
    </row>
    <row r="1080" spans="1:22" x14ac:dyDescent="0.3">
      <c r="A1080">
        <v>198256</v>
      </c>
      <c r="B1080">
        <v>454541603</v>
      </c>
      <c r="C1080" t="s">
        <v>4736</v>
      </c>
      <c r="D1080" s="9">
        <v>269477528</v>
      </c>
      <c r="E1080" t="s">
        <v>4207</v>
      </c>
      <c r="F1080" t="s">
        <v>531</v>
      </c>
      <c r="G1080" t="s">
        <v>30</v>
      </c>
      <c r="H1080" t="s">
        <v>31</v>
      </c>
      <c r="I1080" t="s">
        <v>52</v>
      </c>
      <c r="J1080" t="s">
        <v>32</v>
      </c>
      <c r="K1080" t="s">
        <v>29</v>
      </c>
      <c r="L1080" t="s">
        <v>4737</v>
      </c>
      <c r="M1080" t="s">
        <v>470</v>
      </c>
      <c r="N1080" t="s">
        <v>534</v>
      </c>
      <c r="O1080" t="s">
        <v>39</v>
      </c>
      <c r="P1080" t="s">
        <v>4738</v>
      </c>
      <c r="Q1080" t="s">
        <v>80</v>
      </c>
      <c r="R1080" s="29">
        <v>46146.494444444441</v>
      </c>
      <c r="S1080">
        <v>1</v>
      </c>
      <c r="T1080">
        <v>5295</v>
      </c>
      <c r="U1080">
        <v>0</v>
      </c>
      <c r="V1080">
        <v>5295</v>
      </c>
    </row>
    <row r="1081" spans="1:22" x14ac:dyDescent="0.3">
      <c r="A1081">
        <v>198256</v>
      </c>
      <c r="B1081">
        <v>454542107</v>
      </c>
      <c r="C1081" t="s">
        <v>4739</v>
      </c>
      <c r="D1081" s="9">
        <v>269478478</v>
      </c>
      <c r="E1081" t="s">
        <v>4207</v>
      </c>
      <c r="F1081" t="s">
        <v>531</v>
      </c>
      <c r="G1081" t="s">
        <v>30</v>
      </c>
      <c r="H1081" t="s">
        <v>31</v>
      </c>
      <c r="I1081" t="s">
        <v>52</v>
      </c>
      <c r="J1081" t="s">
        <v>32</v>
      </c>
      <c r="K1081" t="s">
        <v>29</v>
      </c>
      <c r="L1081" t="s">
        <v>4740</v>
      </c>
      <c r="M1081" t="s">
        <v>4741</v>
      </c>
      <c r="N1081" t="s">
        <v>534</v>
      </c>
      <c r="O1081" t="s">
        <v>39</v>
      </c>
      <c r="P1081" t="s">
        <v>4742</v>
      </c>
      <c r="Q1081" t="s">
        <v>162</v>
      </c>
      <c r="R1081" s="29">
        <v>46146.499305555553</v>
      </c>
      <c r="S1081">
        <v>1</v>
      </c>
      <c r="T1081">
        <v>5564</v>
      </c>
      <c r="U1081">
        <v>0</v>
      </c>
      <c r="V1081">
        <v>5564</v>
      </c>
    </row>
    <row r="1082" spans="1:22" x14ac:dyDescent="0.3">
      <c r="A1082">
        <v>198256</v>
      </c>
      <c r="B1082">
        <v>454594822</v>
      </c>
      <c r="C1082" t="s">
        <v>4743</v>
      </c>
      <c r="D1082" s="9">
        <v>269580361</v>
      </c>
      <c r="E1082" t="s">
        <v>4207</v>
      </c>
      <c r="F1082" t="s">
        <v>531</v>
      </c>
      <c r="G1082" t="s">
        <v>30</v>
      </c>
      <c r="H1082" t="s">
        <v>31</v>
      </c>
      <c r="I1082" t="s">
        <v>52</v>
      </c>
      <c r="J1082" t="s">
        <v>32</v>
      </c>
      <c r="K1082" t="s">
        <v>29</v>
      </c>
      <c r="L1082" t="s">
        <v>4744</v>
      </c>
      <c r="M1082" t="s">
        <v>4745</v>
      </c>
      <c r="N1082" t="s">
        <v>534</v>
      </c>
      <c r="O1082" t="s">
        <v>39</v>
      </c>
      <c r="P1082" t="s">
        <v>4746</v>
      </c>
      <c r="Q1082" t="s">
        <v>35</v>
      </c>
      <c r="R1082" s="29">
        <v>46147.524305555555</v>
      </c>
      <c r="S1082">
        <v>1</v>
      </c>
      <c r="T1082">
        <v>3935</v>
      </c>
      <c r="U1082">
        <v>0</v>
      </c>
      <c r="V1082">
        <v>3935</v>
      </c>
    </row>
    <row r="1083" spans="1:22" x14ac:dyDescent="0.3">
      <c r="A1083">
        <v>198256</v>
      </c>
      <c r="B1083">
        <v>454540644</v>
      </c>
      <c r="C1083" t="s">
        <v>4747</v>
      </c>
      <c r="D1083" s="9">
        <v>269476120</v>
      </c>
      <c r="E1083" t="s">
        <v>4207</v>
      </c>
      <c r="F1083" t="s">
        <v>531</v>
      </c>
      <c r="G1083" t="s">
        <v>30</v>
      </c>
      <c r="H1083" t="s">
        <v>31</v>
      </c>
      <c r="I1083" t="s">
        <v>52</v>
      </c>
      <c r="J1083" t="s">
        <v>32</v>
      </c>
      <c r="K1083" t="s">
        <v>29</v>
      </c>
      <c r="L1083" t="s">
        <v>4748</v>
      </c>
      <c r="M1083" t="s">
        <v>4749</v>
      </c>
      <c r="N1083" t="s">
        <v>534</v>
      </c>
      <c r="O1083" t="s">
        <v>39</v>
      </c>
      <c r="P1083" t="s">
        <v>4750</v>
      </c>
      <c r="Q1083" t="s">
        <v>80</v>
      </c>
      <c r="R1083" s="29">
        <v>46146.488888888889</v>
      </c>
      <c r="S1083">
        <v>0.4</v>
      </c>
      <c r="T1083">
        <v>3935</v>
      </c>
      <c r="U1083">
        <v>0</v>
      </c>
      <c r="V1083">
        <v>3935</v>
      </c>
    </row>
    <row r="1084" spans="1:22" x14ac:dyDescent="0.3">
      <c r="A1084">
        <v>198256</v>
      </c>
      <c r="B1084">
        <v>454540525</v>
      </c>
      <c r="C1084" t="s">
        <v>4751</v>
      </c>
      <c r="D1084" s="9">
        <v>269475999</v>
      </c>
      <c r="E1084" t="s">
        <v>4207</v>
      </c>
      <c r="F1084" t="s">
        <v>531</v>
      </c>
      <c r="G1084" t="s">
        <v>30</v>
      </c>
      <c r="H1084" t="s">
        <v>31</v>
      </c>
      <c r="I1084" t="s">
        <v>52</v>
      </c>
      <c r="J1084" t="s">
        <v>32</v>
      </c>
      <c r="K1084" t="s">
        <v>29</v>
      </c>
      <c r="L1084" t="s">
        <v>4752</v>
      </c>
      <c r="M1084" t="s">
        <v>4753</v>
      </c>
      <c r="N1084" t="s">
        <v>534</v>
      </c>
      <c r="O1084" t="s">
        <v>39</v>
      </c>
      <c r="P1084" t="s">
        <v>4754</v>
      </c>
      <c r="Q1084" t="s">
        <v>42</v>
      </c>
      <c r="R1084" s="29">
        <v>46146.488888888889</v>
      </c>
      <c r="S1084">
        <v>0.41</v>
      </c>
      <c r="T1084">
        <v>3193</v>
      </c>
      <c r="U1084">
        <v>0</v>
      </c>
      <c r="V1084">
        <v>3193</v>
      </c>
    </row>
    <row r="1085" spans="1:22" x14ac:dyDescent="0.3">
      <c r="A1085">
        <v>198256</v>
      </c>
      <c r="B1085">
        <v>454540700</v>
      </c>
      <c r="C1085" t="s">
        <v>4755</v>
      </c>
      <c r="D1085" s="9">
        <v>269476201</v>
      </c>
      <c r="E1085" t="s">
        <v>4207</v>
      </c>
      <c r="F1085" t="s">
        <v>531</v>
      </c>
      <c r="G1085" t="s">
        <v>30</v>
      </c>
      <c r="H1085" t="s">
        <v>31</v>
      </c>
      <c r="I1085" t="s">
        <v>52</v>
      </c>
      <c r="J1085" t="s">
        <v>32</v>
      </c>
      <c r="K1085" t="s">
        <v>29</v>
      </c>
      <c r="L1085" t="s">
        <v>4756</v>
      </c>
      <c r="M1085" t="s">
        <v>4757</v>
      </c>
      <c r="N1085" t="s">
        <v>534</v>
      </c>
      <c r="O1085" t="s">
        <v>39</v>
      </c>
      <c r="P1085" t="s">
        <v>4758</v>
      </c>
      <c r="Q1085" t="s">
        <v>147</v>
      </c>
      <c r="R1085" s="29">
        <v>46146.489583333336</v>
      </c>
      <c r="S1085">
        <v>1</v>
      </c>
      <c r="T1085">
        <v>4205</v>
      </c>
      <c r="U1085">
        <v>0</v>
      </c>
      <c r="V1085">
        <v>4205</v>
      </c>
    </row>
    <row r="1086" spans="1:22" x14ac:dyDescent="0.3">
      <c r="A1086">
        <v>198256</v>
      </c>
      <c r="B1086">
        <v>454540522</v>
      </c>
      <c r="C1086" t="s">
        <v>4759</v>
      </c>
      <c r="D1086" s="9">
        <v>269475997</v>
      </c>
      <c r="E1086" t="s">
        <v>4207</v>
      </c>
      <c r="F1086" t="s">
        <v>531</v>
      </c>
      <c r="G1086" t="s">
        <v>30</v>
      </c>
      <c r="H1086" t="s">
        <v>31</v>
      </c>
      <c r="I1086" t="s">
        <v>52</v>
      </c>
      <c r="J1086" t="s">
        <v>32</v>
      </c>
      <c r="K1086" t="s">
        <v>29</v>
      </c>
      <c r="L1086" t="s">
        <v>4760</v>
      </c>
      <c r="M1086" t="s">
        <v>4273</v>
      </c>
      <c r="N1086" t="s">
        <v>534</v>
      </c>
      <c r="O1086" t="s">
        <v>39</v>
      </c>
      <c r="P1086" t="s">
        <v>4274</v>
      </c>
      <c r="Q1086" t="s">
        <v>69</v>
      </c>
      <c r="R1086" s="29">
        <v>46146.488888888889</v>
      </c>
      <c r="S1086">
        <v>0.05</v>
      </c>
      <c r="T1086">
        <v>3935</v>
      </c>
      <c r="U1086">
        <v>0</v>
      </c>
      <c r="V1086">
        <v>3935</v>
      </c>
    </row>
    <row r="1087" spans="1:22" x14ac:dyDescent="0.3">
      <c r="A1087">
        <v>198256</v>
      </c>
      <c r="B1087">
        <v>454541539</v>
      </c>
      <c r="C1087" t="s">
        <v>4761</v>
      </c>
      <c r="D1087" s="9">
        <v>269477481</v>
      </c>
      <c r="E1087" t="s">
        <v>4207</v>
      </c>
      <c r="F1087" t="s">
        <v>531</v>
      </c>
      <c r="G1087" t="s">
        <v>30</v>
      </c>
      <c r="H1087" t="s">
        <v>31</v>
      </c>
      <c r="I1087" t="s">
        <v>52</v>
      </c>
      <c r="J1087" t="s">
        <v>32</v>
      </c>
      <c r="K1087" t="s">
        <v>29</v>
      </c>
      <c r="L1087" t="s">
        <v>4762</v>
      </c>
      <c r="M1087" t="s">
        <v>4381</v>
      </c>
      <c r="N1087" t="s">
        <v>534</v>
      </c>
      <c r="O1087" t="s">
        <v>39</v>
      </c>
      <c r="P1087" t="s">
        <v>4763</v>
      </c>
      <c r="Q1087" t="s">
        <v>34</v>
      </c>
      <c r="R1087" s="29">
        <v>46146.494444444441</v>
      </c>
      <c r="S1087">
        <v>1</v>
      </c>
      <c r="T1087">
        <v>3653</v>
      </c>
      <c r="U1087">
        <v>0</v>
      </c>
      <c r="V1087">
        <v>3653</v>
      </c>
    </row>
    <row r="1088" spans="1:22" x14ac:dyDescent="0.3">
      <c r="A1088">
        <v>198256</v>
      </c>
      <c r="B1088">
        <v>454541519</v>
      </c>
      <c r="C1088" t="s">
        <v>4764</v>
      </c>
      <c r="D1088" s="9">
        <v>269477451</v>
      </c>
      <c r="E1088" t="s">
        <v>4207</v>
      </c>
      <c r="F1088" t="s">
        <v>531</v>
      </c>
      <c r="G1088" t="s">
        <v>30</v>
      </c>
      <c r="H1088" t="s">
        <v>31</v>
      </c>
      <c r="I1088" t="s">
        <v>52</v>
      </c>
      <c r="J1088" t="s">
        <v>32</v>
      </c>
      <c r="K1088" t="s">
        <v>29</v>
      </c>
      <c r="L1088" t="s">
        <v>4765</v>
      </c>
      <c r="M1088" t="s">
        <v>4766</v>
      </c>
      <c r="N1088" t="s">
        <v>534</v>
      </c>
      <c r="O1088" t="s">
        <v>39</v>
      </c>
      <c r="P1088" t="s">
        <v>4767</v>
      </c>
      <c r="Q1088" t="s">
        <v>147</v>
      </c>
      <c r="R1088" s="29">
        <v>46146.494444444441</v>
      </c>
      <c r="S1088">
        <v>1</v>
      </c>
      <c r="T1088">
        <v>4205</v>
      </c>
      <c r="U1088">
        <v>0</v>
      </c>
      <c r="V1088">
        <v>4205</v>
      </c>
    </row>
    <row r="1089" spans="1:22" x14ac:dyDescent="0.3">
      <c r="A1089">
        <v>198256</v>
      </c>
      <c r="B1089">
        <v>454594938</v>
      </c>
      <c r="C1089" t="s">
        <v>4768</v>
      </c>
      <c r="D1089" s="9">
        <v>269580559</v>
      </c>
      <c r="E1089" t="s">
        <v>4207</v>
      </c>
      <c r="F1089" t="s">
        <v>531</v>
      </c>
      <c r="G1089" t="s">
        <v>30</v>
      </c>
      <c r="H1089" t="s">
        <v>31</v>
      </c>
      <c r="I1089" t="s">
        <v>52</v>
      </c>
      <c r="J1089" t="s">
        <v>32</v>
      </c>
      <c r="K1089" t="s">
        <v>29</v>
      </c>
      <c r="L1089" t="s">
        <v>4769</v>
      </c>
      <c r="M1089" t="s">
        <v>4770</v>
      </c>
      <c r="N1089" t="s">
        <v>534</v>
      </c>
      <c r="O1089" t="s">
        <v>39</v>
      </c>
      <c r="P1089" t="s">
        <v>4771</v>
      </c>
      <c r="Q1089" t="s">
        <v>76</v>
      </c>
      <c r="R1089" s="29">
        <v>46147.525000000001</v>
      </c>
      <c r="S1089">
        <v>1</v>
      </c>
      <c r="T1089">
        <v>3653</v>
      </c>
      <c r="U1089">
        <v>0</v>
      </c>
      <c r="V1089">
        <v>3653</v>
      </c>
    </row>
    <row r="1090" spans="1:22" x14ac:dyDescent="0.3">
      <c r="A1090">
        <v>198256</v>
      </c>
      <c r="B1090">
        <v>454540649</v>
      </c>
      <c r="C1090" t="s">
        <v>4772</v>
      </c>
      <c r="D1090" s="9">
        <v>269476122</v>
      </c>
      <c r="E1090" t="s">
        <v>4207</v>
      </c>
      <c r="F1090" t="s">
        <v>531</v>
      </c>
      <c r="G1090" t="s">
        <v>30</v>
      </c>
      <c r="H1090" t="s">
        <v>31</v>
      </c>
      <c r="I1090" t="s">
        <v>52</v>
      </c>
      <c r="J1090" t="s">
        <v>32</v>
      </c>
      <c r="K1090" t="s">
        <v>29</v>
      </c>
      <c r="L1090" t="s">
        <v>4773</v>
      </c>
      <c r="M1090" t="s">
        <v>4774</v>
      </c>
      <c r="N1090" t="s">
        <v>534</v>
      </c>
      <c r="O1090" t="s">
        <v>39</v>
      </c>
      <c r="P1090" t="s">
        <v>4775</v>
      </c>
      <c r="Q1090" t="s">
        <v>72</v>
      </c>
      <c r="R1090" s="29">
        <v>46146.488888888889</v>
      </c>
      <c r="S1090">
        <v>0.41</v>
      </c>
      <c r="T1090">
        <v>3552</v>
      </c>
      <c r="U1090">
        <v>0</v>
      </c>
      <c r="V1090">
        <v>3552</v>
      </c>
    </row>
    <row r="1091" spans="1:22" x14ac:dyDescent="0.3">
      <c r="A1091">
        <v>198256</v>
      </c>
      <c r="B1091">
        <v>454541642</v>
      </c>
      <c r="C1091" t="s">
        <v>4776</v>
      </c>
      <c r="D1091" s="9">
        <v>269477566</v>
      </c>
      <c r="E1091" t="s">
        <v>4207</v>
      </c>
      <c r="F1091" t="s">
        <v>531</v>
      </c>
      <c r="G1091" t="s">
        <v>30</v>
      </c>
      <c r="H1091" t="s">
        <v>31</v>
      </c>
      <c r="I1091" t="s">
        <v>52</v>
      </c>
      <c r="J1091" t="s">
        <v>32</v>
      </c>
      <c r="K1091" t="s">
        <v>29</v>
      </c>
      <c r="L1091" t="s">
        <v>4777</v>
      </c>
      <c r="M1091" t="s">
        <v>357</v>
      </c>
      <c r="N1091" t="s">
        <v>534</v>
      </c>
      <c r="O1091" t="s">
        <v>39</v>
      </c>
      <c r="P1091" t="s">
        <v>4778</v>
      </c>
      <c r="Q1091" t="s">
        <v>80</v>
      </c>
      <c r="R1091" s="29">
        <v>46146.495138888888</v>
      </c>
      <c r="S1091">
        <v>1</v>
      </c>
      <c r="T1091">
        <v>5295</v>
      </c>
      <c r="U1091">
        <v>0</v>
      </c>
      <c r="V1091">
        <v>5295</v>
      </c>
    </row>
    <row r="1092" spans="1:22" x14ac:dyDescent="0.3">
      <c r="A1092">
        <v>198256</v>
      </c>
      <c r="B1092">
        <v>454540714</v>
      </c>
      <c r="C1092" t="s">
        <v>4779</v>
      </c>
      <c r="D1092" s="9">
        <v>269476181</v>
      </c>
      <c r="E1092" t="s">
        <v>4207</v>
      </c>
      <c r="F1092" t="s">
        <v>531</v>
      </c>
      <c r="G1092" t="s">
        <v>30</v>
      </c>
      <c r="H1092" t="s">
        <v>31</v>
      </c>
      <c r="I1092" t="s">
        <v>52</v>
      </c>
      <c r="J1092" t="s">
        <v>32</v>
      </c>
      <c r="K1092" t="s">
        <v>29</v>
      </c>
      <c r="L1092" t="s">
        <v>4780</v>
      </c>
      <c r="M1092" t="s">
        <v>4781</v>
      </c>
      <c r="N1092" t="s">
        <v>534</v>
      </c>
      <c r="O1092" t="s">
        <v>39</v>
      </c>
      <c r="P1092" t="s">
        <v>4782</v>
      </c>
      <c r="Q1092" t="s">
        <v>69</v>
      </c>
      <c r="R1092" s="29">
        <v>46146.489583333336</v>
      </c>
      <c r="S1092">
        <v>1</v>
      </c>
      <c r="T1092">
        <v>5024</v>
      </c>
      <c r="U1092">
        <v>0</v>
      </c>
      <c r="V1092">
        <v>5024</v>
      </c>
    </row>
    <row r="1093" spans="1:22" x14ac:dyDescent="0.3">
      <c r="A1093">
        <v>198256</v>
      </c>
      <c r="B1093">
        <v>454542093</v>
      </c>
      <c r="C1093" t="s">
        <v>4783</v>
      </c>
      <c r="D1093" s="9">
        <v>269478445</v>
      </c>
      <c r="E1093" t="s">
        <v>4207</v>
      </c>
      <c r="F1093" t="s">
        <v>531</v>
      </c>
      <c r="G1093" t="s">
        <v>30</v>
      </c>
      <c r="H1093" t="s">
        <v>31</v>
      </c>
      <c r="I1093" t="s">
        <v>52</v>
      </c>
      <c r="J1093" t="s">
        <v>32</v>
      </c>
      <c r="K1093" t="s">
        <v>29</v>
      </c>
      <c r="L1093" t="s">
        <v>4784</v>
      </c>
      <c r="M1093" t="s">
        <v>4785</v>
      </c>
      <c r="N1093" t="s">
        <v>534</v>
      </c>
      <c r="O1093" t="s">
        <v>39</v>
      </c>
      <c r="P1093" t="s">
        <v>4786</v>
      </c>
      <c r="Q1093" t="s">
        <v>36</v>
      </c>
      <c r="R1093" s="29">
        <v>46146.499305555553</v>
      </c>
      <c r="S1093">
        <v>0.4</v>
      </c>
      <c r="T1093">
        <v>3935</v>
      </c>
      <c r="U1093">
        <v>0</v>
      </c>
      <c r="V1093">
        <v>3935</v>
      </c>
    </row>
    <row r="1094" spans="1:22" x14ac:dyDescent="0.3">
      <c r="A1094">
        <v>198256</v>
      </c>
      <c r="B1094">
        <v>454540538</v>
      </c>
      <c r="C1094" t="s">
        <v>4787</v>
      </c>
      <c r="D1094" s="9">
        <v>269476010</v>
      </c>
      <c r="E1094" t="s">
        <v>4207</v>
      </c>
      <c r="F1094" t="s">
        <v>531</v>
      </c>
      <c r="G1094" t="s">
        <v>30</v>
      </c>
      <c r="H1094" t="s">
        <v>31</v>
      </c>
      <c r="I1094" t="s">
        <v>52</v>
      </c>
      <c r="J1094" t="s">
        <v>32</v>
      </c>
      <c r="K1094" t="s">
        <v>29</v>
      </c>
      <c r="L1094" t="s">
        <v>4788</v>
      </c>
      <c r="M1094" t="s">
        <v>4789</v>
      </c>
      <c r="N1094" t="s">
        <v>534</v>
      </c>
      <c r="O1094" t="s">
        <v>39</v>
      </c>
      <c r="P1094" t="s">
        <v>4790</v>
      </c>
      <c r="Q1094" t="s">
        <v>69</v>
      </c>
      <c r="R1094" s="29">
        <v>46146.488888888889</v>
      </c>
      <c r="S1094">
        <v>1</v>
      </c>
      <c r="T1094">
        <v>5024</v>
      </c>
      <c r="U1094">
        <v>0</v>
      </c>
      <c r="V1094">
        <v>5024</v>
      </c>
    </row>
    <row r="1095" spans="1:22" x14ac:dyDescent="0.3">
      <c r="A1095">
        <v>198256</v>
      </c>
      <c r="B1095">
        <v>454542106</v>
      </c>
      <c r="C1095" t="s">
        <v>4791</v>
      </c>
      <c r="D1095" s="9">
        <v>269478466</v>
      </c>
      <c r="E1095" t="s">
        <v>4207</v>
      </c>
      <c r="F1095" t="s">
        <v>531</v>
      </c>
      <c r="G1095" t="s">
        <v>30</v>
      </c>
      <c r="H1095" t="s">
        <v>31</v>
      </c>
      <c r="I1095" t="s">
        <v>52</v>
      </c>
      <c r="J1095" t="s">
        <v>32</v>
      </c>
      <c r="K1095" t="s">
        <v>29</v>
      </c>
      <c r="L1095" t="s">
        <v>4792</v>
      </c>
      <c r="M1095" t="s">
        <v>4793</v>
      </c>
      <c r="N1095" t="s">
        <v>534</v>
      </c>
      <c r="O1095" t="s">
        <v>39</v>
      </c>
      <c r="P1095" t="s">
        <v>4794</v>
      </c>
      <c r="Q1095" t="s">
        <v>42</v>
      </c>
      <c r="R1095" s="29">
        <v>46146.499305555553</v>
      </c>
      <c r="S1095">
        <v>0.39</v>
      </c>
      <c r="T1095">
        <v>3193</v>
      </c>
      <c r="U1095">
        <v>0</v>
      </c>
      <c r="V1095">
        <v>3193</v>
      </c>
    </row>
    <row r="1096" spans="1:22" x14ac:dyDescent="0.3">
      <c r="A1096">
        <v>198256</v>
      </c>
      <c r="B1096">
        <v>454540699</v>
      </c>
      <c r="C1096" t="s">
        <v>4795</v>
      </c>
      <c r="D1096" s="9">
        <v>269476200</v>
      </c>
      <c r="E1096" t="s">
        <v>4207</v>
      </c>
      <c r="F1096" t="s">
        <v>531</v>
      </c>
      <c r="G1096" t="s">
        <v>30</v>
      </c>
      <c r="H1096" t="s">
        <v>31</v>
      </c>
      <c r="I1096" t="s">
        <v>52</v>
      </c>
      <c r="J1096" t="s">
        <v>32</v>
      </c>
      <c r="K1096" t="s">
        <v>29</v>
      </c>
      <c r="L1096" t="s">
        <v>4796</v>
      </c>
      <c r="M1096" t="s">
        <v>259</v>
      </c>
      <c r="N1096" t="s">
        <v>534</v>
      </c>
      <c r="O1096" t="s">
        <v>39</v>
      </c>
      <c r="P1096" t="s">
        <v>4797</v>
      </c>
      <c r="Q1096" t="s">
        <v>142</v>
      </c>
      <c r="R1096" s="29">
        <v>46146.489583333336</v>
      </c>
      <c r="S1096">
        <v>1</v>
      </c>
      <c r="T1096">
        <v>3631</v>
      </c>
      <c r="U1096">
        <v>0</v>
      </c>
      <c r="V1096">
        <v>3631</v>
      </c>
    </row>
    <row r="1097" spans="1:22" x14ac:dyDescent="0.3">
      <c r="A1097">
        <v>198256</v>
      </c>
      <c r="B1097">
        <v>454540665</v>
      </c>
      <c r="C1097" t="s">
        <v>4798</v>
      </c>
      <c r="D1097" s="9">
        <v>269476153</v>
      </c>
      <c r="E1097" t="s">
        <v>4207</v>
      </c>
      <c r="F1097" t="s">
        <v>531</v>
      </c>
      <c r="G1097" t="s">
        <v>30</v>
      </c>
      <c r="H1097" t="s">
        <v>31</v>
      </c>
      <c r="I1097" t="s">
        <v>52</v>
      </c>
      <c r="J1097" t="s">
        <v>32</v>
      </c>
      <c r="K1097" t="s">
        <v>29</v>
      </c>
      <c r="L1097" t="s">
        <v>4799</v>
      </c>
      <c r="M1097" t="s">
        <v>4800</v>
      </c>
      <c r="N1097" t="s">
        <v>534</v>
      </c>
      <c r="O1097" t="s">
        <v>39</v>
      </c>
      <c r="P1097" t="s">
        <v>4801</v>
      </c>
      <c r="Q1097" t="s">
        <v>69</v>
      </c>
      <c r="R1097" s="29">
        <v>46146.489583333336</v>
      </c>
      <c r="S1097">
        <v>0.4</v>
      </c>
      <c r="T1097">
        <v>3935</v>
      </c>
      <c r="U1097">
        <v>0</v>
      </c>
      <c r="V1097">
        <v>3935</v>
      </c>
    </row>
    <row r="1098" spans="1:22" x14ac:dyDescent="0.3">
      <c r="A1098">
        <v>198256</v>
      </c>
      <c r="B1098">
        <v>454540663</v>
      </c>
      <c r="C1098" t="s">
        <v>4802</v>
      </c>
      <c r="D1098" s="9">
        <v>269476129</v>
      </c>
      <c r="E1098" t="s">
        <v>4207</v>
      </c>
      <c r="F1098" t="s">
        <v>531</v>
      </c>
      <c r="G1098" t="s">
        <v>30</v>
      </c>
      <c r="H1098" t="s">
        <v>31</v>
      </c>
      <c r="I1098" t="s">
        <v>52</v>
      </c>
      <c r="J1098" t="s">
        <v>32</v>
      </c>
      <c r="K1098" t="s">
        <v>29</v>
      </c>
      <c r="L1098" t="s">
        <v>4803</v>
      </c>
      <c r="M1098" t="s">
        <v>254</v>
      </c>
      <c r="N1098" t="s">
        <v>534</v>
      </c>
      <c r="O1098" t="s">
        <v>39</v>
      </c>
      <c r="P1098" t="s">
        <v>4804</v>
      </c>
      <c r="Q1098" t="s">
        <v>69</v>
      </c>
      <c r="R1098" s="29">
        <v>46146.488888888889</v>
      </c>
      <c r="S1098">
        <v>0.45</v>
      </c>
      <c r="T1098">
        <v>3935</v>
      </c>
      <c r="U1098">
        <v>0</v>
      </c>
      <c r="V1098">
        <v>3935</v>
      </c>
    </row>
    <row r="1099" spans="1:22" x14ac:dyDescent="0.3">
      <c r="A1099">
        <v>198256</v>
      </c>
      <c r="B1099">
        <v>454540598</v>
      </c>
      <c r="C1099" t="s">
        <v>4805</v>
      </c>
      <c r="D1099" s="9">
        <v>269476077</v>
      </c>
      <c r="E1099" t="s">
        <v>4207</v>
      </c>
      <c r="F1099" t="s">
        <v>531</v>
      </c>
      <c r="G1099" t="s">
        <v>30</v>
      </c>
      <c r="H1099" t="s">
        <v>31</v>
      </c>
      <c r="I1099" t="s">
        <v>52</v>
      </c>
      <c r="J1099" t="s">
        <v>32</v>
      </c>
      <c r="K1099" t="s">
        <v>29</v>
      </c>
      <c r="L1099" t="s">
        <v>4806</v>
      </c>
      <c r="M1099" t="s">
        <v>4807</v>
      </c>
      <c r="N1099" t="s">
        <v>534</v>
      </c>
      <c r="O1099" t="s">
        <v>39</v>
      </c>
      <c r="P1099" t="s">
        <v>4808</v>
      </c>
      <c r="Q1099" t="s">
        <v>80</v>
      </c>
      <c r="R1099" s="29">
        <v>46146.488888888889</v>
      </c>
      <c r="S1099">
        <v>1</v>
      </c>
      <c r="T1099">
        <v>5295</v>
      </c>
      <c r="U1099">
        <v>0</v>
      </c>
      <c r="V1099">
        <v>5295</v>
      </c>
    </row>
    <row r="1100" spans="1:22" x14ac:dyDescent="0.3">
      <c r="A1100">
        <v>198256</v>
      </c>
      <c r="B1100">
        <v>454594834</v>
      </c>
      <c r="C1100" t="s">
        <v>4809</v>
      </c>
      <c r="D1100" s="9">
        <v>269580395</v>
      </c>
      <c r="E1100" t="s">
        <v>4207</v>
      </c>
      <c r="F1100" t="s">
        <v>531</v>
      </c>
      <c r="G1100" t="s">
        <v>30</v>
      </c>
      <c r="H1100" t="s">
        <v>31</v>
      </c>
      <c r="I1100" t="s">
        <v>52</v>
      </c>
      <c r="J1100" t="s">
        <v>32</v>
      </c>
      <c r="K1100" t="s">
        <v>29</v>
      </c>
      <c r="L1100" t="s">
        <v>4810</v>
      </c>
      <c r="M1100" t="s">
        <v>4811</v>
      </c>
      <c r="N1100" t="s">
        <v>534</v>
      </c>
      <c r="O1100" t="s">
        <v>39</v>
      </c>
      <c r="P1100" t="s">
        <v>4812</v>
      </c>
      <c r="Q1100" t="s">
        <v>80</v>
      </c>
      <c r="R1100" s="29">
        <v>46147.524305555555</v>
      </c>
      <c r="S1100">
        <v>0.33</v>
      </c>
      <c r="T1100">
        <v>3935</v>
      </c>
      <c r="U1100">
        <v>0</v>
      </c>
      <c r="V1100">
        <v>3935</v>
      </c>
    </row>
    <row r="1101" spans="1:22" x14ac:dyDescent="0.3">
      <c r="A1101">
        <v>198256</v>
      </c>
      <c r="B1101">
        <v>454540499</v>
      </c>
      <c r="C1101" t="s">
        <v>4813</v>
      </c>
      <c r="D1101" s="9">
        <v>269475946</v>
      </c>
      <c r="E1101" t="s">
        <v>4207</v>
      </c>
      <c r="F1101" t="s">
        <v>531</v>
      </c>
      <c r="G1101" t="s">
        <v>30</v>
      </c>
      <c r="H1101" t="s">
        <v>31</v>
      </c>
      <c r="I1101" t="s">
        <v>52</v>
      </c>
      <c r="J1101" t="s">
        <v>32</v>
      </c>
      <c r="K1101" t="s">
        <v>29</v>
      </c>
      <c r="L1101" t="s">
        <v>4814</v>
      </c>
      <c r="M1101" t="s">
        <v>4815</v>
      </c>
      <c r="N1101" t="s">
        <v>534</v>
      </c>
      <c r="O1101" t="s">
        <v>39</v>
      </c>
      <c r="P1101" t="s">
        <v>4816</v>
      </c>
      <c r="Q1101" t="s">
        <v>69</v>
      </c>
      <c r="R1101" s="29">
        <v>46146.488888888889</v>
      </c>
      <c r="S1101">
        <v>1</v>
      </c>
      <c r="T1101">
        <v>5024</v>
      </c>
      <c r="U1101">
        <v>0</v>
      </c>
      <c r="V1101">
        <v>5024</v>
      </c>
    </row>
    <row r="1102" spans="1:22" x14ac:dyDescent="0.3">
      <c r="A1102">
        <v>198256</v>
      </c>
      <c r="B1102">
        <v>454541257</v>
      </c>
      <c r="C1102" t="s">
        <v>4817</v>
      </c>
      <c r="D1102" s="9">
        <v>269477008</v>
      </c>
      <c r="E1102" t="s">
        <v>4207</v>
      </c>
      <c r="F1102" t="s">
        <v>531</v>
      </c>
      <c r="G1102" t="s">
        <v>30</v>
      </c>
      <c r="H1102" t="s">
        <v>31</v>
      </c>
      <c r="I1102" t="s">
        <v>52</v>
      </c>
      <c r="J1102" t="s">
        <v>32</v>
      </c>
      <c r="K1102" t="s">
        <v>29</v>
      </c>
      <c r="L1102" t="s">
        <v>4818</v>
      </c>
      <c r="M1102" t="s">
        <v>4819</v>
      </c>
      <c r="N1102" t="s">
        <v>534</v>
      </c>
      <c r="O1102" t="s">
        <v>39</v>
      </c>
      <c r="P1102" t="s">
        <v>4820</v>
      </c>
      <c r="Q1102" t="s">
        <v>195</v>
      </c>
      <c r="R1102" s="29">
        <v>46146.492361111108</v>
      </c>
      <c r="S1102">
        <v>1</v>
      </c>
      <c r="T1102">
        <v>4493</v>
      </c>
      <c r="U1102">
        <v>0</v>
      </c>
      <c r="V1102">
        <v>4493</v>
      </c>
    </row>
    <row r="1103" spans="1:22" x14ac:dyDescent="0.3">
      <c r="A1103">
        <v>198256</v>
      </c>
      <c r="B1103">
        <v>454540595</v>
      </c>
      <c r="C1103" t="s">
        <v>4821</v>
      </c>
      <c r="D1103" s="9">
        <v>269476060</v>
      </c>
      <c r="E1103" t="s">
        <v>4207</v>
      </c>
      <c r="F1103" t="s">
        <v>531</v>
      </c>
      <c r="G1103" t="s">
        <v>30</v>
      </c>
      <c r="H1103" t="s">
        <v>31</v>
      </c>
      <c r="I1103" t="s">
        <v>52</v>
      </c>
      <c r="J1103" t="s">
        <v>32</v>
      </c>
      <c r="K1103" t="s">
        <v>29</v>
      </c>
      <c r="L1103" t="s">
        <v>4822</v>
      </c>
      <c r="M1103" t="s">
        <v>402</v>
      </c>
      <c r="N1103" t="s">
        <v>534</v>
      </c>
      <c r="O1103" t="s">
        <v>39</v>
      </c>
      <c r="P1103" t="s">
        <v>4823</v>
      </c>
      <c r="Q1103" t="s">
        <v>80</v>
      </c>
      <c r="R1103" s="29">
        <v>46146.488888888889</v>
      </c>
      <c r="S1103">
        <v>1</v>
      </c>
      <c r="T1103">
        <v>5295</v>
      </c>
      <c r="U1103">
        <v>0</v>
      </c>
      <c r="V1103">
        <v>5295</v>
      </c>
    </row>
    <row r="1104" spans="1:22" x14ac:dyDescent="0.3">
      <c r="A1104">
        <v>198256</v>
      </c>
      <c r="B1104">
        <v>454594933</v>
      </c>
      <c r="C1104" t="s">
        <v>4824</v>
      </c>
      <c r="D1104" s="9">
        <v>269580542</v>
      </c>
      <c r="E1104" t="s">
        <v>4207</v>
      </c>
      <c r="F1104" t="s">
        <v>531</v>
      </c>
      <c r="G1104" t="s">
        <v>30</v>
      </c>
      <c r="H1104" t="s">
        <v>31</v>
      </c>
      <c r="I1104" t="s">
        <v>52</v>
      </c>
      <c r="J1104" t="s">
        <v>32</v>
      </c>
      <c r="K1104" t="s">
        <v>29</v>
      </c>
      <c r="L1104" t="s">
        <v>4825</v>
      </c>
      <c r="M1104" t="s">
        <v>4826</v>
      </c>
      <c r="N1104" t="s">
        <v>534</v>
      </c>
      <c r="O1104" t="s">
        <v>39</v>
      </c>
      <c r="P1104" t="s">
        <v>4827</v>
      </c>
      <c r="Q1104" t="s">
        <v>80</v>
      </c>
      <c r="R1104" s="29">
        <v>46147.525000000001</v>
      </c>
      <c r="S1104">
        <v>0.43</v>
      </c>
      <c r="T1104">
        <v>3935</v>
      </c>
      <c r="U1104">
        <v>0</v>
      </c>
      <c r="V1104">
        <v>3935</v>
      </c>
    </row>
    <row r="1105" spans="1:22" x14ac:dyDescent="0.3">
      <c r="A1105">
        <v>198256</v>
      </c>
      <c r="B1105">
        <v>454540922</v>
      </c>
      <c r="C1105" t="s">
        <v>4828</v>
      </c>
      <c r="D1105" s="9">
        <v>269476523</v>
      </c>
      <c r="E1105" t="s">
        <v>4207</v>
      </c>
      <c r="F1105" t="s">
        <v>531</v>
      </c>
      <c r="G1105" t="s">
        <v>30</v>
      </c>
      <c r="H1105" t="s">
        <v>31</v>
      </c>
      <c r="I1105" t="s">
        <v>52</v>
      </c>
      <c r="J1105" t="s">
        <v>32</v>
      </c>
      <c r="K1105" t="s">
        <v>29</v>
      </c>
      <c r="L1105" t="s">
        <v>4829</v>
      </c>
      <c r="M1105" t="s">
        <v>4830</v>
      </c>
      <c r="N1105" t="s">
        <v>534</v>
      </c>
      <c r="O1105" t="s">
        <v>39</v>
      </c>
      <c r="P1105" t="s">
        <v>4831</v>
      </c>
      <c r="Q1105" t="s">
        <v>80</v>
      </c>
      <c r="R1105" s="29">
        <v>46146.490972222222</v>
      </c>
      <c r="S1105">
        <v>1</v>
      </c>
      <c r="T1105">
        <v>5295</v>
      </c>
      <c r="U1105">
        <v>0</v>
      </c>
      <c r="V1105">
        <v>5295</v>
      </c>
    </row>
    <row r="1106" spans="1:22" x14ac:dyDescent="0.3">
      <c r="A1106">
        <v>198256</v>
      </c>
      <c r="B1106">
        <v>454541610</v>
      </c>
      <c r="C1106" t="s">
        <v>4832</v>
      </c>
      <c r="D1106" s="9">
        <v>269477540</v>
      </c>
      <c r="E1106" t="s">
        <v>4207</v>
      </c>
      <c r="F1106" t="s">
        <v>531</v>
      </c>
      <c r="G1106" t="s">
        <v>30</v>
      </c>
      <c r="H1106" t="s">
        <v>31</v>
      </c>
      <c r="I1106" t="s">
        <v>52</v>
      </c>
      <c r="J1106" t="s">
        <v>32</v>
      </c>
      <c r="K1106" t="s">
        <v>29</v>
      </c>
      <c r="L1106" t="s">
        <v>4833</v>
      </c>
      <c r="M1106" t="s">
        <v>4834</v>
      </c>
      <c r="N1106" t="s">
        <v>534</v>
      </c>
      <c r="O1106" t="s">
        <v>39</v>
      </c>
      <c r="P1106" t="s">
        <v>4835</v>
      </c>
      <c r="Q1106" t="s">
        <v>69</v>
      </c>
      <c r="R1106" s="29">
        <v>46146.494444444441</v>
      </c>
      <c r="S1106">
        <v>1</v>
      </c>
      <c r="T1106">
        <v>5024</v>
      </c>
      <c r="U1106">
        <v>0</v>
      </c>
      <c r="V1106">
        <v>5024</v>
      </c>
    </row>
    <row r="1107" spans="1:22" x14ac:dyDescent="0.3">
      <c r="A1107">
        <v>198256</v>
      </c>
      <c r="B1107">
        <v>454594953</v>
      </c>
      <c r="C1107" t="s">
        <v>4836</v>
      </c>
      <c r="D1107" s="9">
        <v>269580575</v>
      </c>
      <c r="E1107" t="s">
        <v>4207</v>
      </c>
      <c r="F1107" t="s">
        <v>531</v>
      </c>
      <c r="G1107" t="s">
        <v>30</v>
      </c>
      <c r="H1107" t="s">
        <v>31</v>
      </c>
      <c r="I1107" t="s">
        <v>52</v>
      </c>
      <c r="J1107" t="s">
        <v>32</v>
      </c>
      <c r="K1107" t="s">
        <v>29</v>
      </c>
      <c r="L1107" t="s">
        <v>4837</v>
      </c>
      <c r="M1107" t="s">
        <v>4838</v>
      </c>
      <c r="N1107" t="s">
        <v>534</v>
      </c>
      <c r="O1107" t="s">
        <v>39</v>
      </c>
      <c r="P1107" t="s">
        <v>4839</v>
      </c>
      <c r="Q1107" t="s">
        <v>69</v>
      </c>
      <c r="R1107" s="29">
        <v>46147.525000000001</v>
      </c>
      <c r="S1107">
        <v>0.47</v>
      </c>
      <c r="T1107">
        <v>3935</v>
      </c>
      <c r="U1107">
        <v>0</v>
      </c>
      <c r="V1107">
        <v>3935</v>
      </c>
    </row>
    <row r="1108" spans="1:22" x14ac:dyDescent="0.3">
      <c r="A1108">
        <v>198256</v>
      </c>
      <c r="B1108">
        <v>454540692</v>
      </c>
      <c r="C1108" t="s">
        <v>4840</v>
      </c>
      <c r="D1108" s="9">
        <v>269476172</v>
      </c>
      <c r="E1108" t="s">
        <v>4207</v>
      </c>
      <c r="F1108" t="s">
        <v>531</v>
      </c>
      <c r="G1108" t="s">
        <v>30</v>
      </c>
      <c r="H1108" t="s">
        <v>31</v>
      </c>
      <c r="I1108" t="s">
        <v>52</v>
      </c>
      <c r="J1108" t="s">
        <v>32</v>
      </c>
      <c r="K1108" t="s">
        <v>29</v>
      </c>
      <c r="L1108" t="s">
        <v>4841</v>
      </c>
      <c r="M1108" t="s">
        <v>4842</v>
      </c>
      <c r="N1108" t="s">
        <v>534</v>
      </c>
      <c r="O1108" t="s">
        <v>39</v>
      </c>
      <c r="P1108" t="s">
        <v>4843</v>
      </c>
      <c r="Q1108" t="s">
        <v>69</v>
      </c>
      <c r="R1108" s="29">
        <v>46146.489583333336</v>
      </c>
      <c r="S1108">
        <v>0.39</v>
      </c>
      <c r="T1108">
        <v>3935</v>
      </c>
      <c r="U1108">
        <v>0</v>
      </c>
      <c r="V1108">
        <v>3935</v>
      </c>
    </row>
    <row r="1109" spans="1:22" x14ac:dyDescent="0.3">
      <c r="A1109">
        <v>198256</v>
      </c>
      <c r="B1109">
        <v>454542084</v>
      </c>
      <c r="C1109" t="s">
        <v>4844</v>
      </c>
      <c r="D1109" s="9">
        <v>269478439</v>
      </c>
      <c r="E1109" t="s">
        <v>4207</v>
      </c>
      <c r="F1109" t="s">
        <v>531</v>
      </c>
      <c r="G1109" t="s">
        <v>30</v>
      </c>
      <c r="H1109" t="s">
        <v>31</v>
      </c>
      <c r="I1109" t="s">
        <v>52</v>
      </c>
      <c r="J1109" t="s">
        <v>32</v>
      </c>
      <c r="K1109" t="s">
        <v>29</v>
      </c>
      <c r="L1109" t="s">
        <v>4845</v>
      </c>
      <c r="M1109" t="s">
        <v>505</v>
      </c>
      <c r="N1109" t="s">
        <v>534</v>
      </c>
      <c r="O1109" t="s">
        <v>39</v>
      </c>
      <c r="P1109" t="s">
        <v>4846</v>
      </c>
      <c r="Q1109" t="s">
        <v>41</v>
      </c>
      <c r="R1109" s="29">
        <v>46146.499305555553</v>
      </c>
      <c r="S1109">
        <v>0.42</v>
      </c>
      <c r="T1109">
        <v>3339</v>
      </c>
      <c r="U1109">
        <v>0</v>
      </c>
      <c r="V1109">
        <v>3339</v>
      </c>
    </row>
    <row r="1110" spans="1:22" x14ac:dyDescent="0.3">
      <c r="A1110">
        <v>198256</v>
      </c>
      <c r="B1110">
        <v>454541619</v>
      </c>
      <c r="C1110" t="s">
        <v>4847</v>
      </c>
      <c r="D1110" s="9">
        <v>269477531</v>
      </c>
      <c r="E1110" t="s">
        <v>4207</v>
      </c>
      <c r="F1110" t="s">
        <v>531</v>
      </c>
      <c r="G1110" t="s">
        <v>30</v>
      </c>
      <c r="H1110" t="s">
        <v>31</v>
      </c>
      <c r="I1110" t="s">
        <v>52</v>
      </c>
      <c r="J1110" t="s">
        <v>32</v>
      </c>
      <c r="K1110" t="s">
        <v>29</v>
      </c>
      <c r="L1110" t="s">
        <v>4848</v>
      </c>
      <c r="M1110" t="s">
        <v>4849</v>
      </c>
      <c r="N1110" t="s">
        <v>534</v>
      </c>
      <c r="O1110" t="s">
        <v>39</v>
      </c>
      <c r="P1110" t="s">
        <v>4850</v>
      </c>
      <c r="Q1110" t="s">
        <v>69</v>
      </c>
      <c r="R1110" s="29">
        <v>46146.494444444441</v>
      </c>
      <c r="S1110">
        <v>1</v>
      </c>
      <c r="T1110">
        <v>5024</v>
      </c>
      <c r="U1110">
        <v>0</v>
      </c>
      <c r="V1110">
        <v>5024</v>
      </c>
    </row>
    <row r="1111" spans="1:22" x14ac:dyDescent="0.3">
      <c r="A1111">
        <v>198256</v>
      </c>
      <c r="B1111">
        <v>454541546</v>
      </c>
      <c r="C1111" t="s">
        <v>4851</v>
      </c>
      <c r="D1111" s="9">
        <v>269477495</v>
      </c>
      <c r="E1111" t="s">
        <v>4207</v>
      </c>
      <c r="F1111" t="s">
        <v>531</v>
      </c>
      <c r="G1111" t="s">
        <v>30</v>
      </c>
      <c r="H1111" t="s">
        <v>31</v>
      </c>
      <c r="I1111" t="s">
        <v>52</v>
      </c>
      <c r="J1111" t="s">
        <v>32</v>
      </c>
      <c r="K1111" t="s">
        <v>29</v>
      </c>
      <c r="L1111" t="s">
        <v>4852</v>
      </c>
      <c r="M1111" t="s">
        <v>4853</v>
      </c>
      <c r="N1111" t="s">
        <v>534</v>
      </c>
      <c r="O1111" t="s">
        <v>39</v>
      </c>
      <c r="P1111" t="s">
        <v>4854</v>
      </c>
      <c r="Q1111" t="s">
        <v>143</v>
      </c>
      <c r="R1111" s="29">
        <v>46146.494444444441</v>
      </c>
      <c r="S1111">
        <v>1</v>
      </c>
      <c r="T1111">
        <v>3935</v>
      </c>
      <c r="U1111">
        <v>0</v>
      </c>
      <c r="V1111">
        <v>3935</v>
      </c>
    </row>
    <row r="1112" spans="1:22" x14ac:dyDescent="0.3">
      <c r="A1112">
        <v>198256</v>
      </c>
      <c r="B1112">
        <v>454540664</v>
      </c>
      <c r="C1112" t="s">
        <v>4855</v>
      </c>
      <c r="D1112" s="9">
        <v>269476143</v>
      </c>
      <c r="E1112" t="s">
        <v>4207</v>
      </c>
      <c r="F1112" t="s">
        <v>531</v>
      </c>
      <c r="G1112" t="s">
        <v>30</v>
      </c>
      <c r="H1112" t="s">
        <v>31</v>
      </c>
      <c r="I1112" t="s">
        <v>52</v>
      </c>
      <c r="J1112" t="s">
        <v>32</v>
      </c>
      <c r="K1112" t="s">
        <v>29</v>
      </c>
      <c r="L1112" t="s">
        <v>4856</v>
      </c>
      <c r="M1112" t="s">
        <v>4857</v>
      </c>
      <c r="N1112" t="s">
        <v>534</v>
      </c>
      <c r="O1112" t="s">
        <v>39</v>
      </c>
      <c r="P1112" t="s">
        <v>4858</v>
      </c>
      <c r="Q1112" t="s">
        <v>80</v>
      </c>
      <c r="R1112" s="29">
        <v>46146.488888888889</v>
      </c>
      <c r="S1112">
        <v>0.42</v>
      </c>
      <c r="T1112">
        <v>3935</v>
      </c>
      <c r="U1112">
        <v>0</v>
      </c>
      <c r="V1112">
        <v>3935</v>
      </c>
    </row>
    <row r="1113" spans="1:22" x14ac:dyDescent="0.3">
      <c r="A1113">
        <v>198256</v>
      </c>
      <c r="B1113">
        <v>454540973</v>
      </c>
      <c r="C1113" t="s">
        <v>4859</v>
      </c>
      <c r="D1113" s="9">
        <v>269481078</v>
      </c>
      <c r="E1113" t="s">
        <v>4207</v>
      </c>
      <c r="F1113" t="s">
        <v>531</v>
      </c>
      <c r="G1113" t="s">
        <v>30</v>
      </c>
      <c r="H1113" t="s">
        <v>31</v>
      </c>
      <c r="I1113" t="s">
        <v>52</v>
      </c>
      <c r="J1113" t="s">
        <v>32</v>
      </c>
      <c r="K1113" t="s">
        <v>29</v>
      </c>
      <c r="L1113" t="s">
        <v>4860</v>
      </c>
      <c r="M1113" t="s">
        <v>4861</v>
      </c>
      <c r="N1113" t="s">
        <v>534</v>
      </c>
      <c r="O1113" t="s">
        <v>39</v>
      </c>
      <c r="P1113" t="s">
        <v>4862</v>
      </c>
      <c r="Q1113" t="s">
        <v>169</v>
      </c>
      <c r="R1113" s="29">
        <v>46146.490972222222</v>
      </c>
      <c r="S1113">
        <v>1</v>
      </c>
      <c r="T1113">
        <v>4398</v>
      </c>
      <c r="U1113">
        <v>0</v>
      </c>
      <c r="V1113">
        <v>4398</v>
      </c>
    </row>
    <row r="1114" spans="1:22" x14ac:dyDescent="0.3">
      <c r="A1114">
        <v>198256</v>
      </c>
      <c r="B1114">
        <v>454542110</v>
      </c>
      <c r="C1114" t="s">
        <v>4863</v>
      </c>
      <c r="D1114" s="9">
        <v>269478481</v>
      </c>
      <c r="E1114" t="s">
        <v>4207</v>
      </c>
      <c r="F1114" t="s">
        <v>531</v>
      </c>
      <c r="G1114" t="s">
        <v>30</v>
      </c>
      <c r="H1114" t="s">
        <v>31</v>
      </c>
      <c r="I1114" t="s">
        <v>52</v>
      </c>
      <c r="J1114" t="s">
        <v>32</v>
      </c>
      <c r="K1114" t="s">
        <v>29</v>
      </c>
      <c r="L1114" t="s">
        <v>4864</v>
      </c>
      <c r="M1114" t="s">
        <v>4865</v>
      </c>
      <c r="N1114" t="s">
        <v>534</v>
      </c>
      <c r="O1114" t="s">
        <v>39</v>
      </c>
      <c r="P1114" t="s">
        <v>4866</v>
      </c>
      <c r="Q1114" t="s">
        <v>80</v>
      </c>
      <c r="R1114" s="29">
        <v>46146.499305555553</v>
      </c>
      <c r="S1114">
        <v>0.47</v>
      </c>
      <c r="T1114">
        <v>3935</v>
      </c>
      <c r="U1114">
        <v>0</v>
      </c>
      <c r="V1114">
        <v>3935</v>
      </c>
    </row>
    <row r="1115" spans="1:22" x14ac:dyDescent="0.3">
      <c r="A1115">
        <v>198256</v>
      </c>
      <c r="B1115">
        <v>454594956</v>
      </c>
      <c r="C1115" t="s">
        <v>4867</v>
      </c>
      <c r="D1115" s="9">
        <v>269580576</v>
      </c>
      <c r="E1115" t="s">
        <v>4207</v>
      </c>
      <c r="F1115" t="s">
        <v>531</v>
      </c>
      <c r="G1115" t="s">
        <v>30</v>
      </c>
      <c r="H1115" t="s">
        <v>31</v>
      </c>
      <c r="I1115" t="s">
        <v>52</v>
      </c>
      <c r="J1115" t="s">
        <v>32</v>
      </c>
      <c r="K1115" t="s">
        <v>29</v>
      </c>
      <c r="L1115" t="s">
        <v>4868</v>
      </c>
      <c r="M1115" t="s">
        <v>4869</v>
      </c>
      <c r="N1115" t="s">
        <v>534</v>
      </c>
      <c r="O1115" t="s">
        <v>39</v>
      </c>
      <c r="P1115" t="s">
        <v>4870</v>
      </c>
      <c r="Q1115" t="s">
        <v>80</v>
      </c>
      <c r="R1115" s="29">
        <v>46147.525000000001</v>
      </c>
      <c r="S1115">
        <v>1</v>
      </c>
      <c r="T1115">
        <v>5295</v>
      </c>
      <c r="U1115">
        <v>0</v>
      </c>
      <c r="V1115">
        <v>5295</v>
      </c>
    </row>
    <row r="1116" spans="1:22" x14ac:dyDescent="0.3">
      <c r="A1116">
        <v>198256</v>
      </c>
      <c r="B1116">
        <v>454540942</v>
      </c>
      <c r="C1116" t="s">
        <v>4871</v>
      </c>
      <c r="D1116" s="9">
        <v>269476556</v>
      </c>
      <c r="E1116" t="s">
        <v>4207</v>
      </c>
      <c r="F1116" t="s">
        <v>531</v>
      </c>
      <c r="G1116" t="s">
        <v>30</v>
      </c>
      <c r="H1116" t="s">
        <v>31</v>
      </c>
      <c r="I1116" t="s">
        <v>52</v>
      </c>
      <c r="J1116" t="s">
        <v>32</v>
      </c>
      <c r="K1116" t="s">
        <v>29</v>
      </c>
      <c r="L1116" t="s">
        <v>4872</v>
      </c>
      <c r="M1116" t="s">
        <v>4873</v>
      </c>
      <c r="N1116" t="s">
        <v>534</v>
      </c>
      <c r="O1116" t="s">
        <v>39</v>
      </c>
      <c r="P1116" t="s">
        <v>4874</v>
      </c>
      <c r="Q1116" t="s">
        <v>176</v>
      </c>
      <c r="R1116" s="29">
        <v>46146.490972222222</v>
      </c>
      <c r="S1116">
        <v>1</v>
      </c>
      <c r="T1116">
        <v>3653</v>
      </c>
      <c r="U1116">
        <v>0</v>
      </c>
      <c r="V1116">
        <v>3653</v>
      </c>
    </row>
    <row r="1117" spans="1:22" x14ac:dyDescent="0.3">
      <c r="A1117">
        <v>198256</v>
      </c>
      <c r="B1117">
        <v>454540931</v>
      </c>
      <c r="C1117" t="s">
        <v>4875</v>
      </c>
      <c r="D1117" s="9">
        <v>269476526</v>
      </c>
      <c r="E1117" t="s">
        <v>4207</v>
      </c>
      <c r="F1117" t="s">
        <v>531</v>
      </c>
      <c r="G1117" t="s">
        <v>30</v>
      </c>
      <c r="H1117" t="s">
        <v>31</v>
      </c>
      <c r="I1117" t="s">
        <v>52</v>
      </c>
      <c r="J1117" t="s">
        <v>32</v>
      </c>
      <c r="K1117" t="s">
        <v>29</v>
      </c>
      <c r="L1117" t="s">
        <v>4876</v>
      </c>
      <c r="M1117" t="s">
        <v>4877</v>
      </c>
      <c r="N1117" t="s">
        <v>534</v>
      </c>
      <c r="O1117" t="s">
        <v>39</v>
      </c>
      <c r="P1117" t="s">
        <v>4878</v>
      </c>
      <c r="Q1117" t="s">
        <v>69</v>
      </c>
      <c r="R1117" s="29">
        <v>46146.490972222222</v>
      </c>
      <c r="S1117">
        <v>1</v>
      </c>
      <c r="T1117">
        <v>5024</v>
      </c>
      <c r="U1117">
        <v>0</v>
      </c>
      <c r="V1117">
        <v>5024</v>
      </c>
    </row>
    <row r="1118" spans="1:22" x14ac:dyDescent="0.3">
      <c r="A1118">
        <v>198256</v>
      </c>
      <c r="B1118">
        <v>454594980</v>
      </c>
      <c r="C1118" t="s">
        <v>4879</v>
      </c>
      <c r="D1118" s="9">
        <v>269580590</v>
      </c>
      <c r="E1118" t="s">
        <v>4207</v>
      </c>
      <c r="F1118" t="s">
        <v>531</v>
      </c>
      <c r="G1118" t="s">
        <v>30</v>
      </c>
      <c r="H1118" t="s">
        <v>31</v>
      </c>
      <c r="I1118" t="s">
        <v>52</v>
      </c>
      <c r="J1118" t="s">
        <v>32</v>
      </c>
      <c r="K1118" t="s">
        <v>29</v>
      </c>
      <c r="L1118" t="s">
        <v>4880</v>
      </c>
      <c r="M1118" t="s">
        <v>4881</v>
      </c>
      <c r="N1118" t="s">
        <v>534</v>
      </c>
      <c r="O1118" t="s">
        <v>39</v>
      </c>
      <c r="P1118" t="s">
        <v>4882</v>
      </c>
      <c r="Q1118" t="s">
        <v>80</v>
      </c>
      <c r="R1118" s="29">
        <v>46147.525000000001</v>
      </c>
      <c r="S1118">
        <v>1</v>
      </c>
      <c r="T1118">
        <v>5295</v>
      </c>
      <c r="U1118">
        <v>0</v>
      </c>
      <c r="V1118">
        <v>5295</v>
      </c>
    </row>
    <row r="1119" spans="1:22" x14ac:dyDescent="0.3">
      <c r="A1119">
        <v>198256</v>
      </c>
      <c r="B1119">
        <v>454594806</v>
      </c>
      <c r="C1119" t="s">
        <v>4883</v>
      </c>
      <c r="D1119" s="9">
        <v>269580336</v>
      </c>
      <c r="E1119" t="s">
        <v>4207</v>
      </c>
      <c r="F1119" t="s">
        <v>531</v>
      </c>
      <c r="G1119" t="s">
        <v>30</v>
      </c>
      <c r="H1119" t="s">
        <v>31</v>
      </c>
      <c r="I1119" t="s">
        <v>52</v>
      </c>
      <c r="J1119" t="s">
        <v>32</v>
      </c>
      <c r="K1119" t="s">
        <v>29</v>
      </c>
      <c r="L1119" t="s">
        <v>4884</v>
      </c>
      <c r="M1119" t="s">
        <v>4885</v>
      </c>
      <c r="N1119" t="s">
        <v>534</v>
      </c>
      <c r="O1119" t="s">
        <v>39</v>
      </c>
      <c r="P1119" t="s">
        <v>4886</v>
      </c>
      <c r="Q1119" t="s">
        <v>176</v>
      </c>
      <c r="R1119" s="29">
        <v>46147.524305555555</v>
      </c>
      <c r="S1119">
        <v>0.37</v>
      </c>
      <c r="T1119">
        <v>3552</v>
      </c>
      <c r="U1119">
        <v>0</v>
      </c>
      <c r="V1119">
        <v>3552</v>
      </c>
    </row>
    <row r="1120" spans="1:22" x14ac:dyDescent="0.3">
      <c r="A1120">
        <v>198256</v>
      </c>
      <c r="B1120">
        <v>454540591</v>
      </c>
      <c r="C1120" t="s">
        <v>4887</v>
      </c>
      <c r="D1120" s="9">
        <v>269476054</v>
      </c>
      <c r="E1120" t="s">
        <v>4207</v>
      </c>
      <c r="F1120" t="s">
        <v>531</v>
      </c>
      <c r="G1120" t="s">
        <v>30</v>
      </c>
      <c r="H1120" t="s">
        <v>31</v>
      </c>
      <c r="I1120" t="s">
        <v>52</v>
      </c>
      <c r="J1120" t="s">
        <v>32</v>
      </c>
      <c r="K1120" t="s">
        <v>29</v>
      </c>
      <c r="L1120" t="s">
        <v>4888</v>
      </c>
      <c r="M1120" t="s">
        <v>4889</v>
      </c>
      <c r="N1120" t="s">
        <v>534</v>
      </c>
      <c r="O1120" t="s">
        <v>39</v>
      </c>
      <c r="P1120" t="s">
        <v>4890</v>
      </c>
      <c r="Q1120" t="s">
        <v>35</v>
      </c>
      <c r="R1120" s="29">
        <v>46146.488888888889</v>
      </c>
      <c r="S1120">
        <v>1</v>
      </c>
      <c r="T1120">
        <v>3935</v>
      </c>
      <c r="U1120">
        <v>0</v>
      </c>
      <c r="V1120">
        <v>3935</v>
      </c>
    </row>
    <row r="1121" spans="1:22" x14ac:dyDescent="0.3">
      <c r="A1121">
        <v>198256</v>
      </c>
      <c r="B1121">
        <v>454541209</v>
      </c>
      <c r="C1121" t="s">
        <v>4891</v>
      </c>
      <c r="D1121" s="9">
        <v>269476957</v>
      </c>
      <c r="E1121" t="s">
        <v>4207</v>
      </c>
      <c r="F1121" t="s">
        <v>531</v>
      </c>
      <c r="G1121" t="s">
        <v>30</v>
      </c>
      <c r="H1121" t="s">
        <v>31</v>
      </c>
      <c r="I1121" t="s">
        <v>52</v>
      </c>
      <c r="J1121" t="s">
        <v>32</v>
      </c>
      <c r="K1121" t="s">
        <v>29</v>
      </c>
      <c r="L1121" t="s">
        <v>4892</v>
      </c>
      <c r="M1121" t="s">
        <v>4893</v>
      </c>
      <c r="N1121" t="s">
        <v>534</v>
      </c>
      <c r="O1121" t="s">
        <v>39</v>
      </c>
      <c r="P1121" t="s">
        <v>4894</v>
      </c>
      <c r="Q1121" t="s">
        <v>34</v>
      </c>
      <c r="R1121" s="29">
        <v>46146.492361111108</v>
      </c>
      <c r="S1121">
        <v>1</v>
      </c>
      <c r="T1121">
        <v>3653</v>
      </c>
      <c r="U1121">
        <v>0</v>
      </c>
      <c r="V1121">
        <v>3653</v>
      </c>
    </row>
    <row r="1122" spans="1:22" x14ac:dyDescent="0.3">
      <c r="A1122">
        <v>198256</v>
      </c>
      <c r="B1122">
        <v>454540651</v>
      </c>
      <c r="C1122" t="s">
        <v>4895</v>
      </c>
      <c r="D1122" s="9">
        <v>269476124</v>
      </c>
      <c r="E1122" t="s">
        <v>4207</v>
      </c>
      <c r="F1122" t="s">
        <v>531</v>
      </c>
      <c r="G1122" t="s">
        <v>30</v>
      </c>
      <c r="H1122" t="s">
        <v>31</v>
      </c>
      <c r="I1122" t="s">
        <v>52</v>
      </c>
      <c r="J1122" t="s">
        <v>32</v>
      </c>
      <c r="K1122" t="s">
        <v>29</v>
      </c>
      <c r="L1122" t="s">
        <v>4896</v>
      </c>
      <c r="M1122" t="s">
        <v>4897</v>
      </c>
      <c r="N1122" t="s">
        <v>534</v>
      </c>
      <c r="O1122" t="s">
        <v>39</v>
      </c>
      <c r="P1122" t="s">
        <v>4898</v>
      </c>
      <c r="Q1122" t="s">
        <v>38</v>
      </c>
      <c r="R1122" s="29">
        <v>46146.488888888889</v>
      </c>
      <c r="S1122">
        <v>0.39</v>
      </c>
      <c r="T1122">
        <v>3193</v>
      </c>
      <c r="U1122">
        <v>0</v>
      </c>
      <c r="V1122">
        <v>3193</v>
      </c>
    </row>
    <row r="1123" spans="1:22" x14ac:dyDescent="0.3">
      <c r="A1123">
        <v>198256</v>
      </c>
      <c r="B1123">
        <v>454540528</v>
      </c>
      <c r="C1123" t="s">
        <v>4899</v>
      </c>
      <c r="D1123" s="9">
        <v>269476004</v>
      </c>
      <c r="E1123" t="s">
        <v>4207</v>
      </c>
      <c r="F1123" t="s">
        <v>531</v>
      </c>
      <c r="G1123" t="s">
        <v>30</v>
      </c>
      <c r="H1123" t="s">
        <v>31</v>
      </c>
      <c r="I1123" t="s">
        <v>52</v>
      </c>
      <c r="J1123" t="s">
        <v>32</v>
      </c>
      <c r="K1123" t="s">
        <v>29</v>
      </c>
      <c r="L1123" t="s">
        <v>4900</v>
      </c>
      <c r="M1123" t="s">
        <v>4901</v>
      </c>
      <c r="N1123" t="s">
        <v>534</v>
      </c>
      <c r="O1123" t="s">
        <v>39</v>
      </c>
      <c r="P1123" t="s">
        <v>4902</v>
      </c>
      <c r="Q1123" t="s">
        <v>35</v>
      </c>
      <c r="R1123" s="29">
        <v>46146.488888888889</v>
      </c>
      <c r="S1123">
        <v>0.42</v>
      </c>
      <c r="T1123">
        <v>3552</v>
      </c>
      <c r="U1123">
        <v>0</v>
      </c>
      <c r="V1123">
        <v>3552</v>
      </c>
    </row>
    <row r="1124" spans="1:22" x14ac:dyDescent="0.3">
      <c r="A1124">
        <v>198256</v>
      </c>
      <c r="B1124">
        <v>454541223</v>
      </c>
      <c r="C1124" t="s">
        <v>4903</v>
      </c>
      <c r="D1124" s="9">
        <v>269476967</v>
      </c>
      <c r="E1124" t="s">
        <v>4207</v>
      </c>
      <c r="F1124" t="s">
        <v>531</v>
      </c>
      <c r="G1124" t="s">
        <v>30</v>
      </c>
      <c r="H1124" t="s">
        <v>31</v>
      </c>
      <c r="I1124" t="s">
        <v>52</v>
      </c>
      <c r="J1124" t="s">
        <v>32</v>
      </c>
      <c r="K1124" t="s">
        <v>29</v>
      </c>
      <c r="L1124" t="s">
        <v>4904</v>
      </c>
      <c r="M1124" t="s">
        <v>4905</v>
      </c>
      <c r="N1124" t="s">
        <v>534</v>
      </c>
      <c r="O1124" t="s">
        <v>39</v>
      </c>
      <c r="P1124" t="s">
        <v>4906</v>
      </c>
      <c r="Q1124" t="s">
        <v>38</v>
      </c>
      <c r="R1124" s="29">
        <v>46146.492361111108</v>
      </c>
      <c r="S1124">
        <v>1</v>
      </c>
      <c r="T1124">
        <v>3250</v>
      </c>
      <c r="U1124">
        <v>0</v>
      </c>
      <c r="V1124">
        <v>3250</v>
      </c>
    </row>
    <row r="1125" spans="1:22" x14ac:dyDescent="0.3">
      <c r="A1125">
        <v>198256</v>
      </c>
      <c r="B1125">
        <v>454541515</v>
      </c>
      <c r="C1125" t="s">
        <v>4907</v>
      </c>
      <c r="D1125" s="9">
        <v>269477457</v>
      </c>
      <c r="E1125" t="s">
        <v>4207</v>
      </c>
      <c r="F1125" t="s">
        <v>531</v>
      </c>
      <c r="G1125" t="s">
        <v>30</v>
      </c>
      <c r="H1125" t="s">
        <v>31</v>
      </c>
      <c r="I1125" t="s">
        <v>52</v>
      </c>
      <c r="J1125" t="s">
        <v>32</v>
      </c>
      <c r="K1125" t="s">
        <v>29</v>
      </c>
      <c r="L1125" t="s">
        <v>4908</v>
      </c>
      <c r="M1125" t="s">
        <v>4909</v>
      </c>
      <c r="N1125" t="s">
        <v>534</v>
      </c>
      <c r="O1125" t="s">
        <v>39</v>
      </c>
      <c r="P1125" t="s">
        <v>4910</v>
      </c>
      <c r="Q1125" t="s">
        <v>48</v>
      </c>
      <c r="R1125" s="29">
        <v>46146.494444444441</v>
      </c>
      <c r="S1125">
        <v>1</v>
      </c>
      <c r="T1125">
        <v>3250</v>
      </c>
      <c r="U1125">
        <v>0</v>
      </c>
      <c r="V1125">
        <v>3250</v>
      </c>
    </row>
    <row r="1126" spans="1:22" x14ac:dyDescent="0.3">
      <c r="A1126">
        <v>198256</v>
      </c>
      <c r="B1126">
        <v>454542099</v>
      </c>
      <c r="C1126" t="s">
        <v>4911</v>
      </c>
      <c r="D1126" s="9">
        <v>269478460</v>
      </c>
      <c r="E1126" t="s">
        <v>4207</v>
      </c>
      <c r="F1126" t="s">
        <v>531</v>
      </c>
      <c r="G1126" t="s">
        <v>30</v>
      </c>
      <c r="H1126" t="s">
        <v>31</v>
      </c>
      <c r="I1126" t="s">
        <v>52</v>
      </c>
      <c r="J1126" t="s">
        <v>32</v>
      </c>
      <c r="K1126" t="s">
        <v>29</v>
      </c>
      <c r="L1126" t="s">
        <v>4912</v>
      </c>
      <c r="M1126" t="s">
        <v>4913</v>
      </c>
      <c r="N1126" t="s">
        <v>534</v>
      </c>
      <c r="O1126" t="s">
        <v>39</v>
      </c>
      <c r="P1126" t="s">
        <v>4914</v>
      </c>
      <c r="Q1126" t="s">
        <v>67</v>
      </c>
      <c r="R1126" s="29">
        <v>46146.499305555553</v>
      </c>
      <c r="S1126">
        <v>0.36</v>
      </c>
      <c r="T1126">
        <v>3193</v>
      </c>
      <c r="U1126">
        <v>0</v>
      </c>
      <c r="V1126">
        <v>3193</v>
      </c>
    </row>
    <row r="1127" spans="1:22" x14ac:dyDescent="0.3">
      <c r="A1127">
        <v>198256</v>
      </c>
      <c r="B1127">
        <v>454594985</v>
      </c>
      <c r="C1127" t="s">
        <v>4915</v>
      </c>
      <c r="D1127" s="9">
        <v>269580591</v>
      </c>
      <c r="E1127" t="s">
        <v>4207</v>
      </c>
      <c r="F1127" t="s">
        <v>531</v>
      </c>
      <c r="G1127" t="s">
        <v>30</v>
      </c>
      <c r="H1127" t="s">
        <v>31</v>
      </c>
      <c r="I1127" t="s">
        <v>52</v>
      </c>
      <c r="J1127" t="s">
        <v>32</v>
      </c>
      <c r="K1127" t="s">
        <v>29</v>
      </c>
      <c r="L1127" t="s">
        <v>4916</v>
      </c>
      <c r="M1127" t="s">
        <v>4917</v>
      </c>
      <c r="N1127" t="s">
        <v>534</v>
      </c>
      <c r="O1127" t="s">
        <v>39</v>
      </c>
      <c r="P1127" t="s">
        <v>4918</v>
      </c>
      <c r="Q1127" t="s">
        <v>35</v>
      </c>
      <c r="R1127" s="29">
        <v>46147.525000000001</v>
      </c>
      <c r="S1127">
        <v>1</v>
      </c>
      <c r="T1127">
        <v>3935</v>
      </c>
      <c r="U1127">
        <v>0</v>
      </c>
      <c r="V1127">
        <v>3935</v>
      </c>
    </row>
    <row r="1128" spans="1:22" x14ac:dyDescent="0.3">
      <c r="A1128">
        <v>198256</v>
      </c>
      <c r="B1128">
        <v>454594982</v>
      </c>
      <c r="C1128" t="s">
        <v>4919</v>
      </c>
      <c r="D1128" s="9">
        <v>269580595</v>
      </c>
      <c r="E1128" t="s">
        <v>4207</v>
      </c>
      <c r="F1128" t="s">
        <v>531</v>
      </c>
      <c r="G1128" t="s">
        <v>30</v>
      </c>
      <c r="H1128" t="s">
        <v>31</v>
      </c>
      <c r="I1128" t="s">
        <v>52</v>
      </c>
      <c r="J1128" t="s">
        <v>32</v>
      </c>
      <c r="K1128" t="s">
        <v>29</v>
      </c>
      <c r="L1128" t="s">
        <v>4920</v>
      </c>
      <c r="M1128" t="s">
        <v>4921</v>
      </c>
      <c r="N1128" t="s">
        <v>534</v>
      </c>
      <c r="O1128" t="s">
        <v>39</v>
      </c>
      <c r="P1128" t="s">
        <v>4922</v>
      </c>
      <c r="Q1128" t="s">
        <v>76</v>
      </c>
      <c r="R1128" s="29">
        <v>46147.525000000001</v>
      </c>
      <c r="S1128">
        <v>0.32</v>
      </c>
      <c r="T1128">
        <v>3552</v>
      </c>
      <c r="U1128">
        <v>0</v>
      </c>
      <c r="V1128">
        <v>3552</v>
      </c>
    </row>
    <row r="1129" spans="1:22" x14ac:dyDescent="0.3">
      <c r="A1129">
        <v>198256</v>
      </c>
      <c r="B1129">
        <v>454540582</v>
      </c>
      <c r="C1129" t="s">
        <v>4923</v>
      </c>
      <c r="D1129" s="9">
        <v>269481059</v>
      </c>
      <c r="E1129" t="s">
        <v>4207</v>
      </c>
      <c r="F1129" t="s">
        <v>531</v>
      </c>
      <c r="G1129" t="s">
        <v>30</v>
      </c>
      <c r="H1129" t="s">
        <v>31</v>
      </c>
      <c r="I1129" t="s">
        <v>52</v>
      </c>
      <c r="J1129" t="s">
        <v>32</v>
      </c>
      <c r="K1129" t="s">
        <v>29</v>
      </c>
      <c r="L1129" t="s">
        <v>4924</v>
      </c>
      <c r="M1129" t="s">
        <v>4925</v>
      </c>
      <c r="N1129" t="s">
        <v>534</v>
      </c>
      <c r="O1129" t="s">
        <v>39</v>
      </c>
      <c r="P1129" t="s">
        <v>4926</v>
      </c>
      <c r="Q1129" t="s">
        <v>41</v>
      </c>
      <c r="R1129" s="29">
        <v>46146.488888888889</v>
      </c>
      <c r="S1129">
        <v>1</v>
      </c>
      <c r="T1129">
        <v>3384</v>
      </c>
      <c r="U1129">
        <v>0</v>
      </c>
      <c r="V1129">
        <v>3384</v>
      </c>
    </row>
    <row r="1130" spans="1:22" x14ac:dyDescent="0.3">
      <c r="A1130">
        <v>198256</v>
      </c>
      <c r="B1130">
        <v>454540671</v>
      </c>
      <c r="C1130" t="s">
        <v>4927</v>
      </c>
      <c r="D1130" s="9">
        <v>269476144</v>
      </c>
      <c r="E1130" t="s">
        <v>4207</v>
      </c>
      <c r="F1130" t="s">
        <v>531</v>
      </c>
      <c r="G1130" t="s">
        <v>30</v>
      </c>
      <c r="H1130" t="s">
        <v>31</v>
      </c>
      <c r="I1130" t="s">
        <v>52</v>
      </c>
      <c r="J1130" t="s">
        <v>32</v>
      </c>
      <c r="K1130" t="s">
        <v>29</v>
      </c>
      <c r="L1130" t="s">
        <v>4928</v>
      </c>
      <c r="M1130" t="s">
        <v>365</v>
      </c>
      <c r="N1130" t="s">
        <v>534</v>
      </c>
      <c r="O1130" t="s">
        <v>39</v>
      </c>
      <c r="P1130" t="s">
        <v>4929</v>
      </c>
      <c r="Q1130" t="s">
        <v>42</v>
      </c>
      <c r="R1130" s="29">
        <v>46146.489583333336</v>
      </c>
      <c r="S1130">
        <v>0.42</v>
      </c>
      <c r="T1130">
        <v>3193</v>
      </c>
      <c r="U1130">
        <v>0</v>
      </c>
      <c r="V1130">
        <v>3193</v>
      </c>
    </row>
    <row r="1131" spans="1:22" x14ac:dyDescent="0.3">
      <c r="A1131">
        <v>198256</v>
      </c>
      <c r="B1131">
        <v>454540915</v>
      </c>
      <c r="C1131" t="s">
        <v>4930</v>
      </c>
      <c r="D1131" s="9">
        <v>269476522</v>
      </c>
      <c r="E1131" t="s">
        <v>4207</v>
      </c>
      <c r="F1131" t="s">
        <v>531</v>
      </c>
      <c r="G1131" t="s">
        <v>30</v>
      </c>
      <c r="H1131" t="s">
        <v>31</v>
      </c>
      <c r="I1131" t="s">
        <v>52</v>
      </c>
      <c r="J1131" t="s">
        <v>32</v>
      </c>
      <c r="K1131" t="s">
        <v>29</v>
      </c>
      <c r="L1131" t="s">
        <v>4931</v>
      </c>
      <c r="M1131" t="s">
        <v>4932</v>
      </c>
      <c r="N1131" t="s">
        <v>534</v>
      </c>
      <c r="O1131" t="s">
        <v>39</v>
      </c>
      <c r="P1131" t="s">
        <v>4933</v>
      </c>
      <c r="Q1131" t="s">
        <v>62</v>
      </c>
      <c r="R1131" s="29">
        <v>46146.490972222222</v>
      </c>
      <c r="S1131">
        <v>1</v>
      </c>
      <c r="T1131">
        <v>3935</v>
      </c>
      <c r="U1131">
        <v>0</v>
      </c>
      <c r="V1131">
        <v>3935</v>
      </c>
    </row>
    <row r="1132" spans="1:22" x14ac:dyDescent="0.3">
      <c r="A1132">
        <v>198256</v>
      </c>
      <c r="B1132">
        <v>454540934</v>
      </c>
      <c r="C1132" t="s">
        <v>4934</v>
      </c>
      <c r="D1132" s="9">
        <v>269476528</v>
      </c>
      <c r="E1132" t="s">
        <v>4207</v>
      </c>
      <c r="F1132" t="s">
        <v>531</v>
      </c>
      <c r="G1132" t="s">
        <v>30</v>
      </c>
      <c r="H1132" t="s">
        <v>31</v>
      </c>
      <c r="I1132" t="s">
        <v>52</v>
      </c>
      <c r="J1132" t="s">
        <v>32</v>
      </c>
      <c r="K1132" t="s">
        <v>29</v>
      </c>
      <c r="L1132" t="s">
        <v>4935</v>
      </c>
      <c r="M1132" t="s">
        <v>4936</v>
      </c>
      <c r="N1132" t="s">
        <v>534</v>
      </c>
      <c r="O1132" t="s">
        <v>39</v>
      </c>
      <c r="P1132" t="s">
        <v>4937</v>
      </c>
      <c r="Q1132" t="s">
        <v>161</v>
      </c>
      <c r="R1132" s="29">
        <v>46146.490972222222</v>
      </c>
      <c r="S1132">
        <v>1</v>
      </c>
      <c r="T1132">
        <v>3935</v>
      </c>
      <c r="U1132">
        <v>0</v>
      </c>
      <c r="V1132">
        <v>3935</v>
      </c>
    </row>
    <row r="1133" spans="1:22" x14ac:dyDescent="0.3">
      <c r="A1133">
        <v>198256</v>
      </c>
      <c r="B1133">
        <v>454540624</v>
      </c>
      <c r="C1133" t="s">
        <v>4938</v>
      </c>
      <c r="D1133" s="9">
        <v>269476091</v>
      </c>
      <c r="E1133" t="s">
        <v>4207</v>
      </c>
      <c r="F1133" t="s">
        <v>531</v>
      </c>
      <c r="G1133" t="s">
        <v>30</v>
      </c>
      <c r="H1133" t="s">
        <v>31</v>
      </c>
      <c r="I1133" t="s">
        <v>52</v>
      </c>
      <c r="J1133" t="s">
        <v>32</v>
      </c>
      <c r="K1133" t="s">
        <v>29</v>
      </c>
      <c r="L1133" t="s">
        <v>4939</v>
      </c>
      <c r="M1133" t="s">
        <v>362</v>
      </c>
      <c r="N1133" t="s">
        <v>534</v>
      </c>
      <c r="O1133" t="s">
        <v>39</v>
      </c>
      <c r="P1133" t="s">
        <v>4940</v>
      </c>
      <c r="Q1133" t="s">
        <v>140</v>
      </c>
      <c r="R1133" s="29">
        <v>46146.488888888889</v>
      </c>
      <c r="S1133">
        <v>1</v>
      </c>
      <c r="T1133">
        <v>3250</v>
      </c>
      <c r="U1133">
        <v>0</v>
      </c>
      <c r="V1133">
        <v>3250</v>
      </c>
    </row>
    <row r="1134" spans="1:22" x14ac:dyDescent="0.3">
      <c r="A1134">
        <v>198256</v>
      </c>
      <c r="B1134">
        <v>454542086</v>
      </c>
      <c r="C1134" t="s">
        <v>4941</v>
      </c>
      <c r="D1134" s="9">
        <v>269478440</v>
      </c>
      <c r="E1134" t="s">
        <v>4207</v>
      </c>
      <c r="F1134" t="s">
        <v>531</v>
      </c>
      <c r="G1134" t="s">
        <v>30</v>
      </c>
      <c r="H1134" t="s">
        <v>31</v>
      </c>
      <c r="I1134" t="s">
        <v>52</v>
      </c>
      <c r="J1134" t="s">
        <v>32</v>
      </c>
      <c r="K1134" t="s">
        <v>29</v>
      </c>
      <c r="L1134" t="s">
        <v>4942</v>
      </c>
      <c r="M1134" t="s">
        <v>462</v>
      </c>
      <c r="N1134" t="s">
        <v>534</v>
      </c>
      <c r="O1134" t="s">
        <v>39</v>
      </c>
      <c r="P1134" t="s">
        <v>463</v>
      </c>
      <c r="Q1134" t="s">
        <v>43</v>
      </c>
      <c r="R1134" s="29">
        <v>46146.499305555553</v>
      </c>
      <c r="S1134">
        <v>0.41</v>
      </c>
      <c r="T1134">
        <v>3552</v>
      </c>
      <c r="U1134">
        <v>0</v>
      </c>
      <c r="V1134">
        <v>3552</v>
      </c>
    </row>
    <row r="1135" spans="1:22" x14ac:dyDescent="0.3">
      <c r="A1135">
        <v>198256</v>
      </c>
      <c r="B1135">
        <v>454541288</v>
      </c>
      <c r="C1135" t="s">
        <v>4943</v>
      </c>
      <c r="D1135" s="9">
        <v>269477059</v>
      </c>
      <c r="E1135" t="s">
        <v>4207</v>
      </c>
      <c r="F1135" t="s">
        <v>531</v>
      </c>
      <c r="G1135" t="s">
        <v>30</v>
      </c>
      <c r="H1135" t="s">
        <v>31</v>
      </c>
      <c r="I1135" t="s">
        <v>52</v>
      </c>
      <c r="J1135" t="s">
        <v>32</v>
      </c>
      <c r="K1135" t="s">
        <v>29</v>
      </c>
      <c r="L1135" t="s">
        <v>4944</v>
      </c>
      <c r="M1135" t="s">
        <v>4945</v>
      </c>
      <c r="N1135" t="s">
        <v>534</v>
      </c>
      <c r="O1135" t="s">
        <v>39</v>
      </c>
      <c r="P1135" t="s">
        <v>4946</v>
      </c>
      <c r="Q1135" t="s">
        <v>77</v>
      </c>
      <c r="R1135" s="29">
        <v>46146.493055555555</v>
      </c>
      <c r="S1135">
        <v>1</v>
      </c>
      <c r="T1135">
        <v>3631</v>
      </c>
      <c r="U1135">
        <v>0</v>
      </c>
      <c r="V1135">
        <v>3631</v>
      </c>
    </row>
    <row r="1136" spans="1:22" x14ac:dyDescent="0.3">
      <c r="A1136">
        <v>198256</v>
      </c>
      <c r="B1136">
        <v>454594816</v>
      </c>
      <c r="C1136" t="s">
        <v>4947</v>
      </c>
      <c r="D1136" s="9">
        <v>269580356</v>
      </c>
      <c r="E1136" t="s">
        <v>4207</v>
      </c>
      <c r="F1136" t="s">
        <v>531</v>
      </c>
      <c r="G1136" t="s">
        <v>30</v>
      </c>
      <c r="H1136" t="s">
        <v>31</v>
      </c>
      <c r="I1136" t="s">
        <v>52</v>
      </c>
      <c r="J1136" t="s">
        <v>32</v>
      </c>
      <c r="K1136" t="s">
        <v>29</v>
      </c>
      <c r="L1136" t="s">
        <v>4948</v>
      </c>
      <c r="M1136" t="s">
        <v>265</v>
      </c>
      <c r="N1136" t="s">
        <v>534</v>
      </c>
      <c r="O1136" t="s">
        <v>39</v>
      </c>
      <c r="P1136" t="s">
        <v>4949</v>
      </c>
      <c r="Q1136" t="s">
        <v>48</v>
      </c>
      <c r="R1136" s="29">
        <v>46147.524305555555</v>
      </c>
      <c r="S1136">
        <v>0.38</v>
      </c>
      <c r="T1136">
        <v>3193</v>
      </c>
      <c r="U1136">
        <v>0</v>
      </c>
      <c r="V1136">
        <v>3193</v>
      </c>
    </row>
    <row r="1137" spans="1:22" x14ac:dyDescent="0.3">
      <c r="A1137">
        <v>198256</v>
      </c>
      <c r="B1137">
        <v>454542100</v>
      </c>
      <c r="C1137" t="s">
        <v>4950</v>
      </c>
      <c r="D1137" s="9">
        <v>269478472</v>
      </c>
      <c r="E1137" t="s">
        <v>4207</v>
      </c>
      <c r="F1137" t="s">
        <v>531</v>
      </c>
      <c r="G1137" t="s">
        <v>30</v>
      </c>
      <c r="H1137" t="s">
        <v>31</v>
      </c>
      <c r="I1137" t="s">
        <v>52</v>
      </c>
      <c r="J1137" t="s">
        <v>32</v>
      </c>
      <c r="K1137" t="s">
        <v>29</v>
      </c>
      <c r="L1137" t="s">
        <v>4951</v>
      </c>
      <c r="M1137" t="s">
        <v>4952</v>
      </c>
      <c r="N1137" t="s">
        <v>534</v>
      </c>
      <c r="O1137" t="s">
        <v>39</v>
      </c>
      <c r="P1137" t="s">
        <v>4953</v>
      </c>
      <c r="Q1137" t="s">
        <v>34</v>
      </c>
      <c r="R1137" s="29">
        <v>46146.499305555553</v>
      </c>
      <c r="S1137">
        <v>0.48</v>
      </c>
      <c r="T1137">
        <v>3339</v>
      </c>
      <c r="U1137">
        <v>0</v>
      </c>
      <c r="V1137">
        <v>3339</v>
      </c>
    </row>
    <row r="1138" spans="1:22" x14ac:dyDescent="0.3">
      <c r="A1138">
        <v>198256</v>
      </c>
      <c r="B1138">
        <v>454542097</v>
      </c>
      <c r="C1138" t="s">
        <v>4954</v>
      </c>
      <c r="D1138" s="9">
        <v>269478448</v>
      </c>
      <c r="E1138" t="s">
        <v>4207</v>
      </c>
      <c r="F1138" t="s">
        <v>531</v>
      </c>
      <c r="G1138" t="s">
        <v>30</v>
      </c>
      <c r="H1138" t="s">
        <v>31</v>
      </c>
      <c r="I1138" t="s">
        <v>52</v>
      </c>
      <c r="J1138" t="s">
        <v>32</v>
      </c>
      <c r="K1138" t="s">
        <v>29</v>
      </c>
      <c r="L1138" t="s">
        <v>4955</v>
      </c>
      <c r="M1138" t="s">
        <v>4956</v>
      </c>
      <c r="N1138" t="s">
        <v>534</v>
      </c>
      <c r="O1138" t="s">
        <v>39</v>
      </c>
      <c r="P1138" t="s">
        <v>4957</v>
      </c>
      <c r="Q1138" t="s">
        <v>63</v>
      </c>
      <c r="R1138" s="29">
        <v>46146.499305555553</v>
      </c>
      <c r="S1138">
        <v>0.35</v>
      </c>
      <c r="T1138">
        <v>3339</v>
      </c>
      <c r="U1138">
        <v>0</v>
      </c>
      <c r="V1138">
        <v>3339</v>
      </c>
    </row>
    <row r="1139" spans="1:22" x14ac:dyDescent="0.3">
      <c r="A1139">
        <v>198256</v>
      </c>
      <c r="B1139">
        <v>454540907</v>
      </c>
      <c r="C1139" t="s">
        <v>4958</v>
      </c>
      <c r="D1139" s="9">
        <v>269476517</v>
      </c>
      <c r="E1139" t="s">
        <v>4207</v>
      </c>
      <c r="F1139" t="s">
        <v>531</v>
      </c>
      <c r="G1139" t="s">
        <v>30</v>
      </c>
      <c r="H1139" t="s">
        <v>31</v>
      </c>
      <c r="I1139" t="s">
        <v>52</v>
      </c>
      <c r="J1139" t="s">
        <v>32</v>
      </c>
      <c r="K1139" t="s">
        <v>29</v>
      </c>
      <c r="L1139" t="s">
        <v>4959</v>
      </c>
      <c r="M1139" t="s">
        <v>4960</v>
      </c>
      <c r="N1139" t="s">
        <v>534</v>
      </c>
      <c r="O1139" t="s">
        <v>39</v>
      </c>
      <c r="P1139" t="s">
        <v>4961</v>
      </c>
      <c r="Q1139" t="s">
        <v>63</v>
      </c>
      <c r="R1139" s="29">
        <v>46146.490972222222</v>
      </c>
      <c r="S1139">
        <v>1</v>
      </c>
      <c r="T1139">
        <v>3384</v>
      </c>
      <c r="U1139">
        <v>0</v>
      </c>
      <c r="V1139">
        <v>3384</v>
      </c>
    </row>
    <row r="1140" spans="1:22" x14ac:dyDescent="0.3">
      <c r="A1140">
        <v>198256</v>
      </c>
      <c r="B1140">
        <v>454541517</v>
      </c>
      <c r="C1140" t="s">
        <v>4962</v>
      </c>
      <c r="D1140" s="9">
        <v>269477449</v>
      </c>
      <c r="E1140" t="s">
        <v>4207</v>
      </c>
      <c r="F1140" t="s">
        <v>531</v>
      </c>
      <c r="G1140" t="s">
        <v>30</v>
      </c>
      <c r="H1140" t="s">
        <v>31</v>
      </c>
      <c r="I1140" t="s">
        <v>52</v>
      </c>
      <c r="J1140" t="s">
        <v>32</v>
      </c>
      <c r="K1140" t="s">
        <v>29</v>
      </c>
      <c r="L1140" t="s">
        <v>4963</v>
      </c>
      <c r="M1140" t="s">
        <v>4964</v>
      </c>
      <c r="N1140" t="s">
        <v>534</v>
      </c>
      <c r="O1140" t="s">
        <v>39</v>
      </c>
      <c r="P1140" t="s">
        <v>4965</v>
      </c>
      <c r="Q1140" t="s">
        <v>74</v>
      </c>
      <c r="R1140" s="29">
        <v>46146.494444444441</v>
      </c>
      <c r="S1140">
        <v>1</v>
      </c>
      <c r="T1140">
        <v>3653</v>
      </c>
      <c r="U1140">
        <v>0</v>
      </c>
      <c r="V1140">
        <v>3653</v>
      </c>
    </row>
    <row r="1141" spans="1:22" x14ac:dyDescent="0.3">
      <c r="A1141">
        <v>198256</v>
      </c>
      <c r="B1141">
        <v>454540974</v>
      </c>
      <c r="C1141" t="s">
        <v>4966</v>
      </c>
      <c r="D1141" s="9">
        <v>269476584</v>
      </c>
      <c r="E1141" t="s">
        <v>4207</v>
      </c>
      <c r="F1141" t="s">
        <v>531</v>
      </c>
      <c r="G1141" t="s">
        <v>30</v>
      </c>
      <c r="H1141" t="s">
        <v>31</v>
      </c>
      <c r="I1141" t="s">
        <v>52</v>
      </c>
      <c r="J1141" t="s">
        <v>32</v>
      </c>
      <c r="K1141" t="s">
        <v>29</v>
      </c>
      <c r="L1141" t="s">
        <v>4967</v>
      </c>
      <c r="M1141" t="s">
        <v>4968</v>
      </c>
      <c r="N1141" t="s">
        <v>534</v>
      </c>
      <c r="O1141" t="s">
        <v>39</v>
      </c>
      <c r="P1141" t="s">
        <v>4969</v>
      </c>
      <c r="Q1141" t="s">
        <v>73</v>
      </c>
      <c r="R1141" s="29">
        <v>46146.490972222222</v>
      </c>
      <c r="S1141">
        <v>1</v>
      </c>
      <c r="T1141">
        <v>3250</v>
      </c>
      <c r="U1141">
        <v>0</v>
      </c>
      <c r="V1141">
        <v>3250</v>
      </c>
    </row>
    <row r="1142" spans="1:22" x14ac:dyDescent="0.3">
      <c r="A1142">
        <v>198256</v>
      </c>
      <c r="B1142">
        <v>454540590</v>
      </c>
      <c r="C1142" t="s">
        <v>4970</v>
      </c>
      <c r="D1142" s="9">
        <v>269476053</v>
      </c>
      <c r="E1142" t="s">
        <v>4207</v>
      </c>
      <c r="F1142" t="s">
        <v>531</v>
      </c>
      <c r="G1142" t="s">
        <v>30</v>
      </c>
      <c r="H1142" t="s">
        <v>31</v>
      </c>
      <c r="I1142" t="s">
        <v>52</v>
      </c>
      <c r="J1142" t="s">
        <v>32</v>
      </c>
      <c r="K1142" t="s">
        <v>29</v>
      </c>
      <c r="L1142" t="s">
        <v>4971</v>
      </c>
      <c r="M1142" t="s">
        <v>4972</v>
      </c>
      <c r="N1142" t="s">
        <v>534</v>
      </c>
      <c r="O1142" t="s">
        <v>39</v>
      </c>
      <c r="P1142" t="s">
        <v>4973</v>
      </c>
      <c r="Q1142" t="s">
        <v>62</v>
      </c>
      <c r="R1142" s="29">
        <v>46146.488888888889</v>
      </c>
      <c r="S1142">
        <v>1</v>
      </c>
      <c r="T1142">
        <v>3935</v>
      </c>
      <c r="U1142">
        <v>0</v>
      </c>
      <c r="V1142">
        <v>3935</v>
      </c>
    </row>
    <row r="1143" spans="1:22" x14ac:dyDescent="0.3">
      <c r="A1143">
        <v>198256</v>
      </c>
      <c r="B1143">
        <v>454540565</v>
      </c>
      <c r="C1143" t="s">
        <v>4974</v>
      </c>
      <c r="D1143" s="9">
        <v>269476043</v>
      </c>
      <c r="E1143" t="s">
        <v>4207</v>
      </c>
      <c r="F1143" t="s">
        <v>531</v>
      </c>
      <c r="G1143" t="s">
        <v>30</v>
      </c>
      <c r="H1143" t="s">
        <v>31</v>
      </c>
      <c r="I1143" t="s">
        <v>52</v>
      </c>
      <c r="J1143" t="s">
        <v>32</v>
      </c>
      <c r="K1143" t="s">
        <v>29</v>
      </c>
      <c r="L1143" t="s">
        <v>4975</v>
      </c>
      <c r="M1143" t="s">
        <v>118</v>
      </c>
      <c r="N1143" t="s">
        <v>534</v>
      </c>
      <c r="O1143" t="s">
        <v>39</v>
      </c>
      <c r="P1143" t="s">
        <v>4976</v>
      </c>
      <c r="Q1143" t="s">
        <v>35</v>
      </c>
      <c r="R1143" s="29">
        <v>46146.488888888889</v>
      </c>
      <c r="S1143">
        <v>1</v>
      </c>
      <c r="T1143">
        <v>3935</v>
      </c>
      <c r="U1143">
        <v>0</v>
      </c>
      <c r="V1143">
        <v>3935</v>
      </c>
    </row>
    <row r="1144" spans="1:22" x14ac:dyDescent="0.3">
      <c r="A1144">
        <v>198256</v>
      </c>
      <c r="B1144">
        <v>454541529</v>
      </c>
      <c r="C1144" t="s">
        <v>4977</v>
      </c>
      <c r="D1144" s="9">
        <v>269477477</v>
      </c>
      <c r="E1144" t="s">
        <v>4207</v>
      </c>
      <c r="F1144" t="s">
        <v>531</v>
      </c>
      <c r="G1144" t="s">
        <v>30</v>
      </c>
      <c r="H1144" t="s">
        <v>31</v>
      </c>
      <c r="I1144" t="s">
        <v>52</v>
      </c>
      <c r="J1144" t="s">
        <v>32</v>
      </c>
      <c r="K1144" t="s">
        <v>29</v>
      </c>
      <c r="L1144" t="s">
        <v>4978</v>
      </c>
      <c r="M1144" t="s">
        <v>4979</v>
      </c>
      <c r="N1144" t="s">
        <v>534</v>
      </c>
      <c r="O1144" t="s">
        <v>39</v>
      </c>
      <c r="P1144" t="s">
        <v>4980</v>
      </c>
      <c r="Q1144" t="s">
        <v>165</v>
      </c>
      <c r="R1144" s="29">
        <v>46146.494444444441</v>
      </c>
      <c r="S1144">
        <v>1</v>
      </c>
      <c r="T1144">
        <v>3250</v>
      </c>
      <c r="U1144">
        <v>0</v>
      </c>
      <c r="V1144">
        <v>3250</v>
      </c>
    </row>
    <row r="1145" spans="1:22" x14ac:dyDescent="0.3">
      <c r="A1145">
        <v>198256</v>
      </c>
      <c r="B1145">
        <v>454541260</v>
      </c>
      <c r="C1145" t="s">
        <v>4981</v>
      </c>
      <c r="D1145" s="9">
        <v>269477021</v>
      </c>
      <c r="E1145" t="s">
        <v>4207</v>
      </c>
      <c r="F1145" t="s">
        <v>531</v>
      </c>
      <c r="G1145" t="s">
        <v>30</v>
      </c>
      <c r="H1145" t="s">
        <v>31</v>
      </c>
      <c r="I1145" t="s">
        <v>52</v>
      </c>
      <c r="J1145" t="s">
        <v>32</v>
      </c>
      <c r="K1145" t="s">
        <v>29</v>
      </c>
      <c r="L1145" t="s">
        <v>4982</v>
      </c>
      <c r="M1145" t="s">
        <v>336</v>
      </c>
      <c r="N1145" t="s">
        <v>534</v>
      </c>
      <c r="O1145" t="s">
        <v>39</v>
      </c>
      <c r="P1145" t="s">
        <v>4983</v>
      </c>
      <c r="Q1145" t="s">
        <v>140</v>
      </c>
      <c r="R1145" s="29">
        <v>46146.492361111108</v>
      </c>
      <c r="S1145">
        <v>1</v>
      </c>
      <c r="T1145">
        <v>3250</v>
      </c>
      <c r="U1145">
        <v>0</v>
      </c>
      <c r="V1145">
        <v>3250</v>
      </c>
    </row>
    <row r="1146" spans="1:22" x14ac:dyDescent="0.3">
      <c r="A1146">
        <v>198256</v>
      </c>
      <c r="B1146">
        <v>454540707</v>
      </c>
      <c r="C1146" t="s">
        <v>4984</v>
      </c>
      <c r="D1146" s="9">
        <v>269476177</v>
      </c>
      <c r="E1146" t="s">
        <v>4207</v>
      </c>
      <c r="F1146" t="s">
        <v>531</v>
      </c>
      <c r="G1146" t="s">
        <v>30</v>
      </c>
      <c r="H1146" t="s">
        <v>31</v>
      </c>
      <c r="I1146" t="s">
        <v>52</v>
      </c>
      <c r="J1146" t="s">
        <v>32</v>
      </c>
      <c r="K1146" t="s">
        <v>29</v>
      </c>
      <c r="L1146" t="s">
        <v>4985</v>
      </c>
      <c r="M1146" t="s">
        <v>4986</v>
      </c>
      <c r="N1146" t="s">
        <v>534</v>
      </c>
      <c r="O1146" t="s">
        <v>39</v>
      </c>
      <c r="P1146" t="s">
        <v>4987</v>
      </c>
      <c r="Q1146" t="s">
        <v>63</v>
      </c>
      <c r="R1146" s="29">
        <v>46146.489583333336</v>
      </c>
      <c r="S1146">
        <v>1</v>
      </c>
      <c r="T1146">
        <v>3384</v>
      </c>
      <c r="U1146">
        <v>0</v>
      </c>
      <c r="V1146">
        <v>3384</v>
      </c>
    </row>
    <row r="1147" spans="1:22" x14ac:dyDescent="0.3">
      <c r="A1147">
        <v>198256</v>
      </c>
      <c r="B1147">
        <v>454541632</v>
      </c>
      <c r="C1147" t="s">
        <v>4988</v>
      </c>
      <c r="D1147" s="9">
        <v>269477557</v>
      </c>
      <c r="E1147" t="s">
        <v>4207</v>
      </c>
      <c r="F1147" t="s">
        <v>531</v>
      </c>
      <c r="G1147" t="s">
        <v>30</v>
      </c>
      <c r="H1147" t="s">
        <v>31</v>
      </c>
      <c r="I1147" t="s">
        <v>52</v>
      </c>
      <c r="J1147" t="s">
        <v>32</v>
      </c>
      <c r="K1147" t="s">
        <v>29</v>
      </c>
      <c r="L1147" t="s">
        <v>4989</v>
      </c>
      <c r="M1147" t="s">
        <v>4990</v>
      </c>
      <c r="N1147" t="s">
        <v>534</v>
      </c>
      <c r="O1147" t="s">
        <v>39</v>
      </c>
      <c r="P1147" t="s">
        <v>4991</v>
      </c>
      <c r="Q1147" t="s">
        <v>200</v>
      </c>
      <c r="R1147" s="29">
        <v>46146.495138888888</v>
      </c>
      <c r="S1147">
        <v>1</v>
      </c>
      <c r="T1147">
        <v>3653</v>
      </c>
      <c r="U1147">
        <v>0</v>
      </c>
      <c r="V1147">
        <v>3653</v>
      </c>
    </row>
    <row r="1148" spans="1:22" x14ac:dyDescent="0.3">
      <c r="A1148">
        <v>198256</v>
      </c>
      <c r="B1148">
        <v>454540645</v>
      </c>
      <c r="C1148" t="s">
        <v>4992</v>
      </c>
      <c r="D1148" s="9">
        <v>269476111</v>
      </c>
      <c r="E1148" t="s">
        <v>4207</v>
      </c>
      <c r="F1148" t="s">
        <v>531</v>
      </c>
      <c r="G1148" t="s">
        <v>30</v>
      </c>
      <c r="H1148" t="s">
        <v>31</v>
      </c>
      <c r="I1148" t="s">
        <v>52</v>
      </c>
      <c r="J1148" t="s">
        <v>32</v>
      </c>
      <c r="K1148" t="s">
        <v>29</v>
      </c>
      <c r="L1148" t="s">
        <v>4993</v>
      </c>
      <c r="M1148" t="s">
        <v>4990</v>
      </c>
      <c r="N1148" t="s">
        <v>534</v>
      </c>
      <c r="O1148" t="s">
        <v>39</v>
      </c>
      <c r="P1148" t="s">
        <v>4991</v>
      </c>
      <c r="Q1148" t="s">
        <v>200</v>
      </c>
      <c r="R1148" s="29">
        <v>46146.488888888889</v>
      </c>
      <c r="S1148">
        <v>0.52</v>
      </c>
      <c r="T1148">
        <v>3653</v>
      </c>
      <c r="U1148">
        <v>0</v>
      </c>
      <c r="V1148">
        <v>3653</v>
      </c>
    </row>
    <row r="1149" spans="1:22" x14ac:dyDescent="0.3">
      <c r="A1149">
        <v>198256</v>
      </c>
      <c r="B1149">
        <v>454540504</v>
      </c>
      <c r="C1149" t="s">
        <v>4994</v>
      </c>
      <c r="D1149" s="9">
        <v>269475948</v>
      </c>
      <c r="E1149" t="s">
        <v>4207</v>
      </c>
      <c r="F1149" t="s">
        <v>531</v>
      </c>
      <c r="G1149" t="s">
        <v>30</v>
      </c>
      <c r="H1149" t="s">
        <v>31</v>
      </c>
      <c r="I1149" t="s">
        <v>52</v>
      </c>
      <c r="J1149" t="s">
        <v>32</v>
      </c>
      <c r="K1149" t="s">
        <v>29</v>
      </c>
      <c r="L1149" t="s">
        <v>4995</v>
      </c>
      <c r="M1149" t="s">
        <v>4996</v>
      </c>
      <c r="N1149" t="s">
        <v>534</v>
      </c>
      <c r="O1149" t="s">
        <v>39</v>
      </c>
      <c r="P1149" t="s">
        <v>4997</v>
      </c>
      <c r="Q1149" t="s">
        <v>48</v>
      </c>
      <c r="R1149" s="29">
        <v>46146.488888888889</v>
      </c>
      <c r="S1149">
        <v>1</v>
      </c>
      <c r="T1149">
        <v>3250</v>
      </c>
      <c r="U1149">
        <v>0</v>
      </c>
      <c r="V1149">
        <v>3250</v>
      </c>
    </row>
    <row r="1150" spans="1:22" x14ac:dyDescent="0.3">
      <c r="A1150">
        <v>198256</v>
      </c>
      <c r="B1150">
        <v>454540506</v>
      </c>
      <c r="C1150" t="s">
        <v>4998</v>
      </c>
      <c r="D1150" s="9">
        <v>269475973</v>
      </c>
      <c r="E1150" t="s">
        <v>4207</v>
      </c>
      <c r="F1150" t="s">
        <v>531</v>
      </c>
      <c r="G1150" t="s">
        <v>30</v>
      </c>
      <c r="H1150" t="s">
        <v>31</v>
      </c>
      <c r="I1150" t="s">
        <v>52</v>
      </c>
      <c r="J1150" t="s">
        <v>32</v>
      </c>
      <c r="K1150" t="s">
        <v>29</v>
      </c>
      <c r="L1150" t="s">
        <v>4999</v>
      </c>
      <c r="M1150" t="s">
        <v>5000</v>
      </c>
      <c r="N1150" t="s">
        <v>534</v>
      </c>
      <c r="O1150" t="s">
        <v>39</v>
      </c>
      <c r="P1150" t="s">
        <v>5001</v>
      </c>
      <c r="Q1150" t="s">
        <v>74</v>
      </c>
      <c r="R1150" s="29">
        <v>46146.488888888889</v>
      </c>
      <c r="S1150">
        <v>1</v>
      </c>
      <c r="T1150">
        <v>3653</v>
      </c>
      <c r="U1150">
        <v>0</v>
      </c>
      <c r="V1150">
        <v>3653</v>
      </c>
    </row>
    <row r="1151" spans="1:22" x14ac:dyDescent="0.3">
      <c r="A1151">
        <v>198256</v>
      </c>
      <c r="B1151">
        <v>454540514</v>
      </c>
      <c r="C1151" t="s">
        <v>5002</v>
      </c>
      <c r="D1151" s="9">
        <v>269475978</v>
      </c>
      <c r="E1151" t="s">
        <v>4207</v>
      </c>
      <c r="F1151" t="s">
        <v>531</v>
      </c>
      <c r="G1151" t="s">
        <v>30</v>
      </c>
      <c r="H1151" t="s">
        <v>31</v>
      </c>
      <c r="I1151" t="s">
        <v>52</v>
      </c>
      <c r="J1151" t="s">
        <v>32</v>
      </c>
      <c r="K1151" t="s">
        <v>29</v>
      </c>
      <c r="L1151" t="s">
        <v>5003</v>
      </c>
      <c r="M1151" t="s">
        <v>5004</v>
      </c>
      <c r="N1151" t="s">
        <v>534</v>
      </c>
      <c r="O1151" t="s">
        <v>39</v>
      </c>
      <c r="P1151" t="s">
        <v>5005</v>
      </c>
      <c r="Q1151" t="s">
        <v>62</v>
      </c>
      <c r="R1151" s="29">
        <v>46146.488888888889</v>
      </c>
      <c r="S1151">
        <v>1</v>
      </c>
      <c r="T1151">
        <v>3935</v>
      </c>
      <c r="U1151">
        <v>0</v>
      </c>
      <c r="V1151">
        <v>3935</v>
      </c>
    </row>
    <row r="1152" spans="1:22" x14ac:dyDescent="0.3">
      <c r="A1152">
        <v>198256</v>
      </c>
      <c r="B1152">
        <v>454540661</v>
      </c>
      <c r="C1152" t="s">
        <v>5006</v>
      </c>
      <c r="D1152" s="9">
        <v>269476141</v>
      </c>
      <c r="E1152" t="s">
        <v>4207</v>
      </c>
      <c r="F1152" t="s">
        <v>531</v>
      </c>
      <c r="G1152" t="s">
        <v>30</v>
      </c>
      <c r="H1152" t="s">
        <v>31</v>
      </c>
      <c r="I1152" t="s">
        <v>52</v>
      </c>
      <c r="J1152" t="s">
        <v>32</v>
      </c>
      <c r="K1152" t="s">
        <v>29</v>
      </c>
      <c r="L1152" t="s">
        <v>5007</v>
      </c>
      <c r="M1152" t="s">
        <v>5008</v>
      </c>
      <c r="N1152" t="s">
        <v>534</v>
      </c>
      <c r="O1152" t="s">
        <v>39</v>
      </c>
      <c r="P1152" t="s">
        <v>5009</v>
      </c>
      <c r="Q1152" t="s">
        <v>40</v>
      </c>
      <c r="R1152" s="29">
        <v>46146.488888888889</v>
      </c>
      <c r="S1152">
        <v>0.43</v>
      </c>
      <c r="T1152">
        <v>3552</v>
      </c>
      <c r="U1152">
        <v>0</v>
      </c>
      <c r="V1152">
        <v>3552</v>
      </c>
    </row>
    <row r="1153" spans="1:22" x14ac:dyDescent="0.3">
      <c r="A1153">
        <v>198256</v>
      </c>
      <c r="B1153">
        <v>454540677</v>
      </c>
      <c r="C1153" t="s">
        <v>5010</v>
      </c>
      <c r="D1153" s="9">
        <v>269476145</v>
      </c>
      <c r="E1153" t="s">
        <v>4207</v>
      </c>
      <c r="F1153" t="s">
        <v>531</v>
      </c>
      <c r="G1153" t="s">
        <v>30</v>
      </c>
      <c r="H1153" t="s">
        <v>31</v>
      </c>
      <c r="I1153" t="s">
        <v>52</v>
      </c>
      <c r="J1153" t="s">
        <v>32</v>
      </c>
      <c r="K1153" t="s">
        <v>29</v>
      </c>
      <c r="L1153" t="s">
        <v>5011</v>
      </c>
      <c r="M1153" t="s">
        <v>5012</v>
      </c>
      <c r="N1153" t="s">
        <v>534</v>
      </c>
      <c r="O1153" t="s">
        <v>39</v>
      </c>
      <c r="P1153" t="s">
        <v>5013</v>
      </c>
      <c r="Q1153" t="s">
        <v>48</v>
      </c>
      <c r="R1153" s="29">
        <v>46146.489583333336</v>
      </c>
      <c r="S1153">
        <v>0.44</v>
      </c>
      <c r="T1153">
        <v>3193</v>
      </c>
      <c r="U1153">
        <v>0</v>
      </c>
      <c r="V1153">
        <v>3193</v>
      </c>
    </row>
    <row r="1154" spans="1:22" x14ac:dyDescent="0.3">
      <c r="A1154">
        <v>198256</v>
      </c>
      <c r="B1154">
        <v>454541291</v>
      </c>
      <c r="C1154" t="s">
        <v>5014</v>
      </c>
      <c r="D1154" s="9">
        <v>269477063</v>
      </c>
      <c r="E1154" t="s">
        <v>4207</v>
      </c>
      <c r="F1154" t="s">
        <v>531</v>
      </c>
      <c r="G1154" t="s">
        <v>30</v>
      </c>
      <c r="H1154" t="s">
        <v>31</v>
      </c>
      <c r="I1154" t="s">
        <v>52</v>
      </c>
      <c r="J1154" t="s">
        <v>32</v>
      </c>
      <c r="K1154" t="s">
        <v>29</v>
      </c>
      <c r="L1154" t="s">
        <v>5015</v>
      </c>
      <c r="M1154" t="s">
        <v>509</v>
      </c>
      <c r="N1154" t="s">
        <v>534</v>
      </c>
      <c r="O1154" t="s">
        <v>39</v>
      </c>
      <c r="P1154" t="s">
        <v>5016</v>
      </c>
      <c r="Q1154" t="s">
        <v>38</v>
      </c>
      <c r="R1154" s="29">
        <v>46146.493055555555</v>
      </c>
      <c r="S1154">
        <v>1</v>
      </c>
      <c r="T1154">
        <v>3250</v>
      </c>
      <c r="U1154">
        <v>0</v>
      </c>
      <c r="V1154">
        <v>3250</v>
      </c>
    </row>
    <row r="1155" spans="1:22" x14ac:dyDescent="0.3">
      <c r="A1155">
        <v>198256</v>
      </c>
      <c r="B1155">
        <v>454540705</v>
      </c>
      <c r="C1155" t="s">
        <v>5017</v>
      </c>
      <c r="D1155" s="9">
        <v>269476204</v>
      </c>
      <c r="E1155" t="s">
        <v>4207</v>
      </c>
      <c r="F1155" t="s">
        <v>531</v>
      </c>
      <c r="G1155" t="s">
        <v>30</v>
      </c>
      <c r="H1155" t="s">
        <v>31</v>
      </c>
      <c r="I1155" t="s">
        <v>52</v>
      </c>
      <c r="J1155" t="s">
        <v>32</v>
      </c>
      <c r="K1155" t="s">
        <v>29</v>
      </c>
      <c r="L1155" t="s">
        <v>5018</v>
      </c>
      <c r="M1155" t="s">
        <v>5019</v>
      </c>
      <c r="N1155" t="s">
        <v>534</v>
      </c>
      <c r="O1155" t="s">
        <v>39</v>
      </c>
      <c r="P1155" t="s">
        <v>5020</v>
      </c>
      <c r="Q1155" t="s">
        <v>42</v>
      </c>
      <c r="R1155" s="29">
        <v>46146.489583333336</v>
      </c>
      <c r="S1155">
        <v>1</v>
      </c>
      <c r="T1155">
        <v>3250</v>
      </c>
      <c r="U1155">
        <v>0</v>
      </c>
      <c r="V1155">
        <v>3250</v>
      </c>
    </row>
    <row r="1156" spans="1:22" x14ac:dyDescent="0.3">
      <c r="A1156">
        <v>198256</v>
      </c>
      <c r="B1156">
        <v>454594808</v>
      </c>
      <c r="C1156" t="s">
        <v>5021</v>
      </c>
      <c r="D1156" s="9">
        <v>269580337</v>
      </c>
      <c r="E1156" t="s">
        <v>4207</v>
      </c>
      <c r="F1156" t="s">
        <v>531</v>
      </c>
      <c r="G1156" t="s">
        <v>30</v>
      </c>
      <c r="H1156" t="s">
        <v>31</v>
      </c>
      <c r="I1156" t="s">
        <v>52</v>
      </c>
      <c r="J1156" t="s">
        <v>32</v>
      </c>
      <c r="K1156" t="s">
        <v>29</v>
      </c>
      <c r="L1156" t="s">
        <v>5022</v>
      </c>
      <c r="M1156" t="s">
        <v>5023</v>
      </c>
      <c r="N1156" t="s">
        <v>534</v>
      </c>
      <c r="O1156" t="s">
        <v>39</v>
      </c>
      <c r="P1156" t="s">
        <v>5024</v>
      </c>
      <c r="Q1156" t="s">
        <v>200</v>
      </c>
      <c r="R1156" s="29">
        <v>46147.524305555555</v>
      </c>
      <c r="S1156">
        <v>0.36</v>
      </c>
      <c r="T1156">
        <v>3339</v>
      </c>
      <c r="U1156">
        <v>0</v>
      </c>
      <c r="V1156">
        <v>3339</v>
      </c>
    </row>
    <row r="1157" spans="1:22" x14ac:dyDescent="0.3">
      <c r="A1157">
        <v>198256</v>
      </c>
      <c r="B1157">
        <v>454540561</v>
      </c>
      <c r="C1157" t="s">
        <v>5025</v>
      </c>
      <c r="D1157" s="9">
        <v>269476024</v>
      </c>
      <c r="E1157" t="s">
        <v>4207</v>
      </c>
      <c r="F1157" t="s">
        <v>531</v>
      </c>
      <c r="G1157" t="s">
        <v>30</v>
      </c>
      <c r="H1157" t="s">
        <v>31</v>
      </c>
      <c r="I1157" t="s">
        <v>52</v>
      </c>
      <c r="J1157" t="s">
        <v>32</v>
      </c>
      <c r="K1157" t="s">
        <v>29</v>
      </c>
      <c r="L1157" t="s">
        <v>2241</v>
      </c>
      <c r="M1157" t="s">
        <v>5026</v>
      </c>
      <c r="N1157" t="s">
        <v>534</v>
      </c>
      <c r="O1157" t="s">
        <v>39</v>
      </c>
      <c r="P1157" t="s">
        <v>5027</v>
      </c>
      <c r="Q1157" t="s">
        <v>38</v>
      </c>
      <c r="R1157" s="29">
        <v>46146.488888888889</v>
      </c>
      <c r="S1157">
        <v>0.48</v>
      </c>
      <c r="T1157">
        <v>3193</v>
      </c>
      <c r="U1157">
        <v>0</v>
      </c>
      <c r="V1157">
        <v>3193</v>
      </c>
    </row>
    <row r="1158" spans="1:22" x14ac:dyDescent="0.3">
      <c r="A1158">
        <v>198256</v>
      </c>
      <c r="B1158">
        <v>454542076</v>
      </c>
      <c r="C1158" t="s">
        <v>5028</v>
      </c>
      <c r="D1158" s="9">
        <v>269478452</v>
      </c>
      <c r="E1158" t="s">
        <v>4207</v>
      </c>
      <c r="F1158" t="s">
        <v>531</v>
      </c>
      <c r="G1158" t="s">
        <v>30</v>
      </c>
      <c r="H1158" t="s">
        <v>31</v>
      </c>
      <c r="I1158" t="s">
        <v>52</v>
      </c>
      <c r="J1158" t="s">
        <v>32</v>
      </c>
      <c r="K1158" t="s">
        <v>29</v>
      </c>
      <c r="L1158" t="s">
        <v>5029</v>
      </c>
      <c r="M1158" t="s">
        <v>5030</v>
      </c>
      <c r="N1158" t="s">
        <v>534</v>
      </c>
      <c r="O1158" t="s">
        <v>39</v>
      </c>
      <c r="P1158" t="s">
        <v>5031</v>
      </c>
      <c r="Q1158" t="s">
        <v>42</v>
      </c>
      <c r="R1158" s="29">
        <v>46146.498611111114</v>
      </c>
      <c r="S1158">
        <v>0.43</v>
      </c>
      <c r="T1158">
        <v>3193</v>
      </c>
      <c r="U1158">
        <v>0</v>
      </c>
      <c r="V1158">
        <v>3193</v>
      </c>
    </row>
    <row r="1159" spans="1:22" x14ac:dyDescent="0.3">
      <c r="A1159">
        <v>198256</v>
      </c>
      <c r="B1159">
        <v>454540607</v>
      </c>
      <c r="C1159" t="s">
        <v>5032</v>
      </c>
      <c r="D1159" s="9">
        <v>269476071</v>
      </c>
      <c r="E1159" t="s">
        <v>4207</v>
      </c>
      <c r="F1159" t="s">
        <v>531</v>
      </c>
      <c r="G1159" t="s">
        <v>30</v>
      </c>
      <c r="H1159" t="s">
        <v>31</v>
      </c>
      <c r="I1159" t="s">
        <v>52</v>
      </c>
      <c r="J1159" t="s">
        <v>32</v>
      </c>
      <c r="K1159" t="s">
        <v>29</v>
      </c>
      <c r="L1159" t="s">
        <v>5033</v>
      </c>
      <c r="M1159" t="s">
        <v>5034</v>
      </c>
      <c r="N1159" t="s">
        <v>534</v>
      </c>
      <c r="O1159" t="s">
        <v>39</v>
      </c>
      <c r="P1159" t="s">
        <v>5035</v>
      </c>
      <c r="Q1159" t="s">
        <v>164</v>
      </c>
      <c r="R1159" s="29">
        <v>46146.488888888889</v>
      </c>
      <c r="S1159">
        <v>1</v>
      </c>
      <c r="T1159">
        <v>3250</v>
      </c>
      <c r="U1159">
        <v>0</v>
      </c>
      <c r="V1159">
        <v>3250</v>
      </c>
    </row>
    <row r="1160" spans="1:22" x14ac:dyDescent="0.3">
      <c r="A1160">
        <v>198256</v>
      </c>
      <c r="B1160">
        <v>454540954</v>
      </c>
      <c r="C1160" t="s">
        <v>5036</v>
      </c>
      <c r="D1160" s="9">
        <v>269476577</v>
      </c>
      <c r="E1160" t="s">
        <v>4207</v>
      </c>
      <c r="F1160" t="s">
        <v>531</v>
      </c>
      <c r="G1160" t="s">
        <v>30</v>
      </c>
      <c r="H1160" t="s">
        <v>31</v>
      </c>
      <c r="I1160" t="s">
        <v>52</v>
      </c>
      <c r="J1160" t="s">
        <v>32</v>
      </c>
      <c r="K1160" t="s">
        <v>29</v>
      </c>
      <c r="L1160" t="s">
        <v>5037</v>
      </c>
      <c r="M1160" t="s">
        <v>5038</v>
      </c>
      <c r="N1160" t="s">
        <v>534</v>
      </c>
      <c r="O1160" t="s">
        <v>39</v>
      </c>
      <c r="P1160" t="s">
        <v>5039</v>
      </c>
      <c r="Q1160" t="s">
        <v>35</v>
      </c>
      <c r="R1160" s="29">
        <v>46146.490972222222</v>
      </c>
      <c r="S1160">
        <v>1</v>
      </c>
      <c r="T1160">
        <v>3935</v>
      </c>
      <c r="U1160">
        <v>0</v>
      </c>
      <c r="V1160">
        <v>3935</v>
      </c>
    </row>
    <row r="1161" spans="1:22" x14ac:dyDescent="0.3">
      <c r="A1161">
        <v>198256</v>
      </c>
      <c r="B1161">
        <v>454541277</v>
      </c>
      <c r="C1161" t="s">
        <v>5040</v>
      </c>
      <c r="D1161" s="9">
        <v>269477031</v>
      </c>
      <c r="E1161" t="s">
        <v>4207</v>
      </c>
      <c r="F1161" t="s">
        <v>531</v>
      </c>
      <c r="G1161" t="s">
        <v>30</v>
      </c>
      <c r="H1161" t="s">
        <v>31</v>
      </c>
      <c r="I1161" t="s">
        <v>52</v>
      </c>
      <c r="J1161" t="s">
        <v>32</v>
      </c>
      <c r="K1161" t="s">
        <v>29</v>
      </c>
      <c r="L1161" t="s">
        <v>5041</v>
      </c>
      <c r="M1161" t="s">
        <v>5042</v>
      </c>
      <c r="N1161" t="s">
        <v>534</v>
      </c>
      <c r="O1161" t="s">
        <v>39</v>
      </c>
      <c r="P1161" t="s">
        <v>5043</v>
      </c>
      <c r="Q1161" t="s">
        <v>34</v>
      </c>
      <c r="R1161" s="29">
        <v>46146.493055555555</v>
      </c>
      <c r="S1161">
        <v>1</v>
      </c>
      <c r="T1161">
        <v>3653</v>
      </c>
      <c r="U1161">
        <v>0</v>
      </c>
      <c r="V1161">
        <v>3653</v>
      </c>
    </row>
    <row r="1162" spans="1:22" x14ac:dyDescent="0.3">
      <c r="A1162">
        <v>198256</v>
      </c>
      <c r="B1162">
        <v>454540601</v>
      </c>
      <c r="C1162" t="s">
        <v>5044</v>
      </c>
      <c r="D1162" s="9">
        <v>269476080</v>
      </c>
      <c r="E1162" t="s">
        <v>4207</v>
      </c>
      <c r="F1162" t="s">
        <v>531</v>
      </c>
      <c r="G1162" t="s">
        <v>30</v>
      </c>
      <c r="H1162" t="s">
        <v>31</v>
      </c>
      <c r="I1162" t="s">
        <v>52</v>
      </c>
      <c r="J1162" t="s">
        <v>32</v>
      </c>
      <c r="K1162" t="s">
        <v>29</v>
      </c>
      <c r="L1162" t="s">
        <v>5045</v>
      </c>
      <c r="M1162" t="s">
        <v>5046</v>
      </c>
      <c r="N1162" t="s">
        <v>534</v>
      </c>
      <c r="O1162" t="s">
        <v>39</v>
      </c>
      <c r="P1162" t="s">
        <v>5047</v>
      </c>
      <c r="Q1162" t="s">
        <v>71</v>
      </c>
      <c r="R1162" s="29">
        <v>46146.488888888889</v>
      </c>
      <c r="S1162">
        <v>1</v>
      </c>
      <c r="T1162">
        <v>3631</v>
      </c>
      <c r="U1162">
        <v>0</v>
      </c>
      <c r="V1162">
        <v>3631</v>
      </c>
    </row>
    <row r="1163" spans="1:22" x14ac:dyDescent="0.3">
      <c r="A1163">
        <v>198256</v>
      </c>
      <c r="B1163">
        <v>454594937</v>
      </c>
      <c r="C1163" t="s">
        <v>5048</v>
      </c>
      <c r="D1163" s="9">
        <v>269580558</v>
      </c>
      <c r="E1163" t="s">
        <v>4207</v>
      </c>
      <c r="F1163" t="s">
        <v>531</v>
      </c>
      <c r="G1163" t="s">
        <v>30</v>
      </c>
      <c r="H1163" t="s">
        <v>31</v>
      </c>
      <c r="I1163" t="s">
        <v>52</v>
      </c>
      <c r="J1163" t="s">
        <v>32</v>
      </c>
      <c r="K1163" t="s">
        <v>29</v>
      </c>
      <c r="L1163" t="s">
        <v>5049</v>
      </c>
      <c r="M1163" t="s">
        <v>5050</v>
      </c>
      <c r="N1163" t="s">
        <v>534</v>
      </c>
      <c r="O1163" t="s">
        <v>39</v>
      </c>
      <c r="P1163" t="s">
        <v>5051</v>
      </c>
      <c r="Q1163" t="s">
        <v>38</v>
      </c>
      <c r="R1163" s="29">
        <v>46147.525000000001</v>
      </c>
      <c r="S1163">
        <v>0.48</v>
      </c>
      <c r="T1163">
        <v>3193</v>
      </c>
      <c r="U1163">
        <v>0</v>
      </c>
      <c r="V1163">
        <v>3193</v>
      </c>
    </row>
    <row r="1164" spans="1:22" x14ac:dyDescent="0.3">
      <c r="A1164">
        <v>198256</v>
      </c>
      <c r="B1164">
        <v>454540910</v>
      </c>
      <c r="C1164" t="s">
        <v>5052</v>
      </c>
      <c r="D1164" s="9">
        <v>269476518</v>
      </c>
      <c r="E1164" t="s">
        <v>4207</v>
      </c>
      <c r="F1164" t="s">
        <v>531</v>
      </c>
      <c r="G1164" t="s">
        <v>30</v>
      </c>
      <c r="H1164" t="s">
        <v>31</v>
      </c>
      <c r="I1164" t="s">
        <v>52</v>
      </c>
      <c r="J1164" t="s">
        <v>32</v>
      </c>
      <c r="K1164" t="s">
        <v>29</v>
      </c>
      <c r="L1164" t="s">
        <v>5053</v>
      </c>
      <c r="M1164" t="s">
        <v>5054</v>
      </c>
      <c r="N1164" t="s">
        <v>534</v>
      </c>
      <c r="O1164" t="s">
        <v>39</v>
      </c>
      <c r="P1164" t="s">
        <v>5055</v>
      </c>
      <c r="Q1164" t="s">
        <v>63</v>
      </c>
      <c r="R1164" s="29">
        <v>46146.490972222222</v>
      </c>
      <c r="S1164">
        <v>1</v>
      </c>
      <c r="T1164">
        <v>3384</v>
      </c>
      <c r="U1164">
        <v>0</v>
      </c>
      <c r="V1164">
        <v>3384</v>
      </c>
    </row>
    <row r="1165" spans="1:22" x14ac:dyDescent="0.3">
      <c r="A1165">
        <v>198256</v>
      </c>
      <c r="B1165">
        <v>454594986</v>
      </c>
      <c r="C1165" t="s">
        <v>5056</v>
      </c>
      <c r="D1165" s="9">
        <v>269580612</v>
      </c>
      <c r="E1165" t="s">
        <v>4207</v>
      </c>
      <c r="F1165" t="s">
        <v>531</v>
      </c>
      <c r="G1165" t="s">
        <v>30</v>
      </c>
      <c r="H1165" t="s">
        <v>31</v>
      </c>
      <c r="I1165" t="s">
        <v>52</v>
      </c>
      <c r="J1165" t="s">
        <v>32</v>
      </c>
      <c r="K1165" t="s">
        <v>29</v>
      </c>
      <c r="L1165" t="s">
        <v>5057</v>
      </c>
      <c r="M1165" t="s">
        <v>323</v>
      </c>
      <c r="N1165" t="s">
        <v>534</v>
      </c>
      <c r="O1165" t="s">
        <v>39</v>
      </c>
      <c r="P1165" t="s">
        <v>5058</v>
      </c>
      <c r="Q1165" t="s">
        <v>71</v>
      </c>
      <c r="R1165" s="29">
        <v>46147.525000000001</v>
      </c>
      <c r="S1165">
        <v>1</v>
      </c>
      <c r="T1165">
        <v>3631</v>
      </c>
      <c r="U1165">
        <v>0</v>
      </c>
      <c r="V1165">
        <v>3631</v>
      </c>
    </row>
    <row r="1166" spans="1:22" x14ac:dyDescent="0.3">
      <c r="A1166">
        <v>198256</v>
      </c>
      <c r="B1166">
        <v>454540956</v>
      </c>
      <c r="C1166" t="s">
        <v>5059</v>
      </c>
      <c r="D1166" s="9">
        <v>269476578</v>
      </c>
      <c r="E1166" t="s">
        <v>4207</v>
      </c>
      <c r="F1166" t="s">
        <v>531</v>
      </c>
      <c r="G1166" t="s">
        <v>30</v>
      </c>
      <c r="H1166" t="s">
        <v>31</v>
      </c>
      <c r="I1166" t="s">
        <v>52</v>
      </c>
      <c r="J1166" t="s">
        <v>32</v>
      </c>
      <c r="K1166" t="s">
        <v>29</v>
      </c>
      <c r="L1166" t="s">
        <v>5060</v>
      </c>
      <c r="M1166" t="s">
        <v>454</v>
      </c>
      <c r="N1166" t="s">
        <v>534</v>
      </c>
      <c r="O1166" t="s">
        <v>39</v>
      </c>
      <c r="P1166" t="s">
        <v>5061</v>
      </c>
      <c r="Q1166" t="s">
        <v>62</v>
      </c>
      <c r="R1166" s="29">
        <v>46146.490972222222</v>
      </c>
      <c r="S1166">
        <v>1</v>
      </c>
      <c r="T1166">
        <v>3935</v>
      </c>
      <c r="U1166">
        <v>0</v>
      </c>
      <c r="V1166">
        <v>3935</v>
      </c>
    </row>
    <row r="1167" spans="1:22" x14ac:dyDescent="0.3">
      <c r="A1167">
        <v>198256</v>
      </c>
      <c r="B1167">
        <v>454541216</v>
      </c>
      <c r="C1167" t="s">
        <v>5062</v>
      </c>
      <c r="D1167" s="9">
        <v>269476972</v>
      </c>
      <c r="E1167" t="s">
        <v>4207</v>
      </c>
      <c r="F1167" t="s">
        <v>531</v>
      </c>
      <c r="G1167" t="s">
        <v>30</v>
      </c>
      <c r="H1167" t="s">
        <v>31</v>
      </c>
      <c r="I1167" t="s">
        <v>52</v>
      </c>
      <c r="J1167" t="s">
        <v>32</v>
      </c>
      <c r="K1167" t="s">
        <v>29</v>
      </c>
      <c r="L1167" t="s">
        <v>5063</v>
      </c>
      <c r="M1167" t="s">
        <v>5064</v>
      </c>
      <c r="N1167" t="s">
        <v>534</v>
      </c>
      <c r="O1167" t="s">
        <v>39</v>
      </c>
      <c r="P1167" t="s">
        <v>5065</v>
      </c>
      <c r="Q1167" t="s">
        <v>71</v>
      </c>
      <c r="R1167" s="29">
        <v>46146.492361111108</v>
      </c>
      <c r="S1167">
        <v>1</v>
      </c>
      <c r="T1167">
        <v>3631</v>
      </c>
      <c r="U1167">
        <v>0</v>
      </c>
      <c r="V1167">
        <v>3631</v>
      </c>
    </row>
    <row r="1168" spans="1:22" x14ac:dyDescent="0.3">
      <c r="A1168">
        <v>198256</v>
      </c>
      <c r="B1168">
        <v>454542085</v>
      </c>
      <c r="C1168" t="s">
        <v>5066</v>
      </c>
      <c r="D1168" s="9">
        <v>269478458</v>
      </c>
      <c r="E1168" t="s">
        <v>4207</v>
      </c>
      <c r="F1168" t="s">
        <v>531</v>
      </c>
      <c r="G1168" t="s">
        <v>30</v>
      </c>
      <c r="H1168" t="s">
        <v>31</v>
      </c>
      <c r="I1168" t="s">
        <v>52</v>
      </c>
      <c r="J1168" t="s">
        <v>32</v>
      </c>
      <c r="K1168" t="s">
        <v>29</v>
      </c>
      <c r="L1168" t="s">
        <v>5067</v>
      </c>
      <c r="M1168" t="s">
        <v>412</v>
      </c>
      <c r="N1168" t="s">
        <v>534</v>
      </c>
      <c r="O1168" t="s">
        <v>39</v>
      </c>
      <c r="P1168" t="s">
        <v>5068</v>
      </c>
      <c r="Q1168" t="s">
        <v>40</v>
      </c>
      <c r="R1168" s="29">
        <v>46146.499305555553</v>
      </c>
      <c r="S1168">
        <v>0.39</v>
      </c>
      <c r="T1168">
        <v>3552</v>
      </c>
      <c r="U1168">
        <v>0</v>
      </c>
      <c r="V1168">
        <v>3552</v>
      </c>
    </row>
    <row r="1169" spans="1:22" x14ac:dyDescent="0.3">
      <c r="A1169">
        <v>198256</v>
      </c>
      <c r="B1169">
        <v>454540643</v>
      </c>
      <c r="C1169" t="s">
        <v>5069</v>
      </c>
      <c r="D1169" s="9">
        <v>269476110</v>
      </c>
      <c r="E1169" t="s">
        <v>4207</v>
      </c>
      <c r="F1169" t="s">
        <v>531</v>
      </c>
      <c r="G1169" t="s">
        <v>30</v>
      </c>
      <c r="H1169" t="s">
        <v>31</v>
      </c>
      <c r="I1169" t="s">
        <v>52</v>
      </c>
      <c r="J1169" t="s">
        <v>32</v>
      </c>
      <c r="K1169" t="s">
        <v>29</v>
      </c>
      <c r="L1169" t="s">
        <v>5070</v>
      </c>
      <c r="M1169" t="s">
        <v>447</v>
      </c>
      <c r="N1169" t="s">
        <v>534</v>
      </c>
      <c r="O1169" t="s">
        <v>39</v>
      </c>
      <c r="P1169" t="s">
        <v>5071</v>
      </c>
      <c r="Q1169" t="s">
        <v>200</v>
      </c>
      <c r="R1169" s="29">
        <v>46146.488888888889</v>
      </c>
      <c r="S1169">
        <v>0.41</v>
      </c>
      <c r="T1169">
        <v>3339</v>
      </c>
      <c r="U1169">
        <v>0</v>
      </c>
      <c r="V1169">
        <v>3339</v>
      </c>
    </row>
    <row r="1170" spans="1:22" x14ac:dyDescent="0.3">
      <c r="A1170">
        <v>198256</v>
      </c>
      <c r="B1170">
        <v>454541569</v>
      </c>
      <c r="C1170" t="s">
        <v>5072</v>
      </c>
      <c r="D1170" s="9">
        <v>269481104</v>
      </c>
      <c r="E1170" t="s">
        <v>4207</v>
      </c>
      <c r="F1170" t="s">
        <v>531</v>
      </c>
      <c r="G1170" t="s">
        <v>30</v>
      </c>
      <c r="H1170" t="s">
        <v>31</v>
      </c>
      <c r="I1170" t="s">
        <v>52</v>
      </c>
      <c r="J1170" t="s">
        <v>32</v>
      </c>
      <c r="K1170" t="s">
        <v>29</v>
      </c>
      <c r="L1170" t="s">
        <v>5073</v>
      </c>
      <c r="M1170" t="s">
        <v>5074</v>
      </c>
      <c r="N1170" t="s">
        <v>534</v>
      </c>
      <c r="O1170" t="s">
        <v>39</v>
      </c>
      <c r="P1170" t="s">
        <v>5075</v>
      </c>
      <c r="Q1170" t="s">
        <v>71</v>
      </c>
      <c r="R1170" s="29">
        <v>46146.494444444441</v>
      </c>
      <c r="S1170">
        <v>1</v>
      </c>
      <c r="T1170">
        <v>3631</v>
      </c>
      <c r="U1170">
        <v>0</v>
      </c>
      <c r="V1170">
        <v>3631</v>
      </c>
    </row>
    <row r="1171" spans="1:22" x14ac:dyDescent="0.3">
      <c r="A1171">
        <v>198256</v>
      </c>
      <c r="B1171">
        <v>454540933</v>
      </c>
      <c r="C1171" t="s">
        <v>5076</v>
      </c>
      <c r="D1171" s="9">
        <v>269476554</v>
      </c>
      <c r="E1171" t="s">
        <v>4207</v>
      </c>
      <c r="F1171" t="s">
        <v>531</v>
      </c>
      <c r="G1171" t="s">
        <v>30</v>
      </c>
      <c r="H1171" t="s">
        <v>31</v>
      </c>
      <c r="I1171" t="s">
        <v>52</v>
      </c>
      <c r="J1171" t="s">
        <v>32</v>
      </c>
      <c r="K1171" t="s">
        <v>29</v>
      </c>
      <c r="L1171" t="s">
        <v>5077</v>
      </c>
      <c r="M1171" t="s">
        <v>244</v>
      </c>
      <c r="N1171" t="s">
        <v>534</v>
      </c>
      <c r="O1171" t="s">
        <v>39</v>
      </c>
      <c r="P1171" t="s">
        <v>5078</v>
      </c>
      <c r="Q1171" t="s">
        <v>76</v>
      </c>
      <c r="R1171" s="29">
        <v>46146.490972222222</v>
      </c>
      <c r="S1171">
        <v>1</v>
      </c>
      <c r="T1171">
        <v>3653</v>
      </c>
      <c r="U1171">
        <v>0</v>
      </c>
      <c r="V1171">
        <v>3653</v>
      </c>
    </row>
    <row r="1172" spans="1:22" x14ac:dyDescent="0.3">
      <c r="A1172">
        <v>198256</v>
      </c>
      <c r="B1172">
        <v>454540694</v>
      </c>
      <c r="C1172" t="s">
        <v>5079</v>
      </c>
      <c r="D1172" s="9">
        <v>269476173</v>
      </c>
      <c r="E1172" t="s">
        <v>4207</v>
      </c>
      <c r="F1172" t="s">
        <v>531</v>
      </c>
      <c r="G1172" t="s">
        <v>30</v>
      </c>
      <c r="H1172" t="s">
        <v>31</v>
      </c>
      <c r="I1172" t="s">
        <v>52</v>
      </c>
      <c r="J1172" t="s">
        <v>32</v>
      </c>
      <c r="K1172" t="s">
        <v>29</v>
      </c>
      <c r="L1172" t="s">
        <v>5080</v>
      </c>
      <c r="M1172" t="s">
        <v>5081</v>
      </c>
      <c r="N1172" t="s">
        <v>534</v>
      </c>
      <c r="O1172" t="s">
        <v>39</v>
      </c>
      <c r="P1172" t="s">
        <v>5082</v>
      </c>
      <c r="Q1172" t="s">
        <v>62</v>
      </c>
      <c r="R1172" s="29">
        <v>46146.489583333336</v>
      </c>
      <c r="S1172">
        <v>0.5</v>
      </c>
      <c r="T1172">
        <v>3552</v>
      </c>
      <c r="U1172">
        <v>0</v>
      </c>
      <c r="V1172">
        <v>3552</v>
      </c>
    </row>
    <row r="1173" spans="1:22" x14ac:dyDescent="0.3">
      <c r="A1173">
        <v>198256</v>
      </c>
      <c r="B1173">
        <v>454594934</v>
      </c>
      <c r="C1173" t="s">
        <v>5083</v>
      </c>
      <c r="D1173" s="9">
        <v>269580543</v>
      </c>
      <c r="E1173" t="s">
        <v>4207</v>
      </c>
      <c r="F1173" t="s">
        <v>531</v>
      </c>
      <c r="G1173" t="s">
        <v>30</v>
      </c>
      <c r="H1173" t="s">
        <v>31</v>
      </c>
      <c r="I1173" t="s">
        <v>52</v>
      </c>
      <c r="J1173" t="s">
        <v>32</v>
      </c>
      <c r="K1173" t="s">
        <v>29</v>
      </c>
      <c r="L1173" t="s">
        <v>5084</v>
      </c>
      <c r="M1173" t="s">
        <v>5085</v>
      </c>
      <c r="N1173" t="s">
        <v>534</v>
      </c>
      <c r="O1173" t="s">
        <v>39</v>
      </c>
      <c r="P1173" t="s">
        <v>5086</v>
      </c>
      <c r="Q1173" t="s">
        <v>42</v>
      </c>
      <c r="R1173" s="29">
        <v>46147.525000000001</v>
      </c>
      <c r="S1173">
        <v>1</v>
      </c>
      <c r="T1173">
        <v>3250</v>
      </c>
      <c r="U1173">
        <v>0</v>
      </c>
      <c r="V1173">
        <v>3250</v>
      </c>
    </row>
    <row r="1174" spans="1:22" x14ac:dyDescent="0.3">
      <c r="A1174">
        <v>198256</v>
      </c>
      <c r="B1174">
        <v>454594975</v>
      </c>
      <c r="C1174" t="s">
        <v>5087</v>
      </c>
      <c r="D1174" s="9">
        <v>269580593</v>
      </c>
      <c r="E1174" t="s">
        <v>4207</v>
      </c>
      <c r="F1174" t="s">
        <v>531</v>
      </c>
      <c r="G1174" t="s">
        <v>30</v>
      </c>
      <c r="H1174" t="s">
        <v>31</v>
      </c>
      <c r="I1174" t="s">
        <v>52</v>
      </c>
      <c r="J1174" t="s">
        <v>32</v>
      </c>
      <c r="K1174" t="s">
        <v>29</v>
      </c>
      <c r="L1174" t="s">
        <v>5088</v>
      </c>
      <c r="M1174" t="s">
        <v>5089</v>
      </c>
      <c r="N1174" t="s">
        <v>534</v>
      </c>
      <c r="O1174" t="s">
        <v>39</v>
      </c>
      <c r="P1174" t="s">
        <v>5090</v>
      </c>
      <c r="Q1174" t="s">
        <v>40</v>
      </c>
      <c r="R1174" s="29">
        <v>46147.525000000001</v>
      </c>
      <c r="S1174">
        <v>0.44</v>
      </c>
      <c r="T1174">
        <v>3552</v>
      </c>
      <c r="U1174">
        <v>0</v>
      </c>
      <c r="V1174">
        <v>3552</v>
      </c>
    </row>
    <row r="1175" spans="1:22" x14ac:dyDescent="0.3">
      <c r="A1175">
        <v>198256</v>
      </c>
      <c r="B1175">
        <v>454594970</v>
      </c>
      <c r="C1175" t="s">
        <v>5091</v>
      </c>
      <c r="D1175" s="9">
        <v>269580551</v>
      </c>
      <c r="E1175" t="s">
        <v>4207</v>
      </c>
      <c r="F1175" t="s">
        <v>531</v>
      </c>
      <c r="G1175" t="s">
        <v>30</v>
      </c>
      <c r="H1175" t="s">
        <v>31</v>
      </c>
      <c r="I1175" t="s">
        <v>52</v>
      </c>
      <c r="J1175" t="s">
        <v>32</v>
      </c>
      <c r="K1175" t="s">
        <v>29</v>
      </c>
      <c r="L1175" t="s">
        <v>377</v>
      </c>
      <c r="M1175" t="s">
        <v>369</v>
      </c>
      <c r="N1175" t="s">
        <v>534</v>
      </c>
      <c r="O1175" t="s">
        <v>39</v>
      </c>
      <c r="P1175" t="s">
        <v>5092</v>
      </c>
      <c r="Q1175" t="s">
        <v>74</v>
      </c>
      <c r="R1175" s="29">
        <v>46147.525000000001</v>
      </c>
      <c r="S1175">
        <v>1</v>
      </c>
      <c r="T1175">
        <v>3653</v>
      </c>
      <c r="U1175">
        <v>0</v>
      </c>
      <c r="V1175">
        <v>3653</v>
      </c>
    </row>
    <row r="1176" spans="1:22" x14ac:dyDescent="0.3">
      <c r="A1176">
        <v>198256</v>
      </c>
      <c r="B1176">
        <v>454541253</v>
      </c>
      <c r="C1176" t="s">
        <v>5093</v>
      </c>
      <c r="D1176" s="9">
        <v>269477007</v>
      </c>
      <c r="E1176" t="s">
        <v>4207</v>
      </c>
      <c r="F1176" t="s">
        <v>531</v>
      </c>
      <c r="G1176" t="s">
        <v>30</v>
      </c>
      <c r="H1176" t="s">
        <v>31</v>
      </c>
      <c r="I1176" t="s">
        <v>52</v>
      </c>
      <c r="J1176" t="s">
        <v>32</v>
      </c>
      <c r="K1176" t="s">
        <v>29</v>
      </c>
      <c r="L1176" t="s">
        <v>5094</v>
      </c>
      <c r="M1176" t="s">
        <v>5095</v>
      </c>
      <c r="N1176" t="s">
        <v>534</v>
      </c>
      <c r="O1176" t="s">
        <v>39</v>
      </c>
      <c r="P1176" t="s">
        <v>5096</v>
      </c>
      <c r="Q1176" t="s">
        <v>76</v>
      </c>
      <c r="R1176" s="29">
        <v>46146.492361111108</v>
      </c>
      <c r="S1176">
        <v>1</v>
      </c>
      <c r="T1176">
        <v>3653</v>
      </c>
      <c r="U1176">
        <v>0</v>
      </c>
      <c r="V1176">
        <v>3653</v>
      </c>
    </row>
    <row r="1177" spans="1:22" x14ac:dyDescent="0.3">
      <c r="A1177">
        <v>198256</v>
      </c>
      <c r="B1177">
        <v>454594987</v>
      </c>
      <c r="C1177" t="s">
        <v>5097</v>
      </c>
      <c r="D1177" s="9">
        <v>269580597</v>
      </c>
      <c r="E1177" t="s">
        <v>4207</v>
      </c>
      <c r="F1177" t="s">
        <v>531</v>
      </c>
      <c r="G1177" t="s">
        <v>30</v>
      </c>
      <c r="H1177" t="s">
        <v>31</v>
      </c>
      <c r="I1177" t="s">
        <v>52</v>
      </c>
      <c r="J1177" t="s">
        <v>32</v>
      </c>
      <c r="K1177" t="s">
        <v>102</v>
      </c>
      <c r="L1177" t="s">
        <v>103</v>
      </c>
      <c r="M1177" t="s">
        <v>5098</v>
      </c>
      <c r="N1177" t="s">
        <v>534</v>
      </c>
      <c r="O1177" t="s">
        <v>39</v>
      </c>
      <c r="P1177" t="s">
        <v>5099</v>
      </c>
      <c r="Q1177" t="s">
        <v>33</v>
      </c>
      <c r="R1177" s="29">
        <v>46147.525000000001</v>
      </c>
      <c r="S1177">
        <v>0.46</v>
      </c>
      <c r="T1177">
        <v>3552</v>
      </c>
      <c r="U1177">
        <v>0</v>
      </c>
      <c r="V1177">
        <v>3552</v>
      </c>
    </row>
    <row r="1178" spans="1:22" x14ac:dyDescent="0.3">
      <c r="A1178">
        <v>198256</v>
      </c>
      <c r="B1178">
        <v>454540658</v>
      </c>
      <c r="C1178" t="s">
        <v>5100</v>
      </c>
      <c r="D1178" s="9">
        <v>269476140</v>
      </c>
      <c r="E1178" t="s">
        <v>4207</v>
      </c>
      <c r="F1178" t="s">
        <v>531</v>
      </c>
      <c r="G1178" t="s">
        <v>30</v>
      </c>
      <c r="H1178" t="s">
        <v>31</v>
      </c>
      <c r="I1178" t="s">
        <v>52</v>
      </c>
      <c r="J1178" t="s">
        <v>32</v>
      </c>
      <c r="K1178" t="s">
        <v>29</v>
      </c>
      <c r="L1178" t="s">
        <v>5101</v>
      </c>
      <c r="M1178" t="s">
        <v>5102</v>
      </c>
      <c r="N1178" t="s">
        <v>534</v>
      </c>
      <c r="O1178" t="s">
        <v>39</v>
      </c>
      <c r="P1178" t="s">
        <v>5103</v>
      </c>
      <c r="Q1178" t="s">
        <v>42</v>
      </c>
      <c r="R1178" s="29">
        <v>46146.488888888889</v>
      </c>
      <c r="S1178">
        <v>0.44</v>
      </c>
      <c r="T1178">
        <v>3193</v>
      </c>
      <c r="U1178">
        <v>0</v>
      </c>
      <c r="V1178">
        <v>3193</v>
      </c>
    </row>
    <row r="1179" spans="1:22" x14ac:dyDescent="0.3">
      <c r="A1179">
        <v>198256</v>
      </c>
      <c r="B1179">
        <v>454540592</v>
      </c>
      <c r="C1179" t="s">
        <v>5104</v>
      </c>
      <c r="D1179" s="9">
        <v>269476072</v>
      </c>
      <c r="E1179" t="s">
        <v>4207</v>
      </c>
      <c r="F1179" t="s">
        <v>531</v>
      </c>
      <c r="G1179" t="s">
        <v>30</v>
      </c>
      <c r="H1179" t="s">
        <v>31</v>
      </c>
      <c r="I1179" t="s">
        <v>52</v>
      </c>
      <c r="J1179" t="s">
        <v>32</v>
      </c>
      <c r="K1179" t="s">
        <v>29</v>
      </c>
      <c r="L1179" t="s">
        <v>5105</v>
      </c>
      <c r="M1179" t="s">
        <v>5106</v>
      </c>
      <c r="N1179" t="s">
        <v>534</v>
      </c>
      <c r="O1179" t="s">
        <v>39</v>
      </c>
      <c r="P1179" t="s">
        <v>5107</v>
      </c>
      <c r="Q1179" t="s">
        <v>34</v>
      </c>
      <c r="R1179" s="29">
        <v>46146.488888888889</v>
      </c>
      <c r="S1179">
        <v>1</v>
      </c>
      <c r="T1179">
        <v>3653</v>
      </c>
      <c r="U1179">
        <v>0</v>
      </c>
      <c r="V1179">
        <v>3653</v>
      </c>
    </row>
    <row r="1180" spans="1:22" x14ac:dyDescent="0.3">
      <c r="A1180">
        <v>198256</v>
      </c>
      <c r="B1180">
        <v>454541560</v>
      </c>
      <c r="C1180" t="s">
        <v>5108</v>
      </c>
      <c r="D1180" s="9">
        <v>269477487</v>
      </c>
      <c r="E1180" t="s">
        <v>4207</v>
      </c>
      <c r="F1180" t="s">
        <v>531</v>
      </c>
      <c r="G1180" t="s">
        <v>30</v>
      </c>
      <c r="H1180" t="s">
        <v>31</v>
      </c>
      <c r="I1180" t="s">
        <v>52</v>
      </c>
      <c r="J1180" t="s">
        <v>32</v>
      </c>
      <c r="K1180" t="s">
        <v>29</v>
      </c>
      <c r="L1180" t="s">
        <v>5109</v>
      </c>
      <c r="M1180" t="s">
        <v>458</v>
      </c>
      <c r="N1180" t="s">
        <v>534</v>
      </c>
      <c r="O1180" t="s">
        <v>39</v>
      </c>
      <c r="P1180" t="s">
        <v>5110</v>
      </c>
      <c r="Q1180" t="s">
        <v>78</v>
      </c>
      <c r="R1180" s="29">
        <v>46146.494444444441</v>
      </c>
      <c r="S1180">
        <v>1</v>
      </c>
      <c r="T1180">
        <v>3250</v>
      </c>
      <c r="U1180">
        <v>0</v>
      </c>
      <c r="V1180">
        <v>3250</v>
      </c>
    </row>
    <row r="1181" spans="1:22" x14ac:dyDescent="0.3">
      <c r="A1181">
        <v>198256</v>
      </c>
      <c r="B1181">
        <v>454594824</v>
      </c>
      <c r="C1181" t="s">
        <v>5111</v>
      </c>
      <c r="D1181" s="9">
        <v>269580349</v>
      </c>
      <c r="E1181" t="s">
        <v>4207</v>
      </c>
      <c r="F1181" t="s">
        <v>531</v>
      </c>
      <c r="G1181" t="s">
        <v>30</v>
      </c>
      <c r="H1181" t="s">
        <v>31</v>
      </c>
      <c r="I1181" t="s">
        <v>52</v>
      </c>
      <c r="J1181" t="s">
        <v>32</v>
      </c>
      <c r="K1181" t="s">
        <v>29</v>
      </c>
      <c r="L1181" t="s">
        <v>5112</v>
      </c>
      <c r="M1181" t="s">
        <v>124</v>
      </c>
      <c r="N1181" t="s">
        <v>534</v>
      </c>
      <c r="O1181" t="s">
        <v>39</v>
      </c>
      <c r="P1181" t="s">
        <v>5113</v>
      </c>
      <c r="Q1181" t="s">
        <v>63</v>
      </c>
      <c r="R1181" s="29">
        <v>46147.524305555555</v>
      </c>
      <c r="S1181">
        <v>0.36</v>
      </c>
      <c r="T1181">
        <v>3339</v>
      </c>
      <c r="U1181">
        <v>0</v>
      </c>
      <c r="V1181">
        <v>3339</v>
      </c>
    </row>
    <row r="1182" spans="1:22" x14ac:dyDescent="0.3">
      <c r="A1182">
        <v>198256</v>
      </c>
      <c r="B1182">
        <v>454594958</v>
      </c>
      <c r="C1182" t="s">
        <v>5114</v>
      </c>
      <c r="D1182" s="9">
        <v>269580578</v>
      </c>
      <c r="E1182" t="s">
        <v>4207</v>
      </c>
      <c r="F1182" t="s">
        <v>531</v>
      </c>
      <c r="G1182" t="s">
        <v>30</v>
      </c>
      <c r="H1182" t="s">
        <v>31</v>
      </c>
      <c r="I1182" t="s">
        <v>52</v>
      </c>
      <c r="J1182" t="s">
        <v>32</v>
      </c>
      <c r="K1182" t="s">
        <v>29</v>
      </c>
      <c r="L1182" t="s">
        <v>5115</v>
      </c>
      <c r="M1182" t="s">
        <v>5116</v>
      </c>
      <c r="N1182" t="s">
        <v>534</v>
      </c>
      <c r="O1182" t="s">
        <v>39</v>
      </c>
      <c r="P1182" t="s">
        <v>5117</v>
      </c>
      <c r="Q1182" t="s">
        <v>38</v>
      </c>
      <c r="R1182" s="29">
        <v>46147.525000000001</v>
      </c>
      <c r="S1182">
        <v>0.37</v>
      </c>
      <c r="T1182">
        <v>3193</v>
      </c>
      <c r="U1182">
        <v>0</v>
      </c>
      <c r="V1182">
        <v>3193</v>
      </c>
    </row>
    <row r="1183" spans="1:22" x14ac:dyDescent="0.3">
      <c r="A1183">
        <v>198256</v>
      </c>
      <c r="B1183">
        <v>454540697</v>
      </c>
      <c r="C1183" t="s">
        <v>5118</v>
      </c>
      <c r="D1183" s="9">
        <v>269476198</v>
      </c>
      <c r="E1183" t="s">
        <v>4207</v>
      </c>
      <c r="F1183" t="s">
        <v>531</v>
      </c>
      <c r="G1183" t="s">
        <v>30</v>
      </c>
      <c r="H1183" t="s">
        <v>31</v>
      </c>
      <c r="I1183" t="s">
        <v>52</v>
      </c>
      <c r="J1183" t="s">
        <v>32</v>
      </c>
      <c r="K1183" t="s">
        <v>29</v>
      </c>
      <c r="L1183" t="s">
        <v>5119</v>
      </c>
      <c r="M1183" t="s">
        <v>5120</v>
      </c>
      <c r="N1183" t="s">
        <v>534</v>
      </c>
      <c r="O1183" t="s">
        <v>39</v>
      </c>
      <c r="P1183" t="s">
        <v>5121</v>
      </c>
      <c r="Q1183" t="s">
        <v>76</v>
      </c>
      <c r="R1183" s="29">
        <v>46146.489583333336</v>
      </c>
      <c r="S1183">
        <v>1</v>
      </c>
      <c r="T1183">
        <v>3653</v>
      </c>
      <c r="U1183">
        <v>0</v>
      </c>
      <c r="V1183">
        <v>3653</v>
      </c>
    </row>
    <row r="1184" spans="1:22" x14ac:dyDescent="0.3">
      <c r="A1184">
        <v>198256</v>
      </c>
      <c r="B1184">
        <v>454542114</v>
      </c>
      <c r="C1184" t="s">
        <v>5122</v>
      </c>
      <c r="D1184" s="9">
        <v>269478485</v>
      </c>
      <c r="E1184" t="s">
        <v>4207</v>
      </c>
      <c r="F1184" t="s">
        <v>531</v>
      </c>
      <c r="G1184" t="s">
        <v>30</v>
      </c>
      <c r="H1184" t="s">
        <v>31</v>
      </c>
      <c r="I1184" t="s">
        <v>52</v>
      </c>
      <c r="J1184" t="s">
        <v>32</v>
      </c>
      <c r="K1184" t="s">
        <v>29</v>
      </c>
      <c r="L1184" t="s">
        <v>5123</v>
      </c>
      <c r="M1184" t="s">
        <v>5124</v>
      </c>
      <c r="N1184" t="s">
        <v>534</v>
      </c>
      <c r="O1184" t="s">
        <v>39</v>
      </c>
      <c r="P1184" t="s">
        <v>5125</v>
      </c>
      <c r="Q1184" t="s">
        <v>74</v>
      </c>
      <c r="R1184" s="29">
        <v>46146.499305555553</v>
      </c>
      <c r="S1184">
        <v>0.41</v>
      </c>
      <c r="T1184">
        <v>3339</v>
      </c>
      <c r="U1184">
        <v>0</v>
      </c>
      <c r="V1184">
        <v>3339</v>
      </c>
    </row>
    <row r="1185" spans="1:22" x14ac:dyDescent="0.3">
      <c r="A1185">
        <v>198256</v>
      </c>
      <c r="B1185">
        <v>454540893</v>
      </c>
      <c r="C1185" t="s">
        <v>5126</v>
      </c>
      <c r="D1185" s="9">
        <v>269476511</v>
      </c>
      <c r="E1185" t="s">
        <v>4207</v>
      </c>
      <c r="F1185" t="s">
        <v>531</v>
      </c>
      <c r="G1185" t="s">
        <v>30</v>
      </c>
      <c r="H1185" t="s">
        <v>31</v>
      </c>
      <c r="I1185" t="s">
        <v>52</v>
      </c>
      <c r="J1185" t="s">
        <v>32</v>
      </c>
      <c r="K1185" t="s">
        <v>29</v>
      </c>
      <c r="L1185" t="s">
        <v>5127</v>
      </c>
      <c r="M1185" t="s">
        <v>5128</v>
      </c>
      <c r="N1185" t="s">
        <v>534</v>
      </c>
      <c r="O1185" t="s">
        <v>39</v>
      </c>
      <c r="P1185" t="s">
        <v>5129</v>
      </c>
      <c r="Q1185" t="s">
        <v>159</v>
      </c>
      <c r="R1185" s="29">
        <v>46146.490972222222</v>
      </c>
      <c r="S1185">
        <v>1</v>
      </c>
      <c r="T1185">
        <v>3653</v>
      </c>
      <c r="U1185">
        <v>0</v>
      </c>
      <c r="V1185">
        <v>3653</v>
      </c>
    </row>
    <row r="1186" spans="1:22" x14ac:dyDescent="0.3">
      <c r="A1186">
        <v>198256</v>
      </c>
      <c r="B1186">
        <v>454541606</v>
      </c>
      <c r="C1186" t="s">
        <v>5130</v>
      </c>
      <c r="D1186" s="9">
        <v>269477535</v>
      </c>
      <c r="E1186" t="s">
        <v>4207</v>
      </c>
      <c r="F1186" t="s">
        <v>531</v>
      </c>
      <c r="G1186" t="s">
        <v>30</v>
      </c>
      <c r="H1186" t="s">
        <v>31</v>
      </c>
      <c r="I1186" t="s">
        <v>52</v>
      </c>
      <c r="J1186" t="s">
        <v>32</v>
      </c>
      <c r="K1186" t="s">
        <v>29</v>
      </c>
      <c r="L1186" t="s">
        <v>5131</v>
      </c>
      <c r="M1186" t="s">
        <v>5132</v>
      </c>
      <c r="N1186" t="s">
        <v>534</v>
      </c>
      <c r="O1186" t="s">
        <v>39</v>
      </c>
      <c r="P1186" t="s">
        <v>5133</v>
      </c>
      <c r="Q1186" t="s">
        <v>48</v>
      </c>
      <c r="R1186" s="29">
        <v>46146.494444444441</v>
      </c>
      <c r="S1186">
        <v>1</v>
      </c>
      <c r="T1186">
        <v>3250</v>
      </c>
      <c r="U1186">
        <v>0</v>
      </c>
      <c r="V1186">
        <v>3250</v>
      </c>
    </row>
    <row r="1187" spans="1:22" x14ac:dyDescent="0.3">
      <c r="A1187">
        <v>198256</v>
      </c>
      <c r="B1187">
        <v>454541220</v>
      </c>
      <c r="C1187" t="s">
        <v>5134</v>
      </c>
      <c r="D1187" s="9">
        <v>269476974</v>
      </c>
      <c r="E1187" t="s">
        <v>4207</v>
      </c>
      <c r="F1187" t="s">
        <v>531</v>
      </c>
      <c r="G1187" t="s">
        <v>30</v>
      </c>
      <c r="H1187" t="s">
        <v>31</v>
      </c>
      <c r="I1187" t="s">
        <v>52</v>
      </c>
      <c r="J1187" t="s">
        <v>32</v>
      </c>
      <c r="K1187" t="s">
        <v>29</v>
      </c>
      <c r="L1187" t="s">
        <v>5135</v>
      </c>
      <c r="M1187" t="s">
        <v>5136</v>
      </c>
      <c r="N1187" t="s">
        <v>534</v>
      </c>
      <c r="O1187" t="s">
        <v>39</v>
      </c>
      <c r="P1187" t="s">
        <v>5137</v>
      </c>
      <c r="Q1187" t="s">
        <v>48</v>
      </c>
      <c r="R1187" s="29">
        <v>46146.492361111108</v>
      </c>
      <c r="S1187">
        <v>1</v>
      </c>
      <c r="T1187">
        <v>3250</v>
      </c>
      <c r="U1187">
        <v>0</v>
      </c>
      <c r="V1187">
        <v>3250</v>
      </c>
    </row>
    <row r="1188" spans="1:22" x14ac:dyDescent="0.3">
      <c r="A1188">
        <v>198256</v>
      </c>
      <c r="B1188">
        <v>454594944</v>
      </c>
      <c r="C1188" t="s">
        <v>5138</v>
      </c>
      <c r="D1188" s="9">
        <v>269580544</v>
      </c>
      <c r="E1188" t="s">
        <v>4207</v>
      </c>
      <c r="F1188" t="s">
        <v>531</v>
      </c>
      <c r="G1188" t="s">
        <v>30</v>
      </c>
      <c r="H1188" t="s">
        <v>31</v>
      </c>
      <c r="I1188" t="s">
        <v>52</v>
      </c>
      <c r="J1188" t="s">
        <v>32</v>
      </c>
      <c r="K1188" t="s">
        <v>29</v>
      </c>
      <c r="L1188" t="s">
        <v>5139</v>
      </c>
      <c r="M1188" t="s">
        <v>5140</v>
      </c>
      <c r="N1188" t="s">
        <v>534</v>
      </c>
      <c r="O1188" t="s">
        <v>39</v>
      </c>
      <c r="P1188" t="s">
        <v>5141</v>
      </c>
      <c r="Q1188" t="s">
        <v>71</v>
      </c>
      <c r="R1188" s="29">
        <v>46147.525000000001</v>
      </c>
      <c r="S1188">
        <v>0.36</v>
      </c>
      <c r="T1188">
        <v>3552</v>
      </c>
      <c r="U1188">
        <v>0</v>
      </c>
      <c r="V1188">
        <v>3552</v>
      </c>
    </row>
    <row r="1189" spans="1:22" x14ac:dyDescent="0.3">
      <c r="A1189">
        <v>198256</v>
      </c>
      <c r="B1189">
        <v>454594936</v>
      </c>
      <c r="C1189" t="s">
        <v>5142</v>
      </c>
      <c r="D1189" s="9">
        <v>269580556</v>
      </c>
      <c r="E1189" t="s">
        <v>4207</v>
      </c>
      <c r="F1189" t="s">
        <v>531</v>
      </c>
      <c r="G1189" t="s">
        <v>30</v>
      </c>
      <c r="H1189" t="s">
        <v>31</v>
      </c>
      <c r="I1189" t="s">
        <v>52</v>
      </c>
      <c r="J1189" t="s">
        <v>32</v>
      </c>
      <c r="K1189" t="s">
        <v>29</v>
      </c>
      <c r="L1189" t="s">
        <v>5143</v>
      </c>
      <c r="M1189" t="s">
        <v>5144</v>
      </c>
      <c r="N1189" t="s">
        <v>534</v>
      </c>
      <c r="O1189" t="s">
        <v>39</v>
      </c>
      <c r="P1189" t="s">
        <v>5145</v>
      </c>
      <c r="Q1189" t="s">
        <v>63</v>
      </c>
      <c r="R1189" s="29">
        <v>46147.525000000001</v>
      </c>
      <c r="S1189">
        <v>0.39</v>
      </c>
      <c r="T1189">
        <v>3339</v>
      </c>
      <c r="U1189">
        <v>0</v>
      </c>
      <c r="V1189">
        <v>3339</v>
      </c>
    </row>
    <row r="1190" spans="1:22" x14ac:dyDescent="0.3">
      <c r="A1190">
        <v>198256</v>
      </c>
      <c r="B1190">
        <v>454594825</v>
      </c>
      <c r="C1190" t="s">
        <v>5146</v>
      </c>
      <c r="D1190" s="9">
        <v>269580372</v>
      </c>
      <c r="E1190" t="s">
        <v>4207</v>
      </c>
      <c r="F1190" t="s">
        <v>531</v>
      </c>
      <c r="G1190" t="s">
        <v>30</v>
      </c>
      <c r="H1190" t="s">
        <v>31</v>
      </c>
      <c r="I1190" t="s">
        <v>52</v>
      </c>
      <c r="J1190" t="s">
        <v>32</v>
      </c>
      <c r="K1190" t="s">
        <v>29</v>
      </c>
      <c r="L1190" t="s">
        <v>5147</v>
      </c>
      <c r="M1190" t="s">
        <v>479</v>
      </c>
      <c r="N1190" t="s">
        <v>534</v>
      </c>
      <c r="O1190" t="s">
        <v>39</v>
      </c>
      <c r="P1190" t="s">
        <v>5148</v>
      </c>
      <c r="Q1190" t="s">
        <v>42</v>
      </c>
      <c r="R1190" s="29">
        <v>46147.524305555555</v>
      </c>
      <c r="S1190">
        <v>0.41</v>
      </c>
      <c r="T1190">
        <v>3193</v>
      </c>
      <c r="U1190">
        <v>0</v>
      </c>
      <c r="V1190">
        <v>3193</v>
      </c>
    </row>
    <row r="1191" spans="1:22" x14ac:dyDescent="0.3">
      <c r="A1191">
        <v>198256</v>
      </c>
      <c r="B1191">
        <v>454595004</v>
      </c>
      <c r="C1191" t="s">
        <v>5149</v>
      </c>
      <c r="D1191" s="9">
        <v>269580620</v>
      </c>
      <c r="E1191" t="s">
        <v>4207</v>
      </c>
      <c r="F1191" t="s">
        <v>531</v>
      </c>
      <c r="G1191" t="s">
        <v>30</v>
      </c>
      <c r="H1191" t="s">
        <v>31</v>
      </c>
      <c r="I1191" t="s">
        <v>52</v>
      </c>
      <c r="J1191" t="s">
        <v>32</v>
      </c>
      <c r="K1191" t="s">
        <v>29</v>
      </c>
      <c r="L1191" t="s">
        <v>5150</v>
      </c>
      <c r="M1191" t="s">
        <v>5151</v>
      </c>
      <c r="N1191" t="s">
        <v>534</v>
      </c>
      <c r="O1191" t="s">
        <v>39</v>
      </c>
      <c r="P1191" t="s">
        <v>5152</v>
      </c>
      <c r="Q1191" t="s">
        <v>63</v>
      </c>
      <c r="R1191" s="29">
        <v>46147.525694444441</v>
      </c>
      <c r="S1191">
        <v>0.52</v>
      </c>
      <c r="T1191">
        <v>3384</v>
      </c>
      <c r="U1191">
        <v>0</v>
      </c>
      <c r="V1191">
        <v>3384</v>
      </c>
    </row>
    <row r="1192" spans="1:22" x14ac:dyDescent="0.3">
      <c r="A1192">
        <v>198256</v>
      </c>
      <c r="B1192">
        <v>454541562</v>
      </c>
      <c r="C1192" t="s">
        <v>5153</v>
      </c>
      <c r="D1192" s="9">
        <v>269477503</v>
      </c>
      <c r="E1192" t="s">
        <v>4207</v>
      </c>
      <c r="F1192" t="s">
        <v>531</v>
      </c>
      <c r="G1192" t="s">
        <v>30</v>
      </c>
      <c r="H1192" t="s">
        <v>31</v>
      </c>
      <c r="I1192" t="s">
        <v>52</v>
      </c>
      <c r="J1192" t="s">
        <v>32</v>
      </c>
      <c r="K1192" t="s">
        <v>29</v>
      </c>
      <c r="L1192" t="s">
        <v>5154</v>
      </c>
      <c r="M1192" t="s">
        <v>5155</v>
      </c>
      <c r="N1192" t="s">
        <v>534</v>
      </c>
      <c r="O1192" t="s">
        <v>39</v>
      </c>
      <c r="P1192" t="s">
        <v>5156</v>
      </c>
      <c r="Q1192" t="s">
        <v>71</v>
      </c>
      <c r="R1192" s="29">
        <v>46146.494444444441</v>
      </c>
      <c r="S1192">
        <v>1</v>
      </c>
      <c r="T1192">
        <v>3631</v>
      </c>
      <c r="U1192">
        <v>0</v>
      </c>
      <c r="V1192">
        <v>3631</v>
      </c>
    </row>
    <row r="1193" spans="1:22" x14ac:dyDescent="0.3">
      <c r="A1193">
        <v>198256</v>
      </c>
      <c r="B1193">
        <v>454541249</v>
      </c>
      <c r="C1193" t="s">
        <v>5157</v>
      </c>
      <c r="D1193" s="9">
        <v>269477003</v>
      </c>
      <c r="E1193" t="s">
        <v>4207</v>
      </c>
      <c r="F1193" t="s">
        <v>531</v>
      </c>
      <c r="G1193" t="s">
        <v>30</v>
      </c>
      <c r="H1193" t="s">
        <v>31</v>
      </c>
      <c r="I1193" t="s">
        <v>52</v>
      </c>
      <c r="J1193" t="s">
        <v>32</v>
      </c>
      <c r="K1193" t="s">
        <v>29</v>
      </c>
      <c r="L1193" t="s">
        <v>5158</v>
      </c>
      <c r="M1193" t="s">
        <v>314</v>
      </c>
      <c r="N1193" t="s">
        <v>534</v>
      </c>
      <c r="O1193" t="s">
        <v>39</v>
      </c>
      <c r="P1193" t="s">
        <v>5159</v>
      </c>
      <c r="Q1193" t="s">
        <v>38</v>
      </c>
      <c r="R1193" s="29">
        <v>46146.492361111108</v>
      </c>
      <c r="S1193">
        <v>1</v>
      </c>
      <c r="T1193">
        <v>3250</v>
      </c>
      <c r="U1193">
        <v>0</v>
      </c>
      <c r="V1193">
        <v>3250</v>
      </c>
    </row>
    <row r="1194" spans="1:22" x14ac:dyDescent="0.3">
      <c r="A1194">
        <v>198256</v>
      </c>
      <c r="B1194">
        <v>454594955</v>
      </c>
      <c r="C1194" t="s">
        <v>5160</v>
      </c>
      <c r="D1194" s="9">
        <v>269580547</v>
      </c>
      <c r="E1194" t="s">
        <v>4207</v>
      </c>
      <c r="F1194" t="s">
        <v>531</v>
      </c>
      <c r="G1194" t="s">
        <v>30</v>
      </c>
      <c r="H1194" t="s">
        <v>31</v>
      </c>
      <c r="I1194" t="s">
        <v>52</v>
      </c>
      <c r="J1194" t="s">
        <v>32</v>
      </c>
      <c r="K1194" t="s">
        <v>29</v>
      </c>
      <c r="L1194" t="s">
        <v>5161</v>
      </c>
      <c r="M1194" t="s">
        <v>5162</v>
      </c>
      <c r="N1194" t="s">
        <v>534</v>
      </c>
      <c r="O1194" t="s">
        <v>39</v>
      </c>
      <c r="P1194" t="s">
        <v>5163</v>
      </c>
      <c r="Q1194" t="s">
        <v>42</v>
      </c>
      <c r="R1194" s="29">
        <v>46147.525000000001</v>
      </c>
      <c r="S1194">
        <v>0.35</v>
      </c>
      <c r="T1194">
        <v>3193</v>
      </c>
      <c r="U1194">
        <v>0</v>
      </c>
      <c r="V1194">
        <v>3193</v>
      </c>
    </row>
    <row r="1195" spans="1:22" x14ac:dyDescent="0.3">
      <c r="A1195">
        <v>198256</v>
      </c>
      <c r="B1195">
        <v>454540930</v>
      </c>
      <c r="C1195" t="s">
        <v>5164</v>
      </c>
      <c r="D1195" s="9">
        <v>269476525</v>
      </c>
      <c r="E1195" t="s">
        <v>4207</v>
      </c>
      <c r="F1195" t="s">
        <v>531</v>
      </c>
      <c r="G1195" t="s">
        <v>30</v>
      </c>
      <c r="H1195" t="s">
        <v>31</v>
      </c>
      <c r="I1195" t="s">
        <v>52</v>
      </c>
      <c r="J1195" t="s">
        <v>32</v>
      </c>
      <c r="K1195" t="s">
        <v>29</v>
      </c>
      <c r="L1195" t="s">
        <v>5165</v>
      </c>
      <c r="M1195" t="s">
        <v>5166</v>
      </c>
      <c r="N1195" t="s">
        <v>534</v>
      </c>
      <c r="O1195" t="s">
        <v>39</v>
      </c>
      <c r="P1195" t="s">
        <v>5167</v>
      </c>
      <c r="Q1195" t="s">
        <v>88</v>
      </c>
      <c r="R1195" s="29">
        <v>46146.490972222222</v>
      </c>
      <c r="S1195">
        <v>1</v>
      </c>
      <c r="T1195">
        <v>3631</v>
      </c>
      <c r="U1195">
        <v>0</v>
      </c>
      <c r="V1195">
        <v>3631</v>
      </c>
    </row>
    <row r="1196" spans="1:22" x14ac:dyDescent="0.3">
      <c r="A1196">
        <v>198256</v>
      </c>
      <c r="B1196">
        <v>454542088</v>
      </c>
      <c r="C1196" t="s">
        <v>5168</v>
      </c>
      <c r="D1196" s="9">
        <v>269478441</v>
      </c>
      <c r="E1196" t="s">
        <v>4207</v>
      </c>
      <c r="F1196" t="s">
        <v>531</v>
      </c>
      <c r="G1196" t="s">
        <v>30</v>
      </c>
      <c r="H1196" t="s">
        <v>31</v>
      </c>
      <c r="I1196" t="s">
        <v>52</v>
      </c>
      <c r="J1196" t="s">
        <v>32</v>
      </c>
      <c r="K1196" t="s">
        <v>29</v>
      </c>
      <c r="L1196" t="s">
        <v>5169</v>
      </c>
      <c r="M1196" t="s">
        <v>5170</v>
      </c>
      <c r="N1196" t="s">
        <v>534</v>
      </c>
      <c r="O1196" t="s">
        <v>39</v>
      </c>
      <c r="P1196" t="s">
        <v>5171</v>
      </c>
      <c r="Q1196" t="s">
        <v>165</v>
      </c>
      <c r="R1196" s="29">
        <v>46146.499305555553</v>
      </c>
      <c r="S1196">
        <v>0.43</v>
      </c>
      <c r="T1196">
        <v>3193</v>
      </c>
      <c r="U1196">
        <v>0</v>
      </c>
      <c r="V1196">
        <v>3193</v>
      </c>
    </row>
    <row r="1197" spans="1:22" x14ac:dyDescent="0.3">
      <c r="A1197">
        <v>198256</v>
      </c>
      <c r="B1197">
        <v>454540709</v>
      </c>
      <c r="C1197" t="s">
        <v>5172</v>
      </c>
      <c r="D1197" s="9">
        <v>269476179</v>
      </c>
      <c r="E1197" t="s">
        <v>4207</v>
      </c>
      <c r="F1197" t="s">
        <v>531</v>
      </c>
      <c r="G1197" t="s">
        <v>30</v>
      </c>
      <c r="H1197" t="s">
        <v>31</v>
      </c>
      <c r="I1197" t="s">
        <v>52</v>
      </c>
      <c r="J1197" t="s">
        <v>32</v>
      </c>
      <c r="K1197" t="s">
        <v>29</v>
      </c>
      <c r="L1197" t="s">
        <v>5173</v>
      </c>
      <c r="M1197" t="s">
        <v>5174</v>
      </c>
      <c r="N1197" t="s">
        <v>534</v>
      </c>
      <c r="O1197" t="s">
        <v>39</v>
      </c>
      <c r="P1197" t="s">
        <v>5175</v>
      </c>
      <c r="Q1197" t="s">
        <v>38</v>
      </c>
      <c r="R1197" s="29">
        <v>46146.489583333336</v>
      </c>
      <c r="S1197">
        <v>1</v>
      </c>
      <c r="T1197">
        <v>3250</v>
      </c>
      <c r="U1197">
        <v>0</v>
      </c>
      <c r="V1197">
        <v>3250</v>
      </c>
    </row>
    <row r="1198" spans="1:22" x14ac:dyDescent="0.3">
      <c r="A1198">
        <v>198256</v>
      </c>
      <c r="B1198">
        <v>454594826</v>
      </c>
      <c r="C1198" t="s">
        <v>5176</v>
      </c>
      <c r="D1198" s="9">
        <v>269580368</v>
      </c>
      <c r="E1198" t="s">
        <v>4207</v>
      </c>
      <c r="F1198" t="s">
        <v>531</v>
      </c>
      <c r="G1198" t="s">
        <v>30</v>
      </c>
      <c r="H1198" t="s">
        <v>31</v>
      </c>
      <c r="I1198" t="s">
        <v>52</v>
      </c>
      <c r="J1198" t="s">
        <v>32</v>
      </c>
      <c r="K1198" t="s">
        <v>29</v>
      </c>
      <c r="L1198" t="s">
        <v>5177</v>
      </c>
      <c r="M1198" t="s">
        <v>5178</v>
      </c>
      <c r="N1198" t="s">
        <v>534</v>
      </c>
      <c r="O1198" t="s">
        <v>39</v>
      </c>
      <c r="P1198" t="s">
        <v>5179</v>
      </c>
      <c r="Q1198" t="s">
        <v>38</v>
      </c>
      <c r="R1198" s="29">
        <v>46147.524305555555</v>
      </c>
      <c r="S1198">
        <v>0.35</v>
      </c>
      <c r="T1198">
        <v>3193</v>
      </c>
      <c r="U1198">
        <v>0</v>
      </c>
      <c r="V1198">
        <v>3193</v>
      </c>
    </row>
    <row r="1199" spans="1:22" x14ac:dyDescent="0.3">
      <c r="A1199">
        <v>198256</v>
      </c>
      <c r="B1199">
        <v>454540691</v>
      </c>
      <c r="C1199" t="s">
        <v>5180</v>
      </c>
      <c r="D1199" s="9">
        <v>269476151</v>
      </c>
      <c r="E1199" t="s">
        <v>4207</v>
      </c>
      <c r="F1199" t="s">
        <v>531</v>
      </c>
      <c r="G1199" t="s">
        <v>30</v>
      </c>
      <c r="H1199" t="s">
        <v>31</v>
      </c>
      <c r="I1199" t="s">
        <v>52</v>
      </c>
      <c r="J1199" t="s">
        <v>32</v>
      </c>
      <c r="K1199" t="s">
        <v>29</v>
      </c>
      <c r="L1199" t="s">
        <v>5181</v>
      </c>
      <c r="M1199" t="s">
        <v>5182</v>
      </c>
      <c r="N1199" t="s">
        <v>534</v>
      </c>
      <c r="O1199" t="s">
        <v>39</v>
      </c>
      <c r="P1199" t="s">
        <v>5183</v>
      </c>
      <c r="Q1199" t="s">
        <v>180</v>
      </c>
      <c r="R1199" s="29">
        <v>46146.489583333336</v>
      </c>
      <c r="S1199">
        <v>0.65</v>
      </c>
      <c r="T1199">
        <v>3250</v>
      </c>
      <c r="U1199">
        <v>0</v>
      </c>
      <c r="V1199">
        <v>3250</v>
      </c>
    </row>
    <row r="1200" spans="1:22" x14ac:dyDescent="0.3">
      <c r="A1200">
        <v>198256</v>
      </c>
      <c r="B1200">
        <v>454541544</v>
      </c>
      <c r="C1200" t="s">
        <v>5184</v>
      </c>
      <c r="D1200" s="9">
        <v>269477483</v>
      </c>
      <c r="E1200" t="s">
        <v>4207</v>
      </c>
      <c r="F1200" t="s">
        <v>531</v>
      </c>
      <c r="G1200" t="s">
        <v>30</v>
      </c>
      <c r="H1200" t="s">
        <v>31</v>
      </c>
      <c r="I1200" t="s">
        <v>52</v>
      </c>
      <c r="J1200" t="s">
        <v>32</v>
      </c>
      <c r="K1200" t="s">
        <v>29</v>
      </c>
      <c r="L1200" t="s">
        <v>5185</v>
      </c>
      <c r="M1200" t="s">
        <v>5186</v>
      </c>
      <c r="N1200" t="s">
        <v>534</v>
      </c>
      <c r="O1200" t="s">
        <v>39</v>
      </c>
      <c r="P1200" t="s">
        <v>5187</v>
      </c>
      <c r="Q1200" t="s">
        <v>180</v>
      </c>
      <c r="R1200" s="29">
        <v>46146.494444444441</v>
      </c>
      <c r="S1200">
        <v>1</v>
      </c>
      <c r="T1200">
        <v>3250</v>
      </c>
      <c r="U1200">
        <v>0</v>
      </c>
      <c r="V1200">
        <v>3250</v>
      </c>
    </row>
    <row r="1201" spans="1:22" x14ac:dyDescent="0.3">
      <c r="A1201">
        <v>198256</v>
      </c>
      <c r="B1201">
        <v>454540599</v>
      </c>
      <c r="C1201" t="s">
        <v>5188</v>
      </c>
      <c r="D1201" s="9">
        <v>269476079</v>
      </c>
      <c r="E1201" t="s">
        <v>4207</v>
      </c>
      <c r="F1201" t="s">
        <v>531</v>
      </c>
      <c r="G1201" t="s">
        <v>30</v>
      </c>
      <c r="H1201" t="s">
        <v>31</v>
      </c>
      <c r="I1201" t="s">
        <v>52</v>
      </c>
      <c r="J1201" t="s">
        <v>32</v>
      </c>
      <c r="K1201" t="s">
        <v>29</v>
      </c>
      <c r="L1201" t="s">
        <v>5189</v>
      </c>
      <c r="M1201" t="s">
        <v>5190</v>
      </c>
      <c r="N1201" t="s">
        <v>534</v>
      </c>
      <c r="O1201" t="s">
        <v>39</v>
      </c>
      <c r="P1201" t="s">
        <v>5191</v>
      </c>
      <c r="Q1201" t="s">
        <v>205</v>
      </c>
      <c r="R1201" s="29">
        <v>46146.488888888889</v>
      </c>
      <c r="S1201">
        <v>1</v>
      </c>
      <c r="T1201">
        <v>3899</v>
      </c>
      <c r="U1201">
        <v>0</v>
      </c>
      <c r="V1201">
        <v>3899</v>
      </c>
    </row>
    <row r="1202" spans="1:22" x14ac:dyDescent="0.3">
      <c r="A1202">
        <v>198256</v>
      </c>
      <c r="B1202">
        <v>455024599</v>
      </c>
      <c r="C1202" t="s">
        <v>5192</v>
      </c>
      <c r="D1202" s="9" t="s">
        <v>5193</v>
      </c>
      <c r="E1202" t="s">
        <v>4207</v>
      </c>
      <c r="F1202" t="s">
        <v>531</v>
      </c>
      <c r="G1202" t="s">
        <v>104</v>
      </c>
      <c r="H1202" t="s">
        <v>105</v>
      </c>
      <c r="I1202" t="s">
        <v>52</v>
      </c>
      <c r="J1202" t="s">
        <v>106</v>
      </c>
      <c r="K1202" t="s">
        <v>29</v>
      </c>
      <c r="L1202" t="s">
        <v>5194</v>
      </c>
      <c r="M1202" t="s">
        <v>5195</v>
      </c>
      <c r="N1202" t="s">
        <v>534</v>
      </c>
      <c r="O1202" t="s">
        <v>39</v>
      </c>
      <c r="P1202" t="s">
        <v>5196</v>
      </c>
      <c r="Q1202" t="s">
        <v>68</v>
      </c>
      <c r="R1202" s="29" t="s">
        <v>256</v>
      </c>
      <c r="S1202">
        <v>0.1</v>
      </c>
      <c r="T1202">
        <v>3963</v>
      </c>
      <c r="U1202">
        <v>299.89999999999998</v>
      </c>
      <c r="V1202">
        <v>4262.8999999999996</v>
      </c>
    </row>
    <row r="1203" spans="1:22" x14ac:dyDescent="0.3">
      <c r="A1203">
        <v>198256</v>
      </c>
      <c r="B1203">
        <v>454965942</v>
      </c>
      <c r="C1203" t="s">
        <v>5197</v>
      </c>
      <c r="D1203" s="9" t="s">
        <v>5198</v>
      </c>
      <c r="E1203" t="s">
        <v>4207</v>
      </c>
      <c r="F1203" t="s">
        <v>531</v>
      </c>
      <c r="G1203" t="s">
        <v>104</v>
      </c>
      <c r="H1203" t="s">
        <v>105</v>
      </c>
      <c r="I1203" t="s">
        <v>52</v>
      </c>
      <c r="J1203" t="s">
        <v>106</v>
      </c>
      <c r="K1203" t="s">
        <v>29</v>
      </c>
      <c r="L1203" t="s">
        <v>5199</v>
      </c>
      <c r="M1203" t="s">
        <v>5200</v>
      </c>
      <c r="N1203" t="s">
        <v>534</v>
      </c>
      <c r="O1203" t="s">
        <v>39</v>
      </c>
      <c r="P1203" t="s">
        <v>5201</v>
      </c>
      <c r="Q1203" t="s">
        <v>83</v>
      </c>
      <c r="R1203" s="29" t="s">
        <v>480</v>
      </c>
      <c r="S1203">
        <v>0.11</v>
      </c>
      <c r="T1203">
        <v>5641</v>
      </c>
      <c r="U1203">
        <v>299.89999999999998</v>
      </c>
      <c r="V1203">
        <v>5940.9</v>
      </c>
    </row>
    <row r="1204" spans="1:22" x14ac:dyDescent="0.3">
      <c r="A1204">
        <v>198256</v>
      </c>
      <c r="B1204">
        <v>454948756</v>
      </c>
      <c r="C1204" t="s">
        <v>5202</v>
      </c>
      <c r="D1204" s="9" t="s">
        <v>5203</v>
      </c>
      <c r="E1204" t="s">
        <v>4207</v>
      </c>
      <c r="F1204" t="s">
        <v>531</v>
      </c>
      <c r="G1204" t="s">
        <v>104</v>
      </c>
      <c r="H1204" t="s">
        <v>105</v>
      </c>
      <c r="I1204" t="s">
        <v>52</v>
      </c>
      <c r="J1204" t="s">
        <v>106</v>
      </c>
      <c r="K1204" t="s">
        <v>29</v>
      </c>
      <c r="L1204" t="s">
        <v>5204</v>
      </c>
      <c r="M1204" t="s">
        <v>5205</v>
      </c>
      <c r="N1204" t="s">
        <v>534</v>
      </c>
      <c r="O1204" t="s">
        <v>39</v>
      </c>
      <c r="P1204" t="s">
        <v>5206</v>
      </c>
      <c r="Q1204" t="s">
        <v>83</v>
      </c>
      <c r="R1204" s="29" t="s">
        <v>526</v>
      </c>
      <c r="S1204">
        <v>0.22</v>
      </c>
      <c r="T1204">
        <v>5641</v>
      </c>
      <c r="U1204">
        <v>599.79999999999995</v>
      </c>
      <c r="V1204">
        <v>6240.8</v>
      </c>
    </row>
    <row r="1205" spans="1:22" x14ac:dyDescent="0.3">
      <c r="A1205">
        <v>198256</v>
      </c>
      <c r="B1205">
        <v>454948726</v>
      </c>
      <c r="C1205" t="s">
        <v>5207</v>
      </c>
      <c r="D1205" s="9" t="s">
        <v>5208</v>
      </c>
      <c r="E1205" t="s">
        <v>4207</v>
      </c>
      <c r="F1205" t="s">
        <v>531</v>
      </c>
      <c r="G1205" t="s">
        <v>104</v>
      </c>
      <c r="H1205" t="s">
        <v>105</v>
      </c>
      <c r="I1205" t="s">
        <v>52</v>
      </c>
      <c r="J1205" t="s">
        <v>106</v>
      </c>
      <c r="K1205" t="s">
        <v>29</v>
      </c>
      <c r="L1205" t="s">
        <v>5209</v>
      </c>
      <c r="M1205" t="s">
        <v>5210</v>
      </c>
      <c r="N1205" t="s">
        <v>534</v>
      </c>
      <c r="O1205" t="s">
        <v>39</v>
      </c>
      <c r="P1205" t="s">
        <v>5211</v>
      </c>
      <c r="Q1205" t="s">
        <v>85</v>
      </c>
      <c r="R1205" s="29" t="s">
        <v>526</v>
      </c>
      <c r="S1205">
        <v>0.06</v>
      </c>
      <c r="T1205">
        <v>5641</v>
      </c>
      <c r="U1205">
        <v>149.94999999999999</v>
      </c>
      <c r="V1205">
        <v>5790.95</v>
      </c>
    </row>
    <row r="1206" spans="1:22" x14ac:dyDescent="0.3">
      <c r="A1206">
        <v>198256</v>
      </c>
      <c r="B1206">
        <v>454948540</v>
      </c>
      <c r="C1206" t="s">
        <v>5212</v>
      </c>
      <c r="D1206" s="9" t="s">
        <v>5213</v>
      </c>
      <c r="E1206" t="s">
        <v>4207</v>
      </c>
      <c r="F1206" t="s">
        <v>531</v>
      </c>
      <c r="G1206" t="s">
        <v>104</v>
      </c>
      <c r="H1206" t="s">
        <v>105</v>
      </c>
      <c r="I1206" t="s">
        <v>52</v>
      </c>
      <c r="J1206" t="s">
        <v>106</v>
      </c>
      <c r="K1206" t="s">
        <v>29</v>
      </c>
      <c r="L1206" t="s">
        <v>5214</v>
      </c>
      <c r="M1206" t="s">
        <v>367</v>
      </c>
      <c r="N1206" t="s">
        <v>534</v>
      </c>
      <c r="O1206" t="s">
        <v>39</v>
      </c>
      <c r="P1206" t="s">
        <v>5215</v>
      </c>
      <c r="Q1206" t="s">
        <v>175</v>
      </c>
      <c r="R1206" s="29" t="s">
        <v>5216</v>
      </c>
      <c r="S1206">
        <v>0.09</v>
      </c>
      <c r="T1206">
        <v>4755</v>
      </c>
      <c r="U1206">
        <v>299.89999999999998</v>
      </c>
      <c r="V1206">
        <v>5054.8999999999996</v>
      </c>
    </row>
    <row r="1207" spans="1:22" x14ac:dyDescent="0.3">
      <c r="A1207">
        <v>198256</v>
      </c>
      <c r="B1207">
        <v>454948693</v>
      </c>
      <c r="C1207" t="s">
        <v>5217</v>
      </c>
      <c r="D1207" s="9" t="s">
        <v>5218</v>
      </c>
      <c r="E1207" t="s">
        <v>4207</v>
      </c>
      <c r="F1207" t="s">
        <v>531</v>
      </c>
      <c r="G1207" t="s">
        <v>104</v>
      </c>
      <c r="H1207" t="s">
        <v>105</v>
      </c>
      <c r="I1207" t="s">
        <v>52</v>
      </c>
      <c r="J1207" t="s">
        <v>106</v>
      </c>
      <c r="K1207" t="s">
        <v>29</v>
      </c>
      <c r="L1207" t="s">
        <v>5219</v>
      </c>
      <c r="M1207" t="s">
        <v>5220</v>
      </c>
      <c r="N1207" t="s">
        <v>534</v>
      </c>
      <c r="O1207" t="s">
        <v>39</v>
      </c>
      <c r="P1207" t="s">
        <v>5221</v>
      </c>
      <c r="Q1207" t="s">
        <v>251</v>
      </c>
      <c r="R1207" s="29" t="s">
        <v>526</v>
      </c>
      <c r="S1207">
        <v>0.11</v>
      </c>
      <c r="T1207">
        <v>5373</v>
      </c>
      <c r="U1207">
        <v>299.89999999999998</v>
      </c>
      <c r="V1207">
        <v>5672.9</v>
      </c>
    </row>
    <row r="1208" spans="1:22" x14ac:dyDescent="0.3">
      <c r="A1208">
        <v>198256</v>
      </c>
      <c r="B1208">
        <v>454948748</v>
      </c>
      <c r="C1208" t="s">
        <v>5222</v>
      </c>
      <c r="D1208" s="9" t="s">
        <v>5223</v>
      </c>
      <c r="E1208" t="s">
        <v>4207</v>
      </c>
      <c r="F1208" t="s">
        <v>531</v>
      </c>
      <c r="G1208" t="s">
        <v>104</v>
      </c>
      <c r="H1208" t="s">
        <v>105</v>
      </c>
      <c r="I1208" t="s">
        <v>52</v>
      </c>
      <c r="J1208" t="s">
        <v>106</v>
      </c>
      <c r="K1208" t="s">
        <v>29</v>
      </c>
      <c r="L1208" t="s">
        <v>5224</v>
      </c>
      <c r="M1208" t="s">
        <v>5225</v>
      </c>
      <c r="N1208" t="s">
        <v>534</v>
      </c>
      <c r="O1208" t="s">
        <v>39</v>
      </c>
      <c r="P1208" t="s">
        <v>5226</v>
      </c>
      <c r="Q1208" t="s">
        <v>190</v>
      </c>
      <c r="R1208" s="29" t="s">
        <v>526</v>
      </c>
      <c r="S1208">
        <v>1</v>
      </c>
      <c r="T1208">
        <v>6455</v>
      </c>
      <c r="U1208">
        <v>299.89999999999998</v>
      </c>
      <c r="V1208">
        <v>6754.9</v>
      </c>
    </row>
    <row r="1209" spans="1:22" x14ac:dyDescent="0.3">
      <c r="A1209">
        <v>198256</v>
      </c>
      <c r="B1209">
        <v>454746983</v>
      </c>
      <c r="C1209" t="s">
        <v>5227</v>
      </c>
      <c r="D1209" s="9" t="s">
        <v>5228</v>
      </c>
      <c r="E1209" t="s">
        <v>4207</v>
      </c>
      <c r="F1209" t="s">
        <v>531</v>
      </c>
      <c r="G1209" t="s">
        <v>104</v>
      </c>
      <c r="H1209" t="s">
        <v>105</v>
      </c>
      <c r="I1209" t="s">
        <v>52</v>
      </c>
      <c r="J1209" t="s">
        <v>106</v>
      </c>
      <c r="K1209" t="s">
        <v>29</v>
      </c>
      <c r="L1209" t="s">
        <v>107</v>
      </c>
      <c r="M1209" t="s">
        <v>5229</v>
      </c>
      <c r="N1209" t="s">
        <v>534</v>
      </c>
      <c r="O1209" t="s">
        <v>39</v>
      </c>
      <c r="P1209" t="s">
        <v>5230</v>
      </c>
      <c r="Q1209" t="s">
        <v>145</v>
      </c>
      <c r="R1209" s="29" t="s">
        <v>5231</v>
      </c>
      <c r="S1209">
        <v>0.12</v>
      </c>
      <c r="T1209">
        <v>5210</v>
      </c>
      <c r="U1209">
        <v>299.89999999999998</v>
      </c>
      <c r="V1209">
        <v>5509.9</v>
      </c>
    </row>
    <row r="1210" spans="1:22" x14ac:dyDescent="0.3">
      <c r="A1210">
        <v>198256</v>
      </c>
      <c r="B1210">
        <v>454746673</v>
      </c>
      <c r="C1210" t="s">
        <v>5232</v>
      </c>
      <c r="D1210" s="9" t="s">
        <v>5233</v>
      </c>
      <c r="E1210" t="s">
        <v>4207</v>
      </c>
      <c r="F1210" t="s">
        <v>531</v>
      </c>
      <c r="G1210" t="s">
        <v>104</v>
      </c>
      <c r="H1210" t="s">
        <v>105</v>
      </c>
      <c r="I1210" t="s">
        <v>52</v>
      </c>
      <c r="J1210" t="s">
        <v>106</v>
      </c>
      <c r="K1210" t="s">
        <v>29</v>
      </c>
      <c r="L1210" t="s">
        <v>5234</v>
      </c>
      <c r="M1210" t="s">
        <v>5235</v>
      </c>
      <c r="N1210" t="s">
        <v>534</v>
      </c>
      <c r="O1210" t="s">
        <v>39</v>
      </c>
      <c r="P1210" t="s">
        <v>5236</v>
      </c>
      <c r="Q1210" t="s">
        <v>89</v>
      </c>
      <c r="R1210" s="29" t="s">
        <v>506</v>
      </c>
      <c r="S1210">
        <v>0.16</v>
      </c>
      <c r="T1210">
        <v>4755</v>
      </c>
      <c r="U1210">
        <v>449.85</v>
      </c>
      <c r="V1210">
        <v>5204.8500000000004</v>
      </c>
    </row>
    <row r="1211" spans="1:22" x14ac:dyDescent="0.3">
      <c r="A1211">
        <v>198256</v>
      </c>
      <c r="B1211">
        <v>454747028</v>
      </c>
      <c r="C1211" t="s">
        <v>5237</v>
      </c>
      <c r="D1211" s="9" t="s">
        <v>5238</v>
      </c>
      <c r="E1211" t="s">
        <v>4207</v>
      </c>
      <c r="F1211" t="s">
        <v>531</v>
      </c>
      <c r="G1211" t="s">
        <v>104</v>
      </c>
      <c r="H1211" t="s">
        <v>105</v>
      </c>
      <c r="I1211" t="s">
        <v>52</v>
      </c>
      <c r="J1211" t="s">
        <v>106</v>
      </c>
      <c r="K1211" t="s">
        <v>29</v>
      </c>
      <c r="L1211" t="s">
        <v>5239</v>
      </c>
      <c r="M1211" t="s">
        <v>420</v>
      </c>
      <c r="N1211" t="s">
        <v>534</v>
      </c>
      <c r="O1211" t="s">
        <v>39</v>
      </c>
      <c r="P1211" t="s">
        <v>5240</v>
      </c>
      <c r="Q1211" t="s">
        <v>89</v>
      </c>
      <c r="R1211" s="29" t="s">
        <v>5231</v>
      </c>
      <c r="S1211">
        <v>7.0000000000000007E-2</v>
      </c>
      <c r="T1211">
        <v>4755</v>
      </c>
      <c r="U1211">
        <v>149.94999999999999</v>
      </c>
      <c r="V1211">
        <v>4904.95</v>
      </c>
    </row>
    <row r="1212" spans="1:22" x14ac:dyDescent="0.3">
      <c r="A1212">
        <v>198256</v>
      </c>
      <c r="B1212">
        <v>454747174</v>
      </c>
      <c r="C1212" t="s">
        <v>5241</v>
      </c>
      <c r="D1212" s="9" t="s">
        <v>5242</v>
      </c>
      <c r="E1212" t="s">
        <v>4207</v>
      </c>
      <c r="F1212" t="s">
        <v>531</v>
      </c>
      <c r="G1212" t="s">
        <v>104</v>
      </c>
      <c r="H1212" t="s">
        <v>105</v>
      </c>
      <c r="I1212" t="s">
        <v>52</v>
      </c>
      <c r="J1212" t="s">
        <v>106</v>
      </c>
      <c r="K1212" t="s">
        <v>29</v>
      </c>
      <c r="L1212" t="s">
        <v>319</v>
      </c>
      <c r="M1212" t="s">
        <v>367</v>
      </c>
      <c r="N1212" t="s">
        <v>534</v>
      </c>
      <c r="O1212" t="s">
        <v>39</v>
      </c>
      <c r="P1212" t="s">
        <v>5215</v>
      </c>
      <c r="Q1212" t="s">
        <v>175</v>
      </c>
      <c r="R1212" s="29" t="s">
        <v>133</v>
      </c>
      <c r="S1212">
        <v>0.12</v>
      </c>
      <c r="T1212">
        <v>4755</v>
      </c>
      <c r="U1212">
        <v>299.89999999999998</v>
      </c>
      <c r="V1212">
        <v>5054.8999999999996</v>
      </c>
    </row>
    <row r="1213" spans="1:22" x14ac:dyDescent="0.3">
      <c r="A1213">
        <v>198256</v>
      </c>
      <c r="B1213">
        <v>454747005</v>
      </c>
      <c r="C1213" t="s">
        <v>5243</v>
      </c>
      <c r="D1213" s="9" t="s">
        <v>5244</v>
      </c>
      <c r="E1213" t="s">
        <v>4207</v>
      </c>
      <c r="F1213" t="s">
        <v>531</v>
      </c>
      <c r="G1213" t="s">
        <v>104</v>
      </c>
      <c r="H1213" t="s">
        <v>105</v>
      </c>
      <c r="I1213" t="s">
        <v>52</v>
      </c>
      <c r="J1213" t="s">
        <v>106</v>
      </c>
      <c r="K1213" t="s">
        <v>29</v>
      </c>
      <c r="L1213" t="s">
        <v>5245</v>
      </c>
      <c r="M1213" t="s">
        <v>5246</v>
      </c>
      <c r="N1213" t="s">
        <v>534</v>
      </c>
      <c r="O1213" t="s">
        <v>39</v>
      </c>
      <c r="P1213" t="s">
        <v>5247</v>
      </c>
      <c r="Q1213" t="s">
        <v>175</v>
      </c>
      <c r="R1213" s="29" t="s">
        <v>5231</v>
      </c>
      <c r="S1213">
        <v>0.11</v>
      </c>
      <c r="T1213">
        <v>4755</v>
      </c>
      <c r="U1213">
        <v>299.89999999999998</v>
      </c>
      <c r="V1213">
        <v>5054.8999999999996</v>
      </c>
    </row>
    <row r="1214" spans="1:22" x14ac:dyDescent="0.3">
      <c r="A1214">
        <v>198256</v>
      </c>
      <c r="B1214">
        <v>454747021</v>
      </c>
      <c r="C1214" t="s">
        <v>5248</v>
      </c>
      <c r="D1214" s="9" t="s">
        <v>5249</v>
      </c>
      <c r="E1214" t="s">
        <v>4207</v>
      </c>
      <c r="F1214" t="s">
        <v>531</v>
      </c>
      <c r="G1214" t="s">
        <v>104</v>
      </c>
      <c r="H1214" t="s">
        <v>105</v>
      </c>
      <c r="I1214" t="s">
        <v>52</v>
      </c>
      <c r="J1214" t="s">
        <v>106</v>
      </c>
      <c r="K1214" t="s">
        <v>29</v>
      </c>
      <c r="L1214" t="s">
        <v>5250</v>
      </c>
      <c r="M1214" t="s">
        <v>5251</v>
      </c>
      <c r="N1214" t="s">
        <v>534</v>
      </c>
      <c r="O1214" t="s">
        <v>39</v>
      </c>
      <c r="P1214" t="s">
        <v>5252</v>
      </c>
      <c r="Q1214" t="s">
        <v>213</v>
      </c>
      <c r="R1214" s="29" t="s">
        <v>5231</v>
      </c>
      <c r="S1214">
        <v>0.11</v>
      </c>
      <c r="T1214">
        <v>6997</v>
      </c>
      <c r="U1214">
        <v>299.89999999999998</v>
      </c>
      <c r="V1214">
        <v>7296.9</v>
      </c>
    </row>
    <row r="1215" spans="1:22" x14ac:dyDescent="0.3">
      <c r="A1215">
        <v>198256</v>
      </c>
      <c r="B1215">
        <v>454541242</v>
      </c>
      <c r="C1215" t="s">
        <v>5253</v>
      </c>
      <c r="D1215" s="9" t="s">
        <v>5254</v>
      </c>
      <c r="E1215" t="s">
        <v>4207</v>
      </c>
      <c r="F1215" t="s">
        <v>531</v>
      </c>
      <c r="G1215" t="s">
        <v>104</v>
      </c>
      <c r="H1215" t="s">
        <v>105</v>
      </c>
      <c r="I1215" t="s">
        <v>52</v>
      </c>
      <c r="J1215" t="s">
        <v>106</v>
      </c>
      <c r="K1215" t="s">
        <v>29</v>
      </c>
      <c r="L1215" t="s">
        <v>5255</v>
      </c>
      <c r="M1215" t="s">
        <v>5256</v>
      </c>
      <c r="N1215" t="s">
        <v>534</v>
      </c>
      <c r="O1215" t="s">
        <v>39</v>
      </c>
      <c r="P1215" t="s">
        <v>5257</v>
      </c>
      <c r="Q1215" t="s">
        <v>179</v>
      </c>
      <c r="R1215" s="29" t="s">
        <v>398</v>
      </c>
      <c r="S1215">
        <v>0.12</v>
      </c>
      <c r="T1215">
        <v>4889</v>
      </c>
      <c r="U1215">
        <v>299.89999999999998</v>
      </c>
      <c r="V1215">
        <v>5188.8999999999996</v>
      </c>
    </row>
    <row r="1216" spans="1:22" x14ac:dyDescent="0.3">
      <c r="A1216">
        <v>198256</v>
      </c>
      <c r="B1216">
        <v>454542098</v>
      </c>
      <c r="C1216" t="s">
        <v>5258</v>
      </c>
      <c r="D1216" s="9" t="s">
        <v>5259</v>
      </c>
      <c r="E1216" t="s">
        <v>4207</v>
      </c>
      <c r="F1216" t="s">
        <v>531</v>
      </c>
      <c r="G1216" t="s">
        <v>104</v>
      </c>
      <c r="H1216" t="s">
        <v>105</v>
      </c>
      <c r="I1216" t="s">
        <v>52</v>
      </c>
      <c r="J1216" t="s">
        <v>106</v>
      </c>
      <c r="K1216" t="s">
        <v>29</v>
      </c>
      <c r="L1216" t="s">
        <v>5260</v>
      </c>
      <c r="M1216" t="s">
        <v>5261</v>
      </c>
      <c r="N1216" t="s">
        <v>534</v>
      </c>
      <c r="O1216" t="s">
        <v>39</v>
      </c>
      <c r="P1216" t="s">
        <v>5262</v>
      </c>
      <c r="Q1216" t="s">
        <v>214</v>
      </c>
      <c r="R1216" s="29" t="s">
        <v>5263</v>
      </c>
      <c r="S1216">
        <v>0.11</v>
      </c>
      <c r="T1216">
        <v>5012</v>
      </c>
      <c r="U1216">
        <v>299.89999999999998</v>
      </c>
      <c r="V1216">
        <v>5311.9</v>
      </c>
    </row>
    <row r="1217" spans="1:22" x14ac:dyDescent="0.3">
      <c r="A1217">
        <v>198256</v>
      </c>
      <c r="B1217">
        <v>454541228</v>
      </c>
      <c r="C1217" t="s">
        <v>5264</v>
      </c>
      <c r="D1217" s="9" t="s">
        <v>5265</v>
      </c>
      <c r="E1217" t="s">
        <v>4207</v>
      </c>
      <c r="F1217" t="s">
        <v>531</v>
      </c>
      <c r="G1217" t="s">
        <v>104</v>
      </c>
      <c r="H1217" t="s">
        <v>105</v>
      </c>
      <c r="I1217" t="s">
        <v>52</v>
      </c>
      <c r="J1217" t="s">
        <v>106</v>
      </c>
      <c r="K1217" t="s">
        <v>29</v>
      </c>
      <c r="L1217" t="s">
        <v>5266</v>
      </c>
      <c r="M1217" t="s">
        <v>5267</v>
      </c>
      <c r="N1217" t="s">
        <v>534</v>
      </c>
      <c r="O1217" t="s">
        <v>39</v>
      </c>
      <c r="P1217" t="s">
        <v>5268</v>
      </c>
      <c r="Q1217" t="s">
        <v>89</v>
      </c>
      <c r="R1217" s="29" t="s">
        <v>398</v>
      </c>
      <c r="S1217">
        <v>0.08</v>
      </c>
      <c r="T1217">
        <v>4755</v>
      </c>
      <c r="U1217">
        <v>149.94999999999999</v>
      </c>
      <c r="V1217">
        <v>4904.95</v>
      </c>
    </row>
    <row r="1218" spans="1:22" x14ac:dyDescent="0.3">
      <c r="A1218">
        <v>198256</v>
      </c>
      <c r="B1218">
        <v>454540881</v>
      </c>
      <c r="C1218" t="s">
        <v>5269</v>
      </c>
      <c r="D1218" s="9" t="s">
        <v>5270</v>
      </c>
      <c r="E1218" t="s">
        <v>4207</v>
      </c>
      <c r="F1218" t="s">
        <v>531</v>
      </c>
      <c r="G1218" t="s">
        <v>104</v>
      </c>
      <c r="H1218" t="s">
        <v>105</v>
      </c>
      <c r="I1218" t="s">
        <v>52</v>
      </c>
      <c r="J1218" t="s">
        <v>106</v>
      </c>
      <c r="K1218" t="s">
        <v>29</v>
      </c>
      <c r="L1218" t="s">
        <v>5271</v>
      </c>
      <c r="M1218" t="s">
        <v>5272</v>
      </c>
      <c r="N1218" t="s">
        <v>534</v>
      </c>
      <c r="O1218" t="s">
        <v>39</v>
      </c>
      <c r="P1218" t="s">
        <v>5273</v>
      </c>
      <c r="Q1218" t="s">
        <v>89</v>
      </c>
      <c r="R1218" s="29" t="s">
        <v>397</v>
      </c>
      <c r="S1218">
        <v>7.0000000000000007E-2</v>
      </c>
      <c r="T1218">
        <v>4755</v>
      </c>
      <c r="U1218">
        <v>149.94999999999999</v>
      </c>
      <c r="V1218">
        <v>4904.95</v>
      </c>
    </row>
    <row r="1219" spans="1:22" x14ac:dyDescent="0.3">
      <c r="A1219">
        <v>198256</v>
      </c>
      <c r="B1219">
        <v>454540519</v>
      </c>
      <c r="C1219" t="s">
        <v>5274</v>
      </c>
      <c r="D1219" s="9" t="s">
        <v>5275</v>
      </c>
      <c r="E1219" t="s">
        <v>4207</v>
      </c>
      <c r="F1219" t="s">
        <v>531</v>
      </c>
      <c r="G1219" t="s">
        <v>104</v>
      </c>
      <c r="H1219" t="s">
        <v>105</v>
      </c>
      <c r="I1219" t="s">
        <v>52</v>
      </c>
      <c r="J1219" t="s">
        <v>106</v>
      </c>
      <c r="K1219" t="s">
        <v>29</v>
      </c>
      <c r="L1219" t="s">
        <v>5276</v>
      </c>
      <c r="M1219" t="s">
        <v>5277</v>
      </c>
      <c r="N1219" t="s">
        <v>534</v>
      </c>
      <c r="O1219" t="s">
        <v>39</v>
      </c>
      <c r="P1219" t="s">
        <v>5278</v>
      </c>
      <c r="Q1219" t="s">
        <v>85</v>
      </c>
      <c r="R1219" s="29" t="s">
        <v>399</v>
      </c>
      <c r="S1219">
        <v>1</v>
      </c>
      <c r="T1219">
        <v>5641</v>
      </c>
      <c r="U1219">
        <v>299.89999999999998</v>
      </c>
      <c r="V1219">
        <v>5940.9</v>
      </c>
    </row>
    <row r="1220" spans="1:22" x14ac:dyDescent="0.3">
      <c r="A1220">
        <v>198256</v>
      </c>
      <c r="B1220">
        <v>454542124</v>
      </c>
      <c r="C1220" t="s">
        <v>5279</v>
      </c>
      <c r="D1220" s="9" t="s">
        <v>5280</v>
      </c>
      <c r="E1220" t="s">
        <v>4207</v>
      </c>
      <c r="F1220" t="s">
        <v>531</v>
      </c>
      <c r="G1220" t="s">
        <v>104</v>
      </c>
      <c r="H1220" t="s">
        <v>105</v>
      </c>
      <c r="I1220" t="s">
        <v>52</v>
      </c>
      <c r="J1220" t="s">
        <v>106</v>
      </c>
      <c r="K1220" t="s">
        <v>29</v>
      </c>
      <c r="L1220" t="s">
        <v>5281</v>
      </c>
      <c r="M1220" t="s">
        <v>5282</v>
      </c>
      <c r="N1220" t="s">
        <v>534</v>
      </c>
      <c r="O1220" t="s">
        <v>39</v>
      </c>
      <c r="P1220" t="s">
        <v>5283</v>
      </c>
      <c r="Q1220" t="s">
        <v>203</v>
      </c>
      <c r="R1220" s="29" t="s">
        <v>5263</v>
      </c>
      <c r="S1220">
        <v>0.08</v>
      </c>
      <c r="T1220">
        <v>4495</v>
      </c>
      <c r="U1220">
        <v>299.89999999999998</v>
      </c>
      <c r="V1220">
        <v>4794.8999999999996</v>
      </c>
    </row>
    <row r="1221" spans="1:22" x14ac:dyDescent="0.3">
      <c r="A1221">
        <v>198256</v>
      </c>
      <c r="B1221">
        <v>454541598</v>
      </c>
      <c r="C1221" t="s">
        <v>5284</v>
      </c>
      <c r="D1221" s="9" t="s">
        <v>5285</v>
      </c>
      <c r="E1221" t="s">
        <v>4207</v>
      </c>
      <c r="F1221" t="s">
        <v>531</v>
      </c>
      <c r="G1221" t="s">
        <v>104</v>
      </c>
      <c r="H1221" t="s">
        <v>105</v>
      </c>
      <c r="I1221" t="s">
        <v>52</v>
      </c>
      <c r="J1221" t="s">
        <v>106</v>
      </c>
      <c r="K1221" t="s">
        <v>29</v>
      </c>
      <c r="L1221" t="s">
        <v>5286</v>
      </c>
      <c r="M1221" t="s">
        <v>5287</v>
      </c>
      <c r="N1221" t="s">
        <v>534</v>
      </c>
      <c r="O1221" t="s">
        <v>39</v>
      </c>
      <c r="P1221" t="s">
        <v>5288</v>
      </c>
      <c r="Q1221" t="s">
        <v>190</v>
      </c>
      <c r="R1221" s="29" t="s">
        <v>5289</v>
      </c>
      <c r="S1221">
        <v>2.2000000000000002</v>
      </c>
      <c r="T1221">
        <v>8572</v>
      </c>
      <c r="U1221">
        <v>299.89999999999998</v>
      </c>
      <c r="V1221">
        <v>8871.9</v>
      </c>
    </row>
    <row r="1222" spans="1:22" x14ac:dyDescent="0.3">
      <c r="A1222">
        <v>198256</v>
      </c>
      <c r="B1222">
        <v>454542108</v>
      </c>
      <c r="C1222" t="s">
        <v>5290</v>
      </c>
      <c r="D1222" s="9" t="s">
        <v>5291</v>
      </c>
      <c r="E1222" t="s">
        <v>4207</v>
      </c>
      <c r="F1222" t="s">
        <v>531</v>
      </c>
      <c r="G1222" t="s">
        <v>104</v>
      </c>
      <c r="H1222" t="s">
        <v>105</v>
      </c>
      <c r="I1222" t="s">
        <v>52</v>
      </c>
      <c r="J1222" t="s">
        <v>106</v>
      </c>
      <c r="K1222" t="s">
        <v>29</v>
      </c>
      <c r="L1222" t="s">
        <v>5292</v>
      </c>
      <c r="M1222" t="s">
        <v>5293</v>
      </c>
      <c r="N1222" t="s">
        <v>534</v>
      </c>
      <c r="O1222" t="s">
        <v>39</v>
      </c>
      <c r="P1222" t="s">
        <v>5294</v>
      </c>
      <c r="Q1222" t="s">
        <v>190</v>
      </c>
      <c r="R1222" s="29" t="s">
        <v>5263</v>
      </c>
      <c r="S1222">
        <v>0.1</v>
      </c>
      <c r="T1222">
        <v>6455</v>
      </c>
      <c r="U1222">
        <v>299.89999999999998</v>
      </c>
      <c r="V1222">
        <v>6754.9</v>
      </c>
    </row>
    <row r="1223" spans="1:22" x14ac:dyDescent="0.3">
      <c r="A1223">
        <v>198256</v>
      </c>
      <c r="B1223">
        <v>454746656</v>
      </c>
      <c r="C1223" t="s">
        <v>5295</v>
      </c>
      <c r="D1223" s="9" t="s">
        <v>5296</v>
      </c>
      <c r="E1223" t="s">
        <v>4207</v>
      </c>
      <c r="F1223" t="s">
        <v>531</v>
      </c>
      <c r="G1223" t="s">
        <v>110</v>
      </c>
      <c r="H1223" t="s">
        <v>111</v>
      </c>
      <c r="I1223" t="s">
        <v>52</v>
      </c>
      <c r="J1223" t="s">
        <v>112</v>
      </c>
      <c r="K1223" t="s">
        <v>29</v>
      </c>
      <c r="L1223" t="s">
        <v>113</v>
      </c>
      <c r="M1223" t="s">
        <v>5297</v>
      </c>
      <c r="N1223" t="s">
        <v>534</v>
      </c>
      <c r="O1223" t="s">
        <v>39</v>
      </c>
      <c r="P1223" t="s">
        <v>5298</v>
      </c>
      <c r="Q1223" t="s">
        <v>156</v>
      </c>
      <c r="R1223" s="29" t="s">
        <v>506</v>
      </c>
      <c r="S1223">
        <v>0.21</v>
      </c>
      <c r="T1223">
        <v>6203</v>
      </c>
      <c r="U1223">
        <v>0</v>
      </c>
      <c r="V1223">
        <v>6203</v>
      </c>
    </row>
    <row r="1224" spans="1:22" x14ac:dyDescent="0.3">
      <c r="A1224">
        <v>198256</v>
      </c>
      <c r="B1224">
        <v>454747359</v>
      </c>
      <c r="C1224" t="s">
        <v>5299</v>
      </c>
      <c r="D1224" s="9" t="s">
        <v>5300</v>
      </c>
      <c r="E1224" t="s">
        <v>4207</v>
      </c>
      <c r="F1224" t="s">
        <v>531</v>
      </c>
      <c r="G1224" t="s">
        <v>110</v>
      </c>
      <c r="H1224" t="s">
        <v>111</v>
      </c>
      <c r="I1224" t="s">
        <v>52</v>
      </c>
      <c r="J1224" t="s">
        <v>112</v>
      </c>
      <c r="K1224" t="s">
        <v>29</v>
      </c>
      <c r="L1224" t="s">
        <v>113</v>
      </c>
      <c r="M1224" t="s">
        <v>5301</v>
      </c>
      <c r="N1224" t="s">
        <v>534</v>
      </c>
      <c r="O1224" t="s">
        <v>39</v>
      </c>
      <c r="P1224" t="s">
        <v>5302</v>
      </c>
      <c r="Q1224" t="s">
        <v>144</v>
      </c>
      <c r="R1224" s="29" t="s">
        <v>5303</v>
      </c>
      <c r="S1224">
        <v>0.28000000000000003</v>
      </c>
      <c r="T1224">
        <v>5962</v>
      </c>
      <c r="U1224">
        <v>0</v>
      </c>
      <c r="V1224">
        <v>5962</v>
      </c>
    </row>
    <row r="1225" spans="1:22" x14ac:dyDescent="0.3">
      <c r="A1225">
        <v>198256</v>
      </c>
      <c r="B1225">
        <v>454746683</v>
      </c>
      <c r="C1225" t="s">
        <v>5304</v>
      </c>
      <c r="D1225" s="9" t="s">
        <v>5305</v>
      </c>
      <c r="E1225" t="s">
        <v>4207</v>
      </c>
      <c r="F1225" t="s">
        <v>531</v>
      </c>
      <c r="G1225" t="s">
        <v>110</v>
      </c>
      <c r="H1225" t="s">
        <v>111</v>
      </c>
      <c r="I1225" t="s">
        <v>52</v>
      </c>
      <c r="J1225" t="s">
        <v>112</v>
      </c>
      <c r="K1225" t="s">
        <v>29</v>
      </c>
      <c r="L1225" t="s">
        <v>113</v>
      </c>
      <c r="M1225" t="s">
        <v>5306</v>
      </c>
      <c r="N1225" t="s">
        <v>534</v>
      </c>
      <c r="O1225" t="s">
        <v>39</v>
      </c>
      <c r="P1225" t="s">
        <v>5307</v>
      </c>
      <c r="Q1225" t="s">
        <v>151</v>
      </c>
      <c r="R1225" s="29" t="s">
        <v>506</v>
      </c>
      <c r="S1225">
        <v>0.2</v>
      </c>
      <c r="T1225">
        <v>5825</v>
      </c>
      <c r="U1225">
        <v>0</v>
      </c>
      <c r="V1225">
        <v>5825</v>
      </c>
    </row>
    <row r="1226" spans="1:22" x14ac:dyDescent="0.3">
      <c r="A1226">
        <v>198256</v>
      </c>
      <c r="B1226">
        <v>454747030</v>
      </c>
      <c r="C1226" t="s">
        <v>5308</v>
      </c>
      <c r="D1226" s="9" t="s">
        <v>5309</v>
      </c>
      <c r="E1226" t="s">
        <v>4207</v>
      </c>
      <c r="F1226" t="s">
        <v>531</v>
      </c>
      <c r="G1226" t="s">
        <v>110</v>
      </c>
      <c r="H1226" t="s">
        <v>111</v>
      </c>
      <c r="I1226" t="s">
        <v>52</v>
      </c>
      <c r="J1226" t="s">
        <v>112</v>
      </c>
      <c r="K1226" t="s">
        <v>29</v>
      </c>
      <c r="L1226" t="s">
        <v>113</v>
      </c>
      <c r="M1226" t="s">
        <v>5310</v>
      </c>
      <c r="N1226" t="s">
        <v>534</v>
      </c>
      <c r="O1226" t="s">
        <v>39</v>
      </c>
      <c r="P1226" t="s">
        <v>5311</v>
      </c>
      <c r="Q1226" t="s">
        <v>156</v>
      </c>
      <c r="R1226" s="29" t="s">
        <v>5231</v>
      </c>
      <c r="S1226">
        <v>0.21</v>
      </c>
      <c r="T1226">
        <v>6203</v>
      </c>
      <c r="U1226">
        <v>0</v>
      </c>
      <c r="V1226">
        <v>6203</v>
      </c>
    </row>
    <row r="1227" spans="1:22" x14ac:dyDescent="0.3">
      <c r="A1227">
        <v>198256</v>
      </c>
      <c r="B1227">
        <v>454747045</v>
      </c>
      <c r="C1227" t="s">
        <v>5312</v>
      </c>
      <c r="D1227" s="9" t="s">
        <v>5313</v>
      </c>
      <c r="E1227" t="s">
        <v>4207</v>
      </c>
      <c r="F1227" t="s">
        <v>531</v>
      </c>
      <c r="G1227" t="s">
        <v>110</v>
      </c>
      <c r="H1227" t="s">
        <v>111</v>
      </c>
      <c r="I1227" t="s">
        <v>52</v>
      </c>
      <c r="J1227" t="s">
        <v>112</v>
      </c>
      <c r="K1227" t="s">
        <v>29</v>
      </c>
      <c r="L1227" t="s">
        <v>113</v>
      </c>
      <c r="M1227" t="s">
        <v>5314</v>
      </c>
      <c r="N1227" t="s">
        <v>534</v>
      </c>
      <c r="O1227" t="s">
        <v>39</v>
      </c>
      <c r="P1227" t="s">
        <v>5315</v>
      </c>
      <c r="Q1227" t="s">
        <v>64</v>
      </c>
      <c r="R1227" s="29" t="s">
        <v>5231</v>
      </c>
      <c r="S1227">
        <v>0.22</v>
      </c>
      <c r="T1227">
        <v>5825</v>
      </c>
      <c r="U1227">
        <v>0</v>
      </c>
      <c r="V1227">
        <v>5825</v>
      </c>
    </row>
    <row r="1228" spans="1:22" x14ac:dyDescent="0.3">
      <c r="A1228">
        <v>198256</v>
      </c>
      <c r="B1228">
        <v>454747009</v>
      </c>
      <c r="C1228" t="s">
        <v>5316</v>
      </c>
      <c r="D1228" s="9" t="s">
        <v>5317</v>
      </c>
      <c r="E1228" t="s">
        <v>4207</v>
      </c>
      <c r="F1228" t="s">
        <v>531</v>
      </c>
      <c r="G1228" t="s">
        <v>110</v>
      </c>
      <c r="H1228" t="s">
        <v>111</v>
      </c>
      <c r="I1228" t="s">
        <v>52</v>
      </c>
      <c r="J1228" t="s">
        <v>112</v>
      </c>
      <c r="K1228" t="s">
        <v>29</v>
      </c>
      <c r="L1228" t="s">
        <v>113</v>
      </c>
      <c r="M1228" t="s">
        <v>503</v>
      </c>
      <c r="N1228" t="s">
        <v>534</v>
      </c>
      <c r="O1228" t="s">
        <v>39</v>
      </c>
      <c r="P1228" t="s">
        <v>5318</v>
      </c>
      <c r="Q1228" t="s">
        <v>64</v>
      </c>
      <c r="R1228" s="29" t="s">
        <v>5231</v>
      </c>
      <c r="S1228">
        <v>0.19</v>
      </c>
      <c r="T1228">
        <v>5825</v>
      </c>
      <c r="U1228">
        <v>0</v>
      </c>
      <c r="V1228">
        <v>5825</v>
      </c>
    </row>
    <row r="1229" spans="1:22" x14ac:dyDescent="0.3">
      <c r="A1229">
        <v>198256</v>
      </c>
      <c r="B1229">
        <v>454747027</v>
      </c>
      <c r="C1229" t="s">
        <v>5319</v>
      </c>
      <c r="D1229" s="9" t="s">
        <v>5320</v>
      </c>
      <c r="E1229" t="s">
        <v>4207</v>
      </c>
      <c r="F1229" t="s">
        <v>531</v>
      </c>
      <c r="G1229" t="s">
        <v>110</v>
      </c>
      <c r="H1229" t="s">
        <v>111</v>
      </c>
      <c r="I1229" t="s">
        <v>52</v>
      </c>
      <c r="J1229" t="s">
        <v>112</v>
      </c>
      <c r="K1229" t="s">
        <v>29</v>
      </c>
      <c r="L1229" t="s">
        <v>113</v>
      </c>
      <c r="M1229" t="s">
        <v>5321</v>
      </c>
      <c r="N1229" t="s">
        <v>534</v>
      </c>
      <c r="O1229" t="s">
        <v>39</v>
      </c>
      <c r="P1229" t="s">
        <v>5322</v>
      </c>
      <c r="Q1229" t="s">
        <v>45</v>
      </c>
      <c r="R1229" s="29" t="s">
        <v>5231</v>
      </c>
      <c r="S1229">
        <v>0.24</v>
      </c>
      <c r="T1229">
        <v>3927</v>
      </c>
      <c r="U1229">
        <v>0</v>
      </c>
      <c r="V1229">
        <v>3927</v>
      </c>
    </row>
    <row r="1230" spans="1:22" x14ac:dyDescent="0.3">
      <c r="A1230">
        <v>198256</v>
      </c>
      <c r="B1230">
        <v>454746642</v>
      </c>
      <c r="C1230" t="s">
        <v>5323</v>
      </c>
      <c r="D1230" s="9" t="s">
        <v>5324</v>
      </c>
      <c r="E1230" t="s">
        <v>4207</v>
      </c>
      <c r="F1230" t="s">
        <v>531</v>
      </c>
      <c r="G1230" t="s">
        <v>110</v>
      </c>
      <c r="H1230" t="s">
        <v>111</v>
      </c>
      <c r="I1230" t="s">
        <v>52</v>
      </c>
      <c r="J1230" t="s">
        <v>112</v>
      </c>
      <c r="K1230" t="s">
        <v>29</v>
      </c>
      <c r="L1230" t="s">
        <v>113</v>
      </c>
      <c r="M1230" t="s">
        <v>333</v>
      </c>
      <c r="N1230" t="s">
        <v>534</v>
      </c>
      <c r="O1230" t="s">
        <v>39</v>
      </c>
      <c r="P1230" t="s">
        <v>5325</v>
      </c>
      <c r="Q1230" t="s">
        <v>225</v>
      </c>
      <c r="R1230" s="29" t="s">
        <v>506</v>
      </c>
      <c r="S1230">
        <v>1.07</v>
      </c>
      <c r="T1230">
        <v>4072</v>
      </c>
      <c r="U1230">
        <v>0</v>
      </c>
      <c r="V1230">
        <v>4072</v>
      </c>
    </row>
    <row r="1231" spans="1:22" x14ac:dyDescent="0.3">
      <c r="A1231">
        <v>198256</v>
      </c>
      <c r="B1231">
        <v>454746655</v>
      </c>
      <c r="C1231" t="s">
        <v>5326</v>
      </c>
      <c r="D1231" s="9" t="s">
        <v>5327</v>
      </c>
      <c r="E1231" t="s">
        <v>4207</v>
      </c>
      <c r="F1231" t="s">
        <v>531</v>
      </c>
      <c r="G1231" t="s">
        <v>110</v>
      </c>
      <c r="H1231" t="s">
        <v>111</v>
      </c>
      <c r="I1231" t="s">
        <v>52</v>
      </c>
      <c r="J1231" t="s">
        <v>112</v>
      </c>
      <c r="K1231" t="s">
        <v>29</v>
      </c>
      <c r="L1231" t="s">
        <v>113</v>
      </c>
      <c r="M1231" t="s">
        <v>5328</v>
      </c>
      <c r="N1231" t="s">
        <v>534</v>
      </c>
      <c r="O1231" t="s">
        <v>39</v>
      </c>
      <c r="P1231" t="s">
        <v>5329</v>
      </c>
      <c r="Q1231" t="s">
        <v>99</v>
      </c>
      <c r="R1231" s="29" t="s">
        <v>506</v>
      </c>
      <c r="S1231">
        <v>0.2</v>
      </c>
      <c r="T1231">
        <v>5747</v>
      </c>
      <c r="U1231">
        <v>0</v>
      </c>
      <c r="V1231">
        <v>5747</v>
      </c>
    </row>
    <row r="1232" spans="1:22" x14ac:dyDescent="0.3">
      <c r="A1232">
        <v>198256</v>
      </c>
      <c r="B1232">
        <v>454747186</v>
      </c>
      <c r="C1232" t="s">
        <v>5330</v>
      </c>
      <c r="D1232" s="9" t="s">
        <v>5331</v>
      </c>
      <c r="E1232" t="s">
        <v>4207</v>
      </c>
      <c r="F1232" t="s">
        <v>531</v>
      </c>
      <c r="G1232" t="s">
        <v>110</v>
      </c>
      <c r="H1232" t="s">
        <v>111</v>
      </c>
      <c r="I1232" t="s">
        <v>52</v>
      </c>
      <c r="J1232" t="s">
        <v>112</v>
      </c>
      <c r="K1232" t="s">
        <v>29</v>
      </c>
      <c r="L1232" t="s">
        <v>113</v>
      </c>
      <c r="M1232" t="s">
        <v>5332</v>
      </c>
      <c r="N1232" t="s">
        <v>534</v>
      </c>
      <c r="O1232" t="s">
        <v>39</v>
      </c>
      <c r="P1232" t="s">
        <v>5333</v>
      </c>
      <c r="Q1232" t="s">
        <v>75</v>
      </c>
      <c r="R1232" s="29" t="s">
        <v>5334</v>
      </c>
      <c r="S1232">
        <v>0.22</v>
      </c>
      <c r="T1232">
        <v>3927</v>
      </c>
      <c r="U1232">
        <v>0</v>
      </c>
      <c r="V1232">
        <v>3927</v>
      </c>
    </row>
    <row r="1233" spans="1:22" x14ac:dyDescent="0.3">
      <c r="A1233">
        <v>198256</v>
      </c>
      <c r="B1233">
        <v>454541599</v>
      </c>
      <c r="C1233" t="s">
        <v>5335</v>
      </c>
      <c r="D1233" s="9" t="s">
        <v>5336</v>
      </c>
      <c r="E1233" t="s">
        <v>4207</v>
      </c>
      <c r="F1233" t="s">
        <v>531</v>
      </c>
      <c r="G1233" t="s">
        <v>110</v>
      </c>
      <c r="H1233" t="s">
        <v>111</v>
      </c>
      <c r="I1233" t="s">
        <v>52</v>
      </c>
      <c r="J1233" t="s">
        <v>112</v>
      </c>
      <c r="K1233" t="s">
        <v>29</v>
      </c>
      <c r="L1233" t="s">
        <v>113</v>
      </c>
      <c r="M1233" t="s">
        <v>5337</v>
      </c>
      <c r="N1233" t="s">
        <v>534</v>
      </c>
      <c r="O1233" t="s">
        <v>39</v>
      </c>
      <c r="P1233" t="s">
        <v>5338</v>
      </c>
      <c r="Q1233" t="s">
        <v>64</v>
      </c>
      <c r="R1233" s="29" t="s">
        <v>5289</v>
      </c>
      <c r="S1233">
        <v>1.01</v>
      </c>
      <c r="T1233">
        <v>6232</v>
      </c>
      <c r="U1233">
        <v>0</v>
      </c>
      <c r="V1233">
        <v>6232</v>
      </c>
    </row>
    <row r="1234" spans="1:22" x14ac:dyDescent="0.3">
      <c r="A1234">
        <v>198256</v>
      </c>
      <c r="B1234">
        <v>454540660</v>
      </c>
      <c r="C1234" t="s">
        <v>5339</v>
      </c>
      <c r="D1234" s="9" t="s">
        <v>5340</v>
      </c>
      <c r="E1234" t="s">
        <v>4207</v>
      </c>
      <c r="F1234" t="s">
        <v>531</v>
      </c>
      <c r="G1234" t="s">
        <v>110</v>
      </c>
      <c r="H1234" t="s">
        <v>111</v>
      </c>
      <c r="I1234" t="s">
        <v>52</v>
      </c>
      <c r="J1234" t="s">
        <v>112</v>
      </c>
      <c r="K1234" t="s">
        <v>29</v>
      </c>
      <c r="L1234" t="s">
        <v>113</v>
      </c>
      <c r="M1234" t="s">
        <v>353</v>
      </c>
      <c r="N1234" t="s">
        <v>534</v>
      </c>
      <c r="O1234" t="s">
        <v>39</v>
      </c>
      <c r="P1234" t="s">
        <v>5341</v>
      </c>
      <c r="Q1234" t="s">
        <v>220</v>
      </c>
      <c r="R1234" s="29" t="s">
        <v>399</v>
      </c>
      <c r="S1234">
        <v>1.92</v>
      </c>
      <c r="T1234">
        <v>7072</v>
      </c>
      <c r="U1234">
        <v>0</v>
      </c>
      <c r="V1234">
        <v>7072</v>
      </c>
    </row>
    <row r="1235" spans="1:22" x14ac:dyDescent="0.3">
      <c r="A1235">
        <v>198256</v>
      </c>
      <c r="B1235">
        <v>454542095</v>
      </c>
      <c r="C1235" t="s">
        <v>5342</v>
      </c>
      <c r="D1235" s="9" t="s">
        <v>5343</v>
      </c>
      <c r="E1235" t="s">
        <v>4207</v>
      </c>
      <c r="F1235" t="s">
        <v>531</v>
      </c>
      <c r="G1235" t="s">
        <v>110</v>
      </c>
      <c r="H1235" t="s">
        <v>111</v>
      </c>
      <c r="I1235" t="s">
        <v>52</v>
      </c>
      <c r="J1235" t="s">
        <v>112</v>
      </c>
      <c r="K1235" t="s">
        <v>29</v>
      </c>
      <c r="L1235" t="s">
        <v>113</v>
      </c>
      <c r="M1235" t="s">
        <v>400</v>
      </c>
      <c r="N1235" t="s">
        <v>534</v>
      </c>
      <c r="O1235" t="s">
        <v>39</v>
      </c>
      <c r="P1235" t="s">
        <v>401</v>
      </c>
      <c r="Q1235" t="s">
        <v>64</v>
      </c>
      <c r="R1235" s="29" t="s">
        <v>5263</v>
      </c>
      <c r="S1235">
        <v>0.26</v>
      </c>
      <c r="T1235">
        <v>5825</v>
      </c>
      <c r="U1235">
        <v>0</v>
      </c>
      <c r="V1235">
        <v>5825</v>
      </c>
    </row>
    <row r="1236" spans="1:22" x14ac:dyDescent="0.3">
      <c r="A1236">
        <v>198256</v>
      </c>
      <c r="B1236">
        <v>454541525</v>
      </c>
      <c r="C1236" t="s">
        <v>5344</v>
      </c>
      <c r="D1236" s="9" t="s">
        <v>5345</v>
      </c>
      <c r="E1236" t="s">
        <v>4207</v>
      </c>
      <c r="F1236" t="s">
        <v>531</v>
      </c>
      <c r="G1236" t="s">
        <v>110</v>
      </c>
      <c r="H1236" t="s">
        <v>111</v>
      </c>
      <c r="I1236" t="s">
        <v>52</v>
      </c>
      <c r="J1236" t="s">
        <v>112</v>
      </c>
      <c r="K1236" t="s">
        <v>37</v>
      </c>
      <c r="L1236" t="s">
        <v>292</v>
      </c>
      <c r="M1236" t="s">
        <v>5346</v>
      </c>
      <c r="N1236" t="s">
        <v>534</v>
      </c>
      <c r="O1236" t="s">
        <v>39</v>
      </c>
      <c r="P1236" t="s">
        <v>5347</v>
      </c>
      <c r="Q1236" t="s">
        <v>181</v>
      </c>
      <c r="R1236" s="29" t="s">
        <v>5289</v>
      </c>
      <c r="S1236">
        <v>0.23</v>
      </c>
      <c r="T1236">
        <v>6021</v>
      </c>
      <c r="U1236">
        <v>0</v>
      </c>
      <c r="V1236">
        <v>6021</v>
      </c>
    </row>
    <row r="1237" spans="1:22" x14ac:dyDescent="0.3">
      <c r="A1237">
        <v>198256</v>
      </c>
      <c r="B1237">
        <v>454540687</v>
      </c>
      <c r="C1237" t="s">
        <v>5348</v>
      </c>
      <c r="D1237" s="9" t="s">
        <v>5349</v>
      </c>
      <c r="E1237" t="s">
        <v>4207</v>
      </c>
      <c r="F1237" t="s">
        <v>531</v>
      </c>
      <c r="G1237" t="s">
        <v>110</v>
      </c>
      <c r="H1237" t="s">
        <v>111</v>
      </c>
      <c r="I1237" t="s">
        <v>52</v>
      </c>
      <c r="J1237" t="s">
        <v>112</v>
      </c>
      <c r="K1237" t="s">
        <v>29</v>
      </c>
      <c r="L1237" t="s">
        <v>113</v>
      </c>
      <c r="M1237" t="s">
        <v>475</v>
      </c>
      <c r="N1237" t="s">
        <v>534</v>
      </c>
      <c r="O1237" t="s">
        <v>39</v>
      </c>
      <c r="P1237" t="s">
        <v>5350</v>
      </c>
      <c r="Q1237" t="s">
        <v>233</v>
      </c>
      <c r="R1237" s="29" t="s">
        <v>437</v>
      </c>
      <c r="S1237">
        <v>0.24</v>
      </c>
      <c r="T1237">
        <v>5825</v>
      </c>
      <c r="U1237">
        <v>0</v>
      </c>
      <c r="V1237">
        <v>5825</v>
      </c>
    </row>
    <row r="1238" spans="1:22" x14ac:dyDescent="0.3">
      <c r="A1238">
        <v>198256</v>
      </c>
      <c r="B1238">
        <v>454541289</v>
      </c>
      <c r="C1238" t="s">
        <v>5351</v>
      </c>
      <c r="D1238" s="9" t="s">
        <v>5352</v>
      </c>
      <c r="E1238" t="s">
        <v>4207</v>
      </c>
      <c r="F1238" t="s">
        <v>531</v>
      </c>
      <c r="G1238" t="s">
        <v>110</v>
      </c>
      <c r="H1238" t="s">
        <v>111</v>
      </c>
      <c r="I1238" t="s">
        <v>52</v>
      </c>
      <c r="J1238" t="s">
        <v>112</v>
      </c>
      <c r="K1238" t="s">
        <v>29</v>
      </c>
      <c r="L1238" t="s">
        <v>113</v>
      </c>
      <c r="M1238" t="s">
        <v>5353</v>
      </c>
      <c r="N1238" t="s">
        <v>534</v>
      </c>
      <c r="O1238" t="s">
        <v>39</v>
      </c>
      <c r="P1238" t="s">
        <v>5354</v>
      </c>
      <c r="Q1238" t="s">
        <v>157</v>
      </c>
      <c r="R1238" s="29" t="s">
        <v>342</v>
      </c>
      <c r="S1238">
        <v>0.2</v>
      </c>
      <c r="T1238">
        <v>7471</v>
      </c>
      <c r="U1238">
        <v>0</v>
      </c>
      <c r="V1238">
        <v>7471</v>
      </c>
    </row>
    <row r="1239" spans="1:22" x14ac:dyDescent="0.3">
      <c r="A1239">
        <v>198256</v>
      </c>
      <c r="B1239">
        <v>454541628</v>
      </c>
      <c r="C1239" t="s">
        <v>5355</v>
      </c>
      <c r="D1239" s="9" t="s">
        <v>5356</v>
      </c>
      <c r="E1239" t="s">
        <v>4207</v>
      </c>
      <c r="F1239" t="s">
        <v>531</v>
      </c>
      <c r="G1239" t="s">
        <v>110</v>
      </c>
      <c r="H1239" t="s">
        <v>111</v>
      </c>
      <c r="I1239" t="s">
        <v>52</v>
      </c>
      <c r="J1239" t="s">
        <v>112</v>
      </c>
      <c r="K1239" t="s">
        <v>29</v>
      </c>
      <c r="L1239" t="s">
        <v>113</v>
      </c>
      <c r="M1239" t="s">
        <v>5357</v>
      </c>
      <c r="N1239" t="s">
        <v>534</v>
      </c>
      <c r="O1239" t="s">
        <v>39</v>
      </c>
      <c r="P1239" t="s">
        <v>5358</v>
      </c>
      <c r="Q1239" t="s">
        <v>285</v>
      </c>
      <c r="R1239" s="29" t="s">
        <v>5289</v>
      </c>
      <c r="S1239">
        <v>1</v>
      </c>
      <c r="T1239">
        <v>11780</v>
      </c>
      <c r="U1239">
        <v>0</v>
      </c>
      <c r="V1239">
        <v>11780</v>
      </c>
    </row>
    <row r="1240" spans="1:22" x14ac:dyDescent="0.3">
      <c r="A1240">
        <v>198256</v>
      </c>
      <c r="B1240">
        <v>454541538</v>
      </c>
      <c r="C1240" t="s">
        <v>5359</v>
      </c>
      <c r="D1240" s="9" t="s">
        <v>5360</v>
      </c>
      <c r="E1240" t="s">
        <v>4207</v>
      </c>
      <c r="F1240" t="s">
        <v>531</v>
      </c>
      <c r="G1240" t="s">
        <v>110</v>
      </c>
      <c r="H1240" t="s">
        <v>111</v>
      </c>
      <c r="I1240" t="s">
        <v>52</v>
      </c>
      <c r="J1240" t="s">
        <v>112</v>
      </c>
      <c r="K1240" t="s">
        <v>29</v>
      </c>
      <c r="L1240" t="s">
        <v>113</v>
      </c>
      <c r="M1240" t="s">
        <v>5361</v>
      </c>
      <c r="N1240" t="s">
        <v>534</v>
      </c>
      <c r="O1240" t="s">
        <v>39</v>
      </c>
      <c r="P1240" t="s">
        <v>5362</v>
      </c>
      <c r="Q1240" t="s">
        <v>87</v>
      </c>
      <c r="R1240" s="29" t="s">
        <v>5289</v>
      </c>
      <c r="S1240">
        <v>0.24</v>
      </c>
      <c r="T1240">
        <v>5825</v>
      </c>
      <c r="U1240">
        <v>0</v>
      </c>
      <c r="V1240">
        <v>5825</v>
      </c>
    </row>
    <row r="1241" spans="1:22" x14ac:dyDescent="0.3">
      <c r="A1241">
        <v>198256</v>
      </c>
      <c r="B1241">
        <v>454541208</v>
      </c>
      <c r="C1241" t="s">
        <v>5363</v>
      </c>
      <c r="D1241" s="9" t="s">
        <v>5364</v>
      </c>
      <c r="E1241" t="s">
        <v>4207</v>
      </c>
      <c r="F1241" t="s">
        <v>531</v>
      </c>
      <c r="G1241" t="s">
        <v>110</v>
      </c>
      <c r="H1241" t="s">
        <v>111</v>
      </c>
      <c r="I1241" t="s">
        <v>52</v>
      </c>
      <c r="J1241" t="s">
        <v>112</v>
      </c>
      <c r="K1241" t="s">
        <v>29</v>
      </c>
      <c r="L1241" t="s">
        <v>113</v>
      </c>
      <c r="M1241" t="s">
        <v>5365</v>
      </c>
      <c r="N1241" t="s">
        <v>534</v>
      </c>
      <c r="O1241" t="s">
        <v>39</v>
      </c>
      <c r="P1241" t="s">
        <v>5366</v>
      </c>
      <c r="Q1241" t="s">
        <v>197</v>
      </c>
      <c r="R1241" s="29" t="s">
        <v>398</v>
      </c>
      <c r="S1241">
        <v>0.32</v>
      </c>
      <c r="T1241">
        <v>5825</v>
      </c>
      <c r="U1241">
        <v>0</v>
      </c>
      <c r="V1241">
        <v>5825</v>
      </c>
    </row>
    <row r="1242" spans="1:22" x14ac:dyDescent="0.3">
      <c r="A1242">
        <v>198256</v>
      </c>
      <c r="B1242">
        <v>454540650</v>
      </c>
      <c r="C1242" t="s">
        <v>5367</v>
      </c>
      <c r="D1242" s="9" t="s">
        <v>5368</v>
      </c>
      <c r="E1242" t="s">
        <v>4207</v>
      </c>
      <c r="F1242" t="s">
        <v>531</v>
      </c>
      <c r="G1242" t="s">
        <v>110</v>
      </c>
      <c r="H1242" t="s">
        <v>111</v>
      </c>
      <c r="I1242" t="s">
        <v>52</v>
      </c>
      <c r="J1242" t="s">
        <v>112</v>
      </c>
      <c r="K1242" t="s">
        <v>29</v>
      </c>
      <c r="L1242" t="s">
        <v>113</v>
      </c>
      <c r="M1242" t="s">
        <v>5369</v>
      </c>
      <c r="N1242" t="s">
        <v>534</v>
      </c>
      <c r="O1242" t="s">
        <v>39</v>
      </c>
      <c r="P1242" t="s">
        <v>5370</v>
      </c>
      <c r="Q1242" t="s">
        <v>64</v>
      </c>
      <c r="R1242" s="29" t="s">
        <v>399</v>
      </c>
      <c r="S1242">
        <v>0.22</v>
      </c>
      <c r="T1242">
        <v>5825</v>
      </c>
      <c r="U1242">
        <v>0</v>
      </c>
      <c r="V1242">
        <v>5825</v>
      </c>
    </row>
    <row r="1243" spans="1:22" x14ac:dyDescent="0.3">
      <c r="A1243">
        <v>198256</v>
      </c>
      <c r="B1243">
        <v>454540880</v>
      </c>
      <c r="C1243" t="s">
        <v>5371</v>
      </c>
      <c r="D1243" s="9" t="s">
        <v>5372</v>
      </c>
      <c r="E1243" t="s">
        <v>4207</v>
      </c>
      <c r="F1243" t="s">
        <v>531</v>
      </c>
      <c r="G1243" t="s">
        <v>110</v>
      </c>
      <c r="H1243" t="s">
        <v>111</v>
      </c>
      <c r="I1243" t="s">
        <v>52</v>
      </c>
      <c r="J1243" t="s">
        <v>112</v>
      </c>
      <c r="K1243" t="s">
        <v>29</v>
      </c>
      <c r="L1243" t="s">
        <v>113</v>
      </c>
      <c r="M1243" t="s">
        <v>5373</v>
      </c>
      <c r="N1243" t="s">
        <v>534</v>
      </c>
      <c r="O1243" t="s">
        <v>39</v>
      </c>
      <c r="P1243" t="s">
        <v>5374</v>
      </c>
      <c r="Q1243" t="s">
        <v>156</v>
      </c>
      <c r="R1243" s="29" t="s">
        <v>397</v>
      </c>
      <c r="S1243">
        <v>1</v>
      </c>
      <c r="T1243">
        <v>6636</v>
      </c>
      <c r="U1243">
        <v>0</v>
      </c>
      <c r="V1243">
        <v>6636</v>
      </c>
    </row>
    <row r="1244" spans="1:22" x14ac:dyDescent="0.3">
      <c r="A1244">
        <v>198256</v>
      </c>
      <c r="B1244">
        <v>454540570</v>
      </c>
      <c r="C1244" t="s">
        <v>5375</v>
      </c>
      <c r="D1244" s="9" t="s">
        <v>5376</v>
      </c>
      <c r="E1244" t="s">
        <v>4207</v>
      </c>
      <c r="F1244" t="s">
        <v>531</v>
      </c>
      <c r="G1244" t="s">
        <v>110</v>
      </c>
      <c r="H1244" t="s">
        <v>111</v>
      </c>
      <c r="I1244" t="s">
        <v>52</v>
      </c>
      <c r="J1244" t="s">
        <v>112</v>
      </c>
      <c r="K1244" t="s">
        <v>29</v>
      </c>
      <c r="L1244" t="s">
        <v>113</v>
      </c>
      <c r="M1244" t="s">
        <v>5377</v>
      </c>
      <c r="N1244" t="s">
        <v>534</v>
      </c>
      <c r="O1244" t="s">
        <v>39</v>
      </c>
      <c r="P1244" t="s">
        <v>5378</v>
      </c>
      <c r="Q1244" t="s">
        <v>87</v>
      </c>
      <c r="R1244" s="29" t="s">
        <v>399</v>
      </c>
      <c r="S1244">
        <v>0.2</v>
      </c>
      <c r="T1244">
        <v>5825</v>
      </c>
      <c r="U1244">
        <v>0</v>
      </c>
      <c r="V1244">
        <v>5825</v>
      </c>
    </row>
    <row r="1245" spans="1:22" x14ac:dyDescent="0.3">
      <c r="A1245">
        <v>198256</v>
      </c>
      <c r="B1245">
        <v>454540967</v>
      </c>
      <c r="C1245" t="s">
        <v>5379</v>
      </c>
      <c r="D1245" s="9" t="s">
        <v>5380</v>
      </c>
      <c r="E1245" t="s">
        <v>4207</v>
      </c>
      <c r="F1245" t="s">
        <v>531</v>
      </c>
      <c r="G1245" t="s">
        <v>110</v>
      </c>
      <c r="H1245" t="s">
        <v>111</v>
      </c>
      <c r="I1245" t="s">
        <v>52</v>
      </c>
      <c r="J1245" t="s">
        <v>112</v>
      </c>
      <c r="K1245" t="s">
        <v>29</v>
      </c>
      <c r="L1245" t="s">
        <v>113</v>
      </c>
      <c r="M1245" t="s">
        <v>5381</v>
      </c>
      <c r="N1245" t="s">
        <v>534</v>
      </c>
      <c r="O1245" t="s">
        <v>39</v>
      </c>
      <c r="P1245" t="s">
        <v>5382</v>
      </c>
      <c r="Q1245" t="s">
        <v>75</v>
      </c>
      <c r="R1245" s="29" t="s">
        <v>397</v>
      </c>
      <c r="S1245">
        <v>0.23</v>
      </c>
      <c r="T1245">
        <v>3927</v>
      </c>
      <c r="U1245">
        <v>0</v>
      </c>
      <c r="V1245">
        <v>3927</v>
      </c>
    </row>
    <row r="1246" spans="1:22" x14ac:dyDescent="0.3">
      <c r="A1246">
        <v>198256</v>
      </c>
      <c r="B1246">
        <v>454595006</v>
      </c>
      <c r="C1246" t="s">
        <v>5383</v>
      </c>
      <c r="D1246" s="9" t="s">
        <v>5384</v>
      </c>
      <c r="E1246" t="s">
        <v>4207</v>
      </c>
      <c r="F1246" t="s">
        <v>531</v>
      </c>
      <c r="G1246" t="s">
        <v>110</v>
      </c>
      <c r="H1246" t="s">
        <v>111</v>
      </c>
      <c r="I1246" t="s">
        <v>52</v>
      </c>
      <c r="J1246" t="s">
        <v>112</v>
      </c>
      <c r="K1246" t="s">
        <v>29</v>
      </c>
      <c r="L1246" t="s">
        <v>113</v>
      </c>
      <c r="M1246" t="s">
        <v>353</v>
      </c>
      <c r="N1246" t="s">
        <v>534</v>
      </c>
      <c r="O1246" t="s">
        <v>39</v>
      </c>
      <c r="P1246" t="s">
        <v>5385</v>
      </c>
      <c r="Q1246" t="s">
        <v>220</v>
      </c>
      <c r="R1246" s="29" t="s">
        <v>5386</v>
      </c>
      <c r="S1246">
        <v>1.53</v>
      </c>
      <c r="T1246">
        <v>7072</v>
      </c>
      <c r="U1246">
        <v>0</v>
      </c>
      <c r="V1246">
        <v>7072</v>
      </c>
    </row>
    <row r="1247" spans="1:22" x14ac:dyDescent="0.3">
      <c r="A1247">
        <v>198256</v>
      </c>
      <c r="B1247">
        <v>454594989</v>
      </c>
      <c r="C1247" t="s">
        <v>5387</v>
      </c>
      <c r="D1247" s="9" t="s">
        <v>5388</v>
      </c>
      <c r="E1247" t="s">
        <v>4207</v>
      </c>
      <c r="F1247" t="s">
        <v>531</v>
      </c>
      <c r="G1247" t="s">
        <v>110</v>
      </c>
      <c r="H1247" t="s">
        <v>111</v>
      </c>
      <c r="I1247" t="s">
        <v>52</v>
      </c>
      <c r="J1247" t="s">
        <v>112</v>
      </c>
      <c r="K1247" t="s">
        <v>29</v>
      </c>
      <c r="L1247" t="s">
        <v>113</v>
      </c>
      <c r="M1247" t="s">
        <v>5389</v>
      </c>
      <c r="N1247" t="s">
        <v>534</v>
      </c>
      <c r="O1247" t="s">
        <v>39</v>
      </c>
      <c r="P1247" t="s">
        <v>5390</v>
      </c>
      <c r="Q1247" t="s">
        <v>155</v>
      </c>
      <c r="R1247" s="29" t="s">
        <v>308</v>
      </c>
      <c r="S1247">
        <v>1</v>
      </c>
      <c r="T1247">
        <v>4072</v>
      </c>
      <c r="U1247">
        <v>0</v>
      </c>
      <c r="V1247">
        <v>4072</v>
      </c>
    </row>
    <row r="1248" spans="1:22" x14ac:dyDescent="0.3">
      <c r="A1248">
        <v>198256</v>
      </c>
      <c r="B1248">
        <v>455088911</v>
      </c>
      <c r="C1248" t="s">
        <v>5391</v>
      </c>
      <c r="D1248" s="9" t="s">
        <v>5392</v>
      </c>
      <c r="E1248" t="s">
        <v>4207</v>
      </c>
      <c r="F1248" t="s">
        <v>531</v>
      </c>
      <c r="G1248" t="s">
        <v>110</v>
      </c>
      <c r="H1248" t="s">
        <v>111</v>
      </c>
      <c r="I1248" t="s">
        <v>52</v>
      </c>
      <c r="J1248" t="s">
        <v>112</v>
      </c>
      <c r="K1248" t="s">
        <v>29</v>
      </c>
      <c r="L1248" t="s">
        <v>113</v>
      </c>
      <c r="M1248" t="s">
        <v>366</v>
      </c>
      <c r="N1248" t="s">
        <v>534</v>
      </c>
      <c r="O1248" t="s">
        <v>39</v>
      </c>
      <c r="P1248" t="s">
        <v>5393</v>
      </c>
      <c r="Q1248" t="s">
        <v>64</v>
      </c>
      <c r="R1248" s="29" t="s">
        <v>421</v>
      </c>
      <c r="S1248">
        <v>2.34</v>
      </c>
      <c r="T1248">
        <v>7072</v>
      </c>
      <c r="U1248">
        <v>0</v>
      </c>
      <c r="V1248">
        <v>7072</v>
      </c>
    </row>
    <row r="1249" spans="1:22" x14ac:dyDescent="0.3">
      <c r="A1249">
        <v>198256</v>
      </c>
      <c r="B1249">
        <v>454948550</v>
      </c>
      <c r="C1249" t="s">
        <v>5394</v>
      </c>
      <c r="D1249" s="9" t="s">
        <v>5395</v>
      </c>
      <c r="E1249" t="s">
        <v>4207</v>
      </c>
      <c r="F1249" t="s">
        <v>531</v>
      </c>
      <c r="G1249" t="s">
        <v>110</v>
      </c>
      <c r="H1249" t="s">
        <v>111</v>
      </c>
      <c r="I1249" t="s">
        <v>52</v>
      </c>
      <c r="J1249" t="s">
        <v>112</v>
      </c>
      <c r="K1249" t="s">
        <v>29</v>
      </c>
      <c r="L1249" t="s">
        <v>113</v>
      </c>
      <c r="M1249" t="s">
        <v>5396</v>
      </c>
      <c r="N1249" t="s">
        <v>534</v>
      </c>
      <c r="O1249" t="s">
        <v>39</v>
      </c>
      <c r="P1249" t="s">
        <v>5397</v>
      </c>
      <c r="Q1249" t="s">
        <v>197</v>
      </c>
      <c r="R1249" s="29" t="s">
        <v>5216</v>
      </c>
      <c r="S1249">
        <v>1</v>
      </c>
      <c r="T1249">
        <v>6232</v>
      </c>
      <c r="U1249">
        <v>0</v>
      </c>
      <c r="V1249">
        <v>6232</v>
      </c>
    </row>
    <row r="1250" spans="1:22" x14ac:dyDescent="0.3">
      <c r="A1250">
        <v>198256</v>
      </c>
      <c r="B1250">
        <v>454948703</v>
      </c>
      <c r="C1250" t="s">
        <v>5398</v>
      </c>
      <c r="D1250" s="9" t="s">
        <v>5399</v>
      </c>
      <c r="E1250" t="s">
        <v>4207</v>
      </c>
      <c r="F1250" t="s">
        <v>531</v>
      </c>
      <c r="G1250" t="s">
        <v>110</v>
      </c>
      <c r="H1250" t="s">
        <v>111</v>
      </c>
      <c r="I1250" t="s">
        <v>52</v>
      </c>
      <c r="J1250" t="s">
        <v>112</v>
      </c>
      <c r="K1250" t="s">
        <v>29</v>
      </c>
      <c r="L1250" t="s">
        <v>113</v>
      </c>
      <c r="M1250" t="s">
        <v>495</v>
      </c>
      <c r="N1250" t="s">
        <v>534</v>
      </c>
      <c r="O1250" t="s">
        <v>39</v>
      </c>
      <c r="P1250" t="s">
        <v>5400</v>
      </c>
      <c r="Q1250" t="s">
        <v>242</v>
      </c>
      <c r="R1250" s="29" t="s">
        <v>526</v>
      </c>
      <c r="S1250">
        <v>1</v>
      </c>
      <c r="T1250">
        <v>11371</v>
      </c>
      <c r="U1250">
        <v>0</v>
      </c>
      <c r="V1250">
        <v>11371</v>
      </c>
    </row>
    <row r="1251" spans="1:22" x14ac:dyDescent="0.3">
      <c r="A1251">
        <v>198256</v>
      </c>
      <c r="B1251">
        <v>454948709</v>
      </c>
      <c r="C1251" t="s">
        <v>5401</v>
      </c>
      <c r="D1251" s="9" t="s">
        <v>5402</v>
      </c>
      <c r="E1251" t="s">
        <v>4207</v>
      </c>
      <c r="F1251" t="s">
        <v>531</v>
      </c>
      <c r="G1251" t="s">
        <v>110</v>
      </c>
      <c r="H1251" t="s">
        <v>111</v>
      </c>
      <c r="I1251" t="s">
        <v>52</v>
      </c>
      <c r="J1251" t="s">
        <v>112</v>
      </c>
      <c r="K1251" t="s">
        <v>29</v>
      </c>
      <c r="L1251" t="s">
        <v>113</v>
      </c>
      <c r="M1251" t="s">
        <v>5403</v>
      </c>
      <c r="N1251" t="s">
        <v>534</v>
      </c>
      <c r="O1251" t="s">
        <v>39</v>
      </c>
      <c r="P1251" t="s">
        <v>5404</v>
      </c>
      <c r="Q1251" t="s">
        <v>87</v>
      </c>
      <c r="R1251" s="29" t="s">
        <v>526</v>
      </c>
      <c r="S1251">
        <v>0.28999999999999998</v>
      </c>
      <c r="T1251">
        <v>5825</v>
      </c>
      <c r="U1251">
        <v>0</v>
      </c>
      <c r="V1251">
        <v>5825</v>
      </c>
    </row>
    <row r="1252" spans="1:22" x14ac:dyDescent="0.3">
      <c r="A1252">
        <v>198256</v>
      </c>
      <c r="B1252">
        <v>454948712</v>
      </c>
      <c r="C1252" t="s">
        <v>5405</v>
      </c>
      <c r="D1252" s="9" t="s">
        <v>5406</v>
      </c>
      <c r="E1252" t="s">
        <v>4207</v>
      </c>
      <c r="F1252" t="s">
        <v>531</v>
      </c>
      <c r="G1252" t="s">
        <v>110</v>
      </c>
      <c r="H1252" t="s">
        <v>111</v>
      </c>
      <c r="I1252" t="s">
        <v>52</v>
      </c>
      <c r="J1252" t="s">
        <v>112</v>
      </c>
      <c r="K1252" t="s">
        <v>29</v>
      </c>
      <c r="L1252" t="s">
        <v>113</v>
      </c>
      <c r="M1252" t="s">
        <v>5407</v>
      </c>
      <c r="N1252" t="s">
        <v>534</v>
      </c>
      <c r="O1252" t="s">
        <v>39</v>
      </c>
      <c r="P1252" t="s">
        <v>5408</v>
      </c>
      <c r="Q1252" t="s">
        <v>224</v>
      </c>
      <c r="R1252" s="29" t="s">
        <v>526</v>
      </c>
      <c r="S1252">
        <v>0.2</v>
      </c>
      <c r="T1252">
        <v>6203</v>
      </c>
      <c r="U1252">
        <v>0</v>
      </c>
      <c r="V1252">
        <v>6203</v>
      </c>
    </row>
    <row r="1253" spans="1:22" x14ac:dyDescent="0.3">
      <c r="A1253">
        <v>198256</v>
      </c>
      <c r="B1253">
        <v>454948737</v>
      </c>
      <c r="C1253" t="s">
        <v>5409</v>
      </c>
      <c r="D1253" s="9" t="s">
        <v>5410</v>
      </c>
      <c r="E1253" t="s">
        <v>4207</v>
      </c>
      <c r="F1253" t="s">
        <v>531</v>
      </c>
      <c r="G1253" t="s">
        <v>110</v>
      </c>
      <c r="H1253" t="s">
        <v>111</v>
      </c>
      <c r="I1253" t="s">
        <v>52</v>
      </c>
      <c r="J1253" t="s">
        <v>112</v>
      </c>
      <c r="K1253" t="s">
        <v>29</v>
      </c>
      <c r="L1253" t="s">
        <v>113</v>
      </c>
      <c r="M1253" t="s">
        <v>5411</v>
      </c>
      <c r="N1253" t="s">
        <v>534</v>
      </c>
      <c r="O1253" t="s">
        <v>39</v>
      </c>
      <c r="P1253" t="s">
        <v>5412</v>
      </c>
      <c r="Q1253" t="s">
        <v>92</v>
      </c>
      <c r="R1253" s="29" t="s">
        <v>526</v>
      </c>
      <c r="S1253">
        <v>1.7</v>
      </c>
      <c r="T1253">
        <v>7370</v>
      </c>
      <c r="U1253">
        <v>0</v>
      </c>
      <c r="V1253">
        <v>7370</v>
      </c>
    </row>
    <row r="1254" spans="1:22" x14ac:dyDescent="0.3">
      <c r="A1254">
        <v>198256</v>
      </c>
      <c r="B1254">
        <v>454948749</v>
      </c>
      <c r="C1254" t="s">
        <v>5413</v>
      </c>
      <c r="D1254" s="9" t="s">
        <v>5414</v>
      </c>
      <c r="E1254" t="s">
        <v>4207</v>
      </c>
      <c r="F1254" t="s">
        <v>531</v>
      </c>
      <c r="G1254" t="s">
        <v>110</v>
      </c>
      <c r="H1254" t="s">
        <v>111</v>
      </c>
      <c r="I1254" t="s">
        <v>52</v>
      </c>
      <c r="J1254" t="s">
        <v>112</v>
      </c>
      <c r="K1254" t="s">
        <v>29</v>
      </c>
      <c r="L1254" t="s">
        <v>113</v>
      </c>
      <c r="M1254" t="s">
        <v>5415</v>
      </c>
      <c r="N1254" t="s">
        <v>534</v>
      </c>
      <c r="O1254" t="s">
        <v>39</v>
      </c>
      <c r="P1254" t="s">
        <v>5416</v>
      </c>
      <c r="Q1254" t="s">
        <v>75</v>
      </c>
      <c r="R1254" s="29" t="s">
        <v>526</v>
      </c>
      <c r="S1254">
        <v>2</v>
      </c>
      <c r="T1254">
        <v>4335</v>
      </c>
      <c r="U1254">
        <v>0</v>
      </c>
      <c r="V1254">
        <v>4335</v>
      </c>
    </row>
    <row r="1255" spans="1:22" x14ac:dyDescent="0.3">
      <c r="A1255">
        <v>198256</v>
      </c>
      <c r="B1255">
        <v>454965937</v>
      </c>
      <c r="C1255" t="s">
        <v>5417</v>
      </c>
      <c r="D1255" s="9" t="s">
        <v>5418</v>
      </c>
      <c r="E1255" t="s">
        <v>4207</v>
      </c>
      <c r="F1255" t="s">
        <v>531</v>
      </c>
      <c r="G1255" t="s">
        <v>110</v>
      </c>
      <c r="H1255" t="s">
        <v>111</v>
      </c>
      <c r="I1255" t="s">
        <v>52</v>
      </c>
      <c r="J1255" t="s">
        <v>112</v>
      </c>
      <c r="K1255" t="s">
        <v>29</v>
      </c>
      <c r="L1255" t="s">
        <v>113</v>
      </c>
      <c r="M1255" t="s">
        <v>5419</v>
      </c>
      <c r="N1255" t="s">
        <v>534</v>
      </c>
      <c r="O1255" t="s">
        <v>39</v>
      </c>
      <c r="P1255" t="s">
        <v>5420</v>
      </c>
      <c r="Q1255" t="s">
        <v>46</v>
      </c>
      <c r="R1255" s="29" t="s">
        <v>480</v>
      </c>
      <c r="S1255">
        <v>0.16</v>
      </c>
      <c r="T1255">
        <v>3927</v>
      </c>
      <c r="U1255">
        <v>0</v>
      </c>
      <c r="V1255">
        <v>3927</v>
      </c>
    </row>
    <row r="1256" spans="1:22" x14ac:dyDescent="0.3">
      <c r="A1256">
        <v>198256</v>
      </c>
      <c r="B1256">
        <v>454965979</v>
      </c>
      <c r="C1256" t="s">
        <v>5421</v>
      </c>
      <c r="D1256" s="9" t="s">
        <v>5422</v>
      </c>
      <c r="E1256" t="s">
        <v>4207</v>
      </c>
      <c r="F1256" t="s">
        <v>531</v>
      </c>
      <c r="G1256" t="s">
        <v>110</v>
      </c>
      <c r="H1256" t="s">
        <v>111</v>
      </c>
      <c r="I1256" t="s">
        <v>52</v>
      </c>
      <c r="J1256" t="s">
        <v>112</v>
      </c>
      <c r="K1256" t="s">
        <v>29</v>
      </c>
      <c r="L1256" t="s">
        <v>113</v>
      </c>
      <c r="M1256" t="s">
        <v>5423</v>
      </c>
      <c r="N1256" t="s">
        <v>534</v>
      </c>
      <c r="O1256" t="s">
        <v>39</v>
      </c>
      <c r="P1256" t="s">
        <v>5424</v>
      </c>
      <c r="Q1256" t="s">
        <v>75</v>
      </c>
      <c r="R1256" s="29" t="s">
        <v>480</v>
      </c>
      <c r="S1256">
        <v>1</v>
      </c>
      <c r="T1256">
        <v>4072</v>
      </c>
      <c r="U1256">
        <v>0</v>
      </c>
      <c r="V1256">
        <v>4072</v>
      </c>
    </row>
    <row r="1257" spans="1:22" x14ac:dyDescent="0.3">
      <c r="A1257">
        <v>197597</v>
      </c>
      <c r="B1257">
        <v>454825773</v>
      </c>
      <c r="C1257">
        <v>3296</v>
      </c>
      <c r="D1257" s="9">
        <v>270015973</v>
      </c>
      <c r="E1257" t="s">
        <v>5425</v>
      </c>
      <c r="F1257" t="s">
        <v>531</v>
      </c>
      <c r="G1257" t="s">
        <v>30</v>
      </c>
      <c r="H1257" t="s">
        <v>31</v>
      </c>
      <c r="I1257" t="s">
        <v>52</v>
      </c>
      <c r="J1257" t="s">
        <v>32</v>
      </c>
      <c r="K1257" t="s">
        <v>29</v>
      </c>
      <c r="L1257" t="s">
        <v>5426</v>
      </c>
      <c r="M1257" t="s">
        <v>381</v>
      </c>
      <c r="N1257" t="s">
        <v>534</v>
      </c>
      <c r="O1257" t="s">
        <v>39</v>
      </c>
      <c r="P1257" t="s">
        <v>5427</v>
      </c>
      <c r="Q1257" t="s">
        <v>36</v>
      </c>
      <c r="R1257" s="29">
        <v>46153.972916666666</v>
      </c>
      <c r="S1257">
        <v>1.87</v>
      </c>
      <c r="T1257">
        <v>5564</v>
      </c>
      <c r="U1257">
        <v>0</v>
      </c>
      <c r="V1257">
        <v>5564</v>
      </c>
    </row>
    <row r="1258" spans="1:22" x14ac:dyDescent="0.3">
      <c r="A1258">
        <v>197597</v>
      </c>
      <c r="B1258">
        <v>454492918</v>
      </c>
      <c r="C1258">
        <v>3279</v>
      </c>
      <c r="D1258" s="9">
        <v>269377124</v>
      </c>
      <c r="E1258" t="s">
        <v>5425</v>
      </c>
      <c r="F1258" t="s">
        <v>531</v>
      </c>
      <c r="G1258" t="s">
        <v>30</v>
      </c>
      <c r="H1258" t="s">
        <v>31</v>
      </c>
      <c r="I1258" t="s">
        <v>52</v>
      </c>
      <c r="J1258" t="s">
        <v>32</v>
      </c>
      <c r="K1258" t="s">
        <v>29</v>
      </c>
      <c r="L1258" t="s">
        <v>5428</v>
      </c>
      <c r="M1258" t="s">
        <v>5429</v>
      </c>
      <c r="N1258" t="s">
        <v>534</v>
      </c>
      <c r="O1258" t="s">
        <v>39</v>
      </c>
      <c r="P1258" t="s">
        <v>5430</v>
      </c>
      <c r="Q1258" t="s">
        <v>88</v>
      </c>
      <c r="R1258" s="29">
        <v>46144.938888888886</v>
      </c>
      <c r="S1258">
        <v>1</v>
      </c>
      <c r="T1258">
        <v>3631</v>
      </c>
      <c r="U1258">
        <v>0</v>
      </c>
      <c r="V1258">
        <v>3631</v>
      </c>
    </row>
    <row r="1259" spans="1:22" x14ac:dyDescent="0.3">
      <c r="A1259">
        <v>197597</v>
      </c>
      <c r="B1259">
        <v>454301090</v>
      </c>
      <c r="C1259">
        <v>3258</v>
      </c>
      <c r="D1259" s="9">
        <v>269040514</v>
      </c>
      <c r="E1259" t="s">
        <v>5425</v>
      </c>
      <c r="F1259" t="s">
        <v>531</v>
      </c>
      <c r="G1259" t="s">
        <v>30</v>
      </c>
      <c r="H1259" t="s">
        <v>31</v>
      </c>
      <c r="I1259" t="s">
        <v>52</v>
      </c>
      <c r="J1259" t="s">
        <v>32</v>
      </c>
      <c r="K1259" t="s">
        <v>29</v>
      </c>
      <c r="L1259" t="s">
        <v>5431</v>
      </c>
      <c r="M1259" t="s">
        <v>5432</v>
      </c>
      <c r="N1259" t="s">
        <v>534</v>
      </c>
      <c r="O1259" t="s">
        <v>39</v>
      </c>
      <c r="P1259" t="s">
        <v>5433</v>
      </c>
      <c r="Q1259" t="s">
        <v>73</v>
      </c>
      <c r="R1259" s="29">
        <v>46139.390972222223</v>
      </c>
      <c r="S1259">
        <v>1</v>
      </c>
      <c r="T1259">
        <v>3250</v>
      </c>
      <c r="U1259">
        <v>0</v>
      </c>
      <c r="V1259">
        <v>3250</v>
      </c>
    </row>
    <row r="1260" spans="1:22" x14ac:dyDescent="0.3">
      <c r="A1260">
        <v>8326</v>
      </c>
      <c r="B1260">
        <v>141720375</v>
      </c>
      <c r="C1260" t="s">
        <v>5434</v>
      </c>
      <c r="D1260" s="9">
        <v>269807459</v>
      </c>
      <c r="E1260" t="s">
        <v>5435</v>
      </c>
      <c r="F1260" t="s">
        <v>531</v>
      </c>
      <c r="G1260" t="s">
        <v>30</v>
      </c>
      <c r="H1260" t="s">
        <v>31</v>
      </c>
      <c r="I1260" t="s">
        <v>52</v>
      </c>
      <c r="J1260" t="s">
        <v>115</v>
      </c>
      <c r="K1260" t="s">
        <v>102</v>
      </c>
      <c r="L1260" t="s">
        <v>103</v>
      </c>
      <c r="M1260" t="s">
        <v>5436</v>
      </c>
      <c r="N1260" t="s">
        <v>534</v>
      </c>
      <c r="O1260" t="s">
        <v>39</v>
      </c>
      <c r="P1260" t="s">
        <v>5437</v>
      </c>
      <c r="Q1260" t="s">
        <v>221</v>
      </c>
      <c r="R1260" s="29">
        <v>46132.583333333336</v>
      </c>
      <c r="S1260">
        <v>0.5</v>
      </c>
      <c r="T1260">
        <v>4348.74</v>
      </c>
      <c r="U1260">
        <v>0</v>
      </c>
      <c r="V1260">
        <v>4348.74</v>
      </c>
    </row>
    <row r="1261" spans="1:22" x14ac:dyDescent="0.3">
      <c r="A1261">
        <v>8326</v>
      </c>
      <c r="B1261">
        <v>455091278</v>
      </c>
      <c r="C1261" t="s">
        <v>5438</v>
      </c>
      <c r="D1261" s="9">
        <v>270562117</v>
      </c>
      <c r="E1261" t="s">
        <v>5435</v>
      </c>
      <c r="F1261" t="s">
        <v>531</v>
      </c>
      <c r="G1261" t="s">
        <v>30</v>
      </c>
      <c r="H1261" t="s">
        <v>31</v>
      </c>
      <c r="I1261" t="s">
        <v>52</v>
      </c>
      <c r="J1261" t="s">
        <v>115</v>
      </c>
      <c r="K1261" t="s">
        <v>29</v>
      </c>
      <c r="L1261" t="s">
        <v>5439</v>
      </c>
      <c r="M1261" t="s">
        <v>5440</v>
      </c>
      <c r="N1261" t="s">
        <v>534</v>
      </c>
      <c r="O1261" t="s">
        <v>39</v>
      </c>
      <c r="P1261" t="s">
        <v>5441</v>
      </c>
      <c r="Q1261" t="s">
        <v>38</v>
      </c>
      <c r="R1261" s="29">
        <v>46162.505555555559</v>
      </c>
      <c r="S1261">
        <v>0.5</v>
      </c>
      <c r="T1261">
        <v>3193</v>
      </c>
      <c r="U1261">
        <v>0</v>
      </c>
      <c r="V1261">
        <v>3193</v>
      </c>
    </row>
    <row r="1262" spans="1:22" x14ac:dyDescent="0.3">
      <c r="A1262">
        <v>8326</v>
      </c>
      <c r="B1262">
        <v>455027490</v>
      </c>
      <c r="C1262" t="s">
        <v>5442</v>
      </c>
      <c r="D1262" s="9">
        <v>270426416</v>
      </c>
      <c r="E1262" t="s">
        <v>5435</v>
      </c>
      <c r="F1262" t="s">
        <v>531</v>
      </c>
      <c r="G1262" t="s">
        <v>30</v>
      </c>
      <c r="H1262" t="s">
        <v>31</v>
      </c>
      <c r="I1262" t="s">
        <v>52</v>
      </c>
      <c r="J1262" t="s">
        <v>115</v>
      </c>
      <c r="K1262" t="s">
        <v>29</v>
      </c>
      <c r="L1262" t="s">
        <v>5443</v>
      </c>
      <c r="M1262" t="s">
        <v>126</v>
      </c>
      <c r="N1262" t="s">
        <v>534</v>
      </c>
      <c r="O1262" t="s">
        <v>39</v>
      </c>
      <c r="P1262" t="s">
        <v>5444</v>
      </c>
      <c r="Q1262" t="s">
        <v>69</v>
      </c>
      <c r="R1262" s="29">
        <v>46160.60833333333</v>
      </c>
      <c r="S1262">
        <v>1</v>
      </c>
      <c r="T1262">
        <v>5024</v>
      </c>
      <c r="U1262">
        <v>0</v>
      </c>
      <c r="V1262">
        <v>5024</v>
      </c>
    </row>
    <row r="1263" spans="1:22" x14ac:dyDescent="0.3">
      <c r="A1263">
        <v>8326</v>
      </c>
      <c r="B1263">
        <v>455060046</v>
      </c>
      <c r="C1263" t="s">
        <v>5445</v>
      </c>
      <c r="D1263" s="9">
        <v>270497546</v>
      </c>
      <c r="E1263" t="s">
        <v>5435</v>
      </c>
      <c r="F1263" t="s">
        <v>531</v>
      </c>
      <c r="G1263" t="s">
        <v>30</v>
      </c>
      <c r="H1263" t="s">
        <v>31</v>
      </c>
      <c r="I1263" t="s">
        <v>52</v>
      </c>
      <c r="J1263" t="s">
        <v>115</v>
      </c>
      <c r="K1263" t="s">
        <v>29</v>
      </c>
      <c r="L1263" t="s">
        <v>5446</v>
      </c>
      <c r="M1263" t="s">
        <v>5447</v>
      </c>
      <c r="N1263" t="s">
        <v>534</v>
      </c>
      <c r="O1263" t="s">
        <v>39</v>
      </c>
      <c r="P1263" t="s">
        <v>5448</v>
      </c>
      <c r="Q1263" t="s">
        <v>71</v>
      </c>
      <c r="R1263" s="29">
        <v>46161.551388888889</v>
      </c>
      <c r="S1263">
        <v>0.5</v>
      </c>
      <c r="T1263">
        <v>3552</v>
      </c>
      <c r="U1263">
        <v>0</v>
      </c>
      <c r="V1263">
        <v>3552</v>
      </c>
    </row>
    <row r="1264" spans="1:22" x14ac:dyDescent="0.3">
      <c r="A1264">
        <v>8326</v>
      </c>
      <c r="B1264">
        <v>455021002</v>
      </c>
      <c r="C1264" t="s">
        <v>5449</v>
      </c>
      <c r="D1264" s="9">
        <v>270411068</v>
      </c>
      <c r="E1264" t="s">
        <v>5435</v>
      </c>
      <c r="F1264" t="s">
        <v>531</v>
      </c>
      <c r="G1264" t="s">
        <v>30</v>
      </c>
      <c r="H1264" t="s">
        <v>31</v>
      </c>
      <c r="I1264" t="s">
        <v>52</v>
      </c>
      <c r="J1264" t="s">
        <v>115</v>
      </c>
      <c r="K1264" t="s">
        <v>29</v>
      </c>
      <c r="L1264" t="s">
        <v>378</v>
      </c>
      <c r="M1264" t="s">
        <v>5450</v>
      </c>
      <c r="N1264" t="s">
        <v>534</v>
      </c>
      <c r="O1264" t="s">
        <v>39</v>
      </c>
      <c r="P1264" t="s">
        <v>5451</v>
      </c>
      <c r="Q1264" t="s">
        <v>63</v>
      </c>
      <c r="R1264" s="29">
        <v>46160.518055555556</v>
      </c>
      <c r="S1264">
        <v>1.06</v>
      </c>
      <c r="T1264">
        <v>3384</v>
      </c>
      <c r="U1264">
        <v>0</v>
      </c>
      <c r="V1264">
        <v>3384</v>
      </c>
    </row>
    <row r="1265" spans="1:22" x14ac:dyDescent="0.3">
      <c r="A1265">
        <v>8326</v>
      </c>
      <c r="B1265">
        <v>455020761</v>
      </c>
      <c r="C1265" t="s">
        <v>5452</v>
      </c>
      <c r="D1265" s="9">
        <v>270411118</v>
      </c>
      <c r="E1265" t="s">
        <v>5435</v>
      </c>
      <c r="F1265" t="s">
        <v>531</v>
      </c>
      <c r="G1265" t="s">
        <v>30</v>
      </c>
      <c r="H1265" t="s">
        <v>31</v>
      </c>
      <c r="I1265" t="s">
        <v>52</v>
      </c>
      <c r="J1265" t="s">
        <v>115</v>
      </c>
      <c r="K1265" t="s">
        <v>29</v>
      </c>
      <c r="L1265" t="s">
        <v>5453</v>
      </c>
      <c r="M1265" t="s">
        <v>5454</v>
      </c>
      <c r="N1265" t="s">
        <v>534</v>
      </c>
      <c r="O1265" t="s">
        <v>39</v>
      </c>
      <c r="P1265" t="s">
        <v>5455</v>
      </c>
      <c r="Q1265" t="s">
        <v>76</v>
      </c>
      <c r="R1265" s="29">
        <v>46160.515972222223</v>
      </c>
      <c r="S1265">
        <v>0.92</v>
      </c>
      <c r="T1265">
        <v>3653</v>
      </c>
      <c r="U1265">
        <v>0</v>
      </c>
      <c r="V1265">
        <v>3653</v>
      </c>
    </row>
    <row r="1266" spans="1:22" x14ac:dyDescent="0.3">
      <c r="A1266">
        <v>8326</v>
      </c>
      <c r="B1266">
        <v>455020842</v>
      </c>
      <c r="C1266" t="s">
        <v>5456</v>
      </c>
      <c r="D1266" s="9">
        <v>270411101</v>
      </c>
      <c r="E1266" t="s">
        <v>5435</v>
      </c>
      <c r="F1266" t="s">
        <v>531</v>
      </c>
      <c r="G1266" t="s">
        <v>30</v>
      </c>
      <c r="H1266" t="s">
        <v>31</v>
      </c>
      <c r="I1266" t="s">
        <v>52</v>
      </c>
      <c r="J1266" t="s">
        <v>115</v>
      </c>
      <c r="K1266" t="s">
        <v>29</v>
      </c>
      <c r="L1266" t="s">
        <v>5457</v>
      </c>
      <c r="M1266" t="s">
        <v>283</v>
      </c>
      <c r="N1266" t="s">
        <v>534</v>
      </c>
      <c r="O1266" t="s">
        <v>39</v>
      </c>
      <c r="P1266" t="s">
        <v>5458</v>
      </c>
      <c r="Q1266" t="s">
        <v>78</v>
      </c>
      <c r="R1266" s="29">
        <v>46160.517361111109</v>
      </c>
      <c r="S1266">
        <v>0.89</v>
      </c>
      <c r="T1266">
        <v>3250</v>
      </c>
      <c r="U1266">
        <v>0</v>
      </c>
      <c r="V1266">
        <v>3250</v>
      </c>
    </row>
    <row r="1267" spans="1:22" x14ac:dyDescent="0.3">
      <c r="A1267">
        <v>8326</v>
      </c>
      <c r="B1267">
        <v>454949938</v>
      </c>
      <c r="C1267" t="s">
        <v>5459</v>
      </c>
      <c r="D1267" s="9">
        <v>270248520</v>
      </c>
      <c r="E1267" t="s">
        <v>5435</v>
      </c>
      <c r="F1267" t="s">
        <v>531</v>
      </c>
      <c r="G1267" t="s">
        <v>30</v>
      </c>
      <c r="H1267" t="s">
        <v>31</v>
      </c>
      <c r="I1267" t="s">
        <v>52</v>
      </c>
      <c r="J1267" t="s">
        <v>115</v>
      </c>
      <c r="K1267" t="s">
        <v>29</v>
      </c>
      <c r="L1267" t="s">
        <v>5460</v>
      </c>
      <c r="M1267" t="s">
        <v>5461</v>
      </c>
      <c r="N1267" t="s">
        <v>534</v>
      </c>
      <c r="O1267" t="s">
        <v>39</v>
      </c>
      <c r="P1267" t="s">
        <v>5462</v>
      </c>
      <c r="Q1267" t="s">
        <v>76</v>
      </c>
      <c r="R1267" s="29">
        <v>46157.482638888891</v>
      </c>
      <c r="S1267">
        <v>1.53</v>
      </c>
      <c r="T1267">
        <v>3653</v>
      </c>
      <c r="U1267">
        <v>0</v>
      </c>
      <c r="V1267">
        <v>3653</v>
      </c>
    </row>
    <row r="1268" spans="1:22" x14ac:dyDescent="0.3">
      <c r="A1268">
        <v>8326</v>
      </c>
      <c r="B1268">
        <v>454919130</v>
      </c>
      <c r="C1268" t="s">
        <v>5463</v>
      </c>
      <c r="D1268" s="9">
        <v>270188573</v>
      </c>
      <c r="E1268" t="s">
        <v>5435</v>
      </c>
      <c r="F1268" t="s">
        <v>531</v>
      </c>
      <c r="G1268" t="s">
        <v>30</v>
      </c>
      <c r="H1268" t="s">
        <v>31</v>
      </c>
      <c r="I1268" t="s">
        <v>52</v>
      </c>
      <c r="J1268" t="s">
        <v>115</v>
      </c>
      <c r="K1268" t="s">
        <v>29</v>
      </c>
      <c r="L1268" t="s">
        <v>5464</v>
      </c>
      <c r="M1268" t="s">
        <v>5465</v>
      </c>
      <c r="N1268" t="s">
        <v>534</v>
      </c>
      <c r="O1268" t="s">
        <v>39</v>
      </c>
      <c r="P1268" t="s">
        <v>5466</v>
      </c>
      <c r="Q1268" t="s">
        <v>48</v>
      </c>
      <c r="R1268" s="29">
        <v>46156.525000000001</v>
      </c>
      <c r="S1268">
        <v>0.63</v>
      </c>
      <c r="T1268">
        <v>3250</v>
      </c>
      <c r="U1268">
        <v>0</v>
      </c>
      <c r="V1268">
        <v>3250</v>
      </c>
    </row>
    <row r="1269" spans="1:22" x14ac:dyDescent="0.3">
      <c r="A1269">
        <v>8326</v>
      </c>
      <c r="B1269">
        <v>454919185</v>
      </c>
      <c r="C1269" t="s">
        <v>5467</v>
      </c>
      <c r="D1269" s="9">
        <v>270188558</v>
      </c>
      <c r="E1269" t="s">
        <v>5435</v>
      </c>
      <c r="F1269" t="s">
        <v>531</v>
      </c>
      <c r="G1269" t="s">
        <v>30</v>
      </c>
      <c r="H1269" t="s">
        <v>31</v>
      </c>
      <c r="I1269" t="s">
        <v>52</v>
      </c>
      <c r="J1269" t="s">
        <v>115</v>
      </c>
      <c r="K1269" t="s">
        <v>29</v>
      </c>
      <c r="L1269" t="s">
        <v>5468</v>
      </c>
      <c r="M1269" t="s">
        <v>5469</v>
      </c>
      <c r="N1269" t="s">
        <v>534</v>
      </c>
      <c r="O1269" t="s">
        <v>39</v>
      </c>
      <c r="P1269" t="s">
        <v>5470</v>
      </c>
      <c r="Q1269" t="s">
        <v>38</v>
      </c>
      <c r="R1269" s="29">
        <v>46156.525694444441</v>
      </c>
      <c r="S1269">
        <v>0.52</v>
      </c>
      <c r="T1269">
        <v>3250</v>
      </c>
      <c r="U1269">
        <v>0</v>
      </c>
      <c r="V1269">
        <v>3250</v>
      </c>
    </row>
    <row r="1270" spans="1:22" x14ac:dyDescent="0.3">
      <c r="A1270">
        <v>8326</v>
      </c>
      <c r="B1270">
        <v>454802812</v>
      </c>
      <c r="C1270" t="s">
        <v>5471</v>
      </c>
      <c r="D1270" s="9">
        <v>269971444</v>
      </c>
      <c r="E1270" t="s">
        <v>5435</v>
      </c>
      <c r="F1270" t="s">
        <v>531</v>
      </c>
      <c r="G1270" t="s">
        <v>30</v>
      </c>
      <c r="H1270" t="s">
        <v>31</v>
      </c>
      <c r="I1270" t="s">
        <v>52</v>
      </c>
      <c r="J1270" t="s">
        <v>115</v>
      </c>
      <c r="K1270" t="s">
        <v>29</v>
      </c>
      <c r="L1270" t="s">
        <v>5472</v>
      </c>
      <c r="M1270" t="s">
        <v>5473</v>
      </c>
      <c r="N1270" t="s">
        <v>534</v>
      </c>
      <c r="O1270" t="s">
        <v>39</v>
      </c>
      <c r="P1270" t="s">
        <v>5474</v>
      </c>
      <c r="Q1270" t="s">
        <v>44</v>
      </c>
      <c r="R1270" s="29">
        <v>46153.536111111112</v>
      </c>
      <c r="S1270">
        <v>0.82</v>
      </c>
      <c r="T1270">
        <v>4205</v>
      </c>
      <c r="U1270">
        <v>0</v>
      </c>
      <c r="V1270">
        <v>4205</v>
      </c>
    </row>
    <row r="1271" spans="1:22" x14ac:dyDescent="0.3">
      <c r="A1271">
        <v>8326</v>
      </c>
      <c r="B1271">
        <v>454802860</v>
      </c>
      <c r="C1271" t="s">
        <v>5475</v>
      </c>
      <c r="D1271" s="9">
        <v>269971434</v>
      </c>
      <c r="E1271" t="s">
        <v>5435</v>
      </c>
      <c r="F1271" t="s">
        <v>531</v>
      </c>
      <c r="G1271" t="s">
        <v>30</v>
      </c>
      <c r="H1271" t="s">
        <v>31</v>
      </c>
      <c r="I1271" t="s">
        <v>52</v>
      </c>
      <c r="J1271" t="s">
        <v>115</v>
      </c>
      <c r="K1271" t="s">
        <v>29</v>
      </c>
      <c r="L1271" t="s">
        <v>5476</v>
      </c>
      <c r="M1271" t="s">
        <v>5477</v>
      </c>
      <c r="N1271" t="s">
        <v>534</v>
      </c>
      <c r="O1271" t="s">
        <v>39</v>
      </c>
      <c r="P1271" t="s">
        <v>5478</v>
      </c>
      <c r="Q1271" t="s">
        <v>116</v>
      </c>
      <c r="R1271" s="29">
        <v>46153.536805555559</v>
      </c>
      <c r="S1271">
        <v>0.69</v>
      </c>
      <c r="T1271">
        <v>3737</v>
      </c>
      <c r="U1271">
        <v>0</v>
      </c>
      <c r="V1271">
        <v>3737</v>
      </c>
    </row>
    <row r="1272" spans="1:22" x14ac:dyDescent="0.3">
      <c r="A1272">
        <v>8326</v>
      </c>
      <c r="B1272">
        <v>454802842</v>
      </c>
      <c r="C1272" t="s">
        <v>5479</v>
      </c>
      <c r="D1272" s="9">
        <v>269971427</v>
      </c>
      <c r="E1272" t="s">
        <v>5435</v>
      </c>
      <c r="F1272" t="s">
        <v>531</v>
      </c>
      <c r="G1272" t="s">
        <v>30</v>
      </c>
      <c r="H1272" t="s">
        <v>31</v>
      </c>
      <c r="I1272" t="s">
        <v>52</v>
      </c>
      <c r="J1272" t="s">
        <v>115</v>
      </c>
      <c r="K1272" t="s">
        <v>29</v>
      </c>
      <c r="L1272" t="s">
        <v>5480</v>
      </c>
      <c r="M1272" t="s">
        <v>5481</v>
      </c>
      <c r="N1272" t="s">
        <v>534</v>
      </c>
      <c r="O1272" t="s">
        <v>39</v>
      </c>
      <c r="P1272" t="s">
        <v>5482</v>
      </c>
      <c r="Q1272" t="s">
        <v>200</v>
      </c>
      <c r="R1272" s="29">
        <v>46153.536805555559</v>
      </c>
      <c r="S1272">
        <v>0.86</v>
      </c>
      <c r="T1272">
        <v>3653</v>
      </c>
      <c r="U1272">
        <v>0</v>
      </c>
      <c r="V1272">
        <v>3653</v>
      </c>
    </row>
    <row r="1273" spans="1:22" x14ac:dyDescent="0.3">
      <c r="A1273">
        <v>8326</v>
      </c>
      <c r="B1273">
        <v>454718382</v>
      </c>
      <c r="C1273" t="s">
        <v>5483</v>
      </c>
      <c r="D1273" s="9">
        <v>269801631</v>
      </c>
      <c r="E1273" t="s">
        <v>5435</v>
      </c>
      <c r="F1273" t="s">
        <v>531</v>
      </c>
      <c r="G1273" t="s">
        <v>30</v>
      </c>
      <c r="H1273" t="s">
        <v>31</v>
      </c>
      <c r="I1273" t="s">
        <v>52</v>
      </c>
      <c r="J1273" t="s">
        <v>115</v>
      </c>
      <c r="K1273" t="s">
        <v>29</v>
      </c>
      <c r="L1273" t="s">
        <v>5484</v>
      </c>
      <c r="M1273" t="s">
        <v>374</v>
      </c>
      <c r="N1273" t="s">
        <v>534</v>
      </c>
      <c r="O1273" t="s">
        <v>39</v>
      </c>
      <c r="P1273" t="s">
        <v>5485</v>
      </c>
      <c r="Q1273" t="s">
        <v>162</v>
      </c>
      <c r="R1273" s="29">
        <v>46150.457638888889</v>
      </c>
      <c r="S1273">
        <v>1</v>
      </c>
      <c r="T1273">
        <v>5564</v>
      </c>
      <c r="U1273">
        <v>0</v>
      </c>
      <c r="V1273">
        <v>5564</v>
      </c>
    </row>
    <row r="1274" spans="1:22" x14ac:dyDescent="0.3">
      <c r="A1274">
        <v>8326</v>
      </c>
      <c r="B1274">
        <v>454717219</v>
      </c>
      <c r="C1274" t="s">
        <v>5486</v>
      </c>
      <c r="D1274" s="9">
        <v>269799774</v>
      </c>
      <c r="E1274" t="s">
        <v>5435</v>
      </c>
      <c r="F1274" t="s">
        <v>531</v>
      </c>
      <c r="G1274" t="s">
        <v>30</v>
      </c>
      <c r="H1274" t="s">
        <v>31</v>
      </c>
      <c r="I1274" t="s">
        <v>52</v>
      </c>
      <c r="J1274" t="s">
        <v>115</v>
      </c>
      <c r="K1274" t="s">
        <v>29</v>
      </c>
      <c r="L1274" t="s">
        <v>5487</v>
      </c>
      <c r="M1274" t="s">
        <v>5488</v>
      </c>
      <c r="N1274" t="s">
        <v>534</v>
      </c>
      <c r="O1274" t="s">
        <v>39</v>
      </c>
      <c r="P1274" t="s">
        <v>5489</v>
      </c>
      <c r="Q1274" t="s">
        <v>70</v>
      </c>
      <c r="R1274" s="29">
        <v>46150.443749999999</v>
      </c>
      <c r="S1274">
        <v>1.39</v>
      </c>
      <c r="T1274">
        <v>3631</v>
      </c>
      <c r="U1274">
        <v>0</v>
      </c>
      <c r="V1274">
        <v>3631</v>
      </c>
    </row>
    <row r="1275" spans="1:22" x14ac:dyDescent="0.3">
      <c r="A1275">
        <v>8326</v>
      </c>
      <c r="B1275">
        <v>454683886</v>
      </c>
      <c r="C1275" t="s">
        <v>5490</v>
      </c>
      <c r="D1275" s="9">
        <v>269737449</v>
      </c>
      <c r="E1275" t="s">
        <v>5435</v>
      </c>
      <c r="F1275" t="s">
        <v>531</v>
      </c>
      <c r="G1275" t="s">
        <v>30</v>
      </c>
      <c r="H1275" t="s">
        <v>31</v>
      </c>
      <c r="I1275" t="s">
        <v>52</v>
      </c>
      <c r="J1275" t="s">
        <v>115</v>
      </c>
      <c r="K1275" t="s">
        <v>29</v>
      </c>
      <c r="L1275" t="s">
        <v>5491</v>
      </c>
      <c r="M1275" t="s">
        <v>441</v>
      </c>
      <c r="N1275" t="s">
        <v>534</v>
      </c>
      <c r="O1275" t="s">
        <v>39</v>
      </c>
      <c r="P1275" t="s">
        <v>5492</v>
      </c>
      <c r="Q1275" t="s">
        <v>198</v>
      </c>
      <c r="R1275" s="29">
        <v>46149.533333333333</v>
      </c>
      <c r="S1275">
        <v>1</v>
      </c>
      <c r="T1275">
        <v>3935</v>
      </c>
      <c r="U1275">
        <v>0</v>
      </c>
      <c r="V1275">
        <v>3935</v>
      </c>
    </row>
    <row r="1276" spans="1:22" x14ac:dyDescent="0.3">
      <c r="A1276">
        <v>8326</v>
      </c>
      <c r="B1276">
        <v>454563122</v>
      </c>
      <c r="C1276" t="s">
        <v>5493</v>
      </c>
      <c r="D1276" s="9">
        <v>269527842</v>
      </c>
      <c r="E1276" t="s">
        <v>5435</v>
      </c>
      <c r="F1276" t="s">
        <v>531</v>
      </c>
      <c r="G1276" t="s">
        <v>30</v>
      </c>
      <c r="H1276" t="s">
        <v>31</v>
      </c>
      <c r="I1276" t="s">
        <v>52</v>
      </c>
      <c r="J1276" t="s">
        <v>32</v>
      </c>
      <c r="K1276" t="s">
        <v>29</v>
      </c>
      <c r="L1276" t="s">
        <v>5494</v>
      </c>
      <c r="M1276" t="s">
        <v>5495</v>
      </c>
      <c r="N1276" t="s">
        <v>534</v>
      </c>
      <c r="O1276" t="s">
        <v>39</v>
      </c>
      <c r="P1276" t="s">
        <v>5496</v>
      </c>
      <c r="Q1276" t="s">
        <v>162</v>
      </c>
      <c r="R1276" s="29">
        <v>46146.745138888888</v>
      </c>
      <c r="S1276">
        <v>6.7</v>
      </c>
      <c r="T1276">
        <v>10206</v>
      </c>
      <c r="U1276">
        <v>0</v>
      </c>
      <c r="V1276">
        <v>10206</v>
      </c>
    </row>
    <row r="1277" spans="1:22" x14ac:dyDescent="0.3">
      <c r="A1277">
        <v>8326</v>
      </c>
      <c r="B1277">
        <v>454357525</v>
      </c>
      <c r="C1277" t="s">
        <v>5497</v>
      </c>
      <c r="D1277" s="9">
        <v>269139030</v>
      </c>
      <c r="E1277" t="s">
        <v>5435</v>
      </c>
      <c r="F1277" t="s">
        <v>531</v>
      </c>
      <c r="G1277" t="s">
        <v>30</v>
      </c>
      <c r="H1277" t="s">
        <v>31</v>
      </c>
      <c r="I1277" t="s">
        <v>52</v>
      </c>
      <c r="J1277" t="s">
        <v>115</v>
      </c>
      <c r="K1277" t="s">
        <v>29</v>
      </c>
      <c r="L1277" t="s">
        <v>5498</v>
      </c>
      <c r="M1277" t="s">
        <v>5499</v>
      </c>
      <c r="N1277" t="s">
        <v>534</v>
      </c>
      <c r="O1277" t="s">
        <v>39</v>
      </c>
      <c r="P1277" t="s">
        <v>5500</v>
      </c>
      <c r="Q1277" t="s">
        <v>243</v>
      </c>
      <c r="R1277" s="29">
        <v>46140.53402777778</v>
      </c>
      <c r="S1277">
        <v>0.67</v>
      </c>
      <c r="T1277">
        <v>5564</v>
      </c>
      <c r="U1277">
        <v>0</v>
      </c>
      <c r="V1277">
        <v>5564</v>
      </c>
    </row>
    <row r="1278" spans="1:22" x14ac:dyDescent="0.3">
      <c r="A1278">
        <v>8326</v>
      </c>
      <c r="B1278">
        <v>454592010</v>
      </c>
      <c r="C1278" t="s">
        <v>5501</v>
      </c>
      <c r="D1278" s="9">
        <v>269575052</v>
      </c>
      <c r="E1278" t="s">
        <v>5435</v>
      </c>
      <c r="F1278" t="s">
        <v>531</v>
      </c>
      <c r="G1278" t="s">
        <v>30</v>
      </c>
      <c r="H1278" t="s">
        <v>31</v>
      </c>
      <c r="I1278" t="s">
        <v>52</v>
      </c>
      <c r="J1278" t="s">
        <v>115</v>
      </c>
      <c r="K1278" t="s">
        <v>29</v>
      </c>
      <c r="L1278" t="s">
        <v>5502</v>
      </c>
      <c r="M1278" t="s">
        <v>5503</v>
      </c>
      <c r="N1278" t="s">
        <v>534</v>
      </c>
      <c r="O1278" t="s">
        <v>39</v>
      </c>
      <c r="P1278" t="s">
        <v>5504</v>
      </c>
      <c r="Q1278" t="s">
        <v>226</v>
      </c>
      <c r="R1278" s="29">
        <v>46147.497916666667</v>
      </c>
      <c r="S1278">
        <v>3.75</v>
      </c>
      <c r="T1278">
        <v>4935</v>
      </c>
      <c r="U1278">
        <v>0</v>
      </c>
      <c r="V1278">
        <v>4935</v>
      </c>
    </row>
    <row r="1279" spans="1:22" x14ac:dyDescent="0.3">
      <c r="A1279">
        <v>8326</v>
      </c>
      <c r="B1279">
        <v>454478371</v>
      </c>
      <c r="C1279" t="s">
        <v>5505</v>
      </c>
      <c r="D1279" s="9">
        <v>269359643</v>
      </c>
      <c r="E1279" t="s">
        <v>5435</v>
      </c>
      <c r="F1279" t="s">
        <v>531</v>
      </c>
      <c r="G1279" t="s">
        <v>30</v>
      </c>
      <c r="H1279" t="s">
        <v>31</v>
      </c>
      <c r="I1279" t="s">
        <v>52</v>
      </c>
      <c r="J1279" t="s">
        <v>115</v>
      </c>
      <c r="K1279" t="s">
        <v>29</v>
      </c>
      <c r="L1279" t="s">
        <v>5506</v>
      </c>
      <c r="M1279" t="s">
        <v>417</v>
      </c>
      <c r="N1279" t="s">
        <v>534</v>
      </c>
      <c r="O1279" t="s">
        <v>39</v>
      </c>
      <c r="P1279" t="s">
        <v>5507</v>
      </c>
      <c r="Q1279" t="s">
        <v>74</v>
      </c>
      <c r="R1279" s="29">
        <v>46144.501388888886</v>
      </c>
      <c r="S1279">
        <v>1.29</v>
      </c>
      <c r="T1279">
        <v>3653</v>
      </c>
      <c r="U1279">
        <v>0</v>
      </c>
      <c r="V1279">
        <v>3653</v>
      </c>
    </row>
    <row r="1280" spans="1:22" x14ac:dyDescent="0.3">
      <c r="A1280">
        <v>8326</v>
      </c>
      <c r="B1280">
        <v>454536275</v>
      </c>
      <c r="C1280" t="s">
        <v>5508</v>
      </c>
      <c r="D1280" s="9">
        <v>269469428</v>
      </c>
      <c r="E1280" t="s">
        <v>5435</v>
      </c>
      <c r="F1280" t="s">
        <v>531</v>
      </c>
      <c r="G1280" t="s">
        <v>30</v>
      </c>
      <c r="H1280" t="s">
        <v>31</v>
      </c>
      <c r="I1280" t="s">
        <v>52</v>
      </c>
      <c r="J1280" t="s">
        <v>115</v>
      </c>
      <c r="K1280" t="s">
        <v>29</v>
      </c>
      <c r="L1280" t="s">
        <v>5509</v>
      </c>
      <c r="M1280" t="s">
        <v>5510</v>
      </c>
      <c r="N1280" t="s">
        <v>534</v>
      </c>
      <c r="O1280" t="s">
        <v>39</v>
      </c>
      <c r="P1280" t="s">
        <v>5511</v>
      </c>
      <c r="Q1280" t="s">
        <v>189</v>
      </c>
      <c r="R1280" s="29">
        <v>46146.454861111109</v>
      </c>
      <c r="S1280">
        <v>1</v>
      </c>
      <c r="T1280">
        <v>3250</v>
      </c>
      <c r="U1280">
        <v>0</v>
      </c>
      <c r="V1280">
        <v>3250</v>
      </c>
    </row>
    <row r="1281" spans="1:22" x14ac:dyDescent="0.3">
      <c r="A1281">
        <v>8326</v>
      </c>
      <c r="B1281">
        <v>454478262</v>
      </c>
      <c r="C1281" t="s">
        <v>5512</v>
      </c>
      <c r="D1281" s="9">
        <v>269359388</v>
      </c>
      <c r="E1281" t="s">
        <v>5435</v>
      </c>
      <c r="F1281" t="s">
        <v>531</v>
      </c>
      <c r="G1281" t="s">
        <v>30</v>
      </c>
      <c r="H1281" t="s">
        <v>31</v>
      </c>
      <c r="I1281" t="s">
        <v>52</v>
      </c>
      <c r="J1281" t="s">
        <v>115</v>
      </c>
      <c r="K1281" t="s">
        <v>29</v>
      </c>
      <c r="L1281" t="s">
        <v>5513</v>
      </c>
      <c r="M1281" t="s">
        <v>5514</v>
      </c>
      <c r="N1281" t="s">
        <v>534</v>
      </c>
      <c r="O1281" t="s">
        <v>39</v>
      </c>
      <c r="P1281" t="s">
        <v>5515</v>
      </c>
      <c r="Q1281" t="s">
        <v>76</v>
      </c>
      <c r="R1281" s="29">
        <v>46144.499305555553</v>
      </c>
      <c r="S1281">
        <v>1</v>
      </c>
      <c r="T1281">
        <v>3653</v>
      </c>
      <c r="U1281">
        <v>0</v>
      </c>
      <c r="V1281">
        <v>3653</v>
      </c>
    </row>
    <row r="1282" spans="1:22" x14ac:dyDescent="0.3">
      <c r="A1282">
        <v>8326</v>
      </c>
      <c r="B1282">
        <v>454535274</v>
      </c>
      <c r="C1282" t="s">
        <v>5516</v>
      </c>
      <c r="D1282" s="9">
        <v>269467633</v>
      </c>
      <c r="E1282" t="s">
        <v>5435</v>
      </c>
      <c r="F1282" t="s">
        <v>531</v>
      </c>
      <c r="G1282" t="s">
        <v>30</v>
      </c>
      <c r="H1282" t="s">
        <v>31</v>
      </c>
      <c r="I1282" t="s">
        <v>52</v>
      </c>
      <c r="J1282" t="s">
        <v>115</v>
      </c>
      <c r="K1282" t="s">
        <v>29</v>
      </c>
      <c r="L1282" t="s">
        <v>5517</v>
      </c>
      <c r="M1282" t="s">
        <v>5518</v>
      </c>
      <c r="N1282" t="s">
        <v>534</v>
      </c>
      <c r="O1282" t="s">
        <v>39</v>
      </c>
      <c r="P1282" t="s">
        <v>5519</v>
      </c>
      <c r="Q1282" t="s">
        <v>48</v>
      </c>
      <c r="R1282" s="29">
        <v>46146.446527777778</v>
      </c>
      <c r="S1282">
        <v>2.83</v>
      </c>
      <c r="T1282">
        <v>3250</v>
      </c>
      <c r="U1282">
        <v>0</v>
      </c>
      <c r="V1282">
        <v>3250</v>
      </c>
    </row>
    <row r="1283" spans="1:22" x14ac:dyDescent="0.3">
      <c r="A1283">
        <v>8326</v>
      </c>
      <c r="B1283">
        <v>454536829</v>
      </c>
      <c r="C1283" t="s">
        <v>5520</v>
      </c>
      <c r="D1283" s="9">
        <v>269470374</v>
      </c>
      <c r="E1283" t="s">
        <v>5435</v>
      </c>
      <c r="F1283" t="s">
        <v>531</v>
      </c>
      <c r="G1283" t="s">
        <v>30</v>
      </c>
      <c r="H1283" t="s">
        <v>31</v>
      </c>
      <c r="I1283" t="s">
        <v>52</v>
      </c>
      <c r="J1283" t="s">
        <v>115</v>
      </c>
      <c r="K1283" t="s">
        <v>29</v>
      </c>
      <c r="L1283" t="s">
        <v>5521</v>
      </c>
      <c r="M1283" t="s">
        <v>5522</v>
      </c>
      <c r="N1283" t="s">
        <v>534</v>
      </c>
      <c r="O1283" t="s">
        <v>39</v>
      </c>
      <c r="P1283" t="s">
        <v>5523</v>
      </c>
      <c r="Q1283" t="s">
        <v>64</v>
      </c>
      <c r="R1283" s="29">
        <v>46146.460416666669</v>
      </c>
      <c r="S1283">
        <v>2.11</v>
      </c>
      <c r="T1283">
        <v>3250</v>
      </c>
      <c r="U1283">
        <v>0</v>
      </c>
      <c r="V1283">
        <v>3250</v>
      </c>
    </row>
    <row r="1284" spans="1:22" x14ac:dyDescent="0.3">
      <c r="A1284">
        <v>8326</v>
      </c>
      <c r="B1284">
        <v>454536385</v>
      </c>
      <c r="C1284" t="s">
        <v>5524</v>
      </c>
      <c r="D1284" s="9">
        <v>269469615</v>
      </c>
      <c r="E1284" t="s">
        <v>5435</v>
      </c>
      <c r="F1284" t="s">
        <v>531</v>
      </c>
      <c r="G1284" t="s">
        <v>30</v>
      </c>
      <c r="H1284" t="s">
        <v>31</v>
      </c>
      <c r="I1284" t="s">
        <v>52</v>
      </c>
      <c r="J1284" t="s">
        <v>115</v>
      </c>
      <c r="K1284" t="s">
        <v>29</v>
      </c>
      <c r="L1284" t="s">
        <v>5525</v>
      </c>
      <c r="M1284" t="s">
        <v>5526</v>
      </c>
      <c r="N1284" t="s">
        <v>534</v>
      </c>
      <c r="O1284" t="s">
        <v>39</v>
      </c>
      <c r="P1284" t="s">
        <v>5527</v>
      </c>
      <c r="Q1284" t="s">
        <v>42</v>
      </c>
      <c r="R1284" s="29">
        <v>46146.456250000003</v>
      </c>
      <c r="S1284">
        <v>1</v>
      </c>
      <c r="T1284">
        <v>3250</v>
      </c>
      <c r="U1284">
        <v>0</v>
      </c>
      <c r="V1284">
        <v>3250</v>
      </c>
    </row>
    <row r="1285" spans="1:22" x14ac:dyDescent="0.3">
      <c r="A1285">
        <v>8326</v>
      </c>
      <c r="B1285">
        <v>454478193</v>
      </c>
      <c r="C1285" t="s">
        <v>5528</v>
      </c>
      <c r="D1285" s="9">
        <v>269359209</v>
      </c>
      <c r="E1285" t="s">
        <v>5435</v>
      </c>
      <c r="F1285" t="s">
        <v>531</v>
      </c>
      <c r="G1285" t="s">
        <v>30</v>
      </c>
      <c r="H1285" t="s">
        <v>31</v>
      </c>
      <c r="I1285" t="s">
        <v>52</v>
      </c>
      <c r="J1285" t="s">
        <v>115</v>
      </c>
      <c r="K1285" t="s">
        <v>29</v>
      </c>
      <c r="L1285" t="s">
        <v>5529</v>
      </c>
      <c r="M1285" t="s">
        <v>246</v>
      </c>
      <c r="N1285" t="s">
        <v>534</v>
      </c>
      <c r="O1285" t="s">
        <v>39</v>
      </c>
      <c r="P1285" t="s">
        <v>5530</v>
      </c>
      <c r="Q1285" t="s">
        <v>63</v>
      </c>
      <c r="R1285" s="29">
        <v>46144.497916666667</v>
      </c>
      <c r="S1285">
        <v>1</v>
      </c>
      <c r="T1285">
        <v>3384</v>
      </c>
      <c r="U1285">
        <v>0</v>
      </c>
      <c r="V1285">
        <v>3384</v>
      </c>
    </row>
    <row r="1286" spans="1:22" x14ac:dyDescent="0.3">
      <c r="A1286">
        <v>8326</v>
      </c>
      <c r="B1286">
        <v>454400834</v>
      </c>
      <c r="C1286" t="s">
        <v>5531</v>
      </c>
      <c r="D1286" s="9">
        <v>269228626</v>
      </c>
      <c r="E1286" t="s">
        <v>5435</v>
      </c>
      <c r="F1286" t="s">
        <v>531</v>
      </c>
      <c r="G1286" t="s">
        <v>30</v>
      </c>
      <c r="H1286" t="s">
        <v>31</v>
      </c>
      <c r="I1286" t="s">
        <v>52</v>
      </c>
      <c r="J1286" t="s">
        <v>32</v>
      </c>
      <c r="K1286" t="s">
        <v>29</v>
      </c>
      <c r="L1286" t="s">
        <v>5532</v>
      </c>
      <c r="M1286" t="s">
        <v>5533</v>
      </c>
      <c r="N1286" t="s">
        <v>534</v>
      </c>
      <c r="O1286" t="s">
        <v>39</v>
      </c>
      <c r="P1286" t="s">
        <v>5534</v>
      </c>
      <c r="Q1286" t="s">
        <v>38</v>
      </c>
      <c r="R1286" s="29">
        <v>46141.65625</v>
      </c>
      <c r="S1286">
        <v>0.56999999999999995</v>
      </c>
      <c r="T1286">
        <v>3250</v>
      </c>
      <c r="U1286">
        <v>0</v>
      </c>
      <c r="V1286">
        <v>3250</v>
      </c>
    </row>
    <row r="1287" spans="1:22" x14ac:dyDescent="0.3">
      <c r="A1287">
        <v>8326</v>
      </c>
      <c r="B1287">
        <v>454357743</v>
      </c>
      <c r="C1287" t="s">
        <v>5535</v>
      </c>
      <c r="D1287" s="9">
        <v>269139367</v>
      </c>
      <c r="E1287" t="s">
        <v>5435</v>
      </c>
      <c r="F1287" t="s">
        <v>531</v>
      </c>
      <c r="G1287" t="s">
        <v>30</v>
      </c>
      <c r="H1287" t="s">
        <v>31</v>
      </c>
      <c r="I1287" t="s">
        <v>52</v>
      </c>
      <c r="J1287" t="s">
        <v>115</v>
      </c>
      <c r="K1287" t="s">
        <v>29</v>
      </c>
      <c r="L1287" t="s">
        <v>5536</v>
      </c>
      <c r="M1287" t="s">
        <v>5537</v>
      </c>
      <c r="N1287" t="s">
        <v>534</v>
      </c>
      <c r="O1287" t="s">
        <v>39</v>
      </c>
      <c r="P1287" t="s">
        <v>5538</v>
      </c>
      <c r="Q1287" t="s">
        <v>160</v>
      </c>
      <c r="R1287" s="29">
        <v>46140.536111111112</v>
      </c>
      <c r="S1287">
        <v>5.61</v>
      </c>
      <c r="T1287">
        <v>5564</v>
      </c>
      <c r="U1287">
        <v>0</v>
      </c>
      <c r="V1287">
        <v>5564</v>
      </c>
    </row>
    <row r="1288" spans="1:22" x14ac:dyDescent="0.3">
      <c r="A1288">
        <v>8326</v>
      </c>
      <c r="B1288">
        <v>455060623</v>
      </c>
      <c r="C1288" t="s">
        <v>5539</v>
      </c>
      <c r="D1288" s="9" t="s">
        <v>5540</v>
      </c>
      <c r="E1288" t="s">
        <v>5435</v>
      </c>
      <c r="F1288" t="s">
        <v>531</v>
      </c>
      <c r="G1288" t="s">
        <v>110</v>
      </c>
      <c r="H1288" t="s">
        <v>111</v>
      </c>
      <c r="I1288" t="s">
        <v>52</v>
      </c>
      <c r="J1288" t="s">
        <v>112</v>
      </c>
      <c r="K1288" t="s">
        <v>29</v>
      </c>
      <c r="L1288" t="s">
        <v>113</v>
      </c>
      <c r="M1288" t="s">
        <v>5436</v>
      </c>
      <c r="N1288" t="s">
        <v>534</v>
      </c>
      <c r="O1288" t="s">
        <v>39</v>
      </c>
      <c r="P1288" t="s">
        <v>5541</v>
      </c>
      <c r="Q1288" t="s">
        <v>221</v>
      </c>
      <c r="R1288" s="29" t="s">
        <v>438</v>
      </c>
      <c r="S1288">
        <v>0.9</v>
      </c>
      <c r="T1288">
        <v>9459</v>
      </c>
      <c r="U1288">
        <v>0</v>
      </c>
      <c r="V1288">
        <v>9459</v>
      </c>
    </row>
    <row r="1289" spans="1:22" x14ac:dyDescent="0.3">
      <c r="A1289">
        <v>192770</v>
      </c>
      <c r="B1289">
        <v>454810231</v>
      </c>
      <c r="C1289" t="s">
        <v>5542</v>
      </c>
      <c r="D1289" s="9">
        <v>269985947</v>
      </c>
      <c r="E1289" t="s">
        <v>5543</v>
      </c>
      <c r="F1289" t="s">
        <v>531</v>
      </c>
      <c r="G1289" t="s">
        <v>30</v>
      </c>
      <c r="H1289" t="s">
        <v>31</v>
      </c>
      <c r="I1289" t="s">
        <v>52</v>
      </c>
      <c r="J1289" t="s">
        <v>115</v>
      </c>
      <c r="K1289" t="s">
        <v>29</v>
      </c>
      <c r="L1289" t="s">
        <v>5544</v>
      </c>
      <c r="M1289" t="s">
        <v>5545</v>
      </c>
      <c r="N1289" t="s">
        <v>534</v>
      </c>
      <c r="O1289" t="s">
        <v>39</v>
      </c>
      <c r="P1289" t="s">
        <v>5546</v>
      </c>
      <c r="Q1289" t="s">
        <v>162</v>
      </c>
      <c r="R1289" s="29">
        <v>46153.635416666664</v>
      </c>
      <c r="S1289">
        <v>0.44</v>
      </c>
      <c r="T1289">
        <v>3935</v>
      </c>
      <c r="U1289">
        <v>0</v>
      </c>
      <c r="V1289">
        <v>3935</v>
      </c>
    </row>
    <row r="1290" spans="1:22" x14ac:dyDescent="0.3">
      <c r="A1290">
        <v>192770</v>
      </c>
      <c r="B1290">
        <v>454477708</v>
      </c>
      <c r="C1290" t="s">
        <v>5547</v>
      </c>
      <c r="D1290" s="9">
        <v>269358102</v>
      </c>
      <c r="E1290" t="s">
        <v>5543</v>
      </c>
      <c r="F1290" t="s">
        <v>531</v>
      </c>
      <c r="G1290" t="s">
        <v>30</v>
      </c>
      <c r="H1290" t="s">
        <v>31</v>
      </c>
      <c r="I1290" t="s">
        <v>52</v>
      </c>
      <c r="J1290" t="s">
        <v>32</v>
      </c>
      <c r="K1290" t="s">
        <v>29</v>
      </c>
      <c r="L1290" t="s">
        <v>5548</v>
      </c>
      <c r="M1290" t="s">
        <v>5549</v>
      </c>
      <c r="N1290" t="s">
        <v>534</v>
      </c>
      <c r="O1290" t="s">
        <v>39</v>
      </c>
      <c r="P1290" t="s">
        <v>5550</v>
      </c>
      <c r="Q1290" t="s">
        <v>61</v>
      </c>
      <c r="R1290" s="29">
        <v>46144.489583333336</v>
      </c>
      <c r="S1290">
        <v>0.25</v>
      </c>
      <c r="T1290">
        <v>3552</v>
      </c>
      <c r="U1290">
        <v>0</v>
      </c>
      <c r="V1290">
        <v>3552</v>
      </c>
    </row>
    <row r="1291" spans="1:22" x14ac:dyDescent="0.3">
      <c r="A1291">
        <v>192770</v>
      </c>
      <c r="B1291">
        <v>454538698</v>
      </c>
      <c r="C1291" t="s">
        <v>5551</v>
      </c>
      <c r="D1291" s="9">
        <v>269473202</v>
      </c>
      <c r="E1291" t="s">
        <v>5543</v>
      </c>
      <c r="F1291" t="s">
        <v>531</v>
      </c>
      <c r="G1291" t="s">
        <v>30</v>
      </c>
      <c r="H1291" t="s">
        <v>31</v>
      </c>
      <c r="I1291" t="s">
        <v>52</v>
      </c>
      <c r="J1291" t="s">
        <v>32</v>
      </c>
      <c r="K1291" t="s">
        <v>29</v>
      </c>
      <c r="L1291" t="s">
        <v>5552</v>
      </c>
      <c r="M1291" t="s">
        <v>5553</v>
      </c>
      <c r="N1291" t="s">
        <v>534</v>
      </c>
      <c r="O1291" t="s">
        <v>39</v>
      </c>
      <c r="P1291" t="s">
        <v>5554</v>
      </c>
      <c r="Q1291" t="s">
        <v>35</v>
      </c>
      <c r="R1291" s="29">
        <v>46146.474999999999</v>
      </c>
      <c r="S1291">
        <v>0.25</v>
      </c>
      <c r="T1291">
        <v>3552</v>
      </c>
      <c r="U1291">
        <v>0</v>
      </c>
      <c r="V1291">
        <v>3552</v>
      </c>
    </row>
    <row r="1292" spans="1:22" x14ac:dyDescent="0.3">
      <c r="A1292">
        <v>192770</v>
      </c>
      <c r="B1292">
        <v>454312853</v>
      </c>
      <c r="C1292" t="s">
        <v>5555</v>
      </c>
      <c r="D1292" s="9">
        <v>269059866</v>
      </c>
      <c r="E1292" t="s">
        <v>5543</v>
      </c>
      <c r="F1292" t="s">
        <v>531</v>
      </c>
      <c r="G1292" t="s">
        <v>30</v>
      </c>
      <c r="H1292" t="s">
        <v>31</v>
      </c>
      <c r="I1292" t="s">
        <v>52</v>
      </c>
      <c r="J1292" t="s">
        <v>32</v>
      </c>
      <c r="K1292" t="s">
        <v>29</v>
      </c>
      <c r="L1292" t="s">
        <v>5556</v>
      </c>
      <c r="M1292" t="s">
        <v>5557</v>
      </c>
      <c r="N1292" t="s">
        <v>534</v>
      </c>
      <c r="O1292" t="s">
        <v>39</v>
      </c>
      <c r="P1292" t="s">
        <v>5558</v>
      </c>
      <c r="Q1292" t="s">
        <v>189</v>
      </c>
      <c r="R1292" s="29">
        <v>46139.506944444445</v>
      </c>
      <c r="S1292">
        <v>1.25</v>
      </c>
      <c r="T1292">
        <v>3250</v>
      </c>
      <c r="U1292">
        <v>0</v>
      </c>
      <c r="V1292">
        <v>3250</v>
      </c>
    </row>
    <row r="1293" spans="1:22" x14ac:dyDescent="0.3">
      <c r="A1293">
        <v>198243</v>
      </c>
      <c r="B1293">
        <v>454513851</v>
      </c>
      <c r="C1293" t="s">
        <v>348</v>
      </c>
      <c r="D1293" s="9">
        <v>269440662</v>
      </c>
      <c r="E1293" t="s">
        <v>5559</v>
      </c>
      <c r="F1293" t="s">
        <v>531</v>
      </c>
      <c r="G1293" t="s">
        <v>30</v>
      </c>
      <c r="H1293" t="s">
        <v>31</v>
      </c>
      <c r="I1293" t="s">
        <v>52</v>
      </c>
      <c r="J1293" t="s">
        <v>32</v>
      </c>
      <c r="K1293" t="s">
        <v>29</v>
      </c>
      <c r="L1293" t="s">
        <v>5560</v>
      </c>
      <c r="M1293" t="s">
        <v>5561</v>
      </c>
      <c r="N1293" t="s">
        <v>534</v>
      </c>
      <c r="O1293" t="s">
        <v>39</v>
      </c>
      <c r="P1293" t="s">
        <v>5562</v>
      </c>
      <c r="Q1293" t="s">
        <v>140</v>
      </c>
      <c r="R1293" s="29">
        <v>46145.934027777781</v>
      </c>
      <c r="S1293">
        <v>1</v>
      </c>
      <c r="T1293">
        <v>3250</v>
      </c>
      <c r="U1293">
        <v>0</v>
      </c>
      <c r="V1293">
        <v>3250</v>
      </c>
    </row>
    <row r="1294" spans="1:22" x14ac:dyDescent="0.3">
      <c r="A1294">
        <v>198243</v>
      </c>
      <c r="B1294">
        <v>454592972</v>
      </c>
      <c r="C1294" t="s">
        <v>5563</v>
      </c>
      <c r="D1294" s="9">
        <v>269576759</v>
      </c>
      <c r="E1294" t="s">
        <v>5559</v>
      </c>
      <c r="F1294" t="s">
        <v>531</v>
      </c>
      <c r="G1294" t="s">
        <v>30</v>
      </c>
      <c r="H1294" t="s">
        <v>31</v>
      </c>
      <c r="I1294" t="s">
        <v>52</v>
      </c>
      <c r="J1294" t="s">
        <v>32</v>
      </c>
      <c r="K1294" t="s">
        <v>29</v>
      </c>
      <c r="L1294" t="s">
        <v>5564</v>
      </c>
      <c r="M1294" t="s">
        <v>5565</v>
      </c>
      <c r="N1294" t="s">
        <v>534</v>
      </c>
      <c r="O1294" t="s">
        <v>39</v>
      </c>
      <c r="P1294" t="s">
        <v>5566</v>
      </c>
      <c r="Q1294" t="s">
        <v>198</v>
      </c>
      <c r="R1294" s="29">
        <v>46147.504861111112</v>
      </c>
      <c r="S1294">
        <v>1</v>
      </c>
      <c r="T1294">
        <v>3935</v>
      </c>
      <c r="U1294">
        <v>0</v>
      </c>
      <c r="V1294">
        <v>3935</v>
      </c>
    </row>
    <row r="1295" spans="1:22" x14ac:dyDescent="0.3">
      <c r="A1295">
        <v>198243</v>
      </c>
      <c r="B1295">
        <v>454513843</v>
      </c>
      <c r="C1295" t="s">
        <v>5567</v>
      </c>
      <c r="D1295" s="9">
        <v>269440659</v>
      </c>
      <c r="E1295" t="s">
        <v>5559</v>
      </c>
      <c r="F1295" t="s">
        <v>531</v>
      </c>
      <c r="G1295" t="s">
        <v>30</v>
      </c>
      <c r="H1295" t="s">
        <v>31</v>
      </c>
      <c r="I1295" t="s">
        <v>52</v>
      </c>
      <c r="J1295" t="s">
        <v>32</v>
      </c>
      <c r="K1295" t="s">
        <v>29</v>
      </c>
      <c r="L1295" t="s">
        <v>5568</v>
      </c>
      <c r="M1295" t="s">
        <v>476</v>
      </c>
      <c r="N1295" t="s">
        <v>534</v>
      </c>
      <c r="O1295" t="s">
        <v>39</v>
      </c>
      <c r="P1295" t="s">
        <v>5569</v>
      </c>
      <c r="Q1295" t="s">
        <v>189</v>
      </c>
      <c r="R1295" s="29">
        <v>46145.934027777781</v>
      </c>
      <c r="S1295">
        <v>0.69</v>
      </c>
      <c r="T1295">
        <v>3250</v>
      </c>
      <c r="U1295">
        <v>0</v>
      </c>
      <c r="V1295">
        <v>3250</v>
      </c>
    </row>
    <row r="1296" spans="1:22" x14ac:dyDescent="0.3">
      <c r="A1296">
        <v>198243</v>
      </c>
      <c r="B1296">
        <v>454557654</v>
      </c>
      <c r="C1296" t="s">
        <v>5570</v>
      </c>
      <c r="D1296" s="9">
        <v>269514245</v>
      </c>
      <c r="E1296" t="s">
        <v>5559</v>
      </c>
      <c r="F1296" t="s">
        <v>531</v>
      </c>
      <c r="G1296" t="s">
        <v>30</v>
      </c>
      <c r="H1296" t="s">
        <v>31</v>
      </c>
      <c r="I1296" t="s">
        <v>52</v>
      </c>
      <c r="J1296" t="s">
        <v>32</v>
      </c>
      <c r="K1296" t="s">
        <v>29</v>
      </c>
      <c r="L1296" t="s">
        <v>260</v>
      </c>
      <c r="M1296" t="s">
        <v>5571</v>
      </c>
      <c r="N1296" t="s">
        <v>534</v>
      </c>
      <c r="O1296" t="s">
        <v>39</v>
      </c>
      <c r="P1296" t="s">
        <v>5572</v>
      </c>
      <c r="Q1296" t="s">
        <v>69</v>
      </c>
      <c r="R1296" s="29">
        <v>46146.679861111108</v>
      </c>
      <c r="S1296">
        <v>1</v>
      </c>
      <c r="T1296">
        <v>5024</v>
      </c>
      <c r="U1296">
        <v>0</v>
      </c>
      <c r="V1296">
        <v>5024</v>
      </c>
    </row>
    <row r="1297" spans="1:22" x14ac:dyDescent="0.3">
      <c r="A1297">
        <v>198243</v>
      </c>
      <c r="B1297">
        <v>454513848</v>
      </c>
      <c r="C1297" t="s">
        <v>5573</v>
      </c>
      <c r="D1297" s="9">
        <v>269440691</v>
      </c>
      <c r="E1297" t="s">
        <v>5559</v>
      </c>
      <c r="F1297" t="s">
        <v>531</v>
      </c>
      <c r="G1297" t="s">
        <v>30</v>
      </c>
      <c r="H1297" t="s">
        <v>31</v>
      </c>
      <c r="I1297" t="s">
        <v>52</v>
      </c>
      <c r="J1297" t="s">
        <v>32</v>
      </c>
      <c r="K1297" t="s">
        <v>29</v>
      </c>
      <c r="L1297" t="s">
        <v>5574</v>
      </c>
      <c r="M1297" t="s">
        <v>5575</v>
      </c>
      <c r="N1297" t="s">
        <v>534</v>
      </c>
      <c r="O1297" t="s">
        <v>39</v>
      </c>
      <c r="P1297" t="s">
        <v>5576</v>
      </c>
      <c r="Q1297" t="s">
        <v>38</v>
      </c>
      <c r="R1297" s="29">
        <v>46145.934027777781</v>
      </c>
      <c r="S1297">
        <v>0.68</v>
      </c>
      <c r="T1297">
        <v>3250</v>
      </c>
      <c r="U1297">
        <v>0</v>
      </c>
      <c r="V1297">
        <v>3250</v>
      </c>
    </row>
    <row r="1298" spans="1:22" x14ac:dyDescent="0.3">
      <c r="A1298">
        <v>198243</v>
      </c>
      <c r="B1298">
        <v>454513854</v>
      </c>
      <c r="C1298" t="s">
        <v>5577</v>
      </c>
      <c r="D1298" s="9">
        <v>269440663</v>
      </c>
      <c r="E1298" t="s">
        <v>5559</v>
      </c>
      <c r="F1298" t="s">
        <v>531</v>
      </c>
      <c r="G1298" t="s">
        <v>30</v>
      </c>
      <c r="H1298" t="s">
        <v>31</v>
      </c>
      <c r="I1298" t="s">
        <v>52</v>
      </c>
      <c r="J1298" t="s">
        <v>32</v>
      </c>
      <c r="K1298" t="s">
        <v>29</v>
      </c>
      <c r="L1298" t="s">
        <v>5578</v>
      </c>
      <c r="M1298" t="s">
        <v>5579</v>
      </c>
      <c r="N1298" t="s">
        <v>534</v>
      </c>
      <c r="O1298" t="s">
        <v>39</v>
      </c>
      <c r="P1298" t="s">
        <v>5580</v>
      </c>
      <c r="Q1298" t="s">
        <v>38</v>
      </c>
      <c r="R1298" s="29">
        <v>46145.934027777781</v>
      </c>
      <c r="S1298">
        <v>0.7</v>
      </c>
      <c r="T1298">
        <v>3250</v>
      </c>
      <c r="U1298">
        <v>0</v>
      </c>
      <c r="V1298">
        <v>3250</v>
      </c>
    </row>
    <row r="1299" spans="1:22" x14ac:dyDescent="0.3">
      <c r="A1299">
        <v>198243</v>
      </c>
      <c r="B1299">
        <v>455229441</v>
      </c>
      <c r="C1299" t="s">
        <v>5581</v>
      </c>
      <c r="D1299" s="9" t="s">
        <v>5582</v>
      </c>
      <c r="E1299" t="s">
        <v>5559</v>
      </c>
      <c r="F1299" t="s">
        <v>531</v>
      </c>
      <c r="G1299" t="s">
        <v>104</v>
      </c>
      <c r="H1299" t="s">
        <v>105</v>
      </c>
      <c r="I1299" t="s">
        <v>52</v>
      </c>
      <c r="J1299" t="s">
        <v>106</v>
      </c>
      <c r="K1299" t="s">
        <v>29</v>
      </c>
      <c r="L1299" t="s">
        <v>5583</v>
      </c>
      <c r="M1299" t="s">
        <v>282</v>
      </c>
      <c r="N1299" t="s">
        <v>534</v>
      </c>
      <c r="O1299" t="s">
        <v>39</v>
      </c>
      <c r="P1299" t="s">
        <v>5584</v>
      </c>
      <c r="Q1299" t="s">
        <v>83</v>
      </c>
      <c r="R1299" s="29" t="s">
        <v>5585</v>
      </c>
      <c r="S1299">
        <v>1.35</v>
      </c>
      <c r="T1299">
        <v>6488</v>
      </c>
      <c r="U1299">
        <v>149.94999999999999</v>
      </c>
      <c r="V1299">
        <v>6637.95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paola yojanna quiroga cepeda</cp:lastModifiedBy>
  <cp:lastPrinted>2023-05-10T17:03:30Z</cp:lastPrinted>
  <dcterms:created xsi:type="dcterms:W3CDTF">2015-10-14T18:59:17Z</dcterms:created>
  <dcterms:modified xsi:type="dcterms:W3CDTF">2026-06-10T15:17:18Z</dcterms:modified>
</cp:coreProperties>
</file>